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7月1日改定\"/>
    </mc:Choice>
  </mc:AlternateContent>
  <xr:revisionPtr revIDLastSave="0" documentId="13_ncr:1_{F592280D-83DF-4018-AA80-3A5DA9C279DD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12" i="1" l="1"/>
  <c r="BO13" i="1"/>
  <c r="BO19" i="1"/>
  <c r="BO20" i="1"/>
  <c r="BI12" i="1"/>
  <c r="AG12" i="1" s="1"/>
  <c r="BI14" i="1"/>
  <c r="AG14" i="1" s="1"/>
  <c r="BI15" i="1"/>
  <c r="AG15" i="1" s="1"/>
  <c r="BI16" i="1"/>
  <c r="AG16" i="1" s="1"/>
  <c r="BI17" i="1"/>
  <c r="AG17" i="1" s="1"/>
  <c r="BI18" i="1"/>
  <c r="AG18" i="1" s="1"/>
  <c r="BI19" i="1"/>
  <c r="AG19" i="1" s="1"/>
  <c r="BI20" i="1"/>
  <c r="AG20" i="1" s="1"/>
  <c r="BO14" i="1"/>
  <c r="BO15" i="1"/>
  <c r="BO16" i="1"/>
  <c r="BO17" i="1"/>
  <c r="BO18" i="1"/>
  <c r="AQ20" i="1"/>
  <c r="AB20" i="1"/>
  <c r="AR20" i="1" s="1"/>
  <c r="Z20" i="1"/>
  <c r="AP20" i="1" s="1"/>
  <c r="O20" i="1"/>
  <c r="D20" i="1"/>
  <c r="AQ19" i="1"/>
  <c r="AB19" i="1"/>
  <c r="AL19" i="1" s="1"/>
  <c r="Z19" i="1"/>
  <c r="AP19" i="1" s="1"/>
  <c r="O19" i="1"/>
  <c r="D19" i="1"/>
  <c r="AQ18" i="1"/>
  <c r="AB18" i="1"/>
  <c r="AR18" i="1" s="1"/>
  <c r="Z18" i="1"/>
  <c r="AP18" i="1" s="1"/>
  <c r="O18" i="1"/>
  <c r="D18" i="1"/>
  <c r="AQ17" i="1"/>
  <c r="AB17" i="1"/>
  <c r="AK17" i="1" s="1"/>
  <c r="Z17" i="1"/>
  <c r="AP17" i="1" s="1"/>
  <c r="O17" i="1"/>
  <c r="D17" i="1"/>
  <c r="AQ16" i="1"/>
  <c r="AB16" i="1"/>
  <c r="AK16" i="1" s="1"/>
  <c r="Z16" i="1"/>
  <c r="AP16" i="1" s="1"/>
  <c r="O16" i="1"/>
  <c r="D16" i="1"/>
  <c r="AQ15" i="1"/>
  <c r="AB15" i="1"/>
  <c r="AL15" i="1" s="1"/>
  <c r="Z15" i="1"/>
  <c r="AP15" i="1" s="1"/>
  <c r="O15" i="1"/>
  <c r="D15" i="1"/>
  <c r="AQ14" i="1"/>
  <c r="AB14" i="1"/>
  <c r="AL14" i="1" s="1"/>
  <c r="Z14" i="1"/>
  <c r="AP14" i="1" s="1"/>
  <c r="O14" i="1"/>
  <c r="D14" i="1"/>
  <c r="BI13" i="1"/>
  <c r="AG13" i="1" s="1"/>
  <c r="AQ13" i="1"/>
  <c r="AB13" i="1"/>
  <c r="AR13" i="1" s="1"/>
  <c r="AD13" i="1" s="1"/>
  <c r="Z13" i="1"/>
  <c r="AP13" i="1" s="1"/>
  <c r="O13" i="1"/>
  <c r="D13" i="1"/>
  <c r="AU12" i="1"/>
  <c r="AT12" i="1"/>
  <c r="AS12" i="1"/>
  <c r="AQ12" i="1"/>
  <c r="AB12" i="1"/>
  <c r="AL12" i="1" s="1"/>
  <c r="Z12" i="1"/>
  <c r="AP12" i="1" s="1"/>
  <c r="O12" i="1"/>
  <c r="D12" i="1"/>
  <c r="BR18" i="1" l="1"/>
  <c r="AR14" i="1"/>
  <c r="AD14" i="1" s="1"/>
  <c r="AE14" i="1" s="1"/>
  <c r="AK18" i="1"/>
  <c r="AH13" i="1"/>
  <c r="AR19" i="1"/>
  <c r="BR19" i="1" s="1"/>
  <c r="AN12" i="1"/>
  <c r="AO12" i="1"/>
  <c r="AH18" i="1"/>
  <c r="AI18" i="1" s="1"/>
  <c r="AK12" i="1"/>
  <c r="AK15" i="1"/>
  <c r="AE13" i="1"/>
  <c r="AD20" i="1"/>
  <c r="AE20" i="1" s="1"/>
  <c r="BR20" i="1"/>
  <c r="AH17" i="1"/>
  <c r="AI17" i="1" s="1"/>
  <c r="AH20" i="1"/>
  <c r="AI20" i="1" s="1"/>
  <c r="AL17" i="1"/>
  <c r="AI13" i="1"/>
  <c r="BR13" i="1"/>
  <c r="AR15" i="1"/>
  <c r="AL18" i="1"/>
  <c r="AK19" i="1"/>
  <c r="AR16" i="1"/>
  <c r="AD18" i="1"/>
  <c r="AE18" i="1" s="1"/>
  <c r="AK20" i="1"/>
  <c r="AR12" i="1"/>
  <c r="AH12" i="1" s="1"/>
  <c r="AI12" i="1" s="1"/>
  <c r="AK13" i="1"/>
  <c r="AR17" i="1"/>
  <c r="AL20" i="1"/>
  <c r="AL13" i="1"/>
  <c r="AK14" i="1"/>
  <c r="AL16" i="1"/>
  <c r="AD19" i="1" l="1"/>
  <c r="AE19" i="1" s="1"/>
  <c r="AH19" i="1"/>
  <c r="AI19" i="1" s="1"/>
  <c r="BR14" i="1"/>
  <c r="AH14" i="1"/>
  <c r="AI14" i="1" s="1"/>
  <c r="BR17" i="1"/>
  <c r="AD17" i="1"/>
  <c r="AE17" i="1" s="1"/>
  <c r="BR16" i="1"/>
  <c r="AD16" i="1"/>
  <c r="AE16" i="1" s="1"/>
  <c r="BR15" i="1"/>
  <c r="AD15" i="1"/>
  <c r="AE15" i="1" s="1"/>
  <c r="AH16" i="1"/>
  <c r="AI16" i="1" s="1"/>
  <c r="AD12" i="1"/>
  <c r="AE12" i="1" s="1"/>
  <c r="BR12" i="1"/>
  <c r="AH15" i="1"/>
  <c r="AI15" i="1" s="1"/>
  <c r="AS4" i="1" l="1"/>
  <c r="AU4" i="1"/>
  <c r="AT4" i="1"/>
  <c r="BI5" i="1" l="1"/>
  <c r="AG5" i="1" s="1"/>
  <c r="BI6" i="1"/>
  <c r="AG6" i="1" s="1"/>
  <c r="BI7" i="1"/>
  <c r="AG7" i="1" s="1"/>
  <c r="BI9" i="1"/>
  <c r="AG9" i="1" s="1"/>
  <c r="BI10" i="1"/>
  <c r="AG10" i="1" s="1"/>
  <c r="BI11" i="1"/>
  <c r="AG11" i="1" s="1"/>
  <c r="BI4" i="1"/>
  <c r="AG4" i="1" s="1"/>
  <c r="AB5" i="1"/>
  <c r="AR5" i="1" s="1"/>
  <c r="AB6" i="1"/>
  <c r="AB7" i="1"/>
  <c r="AB8" i="1"/>
  <c r="AB9" i="1"/>
  <c r="AB10" i="1"/>
  <c r="AB11" i="1"/>
  <c r="Z5" i="1"/>
  <c r="AP5" i="1" s="1"/>
  <c r="Z6" i="1"/>
  <c r="AP6" i="1" s="1"/>
  <c r="Z7" i="1"/>
  <c r="AP7" i="1" s="1"/>
  <c r="Z8" i="1"/>
  <c r="AP8" i="1" s="1"/>
  <c r="Z9" i="1"/>
  <c r="AP9" i="1" s="1"/>
  <c r="Z10" i="1"/>
  <c r="AP10" i="1" s="1"/>
  <c r="Z11" i="1"/>
  <c r="AP11" i="1" s="1"/>
  <c r="D5" i="1"/>
  <c r="D6" i="1"/>
  <c r="D7" i="1"/>
  <c r="D8" i="1"/>
  <c r="D9" i="1"/>
  <c r="D10" i="1"/>
  <c r="D11" i="1"/>
  <c r="D4" i="1"/>
  <c r="AB4" i="1"/>
  <c r="Z4" i="1"/>
  <c r="AP4" i="1" s="1"/>
  <c r="AQ11" i="1"/>
  <c r="O11" i="1"/>
  <c r="AQ10" i="1"/>
  <c r="O10" i="1"/>
  <c r="AQ4" i="1"/>
  <c r="AQ9" i="1"/>
  <c r="O9" i="1"/>
  <c r="BI8" i="1"/>
  <c r="AG8" i="1" s="1"/>
  <c r="AQ8" i="1"/>
  <c r="O8" i="1"/>
  <c r="AQ7" i="1"/>
  <c r="O7" i="1"/>
  <c r="AQ6" i="1"/>
  <c r="O6" i="1"/>
  <c r="AQ5" i="1"/>
  <c r="O5" i="1"/>
  <c r="O4" i="1"/>
  <c r="BR5" i="1" l="1"/>
  <c r="BO5" i="1"/>
  <c r="AD5" i="1"/>
  <c r="AE5" i="1" s="1"/>
  <c r="AK5" i="1"/>
  <c r="AL10" i="1"/>
  <c r="AK4" i="1"/>
  <c r="AK9" i="1"/>
  <c r="AL8" i="1"/>
  <c r="AL11" i="1"/>
  <c r="AL7" i="1"/>
  <c r="AR6" i="1"/>
  <c r="AH5" i="1"/>
  <c r="AI5" i="1" s="1"/>
  <c r="AR10" i="1"/>
  <c r="AR8" i="1"/>
  <c r="AL6" i="1"/>
  <c r="AK11" i="1"/>
  <c r="AK10" i="1"/>
  <c r="AK8" i="1"/>
  <c r="AR11" i="1"/>
  <c r="AL9" i="1"/>
  <c r="AR9" i="1"/>
  <c r="AK7" i="1"/>
  <c r="AL5" i="1"/>
  <c r="AR7" i="1"/>
  <c r="AK6" i="1"/>
  <c r="AN4" i="1"/>
  <c r="AO4" i="1"/>
  <c r="AL4" i="1"/>
  <c r="AR4" i="1"/>
  <c r="BR8" i="1" l="1"/>
  <c r="BO8" i="1"/>
  <c r="BR10" i="1"/>
  <c r="BO10" i="1"/>
  <c r="BR4" i="1"/>
  <c r="BO4" i="1"/>
  <c r="BR6" i="1"/>
  <c r="BO6" i="1"/>
  <c r="BO7" i="1"/>
  <c r="BR7" i="1"/>
  <c r="BR9" i="1"/>
  <c r="BO9" i="1"/>
  <c r="BR11" i="1"/>
  <c r="BO11" i="1"/>
  <c r="AD7" i="1"/>
  <c r="AE7" i="1" s="1"/>
  <c r="AD8" i="1"/>
  <c r="AE8" i="1" s="1"/>
  <c r="AD4" i="1"/>
  <c r="AE4" i="1" s="1"/>
  <c r="AD10" i="1"/>
  <c r="AE10" i="1" s="1"/>
  <c r="AD9" i="1"/>
  <c r="AE9" i="1" s="1"/>
  <c r="AD11" i="1"/>
  <c r="AE11" i="1" s="1"/>
  <c r="AD6" i="1"/>
  <c r="AE6" i="1" s="1"/>
  <c r="AH7" i="1"/>
  <c r="AI7" i="1" s="1"/>
  <c r="AH9" i="1"/>
  <c r="AI9" i="1" s="1"/>
  <c r="AH6" i="1"/>
  <c r="AI6" i="1" s="1"/>
  <c r="AH4" i="1"/>
  <c r="AI4" i="1" s="1"/>
  <c r="AH10" i="1"/>
  <c r="AI10" i="1" s="1"/>
  <c r="AH11" i="1"/>
  <c r="AI11" i="1" s="1"/>
  <c r="AH8" i="1"/>
  <c r="AI8" i="1" s="1"/>
</calcChain>
</file>

<file path=xl/sharedStrings.xml><?xml version="1.0" encoding="utf-8"?>
<sst xmlns="http://schemas.openxmlformats.org/spreadsheetml/2006/main" count="242" uniqueCount="124">
  <si>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</si>
  <si>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</si>
  <si>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</si>
  <si>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</si>
  <si>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</si>
  <si>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</si>
  <si>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</si>
  <si>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</si>
  <si>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</si>
  <si>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</si>
  <si>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</si>
  <si>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</si>
  <si>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</si>
  <si>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</si>
  <si>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</si>
  <si>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</si>
  <si>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</si>
  <si>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</si>
  <si>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</si>
  <si>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</si>
  <si>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</si>
  <si>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</si>
  <si>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</si>
  <si>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</si>
  <si>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</si>
  <si>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</si>
  <si>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</si>
  <si>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</si>
  <si>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</si>
  <si>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</si>
  <si>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</si>
  <si>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</si>
  <si>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</si>
  <si>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</si>
  <si>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</si>
  <si>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</si>
  <si>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</si>
  <si>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</si>
  <si>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</si>
  <si>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</si>
  <si>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</si>
  <si>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</si>
  <si>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</si>
  <si>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</si>
  <si>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</si>
  <si>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</si>
  <si>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</si>
  <si>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</si>
  <si>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</si>
  <si>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</si>
  <si>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</si>
  <si>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</si>
  <si>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</si>
  <si>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</si>
  <si>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</si>
  <si>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</si>
  <si>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</si>
  <si>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</si>
  <si>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</si>
  <si>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</si>
  <si>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</si>
  <si>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</si>
  <si>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</si>
  <si>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</si>
  <si>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J712ML</t>
  </si>
  <si>
    <t>ｾｲﾆﾁ/ﾕﾆﾊﾟｯｸ厚口 E-8 100×140×0.08mm 100枚</t>
  </si>
  <si>
    <t>ｾｲﾆﾁ/ﾕﾆﾊﾟｯｸ K-4 280×400mm 100枚入/#6651100</t>
  </si>
  <si>
    <t>ｾｲﾆﾁ/ﾕﾆﾊﾟｯｸ 厚口 280*200*0.08mm I-8 100枚/#6651519</t>
  </si>
  <si>
    <t>ｾｲﾆﾁ/ﾕﾆﾊﾟｯｸ H-8 100枚入 0.08×170×240/#6651518</t>
  </si>
  <si>
    <t>ｾｲﾆﾁ/ﾕﾆﾊﾟｯｸ厚口 G-8 140*200*0.08mm 100枚/#6651517</t>
  </si>
  <si>
    <t>ｾｲﾆﾁ/ﾕﾆﾊﾟｯｸ厚口 L-8 340*480*0.08mm 100枚/#6651522</t>
  </si>
  <si>
    <t>ｾｲﾆﾁ/ﾕﾆﾊﾟｯｸ 厚口 J-8 240*340*0.08mm 100枚/#6651520</t>
  </si>
  <si>
    <t>ｾｲﾆﾁ/ﾕﾆﾊﾟｯｸ G-4 200mm×140mm×0.04mm 100枚</t>
  </si>
  <si>
    <t>34/571</t>
  </si>
  <si>
    <t>-</t>
    <phoneticPr fontId="2"/>
  </si>
  <si>
    <t>ユニパック（R）（チャック袋）　0.04mm厚　K-4　B4　280×400mm　1袋（100枚入）　生産日本社　セイニチ</t>
  </si>
  <si>
    <t>ユニパック（R）（チャック袋）　0.08mm厚　I-8　B5　200×280mm　1袋（100枚入）　生産日本社　セイニチ</t>
  </si>
  <si>
    <t>ユニパック（R）（チャック袋）　0.08mm厚　L-8　A3　340×480mm　1袋（100枚入）　生産日本社　セイニチ</t>
  </si>
  <si>
    <t>ユニパック（R）（チャック袋）　0.08mm厚　J-8　A4　240×340mm　1袋（100枚入）　生産日本社　セイニチ</t>
  </si>
  <si>
    <t>ユニパック（R）（チャック袋） 0.04mm厚 G-4 B6 140×200mm 1袋（100枚入） 生産日本社 セイニチ</t>
  </si>
  <si>
    <t>-</t>
  </si>
  <si>
    <t>1301608</t>
  </si>
  <si>
    <t>7964340</t>
  </si>
  <si>
    <t>2869105</t>
  </si>
  <si>
    <t>7964359</t>
  </si>
  <si>
    <t>7964241</t>
  </si>
  <si>
    <t>1袋（100枚入）</t>
  </si>
  <si>
    <t>5月
たの</t>
    <rPh sb="1" eb="2">
      <t>ガツ</t>
    </rPh>
    <phoneticPr fontId="2"/>
  </si>
  <si>
    <t>たの
ｽﾗｲﾄﾞ</t>
    <phoneticPr fontId="2"/>
  </si>
  <si>
    <t>5月
カウ</t>
    <rPh sb="1" eb="2">
      <t>ガツ</t>
    </rPh>
    <phoneticPr fontId="2"/>
  </si>
  <si>
    <t>カウ
ｽﾗｲﾄﾞ</t>
    <phoneticPr fontId="2"/>
  </si>
  <si>
    <t>中川製袋化工/PP食ﾊﾟﾝ袋 1斤(長) 100枚</t>
  </si>
  <si>
    <t>34/570</t>
  </si>
  <si>
    <t>1297354</t>
  </si>
  <si>
    <t>中川製袋化工　IPP袋　食パン1斤長　0.03×（125+120）×370　S022851　1袋（100枚入）</t>
  </si>
  <si>
    <t>中川製袋化工/PP食ﾊﾟﾝ袋 2斤 100枚</t>
  </si>
  <si>
    <t>1297381</t>
  </si>
  <si>
    <t>中川製袋化工　IPP袋　食パン2斤　0.03×（140+140）×480　S059379　1袋（100枚入）</t>
  </si>
  <si>
    <t>中川製袋化工/PP菓子ﾊﾟﾝ袋 小 200枚</t>
  </si>
  <si>
    <t>1297434</t>
  </si>
  <si>
    <t>1袋（200枚入）</t>
  </si>
  <si>
    <t>中川製袋化工　IPP袋　菓子パン小　0.025×150×180　S005194　1袋（200枚入）</t>
  </si>
  <si>
    <t>中川製袋化工/PP菓子ﾊﾟﾝ袋 中 200枚</t>
  </si>
  <si>
    <t>1297452</t>
  </si>
  <si>
    <t>中川製袋化工　IPP袋　菓子パン中　0.025×170×200　S159419　1袋（200枚入）</t>
  </si>
  <si>
    <t>中川製袋化工/PP菓子ﾊﾟﾝ袋 大 200枚</t>
  </si>
  <si>
    <t>1297443</t>
  </si>
  <si>
    <t>中川製袋化工　IPP袋　菓子パン大　0.025×180×230　S159421　1袋（200枚入）</t>
  </si>
  <si>
    <t>中川製袋化工/PP惣菜ﾊﾟﾝ袋 小 100枚</t>
  </si>
  <si>
    <t>U456740</t>
  </si>
  <si>
    <t>中川製袋化工 IPP袋 惣菜パン小 0.025×130×280mm S213376 1袋（100枚入）</t>
  </si>
  <si>
    <t>中川製袋化工/PP惣菜ﾊﾟﾝ袋 中 100枚</t>
  </si>
  <si>
    <t>U456739</t>
  </si>
  <si>
    <t>中川製袋化工 IPP袋 惣菜パン中 0.025×140×350mm S213378 1袋（100枚入）</t>
  </si>
  <si>
    <t>J478WK</t>
  </si>
  <si>
    <t>中川製袋化工/PPﾌﾗﾝｽﾊﾟﾝ袋 100枚入/SI60482</t>
  </si>
  <si>
    <t>J020WM</t>
  </si>
  <si>
    <t>中川製袋/ﾀｲﾖｰのﾎﾟﾘ袋 0.04 50号 30枚×30袋</t>
  </si>
  <si>
    <t>9709319</t>
  </si>
  <si>
    <t>1セット（150枚</t>
  </si>
  <si>
    <t>タイヨーのポリ袋（規格袋）　LLDPE・透明　0.04mm厚　大型サイズ　50号　500mm×700mm　1セット（150枚：30枚入×5袋）中川製袋化工</t>
  </si>
  <si>
    <t>6月売価</t>
    <rPh sb="1" eb="2">
      <t>ガツ</t>
    </rPh>
    <rPh sb="2" eb="4">
      <t>バイカ</t>
    </rPh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</si>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</sst>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S20"/>
  <sheetViews>
    <sheetView tabSelected="1" zoomScale="90" zoomScaleNormal="90" workbookViewId="0">
      <pane xSplit="7" ySplit="5" topLeftCell="M6" activePane="bottomRight" state="frozen"/>
      <selection pane="topRight" activeCell="G1" sqref="G1"/>
      <selection pane="bottomLeft" activeCell="A5" sqref="A5"/>
      <selection pane="bottomRight" activeCell="AJ20" sqref="AJ20"/>
    </sheetView>
  </sheetViews>
  <sheetFormatPr defaultRowHeight="18.75" outlineLevelCol="1" x14ac:dyDescent="0.4"/>
  <cols>
    <col min="1" max="1" width="4.625" customWidth="1"/>
    <col min="2" max="2" width="5.75" customWidth="1"/>
    <col min="3" max="5" width="7.62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5" width="7.125" customWidth="1"/>
    <col min="16" max="16" width="5" customWidth="1"/>
    <col min="17" max="24" width="7.625" hidden="1" customWidth="1" outlineLevel="1"/>
    <col min="25" max="25" width="6.25" customWidth="1" collapsed="1"/>
    <col min="26" max="28" width="6.25" customWidth="1"/>
    <col min="29" max="29" width="4.375" customWidth="1" collapsed="1"/>
    <col min="30" max="31" width="7.625" customWidth="1"/>
    <col min="32" max="32" width="6" customWidth="1"/>
    <col min="33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70" width="7.625" customWidth="1"/>
  </cols>
  <sheetData>
    <row r="1" spans="1:71" x14ac:dyDescent="0.4">
      <c r="C1" s="29" t="s">
        <v>49</v>
      </c>
      <c r="Y1" s="37" t="s">
        <v>46</v>
      </c>
      <c r="Z1" s="38"/>
      <c r="AA1" s="38"/>
      <c r="AB1" s="39"/>
    </row>
    <row r="2" spans="1:71" x14ac:dyDescent="0.4">
      <c r="C2" s="8" t="s">
        <v>33</v>
      </c>
      <c r="D2" s="9" t="s">
        <v>34</v>
      </c>
      <c r="E2" s="9" t="s">
        <v>35</v>
      </c>
      <c r="F2" s="10"/>
      <c r="G2" s="10"/>
      <c r="H2" s="31"/>
      <c r="I2" s="31"/>
      <c r="J2" s="34" t="s">
        <v>36</v>
      </c>
      <c r="K2" s="36"/>
      <c r="L2" s="34" t="s">
        <v>2</v>
      </c>
      <c r="M2" s="35"/>
      <c r="N2" s="35"/>
      <c r="O2" s="36"/>
      <c r="P2" s="11"/>
      <c r="Q2" s="30"/>
      <c r="R2" s="30"/>
      <c r="S2" s="30"/>
      <c r="T2" s="30"/>
      <c r="U2" s="30"/>
      <c r="V2" s="30"/>
      <c r="W2" s="30"/>
      <c r="X2" s="30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11"/>
      <c r="AG2" s="11"/>
      <c r="AH2" s="11"/>
      <c r="AI2" s="11"/>
      <c r="AJ2" s="22" t="s">
        <v>47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J2">
        <v>14</v>
      </c>
      <c r="BK2">
        <v>28</v>
      </c>
    </row>
    <row r="3" spans="1:71" ht="75" x14ac:dyDescent="0.4">
      <c r="A3" s="1" t="s">
        <v>57</v>
      </c>
      <c r="B3" s="1" t="s">
        <v>63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59</v>
      </c>
      <c r="I3" s="12" t="s">
        <v>60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53</v>
      </c>
      <c r="Q3" s="12" t="s">
        <v>20</v>
      </c>
      <c r="R3" s="12" t="s">
        <v>21</v>
      </c>
      <c r="S3" s="12" t="s">
        <v>54</v>
      </c>
      <c r="T3" s="12" t="s">
        <v>23</v>
      </c>
      <c r="U3" s="12" t="s">
        <v>24</v>
      </c>
      <c r="V3" s="12" t="s">
        <v>55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2" t="s">
        <v>50</v>
      </c>
      <c r="AG3" s="12" t="s">
        <v>45</v>
      </c>
      <c r="AH3" s="12" t="s">
        <v>61</v>
      </c>
      <c r="AI3" s="2" t="s">
        <v>16</v>
      </c>
      <c r="AJ3" s="13" t="s">
        <v>37</v>
      </c>
      <c r="AK3" s="2" t="s">
        <v>16</v>
      </c>
      <c r="AL3" s="2" t="s">
        <v>38</v>
      </c>
      <c r="AM3" s="26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62</v>
      </c>
      <c r="BH3" s="2" t="s">
        <v>121</v>
      </c>
      <c r="BI3" s="2" t="s">
        <v>15</v>
      </c>
      <c r="BJ3" s="18" t="s">
        <v>51</v>
      </c>
      <c r="BK3" s="18" t="s">
        <v>52</v>
      </c>
      <c r="BL3" s="15" t="s">
        <v>58</v>
      </c>
      <c r="BM3" s="32" t="s">
        <v>87</v>
      </c>
      <c r="BN3" s="32" t="s">
        <v>122</v>
      </c>
      <c r="BO3" s="33" t="s">
        <v>88</v>
      </c>
      <c r="BP3" s="33" t="s">
        <v>89</v>
      </c>
      <c r="BQ3" s="33" t="s">
        <v>123</v>
      </c>
      <c r="BR3" s="33" t="s">
        <v>90</v>
      </c>
      <c r="BS3" t="s">
        <v>56</v>
      </c>
    </row>
    <row r="4" spans="1:71" x14ac:dyDescent="0.4">
      <c r="A4" s="3">
        <v>1</v>
      </c>
      <c r="B4" s="3">
        <v>1</v>
      </c>
      <c r="C4" s="4">
        <v>168943</v>
      </c>
      <c r="D4" s="4" t="str">
        <f>TEXT(C4,"000000")</f>
        <v>168943</v>
      </c>
      <c r="E4" s="4">
        <v>168943</v>
      </c>
      <c r="F4" s="4" t="s">
        <v>65</v>
      </c>
      <c r="G4" s="5">
        <v>4909767114257</v>
      </c>
      <c r="H4" s="5"/>
      <c r="I4" s="5"/>
      <c r="J4" s="5">
        <v>1</v>
      </c>
      <c r="K4" s="5">
        <v>1</v>
      </c>
      <c r="L4" s="4">
        <v>0</v>
      </c>
      <c r="M4" s="4">
        <v>569</v>
      </c>
      <c r="N4" s="4">
        <v>424</v>
      </c>
      <c r="O4" s="6">
        <f t="shared" ref="O4:O20" si="0">1-N4/M4</f>
        <v>0.25483304042179267</v>
      </c>
      <c r="P4" s="4" t="s">
        <v>74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560</v>
      </c>
      <c r="AB4" s="4">
        <f>IF(AC4="",AA4,AA4*AC4)</f>
        <v>560</v>
      </c>
      <c r="AC4" s="4"/>
      <c r="AD4" s="21">
        <f t="shared" ref="AD4:AD11" si="1">ROUND(M4*AR4,0)</f>
        <v>752</v>
      </c>
      <c r="AE4" s="6">
        <f t="shared" ref="AE4" si="2">1-AB4/AD4</f>
        <v>0.25531914893617025</v>
      </c>
      <c r="AF4" s="4">
        <v>19.5</v>
      </c>
      <c r="AG4" s="4" t="str">
        <f>BI4</f>
        <v>-</v>
      </c>
      <c r="AH4" s="4" t="e">
        <f t="shared" ref="AH4:AH11" si="3">AG4*AR4</f>
        <v>#VALUE!</v>
      </c>
      <c r="AI4" s="6" t="e">
        <f t="shared" ref="AI4:AI20" si="4">1-AB4/AH4</f>
        <v>#VALUE!</v>
      </c>
      <c r="AJ4" s="7">
        <v>800</v>
      </c>
      <c r="AK4" s="6">
        <f t="shared" ref="AK4:AK11" si="5">1-AB4/AJ4</f>
        <v>0.30000000000000004</v>
      </c>
      <c r="AL4" s="4">
        <f t="shared" ref="AL4:AL11" si="6">AJ4-AB4</f>
        <v>240</v>
      </c>
      <c r="AM4" s="28"/>
      <c r="AN4" s="6" t="e">
        <f>1-AB4/AM4</f>
        <v>#DIV/0!</v>
      </c>
      <c r="AO4" s="4">
        <f>AM4-AB4</f>
        <v>-560</v>
      </c>
      <c r="AP4" s="6" t="e">
        <f t="shared" ref="AP4:AP11" si="7">Z4/L4</f>
        <v>#DIV/0!</v>
      </c>
      <c r="AQ4" s="6">
        <f t="shared" ref="AQ4:AQ11" si="8">AJ4/M4</f>
        <v>1.40597539543058</v>
      </c>
      <c r="AR4" s="6">
        <f t="shared" ref="AR4:AR11" si="9">AB4/N4</f>
        <v>1.320754716981132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 t="s">
        <v>73</v>
      </c>
      <c r="BC4" s="4" t="s">
        <v>80</v>
      </c>
      <c r="BD4" s="4"/>
      <c r="BE4" s="4"/>
      <c r="BF4" s="4" t="s">
        <v>80</v>
      </c>
      <c r="BG4" s="4" t="s">
        <v>80</v>
      </c>
      <c r="BH4" s="4" t="s">
        <v>80</v>
      </c>
      <c r="BI4" s="4" t="str">
        <f t="shared" ref="BI4:BI5" si="10">IF(BD4="",BH4,BD4/BE4*BH4)</f>
        <v>-</v>
      </c>
      <c r="BJ4" s="19">
        <v>4</v>
      </c>
      <c r="BK4" s="19">
        <v>1</v>
      </c>
      <c r="BL4" s="16">
        <v>18</v>
      </c>
      <c r="BM4">
        <v>560</v>
      </c>
      <c r="BN4">
        <v>560</v>
      </c>
      <c r="BO4">
        <f>IFERROR(BN4*AR4,"-")</f>
        <v>739.62264150943395</v>
      </c>
      <c r="BP4">
        <v>684</v>
      </c>
      <c r="BQ4">
        <v>684</v>
      </c>
      <c r="BR4">
        <f>IFERROR(BQ4*AR4,"-")</f>
        <v>903.39622641509425</v>
      </c>
      <c r="BS4" t="s">
        <v>80</v>
      </c>
    </row>
    <row r="5" spans="1:71" x14ac:dyDescent="0.4">
      <c r="A5" s="3">
        <v>2</v>
      </c>
      <c r="B5" s="3">
        <v>2</v>
      </c>
      <c r="C5" s="4">
        <v>633203</v>
      </c>
      <c r="D5" s="4" t="str">
        <f t="shared" ref="D5:D11" si="11">TEXT(C5,"000000")</f>
        <v>633203</v>
      </c>
      <c r="E5" s="4">
        <v>633203</v>
      </c>
      <c r="F5" s="4" t="s">
        <v>66</v>
      </c>
      <c r="G5" s="5">
        <v>4909767112116</v>
      </c>
      <c r="H5" s="5"/>
      <c r="I5" s="5"/>
      <c r="J5" s="5">
        <v>1</v>
      </c>
      <c r="K5" s="5">
        <v>1</v>
      </c>
      <c r="L5" s="4">
        <v>0</v>
      </c>
      <c r="M5" s="4">
        <v>1401</v>
      </c>
      <c r="N5" s="4">
        <v>1135</v>
      </c>
      <c r="O5" s="6">
        <f t="shared" si="0"/>
        <v>0.18986438258386862</v>
      </c>
      <c r="P5" s="4" t="s">
        <v>74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11" si="12">IF(AC5="",Y5,Y5*AC5)</f>
        <v>0</v>
      </c>
      <c r="AA5" s="4">
        <v>1525</v>
      </c>
      <c r="AB5" s="4">
        <f t="shared" ref="AB5:AB11" si="13">IF(AC5="",AA5,AA5*AC5)</f>
        <v>1525</v>
      </c>
      <c r="AC5" s="4"/>
      <c r="AD5" s="21">
        <f t="shared" si="1"/>
        <v>1882</v>
      </c>
      <c r="AE5" s="6">
        <f t="shared" ref="AE5" si="14">1-AB5/AD5</f>
        <v>0.18969181721572792</v>
      </c>
      <c r="AF5" s="4">
        <v>19.25</v>
      </c>
      <c r="AG5" s="4">
        <f t="shared" ref="AG5:AG11" si="15">BI5</f>
        <v>1757</v>
      </c>
      <c r="AH5" s="4">
        <f t="shared" si="3"/>
        <v>2360.7268722466961</v>
      </c>
      <c r="AI5" s="6">
        <f t="shared" si="4"/>
        <v>0.35401252134319861</v>
      </c>
      <c r="AJ5" s="7">
        <v>2350</v>
      </c>
      <c r="AK5" s="6">
        <f t="shared" si="5"/>
        <v>0.35106382978723405</v>
      </c>
      <c r="AL5" s="4">
        <f t="shared" si="6"/>
        <v>825</v>
      </c>
      <c r="AM5" s="28"/>
      <c r="AN5" s="6"/>
      <c r="AO5" s="6"/>
      <c r="AP5" s="6" t="e">
        <f t="shared" si="7"/>
        <v>#DIV/0!</v>
      </c>
      <c r="AQ5" s="6">
        <f t="shared" si="8"/>
        <v>1.6773733047822983</v>
      </c>
      <c r="AR5" s="6">
        <f t="shared" si="9"/>
        <v>1.3436123348017621</v>
      </c>
      <c r="AS5" s="4"/>
      <c r="AT5" s="4"/>
      <c r="AU5" s="4"/>
      <c r="AV5" s="4"/>
      <c r="AW5" s="4"/>
      <c r="AX5" s="4"/>
      <c r="AY5" s="4"/>
      <c r="AZ5" s="4"/>
      <c r="BA5" s="4"/>
      <c r="BB5" s="4" t="s">
        <v>73</v>
      </c>
      <c r="BC5" s="4" t="s">
        <v>81</v>
      </c>
      <c r="BD5" s="4"/>
      <c r="BE5" s="4"/>
      <c r="BF5" s="4" t="s">
        <v>86</v>
      </c>
      <c r="BG5" s="4">
        <v>1550</v>
      </c>
      <c r="BH5" s="4">
        <v>1757</v>
      </c>
      <c r="BI5" s="4">
        <f t="shared" si="10"/>
        <v>1757</v>
      </c>
      <c r="BJ5" s="19">
        <v>4</v>
      </c>
      <c r="BK5" s="19">
        <v>1</v>
      </c>
      <c r="BL5" s="16">
        <v>18</v>
      </c>
      <c r="BM5" t="s">
        <v>80</v>
      </c>
      <c r="BN5" t="s">
        <v>80</v>
      </c>
      <c r="BO5" t="str">
        <f t="shared" ref="BO5:BO20" si="16">IFERROR(BN5*AR5,"-")</f>
        <v>-</v>
      </c>
      <c r="BP5">
        <v>1980</v>
      </c>
      <c r="BQ5">
        <v>1980</v>
      </c>
      <c r="BR5">
        <f t="shared" ref="BR5:BR11" si="17">IFERROR(BQ5*AR5,"-")</f>
        <v>2660.3524229074892</v>
      </c>
      <c r="BS5" t="s">
        <v>75</v>
      </c>
    </row>
    <row r="6" spans="1:71" x14ac:dyDescent="0.4">
      <c r="A6" s="3">
        <v>3</v>
      </c>
      <c r="B6" s="3">
        <v>3</v>
      </c>
      <c r="C6" s="17">
        <v>675843</v>
      </c>
      <c r="D6" s="4" t="str">
        <f t="shared" si="11"/>
        <v>675843</v>
      </c>
      <c r="E6" s="4">
        <v>675843</v>
      </c>
      <c r="F6" s="4" t="s">
        <v>67</v>
      </c>
      <c r="G6" s="5">
        <v>4909767112291</v>
      </c>
      <c r="H6" s="5"/>
      <c r="I6" s="5"/>
      <c r="J6" s="5">
        <v>1</v>
      </c>
      <c r="K6" s="5">
        <v>1</v>
      </c>
      <c r="L6" s="4">
        <v>0</v>
      </c>
      <c r="M6" s="4">
        <v>1741</v>
      </c>
      <c r="N6" s="4">
        <v>1210</v>
      </c>
      <c r="O6" s="6">
        <f t="shared" si="0"/>
        <v>0.30499712808730617</v>
      </c>
      <c r="P6" s="4" t="s">
        <v>74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12"/>
        <v>0</v>
      </c>
      <c r="AA6" s="4">
        <v>1630</v>
      </c>
      <c r="AB6" s="4">
        <f t="shared" si="13"/>
        <v>1630</v>
      </c>
      <c r="AC6" s="4"/>
      <c r="AD6" s="21">
        <f t="shared" si="1"/>
        <v>2345</v>
      </c>
      <c r="AE6" s="6">
        <f t="shared" ref="AE6:AE20" si="18">1-AB6/AD6</f>
        <v>0.30490405117270791</v>
      </c>
      <c r="AF6" s="4">
        <v>5</v>
      </c>
      <c r="AG6" s="4">
        <f t="shared" si="15"/>
        <v>1584</v>
      </c>
      <c r="AH6" s="4">
        <f t="shared" si="3"/>
        <v>2133.8181818181815</v>
      </c>
      <c r="AI6" s="6">
        <f t="shared" si="4"/>
        <v>0.23611111111111105</v>
      </c>
      <c r="AJ6" s="7">
        <v>2340</v>
      </c>
      <c r="AK6" s="6">
        <f t="shared" si="5"/>
        <v>0.30341880341880345</v>
      </c>
      <c r="AL6" s="4">
        <f t="shared" si="6"/>
        <v>710</v>
      </c>
      <c r="AM6" s="28"/>
      <c r="AN6" s="6"/>
      <c r="AO6" s="6"/>
      <c r="AP6" s="6" t="e">
        <f t="shared" si="7"/>
        <v>#DIV/0!</v>
      </c>
      <c r="AQ6" s="6">
        <f t="shared" si="8"/>
        <v>1.344055140723722</v>
      </c>
      <c r="AR6" s="6">
        <f t="shared" si="9"/>
        <v>1.3471074380165289</v>
      </c>
      <c r="AS6" s="4"/>
      <c r="AT6" s="4"/>
      <c r="AU6" s="4"/>
      <c r="AV6" s="4"/>
      <c r="AW6" s="4"/>
      <c r="AX6" s="4"/>
      <c r="AY6" s="4"/>
      <c r="AZ6" s="4"/>
      <c r="BA6" s="4"/>
      <c r="BB6" s="4" t="s">
        <v>73</v>
      </c>
      <c r="BC6" s="4" t="s">
        <v>82</v>
      </c>
      <c r="BD6" s="4"/>
      <c r="BE6" s="4"/>
      <c r="BF6" s="4" t="s">
        <v>86</v>
      </c>
      <c r="BG6" s="4">
        <v>1369</v>
      </c>
      <c r="BH6" s="4">
        <v>1584</v>
      </c>
      <c r="BI6" s="4">
        <f t="shared" ref="BI6:BI11" si="19">IF(BD6="",BH6,BD6/BE6*BH6)</f>
        <v>1584</v>
      </c>
      <c r="BJ6" s="19">
        <v>4</v>
      </c>
      <c r="BK6" s="19">
        <v>1</v>
      </c>
      <c r="BL6" s="16">
        <v>18</v>
      </c>
      <c r="BM6">
        <v>1477</v>
      </c>
      <c r="BN6">
        <v>1477</v>
      </c>
      <c r="BO6">
        <f t="shared" si="16"/>
        <v>1989.6776859504132</v>
      </c>
      <c r="BP6">
        <v>2470</v>
      </c>
      <c r="BQ6" t="s">
        <v>80</v>
      </c>
      <c r="BR6" t="str">
        <f t="shared" si="17"/>
        <v>-</v>
      </c>
      <c r="BS6" t="s">
        <v>76</v>
      </c>
    </row>
    <row r="7" spans="1:71" x14ac:dyDescent="0.4">
      <c r="A7" s="3">
        <v>4</v>
      </c>
      <c r="B7" s="3">
        <v>4</v>
      </c>
      <c r="C7" s="17">
        <v>682755</v>
      </c>
      <c r="D7" s="4" t="str">
        <f t="shared" si="11"/>
        <v>682755</v>
      </c>
      <c r="E7" s="4">
        <v>682755</v>
      </c>
      <c r="F7" s="4" t="s">
        <v>68</v>
      </c>
      <c r="G7" s="5">
        <v>4909767112284</v>
      </c>
      <c r="H7" s="5"/>
      <c r="I7" s="5"/>
      <c r="J7" s="5">
        <v>1</v>
      </c>
      <c r="K7" s="5">
        <v>1</v>
      </c>
      <c r="L7" s="4">
        <v>0</v>
      </c>
      <c r="M7" s="4">
        <v>1236</v>
      </c>
      <c r="N7" s="4">
        <v>942</v>
      </c>
      <c r="O7" s="6">
        <f t="shared" si="0"/>
        <v>0.23786407766990292</v>
      </c>
      <c r="P7" s="4" t="s">
        <v>74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12"/>
        <v>0</v>
      </c>
      <c r="AA7" s="4">
        <v>1240</v>
      </c>
      <c r="AB7" s="4">
        <f t="shared" si="13"/>
        <v>1240</v>
      </c>
      <c r="AC7" s="4"/>
      <c r="AD7" s="21">
        <f t="shared" si="1"/>
        <v>1627</v>
      </c>
      <c r="AE7" s="6">
        <f t="shared" si="18"/>
        <v>0.23786109403810696</v>
      </c>
      <c r="AF7" s="4">
        <v>13.5</v>
      </c>
      <c r="AG7" s="4" t="str">
        <f t="shared" si="15"/>
        <v>-</v>
      </c>
      <c r="AH7" s="4" t="e">
        <f t="shared" si="3"/>
        <v>#VALUE!</v>
      </c>
      <c r="AI7" s="6" t="e">
        <f t="shared" si="4"/>
        <v>#VALUE!</v>
      </c>
      <c r="AJ7" s="7">
        <v>1700</v>
      </c>
      <c r="AK7" s="6">
        <f t="shared" si="5"/>
        <v>0.27058823529411768</v>
      </c>
      <c r="AL7" s="4">
        <f t="shared" si="6"/>
        <v>460</v>
      </c>
      <c r="AM7" s="28"/>
      <c r="AN7" s="6"/>
      <c r="AO7" s="6"/>
      <c r="AP7" s="6" t="e">
        <f t="shared" si="7"/>
        <v>#DIV/0!</v>
      </c>
      <c r="AQ7" s="6">
        <f t="shared" si="8"/>
        <v>1.3754045307443366</v>
      </c>
      <c r="AR7" s="6">
        <f t="shared" si="9"/>
        <v>1.316348195329087</v>
      </c>
      <c r="AS7" s="4"/>
      <c r="AT7" s="4"/>
      <c r="AU7" s="4"/>
      <c r="AV7" s="4"/>
      <c r="AW7" s="4"/>
      <c r="AX7" s="4"/>
      <c r="AY7" s="4"/>
      <c r="AZ7" s="4"/>
      <c r="BA7" s="4"/>
      <c r="BB7" s="4" t="s">
        <v>73</v>
      </c>
      <c r="BC7" s="4" t="s">
        <v>80</v>
      </c>
      <c r="BD7" s="4"/>
      <c r="BE7" s="4"/>
      <c r="BF7" s="4" t="s">
        <v>80</v>
      </c>
      <c r="BG7" s="4" t="s">
        <v>80</v>
      </c>
      <c r="BH7" s="4" t="s">
        <v>80</v>
      </c>
      <c r="BI7" s="4" t="str">
        <f t="shared" si="19"/>
        <v>-</v>
      </c>
      <c r="BJ7" s="19">
        <v>4</v>
      </c>
      <c r="BK7" s="19">
        <v>1</v>
      </c>
      <c r="BL7" s="16">
        <v>18</v>
      </c>
      <c r="BM7">
        <v>1133</v>
      </c>
      <c r="BN7">
        <v>1133</v>
      </c>
      <c r="BO7">
        <f t="shared" si="16"/>
        <v>1491.4225053078555</v>
      </c>
      <c r="BP7">
        <v>1150</v>
      </c>
      <c r="BQ7">
        <v>1150</v>
      </c>
      <c r="BR7">
        <f t="shared" si="17"/>
        <v>1513.8004246284499</v>
      </c>
      <c r="BS7" t="s">
        <v>80</v>
      </c>
    </row>
    <row r="8" spans="1:71" x14ac:dyDescent="0.4">
      <c r="A8" s="3">
        <v>5</v>
      </c>
      <c r="B8" s="3">
        <v>5</v>
      </c>
      <c r="C8" s="17">
        <v>684602</v>
      </c>
      <c r="D8" s="4" t="str">
        <f t="shared" si="11"/>
        <v>684602</v>
      </c>
      <c r="E8" s="4">
        <v>684602</v>
      </c>
      <c r="F8" s="4" t="s">
        <v>69</v>
      </c>
      <c r="G8" s="5">
        <v>4909767112277</v>
      </c>
      <c r="H8" s="5"/>
      <c r="I8" s="5"/>
      <c r="J8" s="5">
        <v>1</v>
      </c>
      <c r="K8" s="5">
        <v>1</v>
      </c>
      <c r="L8" s="4">
        <v>0</v>
      </c>
      <c r="M8" s="4">
        <v>926</v>
      </c>
      <c r="N8" s="4">
        <v>703</v>
      </c>
      <c r="O8" s="6">
        <f t="shared" si="0"/>
        <v>0.24082073434125273</v>
      </c>
      <c r="P8" s="4" t="s">
        <v>74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12"/>
        <v>0</v>
      </c>
      <c r="AA8" s="4">
        <v>940</v>
      </c>
      <c r="AB8" s="4">
        <f t="shared" si="13"/>
        <v>940</v>
      </c>
      <c r="AC8" s="4"/>
      <c r="AD8" s="21">
        <f t="shared" si="1"/>
        <v>1238</v>
      </c>
      <c r="AE8" s="6">
        <f t="shared" si="18"/>
        <v>0.24071082390953147</v>
      </c>
      <c r="AF8" s="4">
        <v>11.25</v>
      </c>
      <c r="AG8" s="4" t="str">
        <f t="shared" si="15"/>
        <v>-</v>
      </c>
      <c r="AH8" s="4" t="e">
        <f t="shared" si="3"/>
        <v>#VALUE!</v>
      </c>
      <c r="AI8" s="6" t="e">
        <f t="shared" si="4"/>
        <v>#VALUE!</v>
      </c>
      <c r="AJ8" s="7">
        <v>1350</v>
      </c>
      <c r="AK8" s="6">
        <f t="shared" si="5"/>
        <v>0.3037037037037037</v>
      </c>
      <c r="AL8" s="4">
        <f t="shared" si="6"/>
        <v>410</v>
      </c>
      <c r="AM8" s="28"/>
      <c r="AN8" s="6"/>
      <c r="AO8" s="6"/>
      <c r="AP8" s="6" t="e">
        <f t="shared" si="7"/>
        <v>#DIV/0!</v>
      </c>
      <c r="AQ8" s="6">
        <f t="shared" si="8"/>
        <v>1.4578833693304536</v>
      </c>
      <c r="AR8" s="6">
        <f t="shared" si="9"/>
        <v>1.337126600284495</v>
      </c>
      <c r="AS8" s="4"/>
      <c r="AT8" s="4"/>
      <c r="AU8" s="4"/>
      <c r="AV8" s="4"/>
      <c r="AW8" s="4"/>
      <c r="AX8" s="4"/>
      <c r="AY8" s="4"/>
      <c r="AZ8" s="4"/>
      <c r="BA8" s="4"/>
      <c r="BB8" s="4" t="s">
        <v>73</v>
      </c>
      <c r="BC8" s="4" t="s">
        <v>80</v>
      </c>
      <c r="BD8" s="4"/>
      <c r="BE8" s="4"/>
      <c r="BF8" s="4" t="s">
        <v>80</v>
      </c>
      <c r="BG8" s="4" t="s">
        <v>80</v>
      </c>
      <c r="BH8" s="4" t="s">
        <v>80</v>
      </c>
      <c r="BI8" s="4" t="str">
        <f t="shared" si="19"/>
        <v>-</v>
      </c>
      <c r="BJ8" s="19">
        <v>4</v>
      </c>
      <c r="BK8" s="19">
        <v>1</v>
      </c>
      <c r="BL8" s="16">
        <v>18</v>
      </c>
      <c r="BM8">
        <v>854</v>
      </c>
      <c r="BN8">
        <v>854</v>
      </c>
      <c r="BO8">
        <f t="shared" si="16"/>
        <v>1141.9061166429588</v>
      </c>
      <c r="BP8">
        <v>1400</v>
      </c>
      <c r="BQ8" t="s">
        <v>80</v>
      </c>
      <c r="BR8" t="str">
        <f t="shared" si="17"/>
        <v>-</v>
      </c>
      <c r="BS8" t="s">
        <v>80</v>
      </c>
    </row>
    <row r="9" spans="1:71" x14ac:dyDescent="0.4">
      <c r="A9" s="3">
        <v>6</v>
      </c>
      <c r="B9" s="3">
        <v>6</v>
      </c>
      <c r="C9" s="17">
        <v>684604</v>
      </c>
      <c r="D9" s="4" t="str">
        <f t="shared" si="11"/>
        <v>684604</v>
      </c>
      <c r="E9" s="4">
        <v>684604</v>
      </c>
      <c r="F9" s="4" t="s">
        <v>70</v>
      </c>
      <c r="G9" s="5">
        <v>4909767112321</v>
      </c>
      <c r="H9" s="5"/>
      <c r="I9" s="5"/>
      <c r="J9" s="5">
        <v>1</v>
      </c>
      <c r="K9" s="5">
        <v>1</v>
      </c>
      <c r="L9" s="4">
        <v>0</v>
      </c>
      <c r="M9" s="4">
        <v>4080</v>
      </c>
      <c r="N9" s="4">
        <v>2830</v>
      </c>
      <c r="O9" s="6">
        <f t="shared" si="0"/>
        <v>0.30637254901960786</v>
      </c>
      <c r="P9" s="4" t="s">
        <v>74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12"/>
        <v>0</v>
      </c>
      <c r="AA9" s="4">
        <v>3900</v>
      </c>
      <c r="AB9" s="4">
        <f t="shared" si="13"/>
        <v>3900</v>
      </c>
      <c r="AC9" s="4"/>
      <c r="AD9" s="21">
        <f t="shared" si="1"/>
        <v>5623</v>
      </c>
      <c r="AE9" s="6">
        <f t="shared" si="18"/>
        <v>0.3064200604659435</v>
      </c>
      <c r="AF9" s="4">
        <v>1.7500000000000002</v>
      </c>
      <c r="AG9" s="4">
        <f t="shared" si="15"/>
        <v>3518</v>
      </c>
      <c r="AH9" s="4">
        <f t="shared" si="3"/>
        <v>4848.1272084805651</v>
      </c>
      <c r="AI9" s="6">
        <f t="shared" si="4"/>
        <v>0.19556566230812955</v>
      </c>
      <c r="AJ9" s="7">
        <v>5500</v>
      </c>
      <c r="AK9" s="6">
        <f t="shared" si="5"/>
        <v>0.29090909090909089</v>
      </c>
      <c r="AL9" s="4">
        <f t="shared" si="6"/>
        <v>1600</v>
      </c>
      <c r="AM9" s="28"/>
      <c r="AN9" s="6"/>
      <c r="AO9" s="6"/>
      <c r="AP9" s="6" t="e">
        <f t="shared" si="7"/>
        <v>#DIV/0!</v>
      </c>
      <c r="AQ9" s="6">
        <f t="shared" si="8"/>
        <v>1.3480392156862746</v>
      </c>
      <c r="AR9" s="6">
        <f t="shared" si="9"/>
        <v>1.3780918727915195</v>
      </c>
      <c r="AS9" s="4"/>
      <c r="AT9" s="4"/>
      <c r="AU9" s="4"/>
      <c r="AV9" s="4"/>
      <c r="AW9" s="4"/>
      <c r="AX9" s="4"/>
      <c r="AY9" s="4"/>
      <c r="AZ9" s="4"/>
      <c r="BA9" s="4"/>
      <c r="BB9" s="4" t="s">
        <v>73</v>
      </c>
      <c r="BC9" s="4" t="s">
        <v>83</v>
      </c>
      <c r="BD9" s="4"/>
      <c r="BE9" s="4"/>
      <c r="BF9" s="4" t="s">
        <v>86</v>
      </c>
      <c r="BG9" s="4">
        <v>2939</v>
      </c>
      <c r="BH9" s="4">
        <v>3518</v>
      </c>
      <c r="BI9" s="4">
        <f t="shared" si="19"/>
        <v>3518</v>
      </c>
      <c r="BJ9" s="19">
        <v>4</v>
      </c>
      <c r="BK9" s="19">
        <v>1</v>
      </c>
      <c r="BL9" s="16">
        <v>18</v>
      </c>
      <c r="BM9">
        <v>3178</v>
      </c>
      <c r="BN9" t="s">
        <v>80</v>
      </c>
      <c r="BO9" t="str">
        <f t="shared" si="16"/>
        <v>-</v>
      </c>
      <c r="BP9">
        <v>5800</v>
      </c>
      <c r="BQ9" t="s">
        <v>80</v>
      </c>
      <c r="BR9" t="str">
        <f t="shared" si="17"/>
        <v>-</v>
      </c>
      <c r="BS9" t="s">
        <v>77</v>
      </c>
    </row>
    <row r="10" spans="1:71" x14ac:dyDescent="0.4">
      <c r="A10" s="3">
        <v>7</v>
      </c>
      <c r="B10" s="3">
        <v>7</v>
      </c>
      <c r="C10" s="4">
        <v>696605</v>
      </c>
      <c r="D10" s="4" t="str">
        <f t="shared" si="11"/>
        <v>696605</v>
      </c>
      <c r="E10" s="4">
        <v>696605</v>
      </c>
      <c r="F10" s="4" t="s">
        <v>71</v>
      </c>
      <c r="G10" s="5">
        <v>4909767112307</v>
      </c>
      <c r="H10" s="5"/>
      <c r="I10" s="5"/>
      <c r="J10" s="5">
        <v>1</v>
      </c>
      <c r="K10" s="5">
        <v>1</v>
      </c>
      <c r="L10" s="4">
        <v>0</v>
      </c>
      <c r="M10" s="4">
        <v>1844</v>
      </c>
      <c r="N10" s="4">
        <v>1528</v>
      </c>
      <c r="O10" s="6">
        <f t="shared" si="0"/>
        <v>0.17136659436008672</v>
      </c>
      <c r="P10" s="4" t="s">
        <v>74</v>
      </c>
      <c r="Q10" s="4"/>
      <c r="R10" s="4"/>
      <c r="S10" s="4"/>
      <c r="T10" s="4"/>
      <c r="U10" s="4"/>
      <c r="V10" s="4"/>
      <c r="W10" s="4"/>
      <c r="X10" s="4"/>
      <c r="Y10" s="4">
        <v>0</v>
      </c>
      <c r="Z10" s="4">
        <f t="shared" si="12"/>
        <v>0</v>
      </c>
      <c r="AA10" s="4">
        <v>2100</v>
      </c>
      <c r="AB10" s="4">
        <f t="shared" si="13"/>
        <v>2100</v>
      </c>
      <c r="AC10" s="4"/>
      <c r="AD10" s="21">
        <f t="shared" si="1"/>
        <v>2534</v>
      </c>
      <c r="AE10" s="6">
        <f t="shared" si="18"/>
        <v>0.17127071823204421</v>
      </c>
      <c r="AF10" s="4">
        <v>17.5</v>
      </c>
      <c r="AG10" s="4">
        <f t="shared" si="15"/>
        <v>2039</v>
      </c>
      <c r="AH10" s="4">
        <f t="shared" si="3"/>
        <v>2802.2905759162304</v>
      </c>
      <c r="AI10" s="6">
        <f t="shared" si="4"/>
        <v>0.25061304561059339</v>
      </c>
      <c r="AJ10" s="7">
        <v>2800</v>
      </c>
      <c r="AK10" s="6">
        <f t="shared" si="5"/>
        <v>0.25</v>
      </c>
      <c r="AL10" s="4">
        <f t="shared" si="6"/>
        <v>700</v>
      </c>
      <c r="AM10" s="28"/>
      <c r="AN10" s="6"/>
      <c r="AO10" s="6"/>
      <c r="AP10" s="6" t="e">
        <f t="shared" si="7"/>
        <v>#DIV/0!</v>
      </c>
      <c r="AQ10" s="6">
        <f t="shared" si="8"/>
        <v>1.5184381778741864</v>
      </c>
      <c r="AR10" s="6">
        <f t="shared" si="9"/>
        <v>1.37434554973822</v>
      </c>
      <c r="AS10" s="4"/>
      <c r="AT10" s="4"/>
      <c r="AU10" s="4"/>
      <c r="AV10" s="4"/>
      <c r="AW10" s="4"/>
      <c r="AX10" s="4"/>
      <c r="AY10" s="4"/>
      <c r="AZ10" s="4"/>
      <c r="BA10" s="4"/>
      <c r="BB10" s="4" t="s">
        <v>73</v>
      </c>
      <c r="BC10" s="4" t="s">
        <v>84</v>
      </c>
      <c r="BD10" s="4"/>
      <c r="BE10" s="4"/>
      <c r="BF10" s="4" t="s">
        <v>86</v>
      </c>
      <c r="BG10" s="4">
        <v>1739</v>
      </c>
      <c r="BH10" s="4">
        <v>2039</v>
      </c>
      <c r="BI10" s="4">
        <f t="shared" si="19"/>
        <v>2039</v>
      </c>
      <c r="BJ10" s="19">
        <v>4</v>
      </c>
      <c r="BK10" s="19">
        <v>1</v>
      </c>
      <c r="BL10" s="16">
        <v>18</v>
      </c>
      <c r="BM10">
        <v>1884</v>
      </c>
      <c r="BN10">
        <v>1884</v>
      </c>
      <c r="BO10">
        <f t="shared" si="16"/>
        <v>2589.2670157068064</v>
      </c>
      <c r="BP10">
        <v>1900</v>
      </c>
      <c r="BQ10" t="s">
        <v>80</v>
      </c>
      <c r="BR10" t="str">
        <f t="shared" si="17"/>
        <v>-</v>
      </c>
      <c r="BS10" t="s">
        <v>78</v>
      </c>
    </row>
    <row r="11" spans="1:71" x14ac:dyDescent="0.4">
      <c r="A11" s="3">
        <v>8</v>
      </c>
      <c r="B11" s="3">
        <v>8</v>
      </c>
      <c r="C11" s="4" t="s">
        <v>64</v>
      </c>
      <c r="D11" s="4" t="str">
        <f t="shared" si="11"/>
        <v>J712ML</v>
      </c>
      <c r="E11" s="4" t="s">
        <v>64</v>
      </c>
      <c r="F11" s="4" t="s">
        <v>72</v>
      </c>
      <c r="G11" s="5">
        <v>4909767114073</v>
      </c>
      <c r="H11" s="5"/>
      <c r="I11" s="5"/>
      <c r="J11" s="5">
        <v>1</v>
      </c>
      <c r="K11" s="5">
        <v>1</v>
      </c>
      <c r="L11" s="4">
        <v>0</v>
      </c>
      <c r="M11" s="4">
        <v>538</v>
      </c>
      <c r="N11" s="4">
        <v>408</v>
      </c>
      <c r="O11" s="6">
        <f t="shared" si="0"/>
        <v>0.24163568773234201</v>
      </c>
      <c r="P11" s="4" t="s">
        <v>74</v>
      </c>
      <c r="Q11" s="4"/>
      <c r="R11" s="4"/>
      <c r="S11" s="4"/>
      <c r="T11" s="4"/>
      <c r="U11" s="4"/>
      <c r="V11" s="4"/>
      <c r="W11" s="4"/>
      <c r="X11" s="4"/>
      <c r="Y11" s="4">
        <v>0</v>
      </c>
      <c r="Z11" s="4">
        <f t="shared" si="12"/>
        <v>0</v>
      </c>
      <c r="AA11" s="4">
        <v>540</v>
      </c>
      <c r="AB11" s="4">
        <f t="shared" si="13"/>
        <v>540</v>
      </c>
      <c r="AC11" s="4"/>
      <c r="AD11" s="21">
        <f t="shared" si="1"/>
        <v>712</v>
      </c>
      <c r="AE11" s="6">
        <f t="shared" si="18"/>
        <v>0.2415730337078652</v>
      </c>
      <c r="AF11" s="4">
        <v>56.999999999999993</v>
      </c>
      <c r="AG11" s="4">
        <f t="shared" si="15"/>
        <v>616</v>
      </c>
      <c r="AH11" s="4">
        <f t="shared" si="3"/>
        <v>815.29411764705878</v>
      </c>
      <c r="AI11" s="6">
        <f t="shared" si="4"/>
        <v>0.33766233766233766</v>
      </c>
      <c r="AJ11" s="7">
        <v>800</v>
      </c>
      <c r="AK11" s="6">
        <f t="shared" si="5"/>
        <v>0.32499999999999996</v>
      </c>
      <c r="AL11" s="4">
        <f t="shared" si="6"/>
        <v>260</v>
      </c>
      <c r="AM11" s="28"/>
      <c r="AN11" s="6"/>
      <c r="AO11" s="6"/>
      <c r="AP11" s="6" t="e">
        <f t="shared" si="7"/>
        <v>#DIV/0!</v>
      </c>
      <c r="AQ11" s="6">
        <f t="shared" si="8"/>
        <v>1.486988847583643</v>
      </c>
      <c r="AR11" s="6">
        <f t="shared" si="9"/>
        <v>1.3235294117647058</v>
      </c>
      <c r="AS11" s="4"/>
      <c r="AT11" s="4"/>
      <c r="AU11" s="4"/>
      <c r="AV11" s="4"/>
      <c r="AW11" s="4"/>
      <c r="AX11" s="4"/>
      <c r="AY11" s="4"/>
      <c r="AZ11" s="4"/>
      <c r="BA11" s="4"/>
      <c r="BB11" s="4" t="s">
        <v>73</v>
      </c>
      <c r="BC11" s="4" t="s">
        <v>85</v>
      </c>
      <c r="BD11" s="4"/>
      <c r="BE11" s="4"/>
      <c r="BF11" s="4" t="s">
        <v>86</v>
      </c>
      <c r="BG11" s="4">
        <v>556</v>
      </c>
      <c r="BH11" s="4">
        <v>616</v>
      </c>
      <c r="BI11" s="4">
        <f t="shared" si="19"/>
        <v>616</v>
      </c>
      <c r="BJ11" s="19">
        <v>4</v>
      </c>
      <c r="BK11" s="19">
        <v>1</v>
      </c>
      <c r="BL11" s="16">
        <v>18</v>
      </c>
      <c r="BM11">
        <v>596</v>
      </c>
      <c r="BN11">
        <v>596</v>
      </c>
      <c r="BO11">
        <f t="shared" si="16"/>
        <v>788.82352941176464</v>
      </c>
      <c r="BP11">
        <v>556</v>
      </c>
      <c r="BQ11">
        <v>695</v>
      </c>
      <c r="BR11">
        <f t="shared" si="17"/>
        <v>919.85294117647061</v>
      </c>
      <c r="BS11" t="s">
        <v>79</v>
      </c>
    </row>
    <row r="12" spans="1:71" x14ac:dyDescent="0.4">
      <c r="A12" s="3">
        <v>1</v>
      </c>
      <c r="B12" s="3">
        <v>1</v>
      </c>
      <c r="C12" s="4">
        <v>172510</v>
      </c>
      <c r="D12" s="4" t="str">
        <f>TEXT(C12,"000000")</f>
        <v>172510</v>
      </c>
      <c r="E12" s="4">
        <v>172510</v>
      </c>
      <c r="F12" s="4" t="s">
        <v>91</v>
      </c>
      <c r="G12" s="5">
        <v>4975816001205</v>
      </c>
      <c r="H12" s="5"/>
      <c r="I12" s="5"/>
      <c r="J12" s="5">
        <v>1</v>
      </c>
      <c r="K12" s="5">
        <v>1</v>
      </c>
      <c r="L12" s="4">
        <v>0</v>
      </c>
      <c r="M12" s="4">
        <v>483</v>
      </c>
      <c r="N12" s="4">
        <v>366</v>
      </c>
      <c r="O12" s="6">
        <f t="shared" si="0"/>
        <v>0.24223602484472051</v>
      </c>
      <c r="P12" s="4" t="s">
        <v>74</v>
      </c>
      <c r="Q12" s="4"/>
      <c r="R12" s="4"/>
      <c r="S12" s="4"/>
      <c r="T12" s="4"/>
      <c r="U12" s="4"/>
      <c r="V12" s="4"/>
      <c r="W12" s="4"/>
      <c r="X12" s="4"/>
      <c r="Y12" s="4">
        <v>0</v>
      </c>
      <c r="Z12" s="4">
        <f>IF(AC12="",Y12,Y12*AC12)</f>
        <v>0</v>
      </c>
      <c r="AA12" s="4">
        <v>500</v>
      </c>
      <c r="AB12" s="4">
        <f>IF(AC12="",AA12,AA12*AC12)</f>
        <v>500</v>
      </c>
      <c r="AC12" s="4"/>
      <c r="AD12" s="21">
        <f t="shared" ref="AD12:AD20" si="20">ROUND(M12*AR12,0)</f>
        <v>660</v>
      </c>
      <c r="AE12" s="6">
        <f t="shared" si="18"/>
        <v>0.24242424242424243</v>
      </c>
      <c r="AF12" s="4">
        <v>63.749999999999993</v>
      </c>
      <c r="AG12" s="4" t="str">
        <f>BI12</f>
        <v>-</v>
      </c>
      <c r="AH12" s="4" t="e">
        <f t="shared" ref="AH12:AH20" si="21">AG12*AR12</f>
        <v>#VALUE!</v>
      </c>
      <c r="AI12" s="6" t="e">
        <f t="shared" si="4"/>
        <v>#VALUE!</v>
      </c>
      <c r="AJ12" s="7">
        <v>770</v>
      </c>
      <c r="AK12" s="6">
        <f t="shared" ref="AK12:AK20" si="22">1-AB12/AJ12</f>
        <v>0.35064935064935066</v>
      </c>
      <c r="AL12" s="4">
        <f t="shared" ref="AL12:AL20" si="23">AJ12-AB12</f>
        <v>270</v>
      </c>
      <c r="AM12" s="28"/>
      <c r="AN12" s="6" t="e">
        <f>1-AB12/AM12</f>
        <v>#DIV/0!</v>
      </c>
      <c r="AO12" s="4">
        <f>AM12-AB12</f>
        <v>-500</v>
      </c>
      <c r="AP12" s="6" t="e">
        <f t="shared" ref="AP12:AP20" si="24">Z12/L12</f>
        <v>#DIV/0!</v>
      </c>
      <c r="AQ12" s="6">
        <f t="shared" ref="AQ12:AQ20" si="25">AJ12/M12</f>
        <v>1.5942028985507246</v>
      </c>
      <c r="AR12" s="6">
        <f t="shared" ref="AR12:AR20" si="26">AB12/N12</f>
        <v>1.3661202185792349</v>
      </c>
      <c r="AS12" s="4" t="str">
        <f>IFERROR(ROUND($AJ12*P12/$M12,0),"-")</f>
        <v>-</v>
      </c>
      <c r="AT12" s="4" t="str">
        <f>IF(Q12="","-",Q12)</f>
        <v>-</v>
      </c>
      <c r="AU12" s="4" t="str">
        <f>IF(R12="","-",R12)</f>
        <v>-</v>
      </c>
      <c r="AV12" s="4"/>
      <c r="AW12" s="4"/>
      <c r="AX12" s="4"/>
      <c r="AY12" s="4"/>
      <c r="AZ12" s="4"/>
      <c r="BA12" s="4"/>
      <c r="BB12" s="4" t="s">
        <v>92</v>
      </c>
      <c r="BC12" s="4" t="s">
        <v>93</v>
      </c>
      <c r="BD12" s="4"/>
      <c r="BE12" s="4"/>
      <c r="BF12" s="4" t="s">
        <v>86</v>
      </c>
      <c r="BG12" s="4">
        <v>772</v>
      </c>
      <c r="BH12" s="4" t="s">
        <v>80</v>
      </c>
      <c r="BI12" s="4" t="str">
        <f t="shared" ref="BI12:BI20" si="27">IF(BD12="",BH12,BD12/BE12*BH12)</f>
        <v>-</v>
      </c>
      <c r="BJ12" s="19">
        <v>4</v>
      </c>
      <c r="BK12" s="19">
        <v>1</v>
      </c>
      <c r="BL12" s="16">
        <v>18</v>
      </c>
      <c r="BM12" t="s">
        <v>74</v>
      </c>
      <c r="BN12" t="s">
        <v>80</v>
      </c>
      <c r="BO12" t="str">
        <f t="shared" si="16"/>
        <v>-</v>
      </c>
      <c r="BP12">
        <v>871</v>
      </c>
      <c r="BQ12" t="s">
        <v>80</v>
      </c>
      <c r="BR12" t="str">
        <f t="shared" ref="BR12:BR20" si="28">IFERROR(BQ12*AR12,"-")</f>
        <v>-</v>
      </c>
      <c r="BS12" t="s">
        <v>94</v>
      </c>
    </row>
    <row r="13" spans="1:71" x14ac:dyDescent="0.4">
      <c r="A13" s="3">
        <v>2</v>
      </c>
      <c r="B13" s="3">
        <v>2</v>
      </c>
      <c r="C13" s="4">
        <v>172511</v>
      </c>
      <c r="D13" s="4" t="str">
        <f t="shared" ref="D13:D20" si="29">TEXT(C13,"000000")</f>
        <v>172511</v>
      </c>
      <c r="E13" s="4">
        <v>172511</v>
      </c>
      <c r="F13" s="4" t="s">
        <v>95</v>
      </c>
      <c r="G13" s="5">
        <v>4975816004671</v>
      </c>
      <c r="H13" s="5"/>
      <c r="I13" s="5"/>
      <c r="J13" s="5">
        <v>1</v>
      </c>
      <c r="K13" s="5">
        <v>1</v>
      </c>
      <c r="L13" s="4">
        <v>0</v>
      </c>
      <c r="M13" s="4">
        <v>694</v>
      </c>
      <c r="N13" s="4">
        <v>526</v>
      </c>
      <c r="O13" s="6">
        <f t="shared" si="0"/>
        <v>0.24207492795389052</v>
      </c>
      <c r="P13" s="4" t="s">
        <v>74</v>
      </c>
      <c r="Q13" s="4"/>
      <c r="R13" s="4"/>
      <c r="S13" s="4"/>
      <c r="T13" s="4"/>
      <c r="U13" s="4"/>
      <c r="V13" s="4"/>
      <c r="W13" s="4"/>
      <c r="X13" s="4"/>
      <c r="Y13" s="4">
        <v>0</v>
      </c>
      <c r="Z13" s="4">
        <f t="shared" ref="Z13:Z20" si="30">IF(AC13="",Y13,Y13*AC13)</f>
        <v>0</v>
      </c>
      <c r="AA13" s="4">
        <v>720</v>
      </c>
      <c r="AB13" s="4">
        <f t="shared" ref="AB13:AB20" si="31">IF(AC13="",AA13,AA13*AC13)</f>
        <v>720</v>
      </c>
      <c r="AC13" s="4"/>
      <c r="AD13" s="21">
        <f t="shared" si="20"/>
        <v>950</v>
      </c>
      <c r="AE13" s="6">
        <f t="shared" si="18"/>
        <v>0.24210526315789471</v>
      </c>
      <c r="AF13" s="4">
        <v>1</v>
      </c>
      <c r="AG13" s="4" t="str">
        <f t="shared" ref="AG13:AG20" si="32">BI13</f>
        <v>-</v>
      </c>
      <c r="AH13" s="4" t="e">
        <f t="shared" si="21"/>
        <v>#VALUE!</v>
      </c>
      <c r="AI13" s="6" t="e">
        <f t="shared" si="4"/>
        <v>#VALUE!</v>
      </c>
      <c r="AJ13" s="7">
        <v>1110</v>
      </c>
      <c r="AK13" s="6">
        <f t="shared" si="22"/>
        <v>0.35135135135135132</v>
      </c>
      <c r="AL13" s="4">
        <f t="shared" si="23"/>
        <v>390</v>
      </c>
      <c r="AM13" s="28"/>
      <c r="AN13" s="6"/>
      <c r="AO13" s="6"/>
      <c r="AP13" s="6" t="e">
        <f t="shared" si="24"/>
        <v>#DIV/0!</v>
      </c>
      <c r="AQ13" s="6">
        <f t="shared" si="25"/>
        <v>1.5994236311239194</v>
      </c>
      <c r="AR13" s="6">
        <f t="shared" si="26"/>
        <v>1.3688212927756653</v>
      </c>
      <c r="AS13" s="4"/>
      <c r="AT13" s="4"/>
      <c r="AU13" s="4"/>
      <c r="AV13" s="4"/>
      <c r="AW13" s="4"/>
      <c r="AX13" s="4"/>
      <c r="AY13" s="4"/>
      <c r="AZ13" s="4"/>
      <c r="BA13" s="4"/>
      <c r="BB13" s="4" t="s">
        <v>92</v>
      </c>
      <c r="BC13" s="4" t="s">
        <v>96</v>
      </c>
      <c r="BD13" s="4"/>
      <c r="BE13" s="4"/>
      <c r="BF13" s="4" t="s">
        <v>86</v>
      </c>
      <c r="BG13" s="4">
        <v>1096</v>
      </c>
      <c r="BH13" s="4" t="s">
        <v>80</v>
      </c>
      <c r="BI13" s="4" t="str">
        <f t="shared" si="27"/>
        <v>-</v>
      </c>
      <c r="BJ13" s="19">
        <v>4</v>
      </c>
      <c r="BK13" s="19">
        <v>1</v>
      </c>
      <c r="BL13" s="16">
        <v>18</v>
      </c>
      <c r="BM13" t="s">
        <v>74</v>
      </c>
      <c r="BN13" t="s">
        <v>80</v>
      </c>
      <c r="BO13" t="str">
        <f t="shared" si="16"/>
        <v>-</v>
      </c>
      <c r="BP13">
        <v>1255</v>
      </c>
      <c r="BQ13" t="s">
        <v>80</v>
      </c>
      <c r="BR13" t="str">
        <f t="shared" si="28"/>
        <v>-</v>
      </c>
      <c r="BS13" t="s">
        <v>97</v>
      </c>
    </row>
    <row r="14" spans="1:71" x14ac:dyDescent="0.4">
      <c r="A14" s="3">
        <v>3</v>
      </c>
      <c r="B14" s="3">
        <v>3</v>
      </c>
      <c r="C14" s="17">
        <v>172512</v>
      </c>
      <c r="D14" s="4" t="str">
        <f t="shared" si="29"/>
        <v>172512</v>
      </c>
      <c r="E14" s="4">
        <v>172512</v>
      </c>
      <c r="F14" s="4" t="s">
        <v>98</v>
      </c>
      <c r="G14" s="5">
        <v>4975816001175</v>
      </c>
      <c r="H14" s="5"/>
      <c r="I14" s="5"/>
      <c r="J14" s="5">
        <v>1</v>
      </c>
      <c r="K14" s="5">
        <v>1</v>
      </c>
      <c r="L14" s="4">
        <v>0</v>
      </c>
      <c r="M14" s="4">
        <v>386</v>
      </c>
      <c r="N14" s="4">
        <v>280</v>
      </c>
      <c r="O14" s="6">
        <f t="shared" si="0"/>
        <v>0.27461139896373055</v>
      </c>
      <c r="P14" s="4" t="s">
        <v>74</v>
      </c>
      <c r="Q14" s="4"/>
      <c r="R14" s="4"/>
      <c r="S14" s="4"/>
      <c r="T14" s="4"/>
      <c r="U14" s="4"/>
      <c r="V14" s="4"/>
      <c r="W14" s="4"/>
      <c r="X14" s="4"/>
      <c r="Y14" s="4">
        <v>0</v>
      </c>
      <c r="Z14" s="4">
        <f t="shared" si="30"/>
        <v>0</v>
      </c>
      <c r="AA14" s="4">
        <v>390</v>
      </c>
      <c r="AB14" s="4">
        <f t="shared" si="31"/>
        <v>390</v>
      </c>
      <c r="AC14" s="4"/>
      <c r="AD14" s="21">
        <f t="shared" si="20"/>
        <v>538</v>
      </c>
      <c r="AE14" s="6">
        <f t="shared" si="18"/>
        <v>0.27509293680297398</v>
      </c>
      <c r="AF14" s="4">
        <v>57.75</v>
      </c>
      <c r="AG14" s="4" t="str">
        <f t="shared" si="32"/>
        <v>-</v>
      </c>
      <c r="AH14" s="4" t="e">
        <f t="shared" si="21"/>
        <v>#VALUE!</v>
      </c>
      <c r="AI14" s="6" t="e">
        <f t="shared" si="4"/>
        <v>#VALUE!</v>
      </c>
      <c r="AJ14" s="7">
        <v>600</v>
      </c>
      <c r="AK14" s="6">
        <f t="shared" si="22"/>
        <v>0.35</v>
      </c>
      <c r="AL14" s="4">
        <f t="shared" si="23"/>
        <v>210</v>
      </c>
      <c r="AM14" s="28"/>
      <c r="AN14" s="6"/>
      <c r="AO14" s="6"/>
      <c r="AP14" s="6" t="e">
        <f t="shared" si="24"/>
        <v>#DIV/0!</v>
      </c>
      <c r="AQ14" s="6">
        <f t="shared" si="25"/>
        <v>1.5544041450777202</v>
      </c>
      <c r="AR14" s="6">
        <f t="shared" si="26"/>
        <v>1.3928571428571428</v>
      </c>
      <c r="AS14" s="4"/>
      <c r="AT14" s="4"/>
      <c r="AU14" s="4"/>
      <c r="AV14" s="4"/>
      <c r="AW14" s="4"/>
      <c r="AX14" s="4"/>
      <c r="AY14" s="4"/>
      <c r="AZ14" s="4"/>
      <c r="BA14" s="4"/>
      <c r="BB14" s="4" t="s">
        <v>92</v>
      </c>
      <c r="BC14" s="4" t="s">
        <v>99</v>
      </c>
      <c r="BD14" s="4"/>
      <c r="BE14" s="4"/>
      <c r="BF14" s="4" t="s">
        <v>100</v>
      </c>
      <c r="BG14" s="4">
        <v>506</v>
      </c>
      <c r="BH14" s="4" t="s">
        <v>80</v>
      </c>
      <c r="BI14" s="4" t="str">
        <f t="shared" si="27"/>
        <v>-</v>
      </c>
      <c r="BJ14" s="19">
        <v>4</v>
      </c>
      <c r="BK14" s="19">
        <v>1</v>
      </c>
      <c r="BL14" s="16">
        <v>18</v>
      </c>
      <c r="BM14" t="s">
        <v>74</v>
      </c>
      <c r="BN14" t="s">
        <v>80</v>
      </c>
      <c r="BO14" t="str">
        <f t="shared" si="16"/>
        <v>-</v>
      </c>
      <c r="BP14">
        <v>560</v>
      </c>
      <c r="BQ14" t="s">
        <v>80</v>
      </c>
      <c r="BR14" t="str">
        <f t="shared" si="28"/>
        <v>-</v>
      </c>
      <c r="BS14" t="s">
        <v>101</v>
      </c>
    </row>
    <row r="15" spans="1:71" x14ac:dyDescent="0.4">
      <c r="A15" s="3">
        <v>4</v>
      </c>
      <c r="B15" s="3">
        <v>4</v>
      </c>
      <c r="C15" s="17">
        <v>172513</v>
      </c>
      <c r="D15" s="4" t="str">
        <f t="shared" si="29"/>
        <v>172513</v>
      </c>
      <c r="E15" s="4">
        <v>172513</v>
      </c>
      <c r="F15" s="4" t="s">
        <v>102</v>
      </c>
      <c r="G15" s="5">
        <v>4975816009676</v>
      </c>
      <c r="H15" s="5"/>
      <c r="I15" s="5"/>
      <c r="J15" s="5">
        <v>1</v>
      </c>
      <c r="K15" s="5">
        <v>1</v>
      </c>
      <c r="L15" s="4">
        <v>0</v>
      </c>
      <c r="M15" s="4">
        <v>435</v>
      </c>
      <c r="N15" s="4">
        <v>330</v>
      </c>
      <c r="O15" s="6">
        <f t="shared" si="0"/>
        <v>0.24137931034482762</v>
      </c>
      <c r="P15" s="4" t="s">
        <v>74</v>
      </c>
      <c r="Q15" s="4"/>
      <c r="R15" s="4"/>
      <c r="S15" s="4"/>
      <c r="T15" s="4"/>
      <c r="U15" s="4"/>
      <c r="V15" s="4"/>
      <c r="W15" s="4"/>
      <c r="X15" s="4"/>
      <c r="Y15" s="4">
        <v>0</v>
      </c>
      <c r="Z15" s="4">
        <f t="shared" si="30"/>
        <v>0</v>
      </c>
      <c r="AA15" s="4">
        <v>460</v>
      </c>
      <c r="AB15" s="4">
        <f t="shared" si="31"/>
        <v>460</v>
      </c>
      <c r="AC15" s="4"/>
      <c r="AD15" s="21">
        <f t="shared" si="20"/>
        <v>606</v>
      </c>
      <c r="AE15" s="6">
        <f t="shared" si="18"/>
        <v>0.24092409240924095</v>
      </c>
      <c r="AF15" s="4">
        <v>23.25</v>
      </c>
      <c r="AG15" s="4" t="str">
        <f t="shared" si="32"/>
        <v>-</v>
      </c>
      <c r="AH15" s="4" t="e">
        <f t="shared" si="21"/>
        <v>#VALUE!</v>
      </c>
      <c r="AI15" s="6" t="e">
        <f t="shared" si="4"/>
        <v>#VALUE!</v>
      </c>
      <c r="AJ15" s="7">
        <v>710</v>
      </c>
      <c r="AK15" s="6">
        <f t="shared" si="22"/>
        <v>0.352112676056338</v>
      </c>
      <c r="AL15" s="4">
        <f t="shared" si="23"/>
        <v>250</v>
      </c>
      <c r="AM15" s="28"/>
      <c r="AN15" s="6"/>
      <c r="AO15" s="6"/>
      <c r="AP15" s="6" t="e">
        <f t="shared" si="24"/>
        <v>#DIV/0!</v>
      </c>
      <c r="AQ15" s="6">
        <f t="shared" si="25"/>
        <v>1.632183908045977</v>
      </c>
      <c r="AR15" s="6">
        <f t="shared" si="26"/>
        <v>1.393939393939394</v>
      </c>
      <c r="AS15" s="4"/>
      <c r="AT15" s="4"/>
      <c r="AU15" s="4"/>
      <c r="AV15" s="4"/>
      <c r="AW15" s="4"/>
      <c r="AX15" s="4"/>
      <c r="AY15" s="4"/>
      <c r="AZ15" s="4"/>
      <c r="BA15" s="4"/>
      <c r="BB15" s="4" t="s">
        <v>92</v>
      </c>
      <c r="BC15" s="4" t="s">
        <v>103</v>
      </c>
      <c r="BD15" s="4"/>
      <c r="BE15" s="4"/>
      <c r="BF15" s="4" t="s">
        <v>100</v>
      </c>
      <c r="BG15" s="4">
        <v>556</v>
      </c>
      <c r="BH15" s="4" t="s">
        <v>80</v>
      </c>
      <c r="BI15" s="4" t="str">
        <f t="shared" si="27"/>
        <v>-</v>
      </c>
      <c r="BJ15" s="19">
        <v>4</v>
      </c>
      <c r="BK15" s="19">
        <v>1</v>
      </c>
      <c r="BL15" s="16">
        <v>18</v>
      </c>
      <c r="BM15" t="s">
        <v>74</v>
      </c>
      <c r="BN15" t="s">
        <v>80</v>
      </c>
      <c r="BO15" t="str">
        <f t="shared" si="16"/>
        <v>-</v>
      </c>
      <c r="BP15">
        <v>633</v>
      </c>
      <c r="BQ15" t="s">
        <v>80</v>
      </c>
      <c r="BR15" t="str">
        <f t="shared" si="28"/>
        <v>-</v>
      </c>
      <c r="BS15" t="s">
        <v>104</v>
      </c>
    </row>
    <row r="16" spans="1:71" x14ac:dyDescent="0.4">
      <c r="A16" s="3">
        <v>5</v>
      </c>
      <c r="B16" s="3">
        <v>5</v>
      </c>
      <c r="C16" s="17">
        <v>172514</v>
      </c>
      <c r="D16" s="4" t="str">
        <f t="shared" si="29"/>
        <v>172514</v>
      </c>
      <c r="E16" s="4">
        <v>172514</v>
      </c>
      <c r="F16" s="4" t="s">
        <v>105</v>
      </c>
      <c r="G16" s="5">
        <v>4975816009669</v>
      </c>
      <c r="H16" s="5"/>
      <c r="I16" s="5"/>
      <c r="J16" s="5">
        <v>1</v>
      </c>
      <c r="K16" s="5">
        <v>1</v>
      </c>
      <c r="L16" s="4">
        <v>0</v>
      </c>
      <c r="M16" s="4">
        <v>515</v>
      </c>
      <c r="N16" s="4">
        <v>390</v>
      </c>
      <c r="O16" s="6">
        <f t="shared" si="0"/>
        <v>0.24271844660194175</v>
      </c>
      <c r="P16" s="4" t="s">
        <v>74</v>
      </c>
      <c r="Q16" s="4"/>
      <c r="R16" s="4"/>
      <c r="S16" s="4"/>
      <c r="T16" s="4"/>
      <c r="U16" s="4"/>
      <c r="V16" s="4"/>
      <c r="W16" s="4"/>
      <c r="X16" s="4"/>
      <c r="Y16" s="4">
        <v>0</v>
      </c>
      <c r="Z16" s="4">
        <f t="shared" si="30"/>
        <v>0</v>
      </c>
      <c r="AA16" s="4">
        <v>540</v>
      </c>
      <c r="AB16" s="4">
        <f t="shared" si="31"/>
        <v>540</v>
      </c>
      <c r="AC16" s="4"/>
      <c r="AD16" s="21">
        <f t="shared" si="20"/>
        <v>713</v>
      </c>
      <c r="AE16" s="6">
        <f t="shared" si="18"/>
        <v>0.24263674614305752</v>
      </c>
      <c r="AF16" s="4">
        <v>28.999999999999996</v>
      </c>
      <c r="AG16" s="4" t="str">
        <f t="shared" si="32"/>
        <v>-</v>
      </c>
      <c r="AH16" s="4" t="e">
        <f t="shared" si="21"/>
        <v>#VALUE!</v>
      </c>
      <c r="AI16" s="6" t="e">
        <f t="shared" si="4"/>
        <v>#VALUE!</v>
      </c>
      <c r="AJ16" s="7">
        <v>830</v>
      </c>
      <c r="AK16" s="6">
        <f t="shared" si="22"/>
        <v>0.3493975903614458</v>
      </c>
      <c r="AL16" s="4">
        <f t="shared" si="23"/>
        <v>290</v>
      </c>
      <c r="AM16" s="28"/>
      <c r="AN16" s="6"/>
      <c r="AO16" s="6"/>
      <c r="AP16" s="6" t="e">
        <f t="shared" si="24"/>
        <v>#DIV/0!</v>
      </c>
      <c r="AQ16" s="6">
        <f t="shared" si="25"/>
        <v>1.6116504854368932</v>
      </c>
      <c r="AR16" s="6">
        <f t="shared" si="26"/>
        <v>1.3846153846153846</v>
      </c>
      <c r="AS16" s="4"/>
      <c r="AT16" s="4"/>
      <c r="AU16" s="4"/>
      <c r="AV16" s="4"/>
      <c r="AW16" s="4"/>
      <c r="AX16" s="4"/>
      <c r="AY16" s="4"/>
      <c r="AZ16" s="4"/>
      <c r="BA16" s="4"/>
      <c r="BB16" s="4" t="s">
        <v>92</v>
      </c>
      <c r="BC16" s="4" t="s">
        <v>106</v>
      </c>
      <c r="BD16" s="4"/>
      <c r="BE16" s="4"/>
      <c r="BF16" s="4" t="s">
        <v>100</v>
      </c>
      <c r="BG16" s="4">
        <v>667</v>
      </c>
      <c r="BH16" s="4" t="s">
        <v>80</v>
      </c>
      <c r="BI16" s="4" t="str">
        <f t="shared" si="27"/>
        <v>-</v>
      </c>
      <c r="BJ16" s="19">
        <v>4</v>
      </c>
      <c r="BK16" s="19">
        <v>1</v>
      </c>
      <c r="BL16" s="16">
        <v>18</v>
      </c>
      <c r="BM16" t="s">
        <v>74</v>
      </c>
      <c r="BN16" t="s">
        <v>80</v>
      </c>
      <c r="BO16" t="str">
        <f t="shared" si="16"/>
        <v>-</v>
      </c>
      <c r="BP16" t="s">
        <v>80</v>
      </c>
      <c r="BQ16" t="s">
        <v>80</v>
      </c>
      <c r="BR16" t="str">
        <f t="shared" si="28"/>
        <v>-</v>
      </c>
      <c r="BS16" t="s">
        <v>107</v>
      </c>
    </row>
    <row r="17" spans="1:71" x14ac:dyDescent="0.4">
      <c r="A17" s="3">
        <v>6</v>
      </c>
      <c r="B17" s="3">
        <v>6</v>
      </c>
      <c r="C17" s="17">
        <v>172515</v>
      </c>
      <c r="D17" s="4" t="str">
        <f t="shared" si="29"/>
        <v>172515</v>
      </c>
      <c r="E17" s="4">
        <v>172515</v>
      </c>
      <c r="F17" s="4" t="s">
        <v>108</v>
      </c>
      <c r="G17" s="5">
        <v>4975816014403</v>
      </c>
      <c r="H17" s="5"/>
      <c r="I17" s="5"/>
      <c r="J17" s="5">
        <v>1</v>
      </c>
      <c r="K17" s="5">
        <v>1</v>
      </c>
      <c r="L17" s="4">
        <v>0</v>
      </c>
      <c r="M17" s="4">
        <v>189</v>
      </c>
      <c r="N17" s="4">
        <v>145</v>
      </c>
      <c r="O17" s="6">
        <f t="shared" si="0"/>
        <v>0.23280423280423279</v>
      </c>
      <c r="P17" s="4" t="s">
        <v>74</v>
      </c>
      <c r="Q17" s="4"/>
      <c r="R17" s="4"/>
      <c r="S17" s="4"/>
      <c r="T17" s="4"/>
      <c r="U17" s="4"/>
      <c r="V17" s="4"/>
      <c r="W17" s="4"/>
      <c r="X17" s="4"/>
      <c r="Y17" s="4">
        <v>0</v>
      </c>
      <c r="Z17" s="4">
        <f t="shared" si="30"/>
        <v>0</v>
      </c>
      <c r="AA17" s="4">
        <v>205</v>
      </c>
      <c r="AB17" s="4">
        <f t="shared" si="31"/>
        <v>205</v>
      </c>
      <c r="AC17" s="4"/>
      <c r="AD17" s="21">
        <f t="shared" si="20"/>
        <v>267</v>
      </c>
      <c r="AE17" s="6">
        <f t="shared" si="18"/>
        <v>0.23220973782771537</v>
      </c>
      <c r="AF17" s="4">
        <v>20.75</v>
      </c>
      <c r="AG17" s="4" t="str">
        <f t="shared" si="32"/>
        <v>-</v>
      </c>
      <c r="AH17" s="4" t="e">
        <f t="shared" si="21"/>
        <v>#VALUE!</v>
      </c>
      <c r="AI17" s="6" t="e">
        <f t="shared" si="4"/>
        <v>#VALUE!</v>
      </c>
      <c r="AJ17" s="7">
        <v>315</v>
      </c>
      <c r="AK17" s="6">
        <f t="shared" si="22"/>
        <v>0.34920634920634919</v>
      </c>
      <c r="AL17" s="4">
        <f t="shared" si="23"/>
        <v>110</v>
      </c>
      <c r="AM17" s="28"/>
      <c r="AN17" s="6"/>
      <c r="AO17" s="6"/>
      <c r="AP17" s="6" t="e">
        <f t="shared" si="24"/>
        <v>#DIV/0!</v>
      </c>
      <c r="AQ17" s="6">
        <f t="shared" si="25"/>
        <v>1.6666666666666667</v>
      </c>
      <c r="AR17" s="6">
        <f t="shared" si="26"/>
        <v>1.4137931034482758</v>
      </c>
      <c r="AS17" s="4"/>
      <c r="AT17" s="4"/>
      <c r="AU17" s="4"/>
      <c r="AV17" s="4"/>
      <c r="AW17" s="4"/>
      <c r="AX17" s="4"/>
      <c r="AY17" s="4"/>
      <c r="AZ17" s="4"/>
      <c r="BA17" s="4"/>
      <c r="BB17" s="4" t="s">
        <v>92</v>
      </c>
      <c r="BC17" s="4" t="s">
        <v>109</v>
      </c>
      <c r="BD17" s="4"/>
      <c r="BE17" s="4"/>
      <c r="BF17" s="4" t="s">
        <v>86</v>
      </c>
      <c r="BG17" s="4">
        <v>379</v>
      </c>
      <c r="BH17" s="4" t="s">
        <v>80</v>
      </c>
      <c r="BI17" s="4" t="str">
        <f t="shared" si="27"/>
        <v>-</v>
      </c>
      <c r="BJ17" s="19">
        <v>4</v>
      </c>
      <c r="BK17" s="19">
        <v>1</v>
      </c>
      <c r="BL17" s="16">
        <v>18</v>
      </c>
      <c r="BM17" t="s">
        <v>74</v>
      </c>
      <c r="BN17" t="s">
        <v>80</v>
      </c>
      <c r="BO17" t="str">
        <f t="shared" si="16"/>
        <v>-</v>
      </c>
      <c r="BP17" t="s">
        <v>80</v>
      </c>
      <c r="BQ17" t="s">
        <v>80</v>
      </c>
      <c r="BR17" t="str">
        <f t="shared" si="28"/>
        <v>-</v>
      </c>
      <c r="BS17" t="s">
        <v>110</v>
      </c>
    </row>
    <row r="18" spans="1:71" x14ac:dyDescent="0.4">
      <c r="A18" s="3">
        <v>7</v>
      </c>
      <c r="B18" s="3">
        <v>7</v>
      </c>
      <c r="C18" s="4">
        <v>172516</v>
      </c>
      <c r="D18" s="4" t="str">
        <f t="shared" si="29"/>
        <v>172516</v>
      </c>
      <c r="E18" s="4">
        <v>172516</v>
      </c>
      <c r="F18" s="4" t="s">
        <v>111</v>
      </c>
      <c r="G18" s="5">
        <v>4975816014410</v>
      </c>
      <c r="H18" s="5"/>
      <c r="I18" s="5"/>
      <c r="J18" s="5">
        <v>1</v>
      </c>
      <c r="K18" s="5">
        <v>1</v>
      </c>
      <c r="L18" s="4">
        <v>0</v>
      </c>
      <c r="M18" s="4">
        <v>255</v>
      </c>
      <c r="N18" s="4">
        <v>190</v>
      </c>
      <c r="O18" s="6">
        <f t="shared" si="0"/>
        <v>0.25490196078431371</v>
      </c>
      <c r="P18" s="4" t="s">
        <v>74</v>
      </c>
      <c r="Q18" s="4"/>
      <c r="R18" s="4"/>
      <c r="S18" s="4"/>
      <c r="T18" s="4"/>
      <c r="U18" s="4"/>
      <c r="V18" s="4"/>
      <c r="W18" s="4"/>
      <c r="X18" s="4"/>
      <c r="Y18" s="4">
        <v>0</v>
      </c>
      <c r="Z18" s="4">
        <f t="shared" si="30"/>
        <v>0</v>
      </c>
      <c r="AA18" s="4">
        <v>265</v>
      </c>
      <c r="AB18" s="4">
        <f t="shared" si="31"/>
        <v>265</v>
      </c>
      <c r="AC18" s="4"/>
      <c r="AD18" s="21">
        <f t="shared" si="20"/>
        <v>356</v>
      </c>
      <c r="AE18" s="6">
        <f t="shared" si="18"/>
        <v>0.2556179775280899</v>
      </c>
      <c r="AF18" s="4">
        <v>25.5</v>
      </c>
      <c r="AG18" s="4" t="str">
        <f t="shared" si="32"/>
        <v>-</v>
      </c>
      <c r="AH18" s="4" t="e">
        <f t="shared" si="21"/>
        <v>#VALUE!</v>
      </c>
      <c r="AI18" s="6" t="e">
        <f t="shared" si="4"/>
        <v>#VALUE!</v>
      </c>
      <c r="AJ18" s="7">
        <v>410</v>
      </c>
      <c r="AK18" s="6">
        <f t="shared" si="22"/>
        <v>0.35365853658536583</v>
      </c>
      <c r="AL18" s="4">
        <f t="shared" si="23"/>
        <v>145</v>
      </c>
      <c r="AM18" s="28"/>
      <c r="AN18" s="6"/>
      <c r="AO18" s="6"/>
      <c r="AP18" s="6" t="e">
        <f t="shared" si="24"/>
        <v>#DIV/0!</v>
      </c>
      <c r="AQ18" s="6">
        <f t="shared" si="25"/>
        <v>1.607843137254902</v>
      </c>
      <c r="AR18" s="6">
        <f t="shared" si="26"/>
        <v>1.3947368421052631</v>
      </c>
      <c r="AS18" s="4"/>
      <c r="AT18" s="4"/>
      <c r="AU18" s="4"/>
      <c r="AV18" s="4"/>
      <c r="AW18" s="4"/>
      <c r="AX18" s="4"/>
      <c r="AY18" s="4"/>
      <c r="AZ18" s="4"/>
      <c r="BA18" s="4"/>
      <c r="BB18" s="4" t="s">
        <v>92</v>
      </c>
      <c r="BC18" s="4" t="s">
        <v>112</v>
      </c>
      <c r="BD18" s="4"/>
      <c r="BE18" s="4"/>
      <c r="BF18" s="4" t="s">
        <v>86</v>
      </c>
      <c r="BG18" s="4">
        <v>447</v>
      </c>
      <c r="BH18" s="4" t="s">
        <v>80</v>
      </c>
      <c r="BI18" s="4" t="str">
        <f t="shared" si="27"/>
        <v>-</v>
      </c>
      <c r="BJ18" s="19">
        <v>4</v>
      </c>
      <c r="BK18" s="19">
        <v>1</v>
      </c>
      <c r="BL18" s="16">
        <v>18</v>
      </c>
      <c r="BM18" t="s">
        <v>74</v>
      </c>
      <c r="BN18" t="s">
        <v>80</v>
      </c>
      <c r="BO18" t="str">
        <f t="shared" si="16"/>
        <v>-</v>
      </c>
      <c r="BP18" t="s">
        <v>80</v>
      </c>
      <c r="BQ18" t="s">
        <v>80</v>
      </c>
      <c r="BR18" t="str">
        <f t="shared" si="28"/>
        <v>-</v>
      </c>
      <c r="BS18" t="s">
        <v>113</v>
      </c>
    </row>
    <row r="19" spans="1:71" x14ac:dyDescent="0.4">
      <c r="A19" s="3">
        <v>8</v>
      </c>
      <c r="B19" s="3">
        <v>8</v>
      </c>
      <c r="C19" s="4" t="s">
        <v>114</v>
      </c>
      <c r="D19" s="4" t="str">
        <f t="shared" si="29"/>
        <v>J478WK</v>
      </c>
      <c r="E19" s="4" t="s">
        <v>114</v>
      </c>
      <c r="F19" s="4" t="s">
        <v>115</v>
      </c>
      <c r="G19" s="5">
        <v>2001235974539</v>
      </c>
      <c r="H19" s="5"/>
      <c r="I19" s="5"/>
      <c r="J19" s="5">
        <v>1</v>
      </c>
      <c r="K19" s="5">
        <v>1</v>
      </c>
      <c r="L19" s="4">
        <v>0</v>
      </c>
      <c r="M19" s="4">
        <v>850</v>
      </c>
      <c r="N19" s="4">
        <v>468</v>
      </c>
      <c r="O19" s="6">
        <f t="shared" si="0"/>
        <v>0.4494117647058824</v>
      </c>
      <c r="P19" s="4" t="s">
        <v>74</v>
      </c>
      <c r="Q19" s="4"/>
      <c r="R19" s="4"/>
      <c r="S19" s="4"/>
      <c r="T19" s="4"/>
      <c r="U19" s="4"/>
      <c r="V19" s="4"/>
      <c r="W19" s="4"/>
      <c r="X19" s="4"/>
      <c r="Y19" s="4">
        <v>0</v>
      </c>
      <c r="Z19" s="4">
        <f t="shared" si="30"/>
        <v>0</v>
      </c>
      <c r="AA19" s="4">
        <v>620</v>
      </c>
      <c r="AB19" s="4">
        <f t="shared" si="31"/>
        <v>620</v>
      </c>
      <c r="AC19" s="4"/>
      <c r="AD19" s="21">
        <f t="shared" si="20"/>
        <v>1126</v>
      </c>
      <c r="AE19" s="6">
        <f t="shared" si="18"/>
        <v>0.44937833037300179</v>
      </c>
      <c r="AF19" s="4">
        <v>5</v>
      </c>
      <c r="AG19" s="4" t="str">
        <f t="shared" si="32"/>
        <v>-</v>
      </c>
      <c r="AH19" s="4" t="e">
        <f t="shared" si="21"/>
        <v>#VALUE!</v>
      </c>
      <c r="AI19" s="6" t="e">
        <f t="shared" si="4"/>
        <v>#VALUE!</v>
      </c>
      <c r="AJ19" s="7">
        <v>990</v>
      </c>
      <c r="AK19" s="6">
        <f t="shared" si="22"/>
        <v>0.3737373737373737</v>
      </c>
      <c r="AL19" s="4">
        <f t="shared" si="23"/>
        <v>370</v>
      </c>
      <c r="AM19" s="28"/>
      <c r="AN19" s="6"/>
      <c r="AO19" s="6"/>
      <c r="AP19" s="6" t="e">
        <f t="shared" si="24"/>
        <v>#DIV/0!</v>
      </c>
      <c r="AQ19" s="6">
        <f t="shared" si="25"/>
        <v>1.1647058823529413</v>
      </c>
      <c r="AR19" s="6">
        <f t="shared" si="26"/>
        <v>1.3247863247863247</v>
      </c>
      <c r="AS19" s="4"/>
      <c r="AT19" s="4"/>
      <c r="AU19" s="4"/>
      <c r="AV19" s="4"/>
      <c r="AW19" s="4"/>
      <c r="AX19" s="4"/>
      <c r="AY19" s="4"/>
      <c r="AZ19" s="4"/>
      <c r="BA19" s="4"/>
      <c r="BB19" s="4">
        <v>0</v>
      </c>
      <c r="BC19" s="4" t="s">
        <v>80</v>
      </c>
      <c r="BD19" s="4"/>
      <c r="BE19" s="4"/>
      <c r="BF19" s="4" t="s">
        <v>80</v>
      </c>
      <c r="BG19" s="4" t="s">
        <v>80</v>
      </c>
      <c r="BH19" s="4" t="s">
        <v>80</v>
      </c>
      <c r="BI19" s="4" t="str">
        <f t="shared" si="27"/>
        <v>-</v>
      </c>
      <c r="BJ19" s="19">
        <v>4</v>
      </c>
      <c r="BK19" s="19">
        <v>1</v>
      </c>
      <c r="BL19" s="16">
        <v>18</v>
      </c>
      <c r="BM19" t="s">
        <v>74</v>
      </c>
      <c r="BN19" t="s">
        <v>80</v>
      </c>
      <c r="BO19" t="str">
        <f t="shared" si="16"/>
        <v>-</v>
      </c>
      <c r="BP19" t="s">
        <v>80</v>
      </c>
      <c r="BQ19" t="s">
        <v>80</v>
      </c>
      <c r="BR19" t="str">
        <f t="shared" si="28"/>
        <v>-</v>
      </c>
      <c r="BS19" t="s">
        <v>80</v>
      </c>
    </row>
    <row r="20" spans="1:71" x14ac:dyDescent="0.4">
      <c r="A20" s="3">
        <v>9</v>
      </c>
      <c r="B20" s="3">
        <v>9</v>
      </c>
      <c r="C20" s="4" t="s">
        <v>116</v>
      </c>
      <c r="D20" s="4" t="str">
        <f t="shared" si="29"/>
        <v>J020WM</v>
      </c>
      <c r="E20" s="4" t="s">
        <v>116</v>
      </c>
      <c r="F20" s="4" t="s">
        <v>117</v>
      </c>
      <c r="G20" s="5">
        <v>4975816040501</v>
      </c>
      <c r="H20" s="5"/>
      <c r="I20" s="5"/>
      <c r="J20" s="5">
        <v>1</v>
      </c>
      <c r="K20" s="5">
        <v>1</v>
      </c>
      <c r="L20" s="4">
        <v>0</v>
      </c>
      <c r="M20" s="4">
        <v>21000</v>
      </c>
      <c r="N20" s="4">
        <v>14000</v>
      </c>
      <c r="O20" s="6">
        <f t="shared" si="0"/>
        <v>0.33333333333333337</v>
      </c>
      <c r="P20" s="4" t="s">
        <v>74</v>
      </c>
      <c r="Q20" s="4"/>
      <c r="R20" s="4"/>
      <c r="S20" s="4"/>
      <c r="T20" s="4"/>
      <c r="U20" s="4"/>
      <c r="V20" s="4"/>
      <c r="W20" s="4"/>
      <c r="X20" s="4"/>
      <c r="Y20" s="4">
        <v>0</v>
      </c>
      <c r="Z20" s="4">
        <f t="shared" si="30"/>
        <v>0</v>
      </c>
      <c r="AA20" s="4">
        <v>600</v>
      </c>
      <c r="AB20" s="4">
        <f t="shared" si="31"/>
        <v>18000</v>
      </c>
      <c r="AC20" s="4">
        <v>30</v>
      </c>
      <c r="AD20" s="21">
        <f t="shared" si="20"/>
        <v>27000</v>
      </c>
      <c r="AE20" s="6">
        <f t="shared" si="18"/>
        <v>0.33333333333333337</v>
      </c>
      <c r="AF20" s="4">
        <v>1</v>
      </c>
      <c r="AG20" s="4" t="e">
        <f t="shared" si="32"/>
        <v>#VALUE!</v>
      </c>
      <c r="AH20" s="4" t="e">
        <f t="shared" si="21"/>
        <v>#VALUE!</v>
      </c>
      <c r="AI20" s="6" t="e">
        <f t="shared" si="4"/>
        <v>#VALUE!</v>
      </c>
      <c r="AJ20" s="7">
        <v>27500</v>
      </c>
      <c r="AK20" s="6">
        <f t="shared" si="22"/>
        <v>0.34545454545454546</v>
      </c>
      <c r="AL20" s="4">
        <f t="shared" si="23"/>
        <v>9500</v>
      </c>
      <c r="AM20" s="28"/>
      <c r="AN20" s="6"/>
      <c r="AO20" s="6"/>
      <c r="AP20" s="6" t="e">
        <f t="shared" si="24"/>
        <v>#DIV/0!</v>
      </c>
      <c r="AQ20" s="6">
        <f t="shared" si="25"/>
        <v>1.3095238095238095</v>
      </c>
      <c r="AR20" s="6">
        <f t="shared" si="26"/>
        <v>1.2857142857142858</v>
      </c>
      <c r="AS20" s="4"/>
      <c r="AT20" s="4"/>
      <c r="AU20" s="4"/>
      <c r="AV20" s="4"/>
      <c r="AW20" s="4"/>
      <c r="AX20" s="4"/>
      <c r="AY20" s="4"/>
      <c r="AZ20" s="4"/>
      <c r="BA20" s="4"/>
      <c r="BB20" s="4">
        <v>0</v>
      </c>
      <c r="BC20" s="4" t="s">
        <v>118</v>
      </c>
      <c r="BD20" s="4">
        <v>30</v>
      </c>
      <c r="BE20" s="4">
        <v>5</v>
      </c>
      <c r="BF20" s="4" t="s">
        <v>119</v>
      </c>
      <c r="BG20" s="4">
        <v>4142</v>
      </c>
      <c r="BH20" s="4" t="s">
        <v>80</v>
      </c>
      <c r="BI20" s="4" t="e">
        <f t="shared" si="27"/>
        <v>#VALUE!</v>
      </c>
      <c r="BJ20" s="19">
        <v>4</v>
      </c>
      <c r="BK20" s="19">
        <v>1</v>
      </c>
      <c r="BL20" s="16">
        <v>18</v>
      </c>
      <c r="BM20" t="s">
        <v>74</v>
      </c>
      <c r="BN20" t="s">
        <v>80</v>
      </c>
      <c r="BO20" t="str">
        <f t="shared" si="16"/>
        <v>-</v>
      </c>
      <c r="BP20">
        <v>21451</v>
      </c>
      <c r="BQ20" t="s">
        <v>80</v>
      </c>
      <c r="BR20" t="str">
        <f t="shared" si="28"/>
        <v>-</v>
      </c>
      <c r="BS20" t="s">
        <v>120</v>
      </c>
    </row>
  </sheetData>
  <autoFilter ref="A3:BS3" xr:uid="{7A1660CF-9003-4B2D-B659-7F339ED5B476}"/>
  <mergeCells count="3">
    <mergeCell ref="L2:O2"/>
    <mergeCell ref="J2:K2"/>
    <mergeCell ref="Y1:AB1"/>
  </mergeCells>
  <phoneticPr fontId="2"/>
  <conditionalFormatting sqref="AH4:AH20">
    <cfRule type="cellIs" dxfId="3" priority="3" operator="lessThan">
      <formula>$AJ4</formula>
    </cfRule>
  </conditionalFormatting>
  <conditionalFormatting sqref="AJ4:AJ20">
    <cfRule type="cellIs" dxfId="2" priority="4" operator="greaterThan">
      <formula>$Z4</formula>
    </cfRule>
  </conditionalFormatting>
  <conditionalFormatting sqref="AK4:AK20">
    <cfRule type="cellIs" dxfId="1" priority="2" operator="lessThan">
      <formula>0.2</formula>
    </cfRule>
  </conditionalFormatting>
  <conditionalFormatting sqref="BH4:BH20">
    <cfRule type="cellIs" dxfId="0" priority="1" operator="notEqual">
      <formula>$BG4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2026-06-10T08:19:12Z</dcterms:modified>
</cp:coreProperties>
</file>