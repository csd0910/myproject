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D4042031-2022-4994-9E4F-163EB4ADCB9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Sheet1!$A$3:$BR$59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J20" i="1" l="1"/>
  <c r="AG20" i="1" s="1"/>
  <c r="BJ28" i="1"/>
  <c r="AG28" i="1" s="1"/>
  <c r="BJ36" i="1"/>
  <c r="AG36" i="1" s="1"/>
  <c r="BJ41" i="1"/>
  <c r="AG41" i="1" s="1"/>
  <c r="BJ43" i="1"/>
  <c r="AG43" i="1" s="1"/>
  <c r="BJ44" i="1"/>
  <c r="AG44" i="1" s="1"/>
  <c r="BJ46" i="1"/>
  <c r="AG46" i="1" s="1"/>
  <c r="BJ50" i="1"/>
  <c r="AG50" i="1" s="1"/>
  <c r="BJ51" i="1"/>
  <c r="AG51" i="1" s="1"/>
  <c r="BJ52" i="1"/>
  <c r="AG52" i="1" s="1"/>
  <c r="BJ54" i="1"/>
  <c r="AG54" i="1" s="1"/>
  <c r="BJ57" i="1"/>
  <c r="AG57" i="1" s="1"/>
  <c r="BJ58" i="1"/>
  <c r="AG58" i="1" s="1"/>
  <c r="BJ59" i="1"/>
  <c r="AG59" i="1" s="1"/>
  <c r="BJ29" i="1"/>
  <c r="AG29" i="1" s="1"/>
  <c r="BJ33" i="1"/>
  <c r="AG33" i="1" s="1"/>
  <c r="BJ37" i="1"/>
  <c r="AG37" i="1" s="1"/>
  <c r="BJ45" i="1"/>
  <c r="AG45" i="1" s="1"/>
  <c r="BJ16" i="1"/>
  <c r="AG16" i="1" s="1"/>
  <c r="BJ24" i="1"/>
  <c r="AG24" i="1" s="1"/>
  <c r="BJ27" i="1"/>
  <c r="AG27" i="1" s="1"/>
  <c r="BJ31" i="1"/>
  <c r="AG31" i="1" s="1"/>
  <c r="BJ32" i="1"/>
  <c r="AG32" i="1" s="1"/>
  <c r="BJ40" i="1"/>
  <c r="AG40" i="1" s="1"/>
  <c r="BJ47" i="1"/>
  <c r="AG47" i="1" s="1"/>
  <c r="BJ48" i="1"/>
  <c r="AG48" i="1" s="1"/>
  <c r="BJ49" i="1"/>
  <c r="AG49" i="1" s="1"/>
  <c r="BJ53" i="1"/>
  <c r="AG53" i="1" s="1"/>
  <c r="BJ56" i="1"/>
  <c r="AG56" i="1" s="1"/>
  <c r="AT4" i="1"/>
  <c r="O58" i="1"/>
  <c r="O59" i="1"/>
  <c r="AR59" i="1"/>
  <c r="AB59" i="1"/>
  <c r="AS59" i="1" s="1"/>
  <c r="AD59" i="1" s="1"/>
  <c r="Z59" i="1"/>
  <c r="AQ59" i="1" s="1"/>
  <c r="D59" i="1"/>
  <c r="AR58" i="1"/>
  <c r="AB58" i="1"/>
  <c r="AJ58" i="1" s="1"/>
  <c r="Z58" i="1"/>
  <c r="AQ58" i="1" s="1"/>
  <c r="D58" i="1"/>
  <c r="AR57" i="1"/>
  <c r="AB57" i="1"/>
  <c r="AS57" i="1" s="1"/>
  <c r="AD57" i="1" s="1"/>
  <c r="Z57" i="1"/>
  <c r="AQ57" i="1" s="1"/>
  <c r="O57" i="1"/>
  <c r="D57" i="1"/>
  <c r="AR56" i="1"/>
  <c r="AB56" i="1"/>
  <c r="AS56" i="1" s="1"/>
  <c r="AD56" i="1" s="1"/>
  <c r="Z56" i="1"/>
  <c r="AQ56" i="1" s="1"/>
  <c r="O56" i="1"/>
  <c r="D56" i="1"/>
  <c r="BJ55" i="1"/>
  <c r="AG55" i="1" s="1"/>
  <c r="AR55" i="1"/>
  <c r="AB55" i="1"/>
  <c r="AS55" i="1" s="1"/>
  <c r="AD55" i="1" s="1"/>
  <c r="Z55" i="1"/>
  <c r="AQ55" i="1" s="1"/>
  <c r="O55" i="1"/>
  <c r="D55" i="1"/>
  <c r="AR54" i="1"/>
  <c r="AB54" i="1"/>
  <c r="AS54" i="1" s="1"/>
  <c r="AD54" i="1" s="1"/>
  <c r="Z54" i="1"/>
  <c r="AQ54" i="1" s="1"/>
  <c r="O54" i="1"/>
  <c r="D54" i="1"/>
  <c r="AR53" i="1"/>
  <c r="AB53" i="1"/>
  <c r="AS53" i="1" s="1"/>
  <c r="AD53" i="1" s="1"/>
  <c r="Z53" i="1"/>
  <c r="AQ53" i="1" s="1"/>
  <c r="O53" i="1"/>
  <c r="D53" i="1"/>
  <c r="AR52" i="1"/>
  <c r="AB52" i="1"/>
  <c r="AS52" i="1" s="1"/>
  <c r="AD52" i="1" s="1"/>
  <c r="Z52" i="1"/>
  <c r="AQ52" i="1" s="1"/>
  <c r="O52" i="1"/>
  <c r="D52" i="1"/>
  <c r="AR51" i="1"/>
  <c r="AB51" i="1"/>
  <c r="AS51" i="1" s="1"/>
  <c r="AD51" i="1" s="1"/>
  <c r="Z51" i="1"/>
  <c r="AQ51" i="1" s="1"/>
  <c r="O51" i="1"/>
  <c r="D51" i="1"/>
  <c r="AR50" i="1"/>
  <c r="AB50" i="1"/>
  <c r="AS50" i="1" s="1"/>
  <c r="AD50" i="1" s="1"/>
  <c r="Z50" i="1"/>
  <c r="AQ50" i="1" s="1"/>
  <c r="O50" i="1"/>
  <c r="D50" i="1"/>
  <c r="AR49" i="1"/>
  <c r="AB49" i="1"/>
  <c r="AS49" i="1" s="1"/>
  <c r="AD49" i="1" s="1"/>
  <c r="Z49" i="1"/>
  <c r="AQ49" i="1" s="1"/>
  <c r="O49" i="1"/>
  <c r="D49" i="1"/>
  <c r="AR48" i="1"/>
  <c r="AB48" i="1"/>
  <c r="AS48" i="1" s="1"/>
  <c r="AD48" i="1" s="1"/>
  <c r="Z48" i="1"/>
  <c r="AQ48" i="1" s="1"/>
  <c r="O48" i="1"/>
  <c r="D48" i="1"/>
  <c r="AR47" i="1"/>
  <c r="AB47" i="1"/>
  <c r="AS47" i="1" s="1"/>
  <c r="AD47" i="1" s="1"/>
  <c r="Z47" i="1"/>
  <c r="AQ47" i="1" s="1"/>
  <c r="O47" i="1"/>
  <c r="D47" i="1"/>
  <c r="AR46" i="1"/>
  <c r="AB46" i="1"/>
  <c r="AS46" i="1" s="1"/>
  <c r="AD46" i="1" s="1"/>
  <c r="Z46" i="1"/>
  <c r="AQ46" i="1" s="1"/>
  <c r="O46" i="1"/>
  <c r="D46" i="1"/>
  <c r="AR45" i="1"/>
  <c r="AB45" i="1"/>
  <c r="AS45" i="1" s="1"/>
  <c r="AD45" i="1" s="1"/>
  <c r="Z45" i="1"/>
  <c r="AQ45" i="1" s="1"/>
  <c r="O45" i="1"/>
  <c r="D45" i="1"/>
  <c r="AR44" i="1"/>
  <c r="AB44" i="1"/>
  <c r="AS44" i="1" s="1"/>
  <c r="AD44" i="1" s="1"/>
  <c r="Z44" i="1"/>
  <c r="AQ44" i="1" s="1"/>
  <c r="O44" i="1"/>
  <c r="D44" i="1"/>
  <c r="AR43" i="1"/>
  <c r="AB43" i="1"/>
  <c r="AS43" i="1" s="1"/>
  <c r="AD43" i="1" s="1"/>
  <c r="Z43" i="1"/>
  <c r="AQ43" i="1" s="1"/>
  <c r="O43" i="1"/>
  <c r="D43" i="1"/>
  <c r="BJ42" i="1"/>
  <c r="AG42" i="1" s="1"/>
  <c r="AR42" i="1"/>
  <c r="AB42" i="1"/>
  <c r="AS42" i="1" s="1"/>
  <c r="AD42" i="1" s="1"/>
  <c r="Z42" i="1"/>
  <c r="AQ42" i="1" s="1"/>
  <c r="O42" i="1"/>
  <c r="D42" i="1"/>
  <c r="AR41" i="1"/>
  <c r="AB41" i="1"/>
  <c r="AS41" i="1" s="1"/>
  <c r="AD41" i="1" s="1"/>
  <c r="Z41" i="1"/>
  <c r="AQ41" i="1" s="1"/>
  <c r="O41" i="1"/>
  <c r="D41" i="1"/>
  <c r="AR40" i="1"/>
  <c r="AB40" i="1"/>
  <c r="AS40" i="1" s="1"/>
  <c r="AD40" i="1" s="1"/>
  <c r="Z40" i="1"/>
  <c r="AQ40" i="1" s="1"/>
  <c r="O40" i="1"/>
  <c r="D40" i="1"/>
  <c r="BJ39" i="1"/>
  <c r="AG39" i="1" s="1"/>
  <c r="AR39" i="1"/>
  <c r="AB39" i="1"/>
  <c r="AS39" i="1" s="1"/>
  <c r="AD39" i="1" s="1"/>
  <c r="Z39" i="1"/>
  <c r="AQ39" i="1" s="1"/>
  <c r="O39" i="1"/>
  <c r="D39" i="1"/>
  <c r="BJ38" i="1"/>
  <c r="AG38" i="1" s="1"/>
  <c r="AR38" i="1"/>
  <c r="AB38" i="1"/>
  <c r="AS38" i="1" s="1"/>
  <c r="AD38" i="1" s="1"/>
  <c r="Z38" i="1"/>
  <c r="AQ38" i="1" s="1"/>
  <c r="O38" i="1"/>
  <c r="D38" i="1"/>
  <c r="AR37" i="1"/>
  <c r="AB37" i="1"/>
  <c r="AS37" i="1" s="1"/>
  <c r="AD37" i="1" s="1"/>
  <c r="Z37" i="1"/>
  <c r="AQ37" i="1" s="1"/>
  <c r="O37" i="1"/>
  <c r="D37" i="1"/>
  <c r="AR36" i="1"/>
  <c r="AB36" i="1"/>
  <c r="AS36" i="1" s="1"/>
  <c r="AD36" i="1" s="1"/>
  <c r="Z36" i="1"/>
  <c r="AQ36" i="1" s="1"/>
  <c r="O36" i="1"/>
  <c r="D36" i="1"/>
  <c r="BJ35" i="1"/>
  <c r="AG35" i="1" s="1"/>
  <c r="AR35" i="1"/>
  <c r="AB35" i="1"/>
  <c r="AS35" i="1" s="1"/>
  <c r="AD35" i="1" s="1"/>
  <c r="Z35" i="1"/>
  <c r="AQ35" i="1" s="1"/>
  <c r="O35" i="1"/>
  <c r="D35" i="1"/>
  <c r="BJ34" i="1"/>
  <c r="AG34" i="1" s="1"/>
  <c r="AR34" i="1"/>
  <c r="AB34" i="1"/>
  <c r="AS34" i="1" s="1"/>
  <c r="AD34" i="1" s="1"/>
  <c r="Z34" i="1"/>
  <c r="AQ34" i="1" s="1"/>
  <c r="O34" i="1"/>
  <c r="D34" i="1"/>
  <c r="AR33" i="1"/>
  <c r="AB33" i="1"/>
  <c r="AS33" i="1" s="1"/>
  <c r="AD33" i="1" s="1"/>
  <c r="Z33" i="1"/>
  <c r="AQ33" i="1" s="1"/>
  <c r="O33" i="1"/>
  <c r="D33" i="1"/>
  <c r="AR32" i="1"/>
  <c r="AB32" i="1"/>
  <c r="AS32" i="1" s="1"/>
  <c r="AD32" i="1" s="1"/>
  <c r="Z32" i="1"/>
  <c r="AQ32" i="1" s="1"/>
  <c r="O32" i="1"/>
  <c r="D32" i="1"/>
  <c r="AR31" i="1"/>
  <c r="AB31" i="1"/>
  <c r="AS31" i="1" s="1"/>
  <c r="AD31" i="1" s="1"/>
  <c r="Z31" i="1"/>
  <c r="AQ31" i="1" s="1"/>
  <c r="O31" i="1"/>
  <c r="D31" i="1"/>
  <c r="BJ30" i="1"/>
  <c r="AG30" i="1" s="1"/>
  <c r="AR30" i="1"/>
  <c r="AB30" i="1"/>
  <c r="AS30" i="1" s="1"/>
  <c r="AD30" i="1" s="1"/>
  <c r="Z30" i="1"/>
  <c r="AQ30" i="1" s="1"/>
  <c r="O30" i="1"/>
  <c r="D30" i="1"/>
  <c r="AR29" i="1"/>
  <c r="AB29" i="1"/>
  <c r="AS29" i="1" s="1"/>
  <c r="AD29" i="1" s="1"/>
  <c r="Z29" i="1"/>
  <c r="AQ29" i="1" s="1"/>
  <c r="O29" i="1"/>
  <c r="D29" i="1"/>
  <c r="AR28" i="1"/>
  <c r="AB28" i="1"/>
  <c r="AS28" i="1" s="1"/>
  <c r="AD28" i="1" s="1"/>
  <c r="Z28" i="1"/>
  <c r="AQ28" i="1" s="1"/>
  <c r="O28" i="1"/>
  <c r="D28" i="1"/>
  <c r="AR27" i="1"/>
  <c r="AB27" i="1"/>
  <c r="AS27" i="1" s="1"/>
  <c r="AD27" i="1" s="1"/>
  <c r="Z27" i="1"/>
  <c r="AQ27" i="1" s="1"/>
  <c r="O27" i="1"/>
  <c r="D27" i="1"/>
  <c r="BJ26" i="1"/>
  <c r="AG26" i="1" s="1"/>
  <c r="AR26" i="1"/>
  <c r="AB26" i="1"/>
  <c r="AS26" i="1" s="1"/>
  <c r="AD26" i="1" s="1"/>
  <c r="Z26" i="1"/>
  <c r="AQ26" i="1" s="1"/>
  <c r="O26" i="1"/>
  <c r="D26" i="1"/>
  <c r="BJ25" i="1"/>
  <c r="AG25" i="1" s="1"/>
  <c r="AR25" i="1"/>
  <c r="AB25" i="1"/>
  <c r="AS25" i="1" s="1"/>
  <c r="AD25" i="1" s="1"/>
  <c r="Z25" i="1"/>
  <c r="AQ25" i="1" s="1"/>
  <c r="O25" i="1"/>
  <c r="D25" i="1"/>
  <c r="AR24" i="1"/>
  <c r="AB24" i="1"/>
  <c r="AS24" i="1" s="1"/>
  <c r="AD24" i="1" s="1"/>
  <c r="Z24" i="1"/>
  <c r="AQ24" i="1" s="1"/>
  <c r="O24" i="1"/>
  <c r="D24" i="1"/>
  <c r="BJ23" i="1"/>
  <c r="AG23" i="1" s="1"/>
  <c r="AR23" i="1"/>
  <c r="AB23" i="1"/>
  <c r="AS23" i="1" s="1"/>
  <c r="AD23" i="1" s="1"/>
  <c r="Z23" i="1"/>
  <c r="AQ23" i="1" s="1"/>
  <c r="O23" i="1"/>
  <c r="D23" i="1"/>
  <c r="BJ22" i="1"/>
  <c r="AG22" i="1" s="1"/>
  <c r="AR22" i="1"/>
  <c r="AB22" i="1"/>
  <c r="AS22" i="1" s="1"/>
  <c r="AD22" i="1" s="1"/>
  <c r="AE22" i="1" s="1"/>
  <c r="Z22" i="1"/>
  <c r="AQ22" i="1" s="1"/>
  <c r="O22" i="1"/>
  <c r="D22" i="1"/>
  <c r="BJ21" i="1"/>
  <c r="AG21" i="1" s="1"/>
  <c r="AR21" i="1"/>
  <c r="AB21" i="1"/>
  <c r="AM21" i="1" s="1"/>
  <c r="Z21" i="1"/>
  <c r="AQ21" i="1" s="1"/>
  <c r="O21" i="1"/>
  <c r="D21" i="1"/>
  <c r="AR20" i="1"/>
  <c r="AB20" i="1"/>
  <c r="AJ20" i="1" s="1"/>
  <c r="Z20" i="1"/>
  <c r="AQ20" i="1" s="1"/>
  <c r="O20" i="1"/>
  <c r="D20" i="1"/>
  <c r="BJ19" i="1"/>
  <c r="AG19" i="1" s="1"/>
  <c r="AR19" i="1"/>
  <c r="AB19" i="1"/>
  <c r="AM19" i="1" s="1"/>
  <c r="Z19" i="1"/>
  <c r="AQ19" i="1" s="1"/>
  <c r="O19" i="1"/>
  <c r="D19" i="1"/>
  <c r="BJ18" i="1"/>
  <c r="AG18" i="1" s="1"/>
  <c r="AR18" i="1"/>
  <c r="AB18" i="1"/>
  <c r="AL18" i="1" s="1"/>
  <c r="Z18" i="1"/>
  <c r="AQ18" i="1" s="1"/>
  <c r="O18" i="1"/>
  <c r="D18" i="1"/>
  <c r="BJ17" i="1"/>
  <c r="AG17" i="1" s="1"/>
  <c r="AR17" i="1"/>
  <c r="AB17" i="1"/>
  <c r="AL17" i="1" s="1"/>
  <c r="Z17" i="1"/>
  <c r="AQ17" i="1" s="1"/>
  <c r="O17" i="1"/>
  <c r="D17" i="1"/>
  <c r="AR16" i="1"/>
  <c r="AB16" i="1"/>
  <c r="AM16" i="1" s="1"/>
  <c r="Z16" i="1"/>
  <c r="AQ16" i="1" s="1"/>
  <c r="O16" i="1"/>
  <c r="D16" i="1"/>
  <c r="BJ15" i="1"/>
  <c r="AG15" i="1" s="1"/>
  <c r="AR15" i="1"/>
  <c r="AB15" i="1"/>
  <c r="AM15" i="1" s="1"/>
  <c r="Z15" i="1"/>
  <c r="AQ15" i="1" s="1"/>
  <c r="O15" i="1"/>
  <c r="D15" i="1"/>
  <c r="BJ14" i="1"/>
  <c r="AG14" i="1" s="1"/>
  <c r="AR14" i="1"/>
  <c r="AB14" i="1"/>
  <c r="AS14" i="1" s="1"/>
  <c r="AD14" i="1" s="1"/>
  <c r="AE14" i="1" s="1"/>
  <c r="Z14" i="1"/>
  <c r="AQ14" i="1" s="1"/>
  <c r="O14" i="1"/>
  <c r="D14" i="1"/>
  <c r="AV4" i="1"/>
  <c r="AU4" i="1"/>
  <c r="BQ36" i="1" l="1"/>
  <c r="AJ46" i="1"/>
  <c r="AJ59" i="1"/>
  <c r="AJ51" i="1"/>
  <c r="AJ38" i="1"/>
  <c r="AJ35" i="1"/>
  <c r="AJ27" i="1"/>
  <c r="AH35" i="1"/>
  <c r="AI35" i="1" s="1"/>
  <c r="AJ19" i="1"/>
  <c r="AJ52" i="1"/>
  <c r="AJ44" i="1"/>
  <c r="AJ36" i="1"/>
  <c r="AJ28" i="1"/>
  <c r="AJ43" i="1"/>
  <c r="AJ50" i="1"/>
  <c r="AJ42" i="1"/>
  <c r="AJ34" i="1"/>
  <c r="AJ26" i="1"/>
  <c r="AJ18" i="1"/>
  <c r="BQ52" i="1"/>
  <c r="AJ57" i="1"/>
  <c r="AJ49" i="1"/>
  <c r="AJ41" i="1"/>
  <c r="AJ33" i="1"/>
  <c r="AJ25" i="1"/>
  <c r="AJ17" i="1"/>
  <c r="AH30" i="1"/>
  <c r="AI30" i="1" s="1"/>
  <c r="BQ48" i="1"/>
  <c r="AJ56" i="1"/>
  <c r="AJ48" i="1"/>
  <c r="AJ40" i="1"/>
  <c r="AJ32" i="1"/>
  <c r="AJ24" i="1"/>
  <c r="AJ16" i="1"/>
  <c r="BQ44" i="1"/>
  <c r="AJ55" i="1"/>
  <c r="AJ47" i="1"/>
  <c r="AJ39" i="1"/>
  <c r="AJ31" i="1"/>
  <c r="AJ23" i="1"/>
  <c r="AJ15" i="1"/>
  <c r="AJ54" i="1"/>
  <c r="AJ30" i="1"/>
  <c r="AJ22" i="1"/>
  <c r="AJ14" i="1"/>
  <c r="BQ28" i="1"/>
  <c r="AJ53" i="1"/>
  <c r="AJ45" i="1"/>
  <c r="AJ37" i="1"/>
  <c r="AJ29" i="1"/>
  <c r="AJ21" i="1"/>
  <c r="BQ59" i="1"/>
  <c r="BQ51" i="1"/>
  <c r="BQ43" i="1"/>
  <c r="BQ35" i="1"/>
  <c r="BQ27" i="1"/>
  <c r="BQ50" i="1"/>
  <c r="BQ42" i="1"/>
  <c r="BQ34" i="1"/>
  <c r="BQ26" i="1"/>
  <c r="BQ57" i="1"/>
  <c r="BQ49" i="1"/>
  <c r="BQ41" i="1"/>
  <c r="BQ33" i="1"/>
  <c r="BQ25" i="1"/>
  <c r="BQ56" i="1"/>
  <c r="BQ40" i="1"/>
  <c r="BQ32" i="1"/>
  <c r="BQ24" i="1"/>
  <c r="AH50" i="1"/>
  <c r="AI50" i="1" s="1"/>
  <c r="BQ55" i="1"/>
  <c r="BQ47" i="1"/>
  <c r="BQ39" i="1"/>
  <c r="BQ31" i="1"/>
  <c r="BQ23" i="1"/>
  <c r="BQ54" i="1"/>
  <c r="BQ46" i="1"/>
  <c r="BQ38" i="1"/>
  <c r="BQ30" i="1"/>
  <c r="BQ22" i="1"/>
  <c r="BQ14" i="1"/>
  <c r="BQ53" i="1"/>
  <c r="BQ45" i="1"/>
  <c r="BQ37" i="1"/>
  <c r="BQ29" i="1"/>
  <c r="AH25" i="1"/>
  <c r="AI25" i="1" s="1"/>
  <c r="AH59" i="1"/>
  <c r="AI59" i="1" s="1"/>
  <c r="AH24" i="1"/>
  <c r="AI24" i="1" s="1"/>
  <c r="AH37" i="1"/>
  <c r="AI37" i="1" s="1"/>
  <c r="AH48" i="1"/>
  <c r="AI48" i="1" s="1"/>
  <c r="AH36" i="1"/>
  <c r="AI36" i="1" s="1"/>
  <c r="AH54" i="1"/>
  <c r="AI54" i="1" s="1"/>
  <c r="AH57" i="1"/>
  <c r="AI57" i="1" s="1"/>
  <c r="AH52" i="1"/>
  <c r="AI52" i="1" s="1"/>
  <c r="AH23" i="1"/>
  <c r="AI23" i="1" s="1"/>
  <c r="AH55" i="1"/>
  <c r="AI55" i="1" s="1"/>
  <c r="AH26" i="1"/>
  <c r="AI26" i="1" s="1"/>
  <c r="AH47" i="1"/>
  <c r="AI47" i="1" s="1"/>
  <c r="AH33" i="1"/>
  <c r="AI33" i="1" s="1"/>
  <c r="AH39" i="1"/>
  <c r="AI39" i="1" s="1"/>
  <c r="AH46" i="1"/>
  <c r="AI46" i="1" s="1"/>
  <c r="AH43" i="1"/>
  <c r="AI43" i="1" s="1"/>
  <c r="AH29" i="1"/>
  <c r="AI29" i="1" s="1"/>
  <c r="AH22" i="1"/>
  <c r="AI22" i="1" s="1"/>
  <c r="AH40" i="1"/>
  <c r="AI40" i="1" s="1"/>
  <c r="AH38" i="1"/>
  <c r="AI38" i="1" s="1"/>
  <c r="AH42" i="1"/>
  <c r="AI42" i="1" s="1"/>
  <c r="AH56" i="1"/>
  <c r="AI56" i="1" s="1"/>
  <c r="AH32" i="1"/>
  <c r="AI32" i="1" s="1"/>
  <c r="AH45" i="1"/>
  <c r="AI45" i="1" s="1"/>
  <c r="AH14" i="1"/>
  <c r="AI14" i="1" s="1"/>
  <c r="AH34" i="1"/>
  <c r="AI34" i="1" s="1"/>
  <c r="AH53" i="1"/>
  <c r="AI53" i="1" s="1"/>
  <c r="AH31" i="1"/>
  <c r="AI31" i="1" s="1"/>
  <c r="AH44" i="1"/>
  <c r="AI44" i="1" s="1"/>
  <c r="AH51" i="1"/>
  <c r="AI51" i="1" s="1"/>
  <c r="AH27" i="1"/>
  <c r="AI27" i="1" s="1"/>
  <c r="AH41" i="1"/>
  <c r="AI41" i="1" s="1"/>
  <c r="AH28" i="1"/>
  <c r="AI28" i="1" s="1"/>
  <c r="AH49" i="1"/>
  <c r="AI49" i="1" s="1"/>
  <c r="AS58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9" i="1"/>
  <c r="AS19" i="1"/>
  <c r="AS21" i="1"/>
  <c r="AL21" i="1"/>
  <c r="AL14" i="1"/>
  <c r="AL15" i="1"/>
  <c r="AM14" i="1"/>
  <c r="AL22" i="1"/>
  <c r="AM22" i="1"/>
  <c r="AM18" i="1"/>
  <c r="AL16" i="1"/>
  <c r="AM17" i="1"/>
  <c r="AS20" i="1"/>
  <c r="BQ20" i="1" s="1"/>
  <c r="AS18" i="1"/>
  <c r="AS16" i="1"/>
  <c r="AL20" i="1"/>
  <c r="AS17" i="1"/>
  <c r="AS15" i="1"/>
  <c r="AL19" i="1"/>
  <c r="AM20" i="1"/>
  <c r="AD18" i="1" l="1"/>
  <c r="AE18" i="1" s="1"/>
  <c r="BQ18" i="1"/>
  <c r="AD21" i="1"/>
  <c r="AE21" i="1" s="1"/>
  <c r="BQ21" i="1"/>
  <c r="AD15" i="1"/>
  <c r="AE15" i="1" s="1"/>
  <c r="BQ15" i="1"/>
  <c r="AD19" i="1"/>
  <c r="AE19" i="1" s="1"/>
  <c r="BQ19" i="1"/>
  <c r="AD17" i="1"/>
  <c r="AE17" i="1" s="1"/>
  <c r="BQ17" i="1"/>
  <c r="AD16" i="1"/>
  <c r="AE16" i="1" s="1"/>
  <c r="BQ16" i="1"/>
  <c r="AD58" i="1"/>
  <c r="AE58" i="1" s="1"/>
  <c r="BQ58" i="1"/>
  <c r="AH16" i="1"/>
  <c r="AI16" i="1" s="1"/>
  <c r="AH17" i="1"/>
  <c r="AI17" i="1" s="1"/>
  <c r="AH21" i="1"/>
  <c r="AI21" i="1" s="1"/>
  <c r="AH18" i="1"/>
  <c r="AI18" i="1" s="1"/>
  <c r="AH15" i="1"/>
  <c r="AI15" i="1" s="1"/>
  <c r="AH58" i="1"/>
  <c r="AI58" i="1" s="1"/>
  <c r="AD20" i="1"/>
  <c r="AE20" i="1" s="1"/>
  <c r="AH20" i="1"/>
  <c r="AI20" i="1" s="1"/>
  <c r="AH19" i="1"/>
  <c r="AI19" i="1" s="1"/>
  <c r="BJ5" i="1"/>
  <c r="AG5" i="1" s="1"/>
  <c r="BJ6" i="1"/>
  <c r="AG6" i="1" s="1"/>
  <c r="BJ7" i="1"/>
  <c r="AG7" i="1" s="1"/>
  <c r="BJ9" i="1"/>
  <c r="AG9" i="1" s="1"/>
  <c r="BJ10" i="1"/>
  <c r="AG10" i="1" s="1"/>
  <c r="BJ11" i="1"/>
  <c r="AG11" i="1" s="1"/>
  <c r="BJ12" i="1"/>
  <c r="AG12" i="1" s="1"/>
  <c r="BJ13" i="1"/>
  <c r="AG13" i="1" s="1"/>
  <c r="BJ4" i="1"/>
  <c r="AG4" i="1" s="1"/>
  <c r="AB5" i="1"/>
  <c r="AJ5" i="1" s="1"/>
  <c r="AB6" i="1"/>
  <c r="AJ6" i="1" s="1"/>
  <c r="AB7" i="1"/>
  <c r="AJ7" i="1" s="1"/>
  <c r="AB8" i="1"/>
  <c r="AJ8" i="1" s="1"/>
  <c r="AB9" i="1"/>
  <c r="AJ9" i="1" s="1"/>
  <c r="AB10" i="1"/>
  <c r="AJ10" i="1" s="1"/>
  <c r="AB11" i="1"/>
  <c r="AJ11" i="1" s="1"/>
  <c r="AB12" i="1"/>
  <c r="AJ12" i="1" s="1"/>
  <c r="AB13" i="1"/>
  <c r="AJ13" i="1" s="1"/>
  <c r="Z5" i="1"/>
  <c r="AQ5" i="1" s="1"/>
  <c r="Z6" i="1"/>
  <c r="AQ6" i="1" s="1"/>
  <c r="Z7" i="1"/>
  <c r="AQ7" i="1" s="1"/>
  <c r="Z8" i="1"/>
  <c r="AQ8" i="1" s="1"/>
  <c r="Z9" i="1"/>
  <c r="AQ9" i="1" s="1"/>
  <c r="Z10" i="1"/>
  <c r="AQ10" i="1" s="1"/>
  <c r="Z11" i="1"/>
  <c r="AQ11" i="1" s="1"/>
  <c r="Z12" i="1"/>
  <c r="AQ12" i="1" s="1"/>
  <c r="Z13" i="1"/>
  <c r="AQ13" i="1" s="1"/>
  <c r="D5" i="1"/>
  <c r="D6" i="1"/>
  <c r="D7" i="1"/>
  <c r="D8" i="1"/>
  <c r="D9" i="1"/>
  <c r="D10" i="1"/>
  <c r="D11" i="1"/>
  <c r="D12" i="1"/>
  <c r="D13" i="1"/>
  <c r="D4" i="1"/>
  <c r="AB4" i="1"/>
  <c r="AJ4" i="1" s="1"/>
  <c r="Z4" i="1"/>
  <c r="AQ4" i="1" s="1"/>
  <c r="AR13" i="1"/>
  <c r="O13" i="1"/>
  <c r="AR12" i="1"/>
  <c r="O12" i="1"/>
  <c r="AR11" i="1"/>
  <c r="O11" i="1"/>
  <c r="AR10" i="1"/>
  <c r="O10" i="1"/>
  <c r="AR4" i="1"/>
  <c r="AR9" i="1"/>
  <c r="O9" i="1"/>
  <c r="BJ8" i="1"/>
  <c r="AG8" i="1" s="1"/>
  <c r="AR8" i="1"/>
  <c r="O8" i="1"/>
  <c r="AR7" i="1"/>
  <c r="O7" i="1"/>
  <c r="AR6" i="1"/>
  <c r="O6" i="1"/>
  <c r="AS5" i="1"/>
  <c r="AR5" i="1"/>
  <c r="O5" i="1"/>
  <c r="O4" i="1"/>
  <c r="AD5" i="1" l="1"/>
  <c r="AE5" i="1" s="1"/>
  <c r="BQ5" i="1"/>
  <c r="AH5" i="1"/>
  <c r="AI5" i="1" s="1"/>
  <c r="AL13" i="1"/>
  <c r="AL5" i="1"/>
  <c r="AL12" i="1"/>
  <c r="AM10" i="1"/>
  <c r="AL4" i="1"/>
  <c r="AL9" i="1"/>
  <c r="AM8" i="1"/>
  <c r="AM11" i="1"/>
  <c r="AM7" i="1"/>
  <c r="AS6" i="1"/>
  <c r="AS10" i="1"/>
  <c r="AS12" i="1"/>
  <c r="AS8" i="1"/>
  <c r="AM6" i="1"/>
  <c r="AS13" i="1"/>
  <c r="AL11" i="1"/>
  <c r="AL10" i="1"/>
  <c r="AL8" i="1"/>
  <c r="AS11" i="1"/>
  <c r="AM9" i="1"/>
  <c r="AS9" i="1"/>
  <c r="AL7" i="1"/>
  <c r="AM13" i="1"/>
  <c r="AM5" i="1"/>
  <c r="AS7" i="1"/>
  <c r="AL6" i="1"/>
  <c r="AM12" i="1"/>
  <c r="AO4" i="1"/>
  <c r="AP4" i="1"/>
  <c r="AM4" i="1"/>
  <c r="AS4" i="1"/>
  <c r="AD11" i="1" l="1"/>
  <c r="AE11" i="1" s="1"/>
  <c r="BQ11" i="1"/>
  <c r="AD8" i="1"/>
  <c r="AE8" i="1" s="1"/>
  <c r="BQ8" i="1"/>
  <c r="AD7" i="1"/>
  <c r="AE7" i="1" s="1"/>
  <c r="BQ7" i="1"/>
  <c r="AD4" i="1"/>
  <c r="AE4" i="1" s="1"/>
  <c r="BQ4" i="1"/>
  <c r="AD13" i="1"/>
  <c r="AE13" i="1" s="1"/>
  <c r="BQ13" i="1"/>
  <c r="AD9" i="1"/>
  <c r="AE9" i="1" s="1"/>
  <c r="BQ9" i="1"/>
  <c r="AD12" i="1"/>
  <c r="AE12" i="1" s="1"/>
  <c r="BQ12" i="1"/>
  <c r="AD10" i="1"/>
  <c r="AE10" i="1" s="1"/>
  <c r="BQ10" i="1"/>
  <c r="AD6" i="1"/>
  <c r="AE6" i="1" s="1"/>
  <c r="BQ6" i="1"/>
  <c r="AH6" i="1"/>
  <c r="AI6" i="1" s="1"/>
  <c r="AH7" i="1"/>
  <c r="AI7" i="1" s="1"/>
  <c r="AH8" i="1"/>
  <c r="AI8" i="1" s="1"/>
  <c r="AH10" i="1"/>
  <c r="AI10" i="1" s="1"/>
  <c r="AH13" i="1"/>
  <c r="AI13" i="1" s="1"/>
  <c r="AH9" i="1"/>
  <c r="AI9" i="1" s="1"/>
  <c r="AH11" i="1"/>
  <c r="AI11" i="1" s="1"/>
  <c r="AH4" i="1"/>
  <c r="AI4" i="1" s="1"/>
  <c r="AH12" i="1"/>
  <c r="AI12" i="1" s="1"/>
</calcChain>
</file>

<file path=xl/sharedStrings.xml><?xml version="1.0" encoding="utf-8"?>
<sst xmlns="http://schemas.openxmlformats.org/spreadsheetml/2006/main" count="672" uniqueCount="261">
  <si>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</si>
  <si>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</si>
  <si>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</si>
  <si>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</si>
  <si>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</si>
  <si>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</si>
  <si>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</si>
  <si>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</si>
  <si>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</si>
  <si>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</si>
  <si>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</si>
  <si>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</si>
  <si>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</si>
  <si>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</si>
  <si>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</si>
  <si>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</si>
  <si>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</si>
  <si>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</si>
  <si>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</si>
  <si>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</si>
  <si>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</si>
  <si>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</si>
  <si>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</si>
  <si>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</si>
  <si>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</si>
  <si>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</si>
  <si>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</si>
  <si>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</si>
  <si>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</si>
  <si>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</si>
  <si>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</si>
  <si>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</si>
  <si>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</si>
  <si>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</si>
  <si>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</si>
  <si>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</si>
  <si>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</si>
  <si>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</si>
  <si>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</si>
  <si>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</si>
  <si>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</si>
  <si>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</si>
  <si>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</si>
  <si>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</si>
  <si>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</si>
  <si>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</si>
  <si>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</si>
  <si>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</si>
  <si>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</si>
  <si>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</si>
  <si>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</si>
  <si>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</si>
  <si>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</si>
  <si>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</si>
  <si>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</si>
  <si>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</si>
  <si>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</si>
  <si>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</si>
  <si>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</si>
  <si>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</si>
  <si>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</si>
  <si>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</si>
  <si>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</si>
  <si>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</si>
  <si>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J1270W</t>
  </si>
  <si>
    <t>J1271W</t>
  </si>
  <si>
    <t>J1266W</t>
  </si>
  <si>
    <t>J1267W</t>
  </si>
  <si>
    <t>J1268W</t>
  </si>
  <si>
    <t>J1269W</t>
  </si>
  <si>
    <t>J1284W</t>
  </si>
  <si>
    <t>J1285W</t>
  </si>
  <si>
    <t>J1286W</t>
  </si>
  <si>
    <t>J1287W</t>
  </si>
  <si>
    <t>J1288W</t>
  </si>
  <si>
    <t>J1290W</t>
  </si>
  <si>
    <t>J1291W</t>
  </si>
  <si>
    <t>J1292W</t>
  </si>
  <si>
    <t>J1293W</t>
  </si>
  <si>
    <t>J1289W</t>
  </si>
  <si>
    <t>J1320W</t>
  </si>
  <si>
    <t>J1321W</t>
  </si>
  <si>
    <t>J1319W</t>
  </si>
  <si>
    <t>J1325W</t>
  </si>
  <si>
    <t>J1326W</t>
  </si>
  <si>
    <t>J1331W</t>
  </si>
  <si>
    <t>J1332W</t>
  </si>
  <si>
    <t>J1333W</t>
  </si>
  <si>
    <t>J1334W</t>
  </si>
  <si>
    <t>J1335W</t>
  </si>
  <si>
    <t>J1336W</t>
  </si>
  <si>
    <t>J1338W</t>
  </si>
  <si>
    <t>J1355W</t>
  </si>
  <si>
    <t>J1356W</t>
  </si>
  <si>
    <t>J1368W</t>
  </si>
  <si>
    <t>J1369W</t>
  </si>
  <si>
    <t>J1370W</t>
  </si>
  <si>
    <t>J1389W</t>
  </si>
  <si>
    <t>J1441W</t>
  </si>
  <si>
    <t>J1442W</t>
  </si>
  <si>
    <t>J1484W</t>
  </si>
  <si>
    <t>J1530W</t>
  </si>
  <si>
    <t>J1531W</t>
  </si>
  <si>
    <t>J1532W</t>
  </si>
  <si>
    <t>J1535W</t>
  </si>
  <si>
    <t>J1536W</t>
  </si>
  <si>
    <t>J1538W</t>
  </si>
  <si>
    <t>J1556W</t>
  </si>
  <si>
    <t>J1557W</t>
  </si>
  <si>
    <t>J1565W</t>
  </si>
  <si>
    <t>J1583W</t>
  </si>
  <si>
    <t>J1585W</t>
  </si>
  <si>
    <t>J1586W</t>
  </si>
  <si>
    <t>J1587W</t>
  </si>
  <si>
    <t>J1588W</t>
  </si>
  <si>
    <t>J1589W</t>
  </si>
  <si>
    <t>J1590W</t>
  </si>
  <si>
    <t>J3189X</t>
  </si>
  <si>
    <t>J550WH</t>
  </si>
  <si>
    <t>J549WH</t>
  </si>
  <si>
    <t>ﾊﾟｯｸｽﾀｲﾙ/ﾘﾕｰｽﾚｼﾞ袋 1000枚</t>
  </si>
  <si>
    <t>ﾊﾟｯｸｽﾀｲﾙ/ﾚｼﾞ袋 LL 半透明 100枚</t>
  </si>
  <si>
    <t>ﾊﾟｯｸｽﾀｲﾙ/ﾚｼﾞ袋 S 乳白 100枚</t>
  </si>
  <si>
    <t>ﾊﾟｯｸｽﾀｲﾙ/ﾚｼﾞ袋 M 乳白 100枚</t>
  </si>
  <si>
    <t>ﾊﾟｯｸｽﾀｲﾙ/ﾚｼﾞ袋 L 乳白 100枚</t>
  </si>
  <si>
    <t>ﾊﾟｯｸｽﾀｲﾙ/ﾚｼﾞ袋 LL 乳白 100枚</t>
  </si>
  <si>
    <t>ﾊﾟｯｸｽﾀｲﾙ/ﾎﾟﾘ規格袋 025 NO.09 100枚</t>
  </si>
  <si>
    <t>ﾊﾟｯｸｽﾀｲﾙ/ﾎﾟﾘ規格袋 025 NO.10 100枚</t>
  </si>
  <si>
    <t>ﾊﾟｯｸｽﾀｲﾙ/ﾎﾟﾘ規格袋 025 NO.11 100枚</t>
  </si>
  <si>
    <t>ﾊﾟｯｸｽﾀｲﾙ/ﾎﾟﾘ規格袋 025 NO.12 100枚</t>
  </si>
  <si>
    <t>ﾊﾟｯｸｽﾀｲﾙ/ﾎﾟﾘ規格袋 025 NO.13 100枚</t>
  </si>
  <si>
    <t>ﾊﾟｯｸｽﾀｲﾙ/ﾎﾟﾘ規格袋 025 NO.15 100枚</t>
  </si>
  <si>
    <t>ﾊﾟｯｸｽﾀｲﾙ/弁当用ﾚｼﾞ袋 乳白 特大 100枚</t>
  </si>
  <si>
    <t>ﾊﾟｯｸｽﾀｲﾙ/弁当用ﾚｼﾞ袋 乳白 大 100枚</t>
  </si>
  <si>
    <t>ﾊﾟｯｸｽﾀｲﾙ/弁当用ﾚｼﾞ袋 乳白 小 100枚</t>
  </si>
  <si>
    <t>ﾊﾟｯｸｽﾀｲﾙ/ﾎﾟﾘ規格袋 025 NO.14 100枚</t>
  </si>
  <si>
    <t>ﾊﾟｯｸｽﾀｲﾙ/ﾚｼﾞ袋 M 半透明 100枚</t>
  </si>
  <si>
    <t>ﾊﾟｯｸｽﾀｲﾙ/ﾚｼﾞ袋 L 半透明 100枚</t>
  </si>
  <si>
    <t>ﾊﾟｯｸｽﾀｲﾙ/ﾚｼﾞ袋 S 半透明 100枚</t>
  </si>
  <si>
    <t>ﾊﾟｯｸｽﾀｲﾙ/贈答箱 BPｱｿｰﾄﾎﾞｯｸｽ ｱｸｱﾌﾞﾗｯｸ 3個用 100枚</t>
  </si>
  <si>
    <t>ﾊﾟｯｸｽﾀｲﾙ/小巻 ﾛｰﾙﾎﾟﾘ 12号 800枚</t>
  </si>
  <si>
    <t>ﾊﾟｯｸｽﾀｲﾙ/青果物用 OPP防曇袋 8号 穴4 100枚×10袋</t>
  </si>
  <si>
    <t>ﾊﾟｯｸｽﾀｲﾙ/青果物用 OPP防曇袋 9号 穴4 100枚×10袋</t>
  </si>
  <si>
    <t>ﾊﾟｯｸｽﾀｲﾙ/青果物用 OPP防曇袋 10号 穴4 100枚×10袋</t>
  </si>
  <si>
    <t>ﾊﾟｯｸｽﾀｲﾙ/青果物用 OPP防曇袋 11号 穴4 100枚×10袋</t>
  </si>
  <si>
    <t>ﾊﾟｯｸｽﾀｲﾙ/青果物用 OPP防曇袋 12号 穴4 100枚×10袋</t>
  </si>
  <si>
    <t>ﾊﾟｯｸｽﾀｲﾙ/青果物用 OPP防曇袋 13号 穴4 100枚×10袋</t>
  </si>
  <si>
    <t>ﾊﾟｯｸｽﾀｲﾙ/贈答箱 BPｱｿｰﾄﾎﾞｯｸｽ 2P ﾌﾞﾗｯｸ 2個用 50枚</t>
  </si>
  <si>
    <t>ﾊﾟｯｸｽﾀｲﾙ/焼き芋ｶﾞｾﾞｯﾄ 平袋 未晒 100枚</t>
  </si>
  <si>
    <t>ﾊﾟｯｸｽﾀｲﾙ/焼き芋ｶﾞｾﾞｯﾄ 平袋 晒 100枚</t>
  </si>
  <si>
    <t>ﾊﾟｯｸｽﾀｲﾙ/ﾛｰﾙﾎﾟﾘ袋 11号E 2800枚</t>
  </si>
  <si>
    <t>ﾊﾟｯｸｽﾀｲﾙ/ﾛｰﾙﾎﾟﾘ袋 12号E 2800枚</t>
  </si>
  <si>
    <t>ﾊﾟｯｸｽﾀｲﾙ/ﾛｰﾙﾎﾟﾘ袋 13号E 2800枚</t>
  </si>
  <si>
    <t>ﾊﾟｯｸｽﾀｲﾙ/BPﾌﾙｰﾂ 掛帯ﾌｨﾙﾑ 透明 5000枚</t>
  </si>
  <si>
    <t>ﾊﾟｯｸｽﾀｲﾙ/ｽｲｶ袋 ｳｪｰﾌﾞ L 1000枚</t>
  </si>
  <si>
    <t>ﾊﾟｯｸｽﾀｲﾙ/ｽｲｶ袋 ﾎﾞｰﾀﾞｰ L 1000枚</t>
  </si>
  <si>
    <t>ﾊﾟｯｸｽﾀｲﾙ/ｽｲｶ袋 ﾎﾞｰﾀﾞｰ S 1000枚</t>
  </si>
  <si>
    <t>ﾊﾟｯｸｽﾀｲﾙ/ｺﾝﾃﾅｽﾘｰﾌﾞ ｴﾝﾎﾞｽ 茶無地 50枚</t>
  </si>
  <si>
    <t>ﾊﾟｯｸｽﾀｲﾙ/ｺﾝﾃﾅｽﾘｰﾌﾞ 木箱 50枚</t>
  </si>
  <si>
    <t>ﾊﾟｯｸｽﾀｲﾙ/手提箱 ｲﾁｺﾞ2P ﾘｯﾁﾚｯﾄﾞ 小 100枚</t>
  </si>
  <si>
    <t>ﾊﾟｯｸｽﾀｲﾙ/ｴﾝﾎﾞｽ加工 ﾛｰﾙﾎﾟﾘ袋 11号 2800枚</t>
  </si>
  <si>
    <t>ﾊﾟｯｸｽﾀｲﾙ/ｴﾝﾎﾞｽ加工 ﾛｰﾙﾎﾟﾘ袋 12号 2800枚</t>
  </si>
  <si>
    <t>ﾊﾟｯｸｽﾀｲﾙ/ｽｲｶ袋 ﾎﾞｰﾀﾞｰ M 1000枚</t>
  </si>
  <si>
    <t>ﾊﾟｯｸｽﾀｲﾙ/惣菜袋 焼き芋 平袋 片面ｸﾘｱ 100枚</t>
  </si>
  <si>
    <t>ﾊﾟｯｸｽﾀｲﾙ/ｺﾝﾃﾅｽﾘｰﾌﾞ ﾐｯｸｽｳｯﾄﾞ 50枚</t>
  </si>
  <si>
    <t>ﾊﾟｯｸｽﾀｲﾙ/ｽｲｶ袋 ｳｪｰﾌﾞ M 1000枚</t>
  </si>
  <si>
    <t>ﾊﾟｯｸｽﾀｲﾙ/ﾊﾞｲｵﾏｽﾚｼﾞ袋30 S 乳白 100枚</t>
  </si>
  <si>
    <t>ﾊﾟｯｸｽﾀｲﾙ/ﾊﾞｲｵﾏｽﾚｼﾞ袋30 L 乳白 100枚</t>
  </si>
  <si>
    <t>ﾊﾟｯｸｽﾀｲﾙ/ﾊﾞｲｵﾏｽﾚｼﾞ袋30 LL 乳白 100枚</t>
  </si>
  <si>
    <t>ﾊﾟｯｸｽﾀｲﾙ/ｺﾝﾃﾅｽﾘｰﾌﾞ 茶木目MS 50枚</t>
  </si>
  <si>
    <t>ﾊﾟｯｸｽﾀｲﾙ/ﾊﾞｲｵﾏｽ弁当用 ﾚｼﾞ袋30 小 乳白 100枚</t>
  </si>
  <si>
    <t>ﾊﾟｯｸｽﾀｲﾙ/ﾊﾞｲｵﾏｽ弁当用 ﾚｼﾞ袋30 大 乳白 100枚</t>
  </si>
  <si>
    <t>ﾊﾟｯｸｽﾀｲﾙ/ﾊﾞｲｵﾏｽ弁当袋30 特大 乳白 100枚</t>
  </si>
  <si>
    <t>福助/ｼﾞｬﾝﾎﾞﾊﾞｯｸﾞE 乳白 200枚 0470759</t>
  </si>
  <si>
    <t>福助/ﾆｭ-ｲ-ｼﾞ-ﾊﾞｲｵ 長舌片 M 乳白 100枚/00173382</t>
  </si>
  <si>
    <t>福助/ﾎﾟﾘﾃｨｯｼｭE 大 1000枚入/00358397</t>
  </si>
  <si>
    <t>-</t>
  </si>
  <si>
    <t>-</t>
    <phoneticPr fontId="2"/>
  </si>
  <si>
    <t>パックスタイル PS リユースレジ袋 427506 1袋(100個)（直送品）</t>
  </si>
  <si>
    <t>パックスタイル PS レジ袋 LL 半透明 00427507 1袋(100枚)</t>
  </si>
  <si>
    <t>パックスタイル PS レジ袋 S 乳白 00427499 1包(100枚)</t>
  </si>
  <si>
    <t>【レジ袋】 パックスタイル PS レジ袋 M 乳白 00427502 100枚</t>
  </si>
  <si>
    <t>パックスタイル PS レジ袋 L 乳白 100枚 00427503</t>
  </si>
  <si>
    <t>【レジ袋】 パックスタイル PS レジ袋 LL 乳白 100枚</t>
  </si>
  <si>
    <t>パックスタイル ポリ袋 PSポリ規格袋 025 NO.09 434962 1袋(100個)（直送品）</t>
  </si>
  <si>
    <t>パックスタイル ポリ袋 PSポリ規格袋 025 NO.10 434963 1袋(100個)</t>
  </si>
  <si>
    <t>パックスタイル ポリ袋 PSポリ規格袋 025 NO.11 434964 1袋(100個)（直送品）</t>
  </si>
  <si>
    <t>パックスタイル ポリ袋 PSポリ規格袋 025 NO.12 434965 1袋(100個)</t>
  </si>
  <si>
    <t>パックスタイル ポリ袋 PSポリ規格袋 025 NO.15 434968 1袋(100個)（直送品）</t>
  </si>
  <si>
    <t>パックスタイル PS 弁当袋 乳白 特大 00434969 1袋(100枚)</t>
  </si>
  <si>
    <t>【レジ袋】 パックスタイル PS弁当袋 乳白 大 1袋（100枚）</t>
  </si>
  <si>
    <t>パックスタイル PS 弁当用レジ袋 乳白 小 00434971 1袋(100個)</t>
  </si>
  <si>
    <t>パックスタイル ポリ袋 PSポリ規格袋 025 NO.14 434967 1袋(100個)（直送品）</t>
  </si>
  <si>
    <t>パックスタイル PS レジ袋 M 半透明 440646 1袋(100個)（直送品）</t>
  </si>
  <si>
    <t>パックスタイル PS レジ袋 L 半透明 00440647 1袋(100枚)</t>
  </si>
  <si>
    <t>パックスタイル PS レジ袋 S 半透明 00440645 1袋(100枚)</t>
  </si>
  <si>
    <t>パックスタイル ポリ袋 PS小巻ロールポリ 12号 800枚 446678 1巻</t>
  </si>
  <si>
    <t>パックスタイル PS 焼き芋ガゼット 平袋 未晒 00486896 1袋(100枚)</t>
  </si>
  <si>
    <t>パックスタイル PS 焼き芋ガゼット 平袋 晒 00486897 1袋(100枚)</t>
  </si>
  <si>
    <t>パックスタイル ロールポリ袋 13号E 495315 1袋</t>
  </si>
  <si>
    <t>パックスタイル 青果用袋 PS スイカ袋 ボーダー L JAN無 540900 1袋(50個)（直送品）</t>
  </si>
  <si>
    <t>パックスタイル PSロールポリ 11号(エンボス加工) 594265 1本</t>
  </si>
  <si>
    <t>パックスタイル PSロールポリ 12号(エンボス加工) 594266 1本</t>
  </si>
  <si>
    <t>パックスタイル 焼き芋平袋 片面クリア 610166 1個(100枚)</t>
  </si>
  <si>
    <t>パックスタイル POP用品 コンテナスリーブ ミックスウッド 00610168 1袋(10個)（直送品）</t>
  </si>
  <si>
    <t>パックスタイル 青果用袋 PS スイカ袋 ウェーブ M JAN無 618664 1袋(50個)（直送品）</t>
  </si>
  <si>
    <t>パックスタイル バイオマス弁当用レジ袋30 小 乳白 629745 1袋(100個)</t>
  </si>
  <si>
    <t>パックスタイル バイオマス弁当袋30 大 乳白 629746 1セット(100枚)</t>
  </si>
  <si>
    <t>【レジ袋】 パックスタイル バイオマス弁当袋30 特大 乳白 629747 1袋（100枚）</t>
  </si>
  <si>
    <t>福助工業 レジ袋 ニューイージーバッグバイオ25 長舌片 M 乳白 0364118 1袋(100枚)</t>
  </si>
  <si>
    <t>福助工業 ハイデンポリ袋 ポリティッシュE 大 1000枚入 00358397 1袋(1個)</t>
  </si>
  <si>
    <t>EE33669</t>
  </si>
  <si>
    <t>1袋（100個）</t>
  </si>
  <si>
    <t>RN55523</t>
  </si>
  <si>
    <t>1袋（100枚）</t>
  </si>
  <si>
    <t>HJ30921</t>
  </si>
  <si>
    <t>1包（100枚）</t>
  </si>
  <si>
    <t>NA01564</t>
  </si>
  <si>
    <t>100枚</t>
  </si>
  <si>
    <t>AR32220</t>
  </si>
  <si>
    <t>KU79867</t>
  </si>
  <si>
    <t>EE33674</t>
  </si>
  <si>
    <t>EE33675</t>
  </si>
  <si>
    <t>EE33677</t>
  </si>
  <si>
    <t>EE33676</t>
  </si>
  <si>
    <t>EE33684</t>
  </si>
  <si>
    <t>WN77150</t>
  </si>
  <si>
    <t>KU79870</t>
  </si>
  <si>
    <t>EE35741</t>
  </si>
  <si>
    <t>EE33679</t>
  </si>
  <si>
    <t>EE33693</t>
  </si>
  <si>
    <t>EN74576</t>
  </si>
  <si>
    <t>HU91436</t>
  </si>
  <si>
    <t>EE33694</t>
  </si>
  <si>
    <t>1巻</t>
  </si>
  <si>
    <t>HU91433</t>
  </si>
  <si>
    <t>HU91435</t>
  </si>
  <si>
    <t>UK25287</t>
  </si>
  <si>
    <t>1袋</t>
  </si>
  <si>
    <t>EE35683</t>
  </si>
  <si>
    <t>1袋（50個）</t>
  </si>
  <si>
    <t>HH64130</t>
  </si>
  <si>
    <t>1本</t>
  </si>
  <si>
    <t>EN73830</t>
  </si>
  <si>
    <t>HH65492</t>
  </si>
  <si>
    <t>1個（100枚）</t>
  </si>
  <si>
    <t>EE32857</t>
  </si>
  <si>
    <t>1袋（10個）</t>
  </si>
  <si>
    <t>EE34059</t>
  </si>
  <si>
    <t>EE38284</t>
  </si>
  <si>
    <t>HJ31906</t>
  </si>
  <si>
    <t>1セット（100枚）</t>
  </si>
  <si>
    <t>KU81044</t>
  </si>
  <si>
    <t>RJ10899</t>
  </si>
  <si>
    <t>XU48856</t>
  </si>
  <si>
    <t>1袋（1個）</t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</si>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</sst>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R59"/>
  <sheetViews>
    <sheetView tabSelected="1" zoomScale="90" zoomScaleNormal="90" workbookViewId="0">
      <pane xSplit="7" ySplit="5" topLeftCell="M40" activePane="bottomRight" state="frozen"/>
      <selection pane="topRight" activeCell="G1" sqref="G1"/>
      <selection pane="bottomLeft" activeCell="A5" sqref="A5"/>
      <selection pane="bottomRight" activeCell="AK4" sqref="AK4"/>
    </sheetView>
  </sheetViews>
  <sheetFormatPr defaultRowHeight="18.75" outlineLevelCol="1" x14ac:dyDescent="0.4"/>
  <cols>
    <col min="1" max="2" width="3.125" customWidth="1"/>
    <col min="3" max="5" width="7.875" customWidth="1"/>
    <col min="6" max="6" width="46.8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6.625" customWidth="1" collapsed="1"/>
    <col min="26" max="28" width="6.625" customWidth="1"/>
    <col min="29" max="29" width="4.375" customWidth="1" collapsed="1"/>
    <col min="30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8" width="7.625" customWidth="1"/>
    <col min="59" max="60" width="9" customWidth="1"/>
    <col min="61" max="69" width="7.625" customWidth="1"/>
  </cols>
  <sheetData>
    <row r="1" spans="1:70" x14ac:dyDescent="0.4">
      <c r="C1" s="29" t="s">
        <v>49</v>
      </c>
      <c r="Y1" s="38" t="s">
        <v>46</v>
      </c>
      <c r="Z1" s="39"/>
      <c r="AA1" s="39"/>
      <c r="AB1" s="40"/>
    </row>
    <row r="2" spans="1:70" x14ac:dyDescent="0.4">
      <c r="C2" s="8" t="s">
        <v>33</v>
      </c>
      <c r="D2" s="9" t="s">
        <v>34</v>
      </c>
      <c r="E2" s="9" t="s">
        <v>35</v>
      </c>
      <c r="F2" s="10"/>
      <c r="G2" s="10"/>
      <c r="H2" s="32"/>
      <c r="I2" s="32"/>
      <c r="J2" s="35" t="s">
        <v>36</v>
      </c>
      <c r="K2" s="37"/>
      <c r="L2" s="35" t="s">
        <v>2</v>
      </c>
      <c r="M2" s="36"/>
      <c r="N2" s="36"/>
      <c r="O2" s="37"/>
      <c r="P2" s="11"/>
      <c r="Q2" s="31"/>
      <c r="R2" s="31"/>
      <c r="S2" s="31"/>
      <c r="T2" s="31"/>
      <c r="U2" s="31"/>
      <c r="V2" s="31"/>
      <c r="W2" s="31"/>
      <c r="X2" s="31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11"/>
      <c r="AG2" s="11"/>
      <c r="AH2" s="11"/>
      <c r="AI2" s="11"/>
      <c r="AJ2" s="11"/>
      <c r="AK2" s="22" t="s">
        <v>47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0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2" t="s">
        <v>50</v>
      </c>
      <c r="AG3" s="12" t="s">
        <v>45</v>
      </c>
      <c r="AH3" s="12" t="s">
        <v>61</v>
      </c>
      <c r="AI3" s="2" t="s">
        <v>16</v>
      </c>
      <c r="AJ3" s="2" t="s">
        <v>44</v>
      </c>
      <c r="AK3" s="13" t="s">
        <v>37</v>
      </c>
      <c r="AL3" s="2" t="s">
        <v>16</v>
      </c>
      <c r="AM3" s="2" t="s">
        <v>38</v>
      </c>
      <c r="AN3" s="26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48</v>
      </c>
      <c r="BH3" s="2" t="s">
        <v>62</v>
      </c>
      <c r="BI3" s="2" t="s">
        <v>259</v>
      </c>
      <c r="BJ3" s="2" t="s">
        <v>15</v>
      </c>
      <c r="BK3" s="18" t="s">
        <v>51</v>
      </c>
      <c r="BL3" s="18" t="s">
        <v>52</v>
      </c>
      <c r="BM3" s="15" t="s">
        <v>58</v>
      </c>
      <c r="BN3" s="33" t="s">
        <v>256</v>
      </c>
      <c r="BO3" s="34" t="s">
        <v>257</v>
      </c>
      <c r="BP3" s="34" t="s">
        <v>260</v>
      </c>
      <c r="BQ3" s="34" t="s">
        <v>258</v>
      </c>
      <c r="BR3" t="s">
        <v>56</v>
      </c>
    </row>
    <row r="4" spans="1:70" x14ac:dyDescent="0.4">
      <c r="A4" s="3">
        <v>1</v>
      </c>
      <c r="B4" s="3">
        <v>1</v>
      </c>
      <c r="C4" s="4" t="s">
        <v>64</v>
      </c>
      <c r="D4" s="4" t="str">
        <f>TEXT(C4,"000000")</f>
        <v>J1270W</v>
      </c>
      <c r="E4" s="4" t="s">
        <v>64</v>
      </c>
      <c r="F4" s="4" t="s">
        <v>120</v>
      </c>
      <c r="G4" s="5">
        <v>4562154311082</v>
      </c>
      <c r="H4" s="5"/>
      <c r="I4" s="5"/>
      <c r="J4" s="5">
        <v>1</v>
      </c>
      <c r="K4" s="5">
        <v>1</v>
      </c>
      <c r="L4" s="4">
        <v>0</v>
      </c>
      <c r="M4" s="4">
        <v>8753</v>
      </c>
      <c r="N4" s="4">
        <v>6450</v>
      </c>
      <c r="O4" s="6">
        <f t="shared" ref="O4:O13" si="0">1-N4/M4</f>
        <v>0.26310979092882436</v>
      </c>
      <c r="P4" s="4" t="s">
        <v>177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9129.9999999999982</v>
      </c>
      <c r="AB4" s="4">
        <f>IF(AC4="",AA4,AA4*AC4)</f>
        <v>9129.9999999999982</v>
      </c>
      <c r="AC4" s="4"/>
      <c r="AD4" s="21">
        <f t="shared" ref="AD4:AD22" si="1">ROUND(M4*AS4,0)</f>
        <v>12390</v>
      </c>
      <c r="AE4" s="6">
        <f t="shared" ref="AE4" si="2">1-AB4/AD4</f>
        <v>0.26311541565778873</v>
      </c>
      <c r="AF4" s="4">
        <v>0</v>
      </c>
      <c r="AG4" s="4">
        <f>BJ4</f>
        <v>10330</v>
      </c>
      <c r="AH4" s="4">
        <f>IFERROR(AG4*AS4,"-")</f>
        <v>14622.155038759687</v>
      </c>
      <c r="AI4" s="6">
        <f t="shared" ref="AI4:AI22" si="3">1-AB4/AH4</f>
        <v>0.37560503388189737</v>
      </c>
      <c r="AJ4" s="4">
        <f>ROUND(AB4/0.65,0)</f>
        <v>14046</v>
      </c>
      <c r="AK4" s="7">
        <v>13200</v>
      </c>
      <c r="AL4" s="6">
        <f t="shared" ref="AL4:AL22" si="4">1-AB4/AK4</f>
        <v>0.30833333333333346</v>
      </c>
      <c r="AM4" s="4">
        <f t="shared" ref="AM4:AM22" si="5">AK4-AB4</f>
        <v>4070.0000000000018</v>
      </c>
      <c r="AN4" s="28"/>
      <c r="AO4" s="6" t="e">
        <f>1-AB4/AN4</f>
        <v>#DIV/0!</v>
      </c>
      <c r="AP4" s="4">
        <f>AN4-AB4</f>
        <v>-9129.9999999999982</v>
      </c>
      <c r="AQ4" s="6" t="e">
        <f t="shared" ref="AQ4:AQ22" si="6">Z4/L4</f>
        <v>#DIV/0!</v>
      </c>
      <c r="AR4" s="6">
        <f t="shared" ref="AR4:AR22" si="7">AK4/M4</f>
        <v>1.5080543813549641</v>
      </c>
      <c r="AS4" s="6">
        <f t="shared" ref="AS4:AS22" si="8">AB4/N4</f>
        <v>1.415503875968992</v>
      </c>
      <c r="AT4" s="4" t="str">
        <f>IFERROR(ROUND($AK4*P4/$M4,0),"-")</f>
        <v>-</v>
      </c>
      <c r="AU4" s="4" t="str">
        <f>IF(Q4="","-",Q4)</f>
        <v>-</v>
      </c>
      <c r="AV4" s="4" t="str">
        <f>IF(R4="","-",R4)</f>
        <v>-</v>
      </c>
      <c r="AW4" s="4"/>
      <c r="AX4" s="4"/>
      <c r="AY4" s="4"/>
      <c r="AZ4" s="4"/>
      <c r="BA4" s="4"/>
      <c r="BB4" s="4"/>
      <c r="BC4" s="4">
        <v>0</v>
      </c>
      <c r="BD4" s="4" t="s">
        <v>211</v>
      </c>
      <c r="BE4" s="4">
        <v>1000</v>
      </c>
      <c r="BF4" s="4">
        <v>100</v>
      </c>
      <c r="BG4" s="4" t="s">
        <v>212</v>
      </c>
      <c r="BH4" s="4">
        <v>1033</v>
      </c>
      <c r="BI4" s="4">
        <v>1033</v>
      </c>
      <c r="BJ4" s="4">
        <f t="shared" ref="BJ4:BJ5" si="9">IF(BE4="",BI4,BE4/BF4*BI4)</f>
        <v>10330</v>
      </c>
      <c r="BK4" s="19">
        <v>2</v>
      </c>
      <c r="BL4" s="19">
        <v>8</v>
      </c>
      <c r="BM4" s="16">
        <v>18</v>
      </c>
      <c r="BN4" t="s">
        <v>177</v>
      </c>
      <c r="BO4" t="s">
        <v>176</v>
      </c>
      <c r="BP4" t="s">
        <v>176</v>
      </c>
      <c r="BQ4" t="str">
        <f>IFERROR(BP4*AS4,"-")</f>
        <v>-</v>
      </c>
      <c r="BR4" t="s">
        <v>178</v>
      </c>
    </row>
    <row r="5" spans="1:70" x14ac:dyDescent="0.4">
      <c r="A5" s="3">
        <v>2</v>
      </c>
      <c r="B5" s="3">
        <v>2</v>
      </c>
      <c r="C5" s="4" t="s">
        <v>65</v>
      </c>
      <c r="D5" s="4" t="str">
        <f t="shared" ref="D5:D13" si="10">TEXT(C5,"000000")</f>
        <v>J1271W</v>
      </c>
      <c r="E5" s="4" t="s">
        <v>65</v>
      </c>
      <c r="F5" s="4" t="s">
        <v>121</v>
      </c>
      <c r="G5" s="5">
        <v>4562154311105</v>
      </c>
      <c r="H5" s="5"/>
      <c r="I5" s="5"/>
      <c r="J5" s="5">
        <v>1</v>
      </c>
      <c r="K5" s="5">
        <v>1</v>
      </c>
      <c r="L5" s="4">
        <v>0</v>
      </c>
      <c r="M5" s="4">
        <v>515</v>
      </c>
      <c r="N5" s="4">
        <v>350</v>
      </c>
      <c r="O5" s="6">
        <f t="shared" si="0"/>
        <v>0.32038834951456308</v>
      </c>
      <c r="P5" s="4" t="s">
        <v>177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3" si="11">IF(AC5="",Y5,Y5*AC5)</f>
        <v>0</v>
      </c>
      <c r="AA5" s="4">
        <v>509.99999999999994</v>
      </c>
      <c r="AB5" s="4">
        <f t="shared" ref="AB5:AB13" si="12">IF(AC5="",AA5,AA5*AC5)</f>
        <v>509.99999999999994</v>
      </c>
      <c r="AC5" s="4"/>
      <c r="AD5" s="21">
        <f t="shared" si="1"/>
        <v>750</v>
      </c>
      <c r="AE5" s="6">
        <f t="shared" ref="AE5" si="13">1-AB5/AD5</f>
        <v>0.32000000000000006</v>
      </c>
      <c r="AF5" s="4">
        <v>0.5</v>
      </c>
      <c r="AG5" s="4">
        <f t="shared" ref="AG5:AG13" si="14">BJ5</f>
        <v>541</v>
      </c>
      <c r="AH5" s="4">
        <f t="shared" ref="AH5:AH59" si="15">IFERROR(AG5*AS5,"-")</f>
        <v>788.31428571428569</v>
      </c>
      <c r="AI5" s="6">
        <f t="shared" si="3"/>
        <v>0.35304990757855825</v>
      </c>
      <c r="AJ5" s="4">
        <f t="shared" ref="AJ5:AJ59" si="16">ROUND(AB5/0.65,0)</f>
        <v>785</v>
      </c>
      <c r="AK5" s="7">
        <v>780</v>
      </c>
      <c r="AL5" s="6">
        <f t="shared" si="4"/>
        <v>0.34615384615384626</v>
      </c>
      <c r="AM5" s="4">
        <f t="shared" si="5"/>
        <v>270.00000000000006</v>
      </c>
      <c r="AN5" s="28"/>
      <c r="AO5" s="6"/>
      <c r="AP5" s="6"/>
      <c r="AQ5" s="6" t="e">
        <f t="shared" si="6"/>
        <v>#DIV/0!</v>
      </c>
      <c r="AR5" s="6">
        <f t="shared" si="7"/>
        <v>1.5145631067961165</v>
      </c>
      <c r="AS5" s="6">
        <f t="shared" si="8"/>
        <v>1.4571428571428571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213</v>
      </c>
      <c r="BE5" s="4"/>
      <c r="BF5" s="4"/>
      <c r="BG5" s="4" t="s">
        <v>214</v>
      </c>
      <c r="BH5" s="4">
        <v>541</v>
      </c>
      <c r="BI5" s="4">
        <v>541</v>
      </c>
      <c r="BJ5" s="4">
        <f t="shared" si="9"/>
        <v>541</v>
      </c>
      <c r="BK5" s="19">
        <v>4</v>
      </c>
      <c r="BL5" s="19">
        <v>8</v>
      </c>
      <c r="BM5" s="16">
        <v>18</v>
      </c>
      <c r="BN5" t="s">
        <v>177</v>
      </c>
      <c r="BO5" t="s">
        <v>176</v>
      </c>
      <c r="BP5" t="s">
        <v>176</v>
      </c>
      <c r="BQ5" t="str">
        <f t="shared" ref="BQ5:BQ59" si="17">IFERROR(BP5*AS5,"-")</f>
        <v>-</v>
      </c>
      <c r="BR5" t="s">
        <v>179</v>
      </c>
    </row>
    <row r="6" spans="1:70" x14ac:dyDescent="0.4">
      <c r="A6" s="3">
        <v>3</v>
      </c>
      <c r="B6" s="3">
        <v>3</v>
      </c>
      <c r="C6" s="17" t="s">
        <v>66</v>
      </c>
      <c r="D6" s="4" t="str">
        <f t="shared" si="10"/>
        <v>J1266W</v>
      </c>
      <c r="E6" s="4" t="s">
        <v>66</v>
      </c>
      <c r="F6" s="4" t="s">
        <v>122</v>
      </c>
      <c r="G6" s="5">
        <v>4562154311044</v>
      </c>
      <c r="H6" s="5"/>
      <c r="I6" s="5"/>
      <c r="J6" s="5">
        <v>1</v>
      </c>
      <c r="K6" s="5">
        <v>1</v>
      </c>
      <c r="L6" s="4">
        <v>0</v>
      </c>
      <c r="M6" s="4">
        <v>195</v>
      </c>
      <c r="N6" s="4">
        <v>133</v>
      </c>
      <c r="O6" s="6">
        <f t="shared" si="0"/>
        <v>0.31794871794871793</v>
      </c>
      <c r="P6" s="4" t="s">
        <v>177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1"/>
        <v>0</v>
      </c>
      <c r="AA6" s="4">
        <v>198</v>
      </c>
      <c r="AB6" s="4">
        <f t="shared" si="12"/>
        <v>198</v>
      </c>
      <c r="AC6" s="4"/>
      <c r="AD6" s="21">
        <f t="shared" si="1"/>
        <v>290</v>
      </c>
      <c r="AE6" s="6">
        <f t="shared" ref="AE6:AE13" si="18">1-AB6/AD6</f>
        <v>0.3172413793103448</v>
      </c>
      <c r="AF6" s="4">
        <v>1.5</v>
      </c>
      <c r="AG6" s="4">
        <f t="shared" si="14"/>
        <v>200</v>
      </c>
      <c r="AH6" s="4">
        <f t="shared" si="15"/>
        <v>297.74436090225566</v>
      </c>
      <c r="AI6" s="6">
        <f t="shared" si="3"/>
        <v>0.33500000000000008</v>
      </c>
      <c r="AJ6" s="4">
        <f t="shared" si="16"/>
        <v>305</v>
      </c>
      <c r="AK6" s="7">
        <v>295</v>
      </c>
      <c r="AL6" s="6">
        <f t="shared" si="4"/>
        <v>0.32881355932203393</v>
      </c>
      <c r="AM6" s="4">
        <f t="shared" si="5"/>
        <v>97</v>
      </c>
      <c r="AN6" s="28"/>
      <c r="AO6" s="6"/>
      <c r="AP6" s="6"/>
      <c r="AQ6" s="6" t="e">
        <f t="shared" si="6"/>
        <v>#DIV/0!</v>
      </c>
      <c r="AR6" s="6">
        <f t="shared" si="7"/>
        <v>1.5128205128205128</v>
      </c>
      <c r="AS6" s="6">
        <f t="shared" si="8"/>
        <v>1.4887218045112782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215</v>
      </c>
      <c r="BE6" s="4"/>
      <c r="BF6" s="4"/>
      <c r="BG6" s="4" t="s">
        <v>216</v>
      </c>
      <c r="BH6" s="4">
        <v>200</v>
      </c>
      <c r="BI6" s="4">
        <v>200</v>
      </c>
      <c r="BJ6" s="4">
        <f t="shared" ref="BJ6:BJ13" si="19">IF(BE6="",BI6,BE6/BF6*BI6)</f>
        <v>200</v>
      </c>
      <c r="BK6" s="19">
        <v>4</v>
      </c>
      <c r="BL6" s="19">
        <v>1</v>
      </c>
      <c r="BM6" s="16">
        <v>18</v>
      </c>
      <c r="BN6" t="s">
        <v>177</v>
      </c>
      <c r="BO6" t="s">
        <v>176</v>
      </c>
      <c r="BP6" t="s">
        <v>176</v>
      </c>
      <c r="BQ6" t="str">
        <f t="shared" si="17"/>
        <v>-</v>
      </c>
      <c r="BR6" t="s">
        <v>180</v>
      </c>
    </row>
    <row r="7" spans="1:70" x14ac:dyDescent="0.4">
      <c r="A7" s="3">
        <v>4</v>
      </c>
      <c r="B7" s="3">
        <v>4</v>
      </c>
      <c r="C7" s="17" t="s">
        <v>67</v>
      </c>
      <c r="D7" s="4" t="str">
        <f t="shared" si="10"/>
        <v>J1267W</v>
      </c>
      <c r="E7" s="4" t="s">
        <v>67</v>
      </c>
      <c r="F7" s="4" t="s">
        <v>123</v>
      </c>
      <c r="G7" s="5">
        <v>4562154311051</v>
      </c>
      <c r="H7" s="5"/>
      <c r="I7" s="5"/>
      <c r="J7" s="5">
        <v>1</v>
      </c>
      <c r="K7" s="5">
        <v>1</v>
      </c>
      <c r="L7" s="4">
        <v>0</v>
      </c>
      <c r="M7" s="4">
        <v>249</v>
      </c>
      <c r="N7" s="4">
        <v>170</v>
      </c>
      <c r="O7" s="6">
        <f t="shared" si="0"/>
        <v>0.31726907630522083</v>
      </c>
      <c r="P7" s="4" t="s">
        <v>177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1"/>
        <v>0</v>
      </c>
      <c r="AA7" s="4">
        <v>249</v>
      </c>
      <c r="AB7" s="4">
        <f t="shared" si="12"/>
        <v>249</v>
      </c>
      <c r="AC7" s="4"/>
      <c r="AD7" s="21">
        <f t="shared" si="1"/>
        <v>365</v>
      </c>
      <c r="AE7" s="6">
        <f t="shared" si="18"/>
        <v>0.31780821917808222</v>
      </c>
      <c r="AF7" s="4">
        <v>1.25</v>
      </c>
      <c r="AG7" s="4">
        <f t="shared" si="14"/>
        <v>249</v>
      </c>
      <c r="AH7" s="4">
        <f t="shared" si="15"/>
        <v>364.71176470588233</v>
      </c>
      <c r="AI7" s="6">
        <f t="shared" si="3"/>
        <v>0.31726907630522083</v>
      </c>
      <c r="AJ7" s="4">
        <f t="shared" si="16"/>
        <v>383</v>
      </c>
      <c r="AK7" s="7">
        <v>365</v>
      </c>
      <c r="AL7" s="6">
        <f t="shared" si="4"/>
        <v>0.31780821917808222</v>
      </c>
      <c r="AM7" s="4">
        <f t="shared" si="5"/>
        <v>116</v>
      </c>
      <c r="AN7" s="28"/>
      <c r="AO7" s="6"/>
      <c r="AP7" s="6"/>
      <c r="AQ7" s="6" t="e">
        <f t="shared" si="6"/>
        <v>#DIV/0!</v>
      </c>
      <c r="AR7" s="6">
        <f t="shared" si="7"/>
        <v>1.4658634538152611</v>
      </c>
      <c r="AS7" s="6">
        <f t="shared" si="8"/>
        <v>1.4647058823529411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217</v>
      </c>
      <c r="BE7" s="4"/>
      <c r="BF7" s="4"/>
      <c r="BG7" s="4" t="s">
        <v>218</v>
      </c>
      <c r="BH7" s="4">
        <v>249</v>
      </c>
      <c r="BI7" s="4">
        <v>249</v>
      </c>
      <c r="BJ7" s="4">
        <f t="shared" si="19"/>
        <v>249</v>
      </c>
      <c r="BK7" s="19">
        <v>4</v>
      </c>
      <c r="BL7" s="19">
        <v>8</v>
      </c>
      <c r="BM7" s="16">
        <v>18</v>
      </c>
      <c r="BN7" t="s">
        <v>177</v>
      </c>
      <c r="BO7" t="s">
        <v>176</v>
      </c>
      <c r="BP7" t="s">
        <v>176</v>
      </c>
      <c r="BQ7" t="str">
        <f t="shared" si="17"/>
        <v>-</v>
      </c>
      <c r="BR7" t="s">
        <v>181</v>
      </c>
    </row>
    <row r="8" spans="1:70" x14ac:dyDescent="0.4">
      <c r="A8" s="3">
        <v>5</v>
      </c>
      <c r="B8" s="3">
        <v>5</v>
      </c>
      <c r="C8" s="17" t="s">
        <v>68</v>
      </c>
      <c r="D8" s="4" t="str">
        <f t="shared" si="10"/>
        <v>J1268W</v>
      </c>
      <c r="E8" s="4" t="s">
        <v>68</v>
      </c>
      <c r="F8" s="4" t="s">
        <v>124</v>
      </c>
      <c r="G8" s="5">
        <v>4562154311068</v>
      </c>
      <c r="H8" s="5"/>
      <c r="I8" s="5"/>
      <c r="J8" s="5">
        <v>1</v>
      </c>
      <c r="K8" s="5">
        <v>1</v>
      </c>
      <c r="L8" s="4">
        <v>0</v>
      </c>
      <c r="M8" s="4">
        <v>340</v>
      </c>
      <c r="N8" s="4">
        <v>232</v>
      </c>
      <c r="O8" s="6">
        <f t="shared" si="0"/>
        <v>0.31764705882352939</v>
      </c>
      <c r="P8" s="4" t="s">
        <v>177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1"/>
        <v>0</v>
      </c>
      <c r="AA8" s="4">
        <v>334.99999999999994</v>
      </c>
      <c r="AB8" s="4">
        <f t="shared" si="12"/>
        <v>334.99999999999994</v>
      </c>
      <c r="AC8" s="4"/>
      <c r="AD8" s="21">
        <f t="shared" si="1"/>
        <v>491</v>
      </c>
      <c r="AE8" s="6">
        <f t="shared" si="18"/>
        <v>0.3177189409368637</v>
      </c>
      <c r="AF8" s="4">
        <v>1</v>
      </c>
      <c r="AG8" s="4">
        <f t="shared" si="14"/>
        <v>528</v>
      </c>
      <c r="AH8" s="4">
        <f t="shared" si="15"/>
        <v>762.41379310344814</v>
      </c>
      <c r="AI8" s="6">
        <f t="shared" si="3"/>
        <v>0.56060606060606055</v>
      </c>
      <c r="AJ8" s="4">
        <f t="shared" si="16"/>
        <v>515</v>
      </c>
      <c r="AK8" s="7">
        <v>507</v>
      </c>
      <c r="AL8" s="6">
        <f t="shared" si="4"/>
        <v>0.33925049309664701</v>
      </c>
      <c r="AM8" s="4">
        <f t="shared" si="5"/>
        <v>172.00000000000006</v>
      </c>
      <c r="AN8" s="28"/>
      <c r="AO8" s="6"/>
      <c r="AP8" s="6"/>
      <c r="AQ8" s="6" t="e">
        <f t="shared" si="6"/>
        <v>#DIV/0!</v>
      </c>
      <c r="AR8" s="6">
        <f t="shared" si="7"/>
        <v>1.4911764705882353</v>
      </c>
      <c r="AS8" s="6">
        <f t="shared" si="8"/>
        <v>1.443965517241379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219</v>
      </c>
      <c r="BE8" s="4"/>
      <c r="BF8" s="4"/>
      <c r="BG8" s="4" t="s">
        <v>218</v>
      </c>
      <c r="BH8" s="4">
        <v>528</v>
      </c>
      <c r="BI8" s="4">
        <v>528</v>
      </c>
      <c r="BJ8" s="4">
        <f t="shared" si="19"/>
        <v>528</v>
      </c>
      <c r="BK8" s="19">
        <v>4</v>
      </c>
      <c r="BL8" s="19">
        <v>1</v>
      </c>
      <c r="BM8" s="16">
        <v>18</v>
      </c>
      <c r="BN8" t="s">
        <v>177</v>
      </c>
      <c r="BO8" t="s">
        <v>176</v>
      </c>
      <c r="BP8" t="s">
        <v>176</v>
      </c>
      <c r="BQ8" t="str">
        <f t="shared" si="17"/>
        <v>-</v>
      </c>
      <c r="BR8" t="s">
        <v>182</v>
      </c>
    </row>
    <row r="9" spans="1:70" x14ac:dyDescent="0.4">
      <c r="A9" s="3">
        <v>6</v>
      </c>
      <c r="B9" s="3">
        <v>6</v>
      </c>
      <c r="C9" s="17" t="s">
        <v>69</v>
      </c>
      <c r="D9" s="4" t="str">
        <f t="shared" si="10"/>
        <v>J1269W</v>
      </c>
      <c r="E9" s="4" t="s">
        <v>69</v>
      </c>
      <c r="F9" s="4" t="s">
        <v>125</v>
      </c>
      <c r="G9" s="5">
        <v>4562154311075</v>
      </c>
      <c r="H9" s="5"/>
      <c r="I9" s="5"/>
      <c r="J9" s="5">
        <v>1</v>
      </c>
      <c r="K9" s="5">
        <v>1</v>
      </c>
      <c r="L9" s="4">
        <v>0</v>
      </c>
      <c r="M9" s="4">
        <v>515</v>
      </c>
      <c r="N9" s="4">
        <v>350</v>
      </c>
      <c r="O9" s="6">
        <f t="shared" si="0"/>
        <v>0.32038834951456308</v>
      </c>
      <c r="P9" s="4" t="s">
        <v>177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1"/>
        <v>0</v>
      </c>
      <c r="AA9" s="4">
        <v>501.99999999999994</v>
      </c>
      <c r="AB9" s="4">
        <f t="shared" si="12"/>
        <v>501.99999999999994</v>
      </c>
      <c r="AC9" s="4"/>
      <c r="AD9" s="21">
        <f t="shared" si="1"/>
        <v>739</v>
      </c>
      <c r="AE9" s="6">
        <f t="shared" si="18"/>
        <v>0.32070365358592701</v>
      </c>
      <c r="AF9" s="4">
        <v>0.5</v>
      </c>
      <c r="AG9" s="4">
        <f t="shared" si="14"/>
        <v>564</v>
      </c>
      <c r="AH9" s="4">
        <f t="shared" si="15"/>
        <v>808.93714285714282</v>
      </c>
      <c r="AI9" s="6">
        <f t="shared" si="3"/>
        <v>0.37943262411347523</v>
      </c>
      <c r="AJ9" s="4">
        <f t="shared" si="16"/>
        <v>772</v>
      </c>
      <c r="AK9" s="7">
        <v>780</v>
      </c>
      <c r="AL9" s="6">
        <f t="shared" si="4"/>
        <v>0.35641025641025648</v>
      </c>
      <c r="AM9" s="4">
        <f t="shared" si="5"/>
        <v>278.00000000000006</v>
      </c>
      <c r="AN9" s="28"/>
      <c r="AO9" s="6"/>
      <c r="AP9" s="6"/>
      <c r="AQ9" s="6" t="e">
        <f t="shared" si="6"/>
        <v>#DIV/0!</v>
      </c>
      <c r="AR9" s="6">
        <f t="shared" si="7"/>
        <v>1.5145631067961165</v>
      </c>
      <c r="AS9" s="6">
        <f t="shared" si="8"/>
        <v>1.4342857142857142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220</v>
      </c>
      <c r="BE9" s="4"/>
      <c r="BF9" s="4"/>
      <c r="BG9" s="4" t="s">
        <v>218</v>
      </c>
      <c r="BH9" s="4">
        <v>564</v>
      </c>
      <c r="BI9" s="4">
        <v>564</v>
      </c>
      <c r="BJ9" s="4">
        <f t="shared" si="19"/>
        <v>564</v>
      </c>
      <c r="BK9" s="19">
        <v>4</v>
      </c>
      <c r="BL9" s="19">
        <v>8</v>
      </c>
      <c r="BM9" s="16">
        <v>18</v>
      </c>
      <c r="BN9" t="s">
        <v>177</v>
      </c>
      <c r="BO9" t="s">
        <v>176</v>
      </c>
      <c r="BP9" t="s">
        <v>176</v>
      </c>
      <c r="BQ9" t="str">
        <f t="shared" si="17"/>
        <v>-</v>
      </c>
      <c r="BR9" t="s">
        <v>183</v>
      </c>
    </row>
    <row r="10" spans="1:70" x14ac:dyDescent="0.4">
      <c r="A10" s="3">
        <v>7</v>
      </c>
      <c r="B10" s="3">
        <v>7</v>
      </c>
      <c r="C10" s="4" t="s">
        <v>70</v>
      </c>
      <c r="D10" s="4" t="str">
        <f t="shared" si="10"/>
        <v>J1284W</v>
      </c>
      <c r="E10" s="4" t="s">
        <v>70</v>
      </c>
      <c r="F10" s="4" t="s">
        <v>126</v>
      </c>
      <c r="G10" s="5">
        <v>4562154311709</v>
      </c>
      <c r="H10" s="5"/>
      <c r="I10" s="5"/>
      <c r="J10" s="5">
        <v>1</v>
      </c>
      <c r="K10" s="5">
        <v>1</v>
      </c>
      <c r="L10" s="4">
        <v>0</v>
      </c>
      <c r="M10" s="4">
        <v>161</v>
      </c>
      <c r="N10" s="4">
        <v>109</v>
      </c>
      <c r="O10" s="6">
        <f t="shared" si="0"/>
        <v>0.32298136645962738</v>
      </c>
      <c r="P10" s="4" t="s">
        <v>177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1"/>
        <v>0</v>
      </c>
      <c r="AA10" s="4">
        <v>153</v>
      </c>
      <c r="AB10" s="4">
        <f t="shared" si="12"/>
        <v>153</v>
      </c>
      <c r="AC10" s="4"/>
      <c r="AD10" s="21">
        <f t="shared" si="1"/>
        <v>226</v>
      </c>
      <c r="AE10" s="6">
        <f t="shared" si="18"/>
        <v>0.32300884955752207</v>
      </c>
      <c r="AF10" s="4">
        <v>0.75</v>
      </c>
      <c r="AG10" s="4">
        <f t="shared" si="14"/>
        <v>158</v>
      </c>
      <c r="AH10" s="4">
        <f t="shared" si="15"/>
        <v>221.77981651376146</v>
      </c>
      <c r="AI10" s="6">
        <f t="shared" si="3"/>
        <v>0.310126582278481</v>
      </c>
      <c r="AJ10" s="4">
        <f t="shared" si="16"/>
        <v>235</v>
      </c>
      <c r="AK10" s="7">
        <v>221</v>
      </c>
      <c r="AL10" s="6">
        <f t="shared" si="4"/>
        <v>0.30769230769230771</v>
      </c>
      <c r="AM10" s="4">
        <f t="shared" si="5"/>
        <v>68</v>
      </c>
      <c r="AN10" s="28"/>
      <c r="AO10" s="6"/>
      <c r="AP10" s="6"/>
      <c r="AQ10" s="6" t="e">
        <f t="shared" si="6"/>
        <v>#DIV/0!</v>
      </c>
      <c r="AR10" s="6">
        <f t="shared" si="7"/>
        <v>1.3726708074534162</v>
      </c>
      <c r="AS10" s="6">
        <f t="shared" si="8"/>
        <v>1.4036697247706422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221</v>
      </c>
      <c r="BE10" s="4"/>
      <c r="BF10" s="4"/>
      <c r="BG10" s="4" t="s">
        <v>212</v>
      </c>
      <c r="BH10" s="4">
        <v>158</v>
      </c>
      <c r="BI10" s="4">
        <v>158</v>
      </c>
      <c r="BJ10" s="4">
        <f t="shared" si="19"/>
        <v>158</v>
      </c>
      <c r="BK10" s="19">
        <v>4</v>
      </c>
      <c r="BL10" s="19">
        <v>8</v>
      </c>
      <c r="BM10" s="16">
        <v>18</v>
      </c>
      <c r="BN10" t="s">
        <v>177</v>
      </c>
      <c r="BO10" t="s">
        <v>176</v>
      </c>
      <c r="BP10" t="s">
        <v>176</v>
      </c>
      <c r="BQ10" t="str">
        <f t="shared" si="17"/>
        <v>-</v>
      </c>
      <c r="BR10" t="s">
        <v>184</v>
      </c>
    </row>
    <row r="11" spans="1:70" x14ac:dyDescent="0.4">
      <c r="A11" s="3">
        <v>8</v>
      </c>
      <c r="B11" s="3">
        <v>8</v>
      </c>
      <c r="C11" s="4" t="s">
        <v>71</v>
      </c>
      <c r="D11" s="4" t="str">
        <f t="shared" si="10"/>
        <v>J1285W</v>
      </c>
      <c r="E11" s="4" t="s">
        <v>71</v>
      </c>
      <c r="F11" s="4" t="s">
        <v>127</v>
      </c>
      <c r="G11" s="5">
        <v>4562154311716</v>
      </c>
      <c r="H11" s="5"/>
      <c r="I11" s="5"/>
      <c r="J11" s="5">
        <v>1</v>
      </c>
      <c r="K11" s="5">
        <v>1</v>
      </c>
      <c r="L11" s="4">
        <v>0</v>
      </c>
      <c r="M11" s="4">
        <v>196</v>
      </c>
      <c r="N11" s="4">
        <v>135</v>
      </c>
      <c r="O11" s="6">
        <f t="shared" si="0"/>
        <v>0.31122448979591832</v>
      </c>
      <c r="P11" s="4" t="s">
        <v>177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11"/>
        <v>0</v>
      </c>
      <c r="AA11" s="4">
        <v>192</v>
      </c>
      <c r="AB11" s="4">
        <f t="shared" si="12"/>
        <v>192</v>
      </c>
      <c r="AC11" s="4"/>
      <c r="AD11" s="21">
        <f t="shared" si="1"/>
        <v>279</v>
      </c>
      <c r="AE11" s="6">
        <f t="shared" si="18"/>
        <v>0.31182795698924726</v>
      </c>
      <c r="AF11" s="4">
        <v>0</v>
      </c>
      <c r="AG11" s="4">
        <f t="shared" si="14"/>
        <v>226</v>
      </c>
      <c r="AH11" s="4">
        <f t="shared" si="15"/>
        <v>321.42222222222222</v>
      </c>
      <c r="AI11" s="6">
        <f t="shared" si="3"/>
        <v>0.40265486725663713</v>
      </c>
      <c r="AJ11" s="4">
        <f t="shared" si="16"/>
        <v>295</v>
      </c>
      <c r="AK11" s="7">
        <v>290</v>
      </c>
      <c r="AL11" s="6">
        <f t="shared" si="4"/>
        <v>0.33793103448275863</v>
      </c>
      <c r="AM11" s="4">
        <f t="shared" si="5"/>
        <v>98</v>
      </c>
      <c r="AN11" s="28"/>
      <c r="AO11" s="6"/>
      <c r="AP11" s="6"/>
      <c r="AQ11" s="6" t="e">
        <f t="shared" si="6"/>
        <v>#DIV/0!</v>
      </c>
      <c r="AR11" s="6">
        <f t="shared" si="7"/>
        <v>1.4795918367346939</v>
      </c>
      <c r="AS11" s="6">
        <f t="shared" si="8"/>
        <v>1.4222222222222223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222</v>
      </c>
      <c r="BE11" s="4"/>
      <c r="BF11" s="4"/>
      <c r="BG11" s="4" t="s">
        <v>212</v>
      </c>
      <c r="BH11" s="4">
        <v>226</v>
      </c>
      <c r="BI11" s="4">
        <v>226</v>
      </c>
      <c r="BJ11" s="4">
        <f t="shared" si="19"/>
        <v>226</v>
      </c>
      <c r="BK11" s="19">
        <v>4</v>
      </c>
      <c r="BL11" s="19">
        <v>8</v>
      </c>
      <c r="BM11" s="16">
        <v>18</v>
      </c>
      <c r="BN11" t="s">
        <v>177</v>
      </c>
      <c r="BO11" t="s">
        <v>176</v>
      </c>
      <c r="BP11" t="s">
        <v>176</v>
      </c>
      <c r="BQ11" t="str">
        <f t="shared" si="17"/>
        <v>-</v>
      </c>
      <c r="BR11" t="s">
        <v>185</v>
      </c>
    </row>
    <row r="12" spans="1:70" x14ac:dyDescent="0.4">
      <c r="A12" s="3">
        <v>9</v>
      </c>
      <c r="B12" s="3">
        <v>9</v>
      </c>
      <c r="C12" s="4" t="s">
        <v>72</v>
      </c>
      <c r="D12" s="4" t="str">
        <f t="shared" si="10"/>
        <v>J1286W</v>
      </c>
      <c r="E12" s="4" t="s">
        <v>72</v>
      </c>
      <c r="F12" s="4" t="s">
        <v>128</v>
      </c>
      <c r="G12" s="5">
        <v>4562154311723</v>
      </c>
      <c r="H12" s="5"/>
      <c r="I12" s="5"/>
      <c r="J12" s="5">
        <v>1</v>
      </c>
      <c r="K12" s="5">
        <v>1</v>
      </c>
      <c r="L12" s="4">
        <v>0</v>
      </c>
      <c r="M12" s="4">
        <v>237</v>
      </c>
      <c r="N12" s="4">
        <v>163</v>
      </c>
      <c r="O12" s="6">
        <f t="shared" si="0"/>
        <v>0.31223628691983119</v>
      </c>
      <c r="P12" s="4" t="s">
        <v>177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11"/>
        <v>0</v>
      </c>
      <c r="AA12" s="4">
        <v>238.99999999999997</v>
      </c>
      <c r="AB12" s="4">
        <f t="shared" si="12"/>
        <v>238.99999999999997</v>
      </c>
      <c r="AC12" s="4"/>
      <c r="AD12" s="21">
        <f t="shared" si="1"/>
        <v>348</v>
      </c>
      <c r="AE12" s="6">
        <f t="shared" si="18"/>
        <v>0.31321839080459779</v>
      </c>
      <c r="AF12" s="4">
        <v>0.25</v>
      </c>
      <c r="AG12" s="4">
        <f t="shared" si="14"/>
        <v>236</v>
      </c>
      <c r="AH12" s="4">
        <f t="shared" si="15"/>
        <v>346.03680981595085</v>
      </c>
      <c r="AI12" s="6">
        <f t="shared" si="3"/>
        <v>0.30932203389830504</v>
      </c>
      <c r="AJ12" s="4">
        <f t="shared" si="16"/>
        <v>368</v>
      </c>
      <c r="AK12" s="7">
        <v>346</v>
      </c>
      <c r="AL12" s="6">
        <f t="shared" si="4"/>
        <v>0.30924855491329484</v>
      </c>
      <c r="AM12" s="4">
        <f t="shared" si="5"/>
        <v>107.00000000000003</v>
      </c>
      <c r="AN12" s="28"/>
      <c r="AO12" s="6"/>
      <c r="AP12" s="6"/>
      <c r="AQ12" s="6" t="e">
        <f t="shared" si="6"/>
        <v>#DIV/0!</v>
      </c>
      <c r="AR12" s="6">
        <f t="shared" si="7"/>
        <v>1.4599156118143459</v>
      </c>
      <c r="AS12" s="6">
        <f t="shared" si="8"/>
        <v>1.4662576687116562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223</v>
      </c>
      <c r="BE12" s="4"/>
      <c r="BF12" s="4"/>
      <c r="BG12" s="4" t="s">
        <v>212</v>
      </c>
      <c r="BH12" s="4">
        <v>236</v>
      </c>
      <c r="BI12" s="4">
        <v>236</v>
      </c>
      <c r="BJ12" s="4">
        <f t="shared" si="19"/>
        <v>236</v>
      </c>
      <c r="BK12" s="19">
        <v>4</v>
      </c>
      <c r="BL12" s="19">
        <v>8</v>
      </c>
      <c r="BM12" s="16">
        <v>18</v>
      </c>
      <c r="BN12" t="s">
        <v>177</v>
      </c>
      <c r="BO12" t="s">
        <v>176</v>
      </c>
      <c r="BP12" t="s">
        <v>176</v>
      </c>
      <c r="BQ12" t="str">
        <f t="shared" si="17"/>
        <v>-</v>
      </c>
      <c r="BR12" t="s">
        <v>186</v>
      </c>
    </row>
    <row r="13" spans="1:70" x14ac:dyDescent="0.4">
      <c r="A13" s="3">
        <v>10</v>
      </c>
      <c r="B13" s="3">
        <v>10</v>
      </c>
      <c r="C13" s="4" t="s">
        <v>73</v>
      </c>
      <c r="D13" s="4" t="str">
        <f t="shared" si="10"/>
        <v>J1287W</v>
      </c>
      <c r="E13" s="4" t="s">
        <v>73</v>
      </c>
      <c r="F13" s="4" t="s">
        <v>129</v>
      </c>
      <c r="G13" s="5">
        <v>4562154311730</v>
      </c>
      <c r="H13" s="5"/>
      <c r="I13" s="5"/>
      <c r="J13" s="5">
        <v>1</v>
      </c>
      <c r="K13" s="5">
        <v>1</v>
      </c>
      <c r="L13" s="4">
        <v>0</v>
      </c>
      <c r="M13" s="4">
        <v>306</v>
      </c>
      <c r="N13" s="4">
        <v>208</v>
      </c>
      <c r="O13" s="6">
        <f t="shared" si="0"/>
        <v>0.3202614379084967</v>
      </c>
      <c r="P13" s="4" t="s">
        <v>177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si="11"/>
        <v>0</v>
      </c>
      <c r="AA13" s="4">
        <v>307</v>
      </c>
      <c r="AB13" s="4">
        <f t="shared" si="12"/>
        <v>307</v>
      </c>
      <c r="AC13" s="4"/>
      <c r="AD13" s="21">
        <f t="shared" si="1"/>
        <v>452</v>
      </c>
      <c r="AE13" s="6">
        <f t="shared" si="18"/>
        <v>0.32079646017699115</v>
      </c>
      <c r="AF13" s="4">
        <v>0.5</v>
      </c>
      <c r="AG13" s="4">
        <f t="shared" si="14"/>
        <v>347</v>
      </c>
      <c r="AH13" s="4">
        <f t="shared" si="15"/>
        <v>512.15865384615392</v>
      </c>
      <c r="AI13" s="6">
        <f t="shared" si="3"/>
        <v>0.40057636887608083</v>
      </c>
      <c r="AJ13" s="4">
        <f t="shared" si="16"/>
        <v>472</v>
      </c>
      <c r="AK13" s="7">
        <v>470</v>
      </c>
      <c r="AL13" s="6">
        <f t="shared" si="4"/>
        <v>0.34680851063829787</v>
      </c>
      <c r="AM13" s="4">
        <f t="shared" si="5"/>
        <v>163</v>
      </c>
      <c r="AN13" s="28"/>
      <c r="AO13" s="6"/>
      <c r="AP13" s="6"/>
      <c r="AQ13" s="6" t="e">
        <f t="shared" si="6"/>
        <v>#DIV/0!</v>
      </c>
      <c r="AR13" s="6">
        <f t="shared" si="7"/>
        <v>1.5359477124183007</v>
      </c>
      <c r="AS13" s="6">
        <f t="shared" si="8"/>
        <v>1.4759615384615385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224</v>
      </c>
      <c r="BE13" s="4"/>
      <c r="BF13" s="4"/>
      <c r="BG13" s="4" t="s">
        <v>212</v>
      </c>
      <c r="BH13" s="4">
        <v>347</v>
      </c>
      <c r="BI13" s="4">
        <v>347</v>
      </c>
      <c r="BJ13" s="4">
        <f t="shared" si="19"/>
        <v>347</v>
      </c>
      <c r="BK13" s="19">
        <v>4</v>
      </c>
      <c r="BL13" s="19">
        <v>8</v>
      </c>
      <c r="BM13" s="16">
        <v>18</v>
      </c>
      <c r="BN13" t="s">
        <v>177</v>
      </c>
      <c r="BO13" t="s">
        <v>176</v>
      </c>
      <c r="BP13" t="s">
        <v>176</v>
      </c>
      <c r="BQ13" t="str">
        <f t="shared" si="17"/>
        <v>-</v>
      </c>
      <c r="BR13" t="s">
        <v>187</v>
      </c>
    </row>
    <row r="14" spans="1:70" x14ac:dyDescent="0.4">
      <c r="A14" s="3">
        <v>11</v>
      </c>
      <c r="B14" s="3">
        <v>11</v>
      </c>
      <c r="C14" s="4" t="s">
        <v>74</v>
      </c>
      <c r="D14" s="4" t="str">
        <f t="shared" ref="D14:D22" si="20">TEXT(C14,"000000")</f>
        <v>J1288W</v>
      </c>
      <c r="E14" s="4" t="s">
        <v>74</v>
      </c>
      <c r="F14" s="4" t="s">
        <v>130</v>
      </c>
      <c r="G14" s="5">
        <v>4562154312102</v>
      </c>
      <c r="H14" s="5"/>
      <c r="I14" s="5"/>
      <c r="J14" s="5">
        <v>1</v>
      </c>
      <c r="K14" s="5">
        <v>1</v>
      </c>
      <c r="L14" s="4">
        <v>0</v>
      </c>
      <c r="M14" s="4">
        <v>348</v>
      </c>
      <c r="N14" s="4">
        <v>256</v>
      </c>
      <c r="O14" s="6">
        <f t="shared" ref="O14:O22" si="21">1-N14/M14</f>
        <v>0.26436781609195403</v>
      </c>
      <c r="P14" s="4" t="s">
        <v>177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ref="Z14:Z22" si="22">IF(AC14="",Y14,Y14*AC14)</f>
        <v>0</v>
      </c>
      <c r="AA14" s="4">
        <v>375</v>
      </c>
      <c r="AB14" s="4">
        <f t="shared" ref="AB14:AB22" si="23">IF(AC14="",AA14,AA14*AC14)</f>
        <v>375</v>
      </c>
      <c r="AC14" s="4"/>
      <c r="AD14" s="21">
        <f t="shared" si="1"/>
        <v>510</v>
      </c>
      <c r="AE14" s="6">
        <f t="shared" ref="AE14:AE22" si="24">1-AB14/AD14</f>
        <v>0.26470588235294112</v>
      </c>
      <c r="AF14" s="4">
        <v>0.25</v>
      </c>
      <c r="AG14" s="4" t="str">
        <f t="shared" ref="AG14:AG22" si="25">BJ14</f>
        <v>-</v>
      </c>
      <c r="AH14" s="4" t="str">
        <f t="shared" si="15"/>
        <v>-</v>
      </c>
      <c r="AI14" s="6" t="e">
        <f t="shared" si="3"/>
        <v>#VALUE!</v>
      </c>
      <c r="AJ14" s="4">
        <f t="shared" si="16"/>
        <v>577</v>
      </c>
      <c r="AK14" s="7">
        <v>560</v>
      </c>
      <c r="AL14" s="6">
        <f t="shared" si="4"/>
        <v>0.3303571428571429</v>
      </c>
      <c r="AM14" s="4">
        <f t="shared" si="5"/>
        <v>185</v>
      </c>
      <c r="AN14" s="28"/>
      <c r="AO14" s="6"/>
      <c r="AP14" s="6"/>
      <c r="AQ14" s="6" t="e">
        <f t="shared" si="6"/>
        <v>#DIV/0!</v>
      </c>
      <c r="AR14" s="6">
        <f t="shared" si="7"/>
        <v>1.6091954022988506</v>
      </c>
      <c r="AS14" s="6">
        <f t="shared" si="8"/>
        <v>1.46484375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176</v>
      </c>
      <c r="BE14" s="4"/>
      <c r="BF14" s="4"/>
      <c r="BG14" s="4" t="s">
        <v>176</v>
      </c>
      <c r="BH14" s="4" t="s">
        <v>176</v>
      </c>
      <c r="BI14" s="4" t="s">
        <v>176</v>
      </c>
      <c r="BJ14" s="4" t="str">
        <f t="shared" ref="BJ14:BJ22" si="26">IF(BE14="",BI14,BE14/BF14*BI14)</f>
        <v>-</v>
      </c>
      <c r="BK14" s="19">
        <v>4</v>
      </c>
      <c r="BL14" s="19">
        <v>8</v>
      </c>
      <c r="BM14" s="16">
        <v>18</v>
      </c>
      <c r="BN14" t="s">
        <v>177</v>
      </c>
      <c r="BO14" t="s">
        <v>176</v>
      </c>
      <c r="BP14" t="s">
        <v>176</v>
      </c>
      <c r="BQ14" t="str">
        <f t="shared" si="17"/>
        <v>-</v>
      </c>
      <c r="BR14" t="s">
        <v>176</v>
      </c>
    </row>
    <row r="15" spans="1:70" x14ac:dyDescent="0.4">
      <c r="A15" s="3">
        <v>12</v>
      </c>
      <c r="B15" s="3">
        <v>12</v>
      </c>
      <c r="C15" s="4" t="s">
        <v>75</v>
      </c>
      <c r="D15" s="4" t="str">
        <f t="shared" si="20"/>
        <v>J1290W</v>
      </c>
      <c r="E15" s="4" t="s">
        <v>75</v>
      </c>
      <c r="F15" s="4" t="s">
        <v>131</v>
      </c>
      <c r="G15" s="5">
        <v>4562154311761</v>
      </c>
      <c r="H15" s="5"/>
      <c r="I15" s="5"/>
      <c r="J15" s="5">
        <v>1</v>
      </c>
      <c r="K15" s="5">
        <v>1</v>
      </c>
      <c r="L15" s="4">
        <v>0</v>
      </c>
      <c r="M15" s="4">
        <v>498</v>
      </c>
      <c r="N15" s="4">
        <v>339</v>
      </c>
      <c r="O15" s="6">
        <f t="shared" si="21"/>
        <v>0.31927710843373491</v>
      </c>
      <c r="P15" s="4" t="s">
        <v>177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22"/>
        <v>0</v>
      </c>
      <c r="AA15" s="4">
        <v>509.99999999999994</v>
      </c>
      <c r="AB15" s="4">
        <f t="shared" si="23"/>
        <v>509.99999999999994</v>
      </c>
      <c r="AC15" s="4"/>
      <c r="AD15" s="21">
        <f t="shared" si="1"/>
        <v>749</v>
      </c>
      <c r="AE15" s="6">
        <f t="shared" si="24"/>
        <v>0.31909212283044064</v>
      </c>
      <c r="AF15" s="4">
        <v>0.25</v>
      </c>
      <c r="AG15" s="4">
        <f t="shared" si="25"/>
        <v>486</v>
      </c>
      <c r="AH15" s="4">
        <f t="shared" si="15"/>
        <v>731.15044247787603</v>
      </c>
      <c r="AI15" s="6">
        <f t="shared" si="3"/>
        <v>0.30246913580246915</v>
      </c>
      <c r="AJ15" s="4">
        <f t="shared" si="16"/>
        <v>785</v>
      </c>
      <c r="AK15" s="7">
        <v>730</v>
      </c>
      <c r="AL15" s="6">
        <f t="shared" si="4"/>
        <v>0.30136986301369872</v>
      </c>
      <c r="AM15" s="4">
        <f t="shared" si="5"/>
        <v>220.00000000000006</v>
      </c>
      <c r="AN15" s="28"/>
      <c r="AO15" s="6"/>
      <c r="AP15" s="6"/>
      <c r="AQ15" s="6" t="e">
        <f t="shared" si="6"/>
        <v>#DIV/0!</v>
      </c>
      <c r="AR15" s="6">
        <f t="shared" si="7"/>
        <v>1.4658634538152611</v>
      </c>
      <c r="AS15" s="6">
        <f t="shared" si="8"/>
        <v>1.5044247787610618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225</v>
      </c>
      <c r="BE15" s="4"/>
      <c r="BF15" s="4"/>
      <c r="BG15" s="4" t="s">
        <v>212</v>
      </c>
      <c r="BH15" s="4">
        <v>486</v>
      </c>
      <c r="BI15" s="4">
        <v>486</v>
      </c>
      <c r="BJ15" s="4">
        <f t="shared" si="26"/>
        <v>486</v>
      </c>
      <c r="BK15" s="19">
        <v>4</v>
      </c>
      <c r="BL15" s="19">
        <v>8</v>
      </c>
      <c r="BM15" s="16">
        <v>18</v>
      </c>
      <c r="BN15" t="s">
        <v>177</v>
      </c>
      <c r="BO15" t="s">
        <v>176</v>
      </c>
      <c r="BP15" t="s">
        <v>176</v>
      </c>
      <c r="BQ15" t="str">
        <f t="shared" si="17"/>
        <v>-</v>
      </c>
      <c r="BR15" t="s">
        <v>188</v>
      </c>
    </row>
    <row r="16" spans="1:70" x14ac:dyDescent="0.4">
      <c r="A16" s="3">
        <v>13</v>
      </c>
      <c r="B16" s="3">
        <v>13</v>
      </c>
      <c r="C16" s="4" t="s">
        <v>76</v>
      </c>
      <c r="D16" s="4" t="str">
        <f t="shared" si="20"/>
        <v>J1291W</v>
      </c>
      <c r="E16" s="4" t="s">
        <v>76</v>
      </c>
      <c r="F16" s="4" t="s">
        <v>132</v>
      </c>
      <c r="G16" s="5">
        <v>4562154311679</v>
      </c>
      <c r="H16" s="5"/>
      <c r="I16" s="5"/>
      <c r="J16" s="5">
        <v>1</v>
      </c>
      <c r="K16" s="5">
        <v>1</v>
      </c>
      <c r="L16" s="4">
        <v>0</v>
      </c>
      <c r="M16" s="4">
        <v>406</v>
      </c>
      <c r="N16" s="4">
        <v>279</v>
      </c>
      <c r="O16" s="6">
        <f t="shared" si="21"/>
        <v>0.31280788177339902</v>
      </c>
      <c r="P16" s="4" t="s">
        <v>177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22"/>
        <v>0</v>
      </c>
      <c r="AA16" s="4">
        <v>421</v>
      </c>
      <c r="AB16" s="4">
        <f t="shared" si="23"/>
        <v>421</v>
      </c>
      <c r="AC16" s="4"/>
      <c r="AD16" s="21">
        <f t="shared" si="1"/>
        <v>613</v>
      </c>
      <c r="AE16" s="6">
        <f t="shared" si="24"/>
        <v>0.31321370309951058</v>
      </c>
      <c r="AF16" s="4">
        <v>1.7500000000000002</v>
      </c>
      <c r="AG16" s="4">
        <f t="shared" si="25"/>
        <v>528</v>
      </c>
      <c r="AH16" s="4">
        <f t="shared" si="15"/>
        <v>796.73118279569883</v>
      </c>
      <c r="AI16" s="6">
        <f t="shared" si="3"/>
        <v>0.47159090909090906</v>
      </c>
      <c r="AJ16" s="4">
        <f t="shared" si="16"/>
        <v>648</v>
      </c>
      <c r="AK16" s="7">
        <v>645</v>
      </c>
      <c r="AL16" s="6">
        <f t="shared" si="4"/>
        <v>0.34728682170542635</v>
      </c>
      <c r="AM16" s="4">
        <f t="shared" si="5"/>
        <v>224</v>
      </c>
      <c r="AN16" s="28"/>
      <c r="AO16" s="6"/>
      <c r="AP16" s="6"/>
      <c r="AQ16" s="6" t="e">
        <f t="shared" si="6"/>
        <v>#DIV/0!</v>
      </c>
      <c r="AR16" s="6">
        <f t="shared" si="7"/>
        <v>1.5886699507389161</v>
      </c>
      <c r="AS16" s="6">
        <f t="shared" si="8"/>
        <v>1.5089605734767024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226</v>
      </c>
      <c r="BE16" s="4"/>
      <c r="BF16" s="4"/>
      <c r="BG16" s="4" t="s">
        <v>214</v>
      </c>
      <c r="BH16" s="4">
        <v>528</v>
      </c>
      <c r="BI16" s="4">
        <v>528</v>
      </c>
      <c r="BJ16" s="4">
        <f t="shared" si="26"/>
        <v>528</v>
      </c>
      <c r="BK16" s="19">
        <v>4</v>
      </c>
      <c r="BL16" s="19">
        <v>8</v>
      </c>
      <c r="BM16" s="16">
        <v>18</v>
      </c>
      <c r="BN16" t="s">
        <v>177</v>
      </c>
      <c r="BO16" t="s">
        <v>176</v>
      </c>
      <c r="BP16" t="s">
        <v>176</v>
      </c>
      <c r="BQ16" t="str">
        <f t="shared" si="17"/>
        <v>-</v>
      </c>
      <c r="BR16" t="s">
        <v>189</v>
      </c>
    </row>
    <row r="17" spans="1:70" x14ac:dyDescent="0.4">
      <c r="A17" s="3">
        <v>14</v>
      </c>
      <c r="B17" s="3">
        <v>14</v>
      </c>
      <c r="C17" s="4" t="s">
        <v>77</v>
      </c>
      <c r="D17" s="4" t="str">
        <f t="shared" si="20"/>
        <v>J1292W</v>
      </c>
      <c r="E17" s="4" t="s">
        <v>77</v>
      </c>
      <c r="F17" s="4" t="s">
        <v>133</v>
      </c>
      <c r="G17" s="5">
        <v>4562154311686</v>
      </c>
      <c r="H17" s="5"/>
      <c r="I17" s="5"/>
      <c r="J17" s="5">
        <v>1</v>
      </c>
      <c r="K17" s="5">
        <v>1</v>
      </c>
      <c r="L17" s="4">
        <v>0</v>
      </c>
      <c r="M17" s="4">
        <v>357</v>
      </c>
      <c r="N17" s="4">
        <v>243</v>
      </c>
      <c r="O17" s="6">
        <f t="shared" si="21"/>
        <v>0.31932773109243695</v>
      </c>
      <c r="P17" s="4" t="s">
        <v>177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22"/>
        <v>0</v>
      </c>
      <c r="AA17" s="4">
        <v>365.99999999999994</v>
      </c>
      <c r="AB17" s="4">
        <f t="shared" si="23"/>
        <v>365.99999999999994</v>
      </c>
      <c r="AC17" s="4"/>
      <c r="AD17" s="21">
        <f t="shared" si="1"/>
        <v>538</v>
      </c>
      <c r="AE17" s="6">
        <f t="shared" si="24"/>
        <v>0.31970260223048341</v>
      </c>
      <c r="AF17" s="4">
        <v>1</v>
      </c>
      <c r="AG17" s="4">
        <f t="shared" si="25"/>
        <v>455</v>
      </c>
      <c r="AH17" s="4">
        <f t="shared" si="15"/>
        <v>685.30864197530855</v>
      </c>
      <c r="AI17" s="6">
        <f t="shared" si="3"/>
        <v>0.46593406593406594</v>
      </c>
      <c r="AJ17" s="4">
        <f t="shared" si="16"/>
        <v>563</v>
      </c>
      <c r="AK17" s="7">
        <v>565</v>
      </c>
      <c r="AL17" s="6">
        <f t="shared" si="4"/>
        <v>0.35221238938053112</v>
      </c>
      <c r="AM17" s="4">
        <f t="shared" si="5"/>
        <v>199.00000000000006</v>
      </c>
      <c r="AN17" s="28"/>
      <c r="AO17" s="6"/>
      <c r="AP17" s="6"/>
      <c r="AQ17" s="6" t="e">
        <f t="shared" si="6"/>
        <v>#DIV/0!</v>
      </c>
      <c r="AR17" s="6">
        <f t="shared" si="7"/>
        <v>1.5826330532212884</v>
      </c>
      <c r="AS17" s="6">
        <f t="shared" si="8"/>
        <v>1.5061728395061726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227</v>
      </c>
      <c r="BE17" s="4"/>
      <c r="BF17" s="4"/>
      <c r="BG17" s="4" t="s">
        <v>214</v>
      </c>
      <c r="BH17" s="4">
        <v>455</v>
      </c>
      <c r="BI17" s="4">
        <v>455</v>
      </c>
      <c r="BJ17" s="4">
        <f t="shared" si="26"/>
        <v>455</v>
      </c>
      <c r="BK17" s="19">
        <v>4</v>
      </c>
      <c r="BL17" s="19">
        <v>8</v>
      </c>
      <c r="BM17" s="16">
        <v>18</v>
      </c>
      <c r="BN17" t="s">
        <v>177</v>
      </c>
      <c r="BO17" t="s">
        <v>176</v>
      </c>
      <c r="BP17" t="s">
        <v>176</v>
      </c>
      <c r="BQ17" t="str">
        <f t="shared" si="17"/>
        <v>-</v>
      </c>
      <c r="BR17" t="s">
        <v>190</v>
      </c>
    </row>
    <row r="18" spans="1:70" x14ac:dyDescent="0.4">
      <c r="A18" s="3">
        <v>15</v>
      </c>
      <c r="B18" s="3">
        <v>15</v>
      </c>
      <c r="C18" s="4" t="s">
        <v>78</v>
      </c>
      <c r="D18" s="4" t="str">
        <f t="shared" si="20"/>
        <v>J1293W</v>
      </c>
      <c r="E18" s="4" t="s">
        <v>78</v>
      </c>
      <c r="F18" s="4" t="s">
        <v>134</v>
      </c>
      <c r="G18" s="5">
        <v>4562154311693</v>
      </c>
      <c r="H18" s="5"/>
      <c r="I18" s="5"/>
      <c r="J18" s="5">
        <v>1</v>
      </c>
      <c r="K18" s="5">
        <v>1</v>
      </c>
      <c r="L18" s="4">
        <v>0</v>
      </c>
      <c r="M18" s="4">
        <v>302</v>
      </c>
      <c r="N18" s="4">
        <v>208</v>
      </c>
      <c r="O18" s="6">
        <f t="shared" si="21"/>
        <v>0.3112582781456954</v>
      </c>
      <c r="P18" s="4" t="s">
        <v>177</v>
      </c>
      <c r="Q18" s="4"/>
      <c r="R18" s="4"/>
      <c r="S18" s="4"/>
      <c r="T18" s="4"/>
      <c r="U18" s="4"/>
      <c r="V18" s="4"/>
      <c r="W18" s="4"/>
      <c r="X18" s="4"/>
      <c r="Y18" s="4">
        <v>0</v>
      </c>
      <c r="Z18" s="4">
        <f t="shared" si="22"/>
        <v>0</v>
      </c>
      <c r="AA18" s="4">
        <v>318</v>
      </c>
      <c r="AB18" s="4">
        <f t="shared" si="23"/>
        <v>318</v>
      </c>
      <c r="AC18" s="4"/>
      <c r="AD18" s="21">
        <f t="shared" si="1"/>
        <v>462</v>
      </c>
      <c r="AE18" s="6">
        <f t="shared" si="24"/>
        <v>0.31168831168831168</v>
      </c>
      <c r="AF18" s="4">
        <v>0.25</v>
      </c>
      <c r="AG18" s="4">
        <f t="shared" si="25"/>
        <v>312</v>
      </c>
      <c r="AH18" s="4">
        <f t="shared" si="15"/>
        <v>476.99999999999994</v>
      </c>
      <c r="AI18" s="6">
        <f t="shared" si="3"/>
        <v>0.33333333333333326</v>
      </c>
      <c r="AJ18" s="4">
        <f t="shared" si="16"/>
        <v>489</v>
      </c>
      <c r="AK18" s="7">
        <v>477</v>
      </c>
      <c r="AL18" s="6">
        <f t="shared" si="4"/>
        <v>0.33333333333333337</v>
      </c>
      <c r="AM18" s="4">
        <f t="shared" si="5"/>
        <v>159</v>
      </c>
      <c r="AN18" s="28"/>
      <c r="AO18" s="6"/>
      <c r="AP18" s="6"/>
      <c r="AQ18" s="6" t="e">
        <f t="shared" si="6"/>
        <v>#DIV/0!</v>
      </c>
      <c r="AR18" s="6">
        <f t="shared" si="7"/>
        <v>1.5794701986754967</v>
      </c>
      <c r="AS18" s="6">
        <f t="shared" si="8"/>
        <v>1.5288461538461537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228</v>
      </c>
      <c r="BE18" s="4"/>
      <c r="BF18" s="4"/>
      <c r="BG18" s="4" t="s">
        <v>212</v>
      </c>
      <c r="BH18" s="4">
        <v>312</v>
      </c>
      <c r="BI18" s="4">
        <v>312</v>
      </c>
      <c r="BJ18" s="4">
        <f t="shared" si="26"/>
        <v>312</v>
      </c>
      <c r="BK18" s="19">
        <v>4</v>
      </c>
      <c r="BL18" s="19">
        <v>8</v>
      </c>
      <c r="BM18" s="16">
        <v>18</v>
      </c>
      <c r="BN18" t="s">
        <v>177</v>
      </c>
      <c r="BO18" t="s">
        <v>176</v>
      </c>
      <c r="BP18" t="s">
        <v>176</v>
      </c>
      <c r="BQ18" t="str">
        <f t="shared" si="17"/>
        <v>-</v>
      </c>
      <c r="BR18" t="s">
        <v>191</v>
      </c>
    </row>
    <row r="19" spans="1:70" x14ac:dyDescent="0.4">
      <c r="A19" s="3">
        <v>16</v>
      </c>
      <c r="B19" s="3">
        <v>16</v>
      </c>
      <c r="C19" s="4" t="s">
        <v>79</v>
      </c>
      <c r="D19" s="4" t="str">
        <f t="shared" si="20"/>
        <v>J1289W</v>
      </c>
      <c r="E19" s="4" t="s">
        <v>79</v>
      </c>
      <c r="F19" s="4" t="s">
        <v>135</v>
      </c>
      <c r="G19" s="5">
        <v>4562154311754</v>
      </c>
      <c r="H19" s="5"/>
      <c r="I19" s="5"/>
      <c r="J19" s="5">
        <v>1</v>
      </c>
      <c r="K19" s="5">
        <v>1</v>
      </c>
      <c r="L19" s="4">
        <v>0</v>
      </c>
      <c r="M19" s="4">
        <v>427</v>
      </c>
      <c r="N19" s="4">
        <v>293</v>
      </c>
      <c r="O19" s="6">
        <f t="shared" si="21"/>
        <v>0.31381733021077285</v>
      </c>
      <c r="P19" s="4" t="s">
        <v>177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22"/>
        <v>0</v>
      </c>
      <c r="AA19" s="4">
        <v>434.99999999999994</v>
      </c>
      <c r="AB19" s="4">
        <f t="shared" si="23"/>
        <v>434.99999999999994</v>
      </c>
      <c r="AC19" s="4"/>
      <c r="AD19" s="21">
        <f t="shared" si="1"/>
        <v>634</v>
      </c>
      <c r="AE19" s="6">
        <f t="shared" si="24"/>
        <v>0.31388012618296535</v>
      </c>
      <c r="AF19" s="4">
        <v>0.25</v>
      </c>
      <c r="AG19" s="4">
        <f t="shared" si="25"/>
        <v>420</v>
      </c>
      <c r="AH19" s="4">
        <f t="shared" si="15"/>
        <v>623.54948805460742</v>
      </c>
      <c r="AI19" s="6">
        <f t="shared" si="3"/>
        <v>0.30238095238095242</v>
      </c>
      <c r="AJ19" s="4">
        <f t="shared" si="16"/>
        <v>669</v>
      </c>
      <c r="AK19" s="7">
        <v>623</v>
      </c>
      <c r="AL19" s="6">
        <f t="shared" si="4"/>
        <v>0.30176565008025691</v>
      </c>
      <c r="AM19" s="4">
        <f t="shared" si="5"/>
        <v>188.00000000000006</v>
      </c>
      <c r="AN19" s="28"/>
      <c r="AO19" s="6"/>
      <c r="AP19" s="6"/>
      <c r="AQ19" s="6" t="e">
        <f t="shared" si="6"/>
        <v>#DIV/0!</v>
      </c>
      <c r="AR19" s="6">
        <f t="shared" si="7"/>
        <v>1.459016393442623</v>
      </c>
      <c r="AS19" s="6">
        <f t="shared" si="8"/>
        <v>1.4846416382252559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229</v>
      </c>
      <c r="BE19" s="4"/>
      <c r="BF19" s="4"/>
      <c r="BG19" s="4" t="s">
        <v>212</v>
      </c>
      <c r="BH19" s="4">
        <v>420</v>
      </c>
      <c r="BI19" s="4">
        <v>420</v>
      </c>
      <c r="BJ19" s="4">
        <f t="shared" si="26"/>
        <v>420</v>
      </c>
      <c r="BK19" s="19">
        <v>4</v>
      </c>
      <c r="BL19" s="19">
        <v>8</v>
      </c>
      <c r="BM19" s="16">
        <v>18</v>
      </c>
      <c r="BN19" t="s">
        <v>177</v>
      </c>
      <c r="BO19" t="s">
        <v>176</v>
      </c>
      <c r="BP19" t="s">
        <v>176</v>
      </c>
      <c r="BQ19" t="str">
        <f t="shared" si="17"/>
        <v>-</v>
      </c>
      <c r="BR19" t="s">
        <v>192</v>
      </c>
    </row>
    <row r="20" spans="1:70" x14ac:dyDescent="0.4">
      <c r="A20" s="3">
        <v>17</v>
      </c>
      <c r="B20" s="3">
        <v>17</v>
      </c>
      <c r="C20" s="4" t="s">
        <v>80</v>
      </c>
      <c r="D20" s="4" t="str">
        <f t="shared" si="20"/>
        <v>J1320W</v>
      </c>
      <c r="E20" s="4" t="s">
        <v>80</v>
      </c>
      <c r="F20" s="4" t="s">
        <v>136</v>
      </c>
      <c r="G20" s="5">
        <v>4562154313628</v>
      </c>
      <c r="H20" s="5"/>
      <c r="I20" s="5"/>
      <c r="J20" s="5">
        <v>1</v>
      </c>
      <c r="K20" s="5">
        <v>1</v>
      </c>
      <c r="L20" s="4">
        <v>0</v>
      </c>
      <c r="M20" s="4">
        <v>249</v>
      </c>
      <c r="N20" s="4">
        <v>170</v>
      </c>
      <c r="O20" s="6">
        <f t="shared" si="21"/>
        <v>0.31726907630522083</v>
      </c>
      <c r="P20" s="4" t="s">
        <v>177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22"/>
        <v>0</v>
      </c>
      <c r="AA20" s="4">
        <v>248.99999999999997</v>
      </c>
      <c r="AB20" s="4">
        <f t="shared" si="23"/>
        <v>248.99999999999997</v>
      </c>
      <c r="AC20" s="4"/>
      <c r="AD20" s="21">
        <f t="shared" si="1"/>
        <v>365</v>
      </c>
      <c r="AE20" s="6">
        <f t="shared" si="24"/>
        <v>0.31780821917808222</v>
      </c>
      <c r="AF20" s="4">
        <v>0.75</v>
      </c>
      <c r="AG20" s="4">
        <f t="shared" si="25"/>
        <v>272</v>
      </c>
      <c r="AH20" s="4">
        <f t="shared" si="15"/>
        <v>398.4</v>
      </c>
      <c r="AI20" s="6">
        <f t="shared" si="3"/>
        <v>0.375</v>
      </c>
      <c r="AJ20" s="4">
        <f t="shared" si="16"/>
        <v>383</v>
      </c>
      <c r="AK20" s="7">
        <v>365</v>
      </c>
      <c r="AL20" s="6">
        <f t="shared" si="4"/>
        <v>0.31780821917808222</v>
      </c>
      <c r="AM20" s="4">
        <f t="shared" si="5"/>
        <v>116.00000000000003</v>
      </c>
      <c r="AN20" s="28"/>
      <c r="AO20" s="6"/>
      <c r="AP20" s="6"/>
      <c r="AQ20" s="6" t="e">
        <f t="shared" si="6"/>
        <v>#DIV/0!</v>
      </c>
      <c r="AR20" s="6">
        <f t="shared" si="7"/>
        <v>1.4658634538152611</v>
      </c>
      <c r="AS20" s="6">
        <f t="shared" si="8"/>
        <v>1.4647058823529411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230</v>
      </c>
      <c r="BE20" s="4"/>
      <c r="BF20" s="4"/>
      <c r="BG20" s="4" t="s">
        <v>212</v>
      </c>
      <c r="BH20" s="4">
        <v>272</v>
      </c>
      <c r="BI20" s="4">
        <v>272</v>
      </c>
      <c r="BJ20" s="4">
        <f t="shared" si="26"/>
        <v>272</v>
      </c>
      <c r="BK20" s="19">
        <v>4</v>
      </c>
      <c r="BL20" s="19">
        <v>8</v>
      </c>
      <c r="BM20" s="16">
        <v>18</v>
      </c>
      <c r="BN20" t="s">
        <v>177</v>
      </c>
      <c r="BO20" t="s">
        <v>176</v>
      </c>
      <c r="BP20" t="s">
        <v>176</v>
      </c>
      <c r="BQ20" t="str">
        <f t="shared" si="17"/>
        <v>-</v>
      </c>
      <c r="BR20" t="s">
        <v>193</v>
      </c>
    </row>
    <row r="21" spans="1:70" x14ac:dyDescent="0.4">
      <c r="A21" s="3">
        <v>18</v>
      </c>
      <c r="B21" s="3">
        <v>18</v>
      </c>
      <c r="C21" s="4" t="s">
        <v>81</v>
      </c>
      <c r="D21" s="4" t="str">
        <f t="shared" si="20"/>
        <v>J1321W</v>
      </c>
      <c r="E21" s="4" t="s">
        <v>81</v>
      </c>
      <c r="F21" s="4" t="s">
        <v>137</v>
      </c>
      <c r="G21" s="5">
        <v>4562154313635</v>
      </c>
      <c r="H21" s="5"/>
      <c r="I21" s="5"/>
      <c r="J21" s="5">
        <v>1</v>
      </c>
      <c r="K21" s="5">
        <v>1</v>
      </c>
      <c r="L21" s="4">
        <v>0</v>
      </c>
      <c r="M21" s="4">
        <v>352</v>
      </c>
      <c r="N21" s="4">
        <v>240</v>
      </c>
      <c r="O21" s="6">
        <f t="shared" si="21"/>
        <v>0.31818181818181823</v>
      </c>
      <c r="P21" s="4" t="s">
        <v>177</v>
      </c>
      <c r="Q21" s="4"/>
      <c r="R21" s="4"/>
      <c r="S21" s="4"/>
      <c r="T21" s="4"/>
      <c r="U21" s="4"/>
      <c r="V21" s="4"/>
      <c r="W21" s="4"/>
      <c r="X21" s="4"/>
      <c r="Y21" s="4">
        <v>0</v>
      </c>
      <c r="Z21" s="4">
        <f t="shared" si="22"/>
        <v>0</v>
      </c>
      <c r="AA21" s="4">
        <v>351.99999999999994</v>
      </c>
      <c r="AB21" s="4">
        <f t="shared" si="23"/>
        <v>351.99999999999994</v>
      </c>
      <c r="AC21" s="4"/>
      <c r="AD21" s="21">
        <f t="shared" si="1"/>
        <v>516</v>
      </c>
      <c r="AE21" s="6">
        <f t="shared" si="24"/>
        <v>0.31782945736434121</v>
      </c>
      <c r="AF21" s="4">
        <v>0.5</v>
      </c>
      <c r="AG21" s="4">
        <f t="shared" si="25"/>
        <v>346</v>
      </c>
      <c r="AH21" s="4">
        <f t="shared" si="15"/>
        <v>507.46666666666653</v>
      </c>
      <c r="AI21" s="6">
        <f t="shared" si="3"/>
        <v>0.30635838150289008</v>
      </c>
      <c r="AJ21" s="4">
        <f t="shared" si="16"/>
        <v>542</v>
      </c>
      <c r="AK21" s="7">
        <v>507</v>
      </c>
      <c r="AL21" s="6">
        <f t="shared" si="4"/>
        <v>0.30571992110453661</v>
      </c>
      <c r="AM21" s="4">
        <f t="shared" si="5"/>
        <v>155.00000000000006</v>
      </c>
      <c r="AN21" s="28"/>
      <c r="AO21" s="6"/>
      <c r="AP21" s="6"/>
      <c r="AQ21" s="6" t="e">
        <f t="shared" si="6"/>
        <v>#DIV/0!</v>
      </c>
      <c r="AR21" s="6">
        <f t="shared" si="7"/>
        <v>1.4403409090909092</v>
      </c>
      <c r="AS21" s="6">
        <f t="shared" si="8"/>
        <v>1.4666666666666663</v>
      </c>
      <c r="AT21" s="4"/>
      <c r="AU21" s="4"/>
      <c r="AV21" s="4"/>
      <c r="AW21" s="4"/>
      <c r="AX21" s="4"/>
      <c r="AY21" s="4"/>
      <c r="AZ21" s="4"/>
      <c r="BA21" s="4"/>
      <c r="BB21" s="4"/>
      <c r="BC21" s="4">
        <v>0</v>
      </c>
      <c r="BD21" s="4" t="s">
        <v>231</v>
      </c>
      <c r="BE21" s="4"/>
      <c r="BF21" s="4"/>
      <c r="BG21" s="4" t="s">
        <v>214</v>
      </c>
      <c r="BH21" s="4">
        <v>346</v>
      </c>
      <c r="BI21" s="4">
        <v>346</v>
      </c>
      <c r="BJ21" s="4">
        <f t="shared" si="26"/>
        <v>346</v>
      </c>
      <c r="BK21" s="19">
        <v>4</v>
      </c>
      <c r="BL21" s="19">
        <v>8</v>
      </c>
      <c r="BM21" s="16">
        <v>18</v>
      </c>
      <c r="BN21" t="s">
        <v>177</v>
      </c>
      <c r="BO21" t="s">
        <v>176</v>
      </c>
      <c r="BP21" t="s">
        <v>176</v>
      </c>
      <c r="BQ21" t="str">
        <f t="shared" si="17"/>
        <v>-</v>
      </c>
      <c r="BR21" t="s">
        <v>194</v>
      </c>
    </row>
    <row r="22" spans="1:70" x14ac:dyDescent="0.4">
      <c r="A22" s="3">
        <v>19</v>
      </c>
      <c r="B22" s="3">
        <v>19</v>
      </c>
      <c r="C22" s="4" t="s">
        <v>82</v>
      </c>
      <c r="D22" s="4" t="str">
        <f t="shared" si="20"/>
        <v>J1319W</v>
      </c>
      <c r="E22" s="4" t="s">
        <v>82</v>
      </c>
      <c r="F22" s="4" t="s">
        <v>138</v>
      </c>
      <c r="G22" s="5">
        <v>4562154313611</v>
      </c>
      <c r="H22" s="5"/>
      <c r="I22" s="5"/>
      <c r="J22" s="5">
        <v>1</v>
      </c>
      <c r="K22" s="5">
        <v>1</v>
      </c>
      <c r="L22" s="4">
        <v>0</v>
      </c>
      <c r="M22" s="4">
        <v>195</v>
      </c>
      <c r="N22" s="4">
        <v>133</v>
      </c>
      <c r="O22" s="6">
        <f t="shared" si="21"/>
        <v>0.31794871794871793</v>
      </c>
      <c r="P22" s="4" t="s">
        <v>177</v>
      </c>
      <c r="Q22" s="4"/>
      <c r="R22" s="4"/>
      <c r="S22" s="4"/>
      <c r="T22" s="4"/>
      <c r="U22" s="4"/>
      <c r="V22" s="4"/>
      <c r="W22" s="4"/>
      <c r="X22" s="4"/>
      <c r="Y22" s="4">
        <v>0</v>
      </c>
      <c r="Z22" s="4">
        <f t="shared" si="22"/>
        <v>0</v>
      </c>
      <c r="AA22" s="4">
        <v>198</v>
      </c>
      <c r="AB22" s="4">
        <f t="shared" si="23"/>
        <v>198</v>
      </c>
      <c r="AC22" s="4"/>
      <c r="AD22" s="21">
        <f t="shared" si="1"/>
        <v>290</v>
      </c>
      <c r="AE22" s="6">
        <f t="shared" si="24"/>
        <v>0.3172413793103448</v>
      </c>
      <c r="AF22" s="4">
        <v>0.5</v>
      </c>
      <c r="AG22" s="4">
        <f t="shared" si="25"/>
        <v>194</v>
      </c>
      <c r="AH22" s="4">
        <f t="shared" si="15"/>
        <v>288.81203007518798</v>
      </c>
      <c r="AI22" s="6">
        <f t="shared" si="3"/>
        <v>0.31443298969072164</v>
      </c>
      <c r="AJ22" s="4">
        <f t="shared" si="16"/>
        <v>305</v>
      </c>
      <c r="AK22" s="7">
        <v>295</v>
      </c>
      <c r="AL22" s="6">
        <f t="shared" si="4"/>
        <v>0.32881355932203393</v>
      </c>
      <c r="AM22" s="4">
        <f t="shared" si="5"/>
        <v>97</v>
      </c>
      <c r="AN22" s="28"/>
      <c r="AO22" s="6"/>
      <c r="AP22" s="6"/>
      <c r="AQ22" s="6" t="e">
        <f t="shared" si="6"/>
        <v>#DIV/0!</v>
      </c>
      <c r="AR22" s="6">
        <f t="shared" si="7"/>
        <v>1.5128205128205128</v>
      </c>
      <c r="AS22" s="6">
        <f t="shared" si="8"/>
        <v>1.4887218045112782</v>
      </c>
      <c r="AT22" s="4"/>
      <c r="AU22" s="4"/>
      <c r="AV22" s="4"/>
      <c r="AW22" s="4"/>
      <c r="AX22" s="4"/>
      <c r="AY22" s="4"/>
      <c r="AZ22" s="4"/>
      <c r="BA22" s="4"/>
      <c r="BB22" s="4"/>
      <c r="BC22" s="4">
        <v>0</v>
      </c>
      <c r="BD22" s="4" t="s">
        <v>232</v>
      </c>
      <c r="BE22" s="4"/>
      <c r="BF22" s="4"/>
      <c r="BG22" s="4" t="s">
        <v>214</v>
      </c>
      <c r="BH22" s="4">
        <v>194</v>
      </c>
      <c r="BI22" s="4">
        <v>194</v>
      </c>
      <c r="BJ22" s="4">
        <f t="shared" si="26"/>
        <v>194</v>
      </c>
      <c r="BK22" s="19">
        <v>4</v>
      </c>
      <c r="BL22" s="19">
        <v>8</v>
      </c>
      <c r="BM22" s="16">
        <v>18</v>
      </c>
      <c r="BN22" t="s">
        <v>177</v>
      </c>
      <c r="BO22" t="s">
        <v>176</v>
      </c>
      <c r="BP22" t="s">
        <v>176</v>
      </c>
      <c r="BQ22" t="str">
        <f t="shared" si="17"/>
        <v>-</v>
      </c>
      <c r="BR22" t="s">
        <v>195</v>
      </c>
    </row>
    <row r="23" spans="1:70" x14ac:dyDescent="0.4">
      <c r="A23" s="3">
        <v>20</v>
      </c>
      <c r="B23" s="3">
        <v>20</v>
      </c>
      <c r="C23" s="4" t="s">
        <v>83</v>
      </c>
      <c r="D23" s="4" t="str">
        <f t="shared" ref="D23:D59" si="27">TEXT(C23,"000000")</f>
        <v>J1325W</v>
      </c>
      <c r="E23" s="4" t="s">
        <v>83</v>
      </c>
      <c r="F23" s="4" t="s">
        <v>139</v>
      </c>
      <c r="G23" s="5">
        <v>4562154313871</v>
      </c>
      <c r="H23" s="5"/>
      <c r="I23" s="5"/>
      <c r="J23" s="5">
        <v>1</v>
      </c>
      <c r="K23" s="5">
        <v>1</v>
      </c>
      <c r="L23" s="4">
        <v>0</v>
      </c>
      <c r="M23" s="4">
        <v>29583</v>
      </c>
      <c r="N23" s="4">
        <v>21800</v>
      </c>
      <c r="O23" s="6">
        <f t="shared" ref="O23:O59" si="28">1-N23/M23</f>
        <v>0.26309028834127712</v>
      </c>
      <c r="P23" s="4" t="s">
        <v>177</v>
      </c>
      <c r="Q23" s="4"/>
      <c r="R23" s="4"/>
      <c r="S23" s="4"/>
      <c r="T23" s="4"/>
      <c r="U23" s="4"/>
      <c r="V23" s="4"/>
      <c r="W23" s="4"/>
      <c r="X23" s="4"/>
      <c r="Y23" s="4">
        <v>0</v>
      </c>
      <c r="Z23" s="4">
        <f t="shared" ref="Z23:Z59" si="29">IF(AC23="",Y23,Y23*AC23)</f>
        <v>0</v>
      </c>
      <c r="AA23" s="4">
        <v>25732</v>
      </c>
      <c r="AB23" s="4">
        <f t="shared" ref="AB23:AB59" si="30">IF(AC23="",AA23,AA23*AC23)</f>
        <v>25732</v>
      </c>
      <c r="AC23" s="4"/>
      <c r="AD23" s="21">
        <f t="shared" ref="AD23:AD59" si="31">ROUND(M23*AS23,0)</f>
        <v>34919</v>
      </c>
      <c r="AE23" s="6">
        <f t="shared" ref="AE23:AE59" si="32">1-AB23/AD23</f>
        <v>0.26309459033763849</v>
      </c>
      <c r="AF23" s="4">
        <v>0</v>
      </c>
      <c r="AG23" s="4" t="str">
        <f t="shared" ref="AG23:AG59" si="33">BJ23</f>
        <v>-</v>
      </c>
      <c r="AH23" s="4" t="str">
        <f t="shared" si="15"/>
        <v>-</v>
      </c>
      <c r="AI23" s="6" t="e">
        <f t="shared" ref="AI23:AI59" si="34">1-AB23/AH23</f>
        <v>#VALUE!</v>
      </c>
      <c r="AJ23" s="4">
        <f t="shared" si="16"/>
        <v>39588</v>
      </c>
      <c r="AK23" s="7">
        <v>38000</v>
      </c>
      <c r="AL23" s="6">
        <f t="shared" ref="AL23:AL59" si="35">1-AB23/AK23</f>
        <v>0.32284210526315793</v>
      </c>
      <c r="AM23" s="4">
        <f t="shared" ref="AM23:AM59" si="36">AK23-AB23</f>
        <v>12268</v>
      </c>
      <c r="AN23" s="28"/>
      <c r="AO23" s="6"/>
      <c r="AP23" s="6"/>
      <c r="AQ23" s="6" t="e">
        <f t="shared" ref="AQ23:AQ59" si="37">Z23/L23</f>
        <v>#DIV/0!</v>
      </c>
      <c r="AR23" s="6">
        <f t="shared" ref="AR23:AR59" si="38">AK23/M23</f>
        <v>1.2845215157353886</v>
      </c>
      <c r="AS23" s="6">
        <f t="shared" ref="AS23:AS59" si="39">AB23/N23</f>
        <v>1.1803669724770642</v>
      </c>
      <c r="AT23" s="4"/>
      <c r="AU23" s="4"/>
      <c r="AV23" s="4"/>
      <c r="AW23" s="4"/>
      <c r="AX23" s="4"/>
      <c r="AY23" s="4"/>
      <c r="AZ23" s="4"/>
      <c r="BA23" s="4"/>
      <c r="BB23" s="4"/>
      <c r="BC23" s="4">
        <v>0</v>
      </c>
      <c r="BD23" s="4" t="s">
        <v>176</v>
      </c>
      <c r="BE23" s="4"/>
      <c r="BF23" s="4"/>
      <c r="BG23" s="4" t="s">
        <v>176</v>
      </c>
      <c r="BH23" s="4" t="s">
        <v>176</v>
      </c>
      <c r="BI23" s="4" t="s">
        <v>176</v>
      </c>
      <c r="BJ23" s="4" t="str">
        <f t="shared" ref="BJ23:BJ59" si="40">IF(BE23="",BI23,BE23/BF23*BI23)</f>
        <v>-</v>
      </c>
      <c r="BK23" s="19">
        <v>2</v>
      </c>
      <c r="BL23" s="19">
        <v>8</v>
      </c>
      <c r="BM23" s="16">
        <v>18</v>
      </c>
      <c r="BN23" t="s">
        <v>177</v>
      </c>
      <c r="BO23">
        <v>38000</v>
      </c>
      <c r="BP23">
        <v>38000</v>
      </c>
      <c r="BQ23">
        <f t="shared" si="17"/>
        <v>44853.944954128441</v>
      </c>
      <c r="BR23" t="s">
        <v>176</v>
      </c>
    </row>
    <row r="24" spans="1:70" x14ac:dyDescent="0.4">
      <c r="A24" s="3">
        <v>21</v>
      </c>
      <c r="B24" s="3">
        <v>21</v>
      </c>
      <c r="C24" s="4" t="s">
        <v>84</v>
      </c>
      <c r="D24" s="4" t="str">
        <f t="shared" si="27"/>
        <v>J1326W</v>
      </c>
      <c r="E24" s="4" t="s">
        <v>84</v>
      </c>
      <c r="F24" s="4" t="s">
        <v>140</v>
      </c>
      <c r="G24" s="5">
        <v>4562154313949</v>
      </c>
      <c r="H24" s="5"/>
      <c r="I24" s="5"/>
      <c r="J24" s="5">
        <v>1</v>
      </c>
      <c r="K24" s="5">
        <v>1</v>
      </c>
      <c r="L24" s="4">
        <v>0</v>
      </c>
      <c r="M24" s="4">
        <v>684</v>
      </c>
      <c r="N24" s="4">
        <v>465</v>
      </c>
      <c r="O24" s="6">
        <f t="shared" si="28"/>
        <v>0.32017543859649122</v>
      </c>
      <c r="P24" s="4" t="s">
        <v>177</v>
      </c>
      <c r="Q24" s="4"/>
      <c r="R24" s="4"/>
      <c r="S24" s="4"/>
      <c r="T24" s="4"/>
      <c r="U24" s="4"/>
      <c r="V24" s="4"/>
      <c r="W24" s="4"/>
      <c r="X24" s="4"/>
      <c r="Y24" s="4">
        <v>0</v>
      </c>
      <c r="Z24" s="4">
        <f t="shared" si="29"/>
        <v>0</v>
      </c>
      <c r="AA24" s="4">
        <v>707</v>
      </c>
      <c r="AB24" s="4">
        <f t="shared" si="30"/>
        <v>707</v>
      </c>
      <c r="AC24" s="4"/>
      <c r="AD24" s="21">
        <f t="shared" si="31"/>
        <v>1040</v>
      </c>
      <c r="AE24" s="6">
        <f t="shared" si="32"/>
        <v>0.32019230769230766</v>
      </c>
      <c r="AF24" s="4">
        <v>0.5</v>
      </c>
      <c r="AG24" s="4">
        <f t="shared" si="33"/>
        <v>755</v>
      </c>
      <c r="AH24" s="4">
        <f t="shared" si="15"/>
        <v>1147.9247311827958</v>
      </c>
      <c r="AI24" s="6">
        <f t="shared" si="34"/>
        <v>0.38410596026490074</v>
      </c>
      <c r="AJ24" s="4">
        <f t="shared" si="16"/>
        <v>1088</v>
      </c>
      <c r="AK24" s="7">
        <v>1080</v>
      </c>
      <c r="AL24" s="6">
        <f t="shared" si="35"/>
        <v>0.34537037037037033</v>
      </c>
      <c r="AM24" s="4">
        <f t="shared" si="36"/>
        <v>373</v>
      </c>
      <c r="AN24" s="28"/>
      <c r="AO24" s="6"/>
      <c r="AP24" s="6"/>
      <c r="AQ24" s="6" t="e">
        <f t="shared" si="37"/>
        <v>#DIV/0!</v>
      </c>
      <c r="AR24" s="6">
        <f t="shared" si="38"/>
        <v>1.5789473684210527</v>
      </c>
      <c r="AS24" s="6">
        <f t="shared" si="39"/>
        <v>1.5204301075268818</v>
      </c>
      <c r="AT24" s="4"/>
      <c r="AU24" s="4"/>
      <c r="AV24" s="4"/>
      <c r="AW24" s="4"/>
      <c r="AX24" s="4"/>
      <c r="AY24" s="4"/>
      <c r="AZ24" s="4"/>
      <c r="BA24" s="4"/>
      <c r="BB24" s="4"/>
      <c r="BC24" s="4">
        <v>0</v>
      </c>
      <c r="BD24" s="4" t="s">
        <v>233</v>
      </c>
      <c r="BE24" s="4"/>
      <c r="BF24" s="4"/>
      <c r="BG24" s="4" t="s">
        <v>234</v>
      </c>
      <c r="BH24" s="4">
        <v>755</v>
      </c>
      <c r="BI24" s="4">
        <v>755</v>
      </c>
      <c r="BJ24" s="4">
        <f t="shared" si="40"/>
        <v>755</v>
      </c>
      <c r="BK24" s="19">
        <v>4</v>
      </c>
      <c r="BL24" s="19">
        <v>8</v>
      </c>
      <c r="BM24" s="16">
        <v>18</v>
      </c>
      <c r="BN24" t="s">
        <v>177</v>
      </c>
      <c r="BO24" t="s">
        <v>176</v>
      </c>
      <c r="BP24" t="s">
        <v>176</v>
      </c>
      <c r="BQ24" t="str">
        <f t="shared" si="17"/>
        <v>-</v>
      </c>
      <c r="BR24" t="s">
        <v>196</v>
      </c>
    </row>
    <row r="25" spans="1:70" x14ac:dyDescent="0.4">
      <c r="A25" s="3">
        <v>22</v>
      </c>
      <c r="B25" s="3">
        <v>22</v>
      </c>
      <c r="C25" s="4" t="s">
        <v>85</v>
      </c>
      <c r="D25" s="4" t="str">
        <f t="shared" si="27"/>
        <v>J1331W</v>
      </c>
      <c r="E25" s="4" t="s">
        <v>85</v>
      </c>
      <c r="F25" s="4" t="s">
        <v>141</v>
      </c>
      <c r="G25" s="5">
        <v>4562154314663</v>
      </c>
      <c r="H25" s="5"/>
      <c r="I25" s="5"/>
      <c r="J25" s="5">
        <v>1</v>
      </c>
      <c r="K25" s="5">
        <v>1</v>
      </c>
      <c r="L25" s="4">
        <v>0</v>
      </c>
      <c r="M25" s="4">
        <v>2077</v>
      </c>
      <c r="N25" s="4">
        <v>1530</v>
      </c>
      <c r="O25" s="6">
        <f t="shared" si="28"/>
        <v>0.2633606162734714</v>
      </c>
      <c r="P25" s="4" t="s">
        <v>177</v>
      </c>
      <c r="Q25" s="4"/>
      <c r="R25" s="4"/>
      <c r="S25" s="4"/>
      <c r="T25" s="4"/>
      <c r="U25" s="4"/>
      <c r="V25" s="4"/>
      <c r="W25" s="4"/>
      <c r="X25" s="4"/>
      <c r="Y25" s="4">
        <v>0</v>
      </c>
      <c r="Z25" s="4">
        <f t="shared" si="29"/>
        <v>0</v>
      </c>
      <c r="AA25" s="4">
        <v>2119.9999999999995</v>
      </c>
      <c r="AB25" s="4">
        <f t="shared" si="30"/>
        <v>2119.9999999999995</v>
      </c>
      <c r="AC25" s="4"/>
      <c r="AD25" s="21">
        <f t="shared" si="31"/>
        <v>2878</v>
      </c>
      <c r="AE25" s="6">
        <f t="shared" si="32"/>
        <v>0.26337734537873536</v>
      </c>
      <c r="AF25" s="4">
        <v>2.5</v>
      </c>
      <c r="AG25" s="4" t="str">
        <f t="shared" si="33"/>
        <v>-</v>
      </c>
      <c r="AH25" s="4" t="str">
        <f t="shared" si="15"/>
        <v>-</v>
      </c>
      <c r="AI25" s="6" t="e">
        <f t="shared" si="34"/>
        <v>#VALUE!</v>
      </c>
      <c r="AJ25" s="4">
        <f t="shared" si="16"/>
        <v>3262</v>
      </c>
      <c r="AK25" s="7">
        <v>3100</v>
      </c>
      <c r="AL25" s="6">
        <f t="shared" si="35"/>
        <v>0.31612903225806466</v>
      </c>
      <c r="AM25" s="4">
        <f t="shared" si="36"/>
        <v>980.00000000000045</v>
      </c>
      <c r="AN25" s="28"/>
      <c r="AO25" s="6"/>
      <c r="AP25" s="6"/>
      <c r="AQ25" s="6" t="e">
        <f t="shared" si="37"/>
        <v>#DIV/0!</v>
      </c>
      <c r="AR25" s="6">
        <f t="shared" si="38"/>
        <v>1.4925373134328359</v>
      </c>
      <c r="AS25" s="6">
        <f t="shared" si="39"/>
        <v>1.3856209150326795</v>
      </c>
      <c r="AT25" s="4"/>
      <c r="AU25" s="4"/>
      <c r="AV25" s="4"/>
      <c r="AW25" s="4"/>
      <c r="AX25" s="4"/>
      <c r="AY25" s="4"/>
      <c r="AZ25" s="4"/>
      <c r="BA25" s="4"/>
      <c r="BB25" s="4"/>
      <c r="BC25" s="4">
        <v>0</v>
      </c>
      <c r="BD25" s="4" t="s">
        <v>176</v>
      </c>
      <c r="BE25" s="4"/>
      <c r="BF25" s="4"/>
      <c r="BG25" s="4" t="s">
        <v>176</v>
      </c>
      <c r="BH25" s="4" t="s">
        <v>176</v>
      </c>
      <c r="BI25" s="4" t="s">
        <v>176</v>
      </c>
      <c r="BJ25" s="4" t="str">
        <f t="shared" si="40"/>
        <v>-</v>
      </c>
      <c r="BK25" s="19">
        <v>4</v>
      </c>
      <c r="BL25" s="19">
        <v>8</v>
      </c>
      <c r="BM25" s="16">
        <v>18</v>
      </c>
      <c r="BN25" t="s">
        <v>177</v>
      </c>
      <c r="BO25" t="s">
        <v>176</v>
      </c>
      <c r="BP25" t="s">
        <v>176</v>
      </c>
      <c r="BQ25" t="str">
        <f t="shared" si="17"/>
        <v>-</v>
      </c>
      <c r="BR25" t="s">
        <v>176</v>
      </c>
    </row>
    <row r="26" spans="1:70" x14ac:dyDescent="0.4">
      <c r="A26" s="3">
        <v>23</v>
      </c>
      <c r="B26" s="3">
        <v>23</v>
      </c>
      <c r="C26" s="4" t="s">
        <v>86</v>
      </c>
      <c r="D26" s="4" t="str">
        <f t="shared" si="27"/>
        <v>J1332W</v>
      </c>
      <c r="E26" s="4" t="s">
        <v>86</v>
      </c>
      <c r="F26" s="4" t="s">
        <v>142</v>
      </c>
      <c r="G26" s="5">
        <v>4562154314670</v>
      </c>
      <c r="H26" s="5"/>
      <c r="I26" s="5"/>
      <c r="J26" s="5">
        <v>1</v>
      </c>
      <c r="K26" s="5">
        <v>1</v>
      </c>
      <c r="L26" s="4">
        <v>0</v>
      </c>
      <c r="M26" s="4">
        <v>2293</v>
      </c>
      <c r="N26" s="4">
        <v>1690</v>
      </c>
      <c r="O26" s="6">
        <f t="shared" si="28"/>
        <v>0.26297426951591796</v>
      </c>
      <c r="P26" s="4" t="s">
        <v>177</v>
      </c>
      <c r="Q26" s="4"/>
      <c r="R26" s="4"/>
      <c r="S26" s="4"/>
      <c r="T26" s="4"/>
      <c r="U26" s="4"/>
      <c r="V26" s="4"/>
      <c r="W26" s="4"/>
      <c r="X26" s="4"/>
      <c r="Y26" s="4">
        <v>0</v>
      </c>
      <c r="Z26" s="4">
        <f t="shared" si="29"/>
        <v>0</v>
      </c>
      <c r="AA26" s="4">
        <v>2349.9999999999995</v>
      </c>
      <c r="AB26" s="4">
        <f t="shared" si="30"/>
        <v>2349.9999999999995</v>
      </c>
      <c r="AC26" s="4"/>
      <c r="AD26" s="21">
        <f t="shared" si="31"/>
        <v>3188</v>
      </c>
      <c r="AE26" s="6">
        <f t="shared" si="32"/>
        <v>0.26286072772898383</v>
      </c>
      <c r="AF26" s="4">
        <v>1</v>
      </c>
      <c r="AG26" s="4" t="str">
        <f t="shared" si="33"/>
        <v>-</v>
      </c>
      <c r="AH26" s="4" t="str">
        <f t="shared" si="15"/>
        <v>-</v>
      </c>
      <c r="AI26" s="6" t="e">
        <f t="shared" si="34"/>
        <v>#VALUE!</v>
      </c>
      <c r="AJ26" s="4">
        <f t="shared" si="16"/>
        <v>3615</v>
      </c>
      <c r="AK26" s="7">
        <v>3400</v>
      </c>
      <c r="AL26" s="6">
        <f t="shared" si="35"/>
        <v>0.30882352941176483</v>
      </c>
      <c r="AM26" s="4">
        <f t="shared" si="36"/>
        <v>1050.0000000000005</v>
      </c>
      <c r="AN26" s="28"/>
      <c r="AO26" s="6"/>
      <c r="AP26" s="6"/>
      <c r="AQ26" s="6" t="e">
        <f t="shared" si="37"/>
        <v>#DIV/0!</v>
      </c>
      <c r="AR26" s="6">
        <f t="shared" si="38"/>
        <v>1.4827736589620584</v>
      </c>
      <c r="AS26" s="6">
        <f t="shared" si="39"/>
        <v>1.390532544378698</v>
      </c>
      <c r="AT26" s="4"/>
      <c r="AU26" s="4"/>
      <c r="AV26" s="4"/>
      <c r="AW26" s="4"/>
      <c r="AX26" s="4"/>
      <c r="AY26" s="4"/>
      <c r="AZ26" s="4"/>
      <c r="BA26" s="4"/>
      <c r="BB26" s="4"/>
      <c r="BC26" s="4">
        <v>0</v>
      </c>
      <c r="BD26" s="4" t="s">
        <v>176</v>
      </c>
      <c r="BE26" s="4"/>
      <c r="BF26" s="4"/>
      <c r="BG26" s="4" t="s">
        <v>176</v>
      </c>
      <c r="BH26" s="4" t="s">
        <v>176</v>
      </c>
      <c r="BI26" s="4" t="s">
        <v>176</v>
      </c>
      <c r="BJ26" s="4" t="str">
        <f t="shared" si="40"/>
        <v>-</v>
      </c>
      <c r="BK26" s="19">
        <v>4</v>
      </c>
      <c r="BL26" s="19">
        <v>8</v>
      </c>
      <c r="BM26" s="16">
        <v>18</v>
      </c>
      <c r="BN26" t="s">
        <v>177</v>
      </c>
      <c r="BO26" t="s">
        <v>176</v>
      </c>
      <c r="BP26" t="s">
        <v>176</v>
      </c>
      <c r="BQ26" t="str">
        <f t="shared" si="17"/>
        <v>-</v>
      </c>
      <c r="BR26" t="s">
        <v>176</v>
      </c>
    </row>
    <row r="27" spans="1:70" x14ac:dyDescent="0.4">
      <c r="A27" s="3">
        <v>24</v>
      </c>
      <c r="B27" s="3">
        <v>24</v>
      </c>
      <c r="C27" s="4" t="s">
        <v>87</v>
      </c>
      <c r="D27" s="4" t="str">
        <f t="shared" si="27"/>
        <v>J1333W</v>
      </c>
      <c r="E27" s="4" t="s">
        <v>87</v>
      </c>
      <c r="F27" s="4" t="s">
        <v>143</v>
      </c>
      <c r="G27" s="5">
        <v>4562154314687</v>
      </c>
      <c r="H27" s="5"/>
      <c r="I27" s="5"/>
      <c r="J27" s="5">
        <v>1</v>
      </c>
      <c r="K27" s="5">
        <v>1</v>
      </c>
      <c r="L27" s="4">
        <v>0</v>
      </c>
      <c r="M27" s="4">
        <v>2388</v>
      </c>
      <c r="N27" s="4">
        <v>1760</v>
      </c>
      <c r="O27" s="6">
        <f t="shared" si="28"/>
        <v>0.26298157453936344</v>
      </c>
      <c r="P27" s="4" t="s">
        <v>177</v>
      </c>
      <c r="Q27" s="4"/>
      <c r="R27" s="4"/>
      <c r="S27" s="4"/>
      <c r="T27" s="4"/>
      <c r="U27" s="4"/>
      <c r="V27" s="4"/>
      <c r="W27" s="4"/>
      <c r="X27" s="4"/>
      <c r="Y27" s="4">
        <v>0</v>
      </c>
      <c r="Z27" s="4">
        <f t="shared" si="29"/>
        <v>0</v>
      </c>
      <c r="AA27" s="4">
        <v>2440</v>
      </c>
      <c r="AB27" s="4">
        <f t="shared" si="30"/>
        <v>2440</v>
      </c>
      <c r="AC27" s="4"/>
      <c r="AD27" s="21">
        <f t="shared" si="31"/>
        <v>3311</v>
      </c>
      <c r="AE27" s="6">
        <f t="shared" si="32"/>
        <v>0.26306251887647236</v>
      </c>
      <c r="AF27" s="4">
        <v>0</v>
      </c>
      <c r="AG27" s="4" t="str">
        <f t="shared" si="33"/>
        <v>-</v>
      </c>
      <c r="AH27" s="4" t="str">
        <f t="shared" si="15"/>
        <v>-</v>
      </c>
      <c r="AI27" s="6" t="e">
        <f t="shared" si="34"/>
        <v>#VALUE!</v>
      </c>
      <c r="AJ27" s="4">
        <f t="shared" si="16"/>
        <v>3754</v>
      </c>
      <c r="AK27" s="7">
        <v>3500</v>
      </c>
      <c r="AL27" s="6">
        <f t="shared" si="35"/>
        <v>0.30285714285714282</v>
      </c>
      <c r="AM27" s="4">
        <f t="shared" si="36"/>
        <v>1060</v>
      </c>
      <c r="AN27" s="28"/>
      <c r="AO27" s="6"/>
      <c r="AP27" s="6"/>
      <c r="AQ27" s="6" t="e">
        <f t="shared" si="37"/>
        <v>#DIV/0!</v>
      </c>
      <c r="AR27" s="6">
        <f t="shared" si="38"/>
        <v>1.4656616415410386</v>
      </c>
      <c r="AS27" s="6">
        <f t="shared" si="39"/>
        <v>1.3863636363636365</v>
      </c>
      <c r="AT27" s="4"/>
      <c r="AU27" s="4"/>
      <c r="AV27" s="4"/>
      <c r="AW27" s="4"/>
      <c r="AX27" s="4"/>
      <c r="AY27" s="4"/>
      <c r="AZ27" s="4"/>
      <c r="BA27" s="4"/>
      <c r="BB27" s="4"/>
      <c r="BC27" s="4">
        <v>0</v>
      </c>
      <c r="BD27" s="4" t="s">
        <v>176</v>
      </c>
      <c r="BE27" s="4"/>
      <c r="BF27" s="4"/>
      <c r="BG27" s="4" t="s">
        <v>176</v>
      </c>
      <c r="BH27" s="4" t="s">
        <v>176</v>
      </c>
      <c r="BI27" s="4" t="s">
        <v>176</v>
      </c>
      <c r="BJ27" s="4" t="str">
        <f t="shared" si="40"/>
        <v>-</v>
      </c>
      <c r="BK27" s="19">
        <v>4</v>
      </c>
      <c r="BL27" s="19">
        <v>8</v>
      </c>
      <c r="BM27" s="16">
        <v>18</v>
      </c>
      <c r="BN27" t="s">
        <v>177</v>
      </c>
      <c r="BO27" t="s">
        <v>176</v>
      </c>
      <c r="BP27" t="s">
        <v>176</v>
      </c>
      <c r="BQ27" t="str">
        <f t="shared" si="17"/>
        <v>-</v>
      </c>
      <c r="BR27" t="s">
        <v>176</v>
      </c>
    </row>
    <row r="28" spans="1:70" x14ac:dyDescent="0.4">
      <c r="A28" s="3">
        <v>25</v>
      </c>
      <c r="B28" s="3">
        <v>25</v>
      </c>
      <c r="C28" s="4" t="s">
        <v>88</v>
      </c>
      <c r="D28" s="4" t="str">
        <f t="shared" si="27"/>
        <v>J1334W</v>
      </c>
      <c r="E28" s="4" t="s">
        <v>88</v>
      </c>
      <c r="F28" s="4" t="s">
        <v>144</v>
      </c>
      <c r="G28" s="5">
        <v>4562154314694</v>
      </c>
      <c r="H28" s="5"/>
      <c r="I28" s="5"/>
      <c r="J28" s="5">
        <v>1</v>
      </c>
      <c r="K28" s="5">
        <v>1</v>
      </c>
      <c r="L28" s="4">
        <v>0</v>
      </c>
      <c r="M28" s="4">
        <v>2796</v>
      </c>
      <c r="N28" s="4">
        <v>2060</v>
      </c>
      <c r="O28" s="6">
        <f t="shared" si="28"/>
        <v>0.26323319027181691</v>
      </c>
      <c r="P28" s="4" t="s">
        <v>177</v>
      </c>
      <c r="Q28" s="4"/>
      <c r="R28" s="4"/>
      <c r="S28" s="4"/>
      <c r="T28" s="4"/>
      <c r="U28" s="4"/>
      <c r="V28" s="4"/>
      <c r="W28" s="4"/>
      <c r="X28" s="4"/>
      <c r="Y28" s="4">
        <v>0</v>
      </c>
      <c r="Z28" s="4">
        <f t="shared" si="29"/>
        <v>0</v>
      </c>
      <c r="AA28" s="4">
        <v>2849.9999999999995</v>
      </c>
      <c r="AB28" s="4">
        <f t="shared" si="30"/>
        <v>2849.9999999999995</v>
      </c>
      <c r="AC28" s="4"/>
      <c r="AD28" s="21">
        <f t="shared" si="31"/>
        <v>3868</v>
      </c>
      <c r="AE28" s="6">
        <f t="shared" si="32"/>
        <v>0.26318510858324728</v>
      </c>
      <c r="AF28" s="4">
        <v>3</v>
      </c>
      <c r="AG28" s="4" t="str">
        <f t="shared" si="33"/>
        <v>-</v>
      </c>
      <c r="AH28" s="4" t="str">
        <f t="shared" si="15"/>
        <v>-</v>
      </c>
      <c r="AI28" s="6" t="e">
        <f t="shared" si="34"/>
        <v>#VALUE!</v>
      </c>
      <c r="AJ28" s="4">
        <f t="shared" si="16"/>
        <v>4385</v>
      </c>
      <c r="AK28" s="7">
        <v>4100</v>
      </c>
      <c r="AL28" s="6">
        <f t="shared" si="35"/>
        <v>0.30487804878048796</v>
      </c>
      <c r="AM28" s="4">
        <f t="shared" si="36"/>
        <v>1250.0000000000005</v>
      </c>
      <c r="AN28" s="28"/>
      <c r="AO28" s="6"/>
      <c r="AP28" s="6"/>
      <c r="AQ28" s="6" t="e">
        <f t="shared" si="37"/>
        <v>#DIV/0!</v>
      </c>
      <c r="AR28" s="6">
        <f t="shared" si="38"/>
        <v>1.4663805436337625</v>
      </c>
      <c r="AS28" s="6">
        <f t="shared" si="39"/>
        <v>1.3834951456310678</v>
      </c>
      <c r="AT28" s="4"/>
      <c r="AU28" s="4"/>
      <c r="AV28" s="4"/>
      <c r="AW28" s="4"/>
      <c r="AX28" s="4"/>
      <c r="AY28" s="4"/>
      <c r="AZ28" s="4"/>
      <c r="BA28" s="4"/>
      <c r="BB28" s="4"/>
      <c r="BC28" s="4">
        <v>0</v>
      </c>
      <c r="BD28" s="4" t="s">
        <v>176</v>
      </c>
      <c r="BE28" s="4"/>
      <c r="BF28" s="4"/>
      <c r="BG28" s="4" t="s">
        <v>176</v>
      </c>
      <c r="BH28" s="4" t="s">
        <v>176</v>
      </c>
      <c r="BI28" s="4" t="s">
        <v>176</v>
      </c>
      <c r="BJ28" s="4" t="str">
        <f t="shared" si="40"/>
        <v>-</v>
      </c>
      <c r="BK28" s="19">
        <v>4</v>
      </c>
      <c r="BL28" s="19">
        <v>8</v>
      </c>
      <c r="BM28" s="16">
        <v>18</v>
      </c>
      <c r="BN28" t="s">
        <v>177</v>
      </c>
      <c r="BO28" t="s">
        <v>176</v>
      </c>
      <c r="BP28" t="s">
        <v>176</v>
      </c>
      <c r="BQ28" t="str">
        <f t="shared" si="17"/>
        <v>-</v>
      </c>
      <c r="BR28" t="s">
        <v>176</v>
      </c>
    </row>
    <row r="29" spans="1:70" x14ac:dyDescent="0.4">
      <c r="A29" s="3">
        <v>26</v>
      </c>
      <c r="B29" s="3">
        <v>26</v>
      </c>
      <c r="C29" s="4" t="s">
        <v>89</v>
      </c>
      <c r="D29" s="4" t="str">
        <f t="shared" si="27"/>
        <v>J1335W</v>
      </c>
      <c r="E29" s="4" t="s">
        <v>89</v>
      </c>
      <c r="F29" s="4" t="s">
        <v>145</v>
      </c>
      <c r="G29" s="5">
        <v>4562154314700</v>
      </c>
      <c r="H29" s="5"/>
      <c r="I29" s="5"/>
      <c r="J29" s="5">
        <v>1</v>
      </c>
      <c r="K29" s="5">
        <v>1</v>
      </c>
      <c r="L29" s="4">
        <v>0</v>
      </c>
      <c r="M29" s="4">
        <v>3474</v>
      </c>
      <c r="N29" s="4">
        <v>2560</v>
      </c>
      <c r="O29" s="6">
        <f t="shared" si="28"/>
        <v>0.26309729418537708</v>
      </c>
      <c r="P29" s="4" t="s">
        <v>177</v>
      </c>
      <c r="Q29" s="4"/>
      <c r="R29" s="4"/>
      <c r="S29" s="4"/>
      <c r="T29" s="4"/>
      <c r="U29" s="4"/>
      <c r="V29" s="4"/>
      <c r="W29" s="4"/>
      <c r="X29" s="4"/>
      <c r="Y29" s="4">
        <v>0</v>
      </c>
      <c r="Z29" s="4">
        <f t="shared" si="29"/>
        <v>0</v>
      </c>
      <c r="AA29" s="4">
        <v>3570</v>
      </c>
      <c r="AB29" s="4">
        <f t="shared" si="30"/>
        <v>3570</v>
      </c>
      <c r="AC29" s="4"/>
      <c r="AD29" s="21">
        <f t="shared" si="31"/>
        <v>4845</v>
      </c>
      <c r="AE29" s="6">
        <f t="shared" si="32"/>
        <v>0.26315789473684215</v>
      </c>
      <c r="AF29" s="4">
        <v>1.5</v>
      </c>
      <c r="AG29" s="4" t="str">
        <f t="shared" si="33"/>
        <v>-</v>
      </c>
      <c r="AH29" s="4" t="str">
        <f t="shared" si="15"/>
        <v>-</v>
      </c>
      <c r="AI29" s="6" t="e">
        <f t="shared" si="34"/>
        <v>#VALUE!</v>
      </c>
      <c r="AJ29" s="4">
        <f t="shared" si="16"/>
        <v>5492</v>
      </c>
      <c r="AK29" s="7">
        <v>5200</v>
      </c>
      <c r="AL29" s="6">
        <f t="shared" si="35"/>
        <v>0.31346153846153846</v>
      </c>
      <c r="AM29" s="4">
        <f t="shared" si="36"/>
        <v>1630</v>
      </c>
      <c r="AN29" s="28"/>
      <c r="AO29" s="6"/>
      <c r="AP29" s="6"/>
      <c r="AQ29" s="6" t="e">
        <f t="shared" si="37"/>
        <v>#DIV/0!</v>
      </c>
      <c r="AR29" s="6">
        <f t="shared" si="38"/>
        <v>1.4968336211859528</v>
      </c>
      <c r="AS29" s="6">
        <f t="shared" si="39"/>
        <v>1.39453125</v>
      </c>
      <c r="AT29" s="4"/>
      <c r="AU29" s="4"/>
      <c r="AV29" s="4"/>
      <c r="AW29" s="4"/>
      <c r="AX29" s="4"/>
      <c r="AY29" s="4"/>
      <c r="AZ29" s="4"/>
      <c r="BA29" s="4"/>
      <c r="BB29" s="4"/>
      <c r="BC29" s="4">
        <v>0</v>
      </c>
      <c r="BD29" s="4" t="s">
        <v>176</v>
      </c>
      <c r="BE29" s="4"/>
      <c r="BF29" s="4"/>
      <c r="BG29" s="4" t="s">
        <v>176</v>
      </c>
      <c r="BH29" s="4" t="s">
        <v>176</v>
      </c>
      <c r="BI29" s="4" t="s">
        <v>176</v>
      </c>
      <c r="BJ29" s="4" t="str">
        <f t="shared" si="40"/>
        <v>-</v>
      </c>
      <c r="BK29" s="19">
        <v>4</v>
      </c>
      <c r="BL29" s="19">
        <v>8</v>
      </c>
      <c r="BM29" s="16">
        <v>18</v>
      </c>
      <c r="BN29" t="s">
        <v>177</v>
      </c>
      <c r="BO29" t="s">
        <v>176</v>
      </c>
      <c r="BP29" t="s">
        <v>176</v>
      </c>
      <c r="BQ29" t="str">
        <f t="shared" si="17"/>
        <v>-</v>
      </c>
      <c r="BR29" t="s">
        <v>176</v>
      </c>
    </row>
    <row r="30" spans="1:70" x14ac:dyDescent="0.4">
      <c r="A30" s="3">
        <v>27</v>
      </c>
      <c r="B30" s="3">
        <v>27</v>
      </c>
      <c r="C30" s="4" t="s">
        <v>90</v>
      </c>
      <c r="D30" s="4" t="str">
        <f t="shared" si="27"/>
        <v>J1336W</v>
      </c>
      <c r="E30" s="4" t="s">
        <v>90</v>
      </c>
      <c r="F30" s="4" t="s">
        <v>146</v>
      </c>
      <c r="G30" s="5">
        <v>4562154314717</v>
      </c>
      <c r="H30" s="5"/>
      <c r="I30" s="5"/>
      <c r="J30" s="5">
        <v>1</v>
      </c>
      <c r="K30" s="5">
        <v>1</v>
      </c>
      <c r="L30" s="4">
        <v>0</v>
      </c>
      <c r="M30" s="4">
        <v>4316</v>
      </c>
      <c r="N30" s="4">
        <v>3180</v>
      </c>
      <c r="O30" s="6">
        <f t="shared" si="28"/>
        <v>0.26320667284522703</v>
      </c>
      <c r="P30" s="4" t="s">
        <v>177</v>
      </c>
      <c r="Q30" s="4"/>
      <c r="R30" s="4"/>
      <c r="S30" s="4"/>
      <c r="T30" s="4"/>
      <c r="U30" s="4"/>
      <c r="V30" s="4"/>
      <c r="W30" s="4"/>
      <c r="X30" s="4"/>
      <c r="Y30" s="4">
        <v>0</v>
      </c>
      <c r="Z30" s="4">
        <f t="shared" si="29"/>
        <v>0</v>
      </c>
      <c r="AA30" s="4">
        <v>4430</v>
      </c>
      <c r="AB30" s="4">
        <f t="shared" si="30"/>
        <v>4430</v>
      </c>
      <c r="AC30" s="4"/>
      <c r="AD30" s="21">
        <f t="shared" si="31"/>
        <v>6013</v>
      </c>
      <c r="AE30" s="6">
        <f t="shared" si="32"/>
        <v>0.26326293031764514</v>
      </c>
      <c r="AF30" s="4">
        <v>0</v>
      </c>
      <c r="AG30" s="4" t="str">
        <f t="shared" si="33"/>
        <v>-</v>
      </c>
      <c r="AH30" s="4" t="str">
        <f t="shared" si="15"/>
        <v>-</v>
      </c>
      <c r="AI30" s="6" t="e">
        <f t="shared" si="34"/>
        <v>#VALUE!</v>
      </c>
      <c r="AJ30" s="4">
        <f t="shared" si="16"/>
        <v>6815</v>
      </c>
      <c r="AK30" s="7">
        <v>6500</v>
      </c>
      <c r="AL30" s="6">
        <f t="shared" si="35"/>
        <v>0.31846153846153846</v>
      </c>
      <c r="AM30" s="4">
        <f t="shared" si="36"/>
        <v>2070</v>
      </c>
      <c r="AN30" s="28"/>
      <c r="AO30" s="6"/>
      <c r="AP30" s="6"/>
      <c r="AQ30" s="6" t="e">
        <f t="shared" si="37"/>
        <v>#DIV/0!</v>
      </c>
      <c r="AR30" s="6">
        <f t="shared" si="38"/>
        <v>1.5060240963855422</v>
      </c>
      <c r="AS30" s="6">
        <f t="shared" si="39"/>
        <v>1.3930817610062893</v>
      </c>
      <c r="AT30" s="4"/>
      <c r="AU30" s="4"/>
      <c r="AV30" s="4"/>
      <c r="AW30" s="4"/>
      <c r="AX30" s="4"/>
      <c r="AY30" s="4"/>
      <c r="AZ30" s="4"/>
      <c r="BA30" s="4"/>
      <c r="BB30" s="4"/>
      <c r="BC30" s="4">
        <v>0</v>
      </c>
      <c r="BD30" s="4" t="s">
        <v>176</v>
      </c>
      <c r="BE30" s="4"/>
      <c r="BF30" s="4"/>
      <c r="BG30" s="4" t="s">
        <v>176</v>
      </c>
      <c r="BH30" s="4" t="s">
        <v>176</v>
      </c>
      <c r="BI30" s="4" t="s">
        <v>176</v>
      </c>
      <c r="BJ30" s="4" t="str">
        <f t="shared" si="40"/>
        <v>-</v>
      </c>
      <c r="BK30" s="19">
        <v>4</v>
      </c>
      <c r="BL30" s="19">
        <v>8</v>
      </c>
      <c r="BM30" s="16">
        <v>18</v>
      </c>
      <c r="BN30" t="s">
        <v>177</v>
      </c>
      <c r="BO30" t="s">
        <v>176</v>
      </c>
      <c r="BP30" t="s">
        <v>176</v>
      </c>
      <c r="BQ30" t="str">
        <f t="shared" si="17"/>
        <v>-</v>
      </c>
      <c r="BR30" t="s">
        <v>176</v>
      </c>
    </row>
    <row r="31" spans="1:70" x14ac:dyDescent="0.4">
      <c r="A31" s="3">
        <v>28</v>
      </c>
      <c r="B31" s="3">
        <v>28</v>
      </c>
      <c r="C31" s="4" t="s">
        <v>91</v>
      </c>
      <c r="D31" s="4" t="str">
        <f t="shared" si="27"/>
        <v>J1338W</v>
      </c>
      <c r="E31" s="4" t="s">
        <v>91</v>
      </c>
      <c r="F31" s="4" t="s">
        <v>147</v>
      </c>
      <c r="G31" s="5">
        <v>2001235431315</v>
      </c>
      <c r="H31" s="5"/>
      <c r="I31" s="5"/>
      <c r="J31" s="5">
        <v>1</v>
      </c>
      <c r="K31" s="5">
        <v>1</v>
      </c>
      <c r="L31" s="4">
        <v>0</v>
      </c>
      <c r="M31" s="4">
        <v>34324</v>
      </c>
      <c r="N31" s="4">
        <v>25290</v>
      </c>
      <c r="O31" s="6">
        <f t="shared" si="28"/>
        <v>0.26319776249854332</v>
      </c>
      <c r="P31" s="4" t="s">
        <v>177</v>
      </c>
      <c r="Q31" s="4"/>
      <c r="R31" s="4"/>
      <c r="S31" s="4"/>
      <c r="T31" s="4"/>
      <c r="U31" s="4"/>
      <c r="V31" s="4"/>
      <c r="W31" s="4"/>
      <c r="X31" s="4"/>
      <c r="Y31" s="4">
        <v>0</v>
      </c>
      <c r="Z31" s="4">
        <f t="shared" si="29"/>
        <v>0</v>
      </c>
      <c r="AA31" s="4">
        <v>29900</v>
      </c>
      <c r="AB31" s="4">
        <f t="shared" si="30"/>
        <v>29900</v>
      </c>
      <c r="AC31" s="4"/>
      <c r="AD31" s="21">
        <f t="shared" si="31"/>
        <v>40581</v>
      </c>
      <c r="AE31" s="6">
        <f t="shared" si="32"/>
        <v>0.26320199107956921</v>
      </c>
      <c r="AF31" s="4">
        <v>0</v>
      </c>
      <c r="AG31" s="4" t="str">
        <f t="shared" si="33"/>
        <v>-</v>
      </c>
      <c r="AH31" s="4" t="str">
        <f t="shared" si="15"/>
        <v>-</v>
      </c>
      <c r="AI31" s="6" t="e">
        <f t="shared" si="34"/>
        <v>#VALUE!</v>
      </c>
      <c r="AJ31" s="4">
        <f t="shared" si="16"/>
        <v>46000</v>
      </c>
      <c r="AK31" s="7">
        <v>45000</v>
      </c>
      <c r="AL31" s="6">
        <f t="shared" si="35"/>
        <v>0.33555555555555561</v>
      </c>
      <c r="AM31" s="4">
        <f t="shared" si="36"/>
        <v>15100</v>
      </c>
      <c r="AN31" s="28"/>
      <c r="AO31" s="6"/>
      <c r="AP31" s="6"/>
      <c r="AQ31" s="6" t="e">
        <f t="shared" si="37"/>
        <v>#DIV/0!</v>
      </c>
      <c r="AR31" s="6">
        <f t="shared" si="38"/>
        <v>1.311036009789069</v>
      </c>
      <c r="AS31" s="6">
        <f t="shared" si="39"/>
        <v>1.1822854883353104</v>
      </c>
      <c r="AT31" s="4"/>
      <c r="AU31" s="4"/>
      <c r="AV31" s="4"/>
      <c r="AW31" s="4"/>
      <c r="AX31" s="4"/>
      <c r="AY31" s="4"/>
      <c r="AZ31" s="4"/>
      <c r="BA31" s="4"/>
      <c r="BB31" s="4"/>
      <c r="BC31" s="4">
        <v>0</v>
      </c>
      <c r="BD31" s="4" t="s">
        <v>176</v>
      </c>
      <c r="BE31" s="4"/>
      <c r="BF31" s="4"/>
      <c r="BG31" s="4" t="s">
        <v>176</v>
      </c>
      <c r="BH31" s="4" t="s">
        <v>176</v>
      </c>
      <c r="BI31" s="4" t="s">
        <v>176</v>
      </c>
      <c r="BJ31" s="4" t="str">
        <f t="shared" si="40"/>
        <v>-</v>
      </c>
      <c r="BK31" s="19">
        <v>2</v>
      </c>
      <c r="BL31" s="19">
        <v>8</v>
      </c>
      <c r="BM31" s="16">
        <v>18</v>
      </c>
      <c r="BN31" t="s">
        <v>177</v>
      </c>
      <c r="BO31" t="s">
        <v>176</v>
      </c>
      <c r="BP31" t="s">
        <v>176</v>
      </c>
      <c r="BQ31" t="str">
        <f t="shared" si="17"/>
        <v>-</v>
      </c>
      <c r="BR31" t="s">
        <v>176</v>
      </c>
    </row>
    <row r="32" spans="1:70" x14ac:dyDescent="0.4">
      <c r="A32" s="3">
        <v>29</v>
      </c>
      <c r="B32" s="3">
        <v>29</v>
      </c>
      <c r="C32" s="4" t="s">
        <v>92</v>
      </c>
      <c r="D32" s="4" t="str">
        <f t="shared" si="27"/>
        <v>J1355W</v>
      </c>
      <c r="E32" s="4" t="s">
        <v>92</v>
      </c>
      <c r="F32" s="4" t="s">
        <v>148</v>
      </c>
      <c r="G32" s="5">
        <v>4580420170782</v>
      </c>
      <c r="H32" s="5"/>
      <c r="I32" s="5"/>
      <c r="J32" s="5">
        <v>1</v>
      </c>
      <c r="K32" s="5">
        <v>1</v>
      </c>
      <c r="L32" s="4">
        <v>0</v>
      </c>
      <c r="M32" s="4">
        <v>1071</v>
      </c>
      <c r="N32" s="4">
        <v>789</v>
      </c>
      <c r="O32" s="6">
        <f t="shared" si="28"/>
        <v>0.26330532212885149</v>
      </c>
      <c r="P32" s="4" t="s">
        <v>177</v>
      </c>
      <c r="Q32" s="4"/>
      <c r="R32" s="4"/>
      <c r="S32" s="4"/>
      <c r="T32" s="4"/>
      <c r="U32" s="4"/>
      <c r="V32" s="4"/>
      <c r="W32" s="4"/>
      <c r="X32" s="4"/>
      <c r="Y32" s="4">
        <v>0</v>
      </c>
      <c r="Z32" s="4">
        <f t="shared" si="29"/>
        <v>0</v>
      </c>
      <c r="AA32" s="4">
        <v>968</v>
      </c>
      <c r="AB32" s="4">
        <f t="shared" si="30"/>
        <v>968</v>
      </c>
      <c r="AC32" s="4"/>
      <c r="AD32" s="21">
        <f t="shared" si="31"/>
        <v>1314</v>
      </c>
      <c r="AE32" s="6">
        <f t="shared" si="32"/>
        <v>0.26331811263318117</v>
      </c>
      <c r="AF32" s="4">
        <v>0</v>
      </c>
      <c r="AG32" s="4">
        <f t="shared" si="33"/>
        <v>1075</v>
      </c>
      <c r="AH32" s="4">
        <f t="shared" si="15"/>
        <v>1318.8846641318123</v>
      </c>
      <c r="AI32" s="6">
        <f t="shared" si="34"/>
        <v>0.26604651162790693</v>
      </c>
      <c r="AJ32" s="4">
        <f t="shared" si="16"/>
        <v>1489</v>
      </c>
      <c r="AK32" s="7">
        <v>1318</v>
      </c>
      <c r="AL32" s="6">
        <f t="shared" si="35"/>
        <v>0.26555386949924131</v>
      </c>
      <c r="AM32" s="4">
        <f t="shared" si="36"/>
        <v>350</v>
      </c>
      <c r="AN32" s="28"/>
      <c r="AO32" s="6"/>
      <c r="AP32" s="6"/>
      <c r="AQ32" s="6" t="e">
        <f t="shared" si="37"/>
        <v>#DIV/0!</v>
      </c>
      <c r="AR32" s="6">
        <f t="shared" si="38"/>
        <v>1.2306255835667601</v>
      </c>
      <c r="AS32" s="6">
        <f t="shared" si="39"/>
        <v>1.226869455006337</v>
      </c>
      <c r="AT32" s="4"/>
      <c r="AU32" s="4"/>
      <c r="AV32" s="4"/>
      <c r="AW32" s="4"/>
      <c r="AX32" s="4"/>
      <c r="AY32" s="4"/>
      <c r="AZ32" s="4"/>
      <c r="BA32" s="4"/>
      <c r="BB32" s="4"/>
      <c r="BC32" s="4">
        <v>0</v>
      </c>
      <c r="BD32" s="4" t="s">
        <v>235</v>
      </c>
      <c r="BE32" s="4"/>
      <c r="BF32" s="4"/>
      <c r="BG32" s="4" t="s">
        <v>214</v>
      </c>
      <c r="BH32" s="4">
        <v>1075</v>
      </c>
      <c r="BI32" s="4">
        <v>1075</v>
      </c>
      <c r="BJ32" s="4">
        <f t="shared" si="40"/>
        <v>1075</v>
      </c>
      <c r="BK32" s="19">
        <v>4</v>
      </c>
      <c r="BL32" s="19">
        <v>8</v>
      </c>
      <c r="BM32" s="16">
        <v>18</v>
      </c>
      <c r="BN32" t="s">
        <v>177</v>
      </c>
      <c r="BO32">
        <v>12820</v>
      </c>
      <c r="BP32">
        <v>12820</v>
      </c>
      <c r="BQ32">
        <f t="shared" si="17"/>
        <v>15728.466413181241</v>
      </c>
      <c r="BR32" t="s">
        <v>197</v>
      </c>
    </row>
    <row r="33" spans="1:70" x14ac:dyDescent="0.4">
      <c r="A33" s="3">
        <v>30</v>
      </c>
      <c r="B33" s="3">
        <v>30</v>
      </c>
      <c r="C33" s="4" t="s">
        <v>93</v>
      </c>
      <c r="D33" s="4" t="str">
        <f t="shared" si="27"/>
        <v>J1356W</v>
      </c>
      <c r="E33" s="4" t="s">
        <v>93</v>
      </c>
      <c r="F33" s="4" t="s">
        <v>149</v>
      </c>
      <c r="G33" s="5">
        <v>4580420170799</v>
      </c>
      <c r="H33" s="5"/>
      <c r="I33" s="5"/>
      <c r="J33" s="5">
        <v>1</v>
      </c>
      <c r="K33" s="5">
        <v>1</v>
      </c>
      <c r="L33" s="4">
        <v>0</v>
      </c>
      <c r="M33" s="4">
        <v>1451</v>
      </c>
      <c r="N33" s="4">
        <v>1069</v>
      </c>
      <c r="O33" s="6">
        <f t="shared" si="28"/>
        <v>0.26326671261199175</v>
      </c>
      <c r="P33" s="4" t="s">
        <v>177</v>
      </c>
      <c r="Q33" s="4"/>
      <c r="R33" s="4"/>
      <c r="S33" s="4"/>
      <c r="T33" s="4"/>
      <c r="U33" s="4"/>
      <c r="V33" s="4"/>
      <c r="W33" s="4"/>
      <c r="X33" s="4"/>
      <c r="Y33" s="4">
        <v>0</v>
      </c>
      <c r="Z33" s="4">
        <f t="shared" si="29"/>
        <v>0</v>
      </c>
      <c r="AA33" s="4">
        <v>1312</v>
      </c>
      <c r="AB33" s="4">
        <f t="shared" si="30"/>
        <v>1312</v>
      </c>
      <c r="AC33" s="4"/>
      <c r="AD33" s="21">
        <f t="shared" si="31"/>
        <v>1781</v>
      </c>
      <c r="AE33" s="6">
        <f t="shared" si="32"/>
        <v>0.26333520494104434</v>
      </c>
      <c r="AF33" s="4">
        <v>0</v>
      </c>
      <c r="AG33" s="4">
        <f t="shared" si="33"/>
        <v>1456</v>
      </c>
      <c r="AH33" s="4">
        <f t="shared" si="15"/>
        <v>1786.9710009354537</v>
      </c>
      <c r="AI33" s="6">
        <f t="shared" si="34"/>
        <v>0.26579670329670335</v>
      </c>
      <c r="AJ33" s="4">
        <f t="shared" si="16"/>
        <v>2018</v>
      </c>
      <c r="AK33" s="7">
        <v>1786</v>
      </c>
      <c r="AL33" s="6">
        <f t="shared" si="35"/>
        <v>0.26539753639417696</v>
      </c>
      <c r="AM33" s="4">
        <f t="shared" si="36"/>
        <v>474</v>
      </c>
      <c r="AN33" s="28"/>
      <c r="AO33" s="6"/>
      <c r="AP33" s="6"/>
      <c r="AQ33" s="6" t="e">
        <f t="shared" si="37"/>
        <v>#DIV/0!</v>
      </c>
      <c r="AR33" s="6">
        <f t="shared" si="38"/>
        <v>1.2308752584424534</v>
      </c>
      <c r="AS33" s="6">
        <f t="shared" si="39"/>
        <v>1.2273152478952292</v>
      </c>
      <c r="AT33" s="4"/>
      <c r="AU33" s="4"/>
      <c r="AV33" s="4"/>
      <c r="AW33" s="4"/>
      <c r="AX33" s="4"/>
      <c r="AY33" s="4"/>
      <c r="AZ33" s="4"/>
      <c r="BA33" s="4"/>
      <c r="BB33" s="4"/>
      <c r="BC33" s="4">
        <v>0</v>
      </c>
      <c r="BD33" s="4" t="s">
        <v>236</v>
      </c>
      <c r="BE33" s="4"/>
      <c r="BF33" s="4"/>
      <c r="BG33" s="4" t="s">
        <v>214</v>
      </c>
      <c r="BH33" s="4">
        <v>1456</v>
      </c>
      <c r="BI33" s="4">
        <v>1456</v>
      </c>
      <c r="BJ33" s="4">
        <f t="shared" si="40"/>
        <v>1456</v>
      </c>
      <c r="BK33" s="19">
        <v>4</v>
      </c>
      <c r="BL33" s="19">
        <v>8</v>
      </c>
      <c r="BM33" s="16">
        <v>18</v>
      </c>
      <c r="BN33" t="s">
        <v>177</v>
      </c>
      <c r="BO33">
        <v>17300</v>
      </c>
      <c r="BP33">
        <v>17300</v>
      </c>
      <c r="BQ33">
        <f t="shared" si="17"/>
        <v>21232.553788587466</v>
      </c>
      <c r="BR33" t="s">
        <v>198</v>
      </c>
    </row>
    <row r="34" spans="1:70" x14ac:dyDescent="0.4">
      <c r="A34" s="3">
        <v>31</v>
      </c>
      <c r="B34" s="3">
        <v>31</v>
      </c>
      <c r="C34" s="4" t="s">
        <v>94</v>
      </c>
      <c r="D34" s="4" t="str">
        <f t="shared" si="27"/>
        <v>J1368W</v>
      </c>
      <c r="E34" s="4" t="s">
        <v>94</v>
      </c>
      <c r="F34" s="4" t="s">
        <v>150</v>
      </c>
      <c r="G34" s="5">
        <v>4580420171154</v>
      </c>
      <c r="H34" s="5"/>
      <c r="I34" s="5"/>
      <c r="J34" s="5">
        <v>1</v>
      </c>
      <c r="K34" s="5">
        <v>1</v>
      </c>
      <c r="L34" s="4">
        <v>0</v>
      </c>
      <c r="M34" s="4">
        <v>1531</v>
      </c>
      <c r="N34" s="4">
        <v>1040</v>
      </c>
      <c r="O34" s="6">
        <f t="shared" si="28"/>
        <v>0.3207054212932724</v>
      </c>
      <c r="P34" s="4" t="s">
        <v>177</v>
      </c>
      <c r="Q34" s="4"/>
      <c r="R34" s="4"/>
      <c r="S34" s="4"/>
      <c r="T34" s="4"/>
      <c r="U34" s="4"/>
      <c r="V34" s="4"/>
      <c r="W34" s="4"/>
      <c r="X34" s="4"/>
      <c r="Y34" s="4">
        <v>0</v>
      </c>
      <c r="Z34" s="4">
        <f t="shared" si="29"/>
        <v>0</v>
      </c>
      <c r="AA34" s="4">
        <v>1590</v>
      </c>
      <c r="AB34" s="4">
        <f t="shared" si="30"/>
        <v>1590</v>
      </c>
      <c r="AC34" s="4"/>
      <c r="AD34" s="21">
        <f t="shared" si="31"/>
        <v>2341</v>
      </c>
      <c r="AE34" s="6">
        <f t="shared" si="32"/>
        <v>0.32080307560871424</v>
      </c>
      <c r="AF34" s="4">
        <v>0.5</v>
      </c>
      <c r="AG34" s="4" t="str">
        <f t="shared" si="33"/>
        <v>-</v>
      </c>
      <c r="AH34" s="4" t="str">
        <f t="shared" si="15"/>
        <v>-</v>
      </c>
      <c r="AI34" s="6" t="e">
        <f t="shared" si="34"/>
        <v>#VALUE!</v>
      </c>
      <c r="AJ34" s="4">
        <f t="shared" si="16"/>
        <v>2446</v>
      </c>
      <c r="AK34" s="7">
        <v>2400</v>
      </c>
      <c r="AL34" s="6">
        <f t="shared" si="35"/>
        <v>0.33750000000000002</v>
      </c>
      <c r="AM34" s="4">
        <f t="shared" si="36"/>
        <v>810</v>
      </c>
      <c r="AN34" s="28"/>
      <c r="AO34" s="6"/>
      <c r="AP34" s="6"/>
      <c r="AQ34" s="6" t="e">
        <f t="shared" si="37"/>
        <v>#DIV/0!</v>
      </c>
      <c r="AR34" s="6">
        <f t="shared" si="38"/>
        <v>1.5676028739386023</v>
      </c>
      <c r="AS34" s="6">
        <f t="shared" si="39"/>
        <v>1.5288461538461537</v>
      </c>
      <c r="AT34" s="4"/>
      <c r="AU34" s="4"/>
      <c r="AV34" s="4"/>
      <c r="AW34" s="4"/>
      <c r="AX34" s="4"/>
      <c r="AY34" s="4"/>
      <c r="AZ34" s="4"/>
      <c r="BA34" s="4"/>
      <c r="BB34" s="4"/>
      <c r="BC34" s="4">
        <v>0</v>
      </c>
      <c r="BD34" s="4" t="s">
        <v>176</v>
      </c>
      <c r="BE34" s="4"/>
      <c r="BF34" s="4"/>
      <c r="BG34" s="4" t="s">
        <v>176</v>
      </c>
      <c r="BH34" s="4" t="s">
        <v>176</v>
      </c>
      <c r="BI34" s="4" t="s">
        <v>176</v>
      </c>
      <c r="BJ34" s="4" t="str">
        <f t="shared" si="40"/>
        <v>-</v>
      </c>
      <c r="BK34" s="19">
        <v>4</v>
      </c>
      <c r="BL34" s="19">
        <v>8</v>
      </c>
      <c r="BM34" s="16">
        <v>18</v>
      </c>
      <c r="BN34" t="s">
        <v>177</v>
      </c>
      <c r="BO34" t="s">
        <v>176</v>
      </c>
      <c r="BP34" t="s">
        <v>176</v>
      </c>
      <c r="BQ34" t="str">
        <f t="shared" si="17"/>
        <v>-</v>
      </c>
      <c r="BR34" t="s">
        <v>176</v>
      </c>
    </row>
    <row r="35" spans="1:70" x14ac:dyDescent="0.4">
      <c r="A35" s="3">
        <v>32</v>
      </c>
      <c r="B35" s="3">
        <v>32</v>
      </c>
      <c r="C35" s="4" t="s">
        <v>95</v>
      </c>
      <c r="D35" s="4" t="str">
        <f t="shared" si="27"/>
        <v>J1369W</v>
      </c>
      <c r="E35" s="4" t="s">
        <v>95</v>
      </c>
      <c r="F35" s="4" t="s">
        <v>151</v>
      </c>
      <c r="G35" s="5">
        <v>4580420171161</v>
      </c>
      <c r="H35" s="5"/>
      <c r="I35" s="5"/>
      <c r="J35" s="5">
        <v>1</v>
      </c>
      <c r="K35" s="5">
        <v>1</v>
      </c>
      <c r="L35" s="4">
        <v>0</v>
      </c>
      <c r="M35" s="4">
        <v>1926</v>
      </c>
      <c r="N35" s="4">
        <v>1310</v>
      </c>
      <c r="O35" s="6">
        <f t="shared" si="28"/>
        <v>0.31983385254413288</v>
      </c>
      <c r="P35" s="4" t="s">
        <v>177</v>
      </c>
      <c r="Q35" s="4"/>
      <c r="R35" s="4"/>
      <c r="S35" s="4"/>
      <c r="T35" s="4"/>
      <c r="U35" s="4"/>
      <c r="V35" s="4"/>
      <c r="W35" s="4"/>
      <c r="X35" s="4"/>
      <c r="Y35" s="4">
        <v>0</v>
      </c>
      <c r="Z35" s="4">
        <f t="shared" si="29"/>
        <v>0</v>
      </c>
      <c r="AA35" s="4">
        <v>2068</v>
      </c>
      <c r="AB35" s="4">
        <f t="shared" si="30"/>
        <v>2068</v>
      </c>
      <c r="AC35" s="4"/>
      <c r="AD35" s="21">
        <f t="shared" si="31"/>
        <v>3040</v>
      </c>
      <c r="AE35" s="6">
        <f t="shared" si="32"/>
        <v>0.31973684210526321</v>
      </c>
      <c r="AF35" s="4">
        <v>0.5</v>
      </c>
      <c r="AG35" s="4" t="str">
        <f t="shared" si="33"/>
        <v>-</v>
      </c>
      <c r="AH35" s="4" t="str">
        <f t="shared" si="15"/>
        <v>-</v>
      </c>
      <c r="AI35" s="6" t="e">
        <f t="shared" si="34"/>
        <v>#VALUE!</v>
      </c>
      <c r="AJ35" s="4">
        <f t="shared" si="16"/>
        <v>3182</v>
      </c>
      <c r="AK35" s="7">
        <v>3100</v>
      </c>
      <c r="AL35" s="6">
        <f t="shared" si="35"/>
        <v>0.3329032258064516</v>
      </c>
      <c r="AM35" s="4">
        <f t="shared" si="36"/>
        <v>1032</v>
      </c>
      <c r="AN35" s="28"/>
      <c r="AO35" s="6"/>
      <c r="AP35" s="6"/>
      <c r="AQ35" s="6" t="e">
        <f t="shared" si="37"/>
        <v>#DIV/0!</v>
      </c>
      <c r="AR35" s="6">
        <f t="shared" si="38"/>
        <v>1.6095534787123573</v>
      </c>
      <c r="AS35" s="6">
        <f t="shared" si="39"/>
        <v>1.5786259541984733</v>
      </c>
      <c r="AT35" s="4"/>
      <c r="AU35" s="4"/>
      <c r="AV35" s="4"/>
      <c r="AW35" s="4"/>
      <c r="AX35" s="4"/>
      <c r="AY35" s="4"/>
      <c r="AZ35" s="4"/>
      <c r="BA35" s="4"/>
      <c r="BB35" s="4"/>
      <c r="BC35" s="4">
        <v>0</v>
      </c>
      <c r="BD35" s="4" t="s">
        <v>176</v>
      </c>
      <c r="BE35" s="4"/>
      <c r="BF35" s="4"/>
      <c r="BG35" s="4" t="s">
        <v>176</v>
      </c>
      <c r="BH35" s="4" t="s">
        <v>176</v>
      </c>
      <c r="BI35" s="4" t="s">
        <v>176</v>
      </c>
      <c r="BJ35" s="4" t="str">
        <f t="shared" si="40"/>
        <v>-</v>
      </c>
      <c r="BK35" s="19">
        <v>4</v>
      </c>
      <c r="BL35" s="19">
        <v>8</v>
      </c>
      <c r="BM35" s="16">
        <v>18</v>
      </c>
      <c r="BN35" t="s">
        <v>177</v>
      </c>
      <c r="BO35" t="s">
        <v>176</v>
      </c>
      <c r="BP35" t="s">
        <v>176</v>
      </c>
      <c r="BQ35" t="str">
        <f t="shared" si="17"/>
        <v>-</v>
      </c>
      <c r="BR35" t="s">
        <v>176</v>
      </c>
    </row>
    <row r="36" spans="1:70" x14ac:dyDescent="0.4">
      <c r="A36" s="3">
        <v>33</v>
      </c>
      <c r="B36" s="3">
        <v>33</v>
      </c>
      <c r="C36" s="4" t="s">
        <v>96</v>
      </c>
      <c r="D36" s="4" t="str">
        <f t="shared" si="27"/>
        <v>J1370W</v>
      </c>
      <c r="E36" s="4" t="s">
        <v>96</v>
      </c>
      <c r="F36" s="4" t="s">
        <v>152</v>
      </c>
      <c r="G36" s="5">
        <v>4580420171178</v>
      </c>
      <c r="H36" s="5"/>
      <c r="I36" s="5"/>
      <c r="J36" s="5">
        <v>1</v>
      </c>
      <c r="K36" s="5">
        <v>1</v>
      </c>
      <c r="L36" s="4">
        <v>0</v>
      </c>
      <c r="M36" s="4">
        <v>2334</v>
      </c>
      <c r="N36" s="4">
        <v>1720</v>
      </c>
      <c r="O36" s="6">
        <f t="shared" si="28"/>
        <v>0.2630676949443016</v>
      </c>
      <c r="P36" s="4" t="s">
        <v>177</v>
      </c>
      <c r="Q36" s="4"/>
      <c r="R36" s="4"/>
      <c r="S36" s="4"/>
      <c r="T36" s="4"/>
      <c r="U36" s="4"/>
      <c r="V36" s="4"/>
      <c r="W36" s="4"/>
      <c r="X36" s="4"/>
      <c r="Y36" s="4">
        <v>0</v>
      </c>
      <c r="Z36" s="4">
        <f t="shared" si="29"/>
        <v>0</v>
      </c>
      <c r="AA36" s="4">
        <v>2712</v>
      </c>
      <c r="AB36" s="4">
        <f t="shared" si="30"/>
        <v>2712</v>
      </c>
      <c r="AC36" s="4"/>
      <c r="AD36" s="21">
        <f t="shared" si="31"/>
        <v>3680</v>
      </c>
      <c r="AE36" s="6">
        <f t="shared" si="32"/>
        <v>0.2630434782608696</v>
      </c>
      <c r="AF36" s="4">
        <v>0</v>
      </c>
      <c r="AG36" s="4">
        <f t="shared" si="33"/>
        <v>2743</v>
      </c>
      <c r="AH36" s="4">
        <f t="shared" si="15"/>
        <v>4325.0093023255813</v>
      </c>
      <c r="AI36" s="6">
        <f t="shared" si="34"/>
        <v>0.37294932555596061</v>
      </c>
      <c r="AJ36" s="4">
        <f t="shared" si="16"/>
        <v>4172</v>
      </c>
      <c r="AK36" s="7">
        <v>3900</v>
      </c>
      <c r="AL36" s="6">
        <f t="shared" si="35"/>
        <v>0.30461538461538462</v>
      </c>
      <c r="AM36" s="4">
        <f t="shared" si="36"/>
        <v>1188</v>
      </c>
      <c r="AN36" s="28"/>
      <c r="AO36" s="6"/>
      <c r="AP36" s="6"/>
      <c r="AQ36" s="6" t="e">
        <f t="shared" si="37"/>
        <v>#DIV/0!</v>
      </c>
      <c r="AR36" s="6">
        <f t="shared" si="38"/>
        <v>1.6709511568123394</v>
      </c>
      <c r="AS36" s="6">
        <f t="shared" si="39"/>
        <v>1.5767441860465117</v>
      </c>
      <c r="AT36" s="4"/>
      <c r="AU36" s="4"/>
      <c r="AV36" s="4"/>
      <c r="AW36" s="4"/>
      <c r="AX36" s="4"/>
      <c r="AY36" s="4"/>
      <c r="AZ36" s="4"/>
      <c r="BA36" s="4"/>
      <c r="BB36" s="4"/>
      <c r="BC36" s="4">
        <v>0</v>
      </c>
      <c r="BD36" s="4" t="s">
        <v>237</v>
      </c>
      <c r="BE36" s="4"/>
      <c r="BF36" s="4"/>
      <c r="BG36" s="4" t="s">
        <v>238</v>
      </c>
      <c r="BH36" s="4">
        <v>2743</v>
      </c>
      <c r="BI36" s="4">
        <v>2743</v>
      </c>
      <c r="BJ36" s="4">
        <f t="shared" si="40"/>
        <v>2743</v>
      </c>
      <c r="BK36" s="19">
        <v>4</v>
      </c>
      <c r="BL36" s="19">
        <v>8</v>
      </c>
      <c r="BM36" s="16">
        <v>18</v>
      </c>
      <c r="BN36" t="s">
        <v>177</v>
      </c>
      <c r="BO36" t="s">
        <v>176</v>
      </c>
      <c r="BP36" t="s">
        <v>176</v>
      </c>
      <c r="BQ36" t="str">
        <f t="shared" si="17"/>
        <v>-</v>
      </c>
      <c r="BR36" t="s">
        <v>199</v>
      </c>
    </row>
    <row r="37" spans="1:70" x14ac:dyDescent="0.4">
      <c r="A37" s="3">
        <v>34</v>
      </c>
      <c r="B37" s="3">
        <v>34</v>
      </c>
      <c r="C37" s="4" t="s">
        <v>97</v>
      </c>
      <c r="D37" s="4" t="str">
        <f t="shared" si="27"/>
        <v>J1389W</v>
      </c>
      <c r="E37" s="4" t="s">
        <v>97</v>
      </c>
      <c r="F37" s="4" t="s">
        <v>153</v>
      </c>
      <c r="G37" s="5">
        <v>2001235431322</v>
      </c>
      <c r="H37" s="5"/>
      <c r="I37" s="5"/>
      <c r="J37" s="5">
        <v>1</v>
      </c>
      <c r="K37" s="5">
        <v>1</v>
      </c>
      <c r="L37" s="4">
        <v>0</v>
      </c>
      <c r="M37" s="4">
        <v>44783</v>
      </c>
      <c r="N37" s="4">
        <v>33000</v>
      </c>
      <c r="O37" s="6">
        <f t="shared" si="28"/>
        <v>0.26311323493289862</v>
      </c>
      <c r="P37" s="4" t="s">
        <v>177</v>
      </c>
      <c r="Q37" s="4"/>
      <c r="R37" s="4"/>
      <c r="S37" s="4"/>
      <c r="T37" s="4"/>
      <c r="U37" s="4"/>
      <c r="V37" s="4"/>
      <c r="W37" s="4"/>
      <c r="X37" s="4"/>
      <c r="Y37" s="4">
        <v>0</v>
      </c>
      <c r="Z37" s="4">
        <f t="shared" si="29"/>
        <v>0</v>
      </c>
      <c r="AA37" s="4">
        <v>45700</v>
      </c>
      <c r="AB37" s="4">
        <f t="shared" si="30"/>
        <v>45700</v>
      </c>
      <c r="AC37" s="4"/>
      <c r="AD37" s="21">
        <f t="shared" si="31"/>
        <v>62018</v>
      </c>
      <c r="AE37" s="6">
        <f t="shared" si="32"/>
        <v>0.26311715953432879</v>
      </c>
      <c r="AF37" s="4">
        <v>0</v>
      </c>
      <c r="AG37" s="4" t="str">
        <f t="shared" si="33"/>
        <v>-</v>
      </c>
      <c r="AH37" s="4" t="str">
        <f t="shared" si="15"/>
        <v>-</v>
      </c>
      <c r="AI37" s="6" t="e">
        <f t="shared" si="34"/>
        <v>#VALUE!</v>
      </c>
      <c r="AJ37" s="4">
        <f t="shared" si="16"/>
        <v>70308</v>
      </c>
      <c r="AK37" s="7">
        <v>66000</v>
      </c>
      <c r="AL37" s="6">
        <f t="shared" si="35"/>
        <v>0.30757575757575761</v>
      </c>
      <c r="AM37" s="4">
        <f t="shared" si="36"/>
        <v>20300</v>
      </c>
      <c r="AN37" s="28"/>
      <c r="AO37" s="6"/>
      <c r="AP37" s="6"/>
      <c r="AQ37" s="6" t="e">
        <f t="shared" si="37"/>
        <v>#DIV/0!</v>
      </c>
      <c r="AR37" s="6">
        <f t="shared" si="38"/>
        <v>1.4737735301342028</v>
      </c>
      <c r="AS37" s="6">
        <f t="shared" si="39"/>
        <v>1.3848484848484848</v>
      </c>
      <c r="AT37" s="4"/>
      <c r="AU37" s="4"/>
      <c r="AV37" s="4"/>
      <c r="AW37" s="4"/>
      <c r="AX37" s="4"/>
      <c r="AY37" s="4"/>
      <c r="AZ37" s="4"/>
      <c r="BA37" s="4"/>
      <c r="BB37" s="4"/>
      <c r="BC37" s="4">
        <v>0</v>
      </c>
      <c r="BD37" s="4" t="s">
        <v>176</v>
      </c>
      <c r="BE37" s="4"/>
      <c r="BF37" s="4"/>
      <c r="BG37" s="4" t="s">
        <v>176</v>
      </c>
      <c r="BH37" s="4" t="s">
        <v>176</v>
      </c>
      <c r="BI37" s="4" t="s">
        <v>176</v>
      </c>
      <c r="BJ37" s="4" t="str">
        <f t="shared" si="40"/>
        <v>-</v>
      </c>
      <c r="BK37" s="19">
        <v>4</v>
      </c>
      <c r="BL37" s="19">
        <v>8</v>
      </c>
      <c r="BM37" s="16">
        <v>18</v>
      </c>
      <c r="BN37" t="s">
        <v>177</v>
      </c>
      <c r="BO37" t="s">
        <v>176</v>
      </c>
      <c r="BP37" t="s">
        <v>176</v>
      </c>
      <c r="BQ37" t="str">
        <f t="shared" si="17"/>
        <v>-</v>
      </c>
      <c r="BR37" t="s">
        <v>176</v>
      </c>
    </row>
    <row r="38" spans="1:70" x14ac:dyDescent="0.4">
      <c r="A38" s="3">
        <v>35</v>
      </c>
      <c r="B38" s="3">
        <v>35</v>
      </c>
      <c r="C38" s="4" t="s">
        <v>98</v>
      </c>
      <c r="D38" s="4" t="str">
        <f t="shared" si="27"/>
        <v>J1441W</v>
      </c>
      <c r="E38" s="4" t="s">
        <v>98</v>
      </c>
      <c r="F38" s="4" t="s">
        <v>154</v>
      </c>
      <c r="G38" s="5">
        <v>4580420175688</v>
      </c>
      <c r="H38" s="5"/>
      <c r="I38" s="5"/>
      <c r="J38" s="5">
        <v>1</v>
      </c>
      <c r="K38" s="5">
        <v>1</v>
      </c>
      <c r="L38" s="4">
        <v>0</v>
      </c>
      <c r="M38" s="4">
        <v>37269</v>
      </c>
      <c r="N38" s="4">
        <v>27460</v>
      </c>
      <c r="O38" s="6">
        <f t="shared" si="28"/>
        <v>0.26319461214414119</v>
      </c>
      <c r="P38" s="4" t="s">
        <v>177</v>
      </c>
      <c r="Q38" s="4"/>
      <c r="R38" s="4"/>
      <c r="S38" s="4"/>
      <c r="T38" s="4"/>
      <c r="U38" s="4"/>
      <c r="V38" s="4"/>
      <c r="W38" s="4"/>
      <c r="X38" s="4"/>
      <c r="Y38" s="4">
        <v>0</v>
      </c>
      <c r="Z38" s="4">
        <f t="shared" si="29"/>
        <v>0</v>
      </c>
      <c r="AA38" s="4">
        <v>38280</v>
      </c>
      <c r="AB38" s="4">
        <f t="shared" si="30"/>
        <v>38280</v>
      </c>
      <c r="AC38" s="4"/>
      <c r="AD38" s="21">
        <f t="shared" si="31"/>
        <v>51954</v>
      </c>
      <c r="AE38" s="6">
        <f t="shared" si="32"/>
        <v>0.26319436424529397</v>
      </c>
      <c r="AF38" s="4">
        <v>0</v>
      </c>
      <c r="AG38" s="4" t="str">
        <f t="shared" si="33"/>
        <v>-</v>
      </c>
      <c r="AH38" s="4" t="str">
        <f t="shared" si="15"/>
        <v>-</v>
      </c>
      <c r="AI38" s="6" t="e">
        <f t="shared" si="34"/>
        <v>#VALUE!</v>
      </c>
      <c r="AJ38" s="4">
        <f t="shared" si="16"/>
        <v>58892</v>
      </c>
      <c r="AK38" s="7">
        <v>55000</v>
      </c>
      <c r="AL38" s="6">
        <f t="shared" si="35"/>
        <v>0.30400000000000005</v>
      </c>
      <c r="AM38" s="4">
        <f t="shared" si="36"/>
        <v>16720</v>
      </c>
      <c r="AN38" s="28"/>
      <c r="AO38" s="6"/>
      <c r="AP38" s="6"/>
      <c r="AQ38" s="6" t="e">
        <f t="shared" si="37"/>
        <v>#DIV/0!</v>
      </c>
      <c r="AR38" s="6">
        <f t="shared" si="38"/>
        <v>1.475757331830744</v>
      </c>
      <c r="AS38" s="6">
        <f t="shared" si="39"/>
        <v>1.3940276766205391</v>
      </c>
      <c r="AT38" s="4"/>
      <c r="AU38" s="4"/>
      <c r="AV38" s="4"/>
      <c r="AW38" s="4"/>
      <c r="AX38" s="4"/>
      <c r="AY38" s="4"/>
      <c r="AZ38" s="4"/>
      <c r="BA38" s="4"/>
      <c r="BB38" s="4"/>
      <c r="BC38" s="4">
        <v>0</v>
      </c>
      <c r="BD38" s="4" t="s">
        <v>176</v>
      </c>
      <c r="BE38" s="4"/>
      <c r="BF38" s="4"/>
      <c r="BG38" s="4" t="s">
        <v>176</v>
      </c>
      <c r="BH38" s="4" t="s">
        <v>176</v>
      </c>
      <c r="BI38" s="4" t="s">
        <v>176</v>
      </c>
      <c r="BJ38" s="4" t="str">
        <f t="shared" si="40"/>
        <v>-</v>
      </c>
      <c r="BK38" s="19">
        <v>4</v>
      </c>
      <c r="BL38" s="19">
        <v>8</v>
      </c>
      <c r="BM38" s="16">
        <v>18</v>
      </c>
      <c r="BN38" t="s">
        <v>177</v>
      </c>
      <c r="BO38" t="s">
        <v>176</v>
      </c>
      <c r="BP38" t="s">
        <v>176</v>
      </c>
      <c r="BQ38" t="str">
        <f t="shared" si="17"/>
        <v>-</v>
      </c>
      <c r="BR38" t="s">
        <v>176</v>
      </c>
    </row>
    <row r="39" spans="1:70" x14ac:dyDescent="0.4">
      <c r="A39" s="3">
        <v>36</v>
      </c>
      <c r="B39" s="3">
        <v>36</v>
      </c>
      <c r="C39" s="4" t="s">
        <v>99</v>
      </c>
      <c r="D39" s="4" t="str">
        <f t="shared" si="27"/>
        <v>J1442W</v>
      </c>
      <c r="E39" s="4" t="s">
        <v>99</v>
      </c>
      <c r="F39" s="4" t="s">
        <v>155</v>
      </c>
      <c r="G39" s="5">
        <v>4580420175664</v>
      </c>
      <c r="H39" s="5"/>
      <c r="I39" s="5"/>
      <c r="J39" s="5">
        <v>1</v>
      </c>
      <c r="K39" s="5">
        <v>1</v>
      </c>
      <c r="L39" s="4">
        <v>0</v>
      </c>
      <c r="M39" s="4">
        <v>37250</v>
      </c>
      <c r="N39" s="4">
        <v>27450</v>
      </c>
      <c r="O39" s="6">
        <f t="shared" si="28"/>
        <v>0.26308724832214769</v>
      </c>
      <c r="P39" s="4" t="s">
        <v>177</v>
      </c>
      <c r="Q39" s="4"/>
      <c r="R39" s="4"/>
      <c r="S39" s="4"/>
      <c r="T39" s="4"/>
      <c r="U39" s="4"/>
      <c r="V39" s="4"/>
      <c r="W39" s="4"/>
      <c r="X39" s="4"/>
      <c r="Y39" s="4">
        <v>0</v>
      </c>
      <c r="Z39" s="4">
        <f t="shared" si="29"/>
        <v>0</v>
      </c>
      <c r="AA39" s="4">
        <v>39809.999999999993</v>
      </c>
      <c r="AB39" s="4">
        <f t="shared" si="30"/>
        <v>39809.999999999993</v>
      </c>
      <c r="AC39" s="4"/>
      <c r="AD39" s="21">
        <f t="shared" si="31"/>
        <v>54023</v>
      </c>
      <c r="AE39" s="6">
        <f t="shared" si="32"/>
        <v>0.26309164615071368</v>
      </c>
      <c r="AF39" s="4">
        <v>0</v>
      </c>
      <c r="AG39" s="4">
        <f t="shared" si="33"/>
        <v>45560</v>
      </c>
      <c r="AH39" s="4">
        <f t="shared" si="15"/>
        <v>66074.44808743168</v>
      </c>
      <c r="AI39" s="6">
        <f t="shared" si="34"/>
        <v>0.39749780509218613</v>
      </c>
      <c r="AJ39" s="4">
        <f t="shared" si="16"/>
        <v>61246</v>
      </c>
      <c r="AK39" s="7">
        <v>58000</v>
      </c>
      <c r="AL39" s="6">
        <f t="shared" si="35"/>
        <v>0.31362068965517254</v>
      </c>
      <c r="AM39" s="4">
        <f t="shared" si="36"/>
        <v>18190.000000000007</v>
      </c>
      <c r="AN39" s="28"/>
      <c r="AO39" s="6"/>
      <c r="AP39" s="6"/>
      <c r="AQ39" s="6" t="e">
        <f t="shared" si="37"/>
        <v>#DIV/0!</v>
      </c>
      <c r="AR39" s="6">
        <f t="shared" si="38"/>
        <v>1.5570469798657718</v>
      </c>
      <c r="AS39" s="6">
        <f t="shared" si="39"/>
        <v>1.4502732240437155</v>
      </c>
      <c r="AT39" s="4"/>
      <c r="AU39" s="4"/>
      <c r="AV39" s="4"/>
      <c r="AW39" s="4"/>
      <c r="AX39" s="4"/>
      <c r="AY39" s="4"/>
      <c r="AZ39" s="4"/>
      <c r="BA39" s="4"/>
      <c r="BB39" s="4"/>
      <c r="BC39" s="4">
        <v>0</v>
      </c>
      <c r="BD39" s="4" t="s">
        <v>239</v>
      </c>
      <c r="BE39" s="4">
        <v>1000</v>
      </c>
      <c r="BF39" s="4">
        <v>50</v>
      </c>
      <c r="BG39" s="4" t="s">
        <v>240</v>
      </c>
      <c r="BH39" s="4">
        <v>2278</v>
      </c>
      <c r="BI39" s="4">
        <v>2278</v>
      </c>
      <c r="BJ39" s="4">
        <f t="shared" si="40"/>
        <v>45560</v>
      </c>
      <c r="BK39" s="19">
        <v>4</v>
      </c>
      <c r="BL39" s="19">
        <v>8</v>
      </c>
      <c r="BM39" s="16">
        <v>18</v>
      </c>
      <c r="BN39" t="s">
        <v>177</v>
      </c>
      <c r="BO39" t="s">
        <v>176</v>
      </c>
      <c r="BP39" t="s">
        <v>176</v>
      </c>
      <c r="BQ39" t="str">
        <f t="shared" si="17"/>
        <v>-</v>
      </c>
      <c r="BR39" t="s">
        <v>200</v>
      </c>
    </row>
    <row r="40" spans="1:70" x14ac:dyDescent="0.4">
      <c r="A40" s="3">
        <v>37</v>
      </c>
      <c r="B40" s="3">
        <v>37</v>
      </c>
      <c r="C40" s="4" t="s">
        <v>100</v>
      </c>
      <c r="D40" s="4" t="str">
        <f t="shared" si="27"/>
        <v>J1484W</v>
      </c>
      <c r="E40" s="4" t="s">
        <v>100</v>
      </c>
      <c r="F40" s="4" t="s">
        <v>156</v>
      </c>
      <c r="G40" s="5">
        <v>4580420178337</v>
      </c>
      <c r="H40" s="5"/>
      <c r="I40" s="5"/>
      <c r="J40" s="5">
        <v>1</v>
      </c>
      <c r="K40" s="5">
        <v>1</v>
      </c>
      <c r="L40" s="4">
        <v>0</v>
      </c>
      <c r="M40" s="4">
        <v>32167</v>
      </c>
      <c r="N40" s="4">
        <v>23700</v>
      </c>
      <c r="O40" s="6">
        <f t="shared" si="28"/>
        <v>0.26322007025833927</v>
      </c>
      <c r="P40" s="4" t="s">
        <v>177</v>
      </c>
      <c r="Q40" s="4"/>
      <c r="R40" s="4"/>
      <c r="S40" s="4"/>
      <c r="T40" s="4"/>
      <c r="U40" s="4"/>
      <c r="V40" s="4"/>
      <c r="W40" s="4"/>
      <c r="X40" s="4"/>
      <c r="Y40" s="4">
        <v>0</v>
      </c>
      <c r="Z40" s="4">
        <f t="shared" si="29"/>
        <v>0</v>
      </c>
      <c r="AA40" s="4">
        <v>34540</v>
      </c>
      <c r="AB40" s="4">
        <f t="shared" si="30"/>
        <v>34540</v>
      </c>
      <c r="AC40" s="4"/>
      <c r="AD40" s="21">
        <f t="shared" si="31"/>
        <v>46880</v>
      </c>
      <c r="AE40" s="6">
        <f t="shared" si="32"/>
        <v>0.26322525597269619</v>
      </c>
      <c r="AF40" s="4">
        <v>0</v>
      </c>
      <c r="AG40" s="4" t="str">
        <f t="shared" si="33"/>
        <v>-</v>
      </c>
      <c r="AH40" s="4" t="str">
        <f t="shared" si="15"/>
        <v>-</v>
      </c>
      <c r="AI40" s="6" t="e">
        <f t="shared" si="34"/>
        <v>#VALUE!</v>
      </c>
      <c r="AJ40" s="4">
        <f t="shared" si="16"/>
        <v>53138</v>
      </c>
      <c r="AK40" s="7">
        <v>50000</v>
      </c>
      <c r="AL40" s="6">
        <f t="shared" si="35"/>
        <v>0.30920000000000003</v>
      </c>
      <c r="AM40" s="4">
        <f t="shared" si="36"/>
        <v>15460</v>
      </c>
      <c r="AN40" s="28"/>
      <c r="AO40" s="6"/>
      <c r="AP40" s="6"/>
      <c r="AQ40" s="6" t="e">
        <f t="shared" si="37"/>
        <v>#DIV/0!</v>
      </c>
      <c r="AR40" s="6">
        <f t="shared" si="38"/>
        <v>1.5543880374296639</v>
      </c>
      <c r="AS40" s="6">
        <f t="shared" si="39"/>
        <v>1.4573839662447257</v>
      </c>
      <c r="AT40" s="4"/>
      <c r="AU40" s="4"/>
      <c r="AV40" s="4"/>
      <c r="AW40" s="4"/>
      <c r="AX40" s="4"/>
      <c r="AY40" s="4"/>
      <c r="AZ40" s="4"/>
      <c r="BA40" s="4"/>
      <c r="BB40" s="4"/>
      <c r="BC40" s="4">
        <v>0</v>
      </c>
      <c r="BD40" s="4" t="s">
        <v>176</v>
      </c>
      <c r="BE40" s="4"/>
      <c r="BF40" s="4"/>
      <c r="BG40" s="4" t="s">
        <v>176</v>
      </c>
      <c r="BH40" s="4" t="s">
        <v>176</v>
      </c>
      <c r="BI40" s="4" t="s">
        <v>176</v>
      </c>
      <c r="BJ40" s="4" t="str">
        <f t="shared" si="40"/>
        <v>-</v>
      </c>
      <c r="BK40" s="19">
        <v>4</v>
      </c>
      <c r="BL40" s="19">
        <v>8</v>
      </c>
      <c r="BM40" s="16">
        <v>18</v>
      </c>
      <c r="BN40" t="s">
        <v>177</v>
      </c>
      <c r="BO40" t="s">
        <v>176</v>
      </c>
      <c r="BP40" t="s">
        <v>176</v>
      </c>
      <c r="BQ40" t="str">
        <f t="shared" si="17"/>
        <v>-</v>
      </c>
      <c r="BR40" t="s">
        <v>176</v>
      </c>
    </row>
    <row r="41" spans="1:70" x14ac:dyDescent="0.4">
      <c r="A41" s="3">
        <v>38</v>
      </c>
      <c r="B41" s="3">
        <v>38</v>
      </c>
      <c r="C41" s="4" t="s">
        <v>101</v>
      </c>
      <c r="D41" s="4" t="str">
        <f t="shared" si="27"/>
        <v>J1530W</v>
      </c>
      <c r="E41" s="4" t="s">
        <v>101</v>
      </c>
      <c r="F41" s="4" t="s">
        <v>157</v>
      </c>
      <c r="G41" s="5">
        <v>4589443401583</v>
      </c>
      <c r="H41" s="5"/>
      <c r="I41" s="5"/>
      <c r="J41" s="5">
        <v>1</v>
      </c>
      <c r="K41" s="5">
        <v>1</v>
      </c>
      <c r="L41" s="4">
        <v>0</v>
      </c>
      <c r="M41" s="4">
        <v>23560</v>
      </c>
      <c r="N41" s="4">
        <v>17360</v>
      </c>
      <c r="O41" s="6">
        <f t="shared" si="28"/>
        <v>0.26315789473684215</v>
      </c>
      <c r="P41" s="4" t="s">
        <v>177</v>
      </c>
      <c r="Q41" s="4"/>
      <c r="R41" s="4"/>
      <c r="S41" s="4"/>
      <c r="T41" s="4"/>
      <c r="U41" s="4"/>
      <c r="V41" s="4"/>
      <c r="W41" s="4"/>
      <c r="X41" s="4"/>
      <c r="Y41" s="4">
        <v>0</v>
      </c>
      <c r="Z41" s="4">
        <f t="shared" si="29"/>
        <v>0</v>
      </c>
      <c r="AA41" s="4">
        <v>21583</v>
      </c>
      <c r="AB41" s="4">
        <f t="shared" si="30"/>
        <v>21583</v>
      </c>
      <c r="AC41" s="4"/>
      <c r="AD41" s="21">
        <f t="shared" si="31"/>
        <v>29291</v>
      </c>
      <c r="AE41" s="6">
        <f t="shared" si="32"/>
        <v>0.26315250418217195</v>
      </c>
      <c r="AF41" s="4">
        <v>0</v>
      </c>
      <c r="AG41" s="4" t="str">
        <f t="shared" si="33"/>
        <v>-</v>
      </c>
      <c r="AH41" s="4" t="str">
        <f t="shared" si="15"/>
        <v>-</v>
      </c>
      <c r="AI41" s="6" t="e">
        <f t="shared" si="34"/>
        <v>#VALUE!</v>
      </c>
      <c r="AJ41" s="4">
        <f t="shared" si="16"/>
        <v>33205</v>
      </c>
      <c r="AK41" s="7">
        <v>32000</v>
      </c>
      <c r="AL41" s="6">
        <f t="shared" si="35"/>
        <v>0.32553125000000005</v>
      </c>
      <c r="AM41" s="4">
        <f t="shared" si="36"/>
        <v>10417</v>
      </c>
      <c r="AN41" s="28"/>
      <c r="AO41" s="6"/>
      <c r="AP41" s="6"/>
      <c r="AQ41" s="6" t="e">
        <f t="shared" si="37"/>
        <v>#DIV/0!</v>
      </c>
      <c r="AR41" s="6">
        <f t="shared" si="38"/>
        <v>1.3582342954159592</v>
      </c>
      <c r="AS41" s="6">
        <f t="shared" si="39"/>
        <v>1.2432603686635946</v>
      </c>
      <c r="AT41" s="4"/>
      <c r="AU41" s="4"/>
      <c r="AV41" s="4"/>
      <c r="AW41" s="4"/>
      <c r="AX41" s="4"/>
      <c r="AY41" s="4"/>
      <c r="AZ41" s="4"/>
      <c r="BA41" s="4"/>
      <c r="BB41" s="4"/>
      <c r="BC41" s="4">
        <v>0</v>
      </c>
      <c r="BD41" s="4" t="s">
        <v>176</v>
      </c>
      <c r="BE41" s="4"/>
      <c r="BF41" s="4"/>
      <c r="BG41" s="4" t="s">
        <v>176</v>
      </c>
      <c r="BH41" s="4" t="s">
        <v>176</v>
      </c>
      <c r="BI41" s="4" t="s">
        <v>176</v>
      </c>
      <c r="BJ41" s="4" t="str">
        <f t="shared" si="40"/>
        <v>-</v>
      </c>
      <c r="BK41" s="19">
        <v>2</v>
      </c>
      <c r="BL41" s="19">
        <v>8</v>
      </c>
      <c r="BM41" s="16">
        <v>18</v>
      </c>
      <c r="BN41" t="s">
        <v>177</v>
      </c>
      <c r="BO41" t="s">
        <v>176</v>
      </c>
      <c r="BP41" t="s">
        <v>176</v>
      </c>
      <c r="BQ41" t="str">
        <f t="shared" si="17"/>
        <v>-</v>
      </c>
      <c r="BR41" t="s">
        <v>176</v>
      </c>
    </row>
    <row r="42" spans="1:70" x14ac:dyDescent="0.4">
      <c r="A42" s="3">
        <v>39</v>
      </c>
      <c r="B42" s="3">
        <v>39</v>
      </c>
      <c r="C42" s="4" t="s">
        <v>102</v>
      </c>
      <c r="D42" s="4" t="str">
        <f t="shared" si="27"/>
        <v>J1531W</v>
      </c>
      <c r="E42" s="4" t="s">
        <v>102</v>
      </c>
      <c r="F42" s="4" t="s">
        <v>158</v>
      </c>
      <c r="G42" s="5">
        <v>4589443401576</v>
      </c>
      <c r="H42" s="5"/>
      <c r="I42" s="5"/>
      <c r="J42" s="5">
        <v>1</v>
      </c>
      <c r="K42" s="5">
        <v>1</v>
      </c>
      <c r="L42" s="4">
        <v>0</v>
      </c>
      <c r="M42" s="4">
        <v>33640</v>
      </c>
      <c r="N42" s="4">
        <v>24790</v>
      </c>
      <c r="O42" s="6">
        <f t="shared" si="28"/>
        <v>0.26307966706302022</v>
      </c>
      <c r="P42" s="4" t="s">
        <v>177</v>
      </c>
      <c r="Q42" s="4"/>
      <c r="R42" s="4"/>
      <c r="S42" s="4"/>
      <c r="T42" s="4"/>
      <c r="U42" s="4"/>
      <c r="V42" s="4"/>
      <c r="W42" s="4"/>
      <c r="X42" s="4"/>
      <c r="Y42" s="4">
        <v>0</v>
      </c>
      <c r="Z42" s="4">
        <f t="shared" si="29"/>
        <v>0</v>
      </c>
      <c r="AA42" s="4">
        <v>30887</v>
      </c>
      <c r="AB42" s="4">
        <f t="shared" si="30"/>
        <v>30887</v>
      </c>
      <c r="AC42" s="4"/>
      <c r="AD42" s="21">
        <f t="shared" si="31"/>
        <v>41914</v>
      </c>
      <c r="AE42" s="6">
        <f t="shared" si="32"/>
        <v>0.26308631960681395</v>
      </c>
      <c r="AF42" s="4">
        <v>0</v>
      </c>
      <c r="AG42" s="4" t="str">
        <f t="shared" si="33"/>
        <v>-</v>
      </c>
      <c r="AH42" s="4" t="str">
        <f t="shared" si="15"/>
        <v>-</v>
      </c>
      <c r="AI42" s="6" t="e">
        <f t="shared" si="34"/>
        <v>#VALUE!</v>
      </c>
      <c r="AJ42" s="4">
        <f t="shared" si="16"/>
        <v>47518</v>
      </c>
      <c r="AK42" s="7">
        <v>45000</v>
      </c>
      <c r="AL42" s="6">
        <f t="shared" si="35"/>
        <v>0.31362222222222225</v>
      </c>
      <c r="AM42" s="4">
        <f t="shared" si="36"/>
        <v>14113</v>
      </c>
      <c r="AN42" s="28"/>
      <c r="AO42" s="6"/>
      <c r="AP42" s="6"/>
      <c r="AQ42" s="6" t="e">
        <f t="shared" si="37"/>
        <v>#DIV/0!</v>
      </c>
      <c r="AR42" s="6">
        <f t="shared" si="38"/>
        <v>1.3376932223543401</v>
      </c>
      <c r="AS42" s="6">
        <f t="shared" si="39"/>
        <v>1.2459459459459459</v>
      </c>
      <c r="AT42" s="4"/>
      <c r="AU42" s="4"/>
      <c r="AV42" s="4"/>
      <c r="AW42" s="4"/>
      <c r="AX42" s="4"/>
      <c r="AY42" s="4"/>
      <c r="AZ42" s="4"/>
      <c r="BA42" s="4"/>
      <c r="BB42" s="4"/>
      <c r="BC42" s="4">
        <v>0</v>
      </c>
      <c r="BD42" s="4" t="s">
        <v>176</v>
      </c>
      <c r="BE42" s="4"/>
      <c r="BF42" s="4"/>
      <c r="BG42" s="4" t="s">
        <v>176</v>
      </c>
      <c r="BH42" s="4" t="s">
        <v>176</v>
      </c>
      <c r="BI42" s="4" t="s">
        <v>176</v>
      </c>
      <c r="BJ42" s="4" t="str">
        <f t="shared" si="40"/>
        <v>-</v>
      </c>
      <c r="BK42" s="19">
        <v>2</v>
      </c>
      <c r="BL42" s="19">
        <v>8</v>
      </c>
      <c r="BM42" s="16">
        <v>18</v>
      </c>
      <c r="BN42" t="s">
        <v>177</v>
      </c>
      <c r="BO42" t="s">
        <v>176</v>
      </c>
      <c r="BP42" t="s">
        <v>176</v>
      </c>
      <c r="BQ42" t="str">
        <f t="shared" si="17"/>
        <v>-</v>
      </c>
      <c r="BR42" t="s">
        <v>176</v>
      </c>
    </row>
    <row r="43" spans="1:70" x14ac:dyDescent="0.4">
      <c r="A43" s="3">
        <v>40</v>
      </c>
      <c r="B43" s="3">
        <v>40</v>
      </c>
      <c r="C43" s="4" t="s">
        <v>103</v>
      </c>
      <c r="D43" s="4" t="str">
        <f t="shared" si="27"/>
        <v>J1532W</v>
      </c>
      <c r="E43" s="4" t="s">
        <v>103</v>
      </c>
      <c r="F43" s="4" t="s">
        <v>159</v>
      </c>
      <c r="G43" s="5">
        <v>4562154317190</v>
      </c>
      <c r="H43" s="5"/>
      <c r="I43" s="5"/>
      <c r="J43" s="5">
        <v>1</v>
      </c>
      <c r="K43" s="5">
        <v>1</v>
      </c>
      <c r="L43" s="4">
        <v>0</v>
      </c>
      <c r="M43" s="4">
        <v>17262</v>
      </c>
      <c r="N43" s="4">
        <v>12720</v>
      </c>
      <c r="O43" s="6">
        <f t="shared" si="28"/>
        <v>0.26312130691692737</v>
      </c>
      <c r="P43" s="4" t="s">
        <v>177</v>
      </c>
      <c r="Q43" s="4"/>
      <c r="R43" s="4"/>
      <c r="S43" s="4"/>
      <c r="T43" s="4"/>
      <c r="U43" s="4"/>
      <c r="V43" s="4"/>
      <c r="W43" s="4"/>
      <c r="X43" s="4"/>
      <c r="Y43" s="4">
        <v>0</v>
      </c>
      <c r="Z43" s="4">
        <f t="shared" si="29"/>
        <v>0</v>
      </c>
      <c r="AA43" s="4">
        <v>15007</v>
      </c>
      <c r="AB43" s="4">
        <f t="shared" si="30"/>
        <v>15007</v>
      </c>
      <c r="AC43" s="4"/>
      <c r="AD43" s="21">
        <f t="shared" si="31"/>
        <v>20366</v>
      </c>
      <c r="AE43" s="6">
        <f t="shared" si="32"/>
        <v>0.26313463615830301</v>
      </c>
      <c r="AF43" s="4">
        <v>0</v>
      </c>
      <c r="AG43" s="4" t="str">
        <f t="shared" si="33"/>
        <v>-</v>
      </c>
      <c r="AH43" s="4" t="str">
        <f t="shared" si="15"/>
        <v>-</v>
      </c>
      <c r="AI43" s="6" t="e">
        <f t="shared" si="34"/>
        <v>#VALUE!</v>
      </c>
      <c r="AJ43" s="4">
        <f t="shared" si="16"/>
        <v>23088</v>
      </c>
      <c r="AK43" s="7">
        <v>22000</v>
      </c>
      <c r="AL43" s="6">
        <f t="shared" si="35"/>
        <v>0.31786363636363635</v>
      </c>
      <c r="AM43" s="4">
        <f t="shared" si="36"/>
        <v>6993</v>
      </c>
      <c r="AN43" s="28"/>
      <c r="AO43" s="6"/>
      <c r="AP43" s="6"/>
      <c r="AQ43" s="6" t="e">
        <f t="shared" si="37"/>
        <v>#DIV/0!</v>
      </c>
      <c r="AR43" s="6">
        <f t="shared" si="38"/>
        <v>1.2744757270304716</v>
      </c>
      <c r="AS43" s="6">
        <f t="shared" si="39"/>
        <v>1.1797955974842766</v>
      </c>
      <c r="AT43" s="4"/>
      <c r="AU43" s="4"/>
      <c r="AV43" s="4"/>
      <c r="AW43" s="4"/>
      <c r="AX43" s="4"/>
      <c r="AY43" s="4"/>
      <c r="AZ43" s="4"/>
      <c r="BA43" s="4"/>
      <c r="BB43" s="4"/>
      <c r="BC43" s="4">
        <v>0</v>
      </c>
      <c r="BD43" s="4" t="s">
        <v>176</v>
      </c>
      <c r="BE43" s="4"/>
      <c r="BF43" s="4"/>
      <c r="BG43" s="4" t="s">
        <v>176</v>
      </c>
      <c r="BH43" s="4" t="s">
        <v>176</v>
      </c>
      <c r="BI43" s="4" t="s">
        <v>176</v>
      </c>
      <c r="BJ43" s="4" t="str">
        <f t="shared" si="40"/>
        <v>-</v>
      </c>
      <c r="BK43" s="19">
        <v>2</v>
      </c>
      <c r="BL43" s="19">
        <v>8</v>
      </c>
      <c r="BM43" s="16">
        <v>18</v>
      </c>
      <c r="BN43" t="s">
        <v>177</v>
      </c>
      <c r="BO43">
        <v>20400</v>
      </c>
      <c r="BP43">
        <v>20400</v>
      </c>
      <c r="BQ43">
        <f t="shared" si="17"/>
        <v>24067.830188679243</v>
      </c>
      <c r="BR43" t="s">
        <v>176</v>
      </c>
    </row>
    <row r="44" spans="1:70" x14ac:dyDescent="0.4">
      <c r="A44" s="3">
        <v>41</v>
      </c>
      <c r="B44" s="3">
        <v>41</v>
      </c>
      <c r="C44" s="4" t="s">
        <v>104</v>
      </c>
      <c r="D44" s="4" t="str">
        <f t="shared" si="27"/>
        <v>J1535W</v>
      </c>
      <c r="E44" s="4" t="s">
        <v>104</v>
      </c>
      <c r="F44" s="4" t="s">
        <v>160</v>
      </c>
      <c r="G44" s="5">
        <v>4589443401644</v>
      </c>
      <c r="H44" s="5"/>
      <c r="I44" s="5"/>
      <c r="J44" s="5">
        <v>1</v>
      </c>
      <c r="K44" s="5">
        <v>1</v>
      </c>
      <c r="L44" s="4">
        <v>0</v>
      </c>
      <c r="M44" s="4">
        <v>1425</v>
      </c>
      <c r="N44" s="4">
        <v>1050</v>
      </c>
      <c r="O44" s="6">
        <f t="shared" si="28"/>
        <v>0.26315789473684215</v>
      </c>
      <c r="P44" s="4" t="s">
        <v>177</v>
      </c>
      <c r="Q44" s="4"/>
      <c r="R44" s="4"/>
      <c r="S44" s="4"/>
      <c r="T44" s="4"/>
      <c r="U44" s="4"/>
      <c r="V44" s="4"/>
      <c r="W44" s="4"/>
      <c r="X44" s="4"/>
      <c r="Y44" s="4">
        <v>0</v>
      </c>
      <c r="Z44" s="4">
        <f t="shared" si="29"/>
        <v>0</v>
      </c>
      <c r="AA44" s="4">
        <v>1492</v>
      </c>
      <c r="AB44" s="4">
        <f t="shared" si="30"/>
        <v>1492</v>
      </c>
      <c r="AC44" s="4"/>
      <c r="AD44" s="21">
        <f t="shared" si="31"/>
        <v>2025</v>
      </c>
      <c r="AE44" s="6">
        <f t="shared" si="32"/>
        <v>0.26320987654320993</v>
      </c>
      <c r="AF44" s="4">
        <v>0.25</v>
      </c>
      <c r="AG44" s="4">
        <f t="shared" si="33"/>
        <v>1400</v>
      </c>
      <c r="AH44" s="4">
        <f t="shared" si="15"/>
        <v>1989.3333333333333</v>
      </c>
      <c r="AI44" s="6">
        <f t="shared" si="34"/>
        <v>0.25</v>
      </c>
      <c r="AJ44" s="4">
        <f t="shared" si="16"/>
        <v>2295</v>
      </c>
      <c r="AK44" s="7">
        <v>1989</v>
      </c>
      <c r="AL44" s="6">
        <f t="shared" si="35"/>
        <v>0.24987430869783811</v>
      </c>
      <c r="AM44" s="4">
        <f t="shared" si="36"/>
        <v>497</v>
      </c>
      <c r="AN44" s="28"/>
      <c r="AO44" s="6"/>
      <c r="AP44" s="6"/>
      <c r="AQ44" s="6" t="e">
        <f t="shared" si="37"/>
        <v>#DIV/0!</v>
      </c>
      <c r="AR44" s="6">
        <f t="shared" si="38"/>
        <v>1.3957894736842105</v>
      </c>
      <c r="AS44" s="6">
        <f t="shared" si="39"/>
        <v>1.420952380952381</v>
      </c>
      <c r="AT44" s="4"/>
      <c r="AU44" s="4"/>
      <c r="AV44" s="4"/>
      <c r="AW44" s="4"/>
      <c r="AX44" s="4"/>
      <c r="AY44" s="4"/>
      <c r="AZ44" s="4"/>
      <c r="BA44" s="4"/>
      <c r="BB44" s="4"/>
      <c r="BC44" s="4">
        <v>0</v>
      </c>
      <c r="BD44" s="4" t="s">
        <v>241</v>
      </c>
      <c r="BE44" s="4"/>
      <c r="BF44" s="4"/>
      <c r="BG44" s="4" t="s">
        <v>242</v>
      </c>
      <c r="BH44" s="4">
        <v>1400</v>
      </c>
      <c r="BI44" s="4">
        <v>1400</v>
      </c>
      <c r="BJ44" s="4">
        <f t="shared" si="40"/>
        <v>1400</v>
      </c>
      <c r="BK44" s="19">
        <v>4</v>
      </c>
      <c r="BL44" s="19">
        <v>8</v>
      </c>
      <c r="BM44" s="16">
        <v>18</v>
      </c>
      <c r="BN44" t="s">
        <v>177</v>
      </c>
      <c r="BO44" t="s">
        <v>176</v>
      </c>
      <c r="BP44" t="s">
        <v>176</v>
      </c>
      <c r="BQ44" t="str">
        <f t="shared" si="17"/>
        <v>-</v>
      </c>
      <c r="BR44" t="s">
        <v>201</v>
      </c>
    </row>
    <row r="45" spans="1:70" x14ac:dyDescent="0.4">
      <c r="A45" s="3">
        <v>42</v>
      </c>
      <c r="B45" s="3">
        <v>42</v>
      </c>
      <c r="C45" s="4" t="s">
        <v>105</v>
      </c>
      <c r="D45" s="4" t="str">
        <f t="shared" si="27"/>
        <v>J1536W</v>
      </c>
      <c r="E45" s="4" t="s">
        <v>105</v>
      </c>
      <c r="F45" s="4" t="s">
        <v>161</v>
      </c>
      <c r="G45" s="5">
        <v>4589443401651</v>
      </c>
      <c r="H45" s="5"/>
      <c r="I45" s="5"/>
      <c r="J45" s="5">
        <v>1</v>
      </c>
      <c r="K45" s="5">
        <v>1</v>
      </c>
      <c r="L45" s="4">
        <v>0</v>
      </c>
      <c r="M45" s="4">
        <v>1834</v>
      </c>
      <c r="N45" s="4">
        <v>1350</v>
      </c>
      <c r="O45" s="6">
        <f t="shared" si="28"/>
        <v>0.26390403489640135</v>
      </c>
      <c r="P45" s="4" t="s">
        <v>177</v>
      </c>
      <c r="Q45" s="4"/>
      <c r="R45" s="4"/>
      <c r="S45" s="4"/>
      <c r="T45" s="4"/>
      <c r="U45" s="4"/>
      <c r="V45" s="4"/>
      <c r="W45" s="4"/>
      <c r="X45" s="4"/>
      <c r="Y45" s="4">
        <v>0</v>
      </c>
      <c r="Z45" s="4">
        <f t="shared" si="29"/>
        <v>0</v>
      </c>
      <c r="AA45" s="4">
        <v>1828</v>
      </c>
      <c r="AB45" s="4">
        <f t="shared" si="30"/>
        <v>1828</v>
      </c>
      <c r="AC45" s="4"/>
      <c r="AD45" s="21">
        <f t="shared" si="31"/>
        <v>2483</v>
      </c>
      <c r="AE45" s="6">
        <f t="shared" si="32"/>
        <v>0.2637937978252114</v>
      </c>
      <c r="AF45" s="4">
        <v>0.25</v>
      </c>
      <c r="AG45" s="4">
        <f t="shared" si="33"/>
        <v>1949</v>
      </c>
      <c r="AH45" s="4">
        <f t="shared" si="15"/>
        <v>2639.0903703703702</v>
      </c>
      <c r="AI45" s="6">
        <f t="shared" si="34"/>
        <v>0.30733709594663927</v>
      </c>
      <c r="AJ45" s="4">
        <f t="shared" si="16"/>
        <v>2812</v>
      </c>
      <c r="AK45" s="7">
        <v>2639</v>
      </c>
      <c r="AL45" s="6">
        <f t="shared" si="35"/>
        <v>0.30731337627889355</v>
      </c>
      <c r="AM45" s="4">
        <f t="shared" si="36"/>
        <v>811</v>
      </c>
      <c r="AN45" s="28"/>
      <c r="AO45" s="6"/>
      <c r="AP45" s="6"/>
      <c r="AQ45" s="6" t="e">
        <f t="shared" si="37"/>
        <v>#DIV/0!</v>
      </c>
      <c r="AR45" s="6">
        <f t="shared" si="38"/>
        <v>1.4389312977099236</v>
      </c>
      <c r="AS45" s="6">
        <f t="shared" si="39"/>
        <v>1.354074074074074</v>
      </c>
      <c r="AT45" s="4"/>
      <c r="AU45" s="4"/>
      <c r="AV45" s="4"/>
      <c r="AW45" s="4"/>
      <c r="AX45" s="4"/>
      <c r="AY45" s="4"/>
      <c r="AZ45" s="4"/>
      <c r="BA45" s="4"/>
      <c r="BB45" s="4"/>
      <c r="BC45" s="4">
        <v>0</v>
      </c>
      <c r="BD45" s="4" t="s">
        <v>243</v>
      </c>
      <c r="BE45" s="4"/>
      <c r="BF45" s="4"/>
      <c r="BG45" s="4" t="s">
        <v>242</v>
      </c>
      <c r="BH45" s="4">
        <v>1949</v>
      </c>
      <c r="BI45" s="4">
        <v>1949</v>
      </c>
      <c r="BJ45" s="4">
        <f t="shared" si="40"/>
        <v>1949</v>
      </c>
      <c r="BK45" s="19">
        <v>4</v>
      </c>
      <c r="BL45" s="19">
        <v>8</v>
      </c>
      <c r="BM45" s="16">
        <v>18</v>
      </c>
      <c r="BN45" t="s">
        <v>177</v>
      </c>
      <c r="BO45" t="s">
        <v>176</v>
      </c>
      <c r="BP45" t="s">
        <v>176</v>
      </c>
      <c r="BQ45" t="str">
        <f t="shared" si="17"/>
        <v>-</v>
      </c>
      <c r="BR45" t="s">
        <v>202</v>
      </c>
    </row>
    <row r="46" spans="1:70" x14ac:dyDescent="0.4">
      <c r="A46" s="3">
        <v>43</v>
      </c>
      <c r="B46" s="3">
        <v>43</v>
      </c>
      <c r="C46" s="4" t="s">
        <v>106</v>
      </c>
      <c r="D46" s="4" t="str">
        <f t="shared" si="27"/>
        <v>J1538W</v>
      </c>
      <c r="E46" s="4" t="s">
        <v>106</v>
      </c>
      <c r="F46" s="4" t="s">
        <v>162</v>
      </c>
      <c r="G46" s="5">
        <v>4589443401859</v>
      </c>
      <c r="H46" s="5"/>
      <c r="I46" s="5"/>
      <c r="J46" s="5">
        <v>1</v>
      </c>
      <c r="K46" s="5">
        <v>1</v>
      </c>
      <c r="L46" s="4">
        <v>0</v>
      </c>
      <c r="M46" s="4">
        <v>33450</v>
      </c>
      <c r="N46" s="4">
        <v>24650</v>
      </c>
      <c r="O46" s="6">
        <f t="shared" si="28"/>
        <v>0.26307922272047835</v>
      </c>
      <c r="P46" s="4" t="s">
        <v>177</v>
      </c>
      <c r="Q46" s="4"/>
      <c r="R46" s="4"/>
      <c r="S46" s="4"/>
      <c r="T46" s="4"/>
      <c r="U46" s="4"/>
      <c r="V46" s="4"/>
      <c r="W46" s="4"/>
      <c r="X46" s="4"/>
      <c r="Y46" s="4">
        <v>0</v>
      </c>
      <c r="Z46" s="4">
        <f t="shared" si="29"/>
        <v>0</v>
      </c>
      <c r="AA46" s="4">
        <v>35800</v>
      </c>
      <c r="AB46" s="4">
        <f t="shared" si="30"/>
        <v>35800</v>
      </c>
      <c r="AC46" s="4"/>
      <c r="AD46" s="21">
        <f t="shared" si="31"/>
        <v>48581</v>
      </c>
      <c r="AE46" s="6">
        <f t="shared" si="32"/>
        <v>0.26308639179926308</v>
      </c>
      <c r="AF46" s="4">
        <v>0</v>
      </c>
      <c r="AG46" s="4" t="str">
        <f t="shared" si="33"/>
        <v>-</v>
      </c>
      <c r="AH46" s="4" t="str">
        <f t="shared" si="15"/>
        <v>-</v>
      </c>
      <c r="AI46" s="6" t="e">
        <f t="shared" si="34"/>
        <v>#VALUE!</v>
      </c>
      <c r="AJ46" s="4">
        <f t="shared" si="16"/>
        <v>55077</v>
      </c>
      <c r="AK46" s="7">
        <v>52000</v>
      </c>
      <c r="AL46" s="6">
        <f t="shared" si="35"/>
        <v>0.31153846153846154</v>
      </c>
      <c r="AM46" s="4">
        <f t="shared" si="36"/>
        <v>16200</v>
      </c>
      <c r="AN46" s="28"/>
      <c r="AO46" s="6"/>
      <c r="AP46" s="6"/>
      <c r="AQ46" s="6" t="e">
        <f t="shared" si="37"/>
        <v>#DIV/0!</v>
      </c>
      <c r="AR46" s="6">
        <f t="shared" si="38"/>
        <v>1.554559043348281</v>
      </c>
      <c r="AS46" s="6">
        <f t="shared" si="39"/>
        <v>1.4523326572008113</v>
      </c>
      <c r="AT46" s="4"/>
      <c r="AU46" s="4"/>
      <c r="AV46" s="4"/>
      <c r="AW46" s="4"/>
      <c r="AX46" s="4"/>
      <c r="AY46" s="4"/>
      <c r="AZ46" s="4"/>
      <c r="BA46" s="4"/>
      <c r="BB46" s="4"/>
      <c r="BC46" s="4">
        <v>0</v>
      </c>
      <c r="BD46" s="4" t="s">
        <v>176</v>
      </c>
      <c r="BE46" s="4"/>
      <c r="BF46" s="4"/>
      <c r="BG46" s="4" t="s">
        <v>176</v>
      </c>
      <c r="BH46" s="4" t="s">
        <v>176</v>
      </c>
      <c r="BI46" s="4" t="s">
        <v>176</v>
      </c>
      <c r="BJ46" s="4" t="str">
        <f t="shared" si="40"/>
        <v>-</v>
      </c>
      <c r="BK46" s="19">
        <v>4</v>
      </c>
      <c r="BL46" s="19">
        <v>8</v>
      </c>
      <c r="BM46" s="16">
        <v>18</v>
      </c>
      <c r="BN46" t="s">
        <v>177</v>
      </c>
      <c r="BO46" t="s">
        <v>176</v>
      </c>
      <c r="BP46" t="s">
        <v>176</v>
      </c>
      <c r="BQ46" t="str">
        <f t="shared" si="17"/>
        <v>-</v>
      </c>
      <c r="BR46" t="s">
        <v>176</v>
      </c>
    </row>
    <row r="47" spans="1:70" x14ac:dyDescent="0.4">
      <c r="A47" s="3">
        <v>44</v>
      </c>
      <c r="B47" s="3">
        <v>44</v>
      </c>
      <c r="C47" s="4" t="s">
        <v>107</v>
      </c>
      <c r="D47" s="4" t="str">
        <f t="shared" si="27"/>
        <v>J1556W</v>
      </c>
      <c r="E47" s="4" t="s">
        <v>107</v>
      </c>
      <c r="F47" s="4" t="s">
        <v>163</v>
      </c>
      <c r="G47" s="5">
        <v>4589443402511</v>
      </c>
      <c r="H47" s="5"/>
      <c r="I47" s="5"/>
      <c r="J47" s="5">
        <v>1</v>
      </c>
      <c r="K47" s="5">
        <v>1</v>
      </c>
      <c r="L47" s="4">
        <v>0</v>
      </c>
      <c r="M47" s="4">
        <v>1764</v>
      </c>
      <c r="N47" s="4">
        <v>1300</v>
      </c>
      <c r="O47" s="6">
        <f t="shared" si="28"/>
        <v>0.2630385487528345</v>
      </c>
      <c r="P47" s="4" t="s">
        <v>177</v>
      </c>
      <c r="Q47" s="4"/>
      <c r="R47" s="4"/>
      <c r="S47" s="4"/>
      <c r="T47" s="4"/>
      <c r="U47" s="4"/>
      <c r="V47" s="4"/>
      <c r="W47" s="4"/>
      <c r="X47" s="4"/>
      <c r="Y47" s="4">
        <v>0</v>
      </c>
      <c r="Z47" s="4">
        <f t="shared" si="29"/>
        <v>0</v>
      </c>
      <c r="AA47" s="4">
        <v>1661.0000000000002</v>
      </c>
      <c r="AB47" s="4">
        <f t="shared" si="30"/>
        <v>1661.0000000000002</v>
      </c>
      <c r="AC47" s="4"/>
      <c r="AD47" s="21">
        <f t="shared" si="31"/>
        <v>2254</v>
      </c>
      <c r="AE47" s="6">
        <f t="shared" si="32"/>
        <v>0.2630878438331854</v>
      </c>
      <c r="AF47" s="4">
        <v>0</v>
      </c>
      <c r="AG47" s="4">
        <f t="shared" si="33"/>
        <v>1550</v>
      </c>
      <c r="AH47" s="4">
        <f t="shared" si="15"/>
        <v>1980.4230769230774</v>
      </c>
      <c r="AI47" s="6">
        <f t="shared" si="34"/>
        <v>0.16129032258064524</v>
      </c>
      <c r="AJ47" s="4">
        <f t="shared" si="16"/>
        <v>2555</v>
      </c>
      <c r="AK47" s="7">
        <v>2400</v>
      </c>
      <c r="AL47" s="6">
        <f t="shared" si="35"/>
        <v>0.30791666666666662</v>
      </c>
      <c r="AM47" s="4">
        <f t="shared" si="36"/>
        <v>738.99999999999977</v>
      </c>
      <c r="AN47" s="28"/>
      <c r="AO47" s="6"/>
      <c r="AP47" s="6"/>
      <c r="AQ47" s="6" t="e">
        <f t="shared" si="37"/>
        <v>#DIV/0!</v>
      </c>
      <c r="AR47" s="6">
        <f t="shared" si="38"/>
        <v>1.3605442176870748</v>
      </c>
      <c r="AS47" s="6">
        <f t="shared" si="39"/>
        <v>1.2776923076923079</v>
      </c>
      <c r="AT47" s="4"/>
      <c r="AU47" s="4"/>
      <c r="AV47" s="4"/>
      <c r="AW47" s="4"/>
      <c r="AX47" s="4"/>
      <c r="AY47" s="4"/>
      <c r="AZ47" s="4"/>
      <c r="BA47" s="4"/>
      <c r="BB47" s="4"/>
      <c r="BC47" s="4">
        <v>0</v>
      </c>
      <c r="BD47" s="4" t="s">
        <v>244</v>
      </c>
      <c r="BE47" s="4"/>
      <c r="BF47" s="4"/>
      <c r="BG47" s="4" t="s">
        <v>245</v>
      </c>
      <c r="BH47" s="4">
        <v>1550</v>
      </c>
      <c r="BI47" s="4">
        <v>1550</v>
      </c>
      <c r="BJ47" s="4">
        <f t="shared" si="40"/>
        <v>1550</v>
      </c>
      <c r="BK47" s="19">
        <v>4</v>
      </c>
      <c r="BL47" s="19">
        <v>8</v>
      </c>
      <c r="BM47" s="16">
        <v>18</v>
      </c>
      <c r="BN47" t="s">
        <v>177</v>
      </c>
      <c r="BO47">
        <v>54300</v>
      </c>
      <c r="BP47">
        <v>74846</v>
      </c>
      <c r="BQ47">
        <f t="shared" si="17"/>
        <v>95630.158461538478</v>
      </c>
      <c r="BR47" t="s">
        <v>203</v>
      </c>
    </row>
    <row r="48" spans="1:70" x14ac:dyDescent="0.4">
      <c r="A48" s="3">
        <v>45</v>
      </c>
      <c r="B48" s="3">
        <v>45</v>
      </c>
      <c r="C48" s="4" t="s">
        <v>108</v>
      </c>
      <c r="D48" s="4" t="str">
        <f t="shared" si="27"/>
        <v>J1557W</v>
      </c>
      <c r="E48" s="4" t="s">
        <v>108</v>
      </c>
      <c r="F48" s="4" t="s">
        <v>164</v>
      </c>
      <c r="G48" s="5">
        <v>4589443402757</v>
      </c>
      <c r="H48" s="5"/>
      <c r="I48" s="5"/>
      <c r="J48" s="5">
        <v>1</v>
      </c>
      <c r="K48" s="5">
        <v>1</v>
      </c>
      <c r="L48" s="4">
        <v>0</v>
      </c>
      <c r="M48" s="4">
        <v>33640</v>
      </c>
      <c r="N48" s="4">
        <v>24790</v>
      </c>
      <c r="O48" s="6">
        <f t="shared" si="28"/>
        <v>0.26307966706302022</v>
      </c>
      <c r="P48" s="4" t="s">
        <v>177</v>
      </c>
      <c r="Q48" s="4"/>
      <c r="R48" s="4"/>
      <c r="S48" s="4"/>
      <c r="T48" s="4"/>
      <c r="U48" s="4"/>
      <c r="V48" s="4"/>
      <c r="W48" s="4"/>
      <c r="X48" s="4"/>
      <c r="Y48" s="4">
        <v>0</v>
      </c>
      <c r="Z48" s="4">
        <f t="shared" si="29"/>
        <v>0</v>
      </c>
      <c r="AA48" s="4">
        <v>31020.999999999996</v>
      </c>
      <c r="AB48" s="4">
        <f t="shared" si="30"/>
        <v>31020.999999999996</v>
      </c>
      <c r="AC48" s="4"/>
      <c r="AD48" s="21">
        <f t="shared" si="31"/>
        <v>42095</v>
      </c>
      <c r="AE48" s="6">
        <f t="shared" si="32"/>
        <v>0.26307162370827897</v>
      </c>
      <c r="AF48" s="4">
        <v>0</v>
      </c>
      <c r="AG48" s="4">
        <f t="shared" si="33"/>
        <v>39115</v>
      </c>
      <c r="AH48" s="4">
        <f t="shared" si="15"/>
        <v>48946.608108108107</v>
      </c>
      <c r="AI48" s="6">
        <f t="shared" si="34"/>
        <v>0.36622778985044102</v>
      </c>
      <c r="AJ48" s="4">
        <f t="shared" si="16"/>
        <v>47725</v>
      </c>
      <c r="AK48" s="7">
        <v>45000</v>
      </c>
      <c r="AL48" s="6">
        <f t="shared" si="35"/>
        <v>0.3106444444444445</v>
      </c>
      <c r="AM48" s="4">
        <f t="shared" si="36"/>
        <v>13979.000000000004</v>
      </c>
      <c r="AN48" s="28"/>
      <c r="AO48" s="6"/>
      <c r="AP48" s="6"/>
      <c r="AQ48" s="6" t="e">
        <f t="shared" si="37"/>
        <v>#DIV/0!</v>
      </c>
      <c r="AR48" s="6">
        <f t="shared" si="38"/>
        <v>1.3376932223543401</v>
      </c>
      <c r="AS48" s="6">
        <f t="shared" si="39"/>
        <v>1.2513513513513512</v>
      </c>
      <c r="AT48" s="4"/>
      <c r="AU48" s="4"/>
      <c r="AV48" s="4"/>
      <c r="AW48" s="4"/>
      <c r="AX48" s="4"/>
      <c r="AY48" s="4"/>
      <c r="AZ48" s="4"/>
      <c r="BA48" s="4"/>
      <c r="BB48" s="4"/>
      <c r="BC48" s="4">
        <v>0</v>
      </c>
      <c r="BD48" s="4" t="s">
        <v>246</v>
      </c>
      <c r="BE48" s="4">
        <v>50</v>
      </c>
      <c r="BF48" s="4">
        <v>10</v>
      </c>
      <c r="BG48" s="4" t="s">
        <v>247</v>
      </c>
      <c r="BH48" s="4">
        <v>7823</v>
      </c>
      <c r="BI48" s="4">
        <v>7823</v>
      </c>
      <c r="BJ48" s="4">
        <f t="shared" si="40"/>
        <v>39115</v>
      </c>
      <c r="BK48" s="19">
        <v>2</v>
      </c>
      <c r="BL48" s="19">
        <v>8</v>
      </c>
      <c r="BM48" s="16">
        <v>18</v>
      </c>
      <c r="BN48" t="s">
        <v>177</v>
      </c>
      <c r="BO48" t="s">
        <v>176</v>
      </c>
      <c r="BP48" t="s">
        <v>176</v>
      </c>
      <c r="BQ48" t="str">
        <f t="shared" si="17"/>
        <v>-</v>
      </c>
      <c r="BR48" t="s">
        <v>204</v>
      </c>
    </row>
    <row r="49" spans="1:70" x14ac:dyDescent="0.4">
      <c r="A49" s="3">
        <v>46</v>
      </c>
      <c r="B49" s="3">
        <v>46</v>
      </c>
      <c r="C49" s="4" t="s">
        <v>109</v>
      </c>
      <c r="D49" s="4" t="str">
        <f t="shared" si="27"/>
        <v>J1565W</v>
      </c>
      <c r="E49" s="4" t="s">
        <v>109</v>
      </c>
      <c r="F49" s="4" t="s">
        <v>165</v>
      </c>
      <c r="G49" s="5">
        <v>4589443403303</v>
      </c>
      <c r="H49" s="5"/>
      <c r="I49" s="5"/>
      <c r="J49" s="5">
        <v>1</v>
      </c>
      <c r="K49" s="5">
        <v>1</v>
      </c>
      <c r="L49" s="4">
        <v>0</v>
      </c>
      <c r="M49" s="4">
        <v>33450</v>
      </c>
      <c r="N49" s="4">
        <v>24650</v>
      </c>
      <c r="O49" s="6">
        <f t="shared" si="28"/>
        <v>0.26307922272047835</v>
      </c>
      <c r="P49" s="4" t="s">
        <v>177</v>
      </c>
      <c r="Q49" s="4"/>
      <c r="R49" s="4"/>
      <c r="S49" s="4"/>
      <c r="T49" s="4"/>
      <c r="U49" s="4"/>
      <c r="V49" s="4"/>
      <c r="W49" s="4"/>
      <c r="X49" s="4"/>
      <c r="Y49" s="4">
        <v>0</v>
      </c>
      <c r="Z49" s="4">
        <f t="shared" si="29"/>
        <v>0</v>
      </c>
      <c r="AA49" s="4">
        <v>34290</v>
      </c>
      <c r="AB49" s="4">
        <f t="shared" si="30"/>
        <v>34290</v>
      </c>
      <c r="AC49" s="4"/>
      <c r="AD49" s="21">
        <f t="shared" si="31"/>
        <v>46531</v>
      </c>
      <c r="AE49" s="6">
        <f t="shared" si="32"/>
        <v>0.2630719305409297</v>
      </c>
      <c r="AF49" s="4">
        <v>0</v>
      </c>
      <c r="AG49" s="4">
        <f t="shared" si="33"/>
        <v>40940</v>
      </c>
      <c r="AH49" s="4">
        <f t="shared" si="15"/>
        <v>56950.612576064908</v>
      </c>
      <c r="AI49" s="6">
        <f t="shared" si="34"/>
        <v>0.39789936492427946</v>
      </c>
      <c r="AJ49" s="4">
        <f t="shared" si="16"/>
        <v>52754</v>
      </c>
      <c r="AK49" s="7">
        <v>50000</v>
      </c>
      <c r="AL49" s="6">
        <f t="shared" si="35"/>
        <v>0.31420000000000003</v>
      </c>
      <c r="AM49" s="4">
        <f t="shared" si="36"/>
        <v>15710</v>
      </c>
      <c r="AN49" s="28"/>
      <c r="AO49" s="6"/>
      <c r="AP49" s="6"/>
      <c r="AQ49" s="6" t="e">
        <f t="shared" si="37"/>
        <v>#DIV/0!</v>
      </c>
      <c r="AR49" s="6">
        <f t="shared" si="38"/>
        <v>1.4947683109118086</v>
      </c>
      <c r="AS49" s="6">
        <f t="shared" si="39"/>
        <v>1.3910750507099392</v>
      </c>
      <c r="AT49" s="4"/>
      <c r="AU49" s="4"/>
      <c r="AV49" s="4"/>
      <c r="AW49" s="4"/>
      <c r="AX49" s="4"/>
      <c r="AY49" s="4"/>
      <c r="AZ49" s="4"/>
      <c r="BA49" s="4"/>
      <c r="BB49" s="4"/>
      <c r="BC49" s="4">
        <v>0</v>
      </c>
      <c r="BD49" s="4" t="s">
        <v>248</v>
      </c>
      <c r="BE49" s="4">
        <v>1000</v>
      </c>
      <c r="BF49" s="4">
        <v>50</v>
      </c>
      <c r="BG49" s="4" t="s">
        <v>240</v>
      </c>
      <c r="BH49" s="4">
        <v>2047</v>
      </c>
      <c r="BI49" s="4">
        <v>2047</v>
      </c>
      <c r="BJ49" s="4">
        <f t="shared" si="40"/>
        <v>40940</v>
      </c>
      <c r="BK49" s="19">
        <v>4</v>
      </c>
      <c r="BL49" s="19">
        <v>8</v>
      </c>
      <c r="BM49" s="16">
        <v>18</v>
      </c>
      <c r="BN49" t="s">
        <v>177</v>
      </c>
      <c r="BO49" t="s">
        <v>176</v>
      </c>
      <c r="BP49" t="s">
        <v>176</v>
      </c>
      <c r="BQ49" t="str">
        <f t="shared" si="17"/>
        <v>-</v>
      </c>
      <c r="BR49" t="s">
        <v>205</v>
      </c>
    </row>
    <row r="50" spans="1:70" x14ac:dyDescent="0.4">
      <c r="A50" s="3">
        <v>47</v>
      </c>
      <c r="B50" s="3">
        <v>47</v>
      </c>
      <c r="C50" s="4" t="s">
        <v>110</v>
      </c>
      <c r="D50" s="4" t="str">
        <f t="shared" si="27"/>
        <v>J1583W</v>
      </c>
      <c r="E50" s="4" t="s">
        <v>110</v>
      </c>
      <c r="F50" s="4" t="s">
        <v>166</v>
      </c>
      <c r="G50" s="5">
        <v>4589443404041</v>
      </c>
      <c r="H50" s="5"/>
      <c r="I50" s="5"/>
      <c r="J50" s="5">
        <v>1</v>
      </c>
      <c r="K50" s="5">
        <v>1</v>
      </c>
      <c r="L50" s="4">
        <v>0</v>
      </c>
      <c r="M50" s="4">
        <v>243</v>
      </c>
      <c r="N50" s="4">
        <v>166</v>
      </c>
      <c r="O50" s="6">
        <f t="shared" si="28"/>
        <v>0.3168724279835391</v>
      </c>
      <c r="P50" s="4" t="s">
        <v>177</v>
      </c>
      <c r="Q50" s="4"/>
      <c r="R50" s="4"/>
      <c r="S50" s="4"/>
      <c r="T50" s="4"/>
      <c r="U50" s="4"/>
      <c r="V50" s="4"/>
      <c r="W50" s="4"/>
      <c r="X50" s="4"/>
      <c r="Y50" s="4">
        <v>0</v>
      </c>
      <c r="Z50" s="4">
        <f t="shared" si="29"/>
        <v>0</v>
      </c>
      <c r="AA50" s="4">
        <v>221.99999999999997</v>
      </c>
      <c r="AB50" s="4">
        <f t="shared" si="30"/>
        <v>221.99999999999997</v>
      </c>
      <c r="AC50" s="4"/>
      <c r="AD50" s="21">
        <f t="shared" si="31"/>
        <v>325</v>
      </c>
      <c r="AE50" s="6">
        <f t="shared" si="32"/>
        <v>0.31692307692307697</v>
      </c>
      <c r="AF50" s="4">
        <v>2</v>
      </c>
      <c r="AG50" s="4" t="str">
        <f t="shared" si="33"/>
        <v>-</v>
      </c>
      <c r="AH50" s="4" t="str">
        <f t="shared" si="15"/>
        <v>-</v>
      </c>
      <c r="AI50" s="6" t="e">
        <f t="shared" si="34"/>
        <v>#VALUE!</v>
      </c>
      <c r="AJ50" s="4">
        <f t="shared" si="16"/>
        <v>342</v>
      </c>
      <c r="AK50" s="7">
        <v>330</v>
      </c>
      <c r="AL50" s="6">
        <f t="shared" si="35"/>
        <v>0.32727272727272738</v>
      </c>
      <c r="AM50" s="4">
        <f t="shared" si="36"/>
        <v>108.00000000000003</v>
      </c>
      <c r="AN50" s="28"/>
      <c r="AO50" s="6"/>
      <c r="AP50" s="6"/>
      <c r="AQ50" s="6" t="e">
        <f t="shared" si="37"/>
        <v>#DIV/0!</v>
      </c>
      <c r="AR50" s="6">
        <f t="shared" si="38"/>
        <v>1.3580246913580247</v>
      </c>
      <c r="AS50" s="6">
        <f t="shared" si="39"/>
        <v>1.3373493975903612</v>
      </c>
      <c r="AT50" s="4"/>
      <c r="AU50" s="4"/>
      <c r="AV50" s="4"/>
      <c r="AW50" s="4"/>
      <c r="AX50" s="4"/>
      <c r="AY50" s="4"/>
      <c r="AZ50" s="4"/>
      <c r="BA50" s="4"/>
      <c r="BB50" s="4"/>
      <c r="BC50" s="4">
        <v>0</v>
      </c>
      <c r="BD50" s="4" t="s">
        <v>176</v>
      </c>
      <c r="BE50" s="4"/>
      <c r="BF50" s="4"/>
      <c r="BG50" s="4" t="s">
        <v>176</v>
      </c>
      <c r="BH50" s="4" t="s">
        <v>176</v>
      </c>
      <c r="BI50" s="4" t="s">
        <v>176</v>
      </c>
      <c r="BJ50" s="4" t="str">
        <f t="shared" si="40"/>
        <v>-</v>
      </c>
      <c r="BK50" s="19">
        <v>4</v>
      </c>
      <c r="BL50" s="19">
        <v>8</v>
      </c>
      <c r="BM50" s="16">
        <v>18</v>
      </c>
      <c r="BN50" t="s">
        <v>177</v>
      </c>
      <c r="BO50" t="s">
        <v>176</v>
      </c>
      <c r="BP50" t="s">
        <v>176</v>
      </c>
      <c r="BQ50" t="str">
        <f t="shared" si="17"/>
        <v>-</v>
      </c>
      <c r="BR50" t="s">
        <v>176</v>
      </c>
    </row>
    <row r="51" spans="1:70" x14ac:dyDescent="0.4">
      <c r="A51" s="3">
        <v>48</v>
      </c>
      <c r="B51" s="3">
        <v>48</v>
      </c>
      <c r="C51" s="4" t="s">
        <v>111</v>
      </c>
      <c r="D51" s="4" t="str">
        <f t="shared" si="27"/>
        <v>J1585W</v>
      </c>
      <c r="E51" s="4" t="s">
        <v>111</v>
      </c>
      <c r="F51" s="4" t="s">
        <v>167</v>
      </c>
      <c r="G51" s="5">
        <v>4589443404065</v>
      </c>
      <c r="H51" s="5"/>
      <c r="I51" s="5"/>
      <c r="J51" s="5">
        <v>1</v>
      </c>
      <c r="K51" s="5">
        <v>1</v>
      </c>
      <c r="L51" s="4">
        <v>0</v>
      </c>
      <c r="M51" s="4">
        <v>406</v>
      </c>
      <c r="N51" s="4">
        <v>299</v>
      </c>
      <c r="O51" s="6">
        <f t="shared" si="28"/>
        <v>0.26354679802955661</v>
      </c>
      <c r="P51" s="4" t="s">
        <v>177</v>
      </c>
      <c r="Q51" s="4"/>
      <c r="R51" s="4"/>
      <c r="S51" s="4"/>
      <c r="T51" s="4"/>
      <c r="U51" s="4"/>
      <c r="V51" s="4"/>
      <c r="W51" s="4"/>
      <c r="X51" s="4"/>
      <c r="Y51" s="4">
        <v>0</v>
      </c>
      <c r="Z51" s="4">
        <f t="shared" si="29"/>
        <v>0</v>
      </c>
      <c r="AA51" s="4">
        <v>384</v>
      </c>
      <c r="AB51" s="4">
        <f t="shared" si="30"/>
        <v>384</v>
      </c>
      <c r="AC51" s="4"/>
      <c r="AD51" s="21">
        <f t="shared" si="31"/>
        <v>521</v>
      </c>
      <c r="AE51" s="6">
        <f t="shared" si="32"/>
        <v>0.26295585412667943</v>
      </c>
      <c r="AF51" s="4">
        <v>0.5</v>
      </c>
      <c r="AG51" s="4" t="str">
        <f t="shared" si="33"/>
        <v>-</v>
      </c>
      <c r="AH51" s="4" t="str">
        <f t="shared" si="15"/>
        <v>-</v>
      </c>
      <c r="AI51" s="6" t="e">
        <f t="shared" si="34"/>
        <v>#VALUE!</v>
      </c>
      <c r="AJ51" s="4">
        <f t="shared" si="16"/>
        <v>591</v>
      </c>
      <c r="AK51" s="7">
        <v>570</v>
      </c>
      <c r="AL51" s="6">
        <f t="shared" si="35"/>
        <v>0.32631578947368423</v>
      </c>
      <c r="AM51" s="4">
        <f t="shared" si="36"/>
        <v>186</v>
      </c>
      <c r="AN51" s="28"/>
      <c r="AO51" s="6"/>
      <c r="AP51" s="6"/>
      <c r="AQ51" s="6" t="e">
        <f t="shared" si="37"/>
        <v>#DIV/0!</v>
      </c>
      <c r="AR51" s="6">
        <f t="shared" si="38"/>
        <v>1.4039408866995073</v>
      </c>
      <c r="AS51" s="6">
        <f t="shared" si="39"/>
        <v>1.2842809364548495</v>
      </c>
      <c r="AT51" s="4"/>
      <c r="AU51" s="4"/>
      <c r="AV51" s="4"/>
      <c r="AW51" s="4"/>
      <c r="AX51" s="4"/>
      <c r="AY51" s="4"/>
      <c r="AZ51" s="4"/>
      <c r="BA51" s="4"/>
      <c r="BB51" s="4"/>
      <c r="BC51" s="4">
        <v>0</v>
      </c>
      <c r="BD51" s="4" t="s">
        <v>176</v>
      </c>
      <c r="BE51" s="4"/>
      <c r="BF51" s="4"/>
      <c r="BG51" s="4" t="s">
        <v>176</v>
      </c>
      <c r="BH51" s="4" t="s">
        <v>176</v>
      </c>
      <c r="BI51" s="4" t="s">
        <v>176</v>
      </c>
      <c r="BJ51" s="4" t="str">
        <f t="shared" si="40"/>
        <v>-</v>
      </c>
      <c r="BK51" s="19">
        <v>4</v>
      </c>
      <c r="BL51" s="19">
        <v>8</v>
      </c>
      <c r="BM51" s="16">
        <v>18</v>
      </c>
      <c r="BN51" t="s">
        <v>177</v>
      </c>
      <c r="BO51" t="s">
        <v>176</v>
      </c>
      <c r="BP51" t="s">
        <v>176</v>
      </c>
      <c r="BQ51" t="str">
        <f t="shared" si="17"/>
        <v>-</v>
      </c>
      <c r="BR51" t="s">
        <v>176</v>
      </c>
    </row>
    <row r="52" spans="1:70" x14ac:dyDescent="0.4">
      <c r="A52" s="3">
        <v>49</v>
      </c>
      <c r="B52" s="3">
        <v>49</v>
      </c>
      <c r="C52" s="4" t="s">
        <v>112</v>
      </c>
      <c r="D52" s="4" t="str">
        <f t="shared" si="27"/>
        <v>J1586W</v>
      </c>
      <c r="E52" s="4" t="s">
        <v>112</v>
      </c>
      <c r="F52" s="4" t="s">
        <v>168</v>
      </c>
      <c r="G52" s="5">
        <v>4589443404072</v>
      </c>
      <c r="H52" s="5"/>
      <c r="I52" s="5"/>
      <c r="J52" s="5">
        <v>1</v>
      </c>
      <c r="K52" s="5">
        <v>1</v>
      </c>
      <c r="L52" s="4">
        <v>0</v>
      </c>
      <c r="M52" s="4">
        <v>642</v>
      </c>
      <c r="N52" s="4">
        <v>473</v>
      </c>
      <c r="O52" s="6">
        <f t="shared" si="28"/>
        <v>0.26323987538940807</v>
      </c>
      <c r="P52" s="4" t="s">
        <v>177</v>
      </c>
      <c r="Q52" s="4"/>
      <c r="R52" s="4"/>
      <c r="S52" s="4"/>
      <c r="T52" s="4"/>
      <c r="U52" s="4"/>
      <c r="V52" s="4"/>
      <c r="W52" s="4"/>
      <c r="X52" s="4"/>
      <c r="Y52" s="4">
        <v>0</v>
      </c>
      <c r="Z52" s="4">
        <f t="shared" si="29"/>
        <v>0</v>
      </c>
      <c r="AA52" s="4">
        <v>606.99999999999989</v>
      </c>
      <c r="AB52" s="4">
        <f t="shared" si="30"/>
        <v>606.99999999999989</v>
      </c>
      <c r="AC52" s="4"/>
      <c r="AD52" s="21">
        <f t="shared" si="31"/>
        <v>824</v>
      </c>
      <c r="AE52" s="6">
        <f t="shared" si="32"/>
        <v>0.26334951456310696</v>
      </c>
      <c r="AF52" s="4">
        <v>0.25</v>
      </c>
      <c r="AG52" s="4" t="str">
        <f t="shared" si="33"/>
        <v>-</v>
      </c>
      <c r="AH52" s="4" t="str">
        <f t="shared" si="15"/>
        <v>-</v>
      </c>
      <c r="AI52" s="6" t="e">
        <f t="shared" si="34"/>
        <v>#VALUE!</v>
      </c>
      <c r="AJ52" s="4">
        <f t="shared" si="16"/>
        <v>934</v>
      </c>
      <c r="AK52" s="7">
        <v>900</v>
      </c>
      <c r="AL52" s="6">
        <f t="shared" si="35"/>
        <v>0.32555555555555571</v>
      </c>
      <c r="AM52" s="4">
        <f t="shared" si="36"/>
        <v>293.00000000000011</v>
      </c>
      <c r="AN52" s="28"/>
      <c r="AO52" s="6"/>
      <c r="AP52" s="6"/>
      <c r="AQ52" s="6" t="e">
        <f t="shared" si="37"/>
        <v>#DIV/0!</v>
      </c>
      <c r="AR52" s="6">
        <f t="shared" si="38"/>
        <v>1.4018691588785046</v>
      </c>
      <c r="AS52" s="6">
        <f t="shared" si="39"/>
        <v>1.2832980972515853</v>
      </c>
      <c r="AT52" s="4"/>
      <c r="AU52" s="4"/>
      <c r="AV52" s="4"/>
      <c r="AW52" s="4"/>
      <c r="AX52" s="4"/>
      <c r="AY52" s="4"/>
      <c r="AZ52" s="4"/>
      <c r="BA52" s="4"/>
      <c r="BB52" s="4"/>
      <c r="BC52" s="4">
        <v>0</v>
      </c>
      <c r="BD52" s="4" t="s">
        <v>176</v>
      </c>
      <c r="BE52" s="4"/>
      <c r="BF52" s="4"/>
      <c r="BG52" s="4" t="s">
        <v>176</v>
      </c>
      <c r="BH52" s="4" t="s">
        <v>176</v>
      </c>
      <c r="BI52" s="4" t="s">
        <v>176</v>
      </c>
      <c r="BJ52" s="4" t="str">
        <f t="shared" si="40"/>
        <v>-</v>
      </c>
      <c r="BK52" s="19">
        <v>4</v>
      </c>
      <c r="BL52" s="19">
        <v>8</v>
      </c>
      <c r="BM52" s="16">
        <v>18</v>
      </c>
      <c r="BN52" t="s">
        <v>177</v>
      </c>
      <c r="BO52" t="s">
        <v>176</v>
      </c>
      <c r="BP52" t="s">
        <v>176</v>
      </c>
      <c r="BQ52" t="str">
        <f t="shared" si="17"/>
        <v>-</v>
      </c>
      <c r="BR52" t="s">
        <v>176</v>
      </c>
    </row>
    <row r="53" spans="1:70" x14ac:dyDescent="0.4">
      <c r="A53" s="3">
        <v>50</v>
      </c>
      <c r="B53" s="3">
        <v>50</v>
      </c>
      <c r="C53" s="4" t="s">
        <v>113</v>
      </c>
      <c r="D53" s="4" t="str">
        <f t="shared" si="27"/>
        <v>J1587W</v>
      </c>
      <c r="E53" s="4" t="s">
        <v>113</v>
      </c>
      <c r="F53" s="4" t="s">
        <v>169</v>
      </c>
      <c r="G53" s="5">
        <v>2001235431490</v>
      </c>
      <c r="H53" s="5"/>
      <c r="I53" s="5"/>
      <c r="J53" s="5">
        <v>1</v>
      </c>
      <c r="K53" s="5">
        <v>1</v>
      </c>
      <c r="L53" s="4">
        <v>0</v>
      </c>
      <c r="M53" s="4">
        <v>33630</v>
      </c>
      <c r="N53" s="4">
        <v>24790</v>
      </c>
      <c r="O53" s="6">
        <f t="shared" si="28"/>
        <v>0.26286054118346713</v>
      </c>
      <c r="P53" s="4" t="s">
        <v>177</v>
      </c>
      <c r="Q53" s="4"/>
      <c r="R53" s="4"/>
      <c r="S53" s="4"/>
      <c r="T53" s="4"/>
      <c r="U53" s="4"/>
      <c r="V53" s="4"/>
      <c r="W53" s="4"/>
      <c r="X53" s="4"/>
      <c r="Y53" s="4">
        <v>0</v>
      </c>
      <c r="Z53" s="4">
        <f t="shared" si="29"/>
        <v>0</v>
      </c>
      <c r="AA53" s="4">
        <v>29450</v>
      </c>
      <c r="AB53" s="4">
        <f t="shared" si="30"/>
        <v>29450</v>
      </c>
      <c r="AC53" s="4"/>
      <c r="AD53" s="21">
        <f t="shared" si="31"/>
        <v>39952</v>
      </c>
      <c r="AE53" s="6">
        <f t="shared" si="32"/>
        <v>0.26286543852623145</v>
      </c>
      <c r="AF53" s="4">
        <v>0</v>
      </c>
      <c r="AG53" s="4" t="str">
        <f t="shared" si="33"/>
        <v>-</v>
      </c>
      <c r="AH53" s="4" t="str">
        <f t="shared" si="15"/>
        <v>-</v>
      </c>
      <c r="AI53" s="6" t="e">
        <f t="shared" si="34"/>
        <v>#VALUE!</v>
      </c>
      <c r="AJ53" s="4">
        <f t="shared" si="16"/>
        <v>45308</v>
      </c>
      <c r="AK53" s="7">
        <v>43000</v>
      </c>
      <c r="AL53" s="6">
        <f t="shared" si="35"/>
        <v>0.31511627906976747</v>
      </c>
      <c r="AM53" s="4">
        <f t="shared" si="36"/>
        <v>13550</v>
      </c>
      <c r="AN53" s="28"/>
      <c r="AO53" s="6"/>
      <c r="AP53" s="6"/>
      <c r="AQ53" s="6" t="e">
        <f t="shared" si="37"/>
        <v>#DIV/0!</v>
      </c>
      <c r="AR53" s="6">
        <f t="shared" si="38"/>
        <v>1.2786202795123403</v>
      </c>
      <c r="AS53" s="6">
        <f t="shared" si="39"/>
        <v>1.1879790237999193</v>
      </c>
      <c r="AT53" s="4"/>
      <c r="AU53" s="4"/>
      <c r="AV53" s="4"/>
      <c r="AW53" s="4"/>
      <c r="AX53" s="4"/>
      <c r="AY53" s="4"/>
      <c r="AZ53" s="4"/>
      <c r="BA53" s="4"/>
      <c r="BB53" s="4"/>
      <c r="BC53" s="4">
        <v>0</v>
      </c>
      <c r="BD53" s="4" t="s">
        <v>176</v>
      </c>
      <c r="BE53" s="4"/>
      <c r="BF53" s="4"/>
      <c r="BG53" s="4" t="s">
        <v>176</v>
      </c>
      <c r="BH53" s="4" t="s">
        <v>176</v>
      </c>
      <c r="BI53" s="4" t="s">
        <v>176</v>
      </c>
      <c r="BJ53" s="4" t="str">
        <f t="shared" si="40"/>
        <v>-</v>
      </c>
      <c r="BK53" s="19">
        <v>2</v>
      </c>
      <c r="BL53" s="19">
        <v>8</v>
      </c>
      <c r="BM53" s="16">
        <v>18</v>
      </c>
      <c r="BN53" t="s">
        <v>177</v>
      </c>
      <c r="BO53" t="s">
        <v>176</v>
      </c>
      <c r="BP53" t="s">
        <v>176</v>
      </c>
      <c r="BQ53" t="str">
        <f t="shared" si="17"/>
        <v>-</v>
      </c>
      <c r="BR53" t="s">
        <v>176</v>
      </c>
    </row>
    <row r="54" spans="1:70" x14ac:dyDescent="0.4">
      <c r="A54" s="3">
        <v>51</v>
      </c>
      <c r="B54" s="3">
        <v>51</v>
      </c>
      <c r="C54" s="4" t="s">
        <v>114</v>
      </c>
      <c r="D54" s="4" t="str">
        <f t="shared" si="27"/>
        <v>J1588W</v>
      </c>
      <c r="E54" s="4" t="s">
        <v>114</v>
      </c>
      <c r="F54" s="4" t="s">
        <v>170</v>
      </c>
      <c r="G54" s="5">
        <v>4589443404294</v>
      </c>
      <c r="H54" s="5"/>
      <c r="I54" s="5"/>
      <c r="J54" s="5">
        <v>1</v>
      </c>
      <c r="K54" s="5">
        <v>1</v>
      </c>
      <c r="L54" s="4">
        <v>0</v>
      </c>
      <c r="M54" s="4">
        <v>250</v>
      </c>
      <c r="N54" s="4">
        <v>172</v>
      </c>
      <c r="O54" s="6">
        <f t="shared" si="28"/>
        <v>0.31200000000000006</v>
      </c>
      <c r="P54" s="4" t="s">
        <v>177</v>
      </c>
      <c r="Q54" s="4"/>
      <c r="R54" s="4"/>
      <c r="S54" s="4"/>
      <c r="T54" s="4"/>
      <c r="U54" s="4"/>
      <c r="V54" s="4"/>
      <c r="W54" s="4"/>
      <c r="X54" s="4"/>
      <c r="Y54" s="4">
        <v>0</v>
      </c>
      <c r="Z54" s="4">
        <f t="shared" si="29"/>
        <v>0</v>
      </c>
      <c r="AA54" s="4">
        <v>221.99999999999997</v>
      </c>
      <c r="AB54" s="4">
        <f t="shared" si="30"/>
        <v>221.99999999999997</v>
      </c>
      <c r="AC54" s="4"/>
      <c r="AD54" s="21">
        <f t="shared" si="31"/>
        <v>323</v>
      </c>
      <c r="AE54" s="6">
        <f t="shared" si="32"/>
        <v>0.31269349845201244</v>
      </c>
      <c r="AF54" s="4">
        <v>1.5</v>
      </c>
      <c r="AG54" s="4">
        <f t="shared" si="33"/>
        <v>299</v>
      </c>
      <c r="AH54" s="4">
        <f t="shared" si="15"/>
        <v>385.91860465116275</v>
      </c>
      <c r="AI54" s="6">
        <f t="shared" si="34"/>
        <v>0.42474916387959871</v>
      </c>
      <c r="AJ54" s="4">
        <f t="shared" si="16"/>
        <v>342</v>
      </c>
      <c r="AK54" s="7">
        <v>340</v>
      </c>
      <c r="AL54" s="6">
        <f t="shared" si="35"/>
        <v>0.34705882352941186</v>
      </c>
      <c r="AM54" s="4">
        <f t="shared" si="36"/>
        <v>118.00000000000003</v>
      </c>
      <c r="AN54" s="28"/>
      <c r="AO54" s="6"/>
      <c r="AP54" s="6"/>
      <c r="AQ54" s="6" t="e">
        <f t="shared" si="37"/>
        <v>#DIV/0!</v>
      </c>
      <c r="AR54" s="6">
        <f t="shared" si="38"/>
        <v>1.36</v>
      </c>
      <c r="AS54" s="6">
        <f t="shared" si="39"/>
        <v>1.2906976744186045</v>
      </c>
      <c r="AT54" s="4"/>
      <c r="AU54" s="4"/>
      <c r="AV54" s="4"/>
      <c r="AW54" s="4"/>
      <c r="AX54" s="4"/>
      <c r="AY54" s="4"/>
      <c r="AZ54" s="4"/>
      <c r="BA54" s="4"/>
      <c r="BB54" s="4"/>
      <c r="BC54" s="4">
        <v>0</v>
      </c>
      <c r="BD54" s="4" t="s">
        <v>249</v>
      </c>
      <c r="BE54" s="4"/>
      <c r="BF54" s="4"/>
      <c r="BG54" s="4" t="s">
        <v>212</v>
      </c>
      <c r="BH54" s="4">
        <v>299</v>
      </c>
      <c r="BI54" s="4">
        <v>299</v>
      </c>
      <c r="BJ54" s="4">
        <f t="shared" si="40"/>
        <v>299</v>
      </c>
      <c r="BK54" s="19">
        <v>4</v>
      </c>
      <c r="BL54" s="19">
        <v>8</v>
      </c>
      <c r="BM54" s="16">
        <v>18</v>
      </c>
      <c r="BN54" t="s">
        <v>177</v>
      </c>
      <c r="BO54" t="s">
        <v>176</v>
      </c>
      <c r="BP54" t="s">
        <v>176</v>
      </c>
      <c r="BQ54" t="str">
        <f t="shared" si="17"/>
        <v>-</v>
      </c>
      <c r="BR54" t="s">
        <v>206</v>
      </c>
    </row>
    <row r="55" spans="1:70" x14ac:dyDescent="0.4">
      <c r="A55" s="3">
        <v>52</v>
      </c>
      <c r="B55" s="3">
        <v>52</v>
      </c>
      <c r="C55" s="4" t="s">
        <v>115</v>
      </c>
      <c r="D55" s="4" t="str">
        <f t="shared" si="27"/>
        <v>J1589W</v>
      </c>
      <c r="E55" s="4" t="s">
        <v>115</v>
      </c>
      <c r="F55" s="4" t="s">
        <v>171</v>
      </c>
      <c r="G55" s="5">
        <v>4589443404300</v>
      </c>
      <c r="H55" s="5"/>
      <c r="I55" s="5"/>
      <c r="J55" s="5">
        <v>1</v>
      </c>
      <c r="K55" s="5">
        <v>1</v>
      </c>
      <c r="L55" s="4">
        <v>0</v>
      </c>
      <c r="M55" s="4">
        <v>316</v>
      </c>
      <c r="N55" s="4">
        <v>215</v>
      </c>
      <c r="O55" s="6">
        <f t="shared" si="28"/>
        <v>0.319620253164557</v>
      </c>
      <c r="P55" s="4" t="s">
        <v>177</v>
      </c>
      <c r="Q55" s="4"/>
      <c r="R55" s="4"/>
      <c r="S55" s="4"/>
      <c r="T55" s="4"/>
      <c r="U55" s="4"/>
      <c r="V55" s="4"/>
      <c r="W55" s="4"/>
      <c r="X55" s="4"/>
      <c r="Y55" s="4">
        <v>0</v>
      </c>
      <c r="Z55" s="4">
        <f t="shared" si="29"/>
        <v>0</v>
      </c>
      <c r="AA55" s="4">
        <v>276.99999999999994</v>
      </c>
      <c r="AB55" s="4">
        <f t="shared" si="30"/>
        <v>276.99999999999994</v>
      </c>
      <c r="AC55" s="4"/>
      <c r="AD55" s="21">
        <f t="shared" si="31"/>
        <v>407</v>
      </c>
      <c r="AE55" s="6">
        <f t="shared" si="32"/>
        <v>0.3194103194103195</v>
      </c>
      <c r="AF55" s="4">
        <v>3.25</v>
      </c>
      <c r="AG55" s="4">
        <f t="shared" si="33"/>
        <v>600</v>
      </c>
      <c r="AH55" s="4">
        <f t="shared" si="15"/>
        <v>773.02325581395337</v>
      </c>
      <c r="AI55" s="6">
        <f t="shared" si="34"/>
        <v>0.64166666666666661</v>
      </c>
      <c r="AJ55" s="4">
        <f t="shared" si="16"/>
        <v>426</v>
      </c>
      <c r="AK55" s="7">
        <v>420</v>
      </c>
      <c r="AL55" s="6">
        <f t="shared" si="35"/>
        <v>0.3404761904761906</v>
      </c>
      <c r="AM55" s="4">
        <f t="shared" si="36"/>
        <v>143.00000000000006</v>
      </c>
      <c r="AN55" s="28"/>
      <c r="AO55" s="6"/>
      <c r="AP55" s="6"/>
      <c r="AQ55" s="6" t="e">
        <f t="shared" si="37"/>
        <v>#DIV/0!</v>
      </c>
      <c r="AR55" s="6">
        <f t="shared" si="38"/>
        <v>1.3291139240506329</v>
      </c>
      <c r="AS55" s="6">
        <f t="shared" si="39"/>
        <v>1.2883720930232556</v>
      </c>
      <c r="AT55" s="4"/>
      <c r="AU55" s="4"/>
      <c r="AV55" s="4"/>
      <c r="AW55" s="4"/>
      <c r="AX55" s="4"/>
      <c r="AY55" s="4"/>
      <c r="AZ55" s="4"/>
      <c r="BA55" s="4"/>
      <c r="BB55" s="4"/>
      <c r="BC55" s="4">
        <v>0</v>
      </c>
      <c r="BD55" s="4" t="s">
        <v>250</v>
      </c>
      <c r="BE55" s="4"/>
      <c r="BF55" s="4"/>
      <c r="BG55" s="4" t="s">
        <v>251</v>
      </c>
      <c r="BH55" s="4">
        <v>600</v>
      </c>
      <c r="BI55" s="4">
        <v>600</v>
      </c>
      <c r="BJ55" s="4">
        <f t="shared" si="40"/>
        <v>600</v>
      </c>
      <c r="BK55" s="19">
        <v>4</v>
      </c>
      <c r="BL55" s="19">
        <v>8</v>
      </c>
      <c r="BM55" s="16">
        <v>18</v>
      </c>
      <c r="BN55" t="s">
        <v>177</v>
      </c>
      <c r="BO55" t="s">
        <v>176</v>
      </c>
      <c r="BP55" t="s">
        <v>176</v>
      </c>
      <c r="BQ55" t="str">
        <f t="shared" si="17"/>
        <v>-</v>
      </c>
      <c r="BR55" t="s">
        <v>207</v>
      </c>
    </row>
    <row r="56" spans="1:70" x14ac:dyDescent="0.4">
      <c r="A56" s="3">
        <v>53</v>
      </c>
      <c r="B56" s="3">
        <v>53</v>
      </c>
      <c r="C56" s="4" t="s">
        <v>116</v>
      </c>
      <c r="D56" s="4" t="str">
        <f t="shared" si="27"/>
        <v>J1590W</v>
      </c>
      <c r="E56" s="4" t="s">
        <v>116</v>
      </c>
      <c r="F56" s="4" t="s">
        <v>172</v>
      </c>
      <c r="G56" s="5">
        <v>4589443404317</v>
      </c>
      <c r="H56" s="5"/>
      <c r="I56" s="5"/>
      <c r="J56" s="5">
        <v>1</v>
      </c>
      <c r="K56" s="5">
        <v>1</v>
      </c>
      <c r="L56" s="4">
        <v>0</v>
      </c>
      <c r="M56" s="4">
        <v>336</v>
      </c>
      <c r="N56" s="4">
        <v>229</v>
      </c>
      <c r="O56" s="6">
        <f t="shared" si="28"/>
        <v>0.31845238095238093</v>
      </c>
      <c r="P56" s="4" t="s">
        <v>177</v>
      </c>
      <c r="Q56" s="4"/>
      <c r="R56" s="4"/>
      <c r="S56" s="4"/>
      <c r="T56" s="4"/>
      <c r="U56" s="4"/>
      <c r="V56" s="4"/>
      <c r="W56" s="4"/>
      <c r="X56" s="4"/>
      <c r="Y56" s="4">
        <v>0</v>
      </c>
      <c r="Z56" s="4">
        <f t="shared" si="29"/>
        <v>0</v>
      </c>
      <c r="AA56" s="4">
        <v>293</v>
      </c>
      <c r="AB56" s="4">
        <f t="shared" si="30"/>
        <v>293</v>
      </c>
      <c r="AC56" s="4"/>
      <c r="AD56" s="21">
        <f t="shared" si="31"/>
        <v>430</v>
      </c>
      <c r="AE56" s="6">
        <f t="shared" si="32"/>
        <v>0.31860465116279069</v>
      </c>
      <c r="AF56" s="4">
        <v>0.75</v>
      </c>
      <c r="AG56" s="4">
        <f t="shared" si="33"/>
        <v>753</v>
      </c>
      <c r="AH56" s="4">
        <f t="shared" si="15"/>
        <v>963.4454148471616</v>
      </c>
      <c r="AI56" s="6">
        <f t="shared" si="34"/>
        <v>0.69588313413014613</v>
      </c>
      <c r="AJ56" s="4">
        <f t="shared" si="16"/>
        <v>451</v>
      </c>
      <c r="AK56" s="7">
        <v>450</v>
      </c>
      <c r="AL56" s="6">
        <f t="shared" si="35"/>
        <v>0.34888888888888892</v>
      </c>
      <c r="AM56" s="4">
        <f t="shared" si="36"/>
        <v>157</v>
      </c>
      <c r="AN56" s="28"/>
      <c r="AO56" s="6"/>
      <c r="AP56" s="6"/>
      <c r="AQ56" s="6" t="e">
        <f t="shared" si="37"/>
        <v>#DIV/0!</v>
      </c>
      <c r="AR56" s="6">
        <f t="shared" si="38"/>
        <v>1.3392857142857142</v>
      </c>
      <c r="AS56" s="6">
        <f t="shared" si="39"/>
        <v>1.2794759825327511</v>
      </c>
      <c r="AT56" s="4"/>
      <c r="AU56" s="4"/>
      <c r="AV56" s="4"/>
      <c r="AW56" s="4"/>
      <c r="AX56" s="4"/>
      <c r="AY56" s="4"/>
      <c r="AZ56" s="4"/>
      <c r="BA56" s="4"/>
      <c r="BB56" s="4"/>
      <c r="BC56" s="4">
        <v>0</v>
      </c>
      <c r="BD56" s="4" t="s">
        <v>252</v>
      </c>
      <c r="BE56" s="4"/>
      <c r="BF56" s="4"/>
      <c r="BG56" s="4" t="s">
        <v>214</v>
      </c>
      <c r="BH56" s="4">
        <v>753</v>
      </c>
      <c r="BI56" s="4">
        <v>753</v>
      </c>
      <c r="BJ56" s="4">
        <f t="shared" si="40"/>
        <v>753</v>
      </c>
      <c r="BK56" s="19">
        <v>4</v>
      </c>
      <c r="BL56" s="19">
        <v>8</v>
      </c>
      <c r="BM56" s="16">
        <v>18</v>
      </c>
      <c r="BN56" t="s">
        <v>177</v>
      </c>
      <c r="BO56" t="s">
        <v>176</v>
      </c>
      <c r="BP56" t="s">
        <v>176</v>
      </c>
      <c r="BQ56" t="str">
        <f t="shared" si="17"/>
        <v>-</v>
      </c>
      <c r="BR56" t="s">
        <v>208</v>
      </c>
    </row>
    <row r="57" spans="1:70" x14ac:dyDescent="0.4">
      <c r="A57" s="3">
        <v>54</v>
      </c>
      <c r="B57" s="3">
        <v>54</v>
      </c>
      <c r="C57" s="4" t="s">
        <v>117</v>
      </c>
      <c r="D57" s="4" t="str">
        <f t="shared" si="27"/>
        <v>J3189X</v>
      </c>
      <c r="E57" s="4" t="s">
        <v>117</v>
      </c>
      <c r="F57" s="4" t="s">
        <v>173</v>
      </c>
      <c r="G57" s="5">
        <v>4977017914117</v>
      </c>
      <c r="H57" s="5"/>
      <c r="I57" s="5"/>
      <c r="J57" s="5">
        <v>1</v>
      </c>
      <c r="K57" s="5">
        <v>1</v>
      </c>
      <c r="L57" s="4">
        <v>0</v>
      </c>
      <c r="M57" s="4">
        <v>14900</v>
      </c>
      <c r="N57" s="4">
        <v>11600</v>
      </c>
      <c r="O57" s="6">
        <f t="shared" si="28"/>
        <v>0.22147651006711411</v>
      </c>
      <c r="P57" s="4" t="s">
        <v>177</v>
      </c>
      <c r="Q57" s="4"/>
      <c r="R57" s="4"/>
      <c r="S57" s="4"/>
      <c r="T57" s="4"/>
      <c r="U57" s="4"/>
      <c r="V57" s="4"/>
      <c r="W57" s="4"/>
      <c r="X57" s="4"/>
      <c r="Y57" s="4">
        <v>0</v>
      </c>
      <c r="Z57" s="4">
        <f t="shared" si="29"/>
        <v>0</v>
      </c>
      <c r="AA57" s="4">
        <v>15080.000000000002</v>
      </c>
      <c r="AB57" s="4">
        <f t="shared" si="30"/>
        <v>15080.000000000002</v>
      </c>
      <c r="AC57" s="4"/>
      <c r="AD57" s="21">
        <f t="shared" si="31"/>
        <v>19370</v>
      </c>
      <c r="AE57" s="6">
        <f t="shared" si="32"/>
        <v>0.221476510067114</v>
      </c>
      <c r="AF57" s="4">
        <v>0</v>
      </c>
      <c r="AG57" s="4" t="str">
        <f t="shared" si="33"/>
        <v>-</v>
      </c>
      <c r="AH57" s="4" t="str">
        <f t="shared" si="15"/>
        <v>-</v>
      </c>
      <c r="AI57" s="6" t="e">
        <f t="shared" si="34"/>
        <v>#VALUE!</v>
      </c>
      <c r="AJ57" s="4">
        <f t="shared" si="16"/>
        <v>23200</v>
      </c>
      <c r="AK57" s="7">
        <v>21000</v>
      </c>
      <c r="AL57" s="6">
        <f t="shared" si="35"/>
        <v>0.28190476190476177</v>
      </c>
      <c r="AM57" s="4">
        <f t="shared" si="36"/>
        <v>5919.9999999999982</v>
      </c>
      <c r="AN57" s="28"/>
      <c r="AO57" s="6"/>
      <c r="AP57" s="6"/>
      <c r="AQ57" s="6" t="e">
        <f t="shared" si="37"/>
        <v>#DIV/0!</v>
      </c>
      <c r="AR57" s="6">
        <f t="shared" si="38"/>
        <v>1.4093959731543624</v>
      </c>
      <c r="AS57" s="6">
        <f t="shared" si="39"/>
        <v>1.3000000000000003</v>
      </c>
      <c r="AT57" s="4"/>
      <c r="AU57" s="4"/>
      <c r="AV57" s="4"/>
      <c r="AW57" s="4"/>
      <c r="AX57" s="4"/>
      <c r="AY57" s="4"/>
      <c r="AZ57" s="4"/>
      <c r="BA57" s="4"/>
      <c r="BB57" s="4"/>
      <c r="BC57" s="4">
        <v>0</v>
      </c>
      <c r="BD57" s="4" t="s">
        <v>176</v>
      </c>
      <c r="BE57" s="4"/>
      <c r="BF57" s="4"/>
      <c r="BG57" s="4" t="s">
        <v>176</v>
      </c>
      <c r="BH57" s="4" t="s">
        <v>176</v>
      </c>
      <c r="BI57" s="4" t="s">
        <v>176</v>
      </c>
      <c r="BJ57" s="4" t="str">
        <f t="shared" si="40"/>
        <v>-</v>
      </c>
      <c r="BK57" s="19">
        <v>2</v>
      </c>
      <c r="BL57" s="19">
        <v>8</v>
      </c>
      <c r="BM57" s="16">
        <v>18</v>
      </c>
      <c r="BN57" t="s">
        <v>177</v>
      </c>
      <c r="BO57" t="s">
        <v>176</v>
      </c>
      <c r="BP57" t="s">
        <v>176</v>
      </c>
      <c r="BQ57" t="str">
        <f t="shared" si="17"/>
        <v>-</v>
      </c>
      <c r="BR57" t="s">
        <v>176</v>
      </c>
    </row>
    <row r="58" spans="1:70" x14ac:dyDescent="0.4">
      <c r="A58" s="3">
        <v>55</v>
      </c>
      <c r="B58" s="3">
        <v>55</v>
      </c>
      <c r="C58" s="4" t="s">
        <v>118</v>
      </c>
      <c r="D58" s="4" t="str">
        <f t="shared" si="27"/>
        <v>J550WH</v>
      </c>
      <c r="E58" s="4" t="s">
        <v>118</v>
      </c>
      <c r="F58" s="4" t="s">
        <v>174</v>
      </c>
      <c r="G58" s="5">
        <v>4977017019812</v>
      </c>
      <c r="H58" s="5"/>
      <c r="I58" s="5"/>
      <c r="J58" s="5">
        <v>1</v>
      </c>
      <c r="K58" s="5">
        <v>1</v>
      </c>
      <c r="L58" s="4">
        <v>0</v>
      </c>
      <c r="M58" s="4">
        <v>410</v>
      </c>
      <c r="N58" s="4">
        <v>250</v>
      </c>
      <c r="O58" s="6">
        <f t="shared" si="28"/>
        <v>0.3902439024390244</v>
      </c>
      <c r="P58" s="4" t="s">
        <v>177</v>
      </c>
      <c r="Q58" s="4"/>
      <c r="R58" s="4"/>
      <c r="S58" s="4"/>
      <c r="T58" s="4"/>
      <c r="U58" s="4"/>
      <c r="V58" s="4"/>
      <c r="W58" s="4"/>
      <c r="X58" s="4"/>
      <c r="Y58" s="4">
        <v>0</v>
      </c>
      <c r="Z58" s="4">
        <f t="shared" si="29"/>
        <v>0</v>
      </c>
      <c r="AA58" s="4">
        <v>340</v>
      </c>
      <c r="AB58" s="4">
        <f t="shared" si="30"/>
        <v>340</v>
      </c>
      <c r="AC58" s="4"/>
      <c r="AD58" s="21">
        <f t="shared" si="31"/>
        <v>558</v>
      </c>
      <c r="AE58" s="6">
        <f t="shared" si="32"/>
        <v>0.39068100358422941</v>
      </c>
      <c r="AF58" s="4">
        <v>2.75</v>
      </c>
      <c r="AG58" s="4">
        <f t="shared" si="33"/>
        <v>558</v>
      </c>
      <c r="AH58" s="4">
        <f t="shared" si="15"/>
        <v>758.88000000000011</v>
      </c>
      <c r="AI58" s="6">
        <f t="shared" si="34"/>
        <v>0.55197132616487465</v>
      </c>
      <c r="AJ58" s="4">
        <f t="shared" si="16"/>
        <v>523</v>
      </c>
      <c r="AK58" s="7">
        <v>558</v>
      </c>
      <c r="AL58" s="6">
        <f t="shared" si="35"/>
        <v>0.39068100358422941</v>
      </c>
      <c r="AM58" s="4">
        <f t="shared" si="36"/>
        <v>218</v>
      </c>
      <c r="AN58" s="28"/>
      <c r="AO58" s="6"/>
      <c r="AP58" s="6"/>
      <c r="AQ58" s="6" t="e">
        <f t="shared" si="37"/>
        <v>#DIV/0!</v>
      </c>
      <c r="AR58" s="6">
        <f t="shared" si="38"/>
        <v>1.3609756097560977</v>
      </c>
      <c r="AS58" s="6">
        <f t="shared" si="39"/>
        <v>1.36</v>
      </c>
      <c r="AT58" s="4"/>
      <c r="AU58" s="4"/>
      <c r="AV58" s="4"/>
      <c r="AW58" s="4"/>
      <c r="AX58" s="4"/>
      <c r="AY58" s="4"/>
      <c r="AZ58" s="4"/>
      <c r="BA58" s="4"/>
      <c r="BB58" s="4"/>
      <c r="BC58" s="4">
        <v>0</v>
      </c>
      <c r="BD58" s="4" t="s">
        <v>253</v>
      </c>
      <c r="BE58" s="4"/>
      <c r="BF58" s="4"/>
      <c r="BG58" s="4" t="s">
        <v>214</v>
      </c>
      <c r="BH58" s="4">
        <v>558</v>
      </c>
      <c r="BI58" s="4">
        <v>558</v>
      </c>
      <c r="BJ58" s="4">
        <f t="shared" si="40"/>
        <v>558</v>
      </c>
      <c r="BK58" s="19">
        <v>4</v>
      </c>
      <c r="BL58" s="19">
        <v>1</v>
      </c>
      <c r="BM58" s="16">
        <v>18</v>
      </c>
      <c r="BN58" t="s">
        <v>177</v>
      </c>
      <c r="BO58">
        <v>454</v>
      </c>
      <c r="BP58">
        <v>622</v>
      </c>
      <c r="BQ58">
        <f t="shared" si="17"/>
        <v>845.92000000000007</v>
      </c>
      <c r="BR58" t="s">
        <v>209</v>
      </c>
    </row>
    <row r="59" spans="1:70" x14ac:dyDescent="0.4">
      <c r="A59" s="3">
        <v>56</v>
      </c>
      <c r="B59" s="3">
        <v>56</v>
      </c>
      <c r="C59" s="4" t="s">
        <v>119</v>
      </c>
      <c r="D59" s="4" t="str">
        <f t="shared" si="27"/>
        <v>J549WH</v>
      </c>
      <c r="E59" s="4" t="s">
        <v>119</v>
      </c>
      <c r="F59" s="4" t="s">
        <v>175</v>
      </c>
      <c r="G59" s="5">
        <v>4977017038097</v>
      </c>
      <c r="H59" s="5"/>
      <c r="I59" s="5"/>
      <c r="J59" s="5">
        <v>1</v>
      </c>
      <c r="K59" s="5">
        <v>1</v>
      </c>
      <c r="L59" s="4">
        <v>0</v>
      </c>
      <c r="M59" s="4">
        <v>1490</v>
      </c>
      <c r="N59" s="4">
        <v>1050</v>
      </c>
      <c r="O59" s="6">
        <f t="shared" si="28"/>
        <v>0.29530201342281881</v>
      </c>
      <c r="P59" s="4" t="s">
        <v>177</v>
      </c>
      <c r="Q59" s="4"/>
      <c r="R59" s="4"/>
      <c r="S59" s="4"/>
      <c r="T59" s="4"/>
      <c r="U59" s="4"/>
      <c r="V59" s="4"/>
      <c r="W59" s="4"/>
      <c r="X59" s="4"/>
      <c r="Y59" s="4">
        <v>0</v>
      </c>
      <c r="Z59" s="4">
        <f t="shared" si="29"/>
        <v>0</v>
      </c>
      <c r="AA59" s="4">
        <v>1418</v>
      </c>
      <c r="AB59" s="4">
        <f t="shared" si="30"/>
        <v>1418</v>
      </c>
      <c r="AC59" s="4"/>
      <c r="AD59" s="21">
        <f t="shared" si="31"/>
        <v>2012</v>
      </c>
      <c r="AE59" s="6">
        <f t="shared" si="32"/>
        <v>0.29522862823061635</v>
      </c>
      <c r="AF59" s="4">
        <v>0.5</v>
      </c>
      <c r="AG59" s="4">
        <f t="shared" si="33"/>
        <v>1950</v>
      </c>
      <c r="AH59" s="4">
        <f t="shared" si="15"/>
        <v>2633.4285714285711</v>
      </c>
      <c r="AI59" s="6">
        <f t="shared" si="34"/>
        <v>0.46153846153846145</v>
      </c>
      <c r="AJ59" s="4">
        <f t="shared" si="16"/>
        <v>2182</v>
      </c>
      <c r="AK59" s="7">
        <v>2180</v>
      </c>
      <c r="AL59" s="6">
        <f t="shared" si="35"/>
        <v>0.34954128440366972</v>
      </c>
      <c r="AM59" s="4">
        <f t="shared" si="36"/>
        <v>762</v>
      </c>
      <c r="AN59" s="28"/>
      <c r="AO59" s="6"/>
      <c r="AP59" s="6"/>
      <c r="AQ59" s="6" t="e">
        <f t="shared" si="37"/>
        <v>#DIV/0!</v>
      </c>
      <c r="AR59" s="6">
        <f t="shared" si="38"/>
        <v>1.4630872483221478</v>
      </c>
      <c r="AS59" s="6">
        <f t="shared" si="39"/>
        <v>1.3504761904761904</v>
      </c>
      <c r="AT59" s="4"/>
      <c r="AU59" s="4"/>
      <c r="AV59" s="4"/>
      <c r="AW59" s="4"/>
      <c r="AX59" s="4"/>
      <c r="AY59" s="4"/>
      <c r="AZ59" s="4"/>
      <c r="BA59" s="4"/>
      <c r="BB59" s="4"/>
      <c r="BC59" s="4">
        <v>0</v>
      </c>
      <c r="BD59" s="4" t="s">
        <v>254</v>
      </c>
      <c r="BE59" s="4"/>
      <c r="BF59" s="4"/>
      <c r="BG59" s="4" t="s">
        <v>255</v>
      </c>
      <c r="BH59" s="4">
        <v>1950</v>
      </c>
      <c r="BI59" s="4">
        <v>1950</v>
      </c>
      <c r="BJ59" s="4">
        <f t="shared" si="40"/>
        <v>1950</v>
      </c>
      <c r="BK59" s="19">
        <v>4</v>
      </c>
      <c r="BL59" s="19">
        <v>1</v>
      </c>
      <c r="BM59" s="16">
        <v>18</v>
      </c>
      <c r="BN59" s="30">
        <v>2122</v>
      </c>
      <c r="BO59">
        <v>2800</v>
      </c>
      <c r="BP59">
        <v>2800</v>
      </c>
      <c r="BQ59">
        <f t="shared" si="17"/>
        <v>3781.333333333333</v>
      </c>
      <c r="BR59" t="s">
        <v>210</v>
      </c>
    </row>
  </sheetData>
  <mergeCells count="3">
    <mergeCell ref="L2:O2"/>
    <mergeCell ref="J2:K2"/>
    <mergeCell ref="Y1:AB1"/>
  </mergeCells>
  <phoneticPr fontId="2"/>
  <conditionalFormatting sqref="AH4:AH59">
    <cfRule type="cellIs" dxfId="4" priority="4" operator="lessThan">
      <formula>$AK4</formula>
    </cfRule>
  </conditionalFormatting>
  <conditionalFormatting sqref="AK4:AK59">
    <cfRule type="cellIs" dxfId="3" priority="6" operator="greaterThan">
      <formula>$Z4</formula>
    </cfRule>
  </conditionalFormatting>
  <conditionalFormatting sqref="AL4:AL59">
    <cfRule type="cellIs" dxfId="2" priority="3" operator="lessThan">
      <formula>0.2</formula>
    </cfRule>
  </conditionalFormatting>
  <conditionalFormatting sqref="BI4:BI59">
    <cfRule type="cellIs" dxfId="1" priority="1" operator="notEqual">
      <formula>$BH4</formula>
    </cfRule>
  </conditionalFormatting>
  <conditionalFormatting sqref="BP4:BP59">
    <cfRule type="cellIs" dxfId="0" priority="2" operator="notEqual">
      <formula>$BO4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2026-06-05T04:32:45Z</dcterms:modified>
</cp:coreProperties>
</file>