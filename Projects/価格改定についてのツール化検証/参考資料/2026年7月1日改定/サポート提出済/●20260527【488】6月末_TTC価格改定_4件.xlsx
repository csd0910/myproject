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ﾃ_TTC_488\価格改定\20260527_6月末\"/>
    </mc:Choice>
  </mc:AlternateContent>
  <xr:revisionPtr revIDLastSave="0" documentId="13_ncr:1_{1F000A57-139F-4F1D-86DE-B043F7398951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4" i="1" l="1"/>
  <c r="AU4" i="1"/>
  <c r="AT4" i="1"/>
  <c r="BI5" i="1" l="1"/>
  <c r="AG5" i="1" s="1"/>
  <c r="BI6" i="1"/>
  <c r="AG6" i="1" s="1"/>
  <c r="BI7" i="1"/>
  <c r="AG7" i="1" s="1"/>
  <c r="BI4" i="1"/>
  <c r="AG4" i="1" s="1"/>
  <c r="AB5" i="1"/>
  <c r="AR5" i="1" s="1"/>
  <c r="AB6" i="1"/>
  <c r="AB7" i="1"/>
  <c r="Z5" i="1"/>
  <c r="AP5" i="1" s="1"/>
  <c r="Z6" i="1"/>
  <c r="AP6" i="1" s="1"/>
  <c r="Z7" i="1"/>
  <c r="AP7" i="1" s="1"/>
  <c r="D5" i="1"/>
  <c r="D6" i="1"/>
  <c r="D7" i="1"/>
  <c r="D4" i="1"/>
  <c r="AB4" i="1"/>
  <c r="Z4" i="1"/>
  <c r="AP4" i="1" s="1"/>
  <c r="AQ4" i="1"/>
  <c r="AQ7" i="1"/>
  <c r="O7" i="1"/>
  <c r="AQ6" i="1"/>
  <c r="O6" i="1"/>
  <c r="AQ5" i="1"/>
  <c r="O5" i="1"/>
  <c r="O4" i="1"/>
  <c r="AD5" i="1" l="1"/>
  <c r="AE5" i="1" s="1"/>
  <c r="BP5" i="1"/>
  <c r="AK5" i="1"/>
  <c r="AK4" i="1"/>
  <c r="AL7" i="1"/>
  <c r="AR6" i="1"/>
  <c r="AH5" i="1"/>
  <c r="AI5" i="1" s="1"/>
  <c r="AL6" i="1"/>
  <c r="AK7" i="1"/>
  <c r="AL5" i="1"/>
  <c r="AR7" i="1"/>
  <c r="AK6" i="1"/>
  <c r="AN4" i="1"/>
  <c r="AO4" i="1"/>
  <c r="AL4" i="1"/>
  <c r="AR4" i="1"/>
  <c r="AD4" i="1" l="1"/>
  <c r="AE4" i="1" s="1"/>
  <c r="BP4" i="1"/>
  <c r="AD6" i="1"/>
  <c r="AE6" i="1" s="1"/>
  <c r="BP6" i="1"/>
  <c r="AD7" i="1"/>
  <c r="AE7" i="1" s="1"/>
  <c r="BP7" i="1"/>
  <c r="AH7" i="1"/>
  <c r="AI7" i="1" s="1"/>
  <c r="AH6" i="1"/>
  <c r="AI6" i="1" s="1"/>
  <c r="AH4" i="1"/>
  <c r="AI4" i="1" s="1"/>
</calcChain>
</file>

<file path=xl/sharedStrings.xml><?xml version="1.0" encoding="utf-8"?>
<sst xmlns="http://schemas.openxmlformats.org/spreadsheetml/2006/main" count="104" uniqueCount="86">
  <si>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</si>
  <si>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</si>
  <si>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</si>
  <si>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</si>
  <si>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</si>
  <si>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</si>
  <si>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</si>
  <si>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</si>
  <si>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</si>
  <si>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</si>
  <si>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</si>
  <si>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</si>
  <si>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</si>
  <si>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</si>
  <si>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</si>
  <si>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</si>
  <si>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</si>
  <si>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</si>
  <si>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</si>
  <si>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</si>
  <si>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</si>
  <si>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</si>
  <si>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</si>
  <si>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</si>
  <si>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</si>
  <si>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</si>
  <si>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</si>
  <si>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</si>
  <si>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</si>
  <si>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</si>
  <si>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</si>
  <si>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</si>
  <si>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</si>
  <si>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</si>
  <si>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</si>
  <si>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</si>
  <si>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</si>
  <si>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</si>
  <si>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</si>
  <si>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</si>
  <si>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</si>
  <si>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</si>
  <si>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</si>
  <si>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</si>
  <si>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</si>
  <si>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</si>
  <si>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</si>
  <si>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</si>
  <si>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</si>
  <si>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</si>
  <si>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</si>
  <si>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</si>
  <si>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</si>
  <si>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</si>
  <si>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</si>
  <si>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</si>
  <si>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</si>
  <si>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</si>
  <si>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</si>
  <si>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</si>
  <si>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</si>
  <si>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</si>
  <si>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</si>
  <si>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</si>
  <si>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●ﾀｹﾀﾞ/B4-1[4枚入]/ｽﾁﾚﾝﾍﾟｰﾊﾟｰ(両面紙なし)B4 1mm</t>
  </si>
  <si>
    <t>●ﾀｹﾀﾞ/B4-2[4枚入]/ｽﾁﾚﾝﾍﾟｰﾊﾟｰ(両面紙なし)B4 2mm</t>
  </si>
  <si>
    <t>●ﾀｹﾀﾞ/B4-3[3枚入]/ｽﾁﾚﾝﾍﾟｰﾊﾟｰ(両面紙なし)B4 3mm</t>
  </si>
  <si>
    <t>●ﾀｹﾀﾞ/B4-5[3枚入]/ｽﾁﾚﾝﾍﾟｰﾊﾟｰ(両面紙なし)B4 5mm</t>
  </si>
  <si>
    <t>-</t>
    <phoneticPr fontId="2"/>
  </si>
  <si>
    <t>TC スチレンペーパー B4 1mm厚 39-0261 1パック(4枚)</t>
  </si>
  <si>
    <t>1パック（4枚）</t>
  </si>
  <si>
    <t>HH65677</t>
  </si>
  <si>
    <t>HU92723</t>
  </si>
  <si>
    <t>TTC スチレンペーパー B4 2mm厚 39-0262 1個</t>
  </si>
  <si>
    <t>TTC スチレンペーパー B4 3mm厚 39-0263 1パック(3枚)</t>
  </si>
  <si>
    <t>1パック（3枚）</t>
  </si>
  <si>
    <t>XE57385</t>
  </si>
  <si>
    <t>1個</t>
  </si>
  <si>
    <t>TC スチレンペーパー B4 5mm厚 39-0265 1個(3枚)</t>
  </si>
  <si>
    <t>HX36621</t>
  </si>
  <si>
    <t>1個（3枚）</t>
  </si>
  <si>
    <t>5月
たの</t>
    <rPh sb="1" eb="2">
      <t>ガツ</t>
    </rPh>
    <phoneticPr fontId="2"/>
  </si>
  <si>
    <t>5月
カウ</t>
    <rPh sb="1" eb="2">
      <t>ガツ</t>
    </rPh>
    <phoneticPr fontId="2"/>
  </si>
  <si>
    <t>カウ
ｽﾗｲﾄﾞ</t>
    <phoneticPr fontId="2"/>
  </si>
  <si>
    <t>6月売価</t>
    <rPh sb="1" eb="2">
      <t>ガツ</t>
    </rPh>
    <rPh sb="2" eb="4">
      <t>バイカ</t>
    </rPh>
    <phoneticPr fontId="2"/>
  </si>
  <si>
    <t>6
カウ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</si>
</sst>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0" xfId="0" applyNumberFormat="1" applyBorder="1">
      <alignment vertical="center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1513416</xdr:colOff>
      <xdr:row>2</xdr:row>
      <xdr:rowOff>232834</xdr:rowOff>
    </xdr:from>
    <xdr:to>
      <xdr:col>5</xdr:col>
      <xdr:colOff>2857500</xdr:colOff>
      <xdr:row>2</xdr:row>
      <xdr:rowOff>730250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26AC895-E285-14AF-8A81-828679AC1665}"/>
            </a:ext>
          </a:extLst>
        </xdr:cNvPr>
        <xdr:cNvSpPr txBox="1"/>
      </xdr:nvSpPr>
      <xdr:spPr>
        <a:xfrm>
          <a:off x="4360333" y="719667"/>
          <a:ext cx="1344084" cy="497416"/>
        </a:xfrm>
        <a:prstGeom prst="rect">
          <a:avLst/>
        </a:prstGeom>
        <a:solidFill>
          <a:srgbClr val="FFC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カタチラ</a:t>
          </a:r>
          <a:r>
            <a:rPr kumimoji="1" lang="en-US" altLang="ja-JP" sz="1400"/>
            <a:t>3</a:t>
          </a:r>
          <a:r>
            <a:rPr kumimoji="1" lang="ja-JP" altLang="en-US" sz="1400"/>
            <a:t>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7"/>
  <sheetViews>
    <sheetView tabSelected="1" zoomScale="90" zoomScaleNormal="90" workbookViewId="0">
      <pane xSplit="7" ySplit="5" topLeftCell="AP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29" customWidth="1"/>
    <col min="33" max="33" width="7.625" customWidth="1"/>
    <col min="34" max="34" width="7.625" style="29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8" width="7.625" customWidth="1"/>
  </cols>
  <sheetData>
    <row r="1" spans="1:69" x14ac:dyDescent="0.4">
      <c r="C1" s="28" t="s">
        <v>49</v>
      </c>
      <c r="Y1" s="43" t="s">
        <v>46</v>
      </c>
      <c r="Z1" s="44"/>
      <c r="AA1" s="44"/>
      <c r="AB1" s="45"/>
    </row>
    <row r="2" spans="1:69" x14ac:dyDescent="0.4">
      <c r="C2" s="8" t="s">
        <v>33</v>
      </c>
      <c r="D2" s="9" t="s">
        <v>34</v>
      </c>
      <c r="E2" s="9" t="s">
        <v>35</v>
      </c>
      <c r="F2" s="10"/>
      <c r="G2" s="10"/>
      <c r="H2" s="35"/>
      <c r="I2" s="35"/>
      <c r="J2" s="40" t="s">
        <v>36</v>
      </c>
      <c r="K2" s="42"/>
      <c r="L2" s="40" t="s">
        <v>2</v>
      </c>
      <c r="M2" s="41"/>
      <c r="N2" s="41"/>
      <c r="O2" s="42"/>
      <c r="P2" s="11"/>
      <c r="Q2" s="34"/>
      <c r="R2" s="34"/>
      <c r="S2" s="34"/>
      <c r="T2" s="34"/>
      <c r="U2" s="34"/>
      <c r="V2" s="34"/>
      <c r="W2" s="34"/>
      <c r="X2" s="34"/>
      <c r="Y2" s="22"/>
      <c r="Z2" s="23" t="s">
        <v>39</v>
      </c>
      <c r="AA2" s="23"/>
      <c r="AB2" s="24" t="s">
        <v>39</v>
      </c>
      <c r="AC2" s="10"/>
      <c r="AD2" s="9" t="s">
        <v>44</v>
      </c>
      <c r="AE2" s="11"/>
      <c r="AF2" s="30"/>
      <c r="AG2" s="11"/>
      <c r="AH2" s="30"/>
      <c r="AI2" s="11"/>
      <c r="AJ2" s="21" t="s">
        <v>47</v>
      </c>
      <c r="AK2" s="11"/>
      <c r="AL2" s="11"/>
      <c r="AM2" s="26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J2">
        <v>14</v>
      </c>
      <c r="BK2">
        <v>28</v>
      </c>
    </row>
    <row r="3" spans="1:69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19" t="s">
        <v>17</v>
      </c>
      <c r="AE3" s="2" t="s">
        <v>16</v>
      </c>
      <c r="AF3" s="31" t="s">
        <v>50</v>
      </c>
      <c r="AG3" s="12" t="s">
        <v>45</v>
      </c>
      <c r="AH3" s="36" t="s">
        <v>61</v>
      </c>
      <c r="AI3" s="2" t="s">
        <v>16</v>
      </c>
      <c r="AJ3" s="13" t="s">
        <v>37</v>
      </c>
      <c r="AK3" s="2" t="s">
        <v>16</v>
      </c>
      <c r="AL3" s="2" t="s">
        <v>38</v>
      </c>
      <c r="AM3" s="25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12" t="s">
        <v>62</v>
      </c>
      <c r="BH3" s="2" t="s">
        <v>84</v>
      </c>
      <c r="BI3" s="2" t="s">
        <v>15</v>
      </c>
      <c r="BJ3" s="17" t="s">
        <v>51</v>
      </c>
      <c r="BK3" s="17" t="s">
        <v>52</v>
      </c>
      <c r="BL3" s="15" t="s">
        <v>58</v>
      </c>
      <c r="BM3" s="38" t="s">
        <v>81</v>
      </c>
      <c r="BN3" s="39" t="s">
        <v>82</v>
      </c>
      <c r="BO3" s="39" t="s">
        <v>85</v>
      </c>
      <c r="BP3" s="39" t="s">
        <v>83</v>
      </c>
      <c r="BQ3" s="33" t="s">
        <v>56</v>
      </c>
    </row>
    <row r="4" spans="1:69" x14ac:dyDescent="0.4">
      <c r="A4" s="3">
        <v>1</v>
      </c>
      <c r="B4" s="3">
        <v>1</v>
      </c>
      <c r="C4" s="32">
        <v>409832</v>
      </c>
      <c r="D4" s="4" t="str">
        <f>TEXT(C4,"000000")</f>
        <v>409832</v>
      </c>
      <c r="E4" s="4">
        <v>409832</v>
      </c>
      <c r="F4" s="4" t="s">
        <v>64</v>
      </c>
      <c r="G4" s="5">
        <v>4986441392613</v>
      </c>
      <c r="H4" s="5"/>
      <c r="I4" s="5"/>
      <c r="J4" s="5">
        <v>1</v>
      </c>
      <c r="K4" s="5">
        <v>1</v>
      </c>
      <c r="L4" s="4">
        <v>650</v>
      </c>
      <c r="M4" s="4">
        <v>586</v>
      </c>
      <c r="N4" s="4">
        <v>377</v>
      </c>
      <c r="O4" s="6">
        <f t="shared" ref="O4:O7" si="0">1-N4/M4</f>
        <v>0.35665529010238906</v>
      </c>
      <c r="P4" s="4" t="s">
        <v>68</v>
      </c>
      <c r="Q4" s="4"/>
      <c r="R4" s="4"/>
      <c r="S4" s="4"/>
      <c r="T4" s="4"/>
      <c r="U4" s="4"/>
      <c r="V4" s="4"/>
      <c r="W4" s="4"/>
      <c r="X4" s="4"/>
      <c r="Y4" s="4">
        <v>750</v>
      </c>
      <c r="Z4" s="4">
        <f>IF(AC4="",Y4,Y4*AC4)</f>
        <v>750</v>
      </c>
      <c r="AA4" s="4">
        <v>435</v>
      </c>
      <c r="AB4" s="4">
        <f>IF(AC4="",AA4,AA4*AC4)</f>
        <v>435</v>
      </c>
      <c r="AC4" s="4"/>
      <c r="AD4" s="20">
        <f t="shared" ref="AD4:AD7" si="1">ROUND(M4*AR4,0)</f>
        <v>676</v>
      </c>
      <c r="AE4" s="6">
        <f t="shared" ref="AE4" si="2">1-AB4/AD4</f>
        <v>0.35650887573964496</v>
      </c>
      <c r="AF4" s="32">
        <v>0</v>
      </c>
      <c r="AG4" s="4">
        <f>BI4</f>
        <v>650</v>
      </c>
      <c r="AH4" s="32">
        <f t="shared" ref="AH4:AH7" si="3">AG4*AR4</f>
        <v>749.99999999999989</v>
      </c>
      <c r="AI4" s="6">
        <f t="shared" ref="AI4:AI7" si="4">1-AB4/AH4</f>
        <v>0.41999999999999993</v>
      </c>
      <c r="AJ4" s="7">
        <v>680</v>
      </c>
      <c r="AK4" s="6">
        <f t="shared" ref="AK4:AK7" si="5">1-AB4/AJ4</f>
        <v>0.36029411764705888</v>
      </c>
      <c r="AL4" s="4">
        <f t="shared" ref="AL4:AL7" si="6">AJ4-AB4</f>
        <v>245</v>
      </c>
      <c r="AM4" s="27"/>
      <c r="AN4" s="6" t="e">
        <f>1-AB4/AM4</f>
        <v>#DIV/0!</v>
      </c>
      <c r="AO4" s="4">
        <f>AM4-AB4</f>
        <v>-435</v>
      </c>
      <c r="AP4" s="6">
        <f t="shared" ref="AP4:AP7" si="7">Z4/L4</f>
        <v>1.1538461538461537</v>
      </c>
      <c r="AQ4" s="6">
        <f t="shared" ref="AQ4:AQ7" si="8">AJ4/M4</f>
        <v>1.1604095563139931</v>
      </c>
      <c r="AR4" s="6">
        <f t="shared" ref="AR4:AR7" si="9">AB4/N4</f>
        <v>1.1538461538461537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71</v>
      </c>
      <c r="BD4" s="4"/>
      <c r="BE4" s="4"/>
      <c r="BF4" s="4" t="s">
        <v>70</v>
      </c>
      <c r="BG4" s="4">
        <v>650</v>
      </c>
      <c r="BH4" s="4">
        <v>650</v>
      </c>
      <c r="BI4" s="4">
        <f t="shared" ref="BI4:BI5" si="10">IF(BD4="",BH4,BD4/BE4*BH4)</f>
        <v>650</v>
      </c>
      <c r="BJ4" s="18">
        <v>8</v>
      </c>
      <c r="BK4" s="18">
        <v>8</v>
      </c>
      <c r="BL4" s="16">
        <v>6</v>
      </c>
      <c r="BM4" t="s">
        <v>68</v>
      </c>
      <c r="BN4">
        <v>1860</v>
      </c>
      <c r="BO4">
        <v>1860</v>
      </c>
      <c r="BP4">
        <f>IFERROR(BO4*AR4,"-")</f>
        <v>2146.1538461538462</v>
      </c>
      <c r="BQ4" t="s">
        <v>69</v>
      </c>
    </row>
    <row r="5" spans="1:69" x14ac:dyDescent="0.4">
      <c r="A5" s="3">
        <v>2</v>
      </c>
      <c r="B5" s="3">
        <v>2</v>
      </c>
      <c r="C5" s="32">
        <v>409833</v>
      </c>
      <c r="D5" s="4" t="str">
        <f t="shared" ref="D5:D7" si="11">TEXT(C5,"000000")</f>
        <v>409833</v>
      </c>
      <c r="E5" s="4">
        <v>409833</v>
      </c>
      <c r="F5" s="4" t="s">
        <v>65</v>
      </c>
      <c r="G5" s="5">
        <v>4986441392620</v>
      </c>
      <c r="H5" s="5"/>
      <c r="I5" s="5"/>
      <c r="J5" s="5">
        <v>1</v>
      </c>
      <c r="K5" s="5">
        <v>1</v>
      </c>
      <c r="L5" s="4">
        <v>650</v>
      </c>
      <c r="M5" s="4">
        <v>586</v>
      </c>
      <c r="N5" s="4">
        <v>377</v>
      </c>
      <c r="O5" s="6">
        <f t="shared" si="0"/>
        <v>0.35665529010238906</v>
      </c>
      <c r="P5" s="4" t="s">
        <v>68</v>
      </c>
      <c r="Q5" s="4"/>
      <c r="R5" s="4"/>
      <c r="S5" s="4"/>
      <c r="T5" s="4"/>
      <c r="U5" s="4"/>
      <c r="V5" s="4"/>
      <c r="W5" s="4"/>
      <c r="X5" s="4"/>
      <c r="Y5" s="4">
        <v>750</v>
      </c>
      <c r="Z5" s="4">
        <f t="shared" ref="Z5:Z7" si="12">IF(AC5="",Y5,Y5*AC5)</f>
        <v>750</v>
      </c>
      <c r="AA5" s="4">
        <v>435</v>
      </c>
      <c r="AB5" s="4">
        <f t="shared" ref="AB5:AB7" si="13">IF(AC5="",AA5,AA5*AC5)</f>
        <v>435</v>
      </c>
      <c r="AC5" s="4"/>
      <c r="AD5" s="20">
        <f t="shared" si="1"/>
        <v>676</v>
      </c>
      <c r="AE5" s="6">
        <f t="shared" ref="AE5" si="14">1-AB5/AD5</f>
        <v>0.35650887573964496</v>
      </c>
      <c r="AF5" s="32">
        <v>0</v>
      </c>
      <c r="AG5" s="4">
        <f t="shared" ref="AG5:AG7" si="15">BI5</f>
        <v>650</v>
      </c>
      <c r="AH5" s="32">
        <f t="shared" si="3"/>
        <v>749.99999999999989</v>
      </c>
      <c r="AI5" s="6">
        <f t="shared" si="4"/>
        <v>0.41999999999999993</v>
      </c>
      <c r="AJ5" s="7">
        <v>680</v>
      </c>
      <c r="AK5" s="6">
        <f t="shared" si="5"/>
        <v>0.36029411764705888</v>
      </c>
      <c r="AL5" s="4">
        <f t="shared" si="6"/>
        <v>245</v>
      </c>
      <c r="AM5" s="27"/>
      <c r="AN5" s="6"/>
      <c r="AO5" s="6"/>
      <c r="AP5" s="6">
        <f t="shared" si="7"/>
        <v>1.1538461538461537</v>
      </c>
      <c r="AQ5" s="6">
        <f t="shared" si="8"/>
        <v>1.1604095563139931</v>
      </c>
      <c r="AR5" s="6">
        <f t="shared" si="9"/>
        <v>1.1538461538461537</v>
      </c>
      <c r="AS5" s="4"/>
      <c r="AT5" s="4"/>
      <c r="AU5" s="4"/>
      <c r="AV5" s="4"/>
      <c r="AW5" s="4"/>
      <c r="AX5" s="4"/>
      <c r="AY5" s="4"/>
      <c r="AZ5" s="4"/>
      <c r="BA5" s="4"/>
      <c r="BB5" s="4">
        <v>0</v>
      </c>
      <c r="BC5" s="4" t="s">
        <v>72</v>
      </c>
      <c r="BD5" s="4"/>
      <c r="BE5" s="4"/>
      <c r="BF5" s="4" t="s">
        <v>77</v>
      </c>
      <c r="BG5" s="4">
        <v>650</v>
      </c>
      <c r="BH5" s="4">
        <v>650</v>
      </c>
      <c r="BI5" s="4">
        <f t="shared" si="10"/>
        <v>650</v>
      </c>
      <c r="BJ5" s="18">
        <v>8</v>
      </c>
      <c r="BK5" s="18">
        <v>8</v>
      </c>
      <c r="BL5" s="16">
        <v>6</v>
      </c>
      <c r="BM5" t="s">
        <v>68</v>
      </c>
      <c r="BN5">
        <v>1950</v>
      </c>
      <c r="BO5">
        <v>1950</v>
      </c>
      <c r="BP5">
        <f t="shared" ref="BP5:BP7" si="16">IFERROR(BO5*AR5,"-")</f>
        <v>2250</v>
      </c>
      <c r="BQ5" t="s">
        <v>73</v>
      </c>
    </row>
    <row r="6" spans="1:69" x14ac:dyDescent="0.4">
      <c r="A6" s="3">
        <v>3</v>
      </c>
      <c r="B6" s="3">
        <v>3</v>
      </c>
      <c r="C6" s="37">
        <v>409834</v>
      </c>
      <c r="D6" s="4" t="str">
        <f t="shared" si="11"/>
        <v>409834</v>
      </c>
      <c r="E6" s="4">
        <v>409834</v>
      </c>
      <c r="F6" s="4" t="s">
        <v>66</v>
      </c>
      <c r="G6" s="5">
        <v>4986441392637</v>
      </c>
      <c r="H6" s="5"/>
      <c r="I6" s="5"/>
      <c r="J6" s="5">
        <v>1</v>
      </c>
      <c r="K6" s="5">
        <v>1</v>
      </c>
      <c r="L6" s="4">
        <v>650</v>
      </c>
      <c r="M6" s="4">
        <v>586</v>
      </c>
      <c r="N6" s="4">
        <v>377</v>
      </c>
      <c r="O6" s="6">
        <f t="shared" si="0"/>
        <v>0.35665529010238906</v>
      </c>
      <c r="P6" s="4" t="s">
        <v>68</v>
      </c>
      <c r="Q6" s="4"/>
      <c r="R6" s="4"/>
      <c r="S6" s="4"/>
      <c r="T6" s="4"/>
      <c r="U6" s="4"/>
      <c r="V6" s="4"/>
      <c r="W6" s="4"/>
      <c r="X6" s="4"/>
      <c r="Y6" s="4">
        <v>750</v>
      </c>
      <c r="Z6" s="4">
        <f t="shared" si="12"/>
        <v>750</v>
      </c>
      <c r="AA6" s="4">
        <v>435</v>
      </c>
      <c r="AB6" s="4">
        <f t="shared" si="13"/>
        <v>435</v>
      </c>
      <c r="AC6" s="4"/>
      <c r="AD6" s="20">
        <f t="shared" si="1"/>
        <v>676</v>
      </c>
      <c r="AE6" s="6">
        <f t="shared" ref="AE6:AE7" si="17">1-AB6/AD6</f>
        <v>0.35650887573964496</v>
      </c>
      <c r="AF6" s="32">
        <v>0</v>
      </c>
      <c r="AG6" s="4">
        <f t="shared" si="15"/>
        <v>637</v>
      </c>
      <c r="AH6" s="32">
        <f t="shared" si="3"/>
        <v>734.99999999999989</v>
      </c>
      <c r="AI6" s="6">
        <f t="shared" si="4"/>
        <v>0.40816326530612235</v>
      </c>
      <c r="AJ6" s="7">
        <v>680</v>
      </c>
      <c r="AK6" s="6">
        <f t="shared" si="5"/>
        <v>0.36029411764705888</v>
      </c>
      <c r="AL6" s="4">
        <f t="shared" si="6"/>
        <v>245</v>
      </c>
      <c r="AM6" s="27"/>
      <c r="AN6" s="6"/>
      <c r="AO6" s="6"/>
      <c r="AP6" s="6">
        <f t="shared" si="7"/>
        <v>1.1538461538461537</v>
      </c>
      <c r="AQ6" s="6">
        <f t="shared" si="8"/>
        <v>1.1604095563139931</v>
      </c>
      <c r="AR6" s="6">
        <f t="shared" si="9"/>
        <v>1.1538461538461537</v>
      </c>
      <c r="AS6" s="4"/>
      <c r="AT6" s="4"/>
      <c r="AU6" s="4"/>
      <c r="AV6" s="4"/>
      <c r="AW6" s="4"/>
      <c r="AX6" s="4"/>
      <c r="AY6" s="4"/>
      <c r="AZ6" s="4"/>
      <c r="BA6" s="4"/>
      <c r="BB6" s="4">
        <v>0</v>
      </c>
      <c r="BC6" s="4" t="s">
        <v>76</v>
      </c>
      <c r="BD6" s="4"/>
      <c r="BE6" s="4"/>
      <c r="BF6" s="4" t="s">
        <v>75</v>
      </c>
      <c r="BG6" s="4">
        <v>637</v>
      </c>
      <c r="BH6" s="4">
        <v>637</v>
      </c>
      <c r="BI6" s="4">
        <f t="shared" ref="BI6:BI7" si="18">IF(BD6="",BH6,BD6/BE6*BH6)</f>
        <v>637</v>
      </c>
      <c r="BJ6" s="18">
        <v>8</v>
      </c>
      <c r="BK6" s="18">
        <v>8</v>
      </c>
      <c r="BL6" s="16">
        <v>6</v>
      </c>
      <c r="BM6" t="s">
        <v>68</v>
      </c>
      <c r="BN6">
        <v>1860</v>
      </c>
      <c r="BO6">
        <v>1860</v>
      </c>
      <c r="BP6">
        <f t="shared" si="16"/>
        <v>2146.1538461538462</v>
      </c>
      <c r="BQ6" t="s">
        <v>74</v>
      </c>
    </row>
    <row r="7" spans="1:69" x14ac:dyDescent="0.4">
      <c r="A7" s="3">
        <v>4</v>
      </c>
      <c r="B7" s="3">
        <v>4</v>
      </c>
      <c r="C7" s="37">
        <v>409835</v>
      </c>
      <c r="D7" s="4" t="str">
        <f t="shared" si="11"/>
        <v>409835</v>
      </c>
      <c r="E7" s="4">
        <v>409835</v>
      </c>
      <c r="F7" s="4" t="s">
        <v>67</v>
      </c>
      <c r="G7" s="5">
        <v>4986441392651</v>
      </c>
      <c r="H7" s="5"/>
      <c r="I7" s="5"/>
      <c r="J7" s="5">
        <v>1</v>
      </c>
      <c r="K7" s="5">
        <v>1</v>
      </c>
      <c r="L7" s="4">
        <v>650</v>
      </c>
      <c r="M7" s="4">
        <v>586</v>
      </c>
      <c r="N7" s="4">
        <v>377</v>
      </c>
      <c r="O7" s="6">
        <f t="shared" si="0"/>
        <v>0.35665529010238906</v>
      </c>
      <c r="P7" s="4" t="s">
        <v>68</v>
      </c>
      <c r="Q7" s="4"/>
      <c r="R7" s="4"/>
      <c r="S7" s="4"/>
      <c r="T7" s="4"/>
      <c r="U7" s="4"/>
      <c r="V7" s="4"/>
      <c r="W7" s="4"/>
      <c r="X7" s="4"/>
      <c r="Y7" s="4">
        <v>750</v>
      </c>
      <c r="Z7" s="4">
        <f t="shared" si="12"/>
        <v>750</v>
      </c>
      <c r="AA7" s="4">
        <v>435</v>
      </c>
      <c r="AB7" s="4">
        <f t="shared" si="13"/>
        <v>435</v>
      </c>
      <c r="AC7" s="4"/>
      <c r="AD7" s="20">
        <f t="shared" si="1"/>
        <v>676</v>
      </c>
      <c r="AE7" s="6">
        <f t="shared" si="17"/>
        <v>0.35650887573964496</v>
      </c>
      <c r="AF7" s="32">
        <v>0</v>
      </c>
      <c r="AG7" s="4">
        <f t="shared" si="15"/>
        <v>650</v>
      </c>
      <c r="AH7" s="32">
        <f t="shared" si="3"/>
        <v>749.99999999999989</v>
      </c>
      <c r="AI7" s="6">
        <f t="shared" si="4"/>
        <v>0.41999999999999993</v>
      </c>
      <c r="AJ7" s="7">
        <v>680</v>
      </c>
      <c r="AK7" s="6">
        <f t="shared" si="5"/>
        <v>0.36029411764705888</v>
      </c>
      <c r="AL7" s="4">
        <f t="shared" si="6"/>
        <v>245</v>
      </c>
      <c r="AM7" s="27"/>
      <c r="AN7" s="6"/>
      <c r="AO7" s="6"/>
      <c r="AP7" s="6">
        <f t="shared" si="7"/>
        <v>1.1538461538461537</v>
      </c>
      <c r="AQ7" s="6">
        <f t="shared" si="8"/>
        <v>1.1604095563139931</v>
      </c>
      <c r="AR7" s="6">
        <f t="shared" si="9"/>
        <v>1.1538461538461537</v>
      </c>
      <c r="AS7" s="4"/>
      <c r="AT7" s="4"/>
      <c r="AU7" s="4"/>
      <c r="AV7" s="4"/>
      <c r="AW7" s="4"/>
      <c r="AX7" s="4"/>
      <c r="AY7" s="4"/>
      <c r="AZ7" s="4"/>
      <c r="BA7" s="4"/>
      <c r="BB7" s="4">
        <v>0</v>
      </c>
      <c r="BC7" s="4" t="s">
        <v>79</v>
      </c>
      <c r="BD7" s="4"/>
      <c r="BE7" s="4"/>
      <c r="BF7" s="4" t="s">
        <v>80</v>
      </c>
      <c r="BG7" s="4">
        <v>650</v>
      </c>
      <c r="BH7" s="4">
        <v>650</v>
      </c>
      <c r="BI7" s="4">
        <f t="shared" si="18"/>
        <v>650</v>
      </c>
      <c r="BJ7" s="18">
        <v>8</v>
      </c>
      <c r="BK7" s="18">
        <v>8</v>
      </c>
      <c r="BL7" s="16">
        <v>6</v>
      </c>
      <c r="BM7" t="s">
        <v>68</v>
      </c>
      <c r="BN7">
        <v>1950</v>
      </c>
      <c r="BO7">
        <v>1950</v>
      </c>
      <c r="BP7">
        <f t="shared" si="16"/>
        <v>2250</v>
      </c>
      <c r="BQ7" t="s">
        <v>78</v>
      </c>
    </row>
  </sheetData>
  <autoFilter ref="A3:BQ3" xr:uid="{7A1660CF-9003-4B2D-B659-7F339ED5B476}"/>
  <mergeCells count="3">
    <mergeCell ref="L2:O2"/>
    <mergeCell ref="J2:K2"/>
    <mergeCell ref="Y1:AB1"/>
  </mergeCells>
  <phoneticPr fontId="2"/>
  <conditionalFormatting sqref="AJ4:AJ7">
    <cfRule type="cellIs" dxfId="2" priority="4" operator="greaterThan">
      <formula>$Z4</formula>
    </cfRule>
  </conditionalFormatting>
  <conditionalFormatting sqref="AH4:AH7">
    <cfRule type="cellIs" dxfId="1" priority="2" operator="lessThan">
      <formula>$AJ4</formula>
    </cfRule>
  </conditionalFormatting>
  <conditionalFormatting sqref="AK4:AK7">
    <cfRule type="cellIs" dxfId="0" priority="1" operator="lessThan">
      <formula>0.2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2026-06-02T02:49:40Z</dcterms:modified>
</cp:coreProperties>
</file>