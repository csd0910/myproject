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7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フォーレスト007\保存用\社内資料\提出資料\20260528_PBクリアファイル_クリアブック値上\"/>
    </mc:Choice>
  </mc:AlternateContent>
  <xr:revisionPtr revIDLastSave="0" documentId="13_ncr:1_{A6F82D65-1437-4816-BCA9-C5720B89A3B1}" xr6:coauthVersionLast="47" xr6:coauthVersionMax="47" xr10:uidLastSave="{00000000-0000-0000-0000-000000000000}"/>
  <bookViews>
    <workbookView xWindow="-120" yWindow="-120" windowWidth="29040" windowHeight="15720" xr2:uid="{CC14108B-38B1-4AF3-A2A8-D32DF8046A97}"/>
  </bookViews>
  <sheets>
    <sheet name="Sheet1" sheetId="1" r:id="rId1"/>
  </sheets>
  <definedNames>
    <definedName name="_xlnm._FilterDatabase" localSheetId="0" hidden="1">Sheet1!$A$3:$BN$36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G6" i="1" l="1"/>
  <c r="AG7" i="1"/>
  <c r="AG8" i="1"/>
  <c r="AG9" i="1"/>
  <c r="AL5" i="1"/>
  <c r="AM5" i="1"/>
  <c r="AG5" i="1" s="1"/>
  <c r="AL6" i="1"/>
  <c r="AM6" i="1"/>
  <c r="AL7" i="1"/>
  <c r="AM7" i="1"/>
  <c r="AL8" i="1"/>
  <c r="AM8" i="1"/>
  <c r="AL9" i="1"/>
  <c r="AM9" i="1"/>
  <c r="AL10" i="1"/>
  <c r="AM10" i="1"/>
  <c r="AL11" i="1"/>
  <c r="AM11" i="1"/>
  <c r="AL12" i="1"/>
  <c r="AM12" i="1"/>
  <c r="AL13" i="1"/>
  <c r="AM13" i="1"/>
  <c r="AL14" i="1"/>
  <c r="AM14" i="1"/>
  <c r="AL15" i="1"/>
  <c r="AM15" i="1"/>
  <c r="AL16" i="1"/>
  <c r="AM16" i="1"/>
  <c r="AL17" i="1"/>
  <c r="AM17" i="1"/>
  <c r="AL18" i="1"/>
  <c r="AM18" i="1"/>
  <c r="AL19" i="1"/>
  <c r="AM19" i="1"/>
  <c r="AL20" i="1"/>
  <c r="AM20" i="1"/>
  <c r="AL21" i="1"/>
  <c r="AM21" i="1"/>
  <c r="AL22" i="1"/>
  <c r="AM22" i="1"/>
  <c r="AL23" i="1"/>
  <c r="AM23" i="1"/>
  <c r="AL24" i="1"/>
  <c r="AM24" i="1"/>
  <c r="AL25" i="1"/>
  <c r="AM25" i="1"/>
  <c r="AL26" i="1"/>
  <c r="AM26" i="1"/>
  <c r="AL27" i="1"/>
  <c r="AM27" i="1"/>
  <c r="AL28" i="1"/>
  <c r="AM28" i="1"/>
  <c r="AL29" i="1"/>
  <c r="AM29" i="1"/>
  <c r="AL30" i="1"/>
  <c r="AM30" i="1"/>
  <c r="AL31" i="1"/>
  <c r="AM31" i="1"/>
  <c r="AL32" i="1"/>
  <c r="AM32" i="1"/>
  <c r="AL33" i="1"/>
  <c r="AM33" i="1"/>
  <c r="AL34" i="1"/>
  <c r="AM34" i="1"/>
  <c r="AL35" i="1"/>
  <c r="AM35" i="1"/>
  <c r="AL36" i="1"/>
  <c r="AM36" i="1"/>
  <c r="AX9" i="1"/>
  <c r="AY7" i="1"/>
  <c r="AX7" i="1"/>
  <c r="AX6" i="1"/>
  <c r="AY5" i="1"/>
  <c r="AX5" i="1"/>
  <c r="AR5" i="1"/>
  <c r="AS5" i="1"/>
  <c r="AU5" i="1"/>
  <c r="AV5" i="1"/>
  <c r="AT6" i="1"/>
  <c r="AY6" i="1" s="1"/>
  <c r="AU6" i="1"/>
  <c r="AV6" i="1"/>
  <c r="AR7" i="1"/>
  <c r="AS7" i="1"/>
  <c r="AU7" i="1"/>
  <c r="AV7" i="1"/>
  <c r="AQ8" i="1"/>
  <c r="AR8" i="1"/>
  <c r="AS8" i="1"/>
  <c r="AT8" i="1"/>
  <c r="AU8" i="1"/>
  <c r="AV8" i="1"/>
  <c r="AR9" i="1"/>
  <c r="AS9" i="1"/>
  <c r="AY9" i="1"/>
  <c r="AU9" i="1"/>
  <c r="AV9" i="1"/>
  <c r="AQ10" i="1"/>
  <c r="AR10" i="1"/>
  <c r="AS10" i="1"/>
  <c r="AT10" i="1"/>
  <c r="AU10" i="1"/>
  <c r="AV10" i="1"/>
  <c r="AQ11" i="1"/>
  <c r="AR11" i="1"/>
  <c r="AS11" i="1"/>
  <c r="AT11" i="1"/>
  <c r="AU11" i="1"/>
  <c r="AV11" i="1"/>
  <c r="AQ12" i="1"/>
  <c r="AR12" i="1"/>
  <c r="AS12" i="1"/>
  <c r="AT12" i="1"/>
  <c r="AU12" i="1"/>
  <c r="AV12" i="1"/>
  <c r="AQ13" i="1"/>
  <c r="AR13" i="1"/>
  <c r="AS13" i="1"/>
  <c r="AT13" i="1"/>
  <c r="AU13" i="1"/>
  <c r="AV13" i="1"/>
  <c r="AQ14" i="1"/>
  <c r="AR14" i="1"/>
  <c r="AS14" i="1"/>
  <c r="AT14" i="1"/>
  <c r="AU14" i="1"/>
  <c r="AV14" i="1"/>
  <c r="AQ15" i="1"/>
  <c r="AR15" i="1"/>
  <c r="AS15" i="1"/>
  <c r="AT15" i="1"/>
  <c r="AU15" i="1"/>
  <c r="AV15" i="1"/>
  <c r="AQ16" i="1"/>
  <c r="AR16" i="1"/>
  <c r="AS16" i="1"/>
  <c r="AT16" i="1"/>
  <c r="AU16" i="1"/>
  <c r="AV16" i="1"/>
  <c r="AQ17" i="1"/>
  <c r="AR17" i="1"/>
  <c r="AS17" i="1"/>
  <c r="AT17" i="1"/>
  <c r="AU17" i="1"/>
  <c r="AV17" i="1"/>
  <c r="AQ18" i="1"/>
  <c r="AR18" i="1"/>
  <c r="AS18" i="1"/>
  <c r="AT18" i="1"/>
  <c r="AU18" i="1"/>
  <c r="AV18" i="1"/>
  <c r="AQ19" i="1"/>
  <c r="AR19" i="1"/>
  <c r="AS19" i="1"/>
  <c r="AT19" i="1"/>
  <c r="AU19" i="1"/>
  <c r="AV19" i="1"/>
  <c r="AQ20" i="1"/>
  <c r="AR20" i="1"/>
  <c r="AS20" i="1"/>
  <c r="AT20" i="1"/>
  <c r="AU20" i="1"/>
  <c r="AV20" i="1"/>
  <c r="AQ21" i="1"/>
  <c r="AR21" i="1"/>
  <c r="AS21" i="1"/>
  <c r="AT21" i="1"/>
  <c r="AU21" i="1"/>
  <c r="AV21" i="1"/>
  <c r="AQ22" i="1"/>
  <c r="AR22" i="1"/>
  <c r="AS22" i="1"/>
  <c r="AT22" i="1"/>
  <c r="AU22" i="1"/>
  <c r="AV22" i="1"/>
  <c r="AQ23" i="1"/>
  <c r="AR23" i="1"/>
  <c r="AS23" i="1"/>
  <c r="AT23" i="1"/>
  <c r="AU23" i="1"/>
  <c r="AV23" i="1"/>
  <c r="AQ24" i="1"/>
  <c r="AR24" i="1"/>
  <c r="AS24" i="1"/>
  <c r="AT24" i="1"/>
  <c r="AU24" i="1"/>
  <c r="AV24" i="1"/>
  <c r="AQ25" i="1"/>
  <c r="AR25" i="1"/>
  <c r="AS25" i="1"/>
  <c r="AT25" i="1"/>
  <c r="AU25" i="1"/>
  <c r="AV25" i="1"/>
  <c r="AQ26" i="1"/>
  <c r="AR26" i="1"/>
  <c r="AS26" i="1"/>
  <c r="AT26" i="1"/>
  <c r="AU26" i="1"/>
  <c r="AV26" i="1"/>
  <c r="AQ27" i="1"/>
  <c r="AR27" i="1"/>
  <c r="AS27" i="1"/>
  <c r="AT27" i="1"/>
  <c r="AU27" i="1"/>
  <c r="AV27" i="1"/>
  <c r="AQ28" i="1"/>
  <c r="AR28" i="1"/>
  <c r="AS28" i="1"/>
  <c r="AT28" i="1"/>
  <c r="AU28" i="1"/>
  <c r="AV28" i="1"/>
  <c r="AQ29" i="1"/>
  <c r="AR29" i="1"/>
  <c r="AS29" i="1"/>
  <c r="AT29" i="1"/>
  <c r="AU29" i="1"/>
  <c r="AV29" i="1"/>
  <c r="AQ30" i="1"/>
  <c r="AR30" i="1"/>
  <c r="AS30" i="1"/>
  <c r="AT30" i="1"/>
  <c r="AU30" i="1"/>
  <c r="AV30" i="1"/>
  <c r="AQ31" i="1"/>
  <c r="AR31" i="1"/>
  <c r="AS31" i="1"/>
  <c r="AT31" i="1"/>
  <c r="AU31" i="1"/>
  <c r="AV31" i="1"/>
  <c r="AQ32" i="1"/>
  <c r="AR32" i="1"/>
  <c r="AS32" i="1"/>
  <c r="AT32" i="1"/>
  <c r="AU32" i="1"/>
  <c r="AV32" i="1"/>
  <c r="AQ33" i="1"/>
  <c r="AR33" i="1"/>
  <c r="AS33" i="1"/>
  <c r="AT33" i="1"/>
  <c r="AU33" i="1"/>
  <c r="AV33" i="1"/>
  <c r="AQ34" i="1"/>
  <c r="AR34" i="1"/>
  <c r="AS34" i="1"/>
  <c r="AT34" i="1"/>
  <c r="AU34" i="1"/>
  <c r="AV34" i="1"/>
  <c r="AQ35" i="1"/>
  <c r="AR35" i="1"/>
  <c r="AS35" i="1"/>
  <c r="AT35" i="1"/>
  <c r="AU35" i="1"/>
  <c r="AV35" i="1"/>
  <c r="AQ36" i="1"/>
  <c r="AR36" i="1"/>
  <c r="AS36" i="1"/>
  <c r="AT36" i="1"/>
  <c r="AU36" i="1"/>
  <c r="AV36" i="1"/>
  <c r="AV4" i="1"/>
  <c r="AU4" i="1"/>
  <c r="AT4" i="1"/>
  <c r="AS4" i="1"/>
  <c r="AR4" i="1"/>
  <c r="AQ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4" i="1"/>
  <c r="BE36" i="1"/>
  <c r="BF36" i="1" s="1"/>
  <c r="AD36" i="1" s="1"/>
  <c r="AO36" i="1"/>
  <c r="Y36" i="1"/>
  <c r="W36" i="1"/>
  <c r="AN36" i="1" s="1"/>
  <c r="O36" i="1"/>
  <c r="D36" i="1"/>
  <c r="BE35" i="1"/>
  <c r="BF35" i="1" s="1"/>
  <c r="AD35" i="1" s="1"/>
  <c r="AO35" i="1"/>
  <c r="Y35" i="1"/>
  <c r="W35" i="1"/>
  <c r="AN35" i="1" s="1"/>
  <c r="O35" i="1"/>
  <c r="D35" i="1"/>
  <c r="BE34" i="1"/>
  <c r="BF34" i="1" s="1"/>
  <c r="AD34" i="1" s="1"/>
  <c r="AO34" i="1"/>
  <c r="Y34" i="1"/>
  <c r="W34" i="1"/>
  <c r="AN34" i="1" s="1"/>
  <c r="O34" i="1"/>
  <c r="D34" i="1"/>
  <c r="BE33" i="1"/>
  <c r="BF33" i="1" s="1"/>
  <c r="AD33" i="1" s="1"/>
  <c r="AO33" i="1"/>
  <c r="Y33" i="1"/>
  <c r="W33" i="1"/>
  <c r="AN33" i="1" s="1"/>
  <c r="O33" i="1"/>
  <c r="D33" i="1"/>
  <c r="BE32" i="1"/>
  <c r="BF32" i="1" s="1"/>
  <c r="AD32" i="1" s="1"/>
  <c r="AO32" i="1"/>
  <c r="Y32" i="1"/>
  <c r="W32" i="1"/>
  <c r="AN32" i="1" s="1"/>
  <c r="O32" i="1"/>
  <c r="D32" i="1"/>
  <c r="BE31" i="1"/>
  <c r="BF31" i="1" s="1"/>
  <c r="AD31" i="1" s="1"/>
  <c r="AO31" i="1"/>
  <c r="Y31" i="1"/>
  <c r="W31" i="1"/>
  <c r="AN31" i="1" s="1"/>
  <c r="O31" i="1"/>
  <c r="D31" i="1"/>
  <c r="BE30" i="1"/>
  <c r="BF30" i="1" s="1"/>
  <c r="AD30" i="1" s="1"/>
  <c r="AO30" i="1"/>
  <c r="Y30" i="1"/>
  <c r="W30" i="1"/>
  <c r="AN30" i="1" s="1"/>
  <c r="O30" i="1"/>
  <c r="D30" i="1"/>
  <c r="BE29" i="1"/>
  <c r="BF29" i="1" s="1"/>
  <c r="AD29" i="1" s="1"/>
  <c r="AO29" i="1"/>
  <c r="Y29" i="1"/>
  <c r="W29" i="1"/>
  <c r="AN29" i="1" s="1"/>
  <c r="O29" i="1"/>
  <c r="D29" i="1"/>
  <c r="BE28" i="1"/>
  <c r="BF28" i="1" s="1"/>
  <c r="AD28" i="1" s="1"/>
  <c r="AO28" i="1"/>
  <c r="Y28" i="1"/>
  <c r="W28" i="1"/>
  <c r="AN28" i="1" s="1"/>
  <c r="O28" i="1"/>
  <c r="D28" i="1"/>
  <c r="BE27" i="1"/>
  <c r="BF27" i="1" s="1"/>
  <c r="AD27" i="1" s="1"/>
  <c r="AO27" i="1"/>
  <c r="Y27" i="1"/>
  <c r="W27" i="1"/>
  <c r="AN27" i="1" s="1"/>
  <c r="O27" i="1"/>
  <c r="D27" i="1"/>
  <c r="BE26" i="1"/>
  <c r="BF26" i="1" s="1"/>
  <c r="AD26" i="1" s="1"/>
  <c r="AO26" i="1"/>
  <c r="Y26" i="1"/>
  <c r="W26" i="1"/>
  <c r="AN26" i="1" s="1"/>
  <c r="O26" i="1"/>
  <c r="D26" i="1"/>
  <c r="BE25" i="1"/>
  <c r="BF25" i="1" s="1"/>
  <c r="AD25" i="1" s="1"/>
  <c r="AO25" i="1"/>
  <c r="Y25" i="1"/>
  <c r="W25" i="1"/>
  <c r="AN25" i="1" s="1"/>
  <c r="O25" i="1"/>
  <c r="D25" i="1"/>
  <c r="BE24" i="1"/>
  <c r="BF24" i="1" s="1"/>
  <c r="AD24" i="1" s="1"/>
  <c r="AO24" i="1"/>
  <c r="Y24" i="1"/>
  <c r="W24" i="1"/>
  <c r="AN24" i="1" s="1"/>
  <c r="O24" i="1"/>
  <c r="D24" i="1"/>
  <c r="BE23" i="1"/>
  <c r="BF23" i="1" s="1"/>
  <c r="AD23" i="1" s="1"/>
  <c r="AO23" i="1"/>
  <c r="Y23" i="1"/>
  <c r="W23" i="1"/>
  <c r="AN23" i="1" s="1"/>
  <c r="O23" i="1"/>
  <c r="D23" i="1"/>
  <c r="BE22" i="1"/>
  <c r="BF22" i="1" s="1"/>
  <c r="AD22" i="1" s="1"/>
  <c r="AO22" i="1"/>
  <c r="Y22" i="1"/>
  <c r="W22" i="1"/>
  <c r="AN22" i="1" s="1"/>
  <c r="O22" i="1"/>
  <c r="D22" i="1"/>
  <c r="BE21" i="1"/>
  <c r="BF21" i="1" s="1"/>
  <c r="AD21" i="1" s="1"/>
  <c r="AO21" i="1"/>
  <c r="Y21" i="1"/>
  <c r="W21" i="1"/>
  <c r="AN21" i="1" s="1"/>
  <c r="O21" i="1"/>
  <c r="D21" i="1"/>
  <c r="BE20" i="1"/>
  <c r="BF20" i="1" s="1"/>
  <c r="AD20" i="1" s="1"/>
  <c r="AO20" i="1"/>
  <c r="Y20" i="1"/>
  <c r="W20" i="1"/>
  <c r="AN20" i="1" s="1"/>
  <c r="O20" i="1"/>
  <c r="D20" i="1"/>
  <c r="BE19" i="1"/>
  <c r="BF19" i="1" s="1"/>
  <c r="AD19" i="1" s="1"/>
  <c r="AO19" i="1"/>
  <c r="Y19" i="1"/>
  <c r="W19" i="1"/>
  <c r="AN19" i="1" s="1"/>
  <c r="O19" i="1"/>
  <c r="D19" i="1"/>
  <c r="BE18" i="1"/>
  <c r="BF18" i="1" s="1"/>
  <c r="AD18" i="1" s="1"/>
  <c r="AO18" i="1"/>
  <c r="Y18" i="1"/>
  <c r="AI18" i="1" s="1"/>
  <c r="W18" i="1"/>
  <c r="AN18" i="1" s="1"/>
  <c r="O18" i="1"/>
  <c r="D18" i="1"/>
  <c r="BE17" i="1"/>
  <c r="BF17" i="1" s="1"/>
  <c r="AD17" i="1" s="1"/>
  <c r="AO17" i="1"/>
  <c r="Y17" i="1"/>
  <c r="AJ17" i="1" s="1"/>
  <c r="AG17" i="1" s="1"/>
  <c r="W17" i="1"/>
  <c r="AN17" i="1" s="1"/>
  <c r="O17" i="1"/>
  <c r="D17" i="1"/>
  <c r="BE16" i="1"/>
  <c r="BF16" i="1" s="1"/>
  <c r="AD16" i="1" s="1"/>
  <c r="AO16" i="1"/>
  <c r="Y16" i="1"/>
  <c r="AJ16" i="1" s="1"/>
  <c r="AG16" i="1" s="1"/>
  <c r="W16" i="1"/>
  <c r="AN16" i="1" s="1"/>
  <c r="O16" i="1"/>
  <c r="D16" i="1"/>
  <c r="BE15" i="1"/>
  <c r="BF15" i="1" s="1"/>
  <c r="AD15" i="1" s="1"/>
  <c r="AO15" i="1"/>
  <c r="Y15" i="1"/>
  <c r="AJ15" i="1" s="1"/>
  <c r="AG15" i="1" s="1"/>
  <c r="W15" i="1"/>
  <c r="AN15" i="1" s="1"/>
  <c r="O15" i="1"/>
  <c r="D15" i="1"/>
  <c r="BE14" i="1"/>
  <c r="BF14" i="1" s="1"/>
  <c r="AD14" i="1" s="1"/>
  <c r="AO14" i="1"/>
  <c r="Y14" i="1"/>
  <c r="AP14" i="1" s="1"/>
  <c r="AA14" i="1" s="1"/>
  <c r="W14" i="1"/>
  <c r="AN14" i="1" s="1"/>
  <c r="O14" i="1"/>
  <c r="D14" i="1"/>
  <c r="BE13" i="1"/>
  <c r="BF13" i="1" s="1"/>
  <c r="AD13" i="1" s="1"/>
  <c r="AO13" i="1"/>
  <c r="Y13" i="1"/>
  <c r="AP13" i="1" s="1"/>
  <c r="AA13" i="1" s="1"/>
  <c r="W13" i="1"/>
  <c r="AN13" i="1" s="1"/>
  <c r="O13" i="1"/>
  <c r="D13" i="1"/>
  <c r="BE12" i="1"/>
  <c r="BF12" i="1" s="1"/>
  <c r="AD12" i="1" s="1"/>
  <c r="AO12" i="1"/>
  <c r="Y12" i="1"/>
  <c r="AP12" i="1" s="1"/>
  <c r="AA12" i="1" s="1"/>
  <c r="W12" i="1"/>
  <c r="AN12" i="1" s="1"/>
  <c r="O12" i="1"/>
  <c r="D12" i="1"/>
  <c r="BE11" i="1"/>
  <c r="BF11" i="1" s="1"/>
  <c r="AD11" i="1" s="1"/>
  <c r="AO11" i="1"/>
  <c r="Y11" i="1"/>
  <c r="AP11" i="1" s="1"/>
  <c r="AA11" i="1" s="1"/>
  <c r="W11" i="1"/>
  <c r="AN11" i="1" s="1"/>
  <c r="O11" i="1"/>
  <c r="D11" i="1"/>
  <c r="BE10" i="1"/>
  <c r="BF10" i="1" s="1"/>
  <c r="AD10" i="1" s="1"/>
  <c r="AO10" i="1"/>
  <c r="Y10" i="1"/>
  <c r="AP10" i="1" s="1"/>
  <c r="AA10" i="1" s="1"/>
  <c r="W10" i="1"/>
  <c r="AN10" i="1" s="1"/>
  <c r="O10" i="1"/>
  <c r="D10" i="1"/>
  <c r="BE9" i="1"/>
  <c r="BF9" i="1" s="1"/>
  <c r="AD9" i="1" s="1"/>
  <c r="AO9" i="1"/>
  <c r="Y9" i="1"/>
  <c r="AP9" i="1" s="1"/>
  <c r="AA9" i="1" s="1"/>
  <c r="W9" i="1"/>
  <c r="AN9" i="1" s="1"/>
  <c r="O9" i="1"/>
  <c r="D9" i="1"/>
  <c r="BE8" i="1"/>
  <c r="BF8" i="1" s="1"/>
  <c r="AD8" i="1" s="1"/>
  <c r="AO8" i="1"/>
  <c r="Y8" i="1"/>
  <c r="AP8" i="1" s="1"/>
  <c r="AA8" i="1" s="1"/>
  <c r="W8" i="1"/>
  <c r="AN8" i="1" s="1"/>
  <c r="O8" i="1"/>
  <c r="D8" i="1"/>
  <c r="O5" i="1"/>
  <c r="O6" i="1"/>
  <c r="O7" i="1"/>
  <c r="O4" i="1"/>
  <c r="AO5" i="1"/>
  <c r="AO6" i="1"/>
  <c r="AO7" i="1"/>
  <c r="AO4" i="1"/>
  <c r="BE7" i="1"/>
  <c r="BF7" i="1" s="1"/>
  <c r="AD7" i="1" s="1"/>
  <c r="Y7" i="1"/>
  <c r="AJ7" i="1" s="1"/>
  <c r="W7" i="1"/>
  <c r="AN7" i="1" s="1"/>
  <c r="D7" i="1"/>
  <c r="BE6" i="1"/>
  <c r="BF6" i="1" s="1"/>
  <c r="AD6" i="1" s="1"/>
  <c r="Y6" i="1"/>
  <c r="AJ6" i="1" s="1"/>
  <c r="W6" i="1"/>
  <c r="AN6" i="1" s="1"/>
  <c r="D6" i="1"/>
  <c r="AW9" i="1" l="1"/>
  <c r="AW7" i="1"/>
  <c r="AW6" i="1"/>
  <c r="AI9" i="1"/>
  <c r="AI13" i="1"/>
  <c r="AI11" i="1"/>
  <c r="AP7" i="1"/>
  <c r="AE7" i="1" s="1"/>
  <c r="AF7" i="1" s="1"/>
  <c r="AI14" i="1"/>
  <c r="AP6" i="1"/>
  <c r="AE6" i="1" s="1"/>
  <c r="AF6" i="1" s="1"/>
  <c r="AE12" i="1"/>
  <c r="AF12" i="1" s="1"/>
  <c r="AI15" i="1"/>
  <c r="AI10" i="1"/>
  <c r="AE11" i="1"/>
  <c r="AF11" i="1" s="1"/>
  <c r="AE14" i="1"/>
  <c r="AF14" i="1" s="1"/>
  <c r="AP15" i="1"/>
  <c r="AA15" i="1" s="1"/>
  <c r="AB15" i="1" s="1"/>
  <c r="AI12" i="1"/>
  <c r="AI8" i="1"/>
  <c r="AP17" i="1"/>
  <c r="AA17" i="1" s="1"/>
  <c r="AB17" i="1" s="1"/>
  <c r="AE10" i="1"/>
  <c r="AF10" i="1" s="1"/>
  <c r="AE9" i="1"/>
  <c r="AF9" i="1" s="1"/>
  <c r="AE13" i="1"/>
  <c r="AF13" i="1" s="1"/>
  <c r="AE8" i="1"/>
  <c r="AF8" i="1" s="1"/>
  <c r="AP19" i="1"/>
  <c r="AA19" i="1" s="1"/>
  <c r="AB19" i="1" s="1"/>
  <c r="AJ19" i="1"/>
  <c r="AG19" i="1" s="1"/>
  <c r="AI19" i="1"/>
  <c r="AP27" i="1"/>
  <c r="AA27" i="1" s="1"/>
  <c r="AB27" i="1" s="1"/>
  <c r="AJ27" i="1"/>
  <c r="AG27" i="1" s="1"/>
  <c r="AI27" i="1"/>
  <c r="AP31" i="1"/>
  <c r="AA31" i="1" s="1"/>
  <c r="AB31" i="1" s="1"/>
  <c r="AJ31" i="1"/>
  <c r="AG31" i="1" s="1"/>
  <c r="AI31" i="1"/>
  <c r="AP35" i="1"/>
  <c r="AA35" i="1" s="1"/>
  <c r="AB35" i="1" s="1"/>
  <c r="AJ35" i="1"/>
  <c r="AG35" i="1" s="1"/>
  <c r="AI35" i="1"/>
  <c r="AP16" i="1"/>
  <c r="AP20" i="1"/>
  <c r="AA20" i="1" s="1"/>
  <c r="AB20" i="1" s="1"/>
  <c r="AJ20" i="1"/>
  <c r="AG20" i="1" s="1"/>
  <c r="AJ8" i="1"/>
  <c r="AJ9" i="1"/>
  <c r="AJ10" i="1"/>
  <c r="AG10" i="1" s="1"/>
  <c r="AJ11" i="1"/>
  <c r="AG11" i="1" s="1"/>
  <c r="AJ12" i="1"/>
  <c r="AG12" i="1" s="1"/>
  <c r="AJ13" i="1"/>
  <c r="AG13" i="1" s="1"/>
  <c r="AJ14" i="1"/>
  <c r="AG14" i="1" s="1"/>
  <c r="AP21" i="1"/>
  <c r="AA21" i="1" s="1"/>
  <c r="AB21" i="1" s="1"/>
  <c r="AJ21" i="1"/>
  <c r="AG21" i="1" s="1"/>
  <c r="AI21" i="1"/>
  <c r="AP22" i="1"/>
  <c r="AA22" i="1" s="1"/>
  <c r="AB22" i="1" s="1"/>
  <c r="AJ22" i="1"/>
  <c r="AG22" i="1" s="1"/>
  <c r="AI22" i="1"/>
  <c r="AP23" i="1"/>
  <c r="AA23" i="1" s="1"/>
  <c r="AB23" i="1" s="1"/>
  <c r="AJ23" i="1"/>
  <c r="AG23" i="1" s="1"/>
  <c r="AI23" i="1"/>
  <c r="AP26" i="1"/>
  <c r="AA26" i="1" s="1"/>
  <c r="AB26" i="1" s="1"/>
  <c r="AJ26" i="1"/>
  <c r="AG26" i="1" s="1"/>
  <c r="AI26" i="1"/>
  <c r="AP30" i="1"/>
  <c r="AA30" i="1" s="1"/>
  <c r="AB30" i="1" s="1"/>
  <c r="AJ30" i="1"/>
  <c r="AG30" i="1" s="1"/>
  <c r="AI30" i="1"/>
  <c r="AP34" i="1"/>
  <c r="AA34" i="1" s="1"/>
  <c r="AB34" i="1" s="1"/>
  <c r="AJ34" i="1"/>
  <c r="AG34" i="1" s="1"/>
  <c r="AI34" i="1"/>
  <c r="AI17" i="1"/>
  <c r="AP18" i="1"/>
  <c r="AA18" i="1" s="1"/>
  <c r="AB18" i="1" s="1"/>
  <c r="AJ18" i="1"/>
  <c r="AG18" i="1" s="1"/>
  <c r="AP25" i="1"/>
  <c r="AA25" i="1" s="1"/>
  <c r="AB25" i="1" s="1"/>
  <c r="AJ25" i="1"/>
  <c r="AG25" i="1" s="1"/>
  <c r="AI25" i="1"/>
  <c r="AP29" i="1"/>
  <c r="AA29" i="1" s="1"/>
  <c r="AB29" i="1" s="1"/>
  <c r="AJ29" i="1"/>
  <c r="AG29" i="1" s="1"/>
  <c r="AI29" i="1"/>
  <c r="AP33" i="1"/>
  <c r="AA33" i="1" s="1"/>
  <c r="AB33" i="1" s="1"/>
  <c r="AJ33" i="1"/>
  <c r="AG33" i="1" s="1"/>
  <c r="AI33" i="1"/>
  <c r="AB8" i="1"/>
  <c r="AB9" i="1"/>
  <c r="AB10" i="1"/>
  <c r="AB11" i="1"/>
  <c r="AB12" i="1"/>
  <c r="AB13" i="1"/>
  <c r="AB14" i="1"/>
  <c r="AI16" i="1"/>
  <c r="AI20" i="1"/>
  <c r="AP24" i="1"/>
  <c r="AA24" i="1" s="1"/>
  <c r="AB24" i="1" s="1"/>
  <c r="AJ24" i="1"/>
  <c r="AG24" i="1" s="1"/>
  <c r="AI24" i="1"/>
  <c r="AP28" i="1"/>
  <c r="AA28" i="1" s="1"/>
  <c r="AB28" i="1" s="1"/>
  <c r="AJ28" i="1"/>
  <c r="AG28" i="1" s="1"/>
  <c r="AI28" i="1"/>
  <c r="AP32" i="1"/>
  <c r="AA32" i="1" s="1"/>
  <c r="AB32" i="1" s="1"/>
  <c r="AJ32" i="1"/>
  <c r="AG32" i="1" s="1"/>
  <c r="AI32" i="1"/>
  <c r="AP36" i="1"/>
  <c r="AA36" i="1" s="1"/>
  <c r="AB36" i="1" s="1"/>
  <c r="AJ36" i="1"/>
  <c r="AG36" i="1" s="1"/>
  <c r="AI36" i="1"/>
  <c r="AI6" i="1"/>
  <c r="AI7" i="1"/>
  <c r="AE17" i="1" l="1"/>
  <c r="AF17" i="1" s="1"/>
  <c r="AA6" i="1"/>
  <c r="AB6" i="1" s="1"/>
  <c r="AA7" i="1"/>
  <c r="AB7" i="1" s="1"/>
  <c r="AE19" i="1"/>
  <c r="AF19" i="1" s="1"/>
  <c r="AE15" i="1"/>
  <c r="AF15" i="1" s="1"/>
  <c r="AE35" i="1"/>
  <c r="AF35" i="1" s="1"/>
  <c r="AE36" i="1"/>
  <c r="AF36" i="1" s="1"/>
  <c r="AE27" i="1"/>
  <c r="AF27" i="1" s="1"/>
  <c r="AE32" i="1"/>
  <c r="AF32" i="1" s="1"/>
  <c r="AE28" i="1"/>
  <c r="AF28" i="1" s="1"/>
  <c r="AE25" i="1"/>
  <c r="AF25" i="1" s="1"/>
  <c r="AE26" i="1"/>
  <c r="AF26" i="1" s="1"/>
  <c r="AE22" i="1"/>
  <c r="AF22" i="1" s="1"/>
  <c r="AE23" i="1"/>
  <c r="AF23" i="1" s="1"/>
  <c r="AE21" i="1"/>
  <c r="AF21" i="1" s="1"/>
  <c r="AE34" i="1"/>
  <c r="AF34" i="1" s="1"/>
  <c r="AE18" i="1"/>
  <c r="AF18" i="1" s="1"/>
  <c r="AE33" i="1"/>
  <c r="AF33" i="1" s="1"/>
  <c r="AE16" i="1"/>
  <c r="AF16" i="1" s="1"/>
  <c r="AA16" i="1"/>
  <c r="AB16" i="1" s="1"/>
  <c r="AE20" i="1"/>
  <c r="AF20" i="1" s="1"/>
  <c r="AE30" i="1"/>
  <c r="AF30" i="1" s="1"/>
  <c r="AE31" i="1"/>
  <c r="AF31" i="1" s="1"/>
  <c r="AE29" i="1"/>
  <c r="AF29" i="1" s="1"/>
  <c r="AE24" i="1"/>
  <c r="AF24" i="1" s="1"/>
  <c r="BE5" i="1"/>
  <c r="BF5" i="1" s="1"/>
  <c r="AD5" i="1" s="1"/>
  <c r="BE4" i="1"/>
  <c r="BF4" i="1" s="1"/>
  <c r="AD4" i="1" s="1"/>
  <c r="Y5" i="1"/>
  <c r="AW5" i="1" s="1"/>
  <c r="W5" i="1"/>
  <c r="AN5" i="1" s="1"/>
  <c r="D5" i="1"/>
  <c r="D4" i="1"/>
  <c r="Y4" i="1"/>
  <c r="W4" i="1"/>
  <c r="AN4" i="1" s="1"/>
  <c r="AP4" i="1" l="1"/>
  <c r="AP5" i="1"/>
  <c r="AE5" i="1" s="1"/>
  <c r="AF5" i="1" s="1"/>
  <c r="AI5" i="1"/>
  <c r="AI4" i="1"/>
  <c r="AJ5" i="1"/>
  <c r="AL4" i="1"/>
  <c r="AM4" i="1"/>
  <c r="AG4" i="1" s="1"/>
  <c r="AJ4" i="1"/>
  <c r="AA5" i="1" l="1"/>
  <c r="AB5" i="1" s="1"/>
  <c r="AE4" i="1"/>
  <c r="AF4" i="1" s="1"/>
  <c r="BM4" i="1"/>
  <c r="BK4" i="1"/>
  <c r="AA4" i="1"/>
  <c r="AB4" i="1" s="1"/>
</calcChain>
</file>

<file path=xl/sharedStrings.xml><?xml version="1.0" encoding="utf-8"?>
<sst xmlns="http://schemas.openxmlformats.org/spreadsheetml/2006/main" count="290" uniqueCount="103">
  <si>
    <t>商品名</t>
    <rPh sb="0" eb="3">
      <t>ショウヒンメイ</t>
    </rPh>
    <phoneticPr fontId="1"/>
  </si>
  <si>
    <t>現行</t>
    <rPh sb="0" eb="2">
      <t>ゲンコウ</t>
    </rPh>
    <phoneticPr fontId="2"/>
  </si>
  <si>
    <t>品目CD</t>
    <rPh sb="0" eb="2">
      <t>ヒンモク</t>
    </rPh>
    <phoneticPr fontId="1"/>
  </si>
  <si>
    <t>換算</t>
    <rPh sb="0" eb="2">
      <t>カンザン</t>
    </rPh>
    <phoneticPr fontId="2"/>
  </si>
  <si>
    <t>JAN</t>
    <phoneticPr fontId="2"/>
  </si>
  <si>
    <t>売価</t>
    <rPh sb="0" eb="2">
      <t>バイカ</t>
    </rPh>
    <phoneticPr fontId="2"/>
  </si>
  <si>
    <t>品目TEXT</t>
    <rPh sb="0" eb="2">
      <t>ヒンモク</t>
    </rPh>
    <phoneticPr fontId="2"/>
  </si>
  <si>
    <t>注文番号</t>
    <rPh sb="0" eb="2">
      <t>チュウモン</t>
    </rPh>
    <rPh sb="2" eb="4">
      <t>バンゴウ</t>
    </rPh>
    <phoneticPr fontId="2"/>
  </si>
  <si>
    <t>カタログ</t>
    <phoneticPr fontId="2"/>
  </si>
  <si>
    <t>アスクル</t>
    <phoneticPr fontId="2"/>
  </si>
  <si>
    <t>FW入数</t>
    <rPh sb="2" eb="4">
      <t>イリスウ</t>
    </rPh>
    <phoneticPr fontId="2"/>
  </si>
  <si>
    <t>アスクル入数</t>
    <rPh sb="4" eb="6">
      <t>イリスウ</t>
    </rPh>
    <phoneticPr fontId="2"/>
  </si>
  <si>
    <t>換算金額</t>
    <rPh sb="0" eb="2">
      <t>カンザン</t>
    </rPh>
    <rPh sb="2" eb="4">
      <t>キンガク</t>
    </rPh>
    <phoneticPr fontId="2"/>
  </si>
  <si>
    <t>粗利率</t>
    <rPh sb="0" eb="3">
      <t>アラリリツ</t>
    </rPh>
    <phoneticPr fontId="2"/>
  </si>
  <si>
    <t>スライド
売価</t>
    <rPh sb="5" eb="7">
      <t>バイカ</t>
    </rPh>
    <phoneticPr fontId="2"/>
  </si>
  <si>
    <t>原価
値上率</t>
    <rPh sb="0" eb="2">
      <t>ゲンカ</t>
    </rPh>
    <rPh sb="3" eb="5">
      <t>ネアゲ</t>
    </rPh>
    <rPh sb="5" eb="6">
      <t>リツ</t>
    </rPh>
    <phoneticPr fontId="2"/>
  </si>
  <si>
    <t>VD2</t>
    <phoneticPr fontId="2"/>
  </si>
  <si>
    <t>VD2始</t>
    <rPh sb="3" eb="4">
      <t>ハジ</t>
    </rPh>
    <phoneticPr fontId="2"/>
  </si>
  <si>
    <t>VD2終</t>
    <rPh sb="3" eb="4">
      <t>オ</t>
    </rPh>
    <phoneticPr fontId="2"/>
  </si>
  <si>
    <t>VD3</t>
    <phoneticPr fontId="2"/>
  </si>
  <si>
    <t>VD3始</t>
    <rPh sb="3" eb="4">
      <t>ハジ</t>
    </rPh>
    <phoneticPr fontId="2"/>
  </si>
  <si>
    <t>VD3終</t>
    <rPh sb="3" eb="4">
      <t>オワリ</t>
    </rPh>
    <phoneticPr fontId="2"/>
  </si>
  <si>
    <t>VD4</t>
    <phoneticPr fontId="2"/>
  </si>
  <si>
    <t>VD4始</t>
    <rPh sb="3" eb="4">
      <t>ハジ</t>
    </rPh>
    <phoneticPr fontId="2"/>
  </si>
  <si>
    <t>VD4終</t>
    <rPh sb="3" eb="4">
      <t>オワリ</t>
    </rPh>
    <phoneticPr fontId="2"/>
  </si>
  <si>
    <t>JAN
確認</t>
    <rPh sb="4" eb="6">
      <t>カクニン</t>
    </rPh>
    <phoneticPr fontId="2"/>
  </si>
  <si>
    <t>品目
確認</t>
    <rPh sb="0" eb="2">
      <t>ヒンモク</t>
    </rPh>
    <rPh sb="3" eb="5">
      <t>カクニン</t>
    </rPh>
    <phoneticPr fontId="2"/>
  </si>
  <si>
    <t>定価
値上率</t>
    <rPh sb="0" eb="2">
      <t>テイカ</t>
    </rPh>
    <rPh sb="3" eb="5">
      <t>ネアゲ</t>
    </rPh>
    <rPh sb="5" eb="6">
      <t>リツ</t>
    </rPh>
    <phoneticPr fontId="2"/>
  </si>
  <si>
    <t>原価用</t>
    <rPh sb="0" eb="2">
      <t>ゲンカ</t>
    </rPh>
    <rPh sb="2" eb="3">
      <t>ヨウ</t>
    </rPh>
    <phoneticPr fontId="2"/>
  </si>
  <si>
    <t>売価用</t>
    <rPh sb="0" eb="2">
      <t>バイカ</t>
    </rPh>
    <rPh sb="2" eb="3">
      <t>ヨウ</t>
    </rPh>
    <phoneticPr fontId="2"/>
  </si>
  <si>
    <t>VD用</t>
    <rPh sb="2" eb="3">
      <t>ヨウ</t>
    </rPh>
    <phoneticPr fontId="2"/>
  </si>
  <si>
    <t>箱バラ確認</t>
    <rPh sb="0" eb="1">
      <t>ハコ</t>
    </rPh>
    <rPh sb="3" eb="5">
      <t>カクニン</t>
    </rPh>
    <phoneticPr fontId="2"/>
  </si>
  <si>
    <t>売価1</t>
    <rPh sb="0" eb="2">
      <t>バイカ</t>
    </rPh>
    <phoneticPr fontId="2"/>
  </si>
  <si>
    <t>粗利額</t>
    <rPh sb="0" eb="2">
      <t>アラリ</t>
    </rPh>
    <rPh sb="2" eb="3">
      <t>ガク</t>
    </rPh>
    <phoneticPr fontId="2"/>
  </si>
  <si>
    <t>箱バラ用</t>
    <rPh sb="0" eb="1">
      <t>ハコ</t>
    </rPh>
    <rPh sb="3" eb="4">
      <t>ヨウ</t>
    </rPh>
    <phoneticPr fontId="2"/>
  </si>
  <si>
    <t>売価2</t>
    <rPh sb="0" eb="2">
      <t>バイカ</t>
    </rPh>
    <phoneticPr fontId="2"/>
  </si>
  <si>
    <t>売価2
粗利率</t>
    <rPh sb="0" eb="2">
      <t>バイカ</t>
    </rPh>
    <rPh sb="4" eb="7">
      <t>アラリリツ</t>
    </rPh>
    <phoneticPr fontId="2"/>
  </si>
  <si>
    <t>売価2
粗利額</t>
    <rPh sb="0" eb="2">
      <t>バイカ</t>
    </rPh>
    <rPh sb="4" eb="6">
      <t>アラリ</t>
    </rPh>
    <rPh sb="6" eb="7">
      <t>ガク</t>
    </rPh>
    <phoneticPr fontId="2"/>
  </si>
  <si>
    <t>売価1
値上げ率</t>
    <rPh sb="0" eb="2">
      <t>バイカ</t>
    </rPh>
    <rPh sb="4" eb="6">
      <t>ネア</t>
    </rPh>
    <rPh sb="7" eb="8">
      <t>リツ</t>
    </rPh>
    <phoneticPr fontId="2"/>
  </si>
  <si>
    <t>参考</t>
    <rPh sb="0" eb="2">
      <t>サンコウ</t>
    </rPh>
    <phoneticPr fontId="2"/>
  </si>
  <si>
    <t>改定後</t>
    <rPh sb="0" eb="2">
      <t>カイテイ</t>
    </rPh>
    <rPh sb="2" eb="3">
      <t>ゴ</t>
    </rPh>
    <phoneticPr fontId="2"/>
  </si>
  <si>
    <t>税込</t>
    <rPh sb="0" eb="2">
      <t>ゼイコミ</t>
    </rPh>
    <phoneticPr fontId="2"/>
  </si>
  <si>
    <t>品目のオレンジは箱バラ</t>
    <rPh sb="0" eb="2">
      <t>ヒンモク</t>
    </rPh>
    <rPh sb="8" eb="9">
      <t>ハコ</t>
    </rPh>
    <phoneticPr fontId="2"/>
  </si>
  <si>
    <t>月販</t>
    <rPh sb="0" eb="2">
      <t>ゲッパン</t>
    </rPh>
    <phoneticPr fontId="2"/>
  </si>
  <si>
    <t>倉庫</t>
    <rPh sb="0" eb="2">
      <t>ソウコ</t>
    </rPh>
    <phoneticPr fontId="2"/>
  </si>
  <si>
    <t>品目群</t>
    <rPh sb="0" eb="3">
      <t>ヒンモクグン</t>
    </rPh>
    <phoneticPr fontId="2"/>
  </si>
  <si>
    <t>VD2</t>
  </si>
  <si>
    <t>VD3</t>
  </si>
  <si>
    <t>アスクル商品名</t>
    <rPh sb="4" eb="7">
      <t>ショウヒンメイ</t>
    </rPh>
    <phoneticPr fontId="2"/>
  </si>
  <si>
    <t>No.</t>
    <phoneticPr fontId="2"/>
  </si>
  <si>
    <t>大分類</t>
    <rPh sb="0" eb="3">
      <t>ダイブンルイ</t>
    </rPh>
    <phoneticPr fontId="2"/>
  </si>
  <si>
    <t>荷姿</t>
    <rPh sb="0" eb="2">
      <t>ニスガタ</t>
    </rPh>
    <phoneticPr fontId="2"/>
  </si>
  <si>
    <t>キー</t>
    <phoneticPr fontId="2"/>
  </si>
  <si>
    <t>ｱｽｸﾙ
ｽﾗｲﾄﾞ</t>
    <phoneticPr fontId="2"/>
  </si>
  <si>
    <t>新No.</t>
    <rPh sb="0" eb="1">
      <t>シン</t>
    </rPh>
    <phoneticPr fontId="2"/>
  </si>
  <si>
    <t>6月売価</t>
    <rPh sb="1" eb="2">
      <t>ガツ</t>
    </rPh>
    <rPh sb="2" eb="4">
      <t>バイカ</t>
    </rPh>
    <phoneticPr fontId="2"/>
  </si>
  <si>
    <t>月
たの</t>
    <rPh sb="0" eb="1">
      <t>ガツ</t>
    </rPh>
    <phoneticPr fontId="2"/>
  </si>
  <si>
    <t>月
カウ</t>
    <rPh sb="0" eb="1">
      <t>ガツ</t>
    </rPh>
    <phoneticPr fontId="2"/>
  </si>
  <si>
    <t>たの
ｽﾗｲﾄﾞ</t>
    <phoneticPr fontId="2"/>
  </si>
  <si>
    <t>カウ
ｽﾗｲﾄﾞ</t>
    <phoneticPr fontId="2"/>
  </si>
  <si>
    <t>小売
価格
(税抜)</t>
    <rPh sb="7" eb="9">
      <t>ゼイヌ</t>
    </rPh>
    <phoneticPr fontId="1"/>
  </si>
  <si>
    <t>小売
価格
(税抜)
換算</t>
    <rPh sb="7" eb="9">
      <t>ゼイヌ</t>
    </rPh>
    <rPh sb="11" eb="13">
      <t>カンザン</t>
    </rPh>
    <phoneticPr fontId="1"/>
  </si>
  <si>
    <t>仕切</t>
    <rPh sb="0" eb="2">
      <t>シキ</t>
    </rPh>
    <phoneticPr fontId="2"/>
  </si>
  <si>
    <t>仕切
換算</t>
    <rPh sb="0" eb="2">
      <t>シキ</t>
    </rPh>
    <rPh sb="3" eb="5">
      <t>カンザン</t>
    </rPh>
    <phoneticPr fontId="2"/>
  </si>
  <si>
    <t>小売
価格
(税抜）</t>
    <rPh sb="7" eb="9">
      <t>ゼイヌ</t>
    </rPh>
    <phoneticPr fontId="1"/>
  </si>
  <si>
    <t>AS
換算
売価</t>
    <rPh sb="3" eb="5">
      <t>カンザン</t>
    </rPh>
    <rPh sb="6" eb="8">
      <t>バイカ</t>
    </rPh>
    <phoneticPr fontId="2"/>
  </si>
  <si>
    <t>Forestway/ｸﾘｱｰﾎﾙﾀﾞｰ 0.15mm A4ﾀﾃ 100枚</t>
  </si>
  <si>
    <t>Forestway/ｸﾘｱｰﾎﾙﾀﾞｰ 0.15mm A4ﾀﾃ 600枚</t>
  </si>
  <si>
    <t>Forestway/ｸﾘｱｰﾎﾙﾀﾞｰ 0.18mm A4ﾀﾃ 100枚</t>
  </si>
  <si>
    <t>Forestway/ｸﾘｱｰﾎﾙﾀﾞｰ 0.18mm A4ﾀﾃ 600枚</t>
  </si>
  <si>
    <t>Forestway/ｸﾘｱｰﾎﾙﾀﾞｰ 0.2mm A4ﾀﾃ 100枚</t>
  </si>
  <si>
    <t>Forestway/ｸﾘｱｰﾎﾙﾀﾞｰ 0.2mm A4ﾀﾃ 600枚</t>
  </si>
  <si>
    <t>Forestway/ｸﾘﾔｰﾌﾞｯｸ ｴｺﾉﾐｰ A4 10ﾎﾟｹｯﾄ 黒</t>
  </si>
  <si>
    <t>Forestway/ｸﾘﾔｰﾌﾞｯｸ ｴｺﾉﾐｰ A4 10ﾎﾟｹｯﾄ 黒 10冊</t>
  </si>
  <si>
    <t>Forestway/ｸﾘﾔｰﾌﾞｯｸ ｴｺﾉﾐｰ A4 10ﾎﾟｹｯﾄ 黒 40冊</t>
  </si>
  <si>
    <t>Forestway/ｸﾘﾔｰﾌﾞｯｸ ｴｺﾉﾐｰ A4 10ﾎﾟｹｯﾄ 青</t>
  </si>
  <si>
    <t>Forestway/ｸﾘﾔｰﾌﾞｯｸ ｴｺﾉﾐｰ A4 10ﾎﾟｹｯﾄ 青 10冊</t>
  </si>
  <si>
    <t>Forestway/ｸﾘﾔｰﾌﾞｯｸ ｴｺﾉﾐｰ A4 10ﾎﾟｹｯﾄ 青 40冊</t>
  </si>
  <si>
    <t>Forestway/ｸﾘﾔｰﾌﾞｯｸ ｴｺﾉﾐｰ A4 10ﾎﾟｹｯﾄ 赤</t>
  </si>
  <si>
    <t>Forestway/ｸﾘﾔｰﾌﾞｯｸ ｴｺﾉﾐｰ A4 10ﾎﾟｹｯﾄ 赤 10冊</t>
  </si>
  <si>
    <t>Forestway/ｸﾘﾔｰﾌﾞｯｸ ｴｺﾉﾐｰ A4 10ﾎﾟｹｯﾄ 赤 40冊</t>
  </si>
  <si>
    <t>Forestway/ｸﾘﾔｰﾌﾞｯｸ ｴｺﾉﾐｰ A4 20ﾎﾟｹｯﾄ 黒</t>
  </si>
  <si>
    <t>Forestway/ｸﾘﾔｰﾌﾞｯｸ ｴｺﾉﾐｰ A4 20ﾎﾟｹｯﾄ 黒 10冊</t>
  </si>
  <si>
    <t>Forestway/ｸﾘﾔｰﾌﾞｯｸ ｴｺﾉﾐｰ A4 20ﾎﾟｹｯﾄ 黒 40冊</t>
  </si>
  <si>
    <t>Forestway/ｸﾘﾔｰﾌﾞｯｸ ｴｺﾉﾐｰ A4 20ﾎﾟｹｯﾄ 青</t>
  </si>
  <si>
    <t>Forestway/ｸﾘﾔｰﾌﾞｯｸ ｴｺﾉﾐｰ A4 20ﾎﾟｹｯﾄ 青 10冊</t>
  </si>
  <si>
    <t>Forestway/ｸﾘﾔｰﾌﾞｯｸ ｴｺﾉﾐｰ A4 20ﾎﾟｹｯﾄ 青 40冊</t>
  </si>
  <si>
    <t>Forestway/ｸﾘﾔｰﾌﾞｯｸ ｴｺﾉﾐｰ A4 20ﾎﾟｹｯﾄ 赤</t>
  </si>
  <si>
    <t>Forestway/ｸﾘﾔｰﾌﾞｯｸ ｴｺﾉﾐｰ A4 20ﾎﾟｹｯﾄ 赤 10冊</t>
  </si>
  <si>
    <t>Forestway/ｸﾘﾔｰﾌﾞｯｸ ｴｺﾉﾐｰ A4 20ﾎﾟｹｯﾄ 赤 40冊</t>
  </si>
  <si>
    <t>Forestway/ｸﾘﾔｰﾌﾞｯｸ ｴｺﾉﾐｰ A4 40ﾎﾟｹｯﾄ 黒</t>
  </si>
  <si>
    <t>Forestway/ｸﾘﾔｰﾌﾞｯｸ ｴｺﾉﾐｰ A4 40ﾎﾟｹｯﾄ 黒 10冊</t>
  </si>
  <si>
    <t>Forestway/ｸﾘﾔｰﾌﾞｯｸ ｴｺﾉﾐｰ A4 40ﾎﾟｹｯﾄ 黒 30冊</t>
  </si>
  <si>
    <t>Forestway/ｸﾘﾔｰﾌﾞｯｸ ｴｺﾉﾐｰ A4 40ﾎﾟｹｯﾄ 青</t>
  </si>
  <si>
    <t>Forestway/ｸﾘﾔｰﾌﾞｯｸ ｴｺﾉﾐｰ A4 40ﾎﾟｹｯﾄ 青 10冊</t>
  </si>
  <si>
    <t>Forestway/ｸﾘﾔｰﾌﾞｯｸ ｴｺﾉﾐｰ A4 40ﾎﾟｹｯﾄ 青 30冊</t>
  </si>
  <si>
    <t>Forestway/ｸﾘﾔｰﾌﾞｯｸ ｴｺﾉﾐｰ A4 40ﾎﾟｹｯﾄ 赤</t>
  </si>
  <si>
    <t>Forestway/ｸﾘﾔｰﾌﾞｯｸ ｴｺﾉﾐｰ A4 40ﾎﾟｹｯﾄ 赤 10冊</t>
  </si>
  <si>
    <t>Forestway/ｸﾘﾔｰﾌﾞｯｸ ｴｺﾉﾐｰ A4 40ﾎﾟｹｯﾄ 赤 30冊</t>
  </si>
  <si>
    <t>-</t>
  </si>
  <si>
    <t>削除</t>
    <rPh sb="0" eb="2">
      <t>サクジョ</t>
    </rPh>
    <phoneticPr fontId="2"/>
  </si>
  <si>
    <t>FWのみ</t>
    <phoneticPr fontId="2"/>
  </si>
  <si>
    <t>FW以外</t>
    <rPh sb="2" eb="4">
      <t>イガイ</t>
    </rPh>
    <phoneticPr fontId="2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</si>
</sst>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_ "/>
    <numFmt numFmtId="177" formatCode="0.0%"/>
  </numFmts>
  <fonts count="4" x14ac:knownFonts="1">
    <font>
      <sz val="11"/>
      <color theme="1"/>
      <name val="游ゴシック"/>
      <family val="2"/>
      <charset val="128"/>
      <scheme val="minor"/>
    </font>
    <font>
      <b/>
      <sz val="15"/>
      <color theme="3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FF"/>
        <bgColor indexed="64"/>
      </patternFill>
    </fill>
  </fills>
  <borders count="21">
    <border>
      <left/>
      <right/>
      <top/>
      <bottom/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/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thin">
        <color auto="1"/>
      </top>
      <bottom style="thin">
        <color auto="1"/>
      </bottom>
      <diagonal/>
    </border>
    <border>
      <left/>
      <right style="hair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47">
    <xf numFmtId="0" fontId="0" fillId="0" borderId="0" xfId="0">
      <alignment vertical="center"/>
    </xf>
    <xf numFmtId="0" fontId="0" fillId="0" borderId="1" xfId="0" applyBorder="1">
      <alignment vertical="center"/>
    </xf>
    <xf numFmtId="0" fontId="0" fillId="0" borderId="2" xfId="0" applyBorder="1">
      <alignment vertical="center"/>
    </xf>
    <xf numFmtId="0" fontId="0" fillId="0" borderId="3" xfId="0" applyBorder="1">
      <alignment vertical="center"/>
    </xf>
    <xf numFmtId="0" fontId="0" fillId="0" borderId="4" xfId="0" applyBorder="1">
      <alignment vertical="center"/>
    </xf>
    <xf numFmtId="176" fontId="0" fillId="0" borderId="4" xfId="0" applyNumberFormat="1" applyBorder="1">
      <alignment vertical="center"/>
    </xf>
    <xf numFmtId="177" fontId="0" fillId="0" borderId="4" xfId="0" applyNumberFormat="1" applyBorder="1">
      <alignment vertical="center"/>
    </xf>
    <xf numFmtId="0" fontId="0" fillId="2" borderId="4" xfId="0" applyFill="1" applyBorder="1">
      <alignment vertical="center"/>
    </xf>
    <xf numFmtId="0" fontId="0" fillId="0" borderId="5" xfId="0" applyBorder="1">
      <alignment vertical="center"/>
    </xf>
    <xf numFmtId="0" fontId="0" fillId="0" borderId="6" xfId="0" applyBorder="1">
      <alignment vertical="center"/>
    </xf>
    <xf numFmtId="0" fontId="0" fillId="0" borderId="7" xfId="0" applyBorder="1">
      <alignment vertical="center"/>
    </xf>
    <xf numFmtId="0" fontId="0" fillId="0" borderId="6" xfId="0" applyBorder="1" applyAlignment="1">
      <alignment horizontal="center" vertical="center"/>
    </xf>
    <xf numFmtId="0" fontId="0" fillId="0" borderId="2" xfId="0" applyBorder="1" applyAlignment="1">
      <alignment vertical="center" wrapText="1"/>
    </xf>
    <xf numFmtId="0" fontId="0" fillId="2" borderId="2" xfId="0" applyFill="1" applyBorder="1">
      <alignment vertical="center"/>
    </xf>
    <xf numFmtId="0" fontId="0" fillId="3" borderId="2" xfId="0" applyFill="1" applyBorder="1" applyAlignment="1">
      <alignment vertical="center" wrapText="1"/>
    </xf>
    <xf numFmtId="0" fontId="0" fillId="0" borderId="8" xfId="0" applyBorder="1">
      <alignment vertical="center"/>
    </xf>
    <xf numFmtId="0" fontId="0" fillId="0" borderId="9" xfId="0" applyBorder="1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4" borderId="2" xfId="0" applyFill="1" applyBorder="1" applyAlignment="1">
      <alignment vertical="center" wrapText="1"/>
    </xf>
    <xf numFmtId="0" fontId="0" fillId="4" borderId="4" xfId="0" applyFill="1" applyBorder="1">
      <alignment vertical="center"/>
    </xf>
    <xf numFmtId="0" fontId="0" fillId="2" borderId="6" xfId="0" applyFill="1" applyBorder="1" applyAlignment="1">
      <alignment horizontal="center" vertical="center"/>
    </xf>
    <xf numFmtId="0" fontId="0" fillId="2" borderId="12" xfId="0" applyFill="1" applyBorder="1">
      <alignment vertical="center"/>
    </xf>
    <xf numFmtId="0" fontId="0" fillId="2" borderId="14" xfId="0" applyFill="1" applyBorder="1">
      <alignment vertical="center"/>
    </xf>
    <xf numFmtId="0" fontId="0" fillId="2" borderId="13" xfId="0" applyFill="1" applyBorder="1">
      <alignment vertical="center"/>
    </xf>
    <xf numFmtId="0" fontId="0" fillId="5" borderId="2" xfId="0" applyFill="1" applyBorder="1">
      <alignment vertical="center"/>
    </xf>
    <xf numFmtId="0" fontId="0" fillId="5" borderId="6" xfId="0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0" fillId="0" borderId="17" xfId="0" applyBorder="1">
      <alignment vertical="center"/>
    </xf>
    <xf numFmtId="0" fontId="0" fillId="0" borderId="0" xfId="0" applyNumberFormat="1">
      <alignment vertical="center"/>
    </xf>
    <xf numFmtId="0" fontId="0" fillId="0" borderId="6" xfId="0" applyNumberFormat="1" applyBorder="1" applyAlignment="1">
      <alignment horizontal="center" vertical="center"/>
    </xf>
    <xf numFmtId="0" fontId="0" fillId="0" borderId="2" xfId="0" applyNumberFormat="1" applyBorder="1">
      <alignment vertical="center"/>
    </xf>
    <xf numFmtId="0" fontId="0" fillId="0" borderId="4" xfId="0" applyNumberFormat="1" applyBorder="1">
      <alignment vertical="center"/>
    </xf>
    <xf numFmtId="0" fontId="0" fillId="0" borderId="0" xfId="0" applyFill="1" applyBorder="1">
      <alignment vertical="center"/>
    </xf>
    <xf numFmtId="0" fontId="0" fillId="0" borderId="19" xfId="0" applyBorder="1" applyAlignment="1">
      <alignment horizontal="center" vertical="center"/>
    </xf>
    <xf numFmtId="0" fontId="0" fillId="0" borderId="20" xfId="0" applyBorder="1">
      <alignment vertical="center"/>
    </xf>
    <xf numFmtId="0" fontId="0" fillId="0" borderId="2" xfId="0" applyNumberFormat="1" applyBorder="1" applyAlignment="1">
      <alignment vertical="center" wrapText="1"/>
    </xf>
    <xf numFmtId="0" fontId="0" fillId="0" borderId="18" xfId="0" applyFill="1" applyBorder="1" applyAlignment="1">
      <alignment vertical="center" wrapText="1"/>
    </xf>
    <xf numFmtId="0" fontId="0" fillId="0" borderId="0" xfId="0" applyFill="1" applyBorder="1" applyAlignment="1">
      <alignment vertical="center" wrapText="1"/>
    </xf>
    <xf numFmtId="0" fontId="0" fillId="6" borderId="3" xfId="0" applyFill="1" applyBorder="1">
      <alignment vertical="center"/>
    </xf>
    <xf numFmtId="0" fontId="3" fillId="5" borderId="4" xfId="0" applyFont="1" applyFill="1" applyBorder="1">
      <alignment vertical="center"/>
    </xf>
    <xf numFmtId="0" fontId="0" fillId="0" borderId="12" xfId="0" applyBorder="1" applyAlignment="1">
      <alignment horizontal="center" vertical="center"/>
    </xf>
    <xf numFmtId="0" fontId="0" fillId="0" borderId="14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" borderId="16" xfId="0" applyFill="1" applyBorder="1" applyAlignment="1">
      <alignment horizontal="center" vertical="center"/>
    </xf>
  </cellXfs>
  <cellStyles count="1">
    <cellStyle name="標準" xfId="0" builtinId="0"/>
  </cellStyles>
  <dxfs count="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colors>
    <mruColors>
      <color rgb="FFFFCCFF"/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1660CF-9003-4B2D-B659-7F339ED5B476}">
  <dimension ref="A1:BN36"/>
  <sheetViews>
    <sheetView tabSelected="1" zoomScale="90" zoomScaleNormal="90" workbookViewId="0">
      <pane xSplit="7" ySplit="4" topLeftCell="L17" activePane="bottomRight" state="frozen"/>
      <selection pane="topRight" activeCell="G1" sqref="G1"/>
      <selection pane="bottomLeft" activeCell="A5" sqref="A5"/>
      <selection pane="bottomRight" activeCell="F1" sqref="F1"/>
    </sheetView>
  </sheetViews>
  <sheetFormatPr defaultRowHeight="18.75" outlineLevelCol="1" x14ac:dyDescent="0.4"/>
  <cols>
    <col min="1" max="1" width="4.625" customWidth="1"/>
    <col min="2" max="2" width="5.75" customWidth="1"/>
    <col min="6" max="6" width="48.375" customWidth="1"/>
    <col min="7" max="7" width="15.5" bestFit="1" customWidth="1"/>
    <col min="8" max="11" width="7.5" hidden="1" customWidth="1" outlineLevel="1"/>
    <col min="12" max="12" width="7.625" customWidth="1" collapsed="1"/>
    <col min="13" max="16" width="7.625" customWidth="1"/>
    <col min="17" max="21" width="7.625" customWidth="1" outlineLevel="1"/>
    <col min="22" max="22" width="7.5" customWidth="1"/>
    <col min="23" max="25" width="7.625" customWidth="1"/>
    <col min="26" max="26" width="4.375" customWidth="1" collapsed="1"/>
    <col min="27" max="28" width="7.625" customWidth="1"/>
    <col min="29" max="29" width="6.125" style="29" customWidth="1"/>
    <col min="30" max="30" width="7.625" customWidth="1"/>
    <col min="31" max="31" width="7.625" style="29" customWidth="1"/>
    <col min="32" max="32" width="7.625" customWidth="1"/>
    <col min="33" max="33" width="7.625" style="29" customWidth="1"/>
    <col min="34" max="36" width="7.625" customWidth="1"/>
    <col min="37" max="39" width="7.625" customWidth="1" outlineLevel="1"/>
    <col min="40" max="42" width="7.625" customWidth="1"/>
    <col min="43" max="51" width="7.625" customWidth="1" outlineLevel="1"/>
    <col min="52" max="65" width="7.625" customWidth="1"/>
  </cols>
  <sheetData>
    <row r="1" spans="1:66" x14ac:dyDescent="0.4">
      <c r="C1" s="28" t="s">
        <v>42</v>
      </c>
      <c r="V1" s="44" t="s">
        <v>40</v>
      </c>
      <c r="W1" s="45"/>
      <c r="X1" s="45"/>
      <c r="Y1" s="46"/>
    </row>
    <row r="2" spans="1:66" x14ac:dyDescent="0.4">
      <c r="C2" s="8" t="s">
        <v>28</v>
      </c>
      <c r="D2" s="9" t="s">
        <v>29</v>
      </c>
      <c r="E2" s="9" t="s">
        <v>30</v>
      </c>
      <c r="F2" s="10"/>
      <c r="G2" s="10"/>
      <c r="H2" s="35"/>
      <c r="I2" s="35"/>
      <c r="J2" s="41" t="s">
        <v>31</v>
      </c>
      <c r="K2" s="43"/>
      <c r="L2" s="41" t="s">
        <v>1</v>
      </c>
      <c r="M2" s="42"/>
      <c r="N2" s="42"/>
      <c r="O2" s="43"/>
      <c r="P2" s="11"/>
      <c r="Q2" s="34"/>
      <c r="R2" s="34"/>
      <c r="S2" s="34"/>
      <c r="T2" s="34"/>
      <c r="U2" s="34"/>
      <c r="V2" s="22"/>
      <c r="W2" s="23" t="s">
        <v>34</v>
      </c>
      <c r="X2" s="23"/>
      <c r="Y2" s="24" t="s">
        <v>34</v>
      </c>
      <c r="Z2" s="10"/>
      <c r="AA2" s="9" t="s">
        <v>39</v>
      </c>
      <c r="AB2" s="11"/>
      <c r="AC2" s="30"/>
      <c r="AD2" s="11"/>
      <c r="AE2" s="30"/>
      <c r="AF2" s="11"/>
      <c r="AG2" s="30"/>
      <c r="AH2" s="21" t="s">
        <v>101</v>
      </c>
      <c r="AI2" s="11"/>
      <c r="AJ2" s="11"/>
      <c r="AK2" s="26" t="s">
        <v>102</v>
      </c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>
        <v>51</v>
      </c>
      <c r="BG2">
        <v>14</v>
      </c>
      <c r="BH2">
        <v>28</v>
      </c>
    </row>
    <row r="3" spans="1:66" ht="75" x14ac:dyDescent="0.4">
      <c r="A3" s="1" t="s">
        <v>49</v>
      </c>
      <c r="B3" s="1" t="s">
        <v>54</v>
      </c>
      <c r="C3" s="2" t="s">
        <v>2</v>
      </c>
      <c r="D3" s="2" t="s">
        <v>6</v>
      </c>
      <c r="E3" s="2" t="s">
        <v>7</v>
      </c>
      <c r="F3" s="2" t="s">
        <v>0</v>
      </c>
      <c r="G3" s="12" t="s">
        <v>4</v>
      </c>
      <c r="H3" s="12" t="s">
        <v>51</v>
      </c>
      <c r="I3" s="12" t="s">
        <v>52</v>
      </c>
      <c r="J3" s="12" t="s">
        <v>25</v>
      </c>
      <c r="K3" s="12" t="s">
        <v>26</v>
      </c>
      <c r="L3" s="12" t="s">
        <v>64</v>
      </c>
      <c r="M3" s="2" t="s">
        <v>5</v>
      </c>
      <c r="N3" s="2" t="s">
        <v>62</v>
      </c>
      <c r="O3" s="2" t="s">
        <v>13</v>
      </c>
      <c r="P3" s="12" t="s">
        <v>46</v>
      </c>
      <c r="Q3" s="12" t="s">
        <v>17</v>
      </c>
      <c r="R3" s="12" t="s">
        <v>18</v>
      </c>
      <c r="S3" s="12" t="s">
        <v>47</v>
      </c>
      <c r="T3" s="12" t="s">
        <v>20</v>
      </c>
      <c r="U3" s="12" t="s">
        <v>21</v>
      </c>
      <c r="V3" s="12" t="s">
        <v>60</v>
      </c>
      <c r="W3" s="12" t="s">
        <v>61</v>
      </c>
      <c r="X3" s="2" t="s">
        <v>62</v>
      </c>
      <c r="Y3" s="12" t="s">
        <v>63</v>
      </c>
      <c r="Z3" s="14" t="s">
        <v>3</v>
      </c>
      <c r="AA3" s="19" t="s">
        <v>14</v>
      </c>
      <c r="AB3" s="2" t="s">
        <v>13</v>
      </c>
      <c r="AC3" s="31" t="s">
        <v>43</v>
      </c>
      <c r="AD3" s="12" t="s">
        <v>65</v>
      </c>
      <c r="AE3" s="36" t="s">
        <v>53</v>
      </c>
      <c r="AF3" s="2" t="s">
        <v>13</v>
      </c>
      <c r="AG3" s="31"/>
      <c r="AH3" s="13" t="s">
        <v>32</v>
      </c>
      <c r="AI3" s="2" t="s">
        <v>13</v>
      </c>
      <c r="AJ3" s="2" t="s">
        <v>33</v>
      </c>
      <c r="AK3" s="25" t="s">
        <v>35</v>
      </c>
      <c r="AL3" s="12" t="s">
        <v>36</v>
      </c>
      <c r="AM3" s="12" t="s">
        <v>37</v>
      </c>
      <c r="AN3" s="12" t="s">
        <v>27</v>
      </c>
      <c r="AO3" s="12" t="s">
        <v>38</v>
      </c>
      <c r="AP3" s="12" t="s">
        <v>15</v>
      </c>
      <c r="AQ3" s="12" t="s">
        <v>16</v>
      </c>
      <c r="AR3" s="12" t="s">
        <v>17</v>
      </c>
      <c r="AS3" s="12" t="s">
        <v>18</v>
      </c>
      <c r="AT3" s="12" t="s">
        <v>19</v>
      </c>
      <c r="AU3" s="12" t="s">
        <v>20</v>
      </c>
      <c r="AV3" s="12" t="s">
        <v>21</v>
      </c>
      <c r="AW3" s="12" t="s">
        <v>22</v>
      </c>
      <c r="AX3" s="12" t="s">
        <v>23</v>
      </c>
      <c r="AY3" s="12" t="s">
        <v>24</v>
      </c>
      <c r="AZ3" s="2" t="s">
        <v>8</v>
      </c>
      <c r="BA3" s="2" t="s">
        <v>9</v>
      </c>
      <c r="BB3" s="2" t="s">
        <v>10</v>
      </c>
      <c r="BC3" s="2" t="s">
        <v>11</v>
      </c>
      <c r="BD3" s="12" t="s">
        <v>41</v>
      </c>
      <c r="BE3" s="2" t="s">
        <v>55</v>
      </c>
      <c r="BF3" s="2" t="s">
        <v>12</v>
      </c>
      <c r="BG3" s="17" t="s">
        <v>44</v>
      </c>
      <c r="BH3" s="17" t="s">
        <v>45</v>
      </c>
      <c r="BI3" s="15" t="s">
        <v>50</v>
      </c>
      <c r="BJ3" s="37" t="s">
        <v>56</v>
      </c>
      <c r="BK3" s="38" t="s">
        <v>58</v>
      </c>
      <c r="BL3" s="38" t="s">
        <v>57</v>
      </c>
      <c r="BM3" s="38" t="s">
        <v>59</v>
      </c>
      <c r="BN3" s="33" t="s">
        <v>48</v>
      </c>
    </row>
    <row r="4" spans="1:66" x14ac:dyDescent="0.4">
      <c r="A4" s="3">
        <v>1</v>
      </c>
      <c r="B4" s="3">
        <v>1</v>
      </c>
      <c r="C4" s="4">
        <v>511146</v>
      </c>
      <c r="D4" s="4" t="str">
        <f>TEXT(C4,"000000")</f>
        <v>511146</v>
      </c>
      <c r="E4" s="4">
        <v>511146</v>
      </c>
      <c r="F4" s="4" t="s">
        <v>66</v>
      </c>
      <c r="G4" s="5"/>
      <c r="H4" s="5"/>
      <c r="I4" s="5"/>
      <c r="J4" s="5">
        <f t="shared" ref="J4:J36" si="0">COUNTIF(E:E,E4)</f>
        <v>1</v>
      </c>
      <c r="K4" s="5"/>
      <c r="L4" s="4">
        <v>0</v>
      </c>
      <c r="M4" s="4">
        <v>768</v>
      </c>
      <c r="N4" s="4">
        <v>542.38</v>
      </c>
      <c r="O4" s="6">
        <f>IFERROR(1-N4/M4,"-")</f>
        <v>0.29377604166666671</v>
      </c>
      <c r="P4" s="4" t="s">
        <v>99</v>
      </c>
      <c r="Q4" s="4" t="s">
        <v>99</v>
      </c>
      <c r="R4" s="4" t="s">
        <v>99</v>
      </c>
      <c r="S4" s="4" t="s">
        <v>99</v>
      </c>
      <c r="T4" s="4" t="s">
        <v>99</v>
      </c>
      <c r="U4" s="4" t="s">
        <v>99</v>
      </c>
      <c r="V4" s="4">
        <v>0</v>
      </c>
      <c r="W4" s="4">
        <f>IF(Z4="",V4,V4*Z4)</f>
        <v>0</v>
      </c>
      <c r="X4" s="4">
        <v>598.85</v>
      </c>
      <c r="Y4" s="4">
        <f>IF(Z4="",X4,X4*Z4)</f>
        <v>598.85</v>
      </c>
      <c r="Z4" s="4"/>
      <c r="AA4" s="20">
        <f t="shared" ref="AA4:AA36" si="1">ROUND(M4*AP4,0)</f>
        <v>848</v>
      </c>
      <c r="AB4" s="6">
        <f>IFERROR(1-Y4/AA4,"-")</f>
        <v>0.29380896226415087</v>
      </c>
      <c r="AC4" s="32"/>
      <c r="AD4" s="4">
        <f t="shared" ref="AD4:AD36" si="2">BF4</f>
        <v>0</v>
      </c>
      <c r="AE4" s="32">
        <f>IFERROR(AD4*AP4,"-")</f>
        <v>0</v>
      </c>
      <c r="AF4" s="6" t="str">
        <f>IFERROR(1-Y4/AE4,"-")</f>
        <v>-</v>
      </c>
      <c r="AG4" s="32">
        <f>AM4-AK4*0.1</f>
        <v>256.14999999999998</v>
      </c>
      <c r="AH4" s="7">
        <v>850</v>
      </c>
      <c r="AI4" s="6">
        <f t="shared" ref="AI4:AI7" si="3">1-Y4/AH4</f>
        <v>0.29547058823529404</v>
      </c>
      <c r="AJ4" s="4">
        <f t="shared" ref="AJ4:AJ7" si="4">AH4-Y4</f>
        <v>251.14999999999998</v>
      </c>
      <c r="AK4" s="40">
        <v>950</v>
      </c>
      <c r="AL4" s="6">
        <f>1-Y4/AK4</f>
        <v>0.36963157894736842</v>
      </c>
      <c r="AM4" s="4">
        <f>AK4-Y4</f>
        <v>351.15</v>
      </c>
      <c r="AN4" s="6" t="str">
        <f t="shared" ref="AN4:AN36" si="5">IFERROR(W4/L4,"-")</f>
        <v>-</v>
      </c>
      <c r="AO4" s="6">
        <f t="shared" ref="AO4:AO36" si="6">IFERROR(AH4/M4,"-")</f>
        <v>1.1067708333333333</v>
      </c>
      <c r="AP4" s="6">
        <f t="shared" ref="AP4:AP36" si="7">IFERROR(Y4/N4,"-")</f>
        <v>1.1041151959880526</v>
      </c>
      <c r="AQ4" s="4" t="str">
        <f>IFERROR(ROUND($AH4*P4/$M4,0),"-")</f>
        <v>-</v>
      </c>
      <c r="AR4" s="4" t="str">
        <f>IF(Q4="","-",Q4)</f>
        <v>-</v>
      </c>
      <c r="AS4" s="4" t="str">
        <f>IF(R4="","-",R4)</f>
        <v>-</v>
      </c>
      <c r="AT4" s="4" t="str">
        <f>IFERROR(ROUND($AH4*S4/$M4,0),"-")</f>
        <v>-</v>
      </c>
      <c r="AU4" s="4" t="str">
        <f>IF(T4="","-",T4)</f>
        <v>-</v>
      </c>
      <c r="AV4" s="4" t="str">
        <f>IF(U4="","-",U4)</f>
        <v>-</v>
      </c>
      <c r="AW4" s="4"/>
      <c r="AX4" s="4"/>
      <c r="AY4" s="4"/>
      <c r="AZ4" s="4"/>
      <c r="BA4" s="4"/>
      <c r="BB4" s="4"/>
      <c r="BC4" s="4"/>
      <c r="BD4" s="4"/>
      <c r="BE4" s="4">
        <f>IFERROR(ROUNDUP(BD4/1.1,0),"-")</f>
        <v>0</v>
      </c>
      <c r="BF4" s="4">
        <f t="shared" ref="BF4" si="8">IF(BB4="",BE4,BB4/BC4*BE4)</f>
        <v>0</v>
      </c>
      <c r="BG4" s="18">
        <v>4</v>
      </c>
      <c r="BH4" s="18"/>
      <c r="BI4" s="16"/>
      <c r="BK4">
        <f>IFERROR(BJ4*AP4,"-")</f>
        <v>0</v>
      </c>
      <c r="BM4">
        <f>IFERROR(BL4*AP4,"-")</f>
        <v>0</v>
      </c>
    </row>
    <row r="5" spans="1:66" x14ac:dyDescent="0.4">
      <c r="A5" s="39">
        <v>2</v>
      </c>
      <c r="B5" s="3">
        <v>2</v>
      </c>
      <c r="C5" s="4">
        <v>511182</v>
      </c>
      <c r="D5" s="4" t="str">
        <f t="shared" ref="D5" si="9">TEXT(C5,"000000")</f>
        <v>511182</v>
      </c>
      <c r="E5" s="4">
        <v>511182</v>
      </c>
      <c r="F5" s="4" t="s">
        <v>67</v>
      </c>
      <c r="G5" s="5"/>
      <c r="H5" s="5"/>
      <c r="I5" s="5"/>
      <c r="J5" s="5">
        <f t="shared" si="0"/>
        <v>1</v>
      </c>
      <c r="K5" s="5"/>
      <c r="L5" s="4">
        <v>0</v>
      </c>
      <c r="M5" s="4">
        <v>4360</v>
      </c>
      <c r="N5" s="4">
        <v>3254.28</v>
      </c>
      <c r="O5" s="6">
        <f t="shared" ref="O5:O7" si="10">IFERROR(1-N5/M5,"-")</f>
        <v>0.25360550458715592</v>
      </c>
      <c r="P5" s="4">
        <v>4300</v>
      </c>
      <c r="Q5" s="4">
        <v>3</v>
      </c>
      <c r="R5" s="4">
        <v>4</v>
      </c>
      <c r="S5" s="4">
        <v>4250</v>
      </c>
      <c r="T5" s="4">
        <v>5</v>
      </c>
      <c r="U5" s="4">
        <v>99999</v>
      </c>
      <c r="V5" s="4">
        <v>0</v>
      </c>
      <c r="W5" s="4">
        <f t="shared" ref="W5" si="11">IF(Z5="",V5,V5*Z5)</f>
        <v>0</v>
      </c>
      <c r="X5" s="4">
        <v>3593.1</v>
      </c>
      <c r="Y5" s="4">
        <f t="shared" ref="Y5" si="12">IF(Z5="",X5,X5*Z5)</f>
        <v>3593.1</v>
      </c>
      <c r="Z5" s="4"/>
      <c r="AA5" s="20">
        <f t="shared" si="1"/>
        <v>4814</v>
      </c>
      <c r="AB5" s="6">
        <f t="shared" ref="AB5:AB7" si="13">IFERROR(1-Y5/AA5,"-")</f>
        <v>0.2536144578313253</v>
      </c>
      <c r="AC5" s="32"/>
      <c r="AD5" s="4">
        <f t="shared" si="2"/>
        <v>0</v>
      </c>
      <c r="AE5" s="32">
        <f t="shared" ref="AE5:AE7" si="14">IFERROR(AD5*AP5,"-")</f>
        <v>0</v>
      </c>
      <c r="AF5" s="6" t="str">
        <f t="shared" ref="AF5:AF7" si="15">IFERROR(1-Y5/AE5,"-")</f>
        <v>-</v>
      </c>
      <c r="AG5" s="32">
        <f t="shared" ref="AG5:AG9" si="16">AM5-AK5*0.1</f>
        <v>1266.9000000000001</v>
      </c>
      <c r="AH5" s="7">
        <v>4790</v>
      </c>
      <c r="AI5" s="6">
        <f t="shared" si="3"/>
        <v>0.24987473903966595</v>
      </c>
      <c r="AJ5" s="4">
        <f t="shared" si="4"/>
        <v>1196.9000000000001</v>
      </c>
      <c r="AK5" s="40">
        <v>5400</v>
      </c>
      <c r="AL5" s="6">
        <f t="shared" ref="AL5:AL36" si="17">1-Y5/AK5</f>
        <v>0.33461111111111108</v>
      </c>
      <c r="AM5" s="4">
        <f t="shared" ref="AM5:AM36" si="18">AK5-Y5</f>
        <v>1806.9</v>
      </c>
      <c r="AN5" s="6" t="str">
        <f t="shared" si="5"/>
        <v>-</v>
      </c>
      <c r="AO5" s="6">
        <f t="shared" si="6"/>
        <v>1.0986238532110091</v>
      </c>
      <c r="AP5" s="6">
        <f t="shared" si="7"/>
        <v>1.1041151959880526</v>
      </c>
      <c r="AQ5" s="4">
        <v>4725</v>
      </c>
      <c r="AR5" s="4">
        <f t="shared" ref="AR5:AR36" si="19">IF(Q5="","-",Q5)</f>
        <v>3</v>
      </c>
      <c r="AS5" s="4">
        <f t="shared" ref="AS5:AS36" si="20">IF(R5="","-",R5)</f>
        <v>4</v>
      </c>
      <c r="AT5" s="4">
        <v>4670</v>
      </c>
      <c r="AU5" s="4">
        <f t="shared" ref="AU5:AU36" si="21">IF(T5="","-",T5)</f>
        <v>5</v>
      </c>
      <c r="AV5" s="4">
        <f t="shared" ref="AV5:AV36" si="22">IF(U5="","-",U5)</f>
        <v>99999</v>
      </c>
      <c r="AW5" s="6">
        <f>1-Y5/AT5</f>
        <v>0.23059957173447543</v>
      </c>
      <c r="AX5" s="6">
        <f>AQ5/AH5</f>
        <v>0.98643006263048016</v>
      </c>
      <c r="AY5" s="6">
        <f>AT5/AH5</f>
        <v>0.97494780793319413</v>
      </c>
      <c r="AZ5" s="4"/>
      <c r="BA5" s="4"/>
      <c r="BB5" s="4"/>
      <c r="BC5" s="4"/>
      <c r="BD5" s="4"/>
      <c r="BE5" s="4">
        <f t="shared" ref="BE5" si="23">IFERROR(ROUNDUP(BD5/1.1,0),"-")</f>
        <v>0</v>
      </c>
      <c r="BF5" s="4">
        <f t="shared" ref="BF5" si="24">IF(BB5="",BE5,BB5/BC5*BE5)</f>
        <v>0</v>
      </c>
      <c r="BG5" s="18">
        <v>2</v>
      </c>
      <c r="BH5" s="18"/>
      <c r="BI5" s="16"/>
    </row>
    <row r="6" spans="1:66" x14ac:dyDescent="0.4">
      <c r="A6" s="3">
        <v>3</v>
      </c>
      <c r="B6" s="3">
        <v>3</v>
      </c>
      <c r="C6" s="4">
        <v>511191</v>
      </c>
      <c r="D6" s="4" t="str">
        <f t="shared" ref="D6:D7" si="25">TEXT(C6,"000000")</f>
        <v>511191</v>
      </c>
      <c r="E6" s="4">
        <v>511191</v>
      </c>
      <c r="F6" s="4" t="s">
        <v>68</v>
      </c>
      <c r="G6" s="5"/>
      <c r="H6" s="5"/>
      <c r="I6" s="5"/>
      <c r="J6" s="5">
        <f t="shared" si="0"/>
        <v>1</v>
      </c>
      <c r="K6" s="5"/>
      <c r="L6" s="4">
        <v>0</v>
      </c>
      <c r="M6" s="4">
        <v>835</v>
      </c>
      <c r="N6" s="4">
        <v>640.13</v>
      </c>
      <c r="O6" s="6">
        <f t="shared" si="10"/>
        <v>0.23337724550898209</v>
      </c>
      <c r="P6" s="4">
        <v>810</v>
      </c>
      <c r="Q6" s="4">
        <v>3</v>
      </c>
      <c r="R6" s="4">
        <v>99999</v>
      </c>
      <c r="S6" s="4" t="s">
        <v>99</v>
      </c>
      <c r="T6" s="4" t="s">
        <v>99</v>
      </c>
      <c r="U6" s="4" t="s">
        <v>99</v>
      </c>
      <c r="V6" s="4">
        <v>0</v>
      </c>
      <c r="W6" s="4">
        <f t="shared" ref="W6:W7" si="26">IF(Z6="",V6,V6*Z6)</f>
        <v>0</v>
      </c>
      <c r="X6" s="4">
        <v>705.91</v>
      </c>
      <c r="Y6" s="4">
        <f t="shared" ref="Y6:Y7" si="27">IF(Z6="",X6,X6*Z6)</f>
        <v>705.91</v>
      </c>
      <c r="Z6" s="4"/>
      <c r="AA6" s="20">
        <f t="shared" si="1"/>
        <v>921</v>
      </c>
      <c r="AB6" s="6">
        <f t="shared" si="13"/>
        <v>0.23353963083604778</v>
      </c>
      <c r="AC6" s="32"/>
      <c r="AD6" s="4">
        <f t="shared" si="2"/>
        <v>0</v>
      </c>
      <c r="AE6" s="32">
        <f t="shared" si="14"/>
        <v>0</v>
      </c>
      <c r="AF6" s="6" t="str">
        <f t="shared" si="15"/>
        <v>-</v>
      </c>
      <c r="AG6" s="32">
        <f t="shared" si="16"/>
        <v>284.09000000000003</v>
      </c>
      <c r="AH6" s="7">
        <v>928</v>
      </c>
      <c r="AI6" s="6">
        <f t="shared" si="3"/>
        <v>0.23932112068965516</v>
      </c>
      <c r="AJ6" s="4">
        <f t="shared" si="4"/>
        <v>222.09000000000003</v>
      </c>
      <c r="AK6" s="40">
        <v>1100</v>
      </c>
      <c r="AL6" s="6">
        <f t="shared" si="17"/>
        <v>0.35826363636363634</v>
      </c>
      <c r="AM6" s="4">
        <f t="shared" si="18"/>
        <v>394.09000000000003</v>
      </c>
      <c r="AN6" s="6" t="str">
        <f t="shared" si="5"/>
        <v>-</v>
      </c>
      <c r="AO6" s="6">
        <f t="shared" si="6"/>
        <v>1.1113772455089821</v>
      </c>
      <c r="AP6" s="6">
        <f t="shared" si="7"/>
        <v>1.1027603767984628</v>
      </c>
      <c r="AQ6" s="4" t="s">
        <v>100</v>
      </c>
      <c r="AR6" s="4" t="s">
        <v>100</v>
      </c>
      <c r="AS6" s="4" t="s">
        <v>100</v>
      </c>
      <c r="AT6" s="4" t="str">
        <f t="shared" ref="AT6:AT36" si="28">IFERROR(ROUND($AH6*S6/$M6,0),"-")</f>
        <v>-</v>
      </c>
      <c r="AU6" s="4" t="str">
        <f t="shared" si="21"/>
        <v>-</v>
      </c>
      <c r="AV6" s="4" t="str">
        <f t="shared" si="22"/>
        <v>-</v>
      </c>
      <c r="AW6" s="6" t="e">
        <f>1-Y6/AQ6</f>
        <v>#VALUE!</v>
      </c>
      <c r="AX6" s="6" t="e">
        <f>AQ6/AH6</f>
        <v>#VALUE!</v>
      </c>
      <c r="AY6" s="6" t="e">
        <f>AT6/AH6</f>
        <v>#VALUE!</v>
      </c>
      <c r="AZ6" s="4"/>
      <c r="BA6" s="4"/>
      <c r="BB6" s="4"/>
      <c r="BC6" s="4"/>
      <c r="BD6" s="4"/>
      <c r="BE6" s="4">
        <f t="shared" ref="BE6:BE7" si="29">IFERROR(ROUNDUP(BD6/1.1,0),"-")</f>
        <v>0</v>
      </c>
      <c r="BF6" s="4">
        <f t="shared" ref="BF6:BF7" si="30">IF(BB6="",BE6,BB6/BC6*BE6)</f>
        <v>0</v>
      </c>
      <c r="BG6" s="18">
        <v>4</v>
      </c>
      <c r="BH6" s="18"/>
      <c r="BI6" s="16"/>
    </row>
    <row r="7" spans="1:66" x14ac:dyDescent="0.4">
      <c r="A7" s="39">
        <v>4</v>
      </c>
      <c r="B7" s="3">
        <v>4</v>
      </c>
      <c r="C7" s="4">
        <v>511245</v>
      </c>
      <c r="D7" s="4" t="str">
        <f t="shared" si="25"/>
        <v>511245</v>
      </c>
      <c r="E7" s="4">
        <v>511245</v>
      </c>
      <c r="F7" s="4" t="s">
        <v>69</v>
      </c>
      <c r="G7" s="5"/>
      <c r="H7" s="5"/>
      <c r="I7" s="5"/>
      <c r="J7" s="5">
        <f t="shared" si="0"/>
        <v>1</v>
      </c>
      <c r="K7" s="5"/>
      <c r="L7" s="4">
        <v>0</v>
      </c>
      <c r="M7" s="4">
        <v>4890</v>
      </c>
      <c r="N7" s="4">
        <v>3840.78</v>
      </c>
      <c r="O7" s="6">
        <f t="shared" si="10"/>
        <v>0.21456441717791408</v>
      </c>
      <c r="P7" s="4">
        <v>4850</v>
      </c>
      <c r="Q7" s="4">
        <v>3</v>
      </c>
      <c r="R7" s="4">
        <v>4</v>
      </c>
      <c r="S7" s="4">
        <v>4800</v>
      </c>
      <c r="T7" s="4">
        <v>5</v>
      </c>
      <c r="U7" s="4">
        <v>99999</v>
      </c>
      <c r="V7" s="4">
        <v>0</v>
      </c>
      <c r="W7" s="4">
        <f t="shared" si="26"/>
        <v>0</v>
      </c>
      <c r="X7" s="4">
        <v>4235.46</v>
      </c>
      <c r="Y7" s="4">
        <f t="shared" si="27"/>
        <v>4235.46</v>
      </c>
      <c r="Z7" s="4"/>
      <c r="AA7" s="20">
        <f t="shared" si="1"/>
        <v>5392</v>
      </c>
      <c r="AB7" s="6">
        <f t="shared" si="13"/>
        <v>0.21449183976261121</v>
      </c>
      <c r="AC7" s="32"/>
      <c r="AD7" s="4">
        <f t="shared" si="2"/>
        <v>0</v>
      </c>
      <c r="AE7" s="32">
        <f t="shared" si="14"/>
        <v>0</v>
      </c>
      <c r="AF7" s="6" t="str">
        <f t="shared" si="15"/>
        <v>-</v>
      </c>
      <c r="AG7" s="32">
        <f t="shared" si="16"/>
        <v>1164.54</v>
      </c>
      <c r="AH7" s="7">
        <v>5380</v>
      </c>
      <c r="AI7" s="6">
        <f t="shared" si="3"/>
        <v>0.2127397769516729</v>
      </c>
      <c r="AJ7" s="4">
        <f t="shared" si="4"/>
        <v>1144.54</v>
      </c>
      <c r="AK7" s="40">
        <v>6000</v>
      </c>
      <c r="AL7" s="6">
        <f t="shared" si="17"/>
        <v>0.29408999999999996</v>
      </c>
      <c r="AM7" s="4">
        <f t="shared" si="18"/>
        <v>1764.54</v>
      </c>
      <c r="AN7" s="6" t="str">
        <f t="shared" si="5"/>
        <v>-</v>
      </c>
      <c r="AO7" s="6">
        <f t="shared" si="6"/>
        <v>1.1002044989775051</v>
      </c>
      <c r="AP7" s="6">
        <f t="shared" si="7"/>
        <v>1.1027603767984628</v>
      </c>
      <c r="AQ7" s="4">
        <v>5320</v>
      </c>
      <c r="AR7" s="4">
        <f t="shared" si="19"/>
        <v>3</v>
      </c>
      <c r="AS7" s="4">
        <f t="shared" si="20"/>
        <v>4</v>
      </c>
      <c r="AT7" s="4">
        <v>5250</v>
      </c>
      <c r="AU7" s="4">
        <f t="shared" si="21"/>
        <v>5</v>
      </c>
      <c r="AV7" s="4">
        <f t="shared" si="22"/>
        <v>99999</v>
      </c>
      <c r="AW7" s="6">
        <f>1-Y7/AT7</f>
        <v>0.19324571428571424</v>
      </c>
      <c r="AX7" s="6">
        <f>AQ7/AH7</f>
        <v>0.98884758364312264</v>
      </c>
      <c r="AY7" s="6">
        <f>AT7/AH7</f>
        <v>0.97583643122676578</v>
      </c>
      <c r="AZ7" s="4"/>
      <c r="BA7" s="4"/>
      <c r="BB7" s="4"/>
      <c r="BC7" s="4"/>
      <c r="BD7" s="4"/>
      <c r="BE7" s="4">
        <f t="shared" si="29"/>
        <v>0</v>
      </c>
      <c r="BF7" s="4">
        <f t="shared" si="30"/>
        <v>0</v>
      </c>
      <c r="BG7" s="18">
        <v>2</v>
      </c>
      <c r="BH7" s="18"/>
      <c r="BI7" s="16"/>
    </row>
    <row r="8" spans="1:66" x14ac:dyDescent="0.4">
      <c r="A8" s="3">
        <v>5</v>
      </c>
      <c r="B8" s="3">
        <v>5</v>
      </c>
      <c r="C8" s="4">
        <v>511254</v>
      </c>
      <c r="D8" s="4" t="str">
        <f t="shared" ref="D8:D36" si="31">TEXT(C8,"000000")</f>
        <v>511254</v>
      </c>
      <c r="E8" s="4">
        <v>511254</v>
      </c>
      <c r="F8" s="4" t="s">
        <v>70</v>
      </c>
      <c r="G8" s="5"/>
      <c r="H8" s="5"/>
      <c r="I8" s="5"/>
      <c r="J8" s="5">
        <f t="shared" si="0"/>
        <v>1</v>
      </c>
      <c r="K8" s="5"/>
      <c r="L8" s="4">
        <v>0</v>
      </c>
      <c r="M8" s="4">
        <v>850</v>
      </c>
      <c r="N8" s="4">
        <v>706.06</v>
      </c>
      <c r="O8" s="6">
        <f t="shared" ref="O8:O36" si="32">IFERROR(1-N8/M8,"-")</f>
        <v>0.16934117647058833</v>
      </c>
      <c r="P8" s="4" t="s">
        <v>99</v>
      </c>
      <c r="Q8" s="4" t="s">
        <v>99</v>
      </c>
      <c r="R8" s="4" t="s">
        <v>99</v>
      </c>
      <c r="S8" s="4" t="s">
        <v>99</v>
      </c>
      <c r="T8" s="4" t="s">
        <v>99</v>
      </c>
      <c r="U8" s="4" t="s">
        <v>99</v>
      </c>
      <c r="V8" s="4">
        <v>0</v>
      </c>
      <c r="W8" s="4">
        <f t="shared" ref="W8:W36" si="33">IF(Z8="",V8,V8*Z8)</f>
        <v>0</v>
      </c>
      <c r="X8" s="4">
        <v>779.62</v>
      </c>
      <c r="Y8" s="4">
        <f t="shared" ref="Y8:Y36" si="34">IF(Z8="",X8,X8*Z8)</f>
        <v>779.62</v>
      </c>
      <c r="Z8" s="4"/>
      <c r="AA8" s="20">
        <f t="shared" si="1"/>
        <v>939</v>
      </c>
      <c r="AB8" s="6">
        <f t="shared" ref="AB8:AB36" si="35">IFERROR(1-Y8/AA8,"-")</f>
        <v>0.16973375931842383</v>
      </c>
      <c r="AC8" s="32"/>
      <c r="AD8" s="4">
        <f t="shared" si="2"/>
        <v>0</v>
      </c>
      <c r="AE8" s="32">
        <f t="shared" ref="AE8:AE36" si="36">IFERROR(AD8*AP8,"-")</f>
        <v>0</v>
      </c>
      <c r="AF8" s="6" t="str">
        <f t="shared" ref="AF8:AF36" si="37">IFERROR(1-Y8/AE8,"-")</f>
        <v>-</v>
      </c>
      <c r="AG8" s="32">
        <f t="shared" si="16"/>
        <v>300.38</v>
      </c>
      <c r="AH8" s="7">
        <v>990</v>
      </c>
      <c r="AI8" s="6">
        <f t="shared" ref="AI8:AI36" si="38">1-Y8/AH8</f>
        <v>0.21250505050505053</v>
      </c>
      <c r="AJ8" s="4">
        <f t="shared" ref="AJ8:AJ36" si="39">AH8-Y8</f>
        <v>210.38</v>
      </c>
      <c r="AK8" s="40">
        <v>1200</v>
      </c>
      <c r="AL8" s="6">
        <f t="shared" si="17"/>
        <v>0.35031666666666661</v>
      </c>
      <c r="AM8" s="4">
        <f t="shared" si="18"/>
        <v>420.38</v>
      </c>
      <c r="AN8" s="6" t="str">
        <f t="shared" si="5"/>
        <v>-</v>
      </c>
      <c r="AO8" s="6">
        <f t="shared" si="6"/>
        <v>1.1647058823529413</v>
      </c>
      <c r="AP8" s="6">
        <f t="shared" si="7"/>
        <v>1.1041837804152623</v>
      </c>
      <c r="AQ8" s="4" t="str">
        <f t="shared" ref="AQ8:AQ36" si="40">IFERROR(ROUND($AH8*P8/$M8,0),"-")</f>
        <v>-</v>
      </c>
      <c r="AR8" s="4" t="str">
        <f t="shared" si="19"/>
        <v>-</v>
      </c>
      <c r="AS8" s="4" t="str">
        <f t="shared" si="20"/>
        <v>-</v>
      </c>
      <c r="AT8" s="4" t="str">
        <f t="shared" si="28"/>
        <v>-</v>
      </c>
      <c r="AU8" s="4" t="str">
        <f t="shared" si="21"/>
        <v>-</v>
      </c>
      <c r="AV8" s="4" t="str">
        <f t="shared" si="22"/>
        <v>-</v>
      </c>
      <c r="AW8" s="4"/>
      <c r="AX8" s="4"/>
      <c r="AY8" s="4"/>
      <c r="AZ8" s="4"/>
      <c r="BA8" s="4"/>
      <c r="BB8" s="4"/>
      <c r="BC8" s="4"/>
      <c r="BD8" s="4"/>
      <c r="BE8" s="4">
        <f t="shared" ref="BE8:BE36" si="41">IFERROR(ROUNDUP(BD8/1.1,0),"-")</f>
        <v>0</v>
      </c>
      <c r="BF8" s="4">
        <f t="shared" ref="BF8:BF36" si="42">IF(BB8="",BE8,BB8/BC8*BE8)</f>
        <v>0</v>
      </c>
      <c r="BG8" s="18">
        <v>4</v>
      </c>
      <c r="BH8" s="18"/>
      <c r="BI8" s="16"/>
    </row>
    <row r="9" spans="1:66" x14ac:dyDescent="0.4">
      <c r="A9" s="39">
        <v>6</v>
      </c>
      <c r="B9" s="3">
        <v>6</v>
      </c>
      <c r="C9" s="4">
        <v>511353</v>
      </c>
      <c r="D9" s="4" t="str">
        <f t="shared" si="31"/>
        <v>511353</v>
      </c>
      <c r="E9" s="4">
        <v>511353</v>
      </c>
      <c r="F9" s="4" t="s">
        <v>71</v>
      </c>
      <c r="G9" s="5"/>
      <c r="H9" s="5"/>
      <c r="I9" s="5"/>
      <c r="J9" s="5">
        <f t="shared" si="0"/>
        <v>1</v>
      </c>
      <c r="K9" s="5"/>
      <c r="L9" s="4">
        <v>0</v>
      </c>
      <c r="M9" s="4">
        <v>4990</v>
      </c>
      <c r="N9" s="4">
        <v>4236.3599999999997</v>
      </c>
      <c r="O9" s="6">
        <f t="shared" si="32"/>
        <v>0.15103006012024056</v>
      </c>
      <c r="P9" s="4">
        <v>4940</v>
      </c>
      <c r="Q9" s="4">
        <v>3</v>
      </c>
      <c r="R9" s="4">
        <v>4</v>
      </c>
      <c r="S9" s="4">
        <v>4880</v>
      </c>
      <c r="T9" s="4">
        <v>5</v>
      </c>
      <c r="U9" s="4">
        <v>99999</v>
      </c>
      <c r="V9" s="4">
        <v>0</v>
      </c>
      <c r="W9" s="4">
        <f t="shared" si="33"/>
        <v>0</v>
      </c>
      <c r="X9" s="4">
        <v>4677.72</v>
      </c>
      <c r="Y9" s="4">
        <f t="shared" si="34"/>
        <v>4677.72</v>
      </c>
      <c r="Z9" s="4"/>
      <c r="AA9" s="20">
        <f t="shared" si="1"/>
        <v>5510</v>
      </c>
      <c r="AB9" s="6">
        <f t="shared" si="35"/>
        <v>0.15104900181488201</v>
      </c>
      <c r="AC9" s="32"/>
      <c r="AD9" s="4">
        <f t="shared" si="2"/>
        <v>0</v>
      </c>
      <c r="AE9" s="32">
        <f t="shared" si="36"/>
        <v>0</v>
      </c>
      <c r="AF9" s="6" t="str">
        <f t="shared" si="37"/>
        <v>-</v>
      </c>
      <c r="AG9" s="32">
        <f t="shared" si="16"/>
        <v>1262.2799999999997</v>
      </c>
      <c r="AH9" s="7">
        <v>5610</v>
      </c>
      <c r="AI9" s="6">
        <f t="shared" si="38"/>
        <v>0.1661818181818181</v>
      </c>
      <c r="AJ9" s="4">
        <f t="shared" si="39"/>
        <v>932.27999999999975</v>
      </c>
      <c r="AK9" s="40">
        <v>6600</v>
      </c>
      <c r="AL9" s="6">
        <f t="shared" si="17"/>
        <v>0.29125454545454543</v>
      </c>
      <c r="AM9" s="4">
        <f t="shared" si="18"/>
        <v>1922.2799999999997</v>
      </c>
      <c r="AN9" s="6" t="str">
        <f t="shared" si="5"/>
        <v>-</v>
      </c>
      <c r="AO9" s="6">
        <f t="shared" si="6"/>
        <v>1.1242484969939879</v>
      </c>
      <c r="AP9" s="6">
        <f t="shared" si="7"/>
        <v>1.1041837804152623</v>
      </c>
      <c r="AQ9" s="4">
        <v>5550</v>
      </c>
      <c r="AR9" s="4">
        <f t="shared" si="19"/>
        <v>3</v>
      </c>
      <c r="AS9" s="4">
        <f t="shared" si="20"/>
        <v>4</v>
      </c>
      <c r="AT9" s="4">
        <v>5480</v>
      </c>
      <c r="AU9" s="4">
        <f t="shared" si="21"/>
        <v>5</v>
      </c>
      <c r="AV9" s="4">
        <f t="shared" si="22"/>
        <v>99999</v>
      </c>
      <c r="AW9" s="6">
        <f>1-Y9/AT9</f>
        <v>0.14640145985401454</v>
      </c>
      <c r="AX9" s="6">
        <f>AQ9/AH9</f>
        <v>0.98930481283422456</v>
      </c>
      <c r="AY9" s="6">
        <f>AT9/AH9</f>
        <v>0.97682709447415328</v>
      </c>
      <c r="AZ9" s="4"/>
      <c r="BA9" s="4"/>
      <c r="BB9" s="4"/>
      <c r="BC9" s="4"/>
      <c r="BD9" s="4"/>
      <c r="BE9" s="4">
        <f t="shared" si="41"/>
        <v>0</v>
      </c>
      <c r="BF9" s="4">
        <f t="shared" si="42"/>
        <v>0</v>
      </c>
      <c r="BG9" s="18">
        <v>2</v>
      </c>
      <c r="BH9" s="18"/>
      <c r="BI9" s="16"/>
    </row>
    <row r="10" spans="1:66" x14ac:dyDescent="0.4">
      <c r="A10" s="3">
        <v>7</v>
      </c>
      <c r="B10" s="3">
        <v>7</v>
      </c>
      <c r="C10" s="4">
        <v>210395</v>
      </c>
      <c r="D10" s="4" t="str">
        <f t="shared" si="31"/>
        <v>210395</v>
      </c>
      <c r="E10" s="4">
        <v>210395</v>
      </c>
      <c r="F10" s="4" t="s">
        <v>72</v>
      </c>
      <c r="G10" s="5"/>
      <c r="H10" s="5"/>
      <c r="I10" s="5"/>
      <c r="J10" s="5">
        <f t="shared" si="0"/>
        <v>1</v>
      </c>
      <c r="K10" s="5"/>
      <c r="L10" s="4">
        <v>0</v>
      </c>
      <c r="M10" s="4">
        <v>118</v>
      </c>
      <c r="N10" s="4">
        <v>73.89</v>
      </c>
      <c r="O10" s="6">
        <f t="shared" si="32"/>
        <v>0.37381355932203386</v>
      </c>
      <c r="P10" s="4" t="s">
        <v>99</v>
      </c>
      <c r="Q10" s="4" t="s">
        <v>99</v>
      </c>
      <c r="R10" s="4" t="s">
        <v>99</v>
      </c>
      <c r="S10" s="4" t="s">
        <v>99</v>
      </c>
      <c r="T10" s="4" t="s">
        <v>99</v>
      </c>
      <c r="U10" s="4" t="s">
        <v>99</v>
      </c>
      <c r="V10" s="4">
        <v>0</v>
      </c>
      <c r="W10" s="4">
        <f t="shared" si="33"/>
        <v>0</v>
      </c>
      <c r="X10" s="4">
        <v>86.4</v>
      </c>
      <c r="Y10" s="4">
        <f t="shared" si="34"/>
        <v>86.4</v>
      </c>
      <c r="Z10" s="4"/>
      <c r="AA10" s="20">
        <f t="shared" si="1"/>
        <v>138</v>
      </c>
      <c r="AB10" s="6">
        <f t="shared" si="35"/>
        <v>0.37391304347826082</v>
      </c>
      <c r="AC10" s="32"/>
      <c r="AD10" s="4">
        <f t="shared" si="2"/>
        <v>0</v>
      </c>
      <c r="AE10" s="32">
        <f t="shared" si="36"/>
        <v>0</v>
      </c>
      <c r="AF10" s="6" t="str">
        <f t="shared" si="37"/>
        <v>-</v>
      </c>
      <c r="AG10" s="32">
        <f t="shared" ref="AG10:AG36" si="43">AJ10-AH10*0.1</f>
        <v>37.799999999999997</v>
      </c>
      <c r="AH10" s="7">
        <v>138</v>
      </c>
      <c r="AI10" s="6">
        <f t="shared" si="38"/>
        <v>0.37391304347826082</v>
      </c>
      <c r="AJ10" s="4">
        <f t="shared" si="39"/>
        <v>51.599999999999994</v>
      </c>
      <c r="AK10" s="27">
        <v>138</v>
      </c>
      <c r="AL10" s="6">
        <f t="shared" si="17"/>
        <v>0.37391304347826082</v>
      </c>
      <c r="AM10" s="4">
        <f t="shared" si="18"/>
        <v>51.599999999999994</v>
      </c>
      <c r="AN10" s="6" t="str">
        <f t="shared" si="5"/>
        <v>-</v>
      </c>
      <c r="AO10" s="6">
        <f t="shared" si="6"/>
        <v>1.1694915254237288</v>
      </c>
      <c r="AP10" s="6">
        <f t="shared" si="7"/>
        <v>1.169305724725944</v>
      </c>
      <c r="AQ10" s="4" t="str">
        <f t="shared" si="40"/>
        <v>-</v>
      </c>
      <c r="AR10" s="4" t="str">
        <f t="shared" si="19"/>
        <v>-</v>
      </c>
      <c r="AS10" s="4" t="str">
        <f t="shared" si="20"/>
        <v>-</v>
      </c>
      <c r="AT10" s="4" t="str">
        <f t="shared" si="28"/>
        <v>-</v>
      </c>
      <c r="AU10" s="4" t="str">
        <f t="shared" si="21"/>
        <v>-</v>
      </c>
      <c r="AV10" s="4" t="str">
        <f t="shared" si="22"/>
        <v>-</v>
      </c>
      <c r="AW10" s="4"/>
      <c r="AX10" s="4"/>
      <c r="AY10" s="4"/>
      <c r="AZ10" s="4"/>
      <c r="BA10" s="4"/>
      <c r="BB10" s="4"/>
      <c r="BC10" s="4"/>
      <c r="BD10" s="4"/>
      <c r="BE10" s="4">
        <f t="shared" si="41"/>
        <v>0</v>
      </c>
      <c r="BF10" s="4">
        <f t="shared" si="42"/>
        <v>0</v>
      </c>
      <c r="BG10" s="18">
        <v>4</v>
      </c>
      <c r="BH10" s="18"/>
      <c r="BI10" s="16"/>
    </row>
    <row r="11" spans="1:66" x14ac:dyDescent="0.4">
      <c r="A11" s="3">
        <v>8</v>
      </c>
      <c r="B11" s="3">
        <v>8</v>
      </c>
      <c r="C11" s="4">
        <v>210395</v>
      </c>
      <c r="D11" s="4" t="str">
        <f t="shared" si="31"/>
        <v>210395</v>
      </c>
      <c r="E11" s="4">
        <v>210398</v>
      </c>
      <c r="F11" s="4" t="s">
        <v>73</v>
      </c>
      <c r="G11" s="5"/>
      <c r="H11" s="5"/>
      <c r="I11" s="5"/>
      <c r="J11" s="5">
        <f t="shared" si="0"/>
        <v>1</v>
      </c>
      <c r="K11" s="5"/>
      <c r="L11" s="4">
        <v>0</v>
      </c>
      <c r="M11" s="4">
        <v>1101</v>
      </c>
      <c r="N11" s="4">
        <v>738.9</v>
      </c>
      <c r="O11" s="6">
        <f t="shared" si="32"/>
        <v>0.32888283378746597</v>
      </c>
      <c r="P11" s="4" t="s">
        <v>99</v>
      </c>
      <c r="Q11" s="4" t="s">
        <v>99</v>
      </c>
      <c r="R11" s="4" t="s">
        <v>99</v>
      </c>
      <c r="S11" s="4" t="s">
        <v>99</v>
      </c>
      <c r="T11" s="4" t="s">
        <v>99</v>
      </c>
      <c r="U11" s="4" t="s">
        <v>99</v>
      </c>
      <c r="V11" s="4">
        <v>0</v>
      </c>
      <c r="W11" s="4">
        <f t="shared" si="33"/>
        <v>0</v>
      </c>
      <c r="X11" s="4">
        <v>864</v>
      </c>
      <c r="Y11" s="4">
        <f t="shared" si="34"/>
        <v>864</v>
      </c>
      <c r="Z11" s="4"/>
      <c r="AA11" s="20">
        <f t="shared" si="1"/>
        <v>1287</v>
      </c>
      <c r="AB11" s="6">
        <f t="shared" si="35"/>
        <v>0.32867132867132864</v>
      </c>
      <c r="AC11" s="32"/>
      <c r="AD11" s="4">
        <f t="shared" si="2"/>
        <v>0</v>
      </c>
      <c r="AE11" s="32">
        <f t="shared" si="36"/>
        <v>0</v>
      </c>
      <c r="AF11" s="6" t="str">
        <f t="shared" si="37"/>
        <v>-</v>
      </c>
      <c r="AG11" s="32">
        <f t="shared" si="43"/>
        <v>279</v>
      </c>
      <c r="AH11" s="7">
        <v>1270</v>
      </c>
      <c r="AI11" s="6">
        <f t="shared" si="38"/>
        <v>0.31968503937007875</v>
      </c>
      <c r="AJ11" s="4">
        <f t="shared" si="39"/>
        <v>406</v>
      </c>
      <c r="AK11" s="27">
        <v>1270</v>
      </c>
      <c r="AL11" s="6">
        <f t="shared" si="17"/>
        <v>0.31968503937007875</v>
      </c>
      <c r="AM11" s="4">
        <f t="shared" si="18"/>
        <v>406</v>
      </c>
      <c r="AN11" s="6" t="str">
        <f t="shared" si="5"/>
        <v>-</v>
      </c>
      <c r="AO11" s="6">
        <f t="shared" si="6"/>
        <v>1.1534968210717529</v>
      </c>
      <c r="AP11" s="6">
        <f t="shared" si="7"/>
        <v>1.169305724725944</v>
      </c>
      <c r="AQ11" s="4" t="str">
        <f t="shared" si="40"/>
        <v>-</v>
      </c>
      <c r="AR11" s="4" t="str">
        <f t="shared" si="19"/>
        <v>-</v>
      </c>
      <c r="AS11" s="4" t="str">
        <f t="shared" si="20"/>
        <v>-</v>
      </c>
      <c r="AT11" s="4" t="str">
        <f t="shared" si="28"/>
        <v>-</v>
      </c>
      <c r="AU11" s="4" t="str">
        <f t="shared" si="21"/>
        <v>-</v>
      </c>
      <c r="AV11" s="4" t="str">
        <f t="shared" si="22"/>
        <v>-</v>
      </c>
      <c r="AW11" s="4"/>
      <c r="AX11" s="4"/>
      <c r="AY11" s="4"/>
      <c r="AZ11" s="4"/>
      <c r="BA11" s="4"/>
      <c r="BB11" s="4"/>
      <c r="BC11" s="4"/>
      <c r="BD11" s="4"/>
      <c r="BE11" s="4">
        <f t="shared" si="41"/>
        <v>0</v>
      </c>
      <c r="BF11" s="4">
        <f t="shared" si="42"/>
        <v>0</v>
      </c>
      <c r="BG11" s="18">
        <v>4</v>
      </c>
      <c r="BH11" s="18"/>
      <c r="BI11" s="16"/>
    </row>
    <row r="12" spans="1:66" x14ac:dyDescent="0.4">
      <c r="A12" s="3">
        <v>9</v>
      </c>
      <c r="B12" s="3">
        <v>9</v>
      </c>
      <c r="C12" s="4">
        <v>210413</v>
      </c>
      <c r="D12" s="4" t="str">
        <f t="shared" si="31"/>
        <v>210413</v>
      </c>
      <c r="E12" s="4">
        <v>210413</v>
      </c>
      <c r="F12" s="4" t="s">
        <v>74</v>
      </c>
      <c r="G12" s="5"/>
      <c r="H12" s="5"/>
      <c r="I12" s="5"/>
      <c r="J12" s="5">
        <f t="shared" si="0"/>
        <v>1</v>
      </c>
      <c r="K12" s="5"/>
      <c r="L12" s="4">
        <v>0</v>
      </c>
      <c r="M12" s="4">
        <v>4202</v>
      </c>
      <c r="N12" s="4">
        <v>2955.6</v>
      </c>
      <c r="O12" s="6">
        <f t="shared" si="32"/>
        <v>0.29662065683008099</v>
      </c>
      <c r="P12" s="4" t="s">
        <v>99</v>
      </c>
      <c r="Q12" s="4" t="s">
        <v>99</v>
      </c>
      <c r="R12" s="4" t="s">
        <v>99</v>
      </c>
      <c r="S12" s="4" t="s">
        <v>99</v>
      </c>
      <c r="T12" s="4" t="s">
        <v>99</v>
      </c>
      <c r="U12" s="4" t="s">
        <v>99</v>
      </c>
      <c r="V12" s="4">
        <v>0</v>
      </c>
      <c r="W12" s="4">
        <f t="shared" si="33"/>
        <v>0</v>
      </c>
      <c r="X12" s="4">
        <v>3456</v>
      </c>
      <c r="Y12" s="4">
        <f t="shared" si="34"/>
        <v>3456</v>
      </c>
      <c r="Z12" s="4"/>
      <c r="AA12" s="20">
        <f t="shared" si="1"/>
        <v>4913</v>
      </c>
      <c r="AB12" s="6">
        <f t="shared" si="35"/>
        <v>0.29656014654996943</v>
      </c>
      <c r="AC12" s="32"/>
      <c r="AD12" s="4">
        <f t="shared" si="2"/>
        <v>0</v>
      </c>
      <c r="AE12" s="32">
        <f t="shared" si="36"/>
        <v>0</v>
      </c>
      <c r="AF12" s="6" t="str">
        <f t="shared" si="37"/>
        <v>-</v>
      </c>
      <c r="AG12" s="32">
        <f t="shared" si="43"/>
        <v>945</v>
      </c>
      <c r="AH12" s="7">
        <v>4890</v>
      </c>
      <c r="AI12" s="6">
        <f t="shared" si="38"/>
        <v>0.29325153374233126</v>
      </c>
      <c r="AJ12" s="4">
        <f t="shared" si="39"/>
        <v>1434</v>
      </c>
      <c r="AK12" s="27">
        <v>4890</v>
      </c>
      <c r="AL12" s="6">
        <f t="shared" si="17"/>
        <v>0.29325153374233126</v>
      </c>
      <c r="AM12" s="4">
        <f t="shared" si="18"/>
        <v>1434</v>
      </c>
      <c r="AN12" s="6" t="str">
        <f t="shared" si="5"/>
        <v>-</v>
      </c>
      <c r="AO12" s="6">
        <f t="shared" si="6"/>
        <v>1.1637315564017134</v>
      </c>
      <c r="AP12" s="6">
        <f t="shared" si="7"/>
        <v>1.169305724725944</v>
      </c>
      <c r="AQ12" s="4" t="str">
        <f t="shared" si="40"/>
        <v>-</v>
      </c>
      <c r="AR12" s="4" t="str">
        <f t="shared" si="19"/>
        <v>-</v>
      </c>
      <c r="AS12" s="4" t="str">
        <f t="shared" si="20"/>
        <v>-</v>
      </c>
      <c r="AT12" s="4" t="str">
        <f t="shared" si="28"/>
        <v>-</v>
      </c>
      <c r="AU12" s="4" t="str">
        <f t="shared" si="21"/>
        <v>-</v>
      </c>
      <c r="AV12" s="4" t="str">
        <f t="shared" si="22"/>
        <v>-</v>
      </c>
      <c r="AW12" s="4"/>
      <c r="AX12" s="4"/>
      <c r="AY12" s="4"/>
      <c r="AZ12" s="4"/>
      <c r="BA12" s="4"/>
      <c r="BB12" s="4"/>
      <c r="BC12" s="4"/>
      <c r="BD12" s="4"/>
      <c r="BE12" s="4">
        <f t="shared" si="41"/>
        <v>0</v>
      </c>
      <c r="BF12" s="4">
        <f t="shared" si="42"/>
        <v>0</v>
      </c>
      <c r="BG12" s="18">
        <v>4</v>
      </c>
      <c r="BH12" s="18"/>
      <c r="BI12" s="16"/>
    </row>
    <row r="13" spans="1:66" x14ac:dyDescent="0.4">
      <c r="A13" s="3">
        <v>10</v>
      </c>
      <c r="B13" s="3">
        <v>10</v>
      </c>
      <c r="C13" s="4">
        <v>210374</v>
      </c>
      <c r="D13" s="4" t="str">
        <f t="shared" si="31"/>
        <v>210374</v>
      </c>
      <c r="E13" s="4">
        <v>210374</v>
      </c>
      <c r="F13" s="4" t="s">
        <v>75</v>
      </c>
      <c r="G13" s="5"/>
      <c r="H13" s="5"/>
      <c r="I13" s="5"/>
      <c r="J13" s="5">
        <f t="shared" si="0"/>
        <v>1</v>
      </c>
      <c r="K13" s="5"/>
      <c r="L13" s="4">
        <v>0</v>
      </c>
      <c r="M13" s="4">
        <v>118</v>
      </c>
      <c r="N13" s="4">
        <v>73.89</v>
      </c>
      <c r="O13" s="6">
        <f t="shared" si="32"/>
        <v>0.37381355932203386</v>
      </c>
      <c r="P13" s="4" t="s">
        <v>99</v>
      </c>
      <c r="Q13" s="4" t="s">
        <v>99</v>
      </c>
      <c r="R13" s="4" t="s">
        <v>99</v>
      </c>
      <c r="S13" s="4" t="s">
        <v>99</v>
      </c>
      <c r="T13" s="4" t="s">
        <v>99</v>
      </c>
      <c r="U13" s="4" t="s">
        <v>99</v>
      </c>
      <c r="V13" s="4">
        <v>0</v>
      </c>
      <c r="W13" s="4">
        <f t="shared" si="33"/>
        <v>0</v>
      </c>
      <c r="X13" s="4">
        <v>86.4</v>
      </c>
      <c r="Y13" s="4">
        <f t="shared" si="34"/>
        <v>86.4</v>
      </c>
      <c r="Z13" s="4"/>
      <c r="AA13" s="20">
        <f t="shared" si="1"/>
        <v>138</v>
      </c>
      <c r="AB13" s="6">
        <f t="shared" si="35"/>
        <v>0.37391304347826082</v>
      </c>
      <c r="AC13" s="32"/>
      <c r="AD13" s="4">
        <f t="shared" si="2"/>
        <v>0</v>
      </c>
      <c r="AE13" s="32">
        <f t="shared" si="36"/>
        <v>0</v>
      </c>
      <c r="AF13" s="6" t="str">
        <f t="shared" si="37"/>
        <v>-</v>
      </c>
      <c r="AG13" s="32">
        <f t="shared" si="43"/>
        <v>37.799999999999997</v>
      </c>
      <c r="AH13" s="7">
        <v>138</v>
      </c>
      <c r="AI13" s="6">
        <f t="shared" si="38"/>
        <v>0.37391304347826082</v>
      </c>
      <c r="AJ13" s="4">
        <f t="shared" si="39"/>
        <v>51.599999999999994</v>
      </c>
      <c r="AK13" s="27">
        <v>138</v>
      </c>
      <c r="AL13" s="6">
        <f t="shared" si="17"/>
        <v>0.37391304347826082</v>
      </c>
      <c r="AM13" s="4">
        <f t="shared" si="18"/>
        <v>51.599999999999994</v>
      </c>
      <c r="AN13" s="6" t="str">
        <f t="shared" si="5"/>
        <v>-</v>
      </c>
      <c r="AO13" s="6">
        <f t="shared" si="6"/>
        <v>1.1694915254237288</v>
      </c>
      <c r="AP13" s="6">
        <f t="shared" si="7"/>
        <v>1.169305724725944</v>
      </c>
      <c r="AQ13" s="4" t="str">
        <f t="shared" si="40"/>
        <v>-</v>
      </c>
      <c r="AR13" s="4" t="str">
        <f t="shared" si="19"/>
        <v>-</v>
      </c>
      <c r="AS13" s="4" t="str">
        <f t="shared" si="20"/>
        <v>-</v>
      </c>
      <c r="AT13" s="4" t="str">
        <f t="shared" si="28"/>
        <v>-</v>
      </c>
      <c r="AU13" s="4" t="str">
        <f t="shared" si="21"/>
        <v>-</v>
      </c>
      <c r="AV13" s="4" t="str">
        <f t="shared" si="22"/>
        <v>-</v>
      </c>
      <c r="AW13" s="4"/>
      <c r="AX13" s="4"/>
      <c r="AY13" s="4"/>
      <c r="AZ13" s="4"/>
      <c r="BA13" s="4"/>
      <c r="BB13" s="4"/>
      <c r="BC13" s="4"/>
      <c r="BD13" s="4"/>
      <c r="BE13" s="4">
        <f t="shared" si="41"/>
        <v>0</v>
      </c>
      <c r="BF13" s="4">
        <f t="shared" si="42"/>
        <v>0</v>
      </c>
      <c r="BG13" s="18">
        <v>4</v>
      </c>
      <c r="BH13" s="18"/>
      <c r="BI13" s="16"/>
    </row>
    <row r="14" spans="1:66" x14ac:dyDescent="0.4">
      <c r="A14" s="3">
        <v>11</v>
      </c>
      <c r="B14" s="3">
        <v>11</v>
      </c>
      <c r="C14" s="4">
        <v>210374</v>
      </c>
      <c r="D14" s="4" t="str">
        <f t="shared" si="31"/>
        <v>210374</v>
      </c>
      <c r="E14" s="4">
        <v>210381</v>
      </c>
      <c r="F14" s="4" t="s">
        <v>76</v>
      </c>
      <c r="G14" s="5"/>
      <c r="H14" s="5"/>
      <c r="I14" s="5"/>
      <c r="J14" s="5">
        <f t="shared" si="0"/>
        <v>1</v>
      </c>
      <c r="K14" s="5"/>
      <c r="L14" s="4">
        <v>0</v>
      </c>
      <c r="M14" s="4">
        <v>1101</v>
      </c>
      <c r="N14" s="4">
        <v>738.9</v>
      </c>
      <c r="O14" s="6">
        <f t="shared" si="32"/>
        <v>0.32888283378746597</v>
      </c>
      <c r="P14" s="4" t="s">
        <v>99</v>
      </c>
      <c r="Q14" s="4" t="s">
        <v>99</v>
      </c>
      <c r="R14" s="4" t="s">
        <v>99</v>
      </c>
      <c r="S14" s="4" t="s">
        <v>99</v>
      </c>
      <c r="T14" s="4" t="s">
        <v>99</v>
      </c>
      <c r="U14" s="4" t="s">
        <v>99</v>
      </c>
      <c r="V14" s="4">
        <v>0</v>
      </c>
      <c r="W14" s="4">
        <f t="shared" si="33"/>
        <v>0</v>
      </c>
      <c r="X14" s="4">
        <v>864</v>
      </c>
      <c r="Y14" s="4">
        <f t="shared" si="34"/>
        <v>864</v>
      </c>
      <c r="Z14" s="4"/>
      <c r="AA14" s="20">
        <f t="shared" si="1"/>
        <v>1287</v>
      </c>
      <c r="AB14" s="6">
        <f t="shared" si="35"/>
        <v>0.32867132867132864</v>
      </c>
      <c r="AC14" s="32"/>
      <c r="AD14" s="4">
        <f t="shared" si="2"/>
        <v>0</v>
      </c>
      <c r="AE14" s="32">
        <f t="shared" si="36"/>
        <v>0</v>
      </c>
      <c r="AF14" s="6" t="str">
        <f t="shared" si="37"/>
        <v>-</v>
      </c>
      <c r="AG14" s="32">
        <f t="shared" si="43"/>
        <v>279</v>
      </c>
      <c r="AH14" s="7">
        <v>1270</v>
      </c>
      <c r="AI14" s="6">
        <f t="shared" si="38"/>
        <v>0.31968503937007875</v>
      </c>
      <c r="AJ14" s="4">
        <f t="shared" si="39"/>
        <v>406</v>
      </c>
      <c r="AK14" s="27">
        <v>1270</v>
      </c>
      <c r="AL14" s="6">
        <f t="shared" si="17"/>
        <v>0.31968503937007875</v>
      </c>
      <c r="AM14" s="4">
        <f t="shared" si="18"/>
        <v>406</v>
      </c>
      <c r="AN14" s="6" t="str">
        <f t="shared" si="5"/>
        <v>-</v>
      </c>
      <c r="AO14" s="6">
        <f t="shared" si="6"/>
        <v>1.1534968210717529</v>
      </c>
      <c r="AP14" s="6">
        <f t="shared" si="7"/>
        <v>1.169305724725944</v>
      </c>
      <c r="AQ14" s="4" t="str">
        <f t="shared" si="40"/>
        <v>-</v>
      </c>
      <c r="AR14" s="4" t="str">
        <f t="shared" si="19"/>
        <v>-</v>
      </c>
      <c r="AS14" s="4" t="str">
        <f t="shared" si="20"/>
        <v>-</v>
      </c>
      <c r="AT14" s="4" t="str">
        <f t="shared" si="28"/>
        <v>-</v>
      </c>
      <c r="AU14" s="4" t="str">
        <f t="shared" si="21"/>
        <v>-</v>
      </c>
      <c r="AV14" s="4" t="str">
        <f t="shared" si="22"/>
        <v>-</v>
      </c>
      <c r="AW14" s="4"/>
      <c r="AX14" s="4"/>
      <c r="AY14" s="4"/>
      <c r="AZ14" s="4"/>
      <c r="BA14" s="4"/>
      <c r="BB14" s="4"/>
      <c r="BC14" s="4"/>
      <c r="BD14" s="4"/>
      <c r="BE14" s="4">
        <f t="shared" si="41"/>
        <v>0</v>
      </c>
      <c r="BF14" s="4">
        <f t="shared" si="42"/>
        <v>0</v>
      </c>
      <c r="BG14" s="18">
        <v>4</v>
      </c>
      <c r="BH14" s="18"/>
      <c r="BI14" s="16"/>
    </row>
    <row r="15" spans="1:66" x14ac:dyDescent="0.4">
      <c r="A15" s="3">
        <v>12</v>
      </c>
      <c r="B15" s="3">
        <v>12</v>
      </c>
      <c r="C15" s="4">
        <v>210393</v>
      </c>
      <c r="D15" s="4" t="str">
        <f t="shared" si="31"/>
        <v>210393</v>
      </c>
      <c r="E15" s="4">
        <v>210393</v>
      </c>
      <c r="F15" s="4" t="s">
        <v>77</v>
      </c>
      <c r="G15" s="5"/>
      <c r="H15" s="5"/>
      <c r="I15" s="5"/>
      <c r="J15" s="5">
        <f t="shared" si="0"/>
        <v>1</v>
      </c>
      <c r="K15" s="5"/>
      <c r="L15" s="4">
        <v>0</v>
      </c>
      <c r="M15" s="4">
        <v>4202</v>
      </c>
      <c r="N15" s="4">
        <v>2955.6</v>
      </c>
      <c r="O15" s="6">
        <f t="shared" si="32"/>
        <v>0.29662065683008099</v>
      </c>
      <c r="P15" s="4" t="s">
        <v>99</v>
      </c>
      <c r="Q15" s="4" t="s">
        <v>99</v>
      </c>
      <c r="R15" s="4" t="s">
        <v>99</v>
      </c>
      <c r="S15" s="4" t="s">
        <v>99</v>
      </c>
      <c r="T15" s="4" t="s">
        <v>99</v>
      </c>
      <c r="U15" s="4" t="s">
        <v>99</v>
      </c>
      <c r="V15" s="4">
        <v>0</v>
      </c>
      <c r="W15" s="4">
        <f t="shared" si="33"/>
        <v>0</v>
      </c>
      <c r="X15" s="4">
        <v>3456</v>
      </c>
      <c r="Y15" s="4">
        <f t="shared" si="34"/>
        <v>3456</v>
      </c>
      <c r="Z15" s="4"/>
      <c r="AA15" s="20">
        <f t="shared" si="1"/>
        <v>4913</v>
      </c>
      <c r="AB15" s="6">
        <f t="shared" si="35"/>
        <v>0.29656014654996943</v>
      </c>
      <c r="AC15" s="32"/>
      <c r="AD15" s="4">
        <f t="shared" si="2"/>
        <v>0</v>
      </c>
      <c r="AE15" s="32">
        <f t="shared" si="36"/>
        <v>0</v>
      </c>
      <c r="AF15" s="6" t="str">
        <f t="shared" si="37"/>
        <v>-</v>
      </c>
      <c r="AG15" s="32">
        <f t="shared" si="43"/>
        <v>945</v>
      </c>
      <c r="AH15" s="7">
        <v>4890</v>
      </c>
      <c r="AI15" s="6">
        <f t="shared" si="38"/>
        <v>0.29325153374233126</v>
      </c>
      <c r="AJ15" s="4">
        <f t="shared" si="39"/>
        <v>1434</v>
      </c>
      <c r="AK15" s="27">
        <v>4890</v>
      </c>
      <c r="AL15" s="6">
        <f t="shared" si="17"/>
        <v>0.29325153374233126</v>
      </c>
      <c r="AM15" s="4">
        <f t="shared" si="18"/>
        <v>1434</v>
      </c>
      <c r="AN15" s="6" t="str">
        <f t="shared" si="5"/>
        <v>-</v>
      </c>
      <c r="AO15" s="6">
        <f t="shared" si="6"/>
        <v>1.1637315564017134</v>
      </c>
      <c r="AP15" s="6">
        <f t="shared" si="7"/>
        <v>1.169305724725944</v>
      </c>
      <c r="AQ15" s="4" t="str">
        <f t="shared" si="40"/>
        <v>-</v>
      </c>
      <c r="AR15" s="4" t="str">
        <f t="shared" si="19"/>
        <v>-</v>
      </c>
      <c r="AS15" s="4" t="str">
        <f t="shared" si="20"/>
        <v>-</v>
      </c>
      <c r="AT15" s="4" t="str">
        <f t="shared" si="28"/>
        <v>-</v>
      </c>
      <c r="AU15" s="4" t="str">
        <f t="shared" si="21"/>
        <v>-</v>
      </c>
      <c r="AV15" s="4" t="str">
        <f t="shared" si="22"/>
        <v>-</v>
      </c>
      <c r="AW15" s="4"/>
      <c r="AX15" s="4"/>
      <c r="AY15" s="4"/>
      <c r="AZ15" s="4"/>
      <c r="BA15" s="4"/>
      <c r="BB15" s="4"/>
      <c r="BC15" s="4"/>
      <c r="BD15" s="4"/>
      <c r="BE15" s="4">
        <f t="shared" si="41"/>
        <v>0</v>
      </c>
      <c r="BF15" s="4">
        <f t="shared" si="42"/>
        <v>0</v>
      </c>
      <c r="BG15" s="18">
        <v>4</v>
      </c>
      <c r="BH15" s="18"/>
      <c r="BI15" s="16"/>
    </row>
    <row r="16" spans="1:66" x14ac:dyDescent="0.4">
      <c r="A16" s="3">
        <v>13</v>
      </c>
      <c r="B16" s="3">
        <v>13</v>
      </c>
      <c r="C16" s="4">
        <v>210316</v>
      </c>
      <c r="D16" s="4" t="str">
        <f t="shared" si="31"/>
        <v>210316</v>
      </c>
      <c r="E16" s="4">
        <v>210316</v>
      </c>
      <c r="F16" s="4" t="s">
        <v>78</v>
      </c>
      <c r="G16" s="5"/>
      <c r="H16" s="5"/>
      <c r="I16" s="5"/>
      <c r="J16" s="5">
        <f t="shared" si="0"/>
        <v>1</v>
      </c>
      <c r="K16" s="5"/>
      <c r="L16" s="4">
        <v>0</v>
      </c>
      <c r="M16" s="4">
        <v>118</v>
      </c>
      <c r="N16" s="4">
        <v>73.89</v>
      </c>
      <c r="O16" s="6">
        <f t="shared" si="32"/>
        <v>0.37381355932203386</v>
      </c>
      <c r="P16" s="4" t="s">
        <v>99</v>
      </c>
      <c r="Q16" s="4" t="s">
        <v>99</v>
      </c>
      <c r="R16" s="4" t="s">
        <v>99</v>
      </c>
      <c r="S16" s="4" t="s">
        <v>99</v>
      </c>
      <c r="T16" s="4" t="s">
        <v>99</v>
      </c>
      <c r="U16" s="4" t="s">
        <v>99</v>
      </c>
      <c r="V16" s="4">
        <v>0</v>
      </c>
      <c r="W16" s="4">
        <f t="shared" si="33"/>
        <v>0</v>
      </c>
      <c r="X16" s="4">
        <v>86.4</v>
      </c>
      <c r="Y16" s="4">
        <f t="shared" si="34"/>
        <v>86.4</v>
      </c>
      <c r="Z16" s="4"/>
      <c r="AA16" s="20">
        <f t="shared" si="1"/>
        <v>138</v>
      </c>
      <c r="AB16" s="6">
        <f t="shared" si="35"/>
        <v>0.37391304347826082</v>
      </c>
      <c r="AC16" s="32"/>
      <c r="AD16" s="4">
        <f t="shared" si="2"/>
        <v>0</v>
      </c>
      <c r="AE16" s="32">
        <f t="shared" si="36"/>
        <v>0</v>
      </c>
      <c r="AF16" s="6" t="str">
        <f t="shared" si="37"/>
        <v>-</v>
      </c>
      <c r="AG16" s="32">
        <f t="shared" si="43"/>
        <v>37.799999999999997</v>
      </c>
      <c r="AH16" s="7">
        <v>138</v>
      </c>
      <c r="AI16" s="6">
        <f t="shared" si="38"/>
        <v>0.37391304347826082</v>
      </c>
      <c r="AJ16" s="4">
        <f t="shared" si="39"/>
        <v>51.599999999999994</v>
      </c>
      <c r="AK16" s="27">
        <v>138</v>
      </c>
      <c r="AL16" s="6">
        <f t="shared" si="17"/>
        <v>0.37391304347826082</v>
      </c>
      <c r="AM16" s="4">
        <f t="shared" si="18"/>
        <v>51.599999999999994</v>
      </c>
      <c r="AN16" s="6" t="str">
        <f t="shared" si="5"/>
        <v>-</v>
      </c>
      <c r="AO16" s="6">
        <f t="shared" si="6"/>
        <v>1.1694915254237288</v>
      </c>
      <c r="AP16" s="6">
        <f t="shared" si="7"/>
        <v>1.169305724725944</v>
      </c>
      <c r="AQ16" s="4" t="str">
        <f t="shared" si="40"/>
        <v>-</v>
      </c>
      <c r="AR16" s="4" t="str">
        <f t="shared" si="19"/>
        <v>-</v>
      </c>
      <c r="AS16" s="4" t="str">
        <f t="shared" si="20"/>
        <v>-</v>
      </c>
      <c r="AT16" s="4" t="str">
        <f t="shared" si="28"/>
        <v>-</v>
      </c>
      <c r="AU16" s="4" t="str">
        <f t="shared" si="21"/>
        <v>-</v>
      </c>
      <c r="AV16" s="4" t="str">
        <f t="shared" si="22"/>
        <v>-</v>
      </c>
      <c r="AW16" s="4"/>
      <c r="AX16" s="4"/>
      <c r="AY16" s="4"/>
      <c r="AZ16" s="4"/>
      <c r="BA16" s="4"/>
      <c r="BB16" s="4"/>
      <c r="BC16" s="4"/>
      <c r="BD16" s="4"/>
      <c r="BE16" s="4">
        <f t="shared" si="41"/>
        <v>0</v>
      </c>
      <c r="BF16" s="4">
        <f t="shared" si="42"/>
        <v>0</v>
      </c>
      <c r="BG16" s="18">
        <v>4</v>
      </c>
      <c r="BH16" s="18"/>
      <c r="BI16" s="16"/>
    </row>
    <row r="17" spans="1:61" x14ac:dyDescent="0.4">
      <c r="A17" s="3">
        <v>14</v>
      </c>
      <c r="B17" s="3">
        <v>14</v>
      </c>
      <c r="C17" s="4">
        <v>210316</v>
      </c>
      <c r="D17" s="4" t="str">
        <f t="shared" si="31"/>
        <v>210316</v>
      </c>
      <c r="E17" s="4">
        <v>210353</v>
      </c>
      <c r="F17" s="4" t="s">
        <v>79</v>
      </c>
      <c r="G17" s="5"/>
      <c r="H17" s="5"/>
      <c r="I17" s="5"/>
      <c r="J17" s="5">
        <f t="shared" si="0"/>
        <v>1</v>
      </c>
      <c r="K17" s="5"/>
      <c r="L17" s="4">
        <v>0</v>
      </c>
      <c r="M17" s="4">
        <v>1101</v>
      </c>
      <c r="N17" s="4">
        <v>738.9</v>
      </c>
      <c r="O17" s="6">
        <f t="shared" si="32"/>
        <v>0.32888283378746597</v>
      </c>
      <c r="P17" s="4" t="s">
        <v>99</v>
      </c>
      <c r="Q17" s="4" t="s">
        <v>99</v>
      </c>
      <c r="R17" s="4" t="s">
        <v>99</v>
      </c>
      <c r="S17" s="4" t="s">
        <v>99</v>
      </c>
      <c r="T17" s="4" t="s">
        <v>99</v>
      </c>
      <c r="U17" s="4" t="s">
        <v>99</v>
      </c>
      <c r="V17" s="4">
        <v>0</v>
      </c>
      <c r="W17" s="4">
        <f t="shared" si="33"/>
        <v>0</v>
      </c>
      <c r="X17" s="4">
        <v>864</v>
      </c>
      <c r="Y17" s="4">
        <f t="shared" si="34"/>
        <v>864</v>
      </c>
      <c r="Z17" s="4"/>
      <c r="AA17" s="20">
        <f t="shared" si="1"/>
        <v>1287</v>
      </c>
      <c r="AB17" s="6">
        <f t="shared" si="35"/>
        <v>0.32867132867132864</v>
      </c>
      <c r="AC17" s="32"/>
      <c r="AD17" s="4">
        <f t="shared" si="2"/>
        <v>0</v>
      </c>
      <c r="AE17" s="32">
        <f t="shared" si="36"/>
        <v>0</v>
      </c>
      <c r="AF17" s="6" t="str">
        <f t="shared" si="37"/>
        <v>-</v>
      </c>
      <c r="AG17" s="32">
        <f t="shared" si="43"/>
        <v>279</v>
      </c>
      <c r="AH17" s="7">
        <v>1270</v>
      </c>
      <c r="AI17" s="6">
        <f t="shared" si="38"/>
        <v>0.31968503937007875</v>
      </c>
      <c r="AJ17" s="4">
        <f t="shared" si="39"/>
        <v>406</v>
      </c>
      <c r="AK17" s="27">
        <v>1270</v>
      </c>
      <c r="AL17" s="6">
        <f t="shared" si="17"/>
        <v>0.31968503937007875</v>
      </c>
      <c r="AM17" s="4">
        <f t="shared" si="18"/>
        <v>406</v>
      </c>
      <c r="AN17" s="6" t="str">
        <f t="shared" si="5"/>
        <v>-</v>
      </c>
      <c r="AO17" s="6">
        <f t="shared" si="6"/>
        <v>1.1534968210717529</v>
      </c>
      <c r="AP17" s="6">
        <f t="shared" si="7"/>
        <v>1.169305724725944</v>
      </c>
      <c r="AQ17" s="4" t="str">
        <f t="shared" si="40"/>
        <v>-</v>
      </c>
      <c r="AR17" s="4" t="str">
        <f t="shared" si="19"/>
        <v>-</v>
      </c>
      <c r="AS17" s="4" t="str">
        <f t="shared" si="20"/>
        <v>-</v>
      </c>
      <c r="AT17" s="4" t="str">
        <f t="shared" si="28"/>
        <v>-</v>
      </c>
      <c r="AU17" s="4" t="str">
        <f t="shared" si="21"/>
        <v>-</v>
      </c>
      <c r="AV17" s="4" t="str">
        <f t="shared" si="22"/>
        <v>-</v>
      </c>
      <c r="AW17" s="4"/>
      <c r="AX17" s="4"/>
      <c r="AY17" s="4"/>
      <c r="AZ17" s="4"/>
      <c r="BA17" s="4"/>
      <c r="BB17" s="4"/>
      <c r="BC17" s="4"/>
      <c r="BD17" s="4"/>
      <c r="BE17" s="4">
        <f t="shared" si="41"/>
        <v>0</v>
      </c>
      <c r="BF17" s="4">
        <f t="shared" si="42"/>
        <v>0</v>
      </c>
      <c r="BG17" s="18">
        <v>4</v>
      </c>
      <c r="BH17" s="18"/>
      <c r="BI17" s="16"/>
    </row>
    <row r="18" spans="1:61" x14ac:dyDescent="0.4">
      <c r="A18" s="3">
        <v>15</v>
      </c>
      <c r="B18" s="3">
        <v>15</v>
      </c>
      <c r="C18" s="4">
        <v>210364</v>
      </c>
      <c r="D18" s="4" t="str">
        <f t="shared" si="31"/>
        <v>210364</v>
      </c>
      <c r="E18" s="4">
        <v>210364</v>
      </c>
      <c r="F18" s="4" t="s">
        <v>80</v>
      </c>
      <c r="G18" s="5"/>
      <c r="H18" s="5"/>
      <c r="I18" s="5"/>
      <c r="J18" s="5">
        <f t="shared" si="0"/>
        <v>1</v>
      </c>
      <c r="K18" s="5"/>
      <c r="L18" s="4">
        <v>0</v>
      </c>
      <c r="M18" s="4">
        <v>4202</v>
      </c>
      <c r="N18" s="4">
        <v>2955.6</v>
      </c>
      <c r="O18" s="6">
        <f t="shared" si="32"/>
        <v>0.29662065683008099</v>
      </c>
      <c r="P18" s="4" t="s">
        <v>99</v>
      </c>
      <c r="Q18" s="4" t="s">
        <v>99</v>
      </c>
      <c r="R18" s="4" t="s">
        <v>99</v>
      </c>
      <c r="S18" s="4" t="s">
        <v>99</v>
      </c>
      <c r="T18" s="4" t="s">
        <v>99</v>
      </c>
      <c r="U18" s="4" t="s">
        <v>99</v>
      </c>
      <c r="V18" s="4">
        <v>0</v>
      </c>
      <c r="W18" s="4">
        <f t="shared" si="33"/>
        <v>0</v>
      </c>
      <c r="X18" s="4">
        <v>3456</v>
      </c>
      <c r="Y18" s="4">
        <f t="shared" si="34"/>
        <v>3456</v>
      </c>
      <c r="Z18" s="4"/>
      <c r="AA18" s="20">
        <f t="shared" si="1"/>
        <v>4913</v>
      </c>
      <c r="AB18" s="6">
        <f t="shared" si="35"/>
        <v>0.29656014654996943</v>
      </c>
      <c r="AC18" s="32"/>
      <c r="AD18" s="4">
        <f t="shared" si="2"/>
        <v>0</v>
      </c>
      <c r="AE18" s="32">
        <f t="shared" si="36"/>
        <v>0</v>
      </c>
      <c r="AF18" s="6" t="str">
        <f t="shared" si="37"/>
        <v>-</v>
      </c>
      <c r="AG18" s="32">
        <f t="shared" si="43"/>
        <v>945</v>
      </c>
      <c r="AH18" s="7">
        <v>4890</v>
      </c>
      <c r="AI18" s="6">
        <f t="shared" si="38"/>
        <v>0.29325153374233126</v>
      </c>
      <c r="AJ18" s="4">
        <f t="shared" si="39"/>
        <v>1434</v>
      </c>
      <c r="AK18" s="27">
        <v>4890</v>
      </c>
      <c r="AL18" s="6">
        <f t="shared" si="17"/>
        <v>0.29325153374233126</v>
      </c>
      <c r="AM18" s="4">
        <f t="shared" si="18"/>
        <v>1434</v>
      </c>
      <c r="AN18" s="6" t="str">
        <f t="shared" si="5"/>
        <v>-</v>
      </c>
      <c r="AO18" s="6">
        <f t="shared" si="6"/>
        <v>1.1637315564017134</v>
      </c>
      <c r="AP18" s="6">
        <f t="shared" si="7"/>
        <v>1.169305724725944</v>
      </c>
      <c r="AQ18" s="4" t="str">
        <f t="shared" si="40"/>
        <v>-</v>
      </c>
      <c r="AR18" s="4" t="str">
        <f t="shared" si="19"/>
        <v>-</v>
      </c>
      <c r="AS18" s="4" t="str">
        <f t="shared" si="20"/>
        <v>-</v>
      </c>
      <c r="AT18" s="4" t="str">
        <f t="shared" si="28"/>
        <v>-</v>
      </c>
      <c r="AU18" s="4" t="str">
        <f t="shared" si="21"/>
        <v>-</v>
      </c>
      <c r="AV18" s="4" t="str">
        <f t="shared" si="22"/>
        <v>-</v>
      </c>
      <c r="AW18" s="4"/>
      <c r="AX18" s="4"/>
      <c r="AY18" s="4"/>
      <c r="AZ18" s="4"/>
      <c r="BA18" s="4"/>
      <c r="BB18" s="4"/>
      <c r="BC18" s="4"/>
      <c r="BD18" s="4"/>
      <c r="BE18" s="4">
        <f t="shared" si="41"/>
        <v>0</v>
      </c>
      <c r="BF18" s="4">
        <f t="shared" si="42"/>
        <v>0</v>
      </c>
      <c r="BG18" s="18">
        <v>4</v>
      </c>
      <c r="BH18" s="18"/>
      <c r="BI18" s="16"/>
    </row>
    <row r="19" spans="1:61" x14ac:dyDescent="0.4">
      <c r="A19" s="3">
        <v>16</v>
      </c>
      <c r="B19" s="3">
        <v>16</v>
      </c>
      <c r="C19" s="4">
        <v>210478</v>
      </c>
      <c r="D19" s="4" t="str">
        <f t="shared" si="31"/>
        <v>210478</v>
      </c>
      <c r="E19" s="4">
        <v>210478</v>
      </c>
      <c r="F19" s="4" t="s">
        <v>81</v>
      </c>
      <c r="G19" s="5"/>
      <c r="H19" s="5"/>
      <c r="I19" s="5"/>
      <c r="J19" s="5">
        <f t="shared" si="0"/>
        <v>1</v>
      </c>
      <c r="K19" s="5"/>
      <c r="L19" s="4">
        <v>0</v>
      </c>
      <c r="M19" s="4">
        <v>145</v>
      </c>
      <c r="N19" s="4">
        <v>93.48</v>
      </c>
      <c r="O19" s="6">
        <f t="shared" si="32"/>
        <v>0.35531034482758617</v>
      </c>
      <c r="P19" s="4" t="s">
        <v>99</v>
      </c>
      <c r="Q19" s="4" t="s">
        <v>99</v>
      </c>
      <c r="R19" s="4" t="s">
        <v>99</v>
      </c>
      <c r="S19" s="4" t="s">
        <v>99</v>
      </c>
      <c r="T19" s="4" t="s">
        <v>99</v>
      </c>
      <c r="U19" s="4" t="s">
        <v>99</v>
      </c>
      <c r="V19" s="4">
        <v>0</v>
      </c>
      <c r="W19" s="4">
        <f t="shared" si="33"/>
        <v>0</v>
      </c>
      <c r="X19" s="4">
        <v>109.21</v>
      </c>
      <c r="Y19" s="4">
        <f t="shared" si="34"/>
        <v>109.21</v>
      </c>
      <c r="Z19" s="4"/>
      <c r="AA19" s="20">
        <f t="shared" si="1"/>
        <v>169</v>
      </c>
      <c r="AB19" s="6">
        <f t="shared" si="35"/>
        <v>0.35378698224852079</v>
      </c>
      <c r="AC19" s="32"/>
      <c r="AD19" s="4">
        <f t="shared" si="2"/>
        <v>0</v>
      </c>
      <c r="AE19" s="32">
        <f t="shared" si="36"/>
        <v>0</v>
      </c>
      <c r="AF19" s="6" t="str">
        <f t="shared" si="37"/>
        <v>-</v>
      </c>
      <c r="AG19" s="32">
        <f t="shared" si="43"/>
        <v>41.990000000000009</v>
      </c>
      <c r="AH19" s="7">
        <v>168</v>
      </c>
      <c r="AI19" s="6">
        <f t="shared" si="38"/>
        <v>0.34994047619047619</v>
      </c>
      <c r="AJ19" s="4">
        <f t="shared" si="39"/>
        <v>58.790000000000006</v>
      </c>
      <c r="AK19" s="27">
        <v>168</v>
      </c>
      <c r="AL19" s="6">
        <f t="shared" si="17"/>
        <v>0.34994047619047619</v>
      </c>
      <c r="AM19" s="4">
        <f t="shared" si="18"/>
        <v>58.790000000000006</v>
      </c>
      <c r="AN19" s="6" t="str">
        <f t="shared" si="5"/>
        <v>-</v>
      </c>
      <c r="AO19" s="6">
        <f t="shared" si="6"/>
        <v>1.1586206896551725</v>
      </c>
      <c r="AP19" s="6">
        <f t="shared" si="7"/>
        <v>1.1682712879760375</v>
      </c>
      <c r="AQ19" s="4" t="str">
        <f t="shared" si="40"/>
        <v>-</v>
      </c>
      <c r="AR19" s="4" t="str">
        <f t="shared" si="19"/>
        <v>-</v>
      </c>
      <c r="AS19" s="4" t="str">
        <f t="shared" si="20"/>
        <v>-</v>
      </c>
      <c r="AT19" s="4" t="str">
        <f t="shared" si="28"/>
        <v>-</v>
      </c>
      <c r="AU19" s="4" t="str">
        <f t="shared" si="21"/>
        <v>-</v>
      </c>
      <c r="AV19" s="4" t="str">
        <f t="shared" si="22"/>
        <v>-</v>
      </c>
      <c r="AW19" s="4"/>
      <c r="AX19" s="4"/>
      <c r="AY19" s="4"/>
      <c r="AZ19" s="4"/>
      <c r="BA19" s="4"/>
      <c r="BB19" s="4"/>
      <c r="BC19" s="4"/>
      <c r="BD19" s="4"/>
      <c r="BE19" s="4">
        <f t="shared" si="41"/>
        <v>0</v>
      </c>
      <c r="BF19" s="4">
        <f t="shared" si="42"/>
        <v>0</v>
      </c>
      <c r="BG19" s="18">
        <v>4</v>
      </c>
      <c r="BH19" s="18"/>
      <c r="BI19" s="16"/>
    </row>
    <row r="20" spans="1:61" x14ac:dyDescent="0.4">
      <c r="A20" s="3">
        <v>17</v>
      </c>
      <c r="B20" s="3">
        <v>17</v>
      </c>
      <c r="C20" s="4">
        <v>210478</v>
      </c>
      <c r="D20" s="4" t="str">
        <f t="shared" si="31"/>
        <v>210478</v>
      </c>
      <c r="E20" s="4">
        <v>210479</v>
      </c>
      <c r="F20" s="4" t="s">
        <v>82</v>
      </c>
      <c r="G20" s="5"/>
      <c r="H20" s="5"/>
      <c r="I20" s="5"/>
      <c r="J20" s="5">
        <f t="shared" si="0"/>
        <v>1</v>
      </c>
      <c r="K20" s="5"/>
      <c r="L20" s="4">
        <v>0</v>
      </c>
      <c r="M20" s="4">
        <v>1333</v>
      </c>
      <c r="N20" s="4">
        <v>934.8</v>
      </c>
      <c r="O20" s="6">
        <f t="shared" si="32"/>
        <v>0.29872468117029261</v>
      </c>
      <c r="P20" s="4" t="s">
        <v>99</v>
      </c>
      <c r="Q20" s="4" t="s">
        <v>99</v>
      </c>
      <c r="R20" s="4" t="s">
        <v>99</v>
      </c>
      <c r="S20" s="4" t="s">
        <v>99</v>
      </c>
      <c r="T20" s="4" t="s">
        <v>99</v>
      </c>
      <c r="U20" s="4" t="s">
        <v>99</v>
      </c>
      <c r="V20" s="4">
        <v>0</v>
      </c>
      <c r="W20" s="4">
        <f t="shared" si="33"/>
        <v>0</v>
      </c>
      <c r="X20" s="4">
        <v>1092.0999999999999</v>
      </c>
      <c r="Y20" s="4">
        <f t="shared" si="34"/>
        <v>1092.0999999999999</v>
      </c>
      <c r="Z20" s="4"/>
      <c r="AA20" s="20">
        <f t="shared" si="1"/>
        <v>1557</v>
      </c>
      <c r="AB20" s="6">
        <f t="shared" si="35"/>
        <v>0.29858702633269119</v>
      </c>
      <c r="AC20" s="32"/>
      <c r="AD20" s="4">
        <f t="shared" si="2"/>
        <v>0</v>
      </c>
      <c r="AE20" s="32">
        <f t="shared" si="36"/>
        <v>0</v>
      </c>
      <c r="AF20" s="6" t="str">
        <f t="shared" si="37"/>
        <v>-</v>
      </c>
      <c r="AG20" s="32">
        <f t="shared" si="43"/>
        <v>311.90000000000009</v>
      </c>
      <c r="AH20" s="7">
        <v>1560</v>
      </c>
      <c r="AI20" s="6">
        <f t="shared" si="38"/>
        <v>0.29993589743589755</v>
      </c>
      <c r="AJ20" s="4">
        <f t="shared" si="39"/>
        <v>467.90000000000009</v>
      </c>
      <c r="AK20" s="27">
        <v>1560</v>
      </c>
      <c r="AL20" s="6">
        <f t="shared" si="17"/>
        <v>0.29993589743589755</v>
      </c>
      <c r="AM20" s="4">
        <f t="shared" si="18"/>
        <v>467.90000000000009</v>
      </c>
      <c r="AN20" s="6" t="str">
        <f t="shared" si="5"/>
        <v>-</v>
      </c>
      <c r="AO20" s="6">
        <f t="shared" si="6"/>
        <v>1.1702925731432858</v>
      </c>
      <c r="AP20" s="6">
        <f t="shared" si="7"/>
        <v>1.1682712879760375</v>
      </c>
      <c r="AQ20" s="4" t="str">
        <f t="shared" si="40"/>
        <v>-</v>
      </c>
      <c r="AR20" s="4" t="str">
        <f t="shared" si="19"/>
        <v>-</v>
      </c>
      <c r="AS20" s="4" t="str">
        <f t="shared" si="20"/>
        <v>-</v>
      </c>
      <c r="AT20" s="4" t="str">
        <f t="shared" si="28"/>
        <v>-</v>
      </c>
      <c r="AU20" s="4" t="str">
        <f t="shared" si="21"/>
        <v>-</v>
      </c>
      <c r="AV20" s="4" t="str">
        <f t="shared" si="22"/>
        <v>-</v>
      </c>
      <c r="AW20" s="4"/>
      <c r="AX20" s="4"/>
      <c r="AY20" s="4"/>
      <c r="AZ20" s="4"/>
      <c r="BA20" s="4"/>
      <c r="BB20" s="4"/>
      <c r="BC20" s="4"/>
      <c r="BD20" s="4"/>
      <c r="BE20" s="4">
        <f t="shared" si="41"/>
        <v>0</v>
      </c>
      <c r="BF20" s="4">
        <f t="shared" si="42"/>
        <v>0</v>
      </c>
      <c r="BG20" s="18">
        <v>4</v>
      </c>
      <c r="BH20" s="18"/>
      <c r="BI20" s="16"/>
    </row>
    <row r="21" spans="1:61" x14ac:dyDescent="0.4">
      <c r="A21" s="3">
        <v>18</v>
      </c>
      <c r="B21" s="3">
        <v>18</v>
      </c>
      <c r="C21" s="4">
        <v>210480</v>
      </c>
      <c r="D21" s="4" t="str">
        <f t="shared" si="31"/>
        <v>210480</v>
      </c>
      <c r="E21" s="4">
        <v>210480</v>
      </c>
      <c r="F21" s="4" t="s">
        <v>83</v>
      </c>
      <c r="G21" s="5"/>
      <c r="H21" s="5"/>
      <c r="I21" s="5"/>
      <c r="J21" s="5">
        <f t="shared" si="0"/>
        <v>1</v>
      </c>
      <c r="K21" s="5"/>
      <c r="L21" s="4">
        <v>0</v>
      </c>
      <c r="M21" s="4">
        <v>5131</v>
      </c>
      <c r="N21" s="4">
        <v>3739.2</v>
      </c>
      <c r="O21" s="6">
        <f t="shared" si="32"/>
        <v>0.27125316702397195</v>
      </c>
      <c r="P21" s="4" t="s">
        <v>99</v>
      </c>
      <c r="Q21" s="4" t="s">
        <v>99</v>
      </c>
      <c r="R21" s="4" t="s">
        <v>99</v>
      </c>
      <c r="S21" s="4" t="s">
        <v>99</v>
      </c>
      <c r="T21" s="4" t="s">
        <v>99</v>
      </c>
      <c r="U21" s="4" t="s">
        <v>99</v>
      </c>
      <c r="V21" s="4">
        <v>0</v>
      </c>
      <c r="W21" s="4">
        <f t="shared" si="33"/>
        <v>0</v>
      </c>
      <c r="X21" s="4">
        <v>4368.3999999999996</v>
      </c>
      <c r="Y21" s="4">
        <f t="shared" si="34"/>
        <v>4368.3999999999996</v>
      </c>
      <c r="Z21" s="4"/>
      <c r="AA21" s="20">
        <f t="shared" si="1"/>
        <v>5994</v>
      </c>
      <c r="AB21" s="6">
        <f t="shared" si="35"/>
        <v>0.27120453787120458</v>
      </c>
      <c r="AC21" s="32"/>
      <c r="AD21" s="4">
        <f t="shared" si="2"/>
        <v>0</v>
      </c>
      <c r="AE21" s="32">
        <f t="shared" si="36"/>
        <v>0</v>
      </c>
      <c r="AF21" s="6" t="str">
        <f t="shared" si="37"/>
        <v>-</v>
      </c>
      <c r="AG21" s="32">
        <f t="shared" si="43"/>
        <v>995.60000000000036</v>
      </c>
      <c r="AH21" s="7">
        <v>5960</v>
      </c>
      <c r="AI21" s="6">
        <f t="shared" si="38"/>
        <v>0.26704697986577186</v>
      </c>
      <c r="AJ21" s="4">
        <f t="shared" si="39"/>
        <v>1591.6000000000004</v>
      </c>
      <c r="AK21" s="27">
        <v>5960</v>
      </c>
      <c r="AL21" s="6">
        <f t="shared" si="17"/>
        <v>0.26704697986577186</v>
      </c>
      <c r="AM21" s="4">
        <f t="shared" si="18"/>
        <v>1591.6000000000004</v>
      </c>
      <c r="AN21" s="6" t="str">
        <f t="shared" si="5"/>
        <v>-</v>
      </c>
      <c r="AO21" s="6">
        <f t="shared" si="6"/>
        <v>1.1615669460144222</v>
      </c>
      <c r="AP21" s="6">
        <f t="shared" si="7"/>
        <v>1.1682712879760375</v>
      </c>
      <c r="AQ21" s="4" t="str">
        <f t="shared" si="40"/>
        <v>-</v>
      </c>
      <c r="AR21" s="4" t="str">
        <f t="shared" si="19"/>
        <v>-</v>
      </c>
      <c r="AS21" s="4" t="str">
        <f t="shared" si="20"/>
        <v>-</v>
      </c>
      <c r="AT21" s="4" t="str">
        <f t="shared" si="28"/>
        <v>-</v>
      </c>
      <c r="AU21" s="4" t="str">
        <f t="shared" si="21"/>
        <v>-</v>
      </c>
      <c r="AV21" s="4" t="str">
        <f t="shared" si="22"/>
        <v>-</v>
      </c>
      <c r="AW21" s="4"/>
      <c r="AX21" s="4"/>
      <c r="AY21" s="4"/>
      <c r="AZ21" s="4"/>
      <c r="BA21" s="4"/>
      <c r="BB21" s="4"/>
      <c r="BC21" s="4"/>
      <c r="BD21" s="4"/>
      <c r="BE21" s="4">
        <f t="shared" si="41"/>
        <v>0</v>
      </c>
      <c r="BF21" s="4">
        <f t="shared" si="42"/>
        <v>0</v>
      </c>
      <c r="BG21" s="18">
        <v>4</v>
      </c>
      <c r="BH21" s="18"/>
      <c r="BI21" s="16"/>
    </row>
    <row r="22" spans="1:61" x14ac:dyDescent="0.4">
      <c r="A22" s="3">
        <v>19</v>
      </c>
      <c r="B22" s="3">
        <v>19</v>
      </c>
      <c r="C22" s="4">
        <v>210463</v>
      </c>
      <c r="D22" s="4" t="str">
        <f t="shared" si="31"/>
        <v>210463</v>
      </c>
      <c r="E22" s="4">
        <v>210463</v>
      </c>
      <c r="F22" s="4" t="s">
        <v>84</v>
      </c>
      <c r="G22" s="5"/>
      <c r="H22" s="5"/>
      <c r="I22" s="5"/>
      <c r="J22" s="5">
        <f t="shared" si="0"/>
        <v>1</v>
      </c>
      <c r="K22" s="5"/>
      <c r="L22" s="4">
        <v>0</v>
      </c>
      <c r="M22" s="4">
        <v>145</v>
      </c>
      <c r="N22" s="4">
        <v>93.48</v>
      </c>
      <c r="O22" s="6">
        <f t="shared" si="32"/>
        <v>0.35531034482758617</v>
      </c>
      <c r="P22" s="4" t="s">
        <v>99</v>
      </c>
      <c r="Q22" s="4" t="s">
        <v>99</v>
      </c>
      <c r="R22" s="4" t="s">
        <v>99</v>
      </c>
      <c r="S22" s="4" t="s">
        <v>99</v>
      </c>
      <c r="T22" s="4" t="s">
        <v>99</v>
      </c>
      <c r="U22" s="4" t="s">
        <v>99</v>
      </c>
      <c r="V22" s="4">
        <v>0</v>
      </c>
      <c r="W22" s="4">
        <f t="shared" si="33"/>
        <v>0</v>
      </c>
      <c r="X22" s="4">
        <v>109.21</v>
      </c>
      <c r="Y22" s="4">
        <f t="shared" si="34"/>
        <v>109.21</v>
      </c>
      <c r="Z22" s="4"/>
      <c r="AA22" s="20">
        <f t="shared" si="1"/>
        <v>169</v>
      </c>
      <c r="AB22" s="6">
        <f t="shared" si="35"/>
        <v>0.35378698224852079</v>
      </c>
      <c r="AC22" s="32"/>
      <c r="AD22" s="4">
        <f t="shared" si="2"/>
        <v>0</v>
      </c>
      <c r="AE22" s="32">
        <f t="shared" si="36"/>
        <v>0</v>
      </c>
      <c r="AF22" s="6" t="str">
        <f t="shared" si="37"/>
        <v>-</v>
      </c>
      <c r="AG22" s="32">
        <f t="shared" si="43"/>
        <v>41.990000000000009</v>
      </c>
      <c r="AH22" s="7">
        <v>168</v>
      </c>
      <c r="AI22" s="6">
        <f t="shared" si="38"/>
        <v>0.34994047619047619</v>
      </c>
      <c r="AJ22" s="4">
        <f t="shared" si="39"/>
        <v>58.790000000000006</v>
      </c>
      <c r="AK22" s="27">
        <v>168</v>
      </c>
      <c r="AL22" s="6">
        <f t="shared" si="17"/>
        <v>0.34994047619047619</v>
      </c>
      <c r="AM22" s="4">
        <f t="shared" si="18"/>
        <v>58.790000000000006</v>
      </c>
      <c r="AN22" s="6" t="str">
        <f t="shared" si="5"/>
        <v>-</v>
      </c>
      <c r="AO22" s="6">
        <f t="shared" si="6"/>
        <v>1.1586206896551725</v>
      </c>
      <c r="AP22" s="6">
        <f t="shared" si="7"/>
        <v>1.1682712879760375</v>
      </c>
      <c r="AQ22" s="4" t="str">
        <f t="shared" si="40"/>
        <v>-</v>
      </c>
      <c r="AR22" s="4" t="str">
        <f t="shared" si="19"/>
        <v>-</v>
      </c>
      <c r="AS22" s="4" t="str">
        <f t="shared" si="20"/>
        <v>-</v>
      </c>
      <c r="AT22" s="4" t="str">
        <f t="shared" si="28"/>
        <v>-</v>
      </c>
      <c r="AU22" s="4" t="str">
        <f t="shared" si="21"/>
        <v>-</v>
      </c>
      <c r="AV22" s="4" t="str">
        <f t="shared" si="22"/>
        <v>-</v>
      </c>
      <c r="AW22" s="4"/>
      <c r="AX22" s="4"/>
      <c r="AY22" s="4"/>
      <c r="AZ22" s="4"/>
      <c r="BA22" s="4"/>
      <c r="BB22" s="4"/>
      <c r="BC22" s="4"/>
      <c r="BD22" s="4"/>
      <c r="BE22" s="4">
        <f t="shared" si="41"/>
        <v>0</v>
      </c>
      <c r="BF22" s="4">
        <f t="shared" si="42"/>
        <v>0</v>
      </c>
      <c r="BG22" s="18">
        <v>4</v>
      </c>
      <c r="BH22" s="18"/>
      <c r="BI22" s="16"/>
    </row>
    <row r="23" spans="1:61" x14ac:dyDescent="0.4">
      <c r="A23" s="3">
        <v>20</v>
      </c>
      <c r="B23" s="3">
        <v>20</v>
      </c>
      <c r="C23" s="4">
        <v>210463</v>
      </c>
      <c r="D23" s="4" t="str">
        <f t="shared" si="31"/>
        <v>210463</v>
      </c>
      <c r="E23" s="4">
        <v>210464</v>
      </c>
      <c r="F23" s="4" t="s">
        <v>85</v>
      </c>
      <c r="G23" s="5"/>
      <c r="H23" s="5"/>
      <c r="I23" s="5"/>
      <c r="J23" s="5">
        <f t="shared" si="0"/>
        <v>1</v>
      </c>
      <c r="K23" s="5"/>
      <c r="L23" s="4">
        <v>0</v>
      </c>
      <c r="M23" s="4">
        <v>1333</v>
      </c>
      <c r="N23" s="4">
        <v>934.8</v>
      </c>
      <c r="O23" s="6">
        <f t="shared" si="32"/>
        <v>0.29872468117029261</v>
      </c>
      <c r="P23" s="4" t="s">
        <v>99</v>
      </c>
      <c r="Q23" s="4" t="s">
        <v>99</v>
      </c>
      <c r="R23" s="4" t="s">
        <v>99</v>
      </c>
      <c r="S23" s="4" t="s">
        <v>99</v>
      </c>
      <c r="T23" s="4" t="s">
        <v>99</v>
      </c>
      <c r="U23" s="4" t="s">
        <v>99</v>
      </c>
      <c r="V23" s="4">
        <v>0</v>
      </c>
      <c r="W23" s="4">
        <f t="shared" si="33"/>
        <v>0</v>
      </c>
      <c r="X23" s="4">
        <v>1092.0999999999999</v>
      </c>
      <c r="Y23" s="4">
        <f t="shared" si="34"/>
        <v>1092.0999999999999</v>
      </c>
      <c r="Z23" s="4"/>
      <c r="AA23" s="20">
        <f t="shared" si="1"/>
        <v>1557</v>
      </c>
      <c r="AB23" s="6">
        <f t="shared" si="35"/>
        <v>0.29858702633269119</v>
      </c>
      <c r="AC23" s="32"/>
      <c r="AD23" s="4">
        <f t="shared" si="2"/>
        <v>0</v>
      </c>
      <c r="AE23" s="32">
        <f t="shared" si="36"/>
        <v>0</v>
      </c>
      <c r="AF23" s="6" t="str">
        <f t="shared" si="37"/>
        <v>-</v>
      </c>
      <c r="AG23" s="32">
        <f t="shared" si="43"/>
        <v>311.90000000000009</v>
      </c>
      <c r="AH23" s="7">
        <v>1560</v>
      </c>
      <c r="AI23" s="6">
        <f t="shared" si="38"/>
        <v>0.29993589743589755</v>
      </c>
      <c r="AJ23" s="4">
        <f t="shared" si="39"/>
        <v>467.90000000000009</v>
      </c>
      <c r="AK23" s="27">
        <v>1560</v>
      </c>
      <c r="AL23" s="6">
        <f t="shared" si="17"/>
        <v>0.29993589743589755</v>
      </c>
      <c r="AM23" s="4">
        <f t="shared" si="18"/>
        <v>467.90000000000009</v>
      </c>
      <c r="AN23" s="6" t="str">
        <f t="shared" si="5"/>
        <v>-</v>
      </c>
      <c r="AO23" s="6">
        <f t="shared" si="6"/>
        <v>1.1702925731432858</v>
      </c>
      <c r="AP23" s="6">
        <f t="shared" si="7"/>
        <v>1.1682712879760375</v>
      </c>
      <c r="AQ23" s="4" t="str">
        <f t="shared" si="40"/>
        <v>-</v>
      </c>
      <c r="AR23" s="4" t="str">
        <f t="shared" si="19"/>
        <v>-</v>
      </c>
      <c r="AS23" s="4" t="str">
        <f t="shared" si="20"/>
        <v>-</v>
      </c>
      <c r="AT23" s="4" t="str">
        <f t="shared" si="28"/>
        <v>-</v>
      </c>
      <c r="AU23" s="4" t="str">
        <f t="shared" si="21"/>
        <v>-</v>
      </c>
      <c r="AV23" s="4" t="str">
        <f t="shared" si="22"/>
        <v>-</v>
      </c>
      <c r="AW23" s="4"/>
      <c r="AX23" s="4"/>
      <c r="AY23" s="4"/>
      <c r="AZ23" s="4"/>
      <c r="BA23" s="4"/>
      <c r="BB23" s="4"/>
      <c r="BC23" s="4"/>
      <c r="BD23" s="4"/>
      <c r="BE23" s="4">
        <f t="shared" si="41"/>
        <v>0</v>
      </c>
      <c r="BF23" s="4">
        <f t="shared" si="42"/>
        <v>0</v>
      </c>
      <c r="BG23" s="18">
        <v>4</v>
      </c>
      <c r="BH23" s="18"/>
      <c r="BI23" s="16"/>
    </row>
    <row r="24" spans="1:61" x14ac:dyDescent="0.4">
      <c r="A24" s="3">
        <v>21</v>
      </c>
      <c r="B24" s="3">
        <v>21</v>
      </c>
      <c r="C24" s="4">
        <v>210477</v>
      </c>
      <c r="D24" s="4" t="str">
        <f t="shared" si="31"/>
        <v>210477</v>
      </c>
      <c r="E24" s="4">
        <v>210477</v>
      </c>
      <c r="F24" s="4" t="s">
        <v>86</v>
      </c>
      <c r="G24" s="5"/>
      <c r="H24" s="5"/>
      <c r="I24" s="5"/>
      <c r="J24" s="5">
        <f t="shared" si="0"/>
        <v>1</v>
      </c>
      <c r="K24" s="5"/>
      <c r="L24" s="4">
        <v>0</v>
      </c>
      <c r="M24" s="4">
        <v>5131</v>
      </c>
      <c r="N24" s="4">
        <v>3739.2</v>
      </c>
      <c r="O24" s="6">
        <f t="shared" si="32"/>
        <v>0.27125316702397195</v>
      </c>
      <c r="P24" s="4" t="s">
        <v>99</v>
      </c>
      <c r="Q24" s="4" t="s">
        <v>99</v>
      </c>
      <c r="R24" s="4" t="s">
        <v>99</v>
      </c>
      <c r="S24" s="4" t="s">
        <v>99</v>
      </c>
      <c r="T24" s="4" t="s">
        <v>99</v>
      </c>
      <c r="U24" s="4" t="s">
        <v>99</v>
      </c>
      <c r="V24" s="4">
        <v>0</v>
      </c>
      <c r="W24" s="4">
        <f t="shared" si="33"/>
        <v>0</v>
      </c>
      <c r="X24" s="4">
        <v>4368.3999999999996</v>
      </c>
      <c r="Y24" s="4">
        <f t="shared" si="34"/>
        <v>4368.3999999999996</v>
      </c>
      <c r="Z24" s="4"/>
      <c r="AA24" s="20">
        <f t="shared" si="1"/>
        <v>5994</v>
      </c>
      <c r="AB24" s="6">
        <f t="shared" si="35"/>
        <v>0.27120453787120458</v>
      </c>
      <c r="AC24" s="32"/>
      <c r="AD24" s="4">
        <f t="shared" si="2"/>
        <v>0</v>
      </c>
      <c r="AE24" s="32">
        <f t="shared" si="36"/>
        <v>0</v>
      </c>
      <c r="AF24" s="6" t="str">
        <f t="shared" si="37"/>
        <v>-</v>
      </c>
      <c r="AG24" s="32">
        <f t="shared" si="43"/>
        <v>995.60000000000036</v>
      </c>
      <c r="AH24" s="7">
        <v>5960</v>
      </c>
      <c r="AI24" s="6">
        <f t="shared" si="38"/>
        <v>0.26704697986577186</v>
      </c>
      <c r="AJ24" s="4">
        <f t="shared" si="39"/>
        <v>1591.6000000000004</v>
      </c>
      <c r="AK24" s="27">
        <v>5960</v>
      </c>
      <c r="AL24" s="6">
        <f t="shared" si="17"/>
        <v>0.26704697986577186</v>
      </c>
      <c r="AM24" s="4">
        <f t="shared" si="18"/>
        <v>1591.6000000000004</v>
      </c>
      <c r="AN24" s="6" t="str">
        <f t="shared" si="5"/>
        <v>-</v>
      </c>
      <c r="AO24" s="6">
        <f t="shared" si="6"/>
        <v>1.1615669460144222</v>
      </c>
      <c r="AP24" s="6">
        <f t="shared" si="7"/>
        <v>1.1682712879760375</v>
      </c>
      <c r="AQ24" s="4" t="str">
        <f t="shared" si="40"/>
        <v>-</v>
      </c>
      <c r="AR24" s="4" t="str">
        <f t="shared" si="19"/>
        <v>-</v>
      </c>
      <c r="AS24" s="4" t="str">
        <f t="shared" si="20"/>
        <v>-</v>
      </c>
      <c r="AT24" s="4" t="str">
        <f t="shared" si="28"/>
        <v>-</v>
      </c>
      <c r="AU24" s="4" t="str">
        <f t="shared" si="21"/>
        <v>-</v>
      </c>
      <c r="AV24" s="4" t="str">
        <f t="shared" si="22"/>
        <v>-</v>
      </c>
      <c r="AW24" s="4"/>
      <c r="AX24" s="4"/>
      <c r="AY24" s="4"/>
      <c r="AZ24" s="4"/>
      <c r="BA24" s="4"/>
      <c r="BB24" s="4"/>
      <c r="BC24" s="4"/>
      <c r="BD24" s="4"/>
      <c r="BE24" s="4">
        <f t="shared" si="41"/>
        <v>0</v>
      </c>
      <c r="BF24" s="4">
        <f t="shared" si="42"/>
        <v>0</v>
      </c>
      <c r="BG24" s="18">
        <v>4</v>
      </c>
      <c r="BH24" s="18"/>
      <c r="BI24" s="16"/>
    </row>
    <row r="25" spans="1:61" x14ac:dyDescent="0.4">
      <c r="A25" s="3">
        <v>22</v>
      </c>
      <c r="B25" s="3">
        <v>22</v>
      </c>
      <c r="C25" s="4">
        <v>210422</v>
      </c>
      <c r="D25" s="4" t="str">
        <f t="shared" si="31"/>
        <v>210422</v>
      </c>
      <c r="E25" s="4">
        <v>210422</v>
      </c>
      <c r="F25" s="4" t="s">
        <v>87</v>
      </c>
      <c r="G25" s="5"/>
      <c r="H25" s="5"/>
      <c r="I25" s="5"/>
      <c r="J25" s="5">
        <f t="shared" si="0"/>
        <v>1</v>
      </c>
      <c r="K25" s="5"/>
      <c r="L25" s="4">
        <v>0</v>
      </c>
      <c r="M25" s="4">
        <v>145</v>
      </c>
      <c r="N25" s="4">
        <v>93.48</v>
      </c>
      <c r="O25" s="6">
        <f t="shared" si="32"/>
        <v>0.35531034482758617</v>
      </c>
      <c r="P25" s="4" t="s">
        <v>99</v>
      </c>
      <c r="Q25" s="4" t="s">
        <v>99</v>
      </c>
      <c r="R25" s="4" t="s">
        <v>99</v>
      </c>
      <c r="S25" s="4" t="s">
        <v>99</v>
      </c>
      <c r="T25" s="4" t="s">
        <v>99</v>
      </c>
      <c r="U25" s="4" t="s">
        <v>99</v>
      </c>
      <c r="V25" s="4">
        <v>0</v>
      </c>
      <c r="W25" s="4">
        <f t="shared" si="33"/>
        <v>0</v>
      </c>
      <c r="X25" s="4">
        <v>109.21</v>
      </c>
      <c r="Y25" s="4">
        <f t="shared" si="34"/>
        <v>109.21</v>
      </c>
      <c r="Z25" s="4"/>
      <c r="AA25" s="20">
        <f t="shared" si="1"/>
        <v>169</v>
      </c>
      <c r="AB25" s="6">
        <f t="shared" si="35"/>
        <v>0.35378698224852079</v>
      </c>
      <c r="AC25" s="32"/>
      <c r="AD25" s="4">
        <f t="shared" si="2"/>
        <v>0</v>
      </c>
      <c r="AE25" s="32">
        <f t="shared" si="36"/>
        <v>0</v>
      </c>
      <c r="AF25" s="6" t="str">
        <f t="shared" si="37"/>
        <v>-</v>
      </c>
      <c r="AG25" s="32">
        <f t="shared" si="43"/>
        <v>41.990000000000009</v>
      </c>
      <c r="AH25" s="7">
        <v>168</v>
      </c>
      <c r="AI25" s="6">
        <f t="shared" si="38"/>
        <v>0.34994047619047619</v>
      </c>
      <c r="AJ25" s="4">
        <f t="shared" si="39"/>
        <v>58.790000000000006</v>
      </c>
      <c r="AK25" s="27">
        <v>168</v>
      </c>
      <c r="AL25" s="6">
        <f t="shared" si="17"/>
        <v>0.34994047619047619</v>
      </c>
      <c r="AM25" s="4">
        <f t="shared" si="18"/>
        <v>58.790000000000006</v>
      </c>
      <c r="AN25" s="6" t="str">
        <f t="shared" si="5"/>
        <v>-</v>
      </c>
      <c r="AO25" s="6">
        <f t="shared" si="6"/>
        <v>1.1586206896551725</v>
      </c>
      <c r="AP25" s="6">
        <f t="shared" si="7"/>
        <v>1.1682712879760375</v>
      </c>
      <c r="AQ25" s="4" t="str">
        <f t="shared" si="40"/>
        <v>-</v>
      </c>
      <c r="AR25" s="4" t="str">
        <f t="shared" si="19"/>
        <v>-</v>
      </c>
      <c r="AS25" s="4" t="str">
        <f t="shared" si="20"/>
        <v>-</v>
      </c>
      <c r="AT25" s="4" t="str">
        <f t="shared" si="28"/>
        <v>-</v>
      </c>
      <c r="AU25" s="4" t="str">
        <f t="shared" si="21"/>
        <v>-</v>
      </c>
      <c r="AV25" s="4" t="str">
        <f t="shared" si="22"/>
        <v>-</v>
      </c>
      <c r="AW25" s="4"/>
      <c r="AX25" s="4"/>
      <c r="AY25" s="4"/>
      <c r="AZ25" s="4"/>
      <c r="BA25" s="4"/>
      <c r="BB25" s="4"/>
      <c r="BC25" s="4"/>
      <c r="BD25" s="4"/>
      <c r="BE25" s="4">
        <f t="shared" si="41"/>
        <v>0</v>
      </c>
      <c r="BF25" s="4">
        <f t="shared" si="42"/>
        <v>0</v>
      </c>
      <c r="BG25" s="18">
        <v>4</v>
      </c>
      <c r="BH25" s="18"/>
      <c r="BI25" s="16"/>
    </row>
    <row r="26" spans="1:61" x14ac:dyDescent="0.4">
      <c r="A26" s="3">
        <v>23</v>
      </c>
      <c r="B26" s="3">
        <v>23</v>
      </c>
      <c r="C26" s="4">
        <v>210422</v>
      </c>
      <c r="D26" s="4" t="str">
        <f t="shared" si="31"/>
        <v>210422</v>
      </c>
      <c r="E26" s="4">
        <v>210460</v>
      </c>
      <c r="F26" s="4" t="s">
        <v>88</v>
      </c>
      <c r="G26" s="5"/>
      <c r="H26" s="5"/>
      <c r="I26" s="5"/>
      <c r="J26" s="5">
        <f t="shared" si="0"/>
        <v>1</v>
      </c>
      <c r="K26" s="5"/>
      <c r="L26" s="4">
        <v>0</v>
      </c>
      <c r="M26" s="4">
        <v>1333</v>
      </c>
      <c r="N26" s="4">
        <v>934.8</v>
      </c>
      <c r="O26" s="6">
        <f t="shared" si="32"/>
        <v>0.29872468117029261</v>
      </c>
      <c r="P26" s="4" t="s">
        <v>99</v>
      </c>
      <c r="Q26" s="4" t="s">
        <v>99</v>
      </c>
      <c r="R26" s="4" t="s">
        <v>99</v>
      </c>
      <c r="S26" s="4" t="s">
        <v>99</v>
      </c>
      <c r="T26" s="4" t="s">
        <v>99</v>
      </c>
      <c r="U26" s="4" t="s">
        <v>99</v>
      </c>
      <c r="V26" s="4">
        <v>0</v>
      </c>
      <c r="W26" s="4">
        <f t="shared" si="33"/>
        <v>0</v>
      </c>
      <c r="X26" s="4">
        <v>1092.0999999999999</v>
      </c>
      <c r="Y26" s="4">
        <f t="shared" si="34"/>
        <v>1092.0999999999999</v>
      </c>
      <c r="Z26" s="4"/>
      <c r="AA26" s="20">
        <f t="shared" si="1"/>
        <v>1557</v>
      </c>
      <c r="AB26" s="6">
        <f t="shared" si="35"/>
        <v>0.29858702633269119</v>
      </c>
      <c r="AC26" s="32"/>
      <c r="AD26" s="4">
        <f t="shared" si="2"/>
        <v>0</v>
      </c>
      <c r="AE26" s="32">
        <f t="shared" si="36"/>
        <v>0</v>
      </c>
      <c r="AF26" s="6" t="str">
        <f t="shared" si="37"/>
        <v>-</v>
      </c>
      <c r="AG26" s="32">
        <f t="shared" si="43"/>
        <v>311.90000000000009</v>
      </c>
      <c r="AH26" s="7">
        <v>1560</v>
      </c>
      <c r="AI26" s="6">
        <f t="shared" si="38"/>
        <v>0.29993589743589755</v>
      </c>
      <c r="AJ26" s="4">
        <f t="shared" si="39"/>
        <v>467.90000000000009</v>
      </c>
      <c r="AK26" s="27">
        <v>1560</v>
      </c>
      <c r="AL26" s="6">
        <f t="shared" si="17"/>
        <v>0.29993589743589755</v>
      </c>
      <c r="AM26" s="4">
        <f t="shared" si="18"/>
        <v>467.90000000000009</v>
      </c>
      <c r="AN26" s="6" t="str">
        <f t="shared" si="5"/>
        <v>-</v>
      </c>
      <c r="AO26" s="6">
        <f t="shared" si="6"/>
        <v>1.1702925731432858</v>
      </c>
      <c r="AP26" s="6">
        <f t="shared" si="7"/>
        <v>1.1682712879760375</v>
      </c>
      <c r="AQ26" s="4" t="str">
        <f t="shared" si="40"/>
        <v>-</v>
      </c>
      <c r="AR26" s="4" t="str">
        <f t="shared" si="19"/>
        <v>-</v>
      </c>
      <c r="AS26" s="4" t="str">
        <f t="shared" si="20"/>
        <v>-</v>
      </c>
      <c r="AT26" s="4" t="str">
        <f t="shared" si="28"/>
        <v>-</v>
      </c>
      <c r="AU26" s="4" t="str">
        <f t="shared" si="21"/>
        <v>-</v>
      </c>
      <c r="AV26" s="4" t="str">
        <f t="shared" si="22"/>
        <v>-</v>
      </c>
      <c r="AW26" s="4"/>
      <c r="AX26" s="4"/>
      <c r="AY26" s="4"/>
      <c r="AZ26" s="4"/>
      <c r="BA26" s="4"/>
      <c r="BB26" s="4"/>
      <c r="BC26" s="4"/>
      <c r="BD26" s="4"/>
      <c r="BE26" s="4">
        <f t="shared" si="41"/>
        <v>0</v>
      </c>
      <c r="BF26" s="4">
        <f t="shared" si="42"/>
        <v>0</v>
      </c>
      <c r="BG26" s="18">
        <v>4</v>
      </c>
      <c r="BH26" s="18"/>
      <c r="BI26" s="16"/>
    </row>
    <row r="27" spans="1:61" x14ac:dyDescent="0.4">
      <c r="A27" s="3">
        <v>24</v>
      </c>
      <c r="B27" s="3">
        <v>24</v>
      </c>
      <c r="C27" s="4">
        <v>210461</v>
      </c>
      <c r="D27" s="4" t="str">
        <f t="shared" si="31"/>
        <v>210461</v>
      </c>
      <c r="E27" s="4">
        <v>210461</v>
      </c>
      <c r="F27" s="4" t="s">
        <v>89</v>
      </c>
      <c r="G27" s="5"/>
      <c r="H27" s="5"/>
      <c r="I27" s="5"/>
      <c r="J27" s="5">
        <f t="shared" si="0"/>
        <v>1</v>
      </c>
      <c r="K27" s="5"/>
      <c r="L27" s="4">
        <v>0</v>
      </c>
      <c r="M27" s="4">
        <v>5079</v>
      </c>
      <c r="N27" s="4">
        <v>3739.2</v>
      </c>
      <c r="O27" s="6">
        <f t="shared" si="32"/>
        <v>0.2637920850561134</v>
      </c>
      <c r="P27" s="4" t="s">
        <v>99</v>
      </c>
      <c r="Q27" s="4" t="s">
        <v>99</v>
      </c>
      <c r="R27" s="4" t="s">
        <v>99</v>
      </c>
      <c r="S27" s="4" t="s">
        <v>99</v>
      </c>
      <c r="T27" s="4" t="s">
        <v>99</v>
      </c>
      <c r="U27" s="4" t="s">
        <v>99</v>
      </c>
      <c r="V27" s="4">
        <v>0</v>
      </c>
      <c r="W27" s="4">
        <f t="shared" si="33"/>
        <v>0</v>
      </c>
      <c r="X27" s="4">
        <v>4368.3999999999996</v>
      </c>
      <c r="Y27" s="4">
        <f t="shared" si="34"/>
        <v>4368.3999999999996</v>
      </c>
      <c r="Z27" s="4"/>
      <c r="AA27" s="20">
        <f t="shared" si="1"/>
        <v>5934</v>
      </c>
      <c r="AB27" s="6">
        <f t="shared" si="35"/>
        <v>0.26383552409841593</v>
      </c>
      <c r="AC27" s="32"/>
      <c r="AD27" s="4">
        <f t="shared" si="2"/>
        <v>0</v>
      </c>
      <c r="AE27" s="32">
        <f t="shared" si="36"/>
        <v>0</v>
      </c>
      <c r="AF27" s="6" t="str">
        <f t="shared" si="37"/>
        <v>-</v>
      </c>
      <c r="AG27" s="32">
        <f t="shared" si="43"/>
        <v>995.60000000000036</v>
      </c>
      <c r="AH27" s="7">
        <v>5960</v>
      </c>
      <c r="AI27" s="6">
        <f t="shared" si="38"/>
        <v>0.26704697986577186</v>
      </c>
      <c r="AJ27" s="4">
        <f t="shared" si="39"/>
        <v>1591.6000000000004</v>
      </c>
      <c r="AK27" s="27">
        <v>5960</v>
      </c>
      <c r="AL27" s="6">
        <f t="shared" si="17"/>
        <v>0.26704697986577186</v>
      </c>
      <c r="AM27" s="4">
        <f t="shared" si="18"/>
        <v>1591.6000000000004</v>
      </c>
      <c r="AN27" s="6" t="str">
        <f t="shared" si="5"/>
        <v>-</v>
      </c>
      <c r="AO27" s="6">
        <f t="shared" si="6"/>
        <v>1.1734593423902342</v>
      </c>
      <c r="AP27" s="6">
        <f t="shared" si="7"/>
        <v>1.1682712879760375</v>
      </c>
      <c r="AQ27" s="4" t="str">
        <f t="shared" si="40"/>
        <v>-</v>
      </c>
      <c r="AR27" s="4" t="str">
        <f t="shared" si="19"/>
        <v>-</v>
      </c>
      <c r="AS27" s="4" t="str">
        <f t="shared" si="20"/>
        <v>-</v>
      </c>
      <c r="AT27" s="4" t="str">
        <f t="shared" si="28"/>
        <v>-</v>
      </c>
      <c r="AU27" s="4" t="str">
        <f t="shared" si="21"/>
        <v>-</v>
      </c>
      <c r="AV27" s="4" t="str">
        <f t="shared" si="22"/>
        <v>-</v>
      </c>
      <c r="AW27" s="4"/>
      <c r="AX27" s="4"/>
      <c r="AY27" s="4"/>
      <c r="AZ27" s="4"/>
      <c r="BA27" s="4"/>
      <c r="BB27" s="4"/>
      <c r="BC27" s="4"/>
      <c r="BD27" s="4"/>
      <c r="BE27" s="4">
        <f t="shared" si="41"/>
        <v>0</v>
      </c>
      <c r="BF27" s="4">
        <f t="shared" si="42"/>
        <v>0</v>
      </c>
      <c r="BG27" s="18">
        <v>4</v>
      </c>
      <c r="BH27" s="18"/>
      <c r="BI27" s="16"/>
    </row>
    <row r="28" spans="1:61" x14ac:dyDescent="0.4">
      <c r="A28" s="3">
        <v>25</v>
      </c>
      <c r="B28" s="3">
        <v>25</v>
      </c>
      <c r="C28" s="4">
        <v>210529</v>
      </c>
      <c r="D28" s="4" t="str">
        <f t="shared" si="31"/>
        <v>210529</v>
      </c>
      <c r="E28" s="4">
        <v>210529</v>
      </c>
      <c r="F28" s="4" t="s">
        <v>90</v>
      </c>
      <c r="G28" s="5"/>
      <c r="H28" s="5"/>
      <c r="I28" s="5"/>
      <c r="J28" s="5">
        <f t="shared" si="0"/>
        <v>1</v>
      </c>
      <c r="K28" s="5"/>
      <c r="L28" s="4">
        <v>0</v>
      </c>
      <c r="M28" s="4">
        <v>317</v>
      </c>
      <c r="N28" s="4">
        <v>135.97</v>
      </c>
      <c r="O28" s="6">
        <f t="shared" si="32"/>
        <v>0.57107255520504729</v>
      </c>
      <c r="P28" s="4" t="s">
        <v>99</v>
      </c>
      <c r="Q28" s="4" t="s">
        <v>99</v>
      </c>
      <c r="R28" s="4" t="s">
        <v>99</v>
      </c>
      <c r="S28" s="4" t="s">
        <v>99</v>
      </c>
      <c r="T28" s="4" t="s">
        <v>99</v>
      </c>
      <c r="U28" s="4" t="s">
        <v>99</v>
      </c>
      <c r="V28" s="4">
        <v>0</v>
      </c>
      <c r="W28" s="4">
        <f t="shared" si="33"/>
        <v>0</v>
      </c>
      <c r="X28" s="4">
        <v>158.35</v>
      </c>
      <c r="Y28" s="4">
        <f t="shared" si="34"/>
        <v>158.35</v>
      </c>
      <c r="Z28" s="4"/>
      <c r="AA28" s="20">
        <f t="shared" si="1"/>
        <v>369</v>
      </c>
      <c r="AB28" s="6">
        <f t="shared" si="35"/>
        <v>0.57086720867208673</v>
      </c>
      <c r="AC28" s="32"/>
      <c r="AD28" s="4">
        <f t="shared" si="2"/>
        <v>0</v>
      </c>
      <c r="AE28" s="32">
        <f t="shared" si="36"/>
        <v>0</v>
      </c>
      <c r="AF28" s="6" t="str">
        <f t="shared" si="37"/>
        <v>-</v>
      </c>
      <c r="AG28" s="32">
        <f t="shared" si="43"/>
        <v>183.65</v>
      </c>
      <c r="AH28" s="7">
        <v>380</v>
      </c>
      <c r="AI28" s="6">
        <f t="shared" si="38"/>
        <v>0.58328947368421047</v>
      </c>
      <c r="AJ28" s="4">
        <f t="shared" si="39"/>
        <v>221.65</v>
      </c>
      <c r="AK28" s="27">
        <v>380</v>
      </c>
      <c r="AL28" s="6">
        <f t="shared" si="17"/>
        <v>0.58328947368421047</v>
      </c>
      <c r="AM28" s="4">
        <f t="shared" si="18"/>
        <v>221.65</v>
      </c>
      <c r="AN28" s="6" t="str">
        <f t="shared" si="5"/>
        <v>-</v>
      </c>
      <c r="AO28" s="6">
        <f t="shared" si="6"/>
        <v>1.1987381703470033</v>
      </c>
      <c r="AP28" s="6">
        <f t="shared" si="7"/>
        <v>1.1645951312789586</v>
      </c>
      <c r="AQ28" s="4" t="str">
        <f t="shared" si="40"/>
        <v>-</v>
      </c>
      <c r="AR28" s="4" t="str">
        <f t="shared" si="19"/>
        <v>-</v>
      </c>
      <c r="AS28" s="4" t="str">
        <f t="shared" si="20"/>
        <v>-</v>
      </c>
      <c r="AT28" s="4" t="str">
        <f t="shared" si="28"/>
        <v>-</v>
      </c>
      <c r="AU28" s="4" t="str">
        <f t="shared" si="21"/>
        <v>-</v>
      </c>
      <c r="AV28" s="4" t="str">
        <f t="shared" si="22"/>
        <v>-</v>
      </c>
      <c r="AW28" s="4"/>
      <c r="AX28" s="4"/>
      <c r="AY28" s="4"/>
      <c r="AZ28" s="4"/>
      <c r="BA28" s="4"/>
      <c r="BB28" s="4"/>
      <c r="BC28" s="4"/>
      <c r="BD28" s="4"/>
      <c r="BE28" s="4">
        <f t="shared" si="41"/>
        <v>0</v>
      </c>
      <c r="BF28" s="4">
        <f t="shared" si="42"/>
        <v>0</v>
      </c>
      <c r="BG28" s="18">
        <v>4</v>
      </c>
      <c r="BH28" s="18"/>
      <c r="BI28" s="16"/>
    </row>
    <row r="29" spans="1:61" x14ac:dyDescent="0.4">
      <c r="A29" s="3">
        <v>26</v>
      </c>
      <c r="B29" s="3">
        <v>26</v>
      </c>
      <c r="C29" s="4">
        <v>210529</v>
      </c>
      <c r="D29" s="4" t="str">
        <f t="shared" si="31"/>
        <v>210529</v>
      </c>
      <c r="E29" s="4">
        <v>210534</v>
      </c>
      <c r="F29" s="4" t="s">
        <v>91</v>
      </c>
      <c r="G29" s="5"/>
      <c r="H29" s="5"/>
      <c r="I29" s="5"/>
      <c r="J29" s="5">
        <f t="shared" si="0"/>
        <v>1</v>
      </c>
      <c r="K29" s="5"/>
      <c r="L29" s="4">
        <v>0</v>
      </c>
      <c r="M29" s="4">
        <v>2955</v>
      </c>
      <c r="N29" s="4">
        <v>1359.7</v>
      </c>
      <c r="O29" s="6">
        <f t="shared" si="32"/>
        <v>0.53986463620981384</v>
      </c>
      <c r="P29" s="4" t="s">
        <v>99</v>
      </c>
      <c r="Q29" s="4" t="s">
        <v>99</v>
      </c>
      <c r="R29" s="4" t="s">
        <v>99</v>
      </c>
      <c r="S29" s="4" t="s">
        <v>99</v>
      </c>
      <c r="T29" s="4" t="s">
        <v>99</v>
      </c>
      <c r="U29" s="4" t="s">
        <v>99</v>
      </c>
      <c r="V29" s="4">
        <v>0</v>
      </c>
      <c r="W29" s="4">
        <f t="shared" si="33"/>
        <v>0</v>
      </c>
      <c r="X29" s="4">
        <v>1583.5</v>
      </c>
      <c r="Y29" s="4">
        <f t="shared" si="34"/>
        <v>1583.5</v>
      </c>
      <c r="Z29" s="4"/>
      <c r="AA29" s="20">
        <f t="shared" si="1"/>
        <v>3441</v>
      </c>
      <c r="AB29" s="6">
        <f t="shared" si="35"/>
        <v>0.539814007555943</v>
      </c>
      <c r="AC29" s="32"/>
      <c r="AD29" s="4">
        <f t="shared" si="2"/>
        <v>0</v>
      </c>
      <c r="AE29" s="32">
        <f t="shared" si="36"/>
        <v>0</v>
      </c>
      <c r="AF29" s="6" t="str">
        <f t="shared" si="37"/>
        <v>-</v>
      </c>
      <c r="AG29" s="32">
        <f t="shared" si="43"/>
        <v>1566.5</v>
      </c>
      <c r="AH29" s="7">
        <v>3500</v>
      </c>
      <c r="AI29" s="6">
        <f t="shared" si="38"/>
        <v>0.5475714285714286</v>
      </c>
      <c r="AJ29" s="4">
        <f t="shared" si="39"/>
        <v>1916.5</v>
      </c>
      <c r="AK29" s="27">
        <v>3500</v>
      </c>
      <c r="AL29" s="6">
        <f t="shared" si="17"/>
        <v>0.5475714285714286</v>
      </c>
      <c r="AM29" s="4">
        <f t="shared" si="18"/>
        <v>1916.5</v>
      </c>
      <c r="AN29" s="6" t="str">
        <f t="shared" si="5"/>
        <v>-</v>
      </c>
      <c r="AO29" s="6">
        <f t="shared" si="6"/>
        <v>1.1844331641285957</v>
      </c>
      <c r="AP29" s="6">
        <f t="shared" si="7"/>
        <v>1.1645951312789586</v>
      </c>
      <c r="AQ29" s="4" t="str">
        <f t="shared" si="40"/>
        <v>-</v>
      </c>
      <c r="AR29" s="4" t="str">
        <f t="shared" si="19"/>
        <v>-</v>
      </c>
      <c r="AS29" s="4" t="str">
        <f t="shared" si="20"/>
        <v>-</v>
      </c>
      <c r="AT29" s="4" t="str">
        <f t="shared" si="28"/>
        <v>-</v>
      </c>
      <c r="AU29" s="4" t="str">
        <f t="shared" si="21"/>
        <v>-</v>
      </c>
      <c r="AV29" s="4" t="str">
        <f t="shared" si="22"/>
        <v>-</v>
      </c>
      <c r="AW29" s="4"/>
      <c r="AX29" s="4"/>
      <c r="AY29" s="4"/>
      <c r="AZ29" s="4"/>
      <c r="BA29" s="4"/>
      <c r="BB29" s="4"/>
      <c r="BC29" s="4"/>
      <c r="BD29" s="4"/>
      <c r="BE29" s="4">
        <f t="shared" si="41"/>
        <v>0</v>
      </c>
      <c r="BF29" s="4">
        <f t="shared" si="42"/>
        <v>0</v>
      </c>
      <c r="BG29" s="18">
        <v>4</v>
      </c>
      <c r="BH29" s="18"/>
      <c r="BI29" s="16"/>
    </row>
    <row r="30" spans="1:61" x14ac:dyDescent="0.4">
      <c r="A30" s="3">
        <v>27</v>
      </c>
      <c r="B30" s="3">
        <v>27</v>
      </c>
      <c r="C30" s="4">
        <v>210556</v>
      </c>
      <c r="D30" s="4" t="str">
        <f t="shared" si="31"/>
        <v>210556</v>
      </c>
      <c r="E30" s="4">
        <v>210556</v>
      </c>
      <c r="F30" s="4" t="s">
        <v>92</v>
      </c>
      <c r="G30" s="5"/>
      <c r="H30" s="5"/>
      <c r="I30" s="5"/>
      <c r="J30" s="5">
        <f t="shared" si="0"/>
        <v>1</v>
      </c>
      <c r="K30" s="5"/>
      <c r="L30" s="4">
        <v>0</v>
      </c>
      <c r="M30" s="4">
        <v>8735</v>
      </c>
      <c r="N30" s="4">
        <v>4079.1</v>
      </c>
      <c r="O30" s="6">
        <f t="shared" si="32"/>
        <v>0.53301659988551808</v>
      </c>
      <c r="P30" s="4" t="s">
        <v>99</v>
      </c>
      <c r="Q30" s="4" t="s">
        <v>99</v>
      </c>
      <c r="R30" s="4" t="s">
        <v>99</v>
      </c>
      <c r="S30" s="4" t="s">
        <v>99</v>
      </c>
      <c r="T30" s="4" t="s">
        <v>99</v>
      </c>
      <c r="U30" s="4" t="s">
        <v>99</v>
      </c>
      <c r="V30" s="4">
        <v>0</v>
      </c>
      <c r="W30" s="4">
        <f t="shared" si="33"/>
        <v>0</v>
      </c>
      <c r="X30" s="4">
        <v>4750.5</v>
      </c>
      <c r="Y30" s="4">
        <f t="shared" si="34"/>
        <v>4750.5</v>
      </c>
      <c r="Z30" s="4"/>
      <c r="AA30" s="20">
        <f t="shared" si="1"/>
        <v>10173</v>
      </c>
      <c r="AB30" s="6">
        <f t="shared" si="35"/>
        <v>0.53302860513122974</v>
      </c>
      <c r="AC30" s="32"/>
      <c r="AD30" s="4">
        <f t="shared" si="2"/>
        <v>0</v>
      </c>
      <c r="AE30" s="32">
        <f t="shared" si="36"/>
        <v>0</v>
      </c>
      <c r="AF30" s="6" t="str">
        <f t="shared" si="37"/>
        <v>-</v>
      </c>
      <c r="AG30" s="32">
        <f t="shared" si="43"/>
        <v>4231.5</v>
      </c>
      <c r="AH30" s="7">
        <v>9980</v>
      </c>
      <c r="AI30" s="6">
        <f t="shared" si="38"/>
        <v>0.52399799599198404</v>
      </c>
      <c r="AJ30" s="4">
        <f t="shared" si="39"/>
        <v>5229.5</v>
      </c>
      <c r="AK30" s="27">
        <v>9980</v>
      </c>
      <c r="AL30" s="6">
        <f t="shared" si="17"/>
        <v>0.52399799599198404</v>
      </c>
      <c r="AM30" s="4">
        <f t="shared" si="18"/>
        <v>5229.5</v>
      </c>
      <c r="AN30" s="6" t="str">
        <f t="shared" si="5"/>
        <v>-</v>
      </c>
      <c r="AO30" s="6">
        <f t="shared" si="6"/>
        <v>1.1425300515168861</v>
      </c>
      <c r="AP30" s="6">
        <f t="shared" si="7"/>
        <v>1.1645951312789586</v>
      </c>
      <c r="AQ30" s="4" t="str">
        <f t="shared" si="40"/>
        <v>-</v>
      </c>
      <c r="AR30" s="4" t="str">
        <f t="shared" si="19"/>
        <v>-</v>
      </c>
      <c r="AS30" s="4" t="str">
        <f t="shared" si="20"/>
        <v>-</v>
      </c>
      <c r="AT30" s="4" t="str">
        <f t="shared" si="28"/>
        <v>-</v>
      </c>
      <c r="AU30" s="4" t="str">
        <f t="shared" si="21"/>
        <v>-</v>
      </c>
      <c r="AV30" s="4" t="str">
        <f t="shared" si="22"/>
        <v>-</v>
      </c>
      <c r="AW30" s="4"/>
      <c r="AX30" s="4"/>
      <c r="AY30" s="4"/>
      <c r="AZ30" s="4"/>
      <c r="BA30" s="4"/>
      <c r="BB30" s="4"/>
      <c r="BC30" s="4"/>
      <c r="BD30" s="4"/>
      <c r="BE30" s="4">
        <f t="shared" si="41"/>
        <v>0</v>
      </c>
      <c r="BF30" s="4">
        <f t="shared" si="42"/>
        <v>0</v>
      </c>
      <c r="BG30" s="18">
        <v>4</v>
      </c>
      <c r="BH30" s="18"/>
      <c r="BI30" s="16"/>
    </row>
    <row r="31" spans="1:61" x14ac:dyDescent="0.4">
      <c r="A31" s="3">
        <v>28</v>
      </c>
      <c r="B31" s="3">
        <v>28</v>
      </c>
      <c r="C31" s="4">
        <v>210517</v>
      </c>
      <c r="D31" s="4" t="str">
        <f t="shared" si="31"/>
        <v>210517</v>
      </c>
      <c r="E31" s="4">
        <v>210517</v>
      </c>
      <c r="F31" s="4" t="s">
        <v>93</v>
      </c>
      <c r="G31" s="5"/>
      <c r="H31" s="5"/>
      <c r="I31" s="5"/>
      <c r="J31" s="5">
        <f t="shared" si="0"/>
        <v>1</v>
      </c>
      <c r="K31" s="5"/>
      <c r="L31" s="4">
        <v>0</v>
      </c>
      <c r="M31" s="4">
        <v>317</v>
      </c>
      <c r="N31" s="4">
        <v>135.97</v>
      </c>
      <c r="O31" s="6">
        <f t="shared" si="32"/>
        <v>0.57107255520504729</v>
      </c>
      <c r="P31" s="4" t="s">
        <v>99</v>
      </c>
      <c r="Q31" s="4" t="s">
        <v>99</v>
      </c>
      <c r="R31" s="4" t="s">
        <v>99</v>
      </c>
      <c r="S31" s="4" t="s">
        <v>99</v>
      </c>
      <c r="T31" s="4" t="s">
        <v>99</v>
      </c>
      <c r="U31" s="4" t="s">
        <v>99</v>
      </c>
      <c r="V31" s="4">
        <v>0</v>
      </c>
      <c r="W31" s="4">
        <f t="shared" si="33"/>
        <v>0</v>
      </c>
      <c r="X31" s="4">
        <v>158.35</v>
      </c>
      <c r="Y31" s="4">
        <f t="shared" si="34"/>
        <v>158.35</v>
      </c>
      <c r="Z31" s="4"/>
      <c r="AA31" s="20">
        <f t="shared" si="1"/>
        <v>369</v>
      </c>
      <c r="AB31" s="6">
        <f t="shared" si="35"/>
        <v>0.57086720867208673</v>
      </c>
      <c r="AC31" s="32"/>
      <c r="AD31" s="4">
        <f t="shared" si="2"/>
        <v>0</v>
      </c>
      <c r="AE31" s="32">
        <f t="shared" si="36"/>
        <v>0</v>
      </c>
      <c r="AF31" s="6" t="str">
        <f t="shared" si="37"/>
        <v>-</v>
      </c>
      <c r="AG31" s="32">
        <f t="shared" si="43"/>
        <v>183.65</v>
      </c>
      <c r="AH31" s="7">
        <v>380</v>
      </c>
      <c r="AI31" s="6">
        <f t="shared" si="38"/>
        <v>0.58328947368421047</v>
      </c>
      <c r="AJ31" s="4">
        <f t="shared" si="39"/>
        <v>221.65</v>
      </c>
      <c r="AK31" s="27">
        <v>380</v>
      </c>
      <c r="AL31" s="6">
        <f t="shared" si="17"/>
        <v>0.58328947368421047</v>
      </c>
      <c r="AM31" s="4">
        <f t="shared" si="18"/>
        <v>221.65</v>
      </c>
      <c r="AN31" s="6" t="str">
        <f t="shared" si="5"/>
        <v>-</v>
      </c>
      <c r="AO31" s="6">
        <f t="shared" si="6"/>
        <v>1.1987381703470033</v>
      </c>
      <c r="AP31" s="6">
        <f t="shared" si="7"/>
        <v>1.1645951312789586</v>
      </c>
      <c r="AQ31" s="4" t="str">
        <f t="shared" si="40"/>
        <v>-</v>
      </c>
      <c r="AR31" s="4" t="str">
        <f t="shared" si="19"/>
        <v>-</v>
      </c>
      <c r="AS31" s="4" t="str">
        <f t="shared" si="20"/>
        <v>-</v>
      </c>
      <c r="AT31" s="4" t="str">
        <f t="shared" si="28"/>
        <v>-</v>
      </c>
      <c r="AU31" s="4" t="str">
        <f t="shared" si="21"/>
        <v>-</v>
      </c>
      <c r="AV31" s="4" t="str">
        <f t="shared" si="22"/>
        <v>-</v>
      </c>
      <c r="AW31" s="4"/>
      <c r="AX31" s="4"/>
      <c r="AY31" s="4"/>
      <c r="AZ31" s="4"/>
      <c r="BA31" s="4"/>
      <c r="BB31" s="4"/>
      <c r="BC31" s="4"/>
      <c r="BD31" s="4"/>
      <c r="BE31" s="4">
        <f t="shared" si="41"/>
        <v>0</v>
      </c>
      <c r="BF31" s="4">
        <f t="shared" si="42"/>
        <v>0</v>
      </c>
      <c r="BG31" s="18">
        <v>4</v>
      </c>
      <c r="BH31" s="18"/>
      <c r="BI31" s="16"/>
    </row>
    <row r="32" spans="1:61" x14ac:dyDescent="0.4">
      <c r="A32" s="3">
        <v>29</v>
      </c>
      <c r="B32" s="3">
        <v>29</v>
      </c>
      <c r="C32" s="4">
        <v>210517</v>
      </c>
      <c r="D32" s="4" t="str">
        <f t="shared" si="31"/>
        <v>210517</v>
      </c>
      <c r="E32" s="4">
        <v>210518</v>
      </c>
      <c r="F32" s="4" t="s">
        <v>94</v>
      </c>
      <c r="G32" s="5"/>
      <c r="H32" s="5"/>
      <c r="I32" s="5"/>
      <c r="J32" s="5">
        <f t="shared" si="0"/>
        <v>1</v>
      </c>
      <c r="K32" s="5"/>
      <c r="L32" s="4">
        <v>0</v>
      </c>
      <c r="M32" s="4">
        <v>2680</v>
      </c>
      <c r="N32" s="4">
        <v>1359.7</v>
      </c>
      <c r="O32" s="6">
        <f t="shared" si="32"/>
        <v>0.49264925373134327</v>
      </c>
      <c r="P32" s="4" t="s">
        <v>99</v>
      </c>
      <c r="Q32" s="4" t="s">
        <v>99</v>
      </c>
      <c r="R32" s="4" t="s">
        <v>99</v>
      </c>
      <c r="S32" s="4" t="s">
        <v>99</v>
      </c>
      <c r="T32" s="4" t="s">
        <v>99</v>
      </c>
      <c r="U32" s="4" t="s">
        <v>99</v>
      </c>
      <c r="V32" s="4">
        <v>0</v>
      </c>
      <c r="W32" s="4">
        <f t="shared" si="33"/>
        <v>0</v>
      </c>
      <c r="X32" s="4">
        <v>1583.5</v>
      </c>
      <c r="Y32" s="4">
        <f t="shared" si="34"/>
        <v>1583.5</v>
      </c>
      <c r="Z32" s="4"/>
      <c r="AA32" s="20">
        <f t="shared" si="1"/>
        <v>3121</v>
      </c>
      <c r="AB32" s="6">
        <f t="shared" si="35"/>
        <v>0.49263056712592113</v>
      </c>
      <c r="AC32" s="32"/>
      <c r="AD32" s="4">
        <f t="shared" si="2"/>
        <v>0</v>
      </c>
      <c r="AE32" s="32">
        <f t="shared" si="36"/>
        <v>0</v>
      </c>
      <c r="AF32" s="6" t="str">
        <f t="shared" si="37"/>
        <v>-</v>
      </c>
      <c r="AG32" s="32">
        <f t="shared" si="43"/>
        <v>1566.5</v>
      </c>
      <c r="AH32" s="7">
        <v>3500</v>
      </c>
      <c r="AI32" s="6">
        <f t="shared" si="38"/>
        <v>0.5475714285714286</v>
      </c>
      <c r="AJ32" s="4">
        <f t="shared" si="39"/>
        <v>1916.5</v>
      </c>
      <c r="AK32" s="27">
        <v>3500</v>
      </c>
      <c r="AL32" s="6">
        <f t="shared" si="17"/>
        <v>0.5475714285714286</v>
      </c>
      <c r="AM32" s="4">
        <f t="shared" si="18"/>
        <v>1916.5</v>
      </c>
      <c r="AN32" s="6" t="str">
        <f t="shared" si="5"/>
        <v>-</v>
      </c>
      <c r="AO32" s="6">
        <f t="shared" si="6"/>
        <v>1.3059701492537314</v>
      </c>
      <c r="AP32" s="6">
        <f t="shared" si="7"/>
        <v>1.1645951312789586</v>
      </c>
      <c r="AQ32" s="4" t="str">
        <f t="shared" si="40"/>
        <v>-</v>
      </c>
      <c r="AR32" s="4" t="str">
        <f t="shared" si="19"/>
        <v>-</v>
      </c>
      <c r="AS32" s="4" t="str">
        <f t="shared" si="20"/>
        <v>-</v>
      </c>
      <c r="AT32" s="4" t="str">
        <f t="shared" si="28"/>
        <v>-</v>
      </c>
      <c r="AU32" s="4" t="str">
        <f t="shared" si="21"/>
        <v>-</v>
      </c>
      <c r="AV32" s="4" t="str">
        <f t="shared" si="22"/>
        <v>-</v>
      </c>
      <c r="AW32" s="4"/>
      <c r="AX32" s="4"/>
      <c r="AY32" s="4"/>
      <c r="AZ32" s="4"/>
      <c r="BA32" s="4"/>
      <c r="BB32" s="4"/>
      <c r="BC32" s="4"/>
      <c r="BD32" s="4"/>
      <c r="BE32" s="4">
        <f t="shared" si="41"/>
        <v>0</v>
      </c>
      <c r="BF32" s="4">
        <f t="shared" si="42"/>
        <v>0</v>
      </c>
      <c r="BG32" s="18">
        <v>4</v>
      </c>
      <c r="BH32" s="18"/>
      <c r="BI32" s="16"/>
    </row>
    <row r="33" spans="1:61" x14ac:dyDescent="0.4">
      <c r="A33" s="3">
        <v>30</v>
      </c>
      <c r="B33" s="3">
        <v>30</v>
      </c>
      <c r="C33" s="4">
        <v>210520</v>
      </c>
      <c r="D33" s="4" t="str">
        <f t="shared" si="31"/>
        <v>210520</v>
      </c>
      <c r="E33" s="4">
        <v>210520</v>
      </c>
      <c r="F33" s="4" t="s">
        <v>95</v>
      </c>
      <c r="G33" s="5"/>
      <c r="H33" s="5"/>
      <c r="I33" s="5"/>
      <c r="J33" s="5">
        <f t="shared" si="0"/>
        <v>1</v>
      </c>
      <c r="K33" s="5"/>
      <c r="L33" s="4">
        <v>0</v>
      </c>
      <c r="M33" s="4">
        <v>5796</v>
      </c>
      <c r="N33" s="4">
        <v>4079.1</v>
      </c>
      <c r="O33" s="6">
        <f t="shared" si="32"/>
        <v>0.29622153209109736</v>
      </c>
      <c r="P33" s="4" t="s">
        <v>99</v>
      </c>
      <c r="Q33" s="4" t="s">
        <v>99</v>
      </c>
      <c r="R33" s="4" t="s">
        <v>99</v>
      </c>
      <c r="S33" s="4" t="s">
        <v>99</v>
      </c>
      <c r="T33" s="4" t="s">
        <v>99</v>
      </c>
      <c r="U33" s="4" t="s">
        <v>99</v>
      </c>
      <c r="V33" s="4">
        <v>0</v>
      </c>
      <c r="W33" s="4">
        <f t="shared" si="33"/>
        <v>0</v>
      </c>
      <c r="X33" s="4">
        <v>4750.5</v>
      </c>
      <c r="Y33" s="4">
        <f t="shared" si="34"/>
        <v>4750.5</v>
      </c>
      <c r="Z33" s="4"/>
      <c r="AA33" s="20">
        <f t="shared" si="1"/>
        <v>6750</v>
      </c>
      <c r="AB33" s="6">
        <f t="shared" si="35"/>
        <v>0.29622222222222228</v>
      </c>
      <c r="AC33" s="32"/>
      <c r="AD33" s="4">
        <f t="shared" si="2"/>
        <v>0</v>
      </c>
      <c r="AE33" s="32">
        <f t="shared" si="36"/>
        <v>0</v>
      </c>
      <c r="AF33" s="6" t="str">
        <f t="shared" si="37"/>
        <v>-</v>
      </c>
      <c r="AG33" s="32">
        <f t="shared" si="43"/>
        <v>4231.5</v>
      </c>
      <c r="AH33" s="7">
        <v>9980</v>
      </c>
      <c r="AI33" s="6">
        <f t="shared" si="38"/>
        <v>0.52399799599198404</v>
      </c>
      <c r="AJ33" s="4">
        <f t="shared" si="39"/>
        <v>5229.5</v>
      </c>
      <c r="AK33" s="27">
        <v>9980</v>
      </c>
      <c r="AL33" s="6">
        <f t="shared" si="17"/>
        <v>0.52399799599198404</v>
      </c>
      <c r="AM33" s="4">
        <f t="shared" si="18"/>
        <v>5229.5</v>
      </c>
      <c r="AN33" s="6" t="str">
        <f t="shared" si="5"/>
        <v>-</v>
      </c>
      <c r="AO33" s="6">
        <f t="shared" si="6"/>
        <v>1.7218771566597653</v>
      </c>
      <c r="AP33" s="6">
        <f t="shared" si="7"/>
        <v>1.1645951312789586</v>
      </c>
      <c r="AQ33" s="4" t="str">
        <f t="shared" si="40"/>
        <v>-</v>
      </c>
      <c r="AR33" s="4" t="str">
        <f t="shared" si="19"/>
        <v>-</v>
      </c>
      <c r="AS33" s="4" t="str">
        <f t="shared" si="20"/>
        <v>-</v>
      </c>
      <c r="AT33" s="4" t="str">
        <f t="shared" si="28"/>
        <v>-</v>
      </c>
      <c r="AU33" s="4" t="str">
        <f t="shared" si="21"/>
        <v>-</v>
      </c>
      <c r="AV33" s="4" t="str">
        <f t="shared" si="22"/>
        <v>-</v>
      </c>
      <c r="AW33" s="4"/>
      <c r="AX33" s="4"/>
      <c r="AY33" s="4"/>
      <c r="AZ33" s="4"/>
      <c r="BA33" s="4"/>
      <c r="BB33" s="4"/>
      <c r="BC33" s="4"/>
      <c r="BD33" s="4"/>
      <c r="BE33" s="4">
        <f t="shared" si="41"/>
        <v>0</v>
      </c>
      <c r="BF33" s="4">
        <f t="shared" si="42"/>
        <v>0</v>
      </c>
      <c r="BG33" s="18">
        <v>4</v>
      </c>
      <c r="BH33" s="18"/>
      <c r="BI33" s="16"/>
    </row>
    <row r="34" spans="1:61" x14ac:dyDescent="0.4">
      <c r="A34" s="3">
        <v>31</v>
      </c>
      <c r="B34" s="3">
        <v>31</v>
      </c>
      <c r="C34" s="4">
        <v>210514</v>
      </c>
      <c r="D34" s="4" t="str">
        <f t="shared" si="31"/>
        <v>210514</v>
      </c>
      <c r="E34" s="4">
        <v>210514</v>
      </c>
      <c r="F34" s="4" t="s">
        <v>96</v>
      </c>
      <c r="G34" s="5"/>
      <c r="H34" s="5"/>
      <c r="I34" s="5"/>
      <c r="J34" s="5">
        <f t="shared" si="0"/>
        <v>1</v>
      </c>
      <c r="K34" s="5"/>
      <c r="L34" s="4">
        <v>0</v>
      </c>
      <c r="M34" s="4">
        <v>317</v>
      </c>
      <c r="N34" s="4">
        <v>135.97</v>
      </c>
      <c r="O34" s="6">
        <f t="shared" si="32"/>
        <v>0.57107255520504729</v>
      </c>
      <c r="P34" s="4" t="s">
        <v>99</v>
      </c>
      <c r="Q34" s="4" t="s">
        <v>99</v>
      </c>
      <c r="R34" s="4" t="s">
        <v>99</v>
      </c>
      <c r="S34" s="4" t="s">
        <v>99</v>
      </c>
      <c r="T34" s="4" t="s">
        <v>99</v>
      </c>
      <c r="U34" s="4" t="s">
        <v>99</v>
      </c>
      <c r="V34" s="4">
        <v>0</v>
      </c>
      <c r="W34" s="4">
        <f t="shared" si="33"/>
        <v>0</v>
      </c>
      <c r="X34" s="4">
        <v>158.35</v>
      </c>
      <c r="Y34" s="4">
        <f t="shared" si="34"/>
        <v>158.35</v>
      </c>
      <c r="Z34" s="4"/>
      <c r="AA34" s="20">
        <f t="shared" si="1"/>
        <v>369</v>
      </c>
      <c r="AB34" s="6">
        <f t="shared" si="35"/>
        <v>0.57086720867208673</v>
      </c>
      <c r="AC34" s="32"/>
      <c r="AD34" s="4">
        <f t="shared" si="2"/>
        <v>0</v>
      </c>
      <c r="AE34" s="32">
        <f t="shared" si="36"/>
        <v>0</v>
      </c>
      <c r="AF34" s="6" t="str">
        <f t="shared" si="37"/>
        <v>-</v>
      </c>
      <c r="AG34" s="32">
        <f t="shared" si="43"/>
        <v>183.65</v>
      </c>
      <c r="AH34" s="7">
        <v>380</v>
      </c>
      <c r="AI34" s="6">
        <f t="shared" si="38"/>
        <v>0.58328947368421047</v>
      </c>
      <c r="AJ34" s="4">
        <f t="shared" si="39"/>
        <v>221.65</v>
      </c>
      <c r="AK34" s="27">
        <v>380</v>
      </c>
      <c r="AL34" s="6">
        <f t="shared" si="17"/>
        <v>0.58328947368421047</v>
      </c>
      <c r="AM34" s="4">
        <f t="shared" si="18"/>
        <v>221.65</v>
      </c>
      <c r="AN34" s="6" t="str">
        <f t="shared" si="5"/>
        <v>-</v>
      </c>
      <c r="AO34" s="6">
        <f t="shared" si="6"/>
        <v>1.1987381703470033</v>
      </c>
      <c r="AP34" s="6">
        <f t="shared" si="7"/>
        <v>1.1645951312789586</v>
      </c>
      <c r="AQ34" s="4" t="str">
        <f t="shared" si="40"/>
        <v>-</v>
      </c>
      <c r="AR34" s="4" t="str">
        <f t="shared" si="19"/>
        <v>-</v>
      </c>
      <c r="AS34" s="4" t="str">
        <f t="shared" si="20"/>
        <v>-</v>
      </c>
      <c r="AT34" s="4" t="str">
        <f t="shared" si="28"/>
        <v>-</v>
      </c>
      <c r="AU34" s="4" t="str">
        <f t="shared" si="21"/>
        <v>-</v>
      </c>
      <c r="AV34" s="4" t="str">
        <f t="shared" si="22"/>
        <v>-</v>
      </c>
      <c r="AW34" s="4"/>
      <c r="AX34" s="4"/>
      <c r="AY34" s="4"/>
      <c r="AZ34" s="4"/>
      <c r="BA34" s="4"/>
      <c r="BB34" s="4"/>
      <c r="BC34" s="4"/>
      <c r="BD34" s="4"/>
      <c r="BE34" s="4">
        <f t="shared" si="41"/>
        <v>0</v>
      </c>
      <c r="BF34" s="4">
        <f t="shared" si="42"/>
        <v>0</v>
      </c>
      <c r="BG34" s="18">
        <v>4</v>
      </c>
      <c r="BH34" s="18"/>
      <c r="BI34" s="16"/>
    </row>
    <row r="35" spans="1:61" x14ac:dyDescent="0.4">
      <c r="A35" s="3">
        <v>32</v>
      </c>
      <c r="B35" s="3">
        <v>32</v>
      </c>
      <c r="C35" s="4">
        <v>210514</v>
      </c>
      <c r="D35" s="4" t="str">
        <f t="shared" si="31"/>
        <v>210514</v>
      </c>
      <c r="E35" s="4">
        <v>210515</v>
      </c>
      <c r="F35" s="4" t="s">
        <v>97</v>
      </c>
      <c r="G35" s="5"/>
      <c r="H35" s="5"/>
      <c r="I35" s="5"/>
      <c r="J35" s="5">
        <f t="shared" si="0"/>
        <v>1</v>
      </c>
      <c r="K35" s="5"/>
      <c r="L35" s="4">
        <v>0</v>
      </c>
      <c r="M35" s="4">
        <v>2680</v>
      </c>
      <c r="N35" s="4">
        <v>1359.7</v>
      </c>
      <c r="O35" s="6">
        <f t="shared" si="32"/>
        <v>0.49264925373134327</v>
      </c>
      <c r="P35" s="4" t="s">
        <v>99</v>
      </c>
      <c r="Q35" s="4" t="s">
        <v>99</v>
      </c>
      <c r="R35" s="4" t="s">
        <v>99</v>
      </c>
      <c r="S35" s="4" t="s">
        <v>99</v>
      </c>
      <c r="T35" s="4" t="s">
        <v>99</v>
      </c>
      <c r="U35" s="4" t="s">
        <v>99</v>
      </c>
      <c r="V35" s="4">
        <v>0</v>
      </c>
      <c r="W35" s="4">
        <f t="shared" si="33"/>
        <v>0</v>
      </c>
      <c r="X35" s="4">
        <v>1583.5</v>
      </c>
      <c r="Y35" s="4">
        <f t="shared" si="34"/>
        <v>1583.5</v>
      </c>
      <c r="Z35" s="4"/>
      <c r="AA35" s="20">
        <f t="shared" si="1"/>
        <v>3121</v>
      </c>
      <c r="AB35" s="6">
        <f t="shared" si="35"/>
        <v>0.49263056712592113</v>
      </c>
      <c r="AC35" s="32"/>
      <c r="AD35" s="4">
        <f t="shared" si="2"/>
        <v>0</v>
      </c>
      <c r="AE35" s="32">
        <f t="shared" si="36"/>
        <v>0</v>
      </c>
      <c r="AF35" s="6" t="str">
        <f t="shared" si="37"/>
        <v>-</v>
      </c>
      <c r="AG35" s="32">
        <f t="shared" si="43"/>
        <v>1566.5</v>
      </c>
      <c r="AH35" s="7">
        <v>3500</v>
      </c>
      <c r="AI35" s="6">
        <f t="shared" si="38"/>
        <v>0.5475714285714286</v>
      </c>
      <c r="AJ35" s="4">
        <f t="shared" si="39"/>
        <v>1916.5</v>
      </c>
      <c r="AK35" s="27">
        <v>3500</v>
      </c>
      <c r="AL35" s="6">
        <f t="shared" si="17"/>
        <v>0.5475714285714286</v>
      </c>
      <c r="AM35" s="4">
        <f t="shared" si="18"/>
        <v>1916.5</v>
      </c>
      <c r="AN35" s="6" t="str">
        <f t="shared" si="5"/>
        <v>-</v>
      </c>
      <c r="AO35" s="6">
        <f t="shared" si="6"/>
        <v>1.3059701492537314</v>
      </c>
      <c r="AP35" s="6">
        <f t="shared" si="7"/>
        <v>1.1645951312789586</v>
      </c>
      <c r="AQ35" s="4" t="str">
        <f t="shared" si="40"/>
        <v>-</v>
      </c>
      <c r="AR35" s="4" t="str">
        <f t="shared" si="19"/>
        <v>-</v>
      </c>
      <c r="AS35" s="4" t="str">
        <f t="shared" si="20"/>
        <v>-</v>
      </c>
      <c r="AT35" s="4" t="str">
        <f t="shared" si="28"/>
        <v>-</v>
      </c>
      <c r="AU35" s="4" t="str">
        <f t="shared" si="21"/>
        <v>-</v>
      </c>
      <c r="AV35" s="4" t="str">
        <f t="shared" si="22"/>
        <v>-</v>
      </c>
      <c r="AW35" s="4"/>
      <c r="AX35" s="4"/>
      <c r="AY35" s="4"/>
      <c r="AZ35" s="4"/>
      <c r="BA35" s="4"/>
      <c r="BB35" s="4"/>
      <c r="BC35" s="4"/>
      <c r="BD35" s="4"/>
      <c r="BE35" s="4">
        <f t="shared" si="41"/>
        <v>0</v>
      </c>
      <c r="BF35" s="4">
        <f t="shared" si="42"/>
        <v>0</v>
      </c>
      <c r="BG35" s="18">
        <v>4</v>
      </c>
      <c r="BH35" s="18"/>
      <c r="BI35" s="16"/>
    </row>
    <row r="36" spans="1:61" x14ac:dyDescent="0.4">
      <c r="A36" s="3">
        <v>33</v>
      </c>
      <c r="B36" s="3">
        <v>33</v>
      </c>
      <c r="C36" s="4">
        <v>210516</v>
      </c>
      <c r="D36" s="4" t="str">
        <f t="shared" si="31"/>
        <v>210516</v>
      </c>
      <c r="E36" s="4">
        <v>210516</v>
      </c>
      <c r="F36" s="4" t="s">
        <v>98</v>
      </c>
      <c r="G36" s="5"/>
      <c r="H36" s="5"/>
      <c r="I36" s="5"/>
      <c r="J36" s="5">
        <f t="shared" si="0"/>
        <v>1</v>
      </c>
      <c r="K36" s="5"/>
      <c r="L36" s="4">
        <v>0</v>
      </c>
      <c r="M36" s="4">
        <v>6024</v>
      </c>
      <c r="N36" s="4">
        <v>4079.1</v>
      </c>
      <c r="O36" s="6">
        <f t="shared" si="32"/>
        <v>0.32285856573705185</v>
      </c>
      <c r="P36" s="4" t="s">
        <v>99</v>
      </c>
      <c r="Q36" s="4" t="s">
        <v>99</v>
      </c>
      <c r="R36" s="4" t="s">
        <v>99</v>
      </c>
      <c r="S36" s="4" t="s">
        <v>99</v>
      </c>
      <c r="T36" s="4" t="s">
        <v>99</v>
      </c>
      <c r="U36" s="4" t="s">
        <v>99</v>
      </c>
      <c r="V36" s="4">
        <v>0</v>
      </c>
      <c r="W36" s="4">
        <f t="shared" si="33"/>
        <v>0</v>
      </c>
      <c r="X36" s="4">
        <v>4750.5</v>
      </c>
      <c r="Y36" s="4">
        <f t="shared" si="34"/>
        <v>4750.5</v>
      </c>
      <c r="Z36" s="4"/>
      <c r="AA36" s="20">
        <f t="shared" si="1"/>
        <v>7016</v>
      </c>
      <c r="AB36" s="6">
        <f t="shared" si="35"/>
        <v>0.32290478905359177</v>
      </c>
      <c r="AC36" s="32"/>
      <c r="AD36" s="4">
        <f t="shared" si="2"/>
        <v>0</v>
      </c>
      <c r="AE36" s="32">
        <f t="shared" si="36"/>
        <v>0</v>
      </c>
      <c r="AF36" s="6" t="str">
        <f t="shared" si="37"/>
        <v>-</v>
      </c>
      <c r="AG36" s="32">
        <f t="shared" si="43"/>
        <v>4231.5</v>
      </c>
      <c r="AH36" s="7">
        <v>9980</v>
      </c>
      <c r="AI36" s="6">
        <f t="shared" si="38"/>
        <v>0.52399799599198404</v>
      </c>
      <c r="AJ36" s="4">
        <f t="shared" si="39"/>
        <v>5229.5</v>
      </c>
      <c r="AK36" s="27">
        <v>9980</v>
      </c>
      <c r="AL36" s="6">
        <f t="shared" si="17"/>
        <v>0.52399799599198404</v>
      </c>
      <c r="AM36" s="4">
        <f t="shared" si="18"/>
        <v>5229.5</v>
      </c>
      <c r="AN36" s="6" t="str">
        <f t="shared" si="5"/>
        <v>-</v>
      </c>
      <c r="AO36" s="6">
        <f t="shared" si="6"/>
        <v>1.6567065073041169</v>
      </c>
      <c r="AP36" s="6">
        <f t="shared" si="7"/>
        <v>1.1645951312789586</v>
      </c>
      <c r="AQ36" s="4" t="str">
        <f t="shared" si="40"/>
        <v>-</v>
      </c>
      <c r="AR36" s="4" t="str">
        <f t="shared" si="19"/>
        <v>-</v>
      </c>
      <c r="AS36" s="4" t="str">
        <f t="shared" si="20"/>
        <v>-</v>
      </c>
      <c r="AT36" s="4" t="str">
        <f t="shared" si="28"/>
        <v>-</v>
      </c>
      <c r="AU36" s="4" t="str">
        <f t="shared" si="21"/>
        <v>-</v>
      </c>
      <c r="AV36" s="4" t="str">
        <f t="shared" si="22"/>
        <v>-</v>
      </c>
      <c r="AW36" s="4"/>
      <c r="AX36" s="4"/>
      <c r="AY36" s="4"/>
      <c r="AZ36" s="4"/>
      <c r="BA36" s="4"/>
      <c r="BB36" s="4"/>
      <c r="BC36" s="4"/>
      <c r="BD36" s="4"/>
      <c r="BE36" s="4">
        <f t="shared" si="41"/>
        <v>0</v>
      </c>
      <c r="BF36" s="4">
        <f t="shared" si="42"/>
        <v>0</v>
      </c>
      <c r="BG36" s="18">
        <v>4</v>
      </c>
      <c r="BH36" s="18"/>
      <c r="BI36" s="16"/>
    </row>
  </sheetData>
  <autoFilter ref="A3:BN36" xr:uid="{7A1660CF-9003-4B2D-B659-7F339ED5B476}"/>
  <mergeCells count="3">
    <mergeCell ref="L2:O2"/>
    <mergeCell ref="J2:K2"/>
    <mergeCell ref="V1:Y1"/>
  </mergeCells>
  <phoneticPr fontId="2"/>
  <conditionalFormatting sqref="AH4:AH36">
    <cfRule type="cellIs" dxfId="2" priority="4" operator="greaterThan">
      <formula>$W4</formula>
    </cfRule>
  </conditionalFormatting>
  <conditionalFormatting sqref="AE4:AE36">
    <cfRule type="cellIs" dxfId="1" priority="2" operator="lessThan">
      <formula>$AH4</formula>
    </cfRule>
  </conditionalFormatting>
  <conditionalFormatting sqref="AI4:AI36">
    <cfRule type="cellIs" dxfId="0" priority="1" operator="lessThan">
      <formula>0.2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フォーレスト007</dc:creator>
  <cp:lastModifiedBy>滋樹 渡辺</cp:lastModifiedBy>
  <dcterms:created xsi:type="dcterms:W3CDTF">2022-07-07T00:08:53Z</dcterms:created>
  <dcterms:modified xsi:type="dcterms:W3CDTF">2026-06-15T07:39:10Z</dcterms:modified>
</cp:coreProperties>
</file>