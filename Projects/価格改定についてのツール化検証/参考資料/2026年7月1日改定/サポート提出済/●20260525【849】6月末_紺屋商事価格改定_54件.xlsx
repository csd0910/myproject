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商品部\個人フォルダ\須永\価格改定\2026年7月1日改定\"/>
    </mc:Choice>
  </mc:AlternateContent>
  <xr:revisionPtr revIDLastSave="0" documentId="13_ncr:1_{D7EB7733-5098-48B8-9DE8-81F7C038B798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Sheet1!$A$3:$BQ$108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I52" i="1" l="1"/>
  <c r="AG52" i="1" s="1"/>
  <c r="BI60" i="1"/>
  <c r="AG60" i="1" s="1"/>
  <c r="BI68" i="1"/>
  <c r="AG68" i="1" s="1"/>
  <c r="BI72" i="1"/>
  <c r="AG72" i="1" s="1"/>
  <c r="BI76" i="1"/>
  <c r="AG76" i="1" s="1"/>
  <c r="BI77" i="1"/>
  <c r="AG77" i="1" s="1"/>
  <c r="BI84" i="1"/>
  <c r="AG84" i="1" s="1"/>
  <c r="BI85" i="1"/>
  <c r="AG85" i="1" s="1"/>
  <c r="BI92" i="1"/>
  <c r="AG92" i="1" s="1"/>
  <c r="BI93" i="1"/>
  <c r="AG93" i="1" s="1"/>
  <c r="BI95" i="1"/>
  <c r="AG95" i="1" s="1"/>
  <c r="BI96" i="1"/>
  <c r="AG96" i="1" s="1"/>
  <c r="BI100" i="1"/>
  <c r="AG100" i="1" s="1"/>
  <c r="BI101" i="1"/>
  <c r="AG101" i="1" s="1"/>
  <c r="BI102" i="1"/>
  <c r="AG102" i="1" s="1"/>
  <c r="BI106" i="1"/>
  <c r="AG106" i="1" s="1"/>
  <c r="BI108" i="1"/>
  <c r="AG108" i="1" s="1"/>
  <c r="BI61" i="1"/>
  <c r="AG61" i="1" s="1"/>
  <c r="BI62" i="1"/>
  <c r="AG62" i="1" s="1"/>
  <c r="BI64" i="1"/>
  <c r="AG64" i="1" s="1"/>
  <c r="BI65" i="1"/>
  <c r="AG65" i="1" s="1"/>
  <c r="BI70" i="1"/>
  <c r="AG70" i="1" s="1"/>
  <c r="BI71" i="1"/>
  <c r="AG71" i="1" s="1"/>
  <c r="BI75" i="1"/>
  <c r="AG75" i="1" s="1"/>
  <c r="BI79" i="1"/>
  <c r="AG79" i="1" s="1"/>
  <c r="BI86" i="1"/>
  <c r="AG86" i="1" s="1"/>
  <c r="BI87" i="1"/>
  <c r="AG87" i="1" s="1"/>
  <c r="BI91" i="1"/>
  <c r="AG91" i="1" s="1"/>
  <c r="BI97" i="1"/>
  <c r="AG97" i="1" s="1"/>
  <c r="BI103" i="1"/>
  <c r="AG103" i="1" s="1"/>
  <c r="AS5" i="1"/>
  <c r="AT5" i="1"/>
  <c r="AU5" i="1"/>
  <c r="AV5" i="1"/>
  <c r="AW5" i="1"/>
  <c r="AX5" i="1"/>
  <c r="AY5" i="1"/>
  <c r="AZ5" i="1"/>
  <c r="BA5" i="1"/>
  <c r="AS6" i="1"/>
  <c r="AT6" i="1"/>
  <c r="AU6" i="1"/>
  <c r="AV6" i="1"/>
  <c r="AW6" i="1"/>
  <c r="AX6" i="1"/>
  <c r="AY6" i="1"/>
  <c r="AZ6" i="1"/>
  <c r="BA6" i="1"/>
  <c r="AS7" i="1"/>
  <c r="AT7" i="1"/>
  <c r="AU7" i="1"/>
  <c r="AV7" i="1"/>
  <c r="AW7" i="1"/>
  <c r="AX7" i="1"/>
  <c r="AY7" i="1"/>
  <c r="AZ7" i="1"/>
  <c r="BA7" i="1"/>
  <c r="AS8" i="1"/>
  <c r="AT8" i="1"/>
  <c r="AU8" i="1"/>
  <c r="AV8" i="1"/>
  <c r="AW8" i="1"/>
  <c r="AX8" i="1"/>
  <c r="AY8" i="1"/>
  <c r="AZ8" i="1"/>
  <c r="BA8" i="1"/>
  <c r="AS9" i="1"/>
  <c r="AT9" i="1"/>
  <c r="AU9" i="1"/>
  <c r="AV9" i="1"/>
  <c r="AW9" i="1"/>
  <c r="AX9" i="1"/>
  <c r="AY9" i="1"/>
  <c r="AZ9" i="1"/>
  <c r="BA9" i="1"/>
  <c r="AS10" i="1"/>
  <c r="AT10" i="1"/>
  <c r="AU10" i="1"/>
  <c r="AV10" i="1"/>
  <c r="AW10" i="1"/>
  <c r="AX10" i="1"/>
  <c r="AY10" i="1"/>
  <c r="AZ10" i="1"/>
  <c r="BA10" i="1"/>
  <c r="AS11" i="1"/>
  <c r="AT11" i="1"/>
  <c r="AU11" i="1"/>
  <c r="AV11" i="1"/>
  <c r="AW11" i="1"/>
  <c r="AX11" i="1"/>
  <c r="AY11" i="1"/>
  <c r="AZ11" i="1"/>
  <c r="BA11" i="1"/>
  <c r="AS12" i="1"/>
  <c r="AT12" i="1"/>
  <c r="AU12" i="1"/>
  <c r="AV12" i="1"/>
  <c r="AW12" i="1"/>
  <c r="AX12" i="1"/>
  <c r="AY12" i="1"/>
  <c r="AZ12" i="1"/>
  <c r="BA12" i="1"/>
  <c r="AS13" i="1"/>
  <c r="AT13" i="1"/>
  <c r="AU13" i="1"/>
  <c r="AV13" i="1"/>
  <c r="AW13" i="1"/>
  <c r="AX13" i="1"/>
  <c r="AY13" i="1"/>
  <c r="AZ13" i="1"/>
  <c r="BA13" i="1"/>
  <c r="AS14" i="1"/>
  <c r="AT14" i="1"/>
  <c r="AU14" i="1"/>
  <c r="AV14" i="1"/>
  <c r="AW14" i="1"/>
  <c r="AX14" i="1"/>
  <c r="AY14" i="1"/>
  <c r="AZ14" i="1"/>
  <c r="BA14" i="1"/>
  <c r="AS15" i="1"/>
  <c r="AT15" i="1"/>
  <c r="AU15" i="1"/>
  <c r="AV15" i="1"/>
  <c r="AW15" i="1"/>
  <c r="AX15" i="1"/>
  <c r="AY15" i="1"/>
  <c r="AZ15" i="1"/>
  <c r="BA15" i="1"/>
  <c r="AS16" i="1"/>
  <c r="AT16" i="1"/>
  <c r="AU16" i="1"/>
  <c r="AV16" i="1"/>
  <c r="AW16" i="1"/>
  <c r="AX16" i="1"/>
  <c r="AY16" i="1"/>
  <c r="AZ16" i="1"/>
  <c r="BA16" i="1"/>
  <c r="AS17" i="1"/>
  <c r="AT17" i="1"/>
  <c r="AU17" i="1"/>
  <c r="AV17" i="1"/>
  <c r="AW17" i="1"/>
  <c r="AX17" i="1"/>
  <c r="AY17" i="1"/>
  <c r="AZ17" i="1"/>
  <c r="BA17" i="1"/>
  <c r="AS18" i="1"/>
  <c r="AT18" i="1"/>
  <c r="AU18" i="1"/>
  <c r="AV18" i="1"/>
  <c r="AW18" i="1"/>
  <c r="AX18" i="1"/>
  <c r="AY18" i="1"/>
  <c r="AZ18" i="1"/>
  <c r="BA18" i="1"/>
  <c r="AS19" i="1"/>
  <c r="AT19" i="1"/>
  <c r="AU19" i="1"/>
  <c r="AV19" i="1"/>
  <c r="AW19" i="1"/>
  <c r="AX19" i="1"/>
  <c r="AY19" i="1"/>
  <c r="AZ19" i="1"/>
  <c r="BA19" i="1"/>
  <c r="AS20" i="1"/>
  <c r="AT20" i="1"/>
  <c r="AU20" i="1"/>
  <c r="AV20" i="1"/>
  <c r="AW20" i="1"/>
  <c r="AX20" i="1"/>
  <c r="AY20" i="1"/>
  <c r="AZ20" i="1"/>
  <c r="BA20" i="1"/>
  <c r="AS21" i="1"/>
  <c r="AT21" i="1"/>
  <c r="AU21" i="1"/>
  <c r="AV21" i="1"/>
  <c r="AW21" i="1"/>
  <c r="AX21" i="1"/>
  <c r="AY21" i="1"/>
  <c r="AZ21" i="1"/>
  <c r="BA21" i="1"/>
  <c r="AS22" i="1"/>
  <c r="AT22" i="1"/>
  <c r="AU22" i="1"/>
  <c r="AV22" i="1"/>
  <c r="AW22" i="1"/>
  <c r="AX22" i="1"/>
  <c r="AY22" i="1"/>
  <c r="AZ22" i="1"/>
  <c r="BA22" i="1"/>
  <c r="AS23" i="1"/>
  <c r="AT23" i="1"/>
  <c r="AU23" i="1"/>
  <c r="AV23" i="1"/>
  <c r="AW23" i="1"/>
  <c r="AX23" i="1"/>
  <c r="AY23" i="1"/>
  <c r="AZ23" i="1"/>
  <c r="BA23" i="1"/>
  <c r="AS24" i="1"/>
  <c r="AT24" i="1"/>
  <c r="AU24" i="1"/>
  <c r="AV24" i="1"/>
  <c r="AW24" i="1"/>
  <c r="AX24" i="1"/>
  <c r="AY24" i="1"/>
  <c r="AZ24" i="1"/>
  <c r="BA24" i="1"/>
  <c r="AS25" i="1"/>
  <c r="AT25" i="1"/>
  <c r="AU25" i="1"/>
  <c r="AV25" i="1"/>
  <c r="AW25" i="1"/>
  <c r="AX25" i="1"/>
  <c r="AY25" i="1"/>
  <c r="AZ25" i="1"/>
  <c r="BA25" i="1"/>
  <c r="AS26" i="1"/>
  <c r="AT26" i="1"/>
  <c r="AU26" i="1"/>
  <c r="AV26" i="1"/>
  <c r="AW26" i="1"/>
  <c r="AX26" i="1"/>
  <c r="AY26" i="1"/>
  <c r="AZ26" i="1"/>
  <c r="BA26" i="1"/>
  <c r="AS27" i="1"/>
  <c r="AT27" i="1"/>
  <c r="AU27" i="1"/>
  <c r="AV27" i="1"/>
  <c r="AW27" i="1"/>
  <c r="AX27" i="1"/>
  <c r="AY27" i="1"/>
  <c r="AZ27" i="1"/>
  <c r="BA27" i="1"/>
  <c r="AS28" i="1"/>
  <c r="AT28" i="1"/>
  <c r="AU28" i="1"/>
  <c r="AV28" i="1"/>
  <c r="AW28" i="1"/>
  <c r="AX28" i="1"/>
  <c r="AY28" i="1"/>
  <c r="AZ28" i="1"/>
  <c r="BA28" i="1"/>
  <c r="AS29" i="1"/>
  <c r="AT29" i="1"/>
  <c r="AU29" i="1"/>
  <c r="AV29" i="1"/>
  <c r="AW29" i="1"/>
  <c r="AX29" i="1"/>
  <c r="AY29" i="1"/>
  <c r="AZ29" i="1"/>
  <c r="BA29" i="1"/>
  <c r="AS30" i="1"/>
  <c r="AT30" i="1"/>
  <c r="AU30" i="1"/>
  <c r="AV30" i="1"/>
  <c r="AW30" i="1"/>
  <c r="AX30" i="1"/>
  <c r="AY30" i="1"/>
  <c r="AZ30" i="1"/>
  <c r="BA30" i="1"/>
  <c r="AS31" i="1"/>
  <c r="AT31" i="1"/>
  <c r="AU31" i="1"/>
  <c r="AV31" i="1"/>
  <c r="AW31" i="1"/>
  <c r="AX31" i="1"/>
  <c r="AY31" i="1"/>
  <c r="AZ31" i="1"/>
  <c r="BA31" i="1"/>
  <c r="AS32" i="1"/>
  <c r="AT32" i="1"/>
  <c r="AU32" i="1"/>
  <c r="AV32" i="1"/>
  <c r="AW32" i="1"/>
  <c r="AX32" i="1"/>
  <c r="AY32" i="1"/>
  <c r="AZ32" i="1"/>
  <c r="BA32" i="1"/>
  <c r="AS33" i="1"/>
  <c r="AT33" i="1"/>
  <c r="AU33" i="1"/>
  <c r="AV33" i="1"/>
  <c r="AW33" i="1"/>
  <c r="AX33" i="1"/>
  <c r="AY33" i="1"/>
  <c r="AZ33" i="1"/>
  <c r="BA33" i="1"/>
  <c r="AS34" i="1"/>
  <c r="AT34" i="1"/>
  <c r="AU34" i="1"/>
  <c r="AV34" i="1"/>
  <c r="AW34" i="1"/>
  <c r="AX34" i="1"/>
  <c r="AY34" i="1"/>
  <c r="AZ34" i="1"/>
  <c r="BA34" i="1"/>
  <c r="AS35" i="1"/>
  <c r="AT35" i="1"/>
  <c r="AU35" i="1"/>
  <c r="AV35" i="1"/>
  <c r="AW35" i="1"/>
  <c r="AX35" i="1"/>
  <c r="AY35" i="1"/>
  <c r="AZ35" i="1"/>
  <c r="BA35" i="1"/>
  <c r="AS36" i="1"/>
  <c r="AT36" i="1"/>
  <c r="AU36" i="1"/>
  <c r="AV36" i="1"/>
  <c r="AW36" i="1"/>
  <c r="AX36" i="1"/>
  <c r="AY36" i="1"/>
  <c r="AZ36" i="1"/>
  <c r="BA36" i="1"/>
  <c r="AS37" i="1"/>
  <c r="AT37" i="1"/>
  <c r="AU37" i="1"/>
  <c r="AV37" i="1"/>
  <c r="AW37" i="1"/>
  <c r="AX37" i="1"/>
  <c r="AY37" i="1"/>
  <c r="AZ37" i="1"/>
  <c r="BA37" i="1"/>
  <c r="AS38" i="1"/>
  <c r="AT38" i="1"/>
  <c r="AU38" i="1"/>
  <c r="AV38" i="1"/>
  <c r="AW38" i="1"/>
  <c r="AX38" i="1"/>
  <c r="AY38" i="1"/>
  <c r="AZ38" i="1"/>
  <c r="BA38" i="1"/>
  <c r="AS39" i="1"/>
  <c r="AT39" i="1"/>
  <c r="AU39" i="1"/>
  <c r="AV39" i="1"/>
  <c r="AW39" i="1"/>
  <c r="AX39" i="1"/>
  <c r="AY39" i="1"/>
  <c r="AZ39" i="1"/>
  <c r="BA39" i="1"/>
  <c r="AS40" i="1"/>
  <c r="AT40" i="1"/>
  <c r="AU40" i="1"/>
  <c r="AV40" i="1"/>
  <c r="AW40" i="1"/>
  <c r="AX40" i="1"/>
  <c r="AY40" i="1"/>
  <c r="AZ40" i="1"/>
  <c r="BA40" i="1"/>
  <c r="AS41" i="1"/>
  <c r="AT41" i="1"/>
  <c r="AU41" i="1"/>
  <c r="AV41" i="1"/>
  <c r="AW41" i="1"/>
  <c r="AX41" i="1"/>
  <c r="AY41" i="1"/>
  <c r="AZ41" i="1"/>
  <c r="BA41" i="1"/>
  <c r="AS42" i="1"/>
  <c r="AT42" i="1"/>
  <c r="AU42" i="1"/>
  <c r="AV42" i="1"/>
  <c r="AW42" i="1"/>
  <c r="AX42" i="1"/>
  <c r="AY42" i="1"/>
  <c r="AZ42" i="1"/>
  <c r="BA42" i="1"/>
  <c r="AS43" i="1"/>
  <c r="AT43" i="1"/>
  <c r="AU43" i="1"/>
  <c r="AV43" i="1"/>
  <c r="AW43" i="1"/>
  <c r="AX43" i="1"/>
  <c r="AY43" i="1"/>
  <c r="AZ43" i="1"/>
  <c r="BA43" i="1"/>
  <c r="AS44" i="1"/>
  <c r="AT44" i="1"/>
  <c r="AU44" i="1"/>
  <c r="AV44" i="1"/>
  <c r="AW44" i="1"/>
  <c r="AX44" i="1"/>
  <c r="AY44" i="1"/>
  <c r="AZ44" i="1"/>
  <c r="BA44" i="1"/>
  <c r="AS45" i="1"/>
  <c r="AT45" i="1"/>
  <c r="AU45" i="1"/>
  <c r="AV45" i="1"/>
  <c r="AW45" i="1"/>
  <c r="AX45" i="1"/>
  <c r="AY45" i="1"/>
  <c r="AZ45" i="1"/>
  <c r="BA45" i="1"/>
  <c r="AS46" i="1"/>
  <c r="AT46" i="1"/>
  <c r="AU46" i="1"/>
  <c r="AV46" i="1"/>
  <c r="AW46" i="1"/>
  <c r="AX46" i="1"/>
  <c r="AY46" i="1"/>
  <c r="AZ46" i="1"/>
  <c r="BA46" i="1"/>
  <c r="AS47" i="1"/>
  <c r="AT47" i="1"/>
  <c r="AU47" i="1"/>
  <c r="AV47" i="1"/>
  <c r="AW47" i="1"/>
  <c r="AX47" i="1"/>
  <c r="AY47" i="1"/>
  <c r="AZ47" i="1"/>
  <c r="BA47" i="1"/>
  <c r="AS48" i="1"/>
  <c r="AT48" i="1"/>
  <c r="AU48" i="1"/>
  <c r="AV48" i="1"/>
  <c r="AW48" i="1"/>
  <c r="AX48" i="1"/>
  <c r="AY48" i="1"/>
  <c r="AZ48" i="1"/>
  <c r="BA48" i="1"/>
  <c r="AS49" i="1"/>
  <c r="AT49" i="1"/>
  <c r="AU49" i="1"/>
  <c r="AV49" i="1"/>
  <c r="AW49" i="1"/>
  <c r="AX49" i="1"/>
  <c r="AY49" i="1"/>
  <c r="AZ49" i="1"/>
  <c r="BA49" i="1"/>
  <c r="AS50" i="1"/>
  <c r="AT50" i="1"/>
  <c r="AU50" i="1"/>
  <c r="AV50" i="1"/>
  <c r="AW50" i="1"/>
  <c r="AX50" i="1"/>
  <c r="AY50" i="1"/>
  <c r="AZ50" i="1"/>
  <c r="BA50" i="1"/>
  <c r="AS51" i="1"/>
  <c r="AT51" i="1"/>
  <c r="AU51" i="1"/>
  <c r="AV51" i="1"/>
  <c r="AW51" i="1"/>
  <c r="AX51" i="1"/>
  <c r="AY51" i="1"/>
  <c r="AZ51" i="1"/>
  <c r="BA51" i="1"/>
  <c r="AS52" i="1"/>
  <c r="AT52" i="1"/>
  <c r="AU52" i="1"/>
  <c r="AV52" i="1"/>
  <c r="AW52" i="1"/>
  <c r="AX52" i="1"/>
  <c r="AY52" i="1"/>
  <c r="AZ52" i="1"/>
  <c r="BA52" i="1"/>
  <c r="AS53" i="1"/>
  <c r="AT53" i="1"/>
  <c r="AU53" i="1"/>
  <c r="AV53" i="1"/>
  <c r="AW53" i="1"/>
  <c r="AX53" i="1"/>
  <c r="AY53" i="1"/>
  <c r="AZ53" i="1"/>
  <c r="BA53" i="1"/>
  <c r="AS54" i="1"/>
  <c r="AT54" i="1"/>
  <c r="AU54" i="1"/>
  <c r="AV54" i="1"/>
  <c r="AW54" i="1"/>
  <c r="AX54" i="1"/>
  <c r="AY54" i="1"/>
  <c r="AZ54" i="1"/>
  <c r="BA54" i="1"/>
  <c r="AS55" i="1"/>
  <c r="AT55" i="1"/>
  <c r="AU55" i="1"/>
  <c r="AV55" i="1"/>
  <c r="AW55" i="1"/>
  <c r="AX55" i="1"/>
  <c r="AY55" i="1"/>
  <c r="AZ55" i="1"/>
  <c r="BA55" i="1"/>
  <c r="AS56" i="1"/>
  <c r="AT56" i="1"/>
  <c r="AU56" i="1"/>
  <c r="AV56" i="1"/>
  <c r="AW56" i="1"/>
  <c r="AX56" i="1"/>
  <c r="AY56" i="1"/>
  <c r="AZ56" i="1"/>
  <c r="BA56" i="1"/>
  <c r="AS57" i="1"/>
  <c r="AT57" i="1"/>
  <c r="AU57" i="1"/>
  <c r="AV57" i="1"/>
  <c r="AW57" i="1"/>
  <c r="AX57" i="1"/>
  <c r="AY57" i="1"/>
  <c r="AZ57" i="1"/>
  <c r="BA57" i="1"/>
  <c r="AS58" i="1"/>
  <c r="AT58" i="1"/>
  <c r="AU58" i="1"/>
  <c r="AV58" i="1"/>
  <c r="AW58" i="1"/>
  <c r="AX58" i="1"/>
  <c r="AY58" i="1"/>
  <c r="AZ58" i="1"/>
  <c r="BA58" i="1"/>
  <c r="AS59" i="1"/>
  <c r="AT59" i="1"/>
  <c r="AU59" i="1"/>
  <c r="AV59" i="1"/>
  <c r="AW59" i="1"/>
  <c r="AX59" i="1"/>
  <c r="AY59" i="1"/>
  <c r="AZ59" i="1"/>
  <c r="BA59" i="1"/>
  <c r="AS60" i="1"/>
  <c r="AT60" i="1"/>
  <c r="AU60" i="1"/>
  <c r="AV60" i="1"/>
  <c r="AW60" i="1"/>
  <c r="AX60" i="1"/>
  <c r="AY60" i="1"/>
  <c r="AZ60" i="1"/>
  <c r="BA60" i="1"/>
  <c r="AS61" i="1"/>
  <c r="AT61" i="1"/>
  <c r="AU61" i="1"/>
  <c r="AV61" i="1"/>
  <c r="AW61" i="1"/>
  <c r="AX61" i="1"/>
  <c r="AY61" i="1"/>
  <c r="AZ61" i="1"/>
  <c r="BA61" i="1"/>
  <c r="AS62" i="1"/>
  <c r="AT62" i="1"/>
  <c r="AU62" i="1"/>
  <c r="AV62" i="1"/>
  <c r="AW62" i="1"/>
  <c r="AX62" i="1"/>
  <c r="AY62" i="1"/>
  <c r="AZ62" i="1"/>
  <c r="BA62" i="1"/>
  <c r="AS63" i="1"/>
  <c r="AT63" i="1"/>
  <c r="AU63" i="1"/>
  <c r="AV63" i="1"/>
  <c r="AW63" i="1"/>
  <c r="AX63" i="1"/>
  <c r="AY63" i="1"/>
  <c r="AZ63" i="1"/>
  <c r="BA63" i="1"/>
  <c r="AS64" i="1"/>
  <c r="AT64" i="1"/>
  <c r="AU64" i="1"/>
  <c r="AV64" i="1"/>
  <c r="AW64" i="1"/>
  <c r="AX64" i="1"/>
  <c r="AY64" i="1"/>
  <c r="AZ64" i="1"/>
  <c r="BA64" i="1"/>
  <c r="AS65" i="1"/>
  <c r="AT65" i="1"/>
  <c r="AU65" i="1"/>
  <c r="AV65" i="1"/>
  <c r="AW65" i="1"/>
  <c r="AX65" i="1"/>
  <c r="AY65" i="1"/>
  <c r="AZ65" i="1"/>
  <c r="BA65" i="1"/>
  <c r="AS66" i="1"/>
  <c r="AT66" i="1"/>
  <c r="AU66" i="1"/>
  <c r="AV66" i="1"/>
  <c r="AW66" i="1"/>
  <c r="AX66" i="1"/>
  <c r="AY66" i="1"/>
  <c r="AZ66" i="1"/>
  <c r="BA66" i="1"/>
  <c r="AS67" i="1"/>
  <c r="AT67" i="1"/>
  <c r="AU67" i="1"/>
  <c r="AV67" i="1"/>
  <c r="AW67" i="1"/>
  <c r="AX67" i="1"/>
  <c r="AY67" i="1"/>
  <c r="AZ67" i="1"/>
  <c r="BA67" i="1"/>
  <c r="AS68" i="1"/>
  <c r="AT68" i="1"/>
  <c r="AU68" i="1"/>
  <c r="AV68" i="1"/>
  <c r="AW68" i="1"/>
  <c r="AX68" i="1"/>
  <c r="AY68" i="1"/>
  <c r="AZ68" i="1"/>
  <c r="BA68" i="1"/>
  <c r="AS69" i="1"/>
  <c r="AT69" i="1"/>
  <c r="AU69" i="1"/>
  <c r="AV69" i="1"/>
  <c r="AW69" i="1"/>
  <c r="AX69" i="1"/>
  <c r="AY69" i="1"/>
  <c r="AZ69" i="1"/>
  <c r="BA69" i="1"/>
  <c r="AS70" i="1"/>
  <c r="AT70" i="1"/>
  <c r="AU70" i="1"/>
  <c r="AV70" i="1"/>
  <c r="AW70" i="1"/>
  <c r="AX70" i="1"/>
  <c r="AY70" i="1"/>
  <c r="AZ70" i="1"/>
  <c r="BA70" i="1"/>
  <c r="AS71" i="1"/>
  <c r="AT71" i="1"/>
  <c r="AU71" i="1"/>
  <c r="AV71" i="1"/>
  <c r="AW71" i="1"/>
  <c r="AX71" i="1"/>
  <c r="AY71" i="1"/>
  <c r="AZ71" i="1"/>
  <c r="BA71" i="1"/>
  <c r="AS72" i="1"/>
  <c r="AT72" i="1"/>
  <c r="AU72" i="1"/>
  <c r="AV72" i="1"/>
  <c r="AW72" i="1"/>
  <c r="AX72" i="1"/>
  <c r="AY72" i="1"/>
  <c r="AZ72" i="1"/>
  <c r="BA72" i="1"/>
  <c r="AS73" i="1"/>
  <c r="AT73" i="1"/>
  <c r="AU73" i="1"/>
  <c r="AV73" i="1"/>
  <c r="AW73" i="1"/>
  <c r="AX73" i="1"/>
  <c r="AY73" i="1"/>
  <c r="AZ73" i="1"/>
  <c r="BA73" i="1"/>
  <c r="AS74" i="1"/>
  <c r="AT74" i="1"/>
  <c r="AU74" i="1"/>
  <c r="AV74" i="1"/>
  <c r="AW74" i="1"/>
  <c r="AX74" i="1"/>
  <c r="AY74" i="1"/>
  <c r="AZ74" i="1"/>
  <c r="BA74" i="1"/>
  <c r="AS75" i="1"/>
  <c r="AT75" i="1"/>
  <c r="AU75" i="1"/>
  <c r="AV75" i="1"/>
  <c r="AW75" i="1"/>
  <c r="AX75" i="1"/>
  <c r="AY75" i="1"/>
  <c r="AZ75" i="1"/>
  <c r="BA75" i="1"/>
  <c r="AS76" i="1"/>
  <c r="AT76" i="1"/>
  <c r="AU76" i="1"/>
  <c r="AV76" i="1"/>
  <c r="AW76" i="1"/>
  <c r="AX76" i="1"/>
  <c r="AY76" i="1"/>
  <c r="AZ76" i="1"/>
  <c r="BA76" i="1"/>
  <c r="AS77" i="1"/>
  <c r="AT77" i="1"/>
  <c r="AU77" i="1"/>
  <c r="AV77" i="1"/>
  <c r="AW77" i="1"/>
  <c r="AX77" i="1"/>
  <c r="AY77" i="1"/>
  <c r="AZ77" i="1"/>
  <c r="BA77" i="1"/>
  <c r="AS78" i="1"/>
  <c r="AT78" i="1"/>
  <c r="AU78" i="1"/>
  <c r="AV78" i="1"/>
  <c r="AW78" i="1"/>
  <c r="AX78" i="1"/>
  <c r="AY78" i="1"/>
  <c r="AZ78" i="1"/>
  <c r="BA78" i="1"/>
  <c r="AS79" i="1"/>
  <c r="AT79" i="1"/>
  <c r="AU79" i="1"/>
  <c r="AV79" i="1"/>
  <c r="AW79" i="1"/>
  <c r="AX79" i="1"/>
  <c r="AY79" i="1"/>
  <c r="AZ79" i="1"/>
  <c r="BA79" i="1"/>
  <c r="AS80" i="1"/>
  <c r="AT80" i="1"/>
  <c r="AU80" i="1"/>
  <c r="AV80" i="1"/>
  <c r="AW80" i="1"/>
  <c r="AX80" i="1"/>
  <c r="AY80" i="1"/>
  <c r="AZ80" i="1"/>
  <c r="BA80" i="1"/>
  <c r="AS81" i="1"/>
  <c r="AT81" i="1"/>
  <c r="AU81" i="1"/>
  <c r="AV81" i="1"/>
  <c r="AW81" i="1"/>
  <c r="AX81" i="1"/>
  <c r="AY81" i="1"/>
  <c r="AZ81" i="1"/>
  <c r="BA81" i="1"/>
  <c r="AS82" i="1"/>
  <c r="AT82" i="1"/>
  <c r="AU82" i="1"/>
  <c r="AV82" i="1"/>
  <c r="AW82" i="1"/>
  <c r="AX82" i="1"/>
  <c r="AY82" i="1"/>
  <c r="AZ82" i="1"/>
  <c r="BA82" i="1"/>
  <c r="AS83" i="1"/>
  <c r="AT83" i="1"/>
  <c r="AU83" i="1"/>
  <c r="AV83" i="1"/>
  <c r="AW83" i="1"/>
  <c r="AX83" i="1"/>
  <c r="AY83" i="1"/>
  <c r="AZ83" i="1"/>
  <c r="BA83" i="1"/>
  <c r="AS84" i="1"/>
  <c r="AT84" i="1"/>
  <c r="AU84" i="1"/>
  <c r="AV84" i="1"/>
  <c r="AW84" i="1"/>
  <c r="AX84" i="1"/>
  <c r="AY84" i="1"/>
  <c r="AZ84" i="1"/>
  <c r="BA84" i="1"/>
  <c r="AS85" i="1"/>
  <c r="AT85" i="1"/>
  <c r="AU85" i="1"/>
  <c r="AV85" i="1"/>
  <c r="AW85" i="1"/>
  <c r="AX85" i="1"/>
  <c r="AY85" i="1"/>
  <c r="AZ85" i="1"/>
  <c r="BA85" i="1"/>
  <c r="AS86" i="1"/>
  <c r="AT86" i="1"/>
  <c r="AU86" i="1"/>
  <c r="AV86" i="1"/>
  <c r="AW86" i="1"/>
  <c r="AX86" i="1"/>
  <c r="AY86" i="1"/>
  <c r="AZ86" i="1"/>
  <c r="BA86" i="1"/>
  <c r="AS87" i="1"/>
  <c r="AT87" i="1"/>
  <c r="AU87" i="1"/>
  <c r="AV87" i="1"/>
  <c r="AW87" i="1"/>
  <c r="AX87" i="1"/>
  <c r="AY87" i="1"/>
  <c r="AZ87" i="1"/>
  <c r="BA87" i="1"/>
  <c r="AS88" i="1"/>
  <c r="AT88" i="1"/>
  <c r="AU88" i="1"/>
  <c r="AV88" i="1"/>
  <c r="AW88" i="1"/>
  <c r="AX88" i="1"/>
  <c r="AY88" i="1"/>
  <c r="AZ88" i="1"/>
  <c r="BA88" i="1"/>
  <c r="AS89" i="1"/>
  <c r="AT89" i="1"/>
  <c r="AU89" i="1"/>
  <c r="AV89" i="1"/>
  <c r="AW89" i="1"/>
  <c r="AX89" i="1"/>
  <c r="AY89" i="1"/>
  <c r="AZ89" i="1"/>
  <c r="BA89" i="1"/>
  <c r="AS90" i="1"/>
  <c r="AT90" i="1"/>
  <c r="AU90" i="1"/>
  <c r="AV90" i="1"/>
  <c r="AW90" i="1"/>
  <c r="AX90" i="1"/>
  <c r="AY90" i="1"/>
  <c r="AZ90" i="1"/>
  <c r="BA90" i="1"/>
  <c r="AS91" i="1"/>
  <c r="AT91" i="1"/>
  <c r="AU91" i="1"/>
  <c r="AV91" i="1"/>
  <c r="AW91" i="1"/>
  <c r="AX91" i="1"/>
  <c r="AY91" i="1"/>
  <c r="AZ91" i="1"/>
  <c r="BA91" i="1"/>
  <c r="AS92" i="1"/>
  <c r="AT92" i="1"/>
  <c r="AU92" i="1"/>
  <c r="AV92" i="1"/>
  <c r="AW92" i="1"/>
  <c r="AX92" i="1"/>
  <c r="AY92" i="1"/>
  <c r="AZ92" i="1"/>
  <c r="BA92" i="1"/>
  <c r="AS93" i="1"/>
  <c r="AT93" i="1"/>
  <c r="AU93" i="1"/>
  <c r="AV93" i="1"/>
  <c r="AW93" i="1"/>
  <c r="AX93" i="1"/>
  <c r="AY93" i="1"/>
  <c r="AZ93" i="1"/>
  <c r="BA93" i="1"/>
  <c r="AS94" i="1"/>
  <c r="AT94" i="1"/>
  <c r="AU94" i="1"/>
  <c r="AV94" i="1"/>
  <c r="AW94" i="1"/>
  <c r="AX94" i="1"/>
  <c r="AY94" i="1"/>
  <c r="AZ94" i="1"/>
  <c r="BA94" i="1"/>
  <c r="AS95" i="1"/>
  <c r="AT95" i="1"/>
  <c r="AU95" i="1"/>
  <c r="AV95" i="1"/>
  <c r="AW95" i="1"/>
  <c r="AX95" i="1"/>
  <c r="AY95" i="1"/>
  <c r="AZ95" i="1"/>
  <c r="BA95" i="1"/>
  <c r="AS96" i="1"/>
  <c r="AT96" i="1"/>
  <c r="AU96" i="1"/>
  <c r="AV96" i="1"/>
  <c r="AW96" i="1"/>
  <c r="AX96" i="1"/>
  <c r="AY96" i="1"/>
  <c r="AZ96" i="1"/>
  <c r="BA96" i="1"/>
  <c r="AS97" i="1"/>
  <c r="AT97" i="1"/>
  <c r="AU97" i="1"/>
  <c r="AV97" i="1"/>
  <c r="AW97" i="1"/>
  <c r="AX97" i="1"/>
  <c r="AY97" i="1"/>
  <c r="AZ97" i="1"/>
  <c r="BA97" i="1"/>
  <c r="AS98" i="1"/>
  <c r="AT98" i="1"/>
  <c r="AU98" i="1"/>
  <c r="AV98" i="1"/>
  <c r="AW98" i="1"/>
  <c r="AX98" i="1"/>
  <c r="AY98" i="1"/>
  <c r="AZ98" i="1"/>
  <c r="BA98" i="1"/>
  <c r="AS99" i="1"/>
  <c r="AT99" i="1"/>
  <c r="AU99" i="1"/>
  <c r="AV99" i="1"/>
  <c r="AW99" i="1"/>
  <c r="AX99" i="1"/>
  <c r="AY99" i="1"/>
  <c r="AZ99" i="1"/>
  <c r="BA99" i="1"/>
  <c r="AS100" i="1"/>
  <c r="AT100" i="1"/>
  <c r="AU100" i="1"/>
  <c r="AV100" i="1"/>
  <c r="AW100" i="1"/>
  <c r="AX100" i="1"/>
  <c r="AY100" i="1"/>
  <c r="AZ100" i="1"/>
  <c r="BA100" i="1"/>
  <c r="AS101" i="1"/>
  <c r="AT101" i="1"/>
  <c r="AU101" i="1"/>
  <c r="AV101" i="1"/>
  <c r="AW101" i="1"/>
  <c r="AX101" i="1"/>
  <c r="AY101" i="1"/>
  <c r="AZ101" i="1"/>
  <c r="BA101" i="1"/>
  <c r="AS102" i="1"/>
  <c r="AT102" i="1"/>
  <c r="AU102" i="1"/>
  <c r="AV102" i="1"/>
  <c r="AW102" i="1"/>
  <c r="AX102" i="1"/>
  <c r="AY102" i="1"/>
  <c r="AZ102" i="1"/>
  <c r="BA102" i="1"/>
  <c r="AS103" i="1"/>
  <c r="AT103" i="1"/>
  <c r="AU103" i="1"/>
  <c r="AV103" i="1"/>
  <c r="AW103" i="1"/>
  <c r="AX103" i="1"/>
  <c r="AY103" i="1"/>
  <c r="AZ103" i="1"/>
  <c r="BA103" i="1"/>
  <c r="AS104" i="1"/>
  <c r="AT104" i="1"/>
  <c r="AU104" i="1"/>
  <c r="AV104" i="1"/>
  <c r="AW104" i="1"/>
  <c r="AX104" i="1"/>
  <c r="AY104" i="1"/>
  <c r="AZ104" i="1"/>
  <c r="BA104" i="1"/>
  <c r="AS105" i="1"/>
  <c r="AT105" i="1"/>
  <c r="AU105" i="1"/>
  <c r="AV105" i="1"/>
  <c r="AW105" i="1"/>
  <c r="AX105" i="1"/>
  <c r="AY105" i="1"/>
  <c r="AZ105" i="1"/>
  <c r="BA105" i="1"/>
  <c r="AS106" i="1"/>
  <c r="AT106" i="1"/>
  <c r="AU106" i="1"/>
  <c r="AV106" i="1"/>
  <c r="AW106" i="1"/>
  <c r="AX106" i="1"/>
  <c r="AY106" i="1"/>
  <c r="AZ106" i="1"/>
  <c r="BA106" i="1"/>
  <c r="AS107" i="1"/>
  <c r="AT107" i="1"/>
  <c r="AU107" i="1"/>
  <c r="AV107" i="1"/>
  <c r="AW107" i="1"/>
  <c r="AX107" i="1"/>
  <c r="AY107" i="1"/>
  <c r="AZ107" i="1"/>
  <c r="BA107" i="1"/>
  <c r="AS108" i="1"/>
  <c r="AT108" i="1"/>
  <c r="AU108" i="1"/>
  <c r="AV108" i="1"/>
  <c r="AW108" i="1"/>
  <c r="AX108" i="1"/>
  <c r="AY108" i="1"/>
  <c r="AZ108" i="1"/>
  <c r="BA108" i="1"/>
  <c r="BA4" i="1"/>
  <c r="AZ4" i="1"/>
  <c r="AY4" i="1"/>
  <c r="AX4" i="1"/>
  <c r="AW4" i="1"/>
  <c r="AV4" i="1"/>
  <c r="AU4" i="1"/>
  <c r="AT4" i="1"/>
  <c r="AS4" i="1"/>
  <c r="AQ17" i="1"/>
  <c r="O17" i="1"/>
  <c r="AQ28" i="1"/>
  <c r="AQ29" i="1"/>
  <c r="O30" i="1"/>
  <c r="O64" i="1"/>
  <c r="O66" i="1"/>
  <c r="AP68" i="1"/>
  <c r="O68" i="1"/>
  <c r="AP70" i="1"/>
  <c r="O74" i="1"/>
  <c r="AP76" i="1"/>
  <c r="O76" i="1"/>
  <c r="AP87" i="1"/>
  <c r="AQ87" i="1"/>
  <c r="O87" i="1"/>
  <c r="O89" i="1"/>
  <c r="AP91" i="1"/>
  <c r="O91" i="1"/>
  <c r="AP93" i="1"/>
  <c r="AQ93" i="1"/>
  <c r="O93" i="1"/>
  <c r="AQ100" i="1"/>
  <c r="AP102" i="1"/>
  <c r="O102" i="1"/>
  <c r="AP104" i="1"/>
  <c r="AP106" i="1"/>
  <c r="AQ106" i="1"/>
  <c r="O106" i="1"/>
  <c r="AQ7" i="1"/>
  <c r="AQ108" i="1"/>
  <c r="AB108" i="1"/>
  <c r="AP108" i="1"/>
  <c r="O108" i="1"/>
  <c r="D108" i="1"/>
  <c r="AB106" i="1"/>
  <c r="D106" i="1"/>
  <c r="BI104" i="1"/>
  <c r="AG104" i="1" s="1"/>
  <c r="AQ104" i="1"/>
  <c r="AB104" i="1"/>
  <c r="O104" i="1"/>
  <c r="D104" i="1"/>
  <c r="AQ102" i="1"/>
  <c r="AB102" i="1"/>
  <c r="AR102" i="1" s="1"/>
  <c r="AD102" i="1" s="1"/>
  <c r="D102" i="1"/>
  <c r="AB100" i="1"/>
  <c r="AR100" i="1" s="1"/>
  <c r="BP100" i="1" s="1"/>
  <c r="AP100" i="1"/>
  <c r="O100" i="1"/>
  <c r="D100" i="1"/>
  <c r="AB30" i="1"/>
  <c r="AR30" i="1" s="1"/>
  <c r="BP30" i="1" s="1"/>
  <c r="Z30" i="1"/>
  <c r="AP30" i="1" s="1"/>
  <c r="AB29" i="1"/>
  <c r="AR29" i="1" s="1"/>
  <c r="BP29" i="1" s="1"/>
  <c r="Z29" i="1"/>
  <c r="AP29" i="1" s="1"/>
  <c r="AB28" i="1"/>
  <c r="AR28" i="1" s="1"/>
  <c r="AD28" i="1" s="1"/>
  <c r="Z28" i="1"/>
  <c r="AP28" i="1" s="1"/>
  <c r="Z19" i="1"/>
  <c r="AP19" i="1" s="1"/>
  <c r="Z18" i="1"/>
  <c r="AP18" i="1" s="1"/>
  <c r="Z17" i="1"/>
  <c r="AQ95" i="1"/>
  <c r="AB95" i="1"/>
  <c r="AR95" i="1" s="1"/>
  <c r="AD95" i="1" s="1"/>
  <c r="AP95" i="1"/>
  <c r="O95" i="1"/>
  <c r="D95" i="1"/>
  <c r="AB93" i="1"/>
  <c r="D93" i="1"/>
  <c r="AQ91" i="1"/>
  <c r="AB91" i="1"/>
  <c r="AR91" i="1" s="1"/>
  <c r="AD91" i="1" s="1"/>
  <c r="D91" i="1"/>
  <c r="BI89" i="1"/>
  <c r="AG89" i="1" s="1"/>
  <c r="AQ89" i="1"/>
  <c r="AB89" i="1"/>
  <c r="AR89" i="1" s="1"/>
  <c r="AD89" i="1" s="1"/>
  <c r="AP89" i="1"/>
  <c r="D89" i="1"/>
  <c r="AB87" i="1"/>
  <c r="D87" i="1"/>
  <c r="BI78" i="1"/>
  <c r="AG78" i="1" s="1"/>
  <c r="AQ78" i="1"/>
  <c r="AB78" i="1"/>
  <c r="AR78" i="1" s="1"/>
  <c r="AD78" i="1" s="1"/>
  <c r="AP78" i="1"/>
  <c r="O78" i="1"/>
  <c r="D78" i="1"/>
  <c r="AQ76" i="1"/>
  <c r="AB76" i="1"/>
  <c r="AR76" i="1" s="1"/>
  <c r="BP76" i="1" s="1"/>
  <c r="D76" i="1"/>
  <c r="BI74" i="1"/>
  <c r="AG74" i="1" s="1"/>
  <c r="AB74" i="1"/>
  <c r="AR74" i="1" s="1"/>
  <c r="AP74" i="1"/>
  <c r="D74" i="1"/>
  <c r="AQ72" i="1"/>
  <c r="AB72" i="1"/>
  <c r="AR72" i="1" s="1"/>
  <c r="AD72" i="1" s="1"/>
  <c r="AP72" i="1"/>
  <c r="O72" i="1"/>
  <c r="D72" i="1"/>
  <c r="AQ70" i="1"/>
  <c r="AB70" i="1"/>
  <c r="AR70" i="1" s="1"/>
  <c r="AD70" i="1" s="1"/>
  <c r="O70" i="1"/>
  <c r="D70" i="1"/>
  <c r="AQ68" i="1"/>
  <c r="AB68" i="1"/>
  <c r="AR68" i="1" s="1"/>
  <c r="AD68" i="1" s="1"/>
  <c r="D68" i="1"/>
  <c r="BI66" i="1"/>
  <c r="AG66" i="1" s="1"/>
  <c r="AQ66" i="1"/>
  <c r="AB66" i="1"/>
  <c r="AR66" i="1" s="1"/>
  <c r="AD66" i="1" s="1"/>
  <c r="AP66" i="1"/>
  <c r="D66" i="1"/>
  <c r="AQ64" i="1"/>
  <c r="AB64" i="1"/>
  <c r="AP64" i="1"/>
  <c r="D64" i="1"/>
  <c r="AQ62" i="1"/>
  <c r="AB62" i="1"/>
  <c r="AR62" i="1" s="1"/>
  <c r="AD62" i="1" s="1"/>
  <c r="AP62" i="1"/>
  <c r="O62" i="1"/>
  <c r="D62" i="1"/>
  <c r="BI30" i="1"/>
  <c r="AG30" i="1" s="1"/>
  <c r="AQ30" i="1"/>
  <c r="D30" i="1"/>
  <c r="BI29" i="1"/>
  <c r="AG29" i="1" s="1"/>
  <c r="D29" i="1"/>
  <c r="Z97" i="1"/>
  <c r="AP97" i="1" s="1"/>
  <c r="Z81" i="1"/>
  <c r="AP81" i="1" s="1"/>
  <c r="Z80" i="1"/>
  <c r="AP80" i="1" s="1"/>
  <c r="Z59" i="1"/>
  <c r="AP59" i="1" s="1"/>
  <c r="Z58" i="1"/>
  <c r="AP58" i="1" s="1"/>
  <c r="Z48" i="1"/>
  <c r="AP48" i="1" s="1"/>
  <c r="Z47" i="1"/>
  <c r="AP47" i="1" s="1"/>
  <c r="Z44" i="1"/>
  <c r="AP44" i="1" s="1"/>
  <c r="Z43" i="1"/>
  <c r="AP43" i="1" s="1"/>
  <c r="Z42" i="1"/>
  <c r="AP42" i="1" s="1"/>
  <c r="Z39" i="1"/>
  <c r="AP39" i="1" s="1"/>
  <c r="Z38" i="1"/>
  <c r="AP38" i="1" s="1"/>
  <c r="Z36" i="1"/>
  <c r="AP36" i="1" s="1"/>
  <c r="Z35" i="1"/>
  <c r="AP35" i="1" s="1"/>
  <c r="Z33" i="1"/>
  <c r="AP33" i="1" s="1"/>
  <c r="Z32" i="1"/>
  <c r="AP32" i="1" s="1"/>
  <c r="Z25" i="1"/>
  <c r="AP25" i="1" s="1"/>
  <c r="Z24" i="1"/>
  <c r="AP24" i="1" s="1"/>
  <c r="Z22" i="1"/>
  <c r="AP22" i="1" s="1"/>
  <c r="Z21" i="1"/>
  <c r="AP21" i="1" s="1"/>
  <c r="Z15" i="1"/>
  <c r="AP15" i="1" s="1"/>
  <c r="Z14" i="1"/>
  <c r="AP14" i="1" s="1"/>
  <c r="Z11" i="1"/>
  <c r="AP11" i="1" s="1"/>
  <c r="Z10" i="1"/>
  <c r="AP10" i="1" s="1"/>
  <c r="Z8" i="1"/>
  <c r="AP8" i="1" s="1"/>
  <c r="BI28" i="1"/>
  <c r="AG28" i="1" s="1"/>
  <c r="O28" i="1"/>
  <c r="D28" i="1"/>
  <c r="BI19" i="1"/>
  <c r="AG19" i="1" s="1"/>
  <c r="AQ19" i="1"/>
  <c r="AB19" i="1"/>
  <c r="AR19" i="1" s="1"/>
  <c r="AD19" i="1" s="1"/>
  <c r="O19" i="1"/>
  <c r="D19" i="1"/>
  <c r="BI18" i="1"/>
  <c r="AG18" i="1" s="1"/>
  <c r="AQ18" i="1"/>
  <c r="AB18" i="1"/>
  <c r="AR18" i="1" s="1"/>
  <c r="AD18" i="1" s="1"/>
  <c r="O18" i="1"/>
  <c r="D18" i="1"/>
  <c r="BI17" i="1"/>
  <c r="AG17" i="1" s="1"/>
  <c r="AB17" i="1"/>
  <c r="D17" i="1"/>
  <c r="AQ97" i="1"/>
  <c r="AB97" i="1"/>
  <c r="AR97" i="1" s="1"/>
  <c r="AD97" i="1" s="1"/>
  <c r="O97" i="1"/>
  <c r="D97" i="1"/>
  <c r="BI81" i="1"/>
  <c r="AG81" i="1" s="1"/>
  <c r="AQ81" i="1"/>
  <c r="AB81" i="1"/>
  <c r="AR81" i="1" s="1"/>
  <c r="AD81" i="1" s="1"/>
  <c r="O81" i="1"/>
  <c r="D81" i="1"/>
  <c r="BI80" i="1"/>
  <c r="AG80" i="1" s="1"/>
  <c r="AQ80" i="1"/>
  <c r="AB80" i="1"/>
  <c r="AR80" i="1" s="1"/>
  <c r="AD80" i="1" s="1"/>
  <c r="O80" i="1"/>
  <c r="D80" i="1"/>
  <c r="BI59" i="1"/>
  <c r="AG59" i="1" s="1"/>
  <c r="AQ59" i="1"/>
  <c r="AB59" i="1"/>
  <c r="AR59" i="1" s="1"/>
  <c r="AD59" i="1" s="1"/>
  <c r="O59" i="1"/>
  <c r="D59" i="1"/>
  <c r="BI58" i="1"/>
  <c r="AG58" i="1" s="1"/>
  <c r="AQ58" i="1"/>
  <c r="AB58" i="1"/>
  <c r="AR58" i="1" s="1"/>
  <c r="AD58" i="1" s="1"/>
  <c r="O58" i="1"/>
  <c r="D58" i="1"/>
  <c r="BI48" i="1"/>
  <c r="AG48" i="1" s="1"/>
  <c r="AQ48" i="1"/>
  <c r="AB48" i="1"/>
  <c r="AR48" i="1" s="1"/>
  <c r="AD48" i="1" s="1"/>
  <c r="O48" i="1"/>
  <c r="D48" i="1"/>
  <c r="BI47" i="1"/>
  <c r="AG47" i="1" s="1"/>
  <c r="AQ47" i="1"/>
  <c r="AB47" i="1"/>
  <c r="AR47" i="1" s="1"/>
  <c r="AD47" i="1" s="1"/>
  <c r="O47" i="1"/>
  <c r="D47" i="1"/>
  <c r="BI44" i="1"/>
  <c r="AG44" i="1" s="1"/>
  <c r="AQ44" i="1"/>
  <c r="AB44" i="1"/>
  <c r="AR44" i="1" s="1"/>
  <c r="AD44" i="1" s="1"/>
  <c r="O44" i="1"/>
  <c r="D44" i="1"/>
  <c r="BI43" i="1"/>
  <c r="AG43" i="1" s="1"/>
  <c r="AQ43" i="1"/>
  <c r="AB43" i="1"/>
  <c r="AR43" i="1" s="1"/>
  <c r="AD43" i="1" s="1"/>
  <c r="O43" i="1"/>
  <c r="D43" i="1"/>
  <c r="BI42" i="1"/>
  <c r="AG42" i="1" s="1"/>
  <c r="AQ42" i="1"/>
  <c r="AB42" i="1"/>
  <c r="AR42" i="1" s="1"/>
  <c r="AD42" i="1" s="1"/>
  <c r="O42" i="1"/>
  <c r="D42" i="1"/>
  <c r="BI39" i="1"/>
  <c r="AG39" i="1" s="1"/>
  <c r="AQ39" i="1"/>
  <c r="AB39" i="1"/>
  <c r="AR39" i="1" s="1"/>
  <c r="AD39" i="1" s="1"/>
  <c r="O39" i="1"/>
  <c r="D39" i="1"/>
  <c r="BI38" i="1"/>
  <c r="AG38" i="1" s="1"/>
  <c r="AQ38" i="1"/>
  <c r="AB38" i="1"/>
  <c r="AR38" i="1" s="1"/>
  <c r="AD38" i="1" s="1"/>
  <c r="O38" i="1"/>
  <c r="D38" i="1"/>
  <c r="BI36" i="1"/>
  <c r="AG36" i="1" s="1"/>
  <c r="AQ36" i="1"/>
  <c r="AB36" i="1"/>
  <c r="AR36" i="1" s="1"/>
  <c r="AD36" i="1" s="1"/>
  <c r="O36" i="1"/>
  <c r="D36" i="1"/>
  <c r="BI35" i="1"/>
  <c r="AG35" i="1" s="1"/>
  <c r="AQ35" i="1"/>
  <c r="AB35" i="1"/>
  <c r="AR35" i="1" s="1"/>
  <c r="AD35" i="1" s="1"/>
  <c r="O35" i="1"/>
  <c r="D35" i="1"/>
  <c r="BI33" i="1"/>
  <c r="AG33" i="1" s="1"/>
  <c r="AQ33" i="1"/>
  <c r="AB33" i="1"/>
  <c r="AR33" i="1" s="1"/>
  <c r="AD33" i="1" s="1"/>
  <c r="O33" i="1"/>
  <c r="D33" i="1"/>
  <c r="BI32" i="1"/>
  <c r="AG32" i="1" s="1"/>
  <c r="AQ32" i="1"/>
  <c r="AB32" i="1"/>
  <c r="AR32" i="1" s="1"/>
  <c r="AD32" i="1" s="1"/>
  <c r="O32" i="1"/>
  <c r="D32" i="1"/>
  <c r="Z7" i="1"/>
  <c r="AQ56" i="1"/>
  <c r="O56" i="1"/>
  <c r="O57" i="1"/>
  <c r="O60" i="1"/>
  <c r="AQ63" i="1"/>
  <c r="O63" i="1"/>
  <c r="AQ65" i="1"/>
  <c r="AQ67" i="1"/>
  <c r="AQ69" i="1"/>
  <c r="O69" i="1"/>
  <c r="O73" i="1"/>
  <c r="O79" i="1"/>
  <c r="O83" i="1"/>
  <c r="O84" i="1"/>
  <c r="O86" i="1"/>
  <c r="O88" i="1"/>
  <c r="O92" i="1"/>
  <c r="O94" i="1"/>
  <c r="O96" i="1"/>
  <c r="O98" i="1"/>
  <c r="O101" i="1"/>
  <c r="AQ103" i="1"/>
  <c r="AQ107" i="1"/>
  <c r="O107" i="1"/>
  <c r="BI25" i="1"/>
  <c r="AG25" i="1" s="1"/>
  <c r="AQ25" i="1"/>
  <c r="AB25" i="1"/>
  <c r="AR25" i="1" s="1"/>
  <c r="AD25" i="1" s="1"/>
  <c r="O25" i="1"/>
  <c r="D25" i="1"/>
  <c r="BI24" i="1"/>
  <c r="AG24" i="1" s="1"/>
  <c r="AQ24" i="1"/>
  <c r="AB24" i="1"/>
  <c r="O24" i="1"/>
  <c r="D24" i="1"/>
  <c r="BI22" i="1"/>
  <c r="AG22" i="1" s="1"/>
  <c r="AQ22" i="1"/>
  <c r="AB22" i="1"/>
  <c r="O22" i="1"/>
  <c r="D22" i="1"/>
  <c r="BI21" i="1"/>
  <c r="AG21" i="1" s="1"/>
  <c r="AQ21" i="1"/>
  <c r="AB21" i="1"/>
  <c r="O21" i="1"/>
  <c r="D21" i="1"/>
  <c r="BI15" i="1"/>
  <c r="AG15" i="1" s="1"/>
  <c r="AQ15" i="1"/>
  <c r="AB15" i="1"/>
  <c r="O15" i="1"/>
  <c r="D15" i="1"/>
  <c r="BI14" i="1"/>
  <c r="AG14" i="1" s="1"/>
  <c r="AQ14" i="1"/>
  <c r="AB14" i="1"/>
  <c r="O14" i="1"/>
  <c r="D14" i="1"/>
  <c r="BI11" i="1"/>
  <c r="AG11" i="1" s="1"/>
  <c r="AQ11" i="1"/>
  <c r="AB11" i="1"/>
  <c r="O11" i="1"/>
  <c r="D11" i="1"/>
  <c r="BI10" i="1"/>
  <c r="AG10" i="1" s="1"/>
  <c r="AQ10" i="1"/>
  <c r="AB10" i="1"/>
  <c r="O10" i="1"/>
  <c r="D10" i="1"/>
  <c r="BI8" i="1"/>
  <c r="AG8" i="1" s="1"/>
  <c r="AQ8" i="1"/>
  <c r="AB8" i="1"/>
  <c r="O8" i="1"/>
  <c r="D8" i="1"/>
  <c r="BI7" i="1"/>
  <c r="AG7" i="1" s="1"/>
  <c r="AB7" i="1"/>
  <c r="D7" i="1"/>
  <c r="BI107" i="1"/>
  <c r="AG107" i="1" s="1"/>
  <c r="AB107" i="1"/>
  <c r="Z107" i="1"/>
  <c r="AP107" i="1" s="1"/>
  <c r="D107" i="1"/>
  <c r="BI105" i="1"/>
  <c r="AG105" i="1" s="1"/>
  <c r="AQ105" i="1"/>
  <c r="AB105" i="1"/>
  <c r="Z105" i="1"/>
  <c r="AP105" i="1" s="1"/>
  <c r="O105" i="1"/>
  <c r="D105" i="1"/>
  <c r="AB103" i="1"/>
  <c r="Z103" i="1"/>
  <c r="AP103" i="1" s="1"/>
  <c r="O103" i="1"/>
  <c r="D103" i="1"/>
  <c r="AQ101" i="1"/>
  <c r="AB101" i="1"/>
  <c r="Z101" i="1"/>
  <c r="AP101" i="1" s="1"/>
  <c r="D101" i="1"/>
  <c r="BI99" i="1"/>
  <c r="AG99" i="1" s="1"/>
  <c r="AQ99" i="1"/>
  <c r="AB99" i="1"/>
  <c r="Z99" i="1"/>
  <c r="AP99" i="1" s="1"/>
  <c r="O99" i="1"/>
  <c r="D99" i="1"/>
  <c r="BI98" i="1"/>
  <c r="AG98" i="1" s="1"/>
  <c r="AQ98" i="1"/>
  <c r="AB98" i="1"/>
  <c r="Z98" i="1"/>
  <c r="AP98" i="1" s="1"/>
  <c r="D98" i="1"/>
  <c r="AB96" i="1"/>
  <c r="Z96" i="1"/>
  <c r="AP96" i="1" s="1"/>
  <c r="D96" i="1"/>
  <c r="BI94" i="1"/>
  <c r="AG94" i="1" s="1"/>
  <c r="AQ94" i="1"/>
  <c r="AB94" i="1"/>
  <c r="Z94" i="1"/>
  <c r="AP94" i="1" s="1"/>
  <c r="D94" i="1"/>
  <c r="AQ92" i="1"/>
  <c r="AB92" i="1"/>
  <c r="Z92" i="1"/>
  <c r="AP92" i="1" s="1"/>
  <c r="D92" i="1"/>
  <c r="BI90" i="1"/>
  <c r="AG90" i="1" s="1"/>
  <c r="AQ90" i="1"/>
  <c r="AB90" i="1"/>
  <c r="AK90" i="1" s="1"/>
  <c r="Z90" i="1"/>
  <c r="AP90" i="1" s="1"/>
  <c r="O90" i="1"/>
  <c r="D90" i="1"/>
  <c r="BI88" i="1"/>
  <c r="AG88" i="1" s="1"/>
  <c r="AQ88" i="1"/>
  <c r="AB88" i="1"/>
  <c r="AK88" i="1" s="1"/>
  <c r="Z88" i="1"/>
  <c r="AP88" i="1" s="1"/>
  <c r="D88" i="1"/>
  <c r="AQ86" i="1"/>
  <c r="AB86" i="1"/>
  <c r="Z86" i="1"/>
  <c r="AP86" i="1" s="1"/>
  <c r="D86" i="1"/>
  <c r="AQ85" i="1"/>
  <c r="AB85" i="1"/>
  <c r="AK85" i="1" s="1"/>
  <c r="Z85" i="1"/>
  <c r="AP85" i="1" s="1"/>
  <c r="O85" i="1"/>
  <c r="D85" i="1"/>
  <c r="AQ84" i="1"/>
  <c r="AB84" i="1"/>
  <c r="AK84" i="1" s="1"/>
  <c r="Z84" i="1"/>
  <c r="AP84" i="1" s="1"/>
  <c r="D84" i="1"/>
  <c r="BI83" i="1"/>
  <c r="AG83" i="1" s="1"/>
  <c r="AQ83" i="1"/>
  <c r="AB83" i="1"/>
  <c r="AK83" i="1" s="1"/>
  <c r="Z83" i="1"/>
  <c r="AP83" i="1" s="1"/>
  <c r="D83" i="1"/>
  <c r="BI82" i="1"/>
  <c r="AG82" i="1" s="1"/>
  <c r="AQ82" i="1"/>
  <c r="AB82" i="1"/>
  <c r="AK82" i="1" s="1"/>
  <c r="Z82" i="1"/>
  <c r="AP82" i="1" s="1"/>
  <c r="O82" i="1"/>
  <c r="D82" i="1"/>
  <c r="AQ79" i="1"/>
  <c r="AB79" i="1"/>
  <c r="Z79" i="1"/>
  <c r="AP79" i="1" s="1"/>
  <c r="D79" i="1"/>
  <c r="AQ77" i="1"/>
  <c r="AB77" i="1"/>
  <c r="AK77" i="1" s="1"/>
  <c r="Z77" i="1"/>
  <c r="AP77" i="1" s="1"/>
  <c r="O77" i="1"/>
  <c r="D77" i="1"/>
  <c r="AQ75" i="1"/>
  <c r="AB75" i="1"/>
  <c r="AK75" i="1" s="1"/>
  <c r="Z75" i="1"/>
  <c r="AP75" i="1" s="1"/>
  <c r="O75" i="1"/>
  <c r="D75" i="1"/>
  <c r="BI73" i="1"/>
  <c r="AG73" i="1" s="1"/>
  <c r="AQ73" i="1"/>
  <c r="AB73" i="1"/>
  <c r="Z73" i="1"/>
  <c r="AP73" i="1" s="1"/>
  <c r="D73" i="1"/>
  <c r="AQ71" i="1"/>
  <c r="AB71" i="1"/>
  <c r="AK71" i="1" s="1"/>
  <c r="Z71" i="1"/>
  <c r="AP71" i="1" s="1"/>
  <c r="O71" i="1"/>
  <c r="D71" i="1"/>
  <c r="BI69" i="1"/>
  <c r="AG69" i="1" s="1"/>
  <c r="AB69" i="1"/>
  <c r="AK69" i="1" s="1"/>
  <c r="Z69" i="1"/>
  <c r="AP69" i="1" s="1"/>
  <c r="D69" i="1"/>
  <c r="BI67" i="1"/>
  <c r="AG67" i="1" s="1"/>
  <c r="AB67" i="1"/>
  <c r="AK67" i="1" s="1"/>
  <c r="Z67" i="1"/>
  <c r="AP67" i="1" s="1"/>
  <c r="D67" i="1"/>
  <c r="AB65" i="1"/>
  <c r="AL65" i="1" s="1"/>
  <c r="Z65" i="1"/>
  <c r="AP65" i="1" s="1"/>
  <c r="O65" i="1"/>
  <c r="D65" i="1"/>
  <c r="BI63" i="1"/>
  <c r="AG63" i="1" s="1"/>
  <c r="AB63" i="1"/>
  <c r="AK63" i="1" s="1"/>
  <c r="Z63" i="1"/>
  <c r="AP63" i="1" s="1"/>
  <c r="D63" i="1"/>
  <c r="AQ61" i="1"/>
  <c r="AB61" i="1"/>
  <c r="Z61" i="1"/>
  <c r="O61" i="1"/>
  <c r="D61" i="1"/>
  <c r="AQ60" i="1"/>
  <c r="AB60" i="1"/>
  <c r="AL60" i="1" s="1"/>
  <c r="Z60" i="1"/>
  <c r="AP60" i="1" s="1"/>
  <c r="D60" i="1"/>
  <c r="BI57" i="1"/>
  <c r="AG57" i="1" s="1"/>
  <c r="AQ57" i="1"/>
  <c r="AB57" i="1"/>
  <c r="AL57" i="1" s="1"/>
  <c r="Z57" i="1"/>
  <c r="D57" i="1"/>
  <c r="BI56" i="1"/>
  <c r="AG56" i="1" s="1"/>
  <c r="AB56" i="1"/>
  <c r="AL56" i="1" s="1"/>
  <c r="Z56" i="1"/>
  <c r="AP56" i="1" s="1"/>
  <c r="D56" i="1"/>
  <c r="BI55" i="1"/>
  <c r="AG55" i="1" s="1"/>
  <c r="AQ55" i="1"/>
  <c r="AB55" i="1"/>
  <c r="Z55" i="1"/>
  <c r="AP55" i="1" s="1"/>
  <c r="O55" i="1"/>
  <c r="D55" i="1"/>
  <c r="BI54" i="1"/>
  <c r="AG54" i="1" s="1"/>
  <c r="AQ54" i="1"/>
  <c r="AB54" i="1"/>
  <c r="AL54" i="1" s="1"/>
  <c r="Z54" i="1"/>
  <c r="AP54" i="1" s="1"/>
  <c r="O54" i="1"/>
  <c r="D54" i="1"/>
  <c r="BI53" i="1"/>
  <c r="AG53" i="1" s="1"/>
  <c r="AQ53" i="1"/>
  <c r="AB53" i="1"/>
  <c r="AL53" i="1" s="1"/>
  <c r="Z53" i="1"/>
  <c r="AP53" i="1" s="1"/>
  <c r="O53" i="1"/>
  <c r="D53" i="1"/>
  <c r="AQ52" i="1"/>
  <c r="AB52" i="1"/>
  <c r="AR52" i="1" s="1"/>
  <c r="AD52" i="1" s="1"/>
  <c r="AE52" i="1" s="1"/>
  <c r="Z52" i="1"/>
  <c r="AP52" i="1" s="1"/>
  <c r="O52" i="1"/>
  <c r="D52" i="1"/>
  <c r="BI51" i="1"/>
  <c r="AG51" i="1" s="1"/>
  <c r="AQ51" i="1"/>
  <c r="AB51" i="1"/>
  <c r="AL51" i="1" s="1"/>
  <c r="Z51" i="1"/>
  <c r="AP51" i="1" s="1"/>
  <c r="O51" i="1"/>
  <c r="D51" i="1"/>
  <c r="BI50" i="1"/>
  <c r="AG50" i="1" s="1"/>
  <c r="AQ50" i="1"/>
  <c r="AB50" i="1"/>
  <c r="AL50" i="1" s="1"/>
  <c r="Z50" i="1"/>
  <c r="AP50" i="1" s="1"/>
  <c r="O50" i="1"/>
  <c r="D50" i="1"/>
  <c r="BI49" i="1"/>
  <c r="AG49" i="1" s="1"/>
  <c r="AQ49" i="1"/>
  <c r="AB49" i="1"/>
  <c r="AR49" i="1" s="1"/>
  <c r="AD49" i="1" s="1"/>
  <c r="AE49" i="1" s="1"/>
  <c r="Z49" i="1"/>
  <c r="AP49" i="1" s="1"/>
  <c r="O49" i="1"/>
  <c r="D49" i="1"/>
  <c r="BI46" i="1"/>
  <c r="AG46" i="1" s="1"/>
  <c r="AQ46" i="1"/>
  <c r="AB46" i="1"/>
  <c r="AL46" i="1" s="1"/>
  <c r="Z46" i="1"/>
  <c r="AP46" i="1" s="1"/>
  <c r="O46" i="1"/>
  <c r="D46" i="1"/>
  <c r="BI45" i="1"/>
  <c r="AG45" i="1" s="1"/>
  <c r="AQ45" i="1"/>
  <c r="AB45" i="1"/>
  <c r="Z45" i="1"/>
  <c r="AP45" i="1" s="1"/>
  <c r="O45" i="1"/>
  <c r="D45" i="1"/>
  <c r="BI41" i="1"/>
  <c r="AG41" i="1" s="1"/>
  <c r="AQ41" i="1"/>
  <c r="AB41" i="1"/>
  <c r="AL41" i="1" s="1"/>
  <c r="Z41" i="1"/>
  <c r="AP41" i="1" s="1"/>
  <c r="O41" i="1"/>
  <c r="D41" i="1"/>
  <c r="BI40" i="1"/>
  <c r="AG40" i="1" s="1"/>
  <c r="AQ40" i="1"/>
  <c r="AB40" i="1"/>
  <c r="AK40" i="1" s="1"/>
  <c r="Z40" i="1"/>
  <c r="AP40" i="1" s="1"/>
  <c r="O40" i="1"/>
  <c r="D40" i="1"/>
  <c r="BI37" i="1"/>
  <c r="AG37" i="1" s="1"/>
  <c r="AQ37" i="1"/>
  <c r="AB37" i="1"/>
  <c r="AK37" i="1" s="1"/>
  <c r="Z37" i="1"/>
  <c r="AP37" i="1" s="1"/>
  <c r="O37" i="1"/>
  <c r="D37" i="1"/>
  <c r="BI34" i="1"/>
  <c r="AG34" i="1" s="1"/>
  <c r="AQ34" i="1"/>
  <c r="AB34" i="1"/>
  <c r="AL34" i="1" s="1"/>
  <c r="Z34" i="1"/>
  <c r="AP34" i="1" s="1"/>
  <c r="O34" i="1"/>
  <c r="D34" i="1"/>
  <c r="BI31" i="1"/>
  <c r="AG31" i="1" s="1"/>
  <c r="AQ31" i="1"/>
  <c r="AB31" i="1"/>
  <c r="AL31" i="1" s="1"/>
  <c r="Z31" i="1"/>
  <c r="AP31" i="1" s="1"/>
  <c r="O31" i="1"/>
  <c r="D31" i="1"/>
  <c r="BI27" i="1"/>
  <c r="AG27" i="1" s="1"/>
  <c r="AQ27" i="1"/>
  <c r="AB27" i="1"/>
  <c r="AR27" i="1" s="1"/>
  <c r="AD27" i="1" s="1"/>
  <c r="AE27" i="1" s="1"/>
  <c r="Z27" i="1"/>
  <c r="AP27" i="1" s="1"/>
  <c r="O27" i="1"/>
  <c r="D27" i="1"/>
  <c r="BP68" i="1" l="1"/>
  <c r="BP44" i="1"/>
  <c r="BP28" i="1"/>
  <c r="BP74" i="1"/>
  <c r="BP52" i="1"/>
  <c r="BP36" i="1"/>
  <c r="BP91" i="1"/>
  <c r="BP59" i="1"/>
  <c r="BP43" i="1"/>
  <c r="BP35" i="1"/>
  <c r="BP27" i="1"/>
  <c r="BP19" i="1"/>
  <c r="BP66" i="1"/>
  <c r="BP58" i="1"/>
  <c r="BP42" i="1"/>
  <c r="BP18" i="1"/>
  <c r="BP97" i="1"/>
  <c r="BP89" i="1"/>
  <c r="BP81" i="1"/>
  <c r="BP49" i="1"/>
  <c r="BP33" i="1"/>
  <c r="BP25" i="1"/>
  <c r="BP80" i="1"/>
  <c r="BP72" i="1"/>
  <c r="BP48" i="1"/>
  <c r="BP32" i="1"/>
  <c r="BP95" i="1"/>
  <c r="BP47" i="1"/>
  <c r="BP39" i="1"/>
  <c r="BP102" i="1"/>
  <c r="BP78" i="1"/>
  <c r="BP70" i="1"/>
  <c r="BP62" i="1"/>
  <c r="BP38" i="1"/>
  <c r="O29" i="1"/>
  <c r="AR93" i="1"/>
  <c r="BP93" i="1" s="1"/>
  <c r="AR106" i="1"/>
  <c r="BP106" i="1" s="1"/>
  <c r="AR17" i="1"/>
  <c r="BP17" i="1" s="1"/>
  <c r="AP17" i="1"/>
  <c r="AD30" i="1"/>
  <c r="AE30" i="1" s="1"/>
  <c r="AR104" i="1"/>
  <c r="BP104" i="1" s="1"/>
  <c r="AD74" i="1"/>
  <c r="AE74" i="1" s="1"/>
  <c r="AQ74" i="1"/>
  <c r="AD100" i="1"/>
  <c r="AE100" i="1" s="1"/>
  <c r="AR64" i="1"/>
  <c r="BP64" i="1" s="1"/>
  <c r="AR87" i="1"/>
  <c r="BP87" i="1" s="1"/>
  <c r="AR108" i="1"/>
  <c r="BP108" i="1" s="1"/>
  <c r="AD29" i="1"/>
  <c r="AE29" i="1" s="1"/>
  <c r="AD76" i="1"/>
  <c r="AE76" i="1" s="1"/>
  <c r="O7" i="1"/>
  <c r="AP7" i="1"/>
  <c r="AK87" i="1"/>
  <c r="AH100" i="1"/>
  <c r="AI100" i="1" s="1"/>
  <c r="AH102" i="1"/>
  <c r="AI102" i="1" s="1"/>
  <c r="AK100" i="1"/>
  <c r="AK102" i="1"/>
  <c r="AK104" i="1"/>
  <c r="AK106" i="1"/>
  <c r="AK108" i="1"/>
  <c r="AL100" i="1"/>
  <c r="AL102" i="1"/>
  <c r="AL104" i="1"/>
  <c r="AL106" i="1"/>
  <c r="AL108" i="1"/>
  <c r="AE102" i="1"/>
  <c r="AK74" i="1"/>
  <c r="AH76" i="1"/>
  <c r="AI76" i="1" s="1"/>
  <c r="AK91" i="1"/>
  <c r="AH74" i="1"/>
  <c r="AI74" i="1" s="1"/>
  <c r="AH91" i="1"/>
  <c r="AI91" i="1" s="1"/>
  <c r="AH72" i="1"/>
  <c r="AI72" i="1" s="1"/>
  <c r="AK78" i="1"/>
  <c r="AH78" i="1"/>
  <c r="AI78" i="1" s="1"/>
  <c r="AH30" i="1"/>
  <c r="AI30" i="1" s="1"/>
  <c r="AK89" i="1"/>
  <c r="AH89" i="1"/>
  <c r="AI89" i="1" s="1"/>
  <c r="AK76" i="1"/>
  <c r="AK72" i="1"/>
  <c r="AK93" i="1"/>
  <c r="AH95" i="1"/>
  <c r="AI95" i="1" s="1"/>
  <c r="AH29" i="1"/>
  <c r="AI29" i="1" s="1"/>
  <c r="AH70" i="1"/>
  <c r="AI70" i="1" s="1"/>
  <c r="AH68" i="1"/>
  <c r="AI68" i="1" s="1"/>
  <c r="AH66" i="1"/>
  <c r="AI66" i="1" s="1"/>
  <c r="AH62" i="1"/>
  <c r="AI62" i="1" s="1"/>
  <c r="AK29" i="1"/>
  <c r="AK30" i="1"/>
  <c r="AK62" i="1"/>
  <c r="AK64" i="1"/>
  <c r="AK66" i="1"/>
  <c r="AK68" i="1"/>
  <c r="AK70" i="1"/>
  <c r="AK95" i="1"/>
  <c r="AL29" i="1"/>
  <c r="AL30" i="1"/>
  <c r="AL62" i="1"/>
  <c r="AL64" i="1"/>
  <c r="AL66" i="1"/>
  <c r="AL68" i="1"/>
  <c r="AL70" i="1"/>
  <c r="AL72" i="1"/>
  <c r="AL74" i="1"/>
  <c r="AL76" i="1"/>
  <c r="AL78" i="1"/>
  <c r="AL87" i="1"/>
  <c r="AL89" i="1"/>
  <c r="AL91" i="1"/>
  <c r="AL93" i="1"/>
  <c r="AL95" i="1"/>
  <c r="AE62" i="1"/>
  <c r="AE66" i="1"/>
  <c r="AE68" i="1"/>
  <c r="AE70" i="1"/>
  <c r="AE72" i="1"/>
  <c r="AE78" i="1"/>
  <c r="AE89" i="1"/>
  <c r="AE91" i="1"/>
  <c r="AE95" i="1"/>
  <c r="AH32" i="1"/>
  <c r="AI32" i="1" s="1"/>
  <c r="AH33" i="1"/>
  <c r="AI33" i="1" s="1"/>
  <c r="AH35" i="1"/>
  <c r="AI35" i="1" s="1"/>
  <c r="AH36" i="1"/>
  <c r="AI36" i="1" s="1"/>
  <c r="AH38" i="1"/>
  <c r="AI38" i="1" s="1"/>
  <c r="AH39" i="1"/>
  <c r="AI39" i="1" s="1"/>
  <c r="AH42" i="1"/>
  <c r="AI42" i="1" s="1"/>
  <c r="AH43" i="1"/>
  <c r="AI43" i="1" s="1"/>
  <c r="AH44" i="1"/>
  <c r="AI44" i="1" s="1"/>
  <c r="AH47" i="1"/>
  <c r="AI47" i="1" s="1"/>
  <c r="AH48" i="1"/>
  <c r="AI48" i="1" s="1"/>
  <c r="AH58" i="1"/>
  <c r="AI58" i="1" s="1"/>
  <c r="AH59" i="1"/>
  <c r="AI59" i="1" s="1"/>
  <c r="AH80" i="1"/>
  <c r="AI80" i="1" s="1"/>
  <c r="AH81" i="1"/>
  <c r="AI81" i="1" s="1"/>
  <c r="AH97" i="1"/>
  <c r="AI97" i="1" s="1"/>
  <c r="AH18" i="1"/>
  <c r="AI18" i="1" s="1"/>
  <c r="AH19" i="1"/>
  <c r="AI19" i="1" s="1"/>
  <c r="AH28" i="1"/>
  <c r="AI28" i="1" s="1"/>
  <c r="AK32" i="1"/>
  <c r="AK33" i="1"/>
  <c r="AK35" i="1"/>
  <c r="AK36" i="1"/>
  <c r="AK38" i="1"/>
  <c r="AK39" i="1"/>
  <c r="AK42" i="1"/>
  <c r="AK43" i="1"/>
  <c r="AK44" i="1"/>
  <c r="AK47" i="1"/>
  <c r="AK48" i="1"/>
  <c r="AK58" i="1"/>
  <c r="AK59" i="1"/>
  <c r="AK80" i="1"/>
  <c r="AK81" i="1"/>
  <c r="AK97" i="1"/>
  <c r="AK17" i="1"/>
  <c r="AK18" i="1"/>
  <c r="AK19" i="1"/>
  <c r="AK28" i="1"/>
  <c r="AL32" i="1"/>
  <c r="AL33" i="1"/>
  <c r="AL35" i="1"/>
  <c r="AL36" i="1"/>
  <c r="AL38" i="1"/>
  <c r="AL39" i="1"/>
  <c r="AL42" i="1"/>
  <c r="AL43" i="1"/>
  <c r="AL44" i="1"/>
  <c r="AL47" i="1"/>
  <c r="AL48" i="1"/>
  <c r="AL58" i="1"/>
  <c r="AL59" i="1"/>
  <c r="AL80" i="1"/>
  <c r="AL81" i="1"/>
  <c r="AL97" i="1"/>
  <c r="AL17" i="1"/>
  <c r="AL18" i="1"/>
  <c r="AL19" i="1"/>
  <c r="AL28" i="1"/>
  <c r="AE32" i="1"/>
  <c r="AE33" i="1"/>
  <c r="AE35" i="1"/>
  <c r="AE36" i="1"/>
  <c r="AE38" i="1"/>
  <c r="AE39" i="1"/>
  <c r="AE42" i="1"/>
  <c r="AE43" i="1"/>
  <c r="AE44" i="1"/>
  <c r="AE47" i="1"/>
  <c r="AE48" i="1"/>
  <c r="AE58" i="1"/>
  <c r="AE59" i="1"/>
  <c r="AE80" i="1"/>
  <c r="AE81" i="1"/>
  <c r="AE97" i="1"/>
  <c r="AE18" i="1"/>
  <c r="AE19" i="1"/>
  <c r="AE28" i="1"/>
  <c r="AL63" i="1"/>
  <c r="AK60" i="1"/>
  <c r="AK65" i="1"/>
  <c r="AK56" i="1"/>
  <c r="AR51" i="1"/>
  <c r="BP51" i="1" s="1"/>
  <c r="AH25" i="1"/>
  <c r="AI25" i="1" s="1"/>
  <c r="AK54" i="1"/>
  <c r="AK57" i="1"/>
  <c r="AR50" i="1"/>
  <c r="BP50" i="1" s="1"/>
  <c r="AK53" i="1"/>
  <c r="AQ96" i="1"/>
  <c r="O67" i="1"/>
  <c r="AH52" i="1"/>
  <c r="AI52" i="1" s="1"/>
  <c r="AP61" i="1"/>
  <c r="AP57" i="1"/>
  <c r="AR54" i="1"/>
  <c r="BP54" i="1" s="1"/>
  <c r="AR60" i="1"/>
  <c r="BP60" i="1" s="1"/>
  <c r="AR67" i="1"/>
  <c r="BP67" i="1" s="1"/>
  <c r="AL67" i="1"/>
  <c r="AR83" i="1"/>
  <c r="BP83" i="1" s="1"/>
  <c r="AL83" i="1"/>
  <c r="AR90" i="1"/>
  <c r="BP90" i="1" s="1"/>
  <c r="AL90" i="1"/>
  <c r="AR55" i="1"/>
  <c r="BP55" i="1" s="1"/>
  <c r="AR79" i="1"/>
  <c r="BP79" i="1" s="1"/>
  <c r="AL79" i="1"/>
  <c r="AR86" i="1"/>
  <c r="BP86" i="1" s="1"/>
  <c r="AL86" i="1"/>
  <c r="AK50" i="1"/>
  <c r="AK51" i="1"/>
  <c r="AK52" i="1"/>
  <c r="AR77" i="1"/>
  <c r="BP77" i="1" s="1"/>
  <c r="AL77" i="1"/>
  <c r="AL52" i="1"/>
  <c r="AR53" i="1"/>
  <c r="BP53" i="1" s="1"/>
  <c r="AR57" i="1"/>
  <c r="BP57" i="1" s="1"/>
  <c r="AR65" i="1"/>
  <c r="BP65" i="1" s="1"/>
  <c r="AR71" i="1"/>
  <c r="BP71" i="1" s="1"/>
  <c r="AL71" i="1"/>
  <c r="AR85" i="1"/>
  <c r="BP85" i="1" s="1"/>
  <c r="AL85" i="1"/>
  <c r="AR94" i="1"/>
  <c r="BP94" i="1" s="1"/>
  <c r="AL94" i="1"/>
  <c r="AK94" i="1"/>
  <c r="AR98" i="1"/>
  <c r="BP98" i="1" s="1"/>
  <c r="AL98" i="1"/>
  <c r="AK98" i="1"/>
  <c r="AR101" i="1"/>
  <c r="BP101" i="1" s="1"/>
  <c r="AL101" i="1"/>
  <c r="AK101" i="1"/>
  <c r="AR105" i="1"/>
  <c r="BP105" i="1" s="1"/>
  <c r="AL105" i="1"/>
  <c r="AK105" i="1"/>
  <c r="AR7" i="1"/>
  <c r="BP7" i="1" s="1"/>
  <c r="AL7" i="1"/>
  <c r="AK7" i="1"/>
  <c r="AR10" i="1"/>
  <c r="BP10" i="1" s="1"/>
  <c r="AL10" i="1"/>
  <c r="AK10" i="1"/>
  <c r="AR14" i="1"/>
  <c r="BP14" i="1" s="1"/>
  <c r="AL14" i="1"/>
  <c r="AK14" i="1"/>
  <c r="AR21" i="1"/>
  <c r="BP21" i="1" s="1"/>
  <c r="AL21" i="1"/>
  <c r="AK21" i="1"/>
  <c r="AR24" i="1"/>
  <c r="BP24" i="1" s="1"/>
  <c r="AL24" i="1"/>
  <c r="AK24" i="1"/>
  <c r="AR61" i="1"/>
  <c r="BP61" i="1" s="1"/>
  <c r="AR99" i="1"/>
  <c r="BP99" i="1" s="1"/>
  <c r="AL99" i="1"/>
  <c r="AK99" i="1"/>
  <c r="AR103" i="1"/>
  <c r="BP103" i="1" s="1"/>
  <c r="AL103" i="1"/>
  <c r="AK103" i="1"/>
  <c r="AR8" i="1"/>
  <c r="BP8" i="1" s="1"/>
  <c r="AL8" i="1"/>
  <c r="AK8" i="1"/>
  <c r="AR11" i="1"/>
  <c r="BP11" i="1" s="1"/>
  <c r="AL11" i="1"/>
  <c r="AK11" i="1"/>
  <c r="AR15" i="1"/>
  <c r="BP15" i="1" s="1"/>
  <c r="AL15" i="1"/>
  <c r="AK15" i="1"/>
  <c r="AK55" i="1"/>
  <c r="AK61" i="1"/>
  <c r="AR82" i="1"/>
  <c r="BP82" i="1" s="1"/>
  <c r="AL82" i="1"/>
  <c r="AR92" i="1"/>
  <c r="BP92" i="1" s="1"/>
  <c r="AL92" i="1"/>
  <c r="AK92" i="1"/>
  <c r="AR96" i="1"/>
  <c r="BP96" i="1" s="1"/>
  <c r="AL96" i="1"/>
  <c r="AK96" i="1"/>
  <c r="AR107" i="1"/>
  <c r="BP107" i="1" s="1"/>
  <c r="AL107" i="1"/>
  <c r="AK107" i="1"/>
  <c r="AR22" i="1"/>
  <c r="BP22" i="1" s="1"/>
  <c r="AL22" i="1"/>
  <c r="AK22" i="1"/>
  <c r="AR73" i="1"/>
  <c r="BP73" i="1" s="1"/>
  <c r="AL73" i="1"/>
  <c r="AK79" i="1"/>
  <c r="AL55" i="1"/>
  <c r="AR56" i="1"/>
  <c r="BP56" i="1" s="1"/>
  <c r="AL61" i="1"/>
  <c r="AR63" i="1"/>
  <c r="BP63" i="1" s="1"/>
  <c r="AK73" i="1"/>
  <c r="AR75" i="1"/>
  <c r="BP75" i="1" s="1"/>
  <c r="AL75" i="1"/>
  <c r="AK86" i="1"/>
  <c r="AR88" i="1"/>
  <c r="BP88" i="1" s="1"/>
  <c r="AL88" i="1"/>
  <c r="AR69" i="1"/>
  <c r="BP69" i="1" s="1"/>
  <c r="AL69" i="1"/>
  <c r="AR84" i="1"/>
  <c r="BP84" i="1" s="1"/>
  <c r="AL84" i="1"/>
  <c r="AK25" i="1"/>
  <c r="AL25" i="1"/>
  <c r="AE25" i="1"/>
  <c r="AH27" i="1"/>
  <c r="AI27" i="1" s="1"/>
  <c r="AR41" i="1"/>
  <c r="BP41" i="1" s="1"/>
  <c r="AH49" i="1"/>
  <c r="AI49" i="1" s="1"/>
  <c r="AR46" i="1"/>
  <c r="BP46" i="1" s="1"/>
  <c r="AK46" i="1"/>
  <c r="AK27" i="1"/>
  <c r="AK31" i="1"/>
  <c r="AL27" i="1"/>
  <c r="AK49" i="1"/>
  <c r="AL49" i="1"/>
  <c r="AL40" i="1"/>
  <c r="AK34" i="1"/>
  <c r="AL37" i="1"/>
  <c r="AR45" i="1"/>
  <c r="BP45" i="1" s="1"/>
  <c r="AR40" i="1"/>
  <c r="BP40" i="1" s="1"/>
  <c r="AR34" i="1"/>
  <c r="BP34" i="1" s="1"/>
  <c r="AK45" i="1"/>
  <c r="AR37" i="1"/>
  <c r="BP37" i="1" s="1"/>
  <c r="AR31" i="1"/>
  <c r="BP31" i="1" s="1"/>
  <c r="AK41" i="1"/>
  <c r="AL45" i="1"/>
  <c r="AD11" i="1" l="1"/>
  <c r="AE11" i="1" s="1"/>
  <c r="AD75" i="1"/>
  <c r="AE75" i="1" s="1"/>
  <c r="AD73" i="1"/>
  <c r="AE73" i="1" s="1"/>
  <c r="AD61" i="1"/>
  <c r="AE61" i="1" s="1"/>
  <c r="AD98" i="1"/>
  <c r="AE98" i="1" s="1"/>
  <c r="AD65" i="1"/>
  <c r="AE65" i="1" s="1"/>
  <c r="AD51" i="1"/>
  <c r="AE51" i="1" s="1"/>
  <c r="AD46" i="1"/>
  <c r="AE46" i="1" s="1"/>
  <c r="AD84" i="1"/>
  <c r="AE84" i="1" s="1"/>
  <c r="AD96" i="1"/>
  <c r="AE96" i="1" s="1"/>
  <c r="AD8" i="1"/>
  <c r="AE8" i="1" s="1"/>
  <c r="AD14" i="1"/>
  <c r="AE14" i="1" s="1"/>
  <c r="AD57" i="1"/>
  <c r="AE57" i="1" s="1"/>
  <c r="AD83" i="1"/>
  <c r="AE83" i="1" s="1"/>
  <c r="AD21" i="1"/>
  <c r="AE21" i="1" s="1"/>
  <c r="AD105" i="1"/>
  <c r="AE105" i="1" s="1"/>
  <c r="AD86" i="1"/>
  <c r="AE86" i="1" s="1"/>
  <c r="AD104" i="1"/>
  <c r="AE104" i="1" s="1"/>
  <c r="AD107" i="1"/>
  <c r="AE107" i="1" s="1"/>
  <c r="AD45" i="1"/>
  <c r="AE45" i="1" s="1"/>
  <c r="AD53" i="1"/>
  <c r="AE53" i="1" s="1"/>
  <c r="AD37" i="1"/>
  <c r="AE37" i="1" s="1"/>
  <c r="AD41" i="1"/>
  <c r="AE41" i="1" s="1"/>
  <c r="AD69" i="1"/>
  <c r="AE69" i="1" s="1"/>
  <c r="AD22" i="1"/>
  <c r="AE22" i="1" s="1"/>
  <c r="AD15" i="1"/>
  <c r="AE15" i="1" s="1"/>
  <c r="AD24" i="1"/>
  <c r="AE24" i="1" s="1"/>
  <c r="AD94" i="1"/>
  <c r="AE94" i="1" s="1"/>
  <c r="AD67" i="1"/>
  <c r="AE67" i="1" s="1"/>
  <c r="AD40" i="1"/>
  <c r="AE40" i="1" s="1"/>
  <c r="AD82" i="1"/>
  <c r="AE82" i="1" s="1"/>
  <c r="AD31" i="1"/>
  <c r="AE31" i="1" s="1"/>
  <c r="AD63" i="1"/>
  <c r="AE63" i="1" s="1"/>
  <c r="AD56" i="1"/>
  <c r="AE56" i="1" s="1"/>
  <c r="AD92" i="1"/>
  <c r="AE92" i="1" s="1"/>
  <c r="AD103" i="1"/>
  <c r="AE103" i="1" s="1"/>
  <c r="AD10" i="1"/>
  <c r="AE10" i="1" s="1"/>
  <c r="AD79" i="1"/>
  <c r="AE79" i="1" s="1"/>
  <c r="AD60" i="1"/>
  <c r="AE60" i="1" s="1"/>
  <c r="AD50" i="1"/>
  <c r="AE50" i="1" s="1"/>
  <c r="AD108" i="1"/>
  <c r="AE108" i="1" s="1"/>
  <c r="AD34" i="1"/>
  <c r="AE34" i="1" s="1"/>
  <c r="AD88" i="1"/>
  <c r="AE88" i="1" s="1"/>
  <c r="AD101" i="1"/>
  <c r="AE101" i="1" s="1"/>
  <c r="AD85" i="1"/>
  <c r="AE85" i="1" s="1"/>
  <c r="AD77" i="1"/>
  <c r="AE77" i="1" s="1"/>
  <c r="AD55" i="1"/>
  <c r="AE55" i="1" s="1"/>
  <c r="AD54" i="1"/>
  <c r="AE54" i="1" s="1"/>
  <c r="AD87" i="1"/>
  <c r="AE87" i="1" s="1"/>
  <c r="AD17" i="1"/>
  <c r="AE17" i="1" s="1"/>
  <c r="AD64" i="1"/>
  <c r="AE64" i="1" s="1"/>
  <c r="AD106" i="1"/>
  <c r="AE106" i="1" s="1"/>
  <c r="AD99" i="1"/>
  <c r="AE99" i="1" s="1"/>
  <c r="AD7" i="1"/>
  <c r="AE7" i="1" s="1"/>
  <c r="AD71" i="1"/>
  <c r="AE71" i="1" s="1"/>
  <c r="AD90" i="1"/>
  <c r="AE90" i="1" s="1"/>
  <c r="AD93" i="1"/>
  <c r="AE93" i="1" s="1"/>
  <c r="AH64" i="1"/>
  <c r="AI64" i="1" s="1"/>
  <c r="AH106" i="1"/>
  <c r="AI106" i="1" s="1"/>
  <c r="AH17" i="1"/>
  <c r="AI17" i="1" s="1"/>
  <c r="AH104" i="1"/>
  <c r="AI104" i="1" s="1"/>
  <c r="AH87" i="1"/>
  <c r="AI87" i="1" s="1"/>
  <c r="AH108" i="1"/>
  <c r="AI108" i="1" s="1"/>
  <c r="AH93" i="1"/>
  <c r="AI93" i="1" s="1"/>
  <c r="AH51" i="1"/>
  <c r="AI51" i="1" s="1"/>
  <c r="AH21" i="1"/>
  <c r="AI21" i="1" s="1"/>
  <c r="AH50" i="1"/>
  <c r="AI50" i="1" s="1"/>
  <c r="AH98" i="1"/>
  <c r="AI98" i="1" s="1"/>
  <c r="AH56" i="1"/>
  <c r="AI56" i="1" s="1"/>
  <c r="AH54" i="1"/>
  <c r="AI54" i="1" s="1"/>
  <c r="AH79" i="1"/>
  <c r="AI79" i="1" s="1"/>
  <c r="AH67" i="1"/>
  <c r="AI67" i="1" s="1"/>
  <c r="AH61" i="1"/>
  <c r="AI61" i="1" s="1"/>
  <c r="AH82" i="1"/>
  <c r="AI82" i="1" s="1"/>
  <c r="AH99" i="1"/>
  <c r="AI99" i="1" s="1"/>
  <c r="AH96" i="1"/>
  <c r="AI96" i="1" s="1"/>
  <c r="AH71" i="1"/>
  <c r="AI71" i="1" s="1"/>
  <c r="AH57" i="1"/>
  <c r="AI57" i="1" s="1"/>
  <c r="AH85" i="1"/>
  <c r="AI85" i="1" s="1"/>
  <c r="AH73" i="1"/>
  <c r="AI73" i="1" s="1"/>
  <c r="AH65" i="1"/>
  <c r="AI65" i="1" s="1"/>
  <c r="AH40" i="1"/>
  <c r="AI40" i="1" s="1"/>
  <c r="AH60" i="1"/>
  <c r="AI60" i="1" s="1"/>
  <c r="AH69" i="1"/>
  <c r="AI69" i="1" s="1"/>
  <c r="AH14" i="1"/>
  <c r="AI14" i="1" s="1"/>
  <c r="AH86" i="1"/>
  <c r="AI86" i="1" s="1"/>
  <c r="AH8" i="1"/>
  <c r="AI8" i="1" s="1"/>
  <c r="AH10" i="1"/>
  <c r="AI10" i="1" s="1"/>
  <c r="AH90" i="1"/>
  <c r="AI90" i="1" s="1"/>
  <c r="AH22" i="1"/>
  <c r="AI22" i="1" s="1"/>
  <c r="AH55" i="1"/>
  <c r="AI55" i="1" s="1"/>
  <c r="AH63" i="1"/>
  <c r="AI63" i="1" s="1"/>
  <c r="AH84" i="1"/>
  <c r="AI84" i="1" s="1"/>
  <c r="AH103" i="1"/>
  <c r="AI103" i="1" s="1"/>
  <c r="AH107" i="1"/>
  <c r="AI107" i="1" s="1"/>
  <c r="AH7" i="1"/>
  <c r="AI7" i="1" s="1"/>
  <c r="AH92" i="1"/>
  <c r="AI92" i="1" s="1"/>
  <c r="AH11" i="1"/>
  <c r="AI11" i="1" s="1"/>
  <c r="AH83" i="1"/>
  <c r="AI83" i="1" s="1"/>
  <c r="AH101" i="1"/>
  <c r="AI101" i="1" s="1"/>
  <c r="AH105" i="1"/>
  <c r="AI105" i="1" s="1"/>
  <c r="AH24" i="1"/>
  <c r="AI24" i="1" s="1"/>
  <c r="AH53" i="1"/>
  <c r="AI53" i="1" s="1"/>
  <c r="AH88" i="1"/>
  <c r="AI88" i="1" s="1"/>
  <c r="AH75" i="1"/>
  <c r="AI75" i="1" s="1"/>
  <c r="AH77" i="1"/>
  <c r="AI77" i="1" s="1"/>
  <c r="AH15" i="1"/>
  <c r="AI15" i="1" s="1"/>
  <c r="AH94" i="1"/>
  <c r="AI94" i="1" s="1"/>
  <c r="AH41" i="1"/>
  <c r="AI41" i="1" s="1"/>
  <c r="AH37" i="1"/>
  <c r="AI37" i="1" s="1"/>
  <c r="AH46" i="1"/>
  <c r="AI46" i="1" s="1"/>
  <c r="AH45" i="1"/>
  <c r="AI45" i="1" s="1"/>
  <c r="AH31" i="1"/>
  <c r="AI31" i="1" s="1"/>
  <c r="AH34" i="1"/>
  <c r="AI34" i="1" s="1"/>
  <c r="BI5" i="1"/>
  <c r="AG5" i="1" s="1"/>
  <c r="BI6" i="1"/>
  <c r="AG6" i="1" s="1"/>
  <c r="BI9" i="1"/>
  <c r="AG9" i="1" s="1"/>
  <c r="BI13" i="1"/>
  <c r="AG13" i="1" s="1"/>
  <c r="BI16" i="1"/>
  <c r="AG16" i="1" s="1"/>
  <c r="BI20" i="1"/>
  <c r="AG20" i="1" s="1"/>
  <c r="BI23" i="1"/>
  <c r="AG23" i="1" s="1"/>
  <c r="BI26" i="1"/>
  <c r="AG26" i="1" s="1"/>
  <c r="BI4" i="1"/>
  <c r="AG4" i="1" s="1"/>
  <c r="AB5" i="1"/>
  <c r="AB6" i="1"/>
  <c r="AB9" i="1"/>
  <c r="AB12" i="1"/>
  <c r="AB13" i="1"/>
  <c r="AB16" i="1"/>
  <c r="AB20" i="1"/>
  <c r="AB23" i="1"/>
  <c r="AB26" i="1"/>
  <c r="Z5" i="1"/>
  <c r="AP5" i="1" s="1"/>
  <c r="Z6" i="1"/>
  <c r="AP6" i="1" s="1"/>
  <c r="Z9" i="1"/>
  <c r="AP9" i="1" s="1"/>
  <c r="Z12" i="1"/>
  <c r="AP12" i="1" s="1"/>
  <c r="Z13" i="1"/>
  <c r="AP13" i="1" s="1"/>
  <c r="Z16" i="1"/>
  <c r="AP16" i="1" s="1"/>
  <c r="Z20" i="1"/>
  <c r="AP20" i="1" s="1"/>
  <c r="Z23" i="1"/>
  <c r="AP23" i="1" s="1"/>
  <c r="Z26" i="1"/>
  <c r="AP26" i="1" s="1"/>
  <c r="D5" i="1"/>
  <c r="D6" i="1"/>
  <c r="D9" i="1"/>
  <c r="D12" i="1"/>
  <c r="D13" i="1"/>
  <c r="D16" i="1"/>
  <c r="D20" i="1"/>
  <c r="D23" i="1"/>
  <c r="D26" i="1"/>
  <c r="D4" i="1"/>
  <c r="AB4" i="1"/>
  <c r="Z4" i="1"/>
  <c r="AP4" i="1" s="1"/>
  <c r="AQ26" i="1"/>
  <c r="O26" i="1"/>
  <c r="AQ23" i="1"/>
  <c r="O23" i="1"/>
  <c r="AQ20" i="1"/>
  <c r="O20" i="1"/>
  <c r="AQ16" i="1"/>
  <c r="O16" i="1"/>
  <c r="AQ4" i="1"/>
  <c r="AQ13" i="1"/>
  <c r="O13" i="1"/>
  <c r="BI12" i="1"/>
  <c r="AG12" i="1" s="1"/>
  <c r="AQ12" i="1"/>
  <c r="O12" i="1"/>
  <c r="AQ9" i="1"/>
  <c r="O9" i="1"/>
  <c r="AQ6" i="1"/>
  <c r="O6" i="1"/>
  <c r="AR5" i="1"/>
  <c r="BP5" i="1" s="1"/>
  <c r="AQ5" i="1"/>
  <c r="O5" i="1"/>
  <c r="O4" i="1"/>
  <c r="AD5" i="1" l="1"/>
  <c r="AE5" i="1" s="1"/>
  <c r="AK26" i="1"/>
  <c r="AK5" i="1"/>
  <c r="AK23" i="1"/>
  <c r="AL16" i="1"/>
  <c r="AK4" i="1"/>
  <c r="AK13" i="1"/>
  <c r="AL12" i="1"/>
  <c r="AL20" i="1"/>
  <c r="AL9" i="1"/>
  <c r="AR6" i="1"/>
  <c r="BP6" i="1" s="1"/>
  <c r="AH5" i="1"/>
  <c r="AI5" i="1" s="1"/>
  <c r="AR16" i="1"/>
  <c r="BP16" i="1" s="1"/>
  <c r="AR23" i="1"/>
  <c r="BP23" i="1" s="1"/>
  <c r="AR12" i="1"/>
  <c r="BP12" i="1" s="1"/>
  <c r="AL6" i="1"/>
  <c r="AR26" i="1"/>
  <c r="BP26" i="1" s="1"/>
  <c r="AK20" i="1"/>
  <c r="AK16" i="1"/>
  <c r="AK12" i="1"/>
  <c r="AR20" i="1"/>
  <c r="BP20" i="1" s="1"/>
  <c r="AL13" i="1"/>
  <c r="AR13" i="1"/>
  <c r="BP13" i="1" s="1"/>
  <c r="AK9" i="1"/>
  <c r="AL26" i="1"/>
  <c r="AL5" i="1"/>
  <c r="AR9" i="1"/>
  <c r="BP9" i="1" s="1"/>
  <c r="AK6" i="1"/>
  <c r="AL23" i="1"/>
  <c r="AN4" i="1"/>
  <c r="AO4" i="1"/>
  <c r="AL4" i="1"/>
  <c r="AR4" i="1"/>
  <c r="BP4" i="1" s="1"/>
  <c r="AD13" i="1" l="1"/>
  <c r="AE13" i="1" s="1"/>
  <c r="AD12" i="1"/>
  <c r="AE12" i="1" s="1"/>
  <c r="AD23" i="1"/>
  <c r="AE23" i="1" s="1"/>
  <c r="AD4" i="1"/>
  <c r="AE4" i="1" s="1"/>
  <c r="AD26" i="1"/>
  <c r="AE26" i="1" s="1"/>
  <c r="AD20" i="1"/>
  <c r="AE20" i="1" s="1"/>
  <c r="AD16" i="1"/>
  <c r="AE16" i="1" s="1"/>
  <c r="AD9" i="1"/>
  <c r="AE9" i="1" s="1"/>
  <c r="AD6" i="1"/>
  <c r="AE6" i="1" s="1"/>
  <c r="AH9" i="1"/>
  <c r="AI9" i="1" s="1"/>
  <c r="AH13" i="1"/>
  <c r="AI13" i="1" s="1"/>
  <c r="AH23" i="1"/>
  <c r="AI23" i="1" s="1"/>
  <c r="AH6" i="1"/>
  <c r="AI6" i="1" s="1"/>
  <c r="AH26" i="1"/>
  <c r="AI26" i="1" s="1"/>
  <c r="AH4" i="1"/>
  <c r="AI4" i="1" s="1"/>
  <c r="AH16" i="1"/>
  <c r="AI16" i="1" s="1"/>
  <c r="AH20" i="1"/>
  <c r="AI20" i="1" s="1"/>
  <c r="AH12" i="1"/>
  <c r="AI12" i="1" s="1"/>
</calcChain>
</file>

<file path=xl/sharedStrings.xml><?xml version="1.0" encoding="utf-8"?>
<sst xmlns="http://schemas.openxmlformats.org/spreadsheetml/2006/main" count="1694" uniqueCount="325">
  <si>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</si>
  <si>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</si>
  <si>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</si>
  <si>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</si>
  <si>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</si>
  <si>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</si>
  <si>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</si>
  <si>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</si>
  <si>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</si>
  <si>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</si>
  <si>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</si>
  <si>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</si>
  <si>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</si>
  <si>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</si>
  <si>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</si>
  <si>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</si>
  <si>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</si>
  <si>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</si>
  <si>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</si>
  <si>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</si>
  <si>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</si>
  <si>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</si>
  <si>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</si>
  <si>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</si>
  <si>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</si>
  <si>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</si>
  <si>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</si>
  <si>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</si>
  <si>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</si>
  <si>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</si>
  <si>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</si>
  <si>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</si>
  <si>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</si>
  <si>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</si>
  <si>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</si>
  <si>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</si>
  <si>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</si>
  <si>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</si>
  <si>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</si>
  <si>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</si>
  <si>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</si>
  <si>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</si>
  <si>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</si>
  <si>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</si>
  <si>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</si>
  <si>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</si>
  <si>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</si>
  <si>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</si>
  <si>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</si>
  <si>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</si>
  <si>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</si>
  <si>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</si>
  <si>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</si>
  <si>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</si>
  <si>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</si>
  <si>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</si>
  <si>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</si>
  <si>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</si>
  <si>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</si>
  <si>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</si>
  <si>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</si>
  <si>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</si>
  <si>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</si>
  <si>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</si>
  <si>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J465WK</t>
  </si>
  <si>
    <t>J470WK</t>
  </si>
  <si>
    <t>J473WK</t>
  </si>
  <si>
    <t>J471WK</t>
  </si>
  <si>
    <t>J451WK</t>
  </si>
  <si>
    <t>J462WK</t>
  </si>
  <si>
    <t>J4430X</t>
  </si>
  <si>
    <t>J464WK</t>
  </si>
  <si>
    <t>J463WK</t>
  </si>
  <si>
    <t>J452WK</t>
  </si>
  <si>
    <t>J4428X</t>
  </si>
  <si>
    <t>J443WK</t>
  </si>
  <si>
    <t>J458WK</t>
  </si>
  <si>
    <t>J456WK</t>
  </si>
  <si>
    <t>J450WK</t>
  </si>
  <si>
    <t>J468WK</t>
  </si>
  <si>
    <t>J461WK</t>
  </si>
  <si>
    <t>J474WK</t>
  </si>
  <si>
    <t>J472WK</t>
  </si>
  <si>
    <t>J467WK</t>
  </si>
  <si>
    <t>J444WK</t>
  </si>
  <si>
    <t>J445WK</t>
  </si>
  <si>
    <t>J475WK</t>
  </si>
  <si>
    <t>J449WK</t>
  </si>
  <si>
    <t>J476WK</t>
  </si>
  <si>
    <t>J447WK</t>
  </si>
  <si>
    <t>J477WK</t>
  </si>
  <si>
    <t>J448WK</t>
  </si>
  <si>
    <t>J457WK</t>
  </si>
  <si>
    <t>J460WK</t>
  </si>
  <si>
    <t>J454WK</t>
  </si>
  <si>
    <t>J453WK</t>
  </si>
  <si>
    <t>J459WK</t>
  </si>
  <si>
    <t>J469WK</t>
  </si>
  <si>
    <t>紺屋商事/LD03 規格袋 1号 100枚/00722001</t>
  </si>
  <si>
    <t>紺屋商事/LD03 規格袋 2号 100枚/00722002</t>
  </si>
  <si>
    <t>紺屋商事/LD03 規格袋 3号 100枚/00722003</t>
  </si>
  <si>
    <t>紺屋商事/LD03 規格袋 4号 100枚/00722004</t>
  </si>
  <si>
    <t>紺屋商事/LD03 規格袋 5号 100枚/00722005</t>
  </si>
  <si>
    <t>紺屋商事/LD03 規格袋 6号 100枚/00722006</t>
  </si>
  <si>
    <t>紺屋商事/LD03 規格袋 7号 100枚入</t>
  </si>
  <si>
    <t>紺屋商事/LD03 規格袋 8号 100枚/00722008</t>
  </si>
  <si>
    <t>紺屋商事/LD03 規格袋 9号 100枚/00722009</t>
  </si>
  <si>
    <t>紺屋商事/LD03 規格袋 10号 100枚/00722010</t>
  </si>
  <si>
    <t>紺屋商事/LD03 規格袋 11号 100枚入</t>
  </si>
  <si>
    <t>紺屋商事/LD03 規格袋 12号 100枚/00722012</t>
  </si>
  <si>
    <t>紺屋商事/LD03 規格袋 13号 100枚/00722013</t>
  </si>
  <si>
    <t>紺屋商事/LD03 規格袋 14号 100枚/00722014</t>
  </si>
  <si>
    <t>紺屋商事/LD03 規格袋 15号 100枚/00722015</t>
  </si>
  <si>
    <t>紺屋商事/LD03 規格袋 16号 100枚/00722016</t>
  </si>
  <si>
    <t>紺屋商事/LD03 規格袋 17号 100枚/00722017</t>
  </si>
  <si>
    <t>紺屋商事/LD03 規格袋 18号 100枚/00722018</t>
  </si>
  <si>
    <t>紺屋商事/LD03 規格袋 19号 100枚/00722019</t>
  </si>
  <si>
    <t>紺屋商事/LD03 規格袋 20号 100枚/00722020</t>
  </si>
  <si>
    <t>紺屋商事/ﾚｼﾞ袋乳白東8西25号 100枚/00722108</t>
  </si>
  <si>
    <t>紺屋商事/ﾚｼﾞ袋乳白東12西30号 100枚/00722112</t>
  </si>
  <si>
    <t>紺屋商事/ﾚｼﾞ袋乳白東16号 100枚/00722116</t>
  </si>
  <si>
    <t>紺屋商事/ﾚｼﾞ袋乳白東20西35号 100枚/00722120</t>
  </si>
  <si>
    <t>紺屋商事/ﾚｼﾞ袋乳白東25号 100枚/00722125</t>
  </si>
  <si>
    <t>紺屋商事/ﾚｼﾞ袋乳白東30西40号 100枚/00722130</t>
  </si>
  <si>
    <t>紺屋商事/ﾚｼﾞ袋乳白東35号 100枚/00722135</t>
  </si>
  <si>
    <t>紺屋商事/ﾚｼﾞ袋乳白東45西45号 100枚/00722145</t>
  </si>
  <si>
    <t>紺屋商事/HD1 紐付規格袋 8号 100枚入/00722308</t>
  </si>
  <si>
    <t>紺屋商事/HD1 紐付規格袋 9号 100枚入/00722309</t>
  </si>
  <si>
    <t>紺屋商事/HD1 紐付規格袋 10号 100枚入/00722310</t>
  </si>
  <si>
    <t>紺屋商事/HD1 紐付規格袋 11号 100枚入/00722311</t>
  </si>
  <si>
    <t>紺屋商事/HD1 紐付規格袋 12号 100枚入/00722312</t>
  </si>
  <si>
    <t>紺屋商事/HD1 紐付規格袋 13号 100枚入/00722313</t>
  </si>
  <si>
    <t>紺屋商事/HD1 紐付規格袋 14号 100枚入/00722314</t>
  </si>
  <si>
    <t>紺屋商事/HD1 紐付規格袋 15号 100枚入/00722315</t>
  </si>
  <si>
    <t>紺屋商事/HD1 紐付規格袋 16号 100枚入/00722316</t>
  </si>
  <si>
    <t>紺屋商事/ﾚｼﾞ袋透明東8西25号 100枚/00722408</t>
  </si>
  <si>
    <t>紺屋商事/ﾚｼﾞ袋透明東12西30号 100枚/00722412</t>
  </si>
  <si>
    <t>紺屋商事/ﾚｼﾞ袋透明東20西35号 100枚/00722420</t>
  </si>
  <si>
    <t>紺屋商事/ﾚｼﾞ袋透明東30西40号 100枚/00722430</t>
  </si>
  <si>
    <t>紺屋商事/ﾚｼﾞ袋透明東45西45号 100枚/00722445</t>
  </si>
  <si>
    <t>紺屋商事/ﾚｼﾞ袋透明東60西50号 100枚/00722460</t>
  </si>
  <si>
    <t>紺屋商事/ﾊﾞｲｵﾏｽ25%配合ﾚｼﾞ袋(乳白) 8号 100枚</t>
  </si>
  <si>
    <t>紺屋商事/ﾊﾞｲｵﾏｽ25%配合ﾚｼﾞ袋(乳白) 12号 100枚</t>
  </si>
  <si>
    <t>紺屋商事/ﾊﾞｲｵﾏｽ25%配合ﾚｼﾞ袋(乳白) 20号 100枚</t>
  </si>
  <si>
    <t>紺屋商事/ﾊﾞｲｵﾏｽ25%配合ﾚｼﾞ袋(乳白) 30号 100枚</t>
  </si>
  <si>
    <t>紺屋商事/ﾊﾞｲｵﾏｽ25%配合ﾚｼﾞ袋(乳白) 45号 100枚</t>
  </si>
  <si>
    <t>紺屋商事/ﾊﾞｲｵﾏｽ25%配合ﾚｼﾞ袋(乳白) 60号 100枚</t>
  </si>
  <si>
    <t>ｻﾝｷｮｳﾌﾟﾗﾃｯｸ/規格袋 9号 0.05mm厚 50枚入</t>
  </si>
  <si>
    <t>ｻﾝｷｮｳﾌﾟﾗﾃｯｸ/規格袋 10号 0.05mm厚 50枚入</t>
  </si>
  <si>
    <t>ｻﾝｷｮｳﾌﾟﾗﾃｯｸ/規格袋 11号 0.05mm厚 50枚入</t>
  </si>
  <si>
    <t>ｻﾝｷｮｳﾌﾟﾗﾃｯｸ/規格袋 12号 0.05mm厚 50枚入</t>
  </si>
  <si>
    <t>ｻﾝｷｮｳﾌﾟﾗﾃｯｸ/規格袋 14号 0.05mm厚 50枚入</t>
  </si>
  <si>
    <t>5759AK</t>
  </si>
  <si>
    <t>5760AK</t>
  </si>
  <si>
    <t>J002XA</t>
  </si>
  <si>
    <t>J003XA</t>
  </si>
  <si>
    <t>J0092R</t>
  </si>
  <si>
    <t>J0091R</t>
  </si>
  <si>
    <t>J0095R</t>
  </si>
  <si>
    <t>J0202X</t>
  </si>
  <si>
    <t>J009XA</t>
  </si>
  <si>
    <t>J010XA</t>
  </si>
  <si>
    <t>J0096R</t>
  </si>
  <si>
    <t>J0203X</t>
  </si>
  <si>
    <t>J0099R</t>
  </si>
  <si>
    <t>J0100R</t>
  </si>
  <si>
    <t>J0101R</t>
  </si>
  <si>
    <t>J0102R</t>
  </si>
  <si>
    <t>J011XA</t>
  </si>
  <si>
    <t>J013XA</t>
  </si>
  <si>
    <t>J012XA</t>
  </si>
  <si>
    <t>J000XA</t>
  </si>
  <si>
    <t>J001XA</t>
  </si>
  <si>
    <t>J0740S</t>
  </si>
  <si>
    <t>6101AR</t>
  </si>
  <si>
    <t>J0741S</t>
  </si>
  <si>
    <t>6102AR</t>
  </si>
  <si>
    <t>J4431X</t>
  </si>
  <si>
    <t>J0093R</t>
  </si>
  <si>
    <t>J0094R</t>
  </si>
  <si>
    <t>J0829Y</t>
  </si>
  <si>
    <t>J0830Y</t>
  </si>
  <si>
    <t>J4429X</t>
  </si>
  <si>
    <t>J544WK</t>
  </si>
  <si>
    <t>200922代替)紺屋商事/LD03 規格袋 3号 100枚 20袋</t>
  </si>
  <si>
    <t>200919代替)紺屋商事/LD03 規格袋 3号 100枚/00722003</t>
  </si>
  <si>
    <t>200933代替)紺屋商事/LD03 規格袋 4号 100枚×20袋</t>
  </si>
  <si>
    <t>200923代替)紺屋商事/LD03 規格袋 4号 100枚</t>
  </si>
  <si>
    <t>200945代替)紺屋商事/LD03 規格袋 6号 100枚×10袋</t>
  </si>
  <si>
    <t>200942代)紺屋商事/LD03 規格袋 6号 100枚入/00722006</t>
  </si>
  <si>
    <t>200978代替)紺屋商事/LD03 規格袋 8号 100枚×10袋</t>
  </si>
  <si>
    <t>200975代)紺屋商事/LD03 規格袋 8号 100枚入/00722008</t>
  </si>
  <si>
    <t>201014代替)紺屋商事/LD03 規格袋 9号 100枚×10袋</t>
  </si>
  <si>
    <t>200981代替)紺屋商事/LD03 規格袋 9号 100枚入</t>
  </si>
  <si>
    <t>201053代替)紺屋商事/LD03 規格袋 12号 100枚×10袋</t>
  </si>
  <si>
    <t>201044代替)紺屋商事/LD03 規格袋 12号 100枚</t>
  </si>
  <si>
    <t>201247代替)紺屋商事/LD03 規格袋 13号 100枚×5袋</t>
  </si>
  <si>
    <t>201172代替)紺屋商事/LD03 規格袋 13号 100枚入</t>
  </si>
  <si>
    <t>201280代替)紺屋商事/LD03 規格袋 14号 100枚×5袋</t>
  </si>
  <si>
    <t>201274代替)紺屋商事/LD03 規格袋 14号 100枚入</t>
  </si>
  <si>
    <t>201316代替)紺屋商事/LD03 規格袋 16号 100枚×5袋</t>
  </si>
  <si>
    <t>201312代替)紺屋商事/LD03 規格袋 16号 100枚</t>
  </si>
  <si>
    <t>201353代替)紺屋商事/LD03 規格袋 16号 100枚×20袋</t>
  </si>
  <si>
    <t>201409代替)紺屋商事/LD03 規格袋 18号 100枚×5袋</t>
  </si>
  <si>
    <t>201394代替)紺屋商事/LD03 規格袋 18号 100枚</t>
  </si>
  <si>
    <t>201747代)紺屋商事/規格ﾚｼﾞ袋(乳白) 35号 100枚×10袋</t>
  </si>
  <si>
    <t>201736代)紺屋商事/規格ﾚｼﾞ袋(乳白) 35号 100枚</t>
  </si>
  <si>
    <t>201451代替)紺屋商事/ﾚｼﾞ袋透明東8西25号 100枚×20袋</t>
  </si>
  <si>
    <t>201450代替)紺屋商事/ﾚｼﾞ袋透明東8西25号 100枚/00722</t>
  </si>
  <si>
    <t>紺屋商事/ﾊﾞｲｵﾏｽ25%配合ﾚｼﾞ袋(乳白) 45号 100枚×20袋</t>
  </si>
  <si>
    <t>紺屋商事/LD03 規格袋 7号 100枚×10袋</t>
  </si>
  <si>
    <t>200961代替)紺屋商事/LD03 規格袋 7号 100枚×10袋</t>
  </si>
  <si>
    <t>200960代)紺屋商事/LD03 規格袋 7号 100枚入/00722007</t>
  </si>
  <si>
    <t>紺屋商事/LD03 規格袋 11号 100枚×10袋</t>
  </si>
  <si>
    <t>201033代替)紺屋商事/LD03 規格袋 11号 100枚×10袋</t>
  </si>
  <si>
    <t>201030代替)紺屋商事/LD03 規格袋 11号 100枚入</t>
  </si>
  <si>
    <t>紺屋商事/HD1 紐付規格袋 8号 100枚×50袋/00722308</t>
  </si>
  <si>
    <t>紺屋商事/HD1 紐付規格袋 9号 100枚×50袋/00722309</t>
  </si>
  <si>
    <t>紺屋商事/HD1 紐付規格袋 10号 100枚×50袋/00722310</t>
  </si>
  <si>
    <t>紺屋商事/HD1 紐付規格袋 11号 100枚×50袋/00722311</t>
  </si>
  <si>
    <t>紺屋商事/HD1 紐付規格袋 12号 100枚×30袋/00722312</t>
  </si>
  <si>
    <t>紺屋商事/HD1 紐付規格袋 13号 100枚×25袋/00722313</t>
  </si>
  <si>
    <t>紺屋商事/HD1 紐付規格袋 14号 100枚×25袋/00722314</t>
  </si>
  <si>
    <t>紺屋商事/HD1 紐付規格袋 15号 100枚×15袋/00722315</t>
  </si>
  <si>
    <t>紺屋商事/HD1 紐付規格袋 16号 100枚×15袋/00722316</t>
  </si>
  <si>
    <t>紺屋商事/ﾚｼﾞ袋透明東60西50号 100枚×10P/00722460</t>
  </si>
  <si>
    <t>紺屋商事/ﾊﾞｲｵﾏｽ25%配合ﾚｼﾞ袋(乳白) 8号 100枚×30袋</t>
  </si>
  <si>
    <t>紺屋商事/ﾊﾞｲｵﾏｽ25%配合ﾚｼﾞ袋(乳白) 12号 100枚×25袋</t>
  </si>
  <si>
    <t>紺屋商事/ﾊﾞｲｵﾏｽ25%配合ﾚｼﾞ袋(乳白) 20号 100枚×20袋</t>
  </si>
  <si>
    <t>紺屋商事/ﾊﾞｲｵﾏｽ25%配合ﾚｼﾞ袋(乳白) 30号 100枚×20袋</t>
  </si>
  <si>
    <t>ｻﾝｷｮｳﾌﾟﾗﾃｯｸ/規格袋 9号 0.05mm厚 50枚入×10袋</t>
  </si>
  <si>
    <t>ｻﾝｷｮｳﾌﾟﾗﾃｯｸ/規格袋 10号 0.05mm厚 50枚入×10袋</t>
  </si>
  <si>
    <t>ｻﾝｷｮｳﾌﾟﾗﾃｯｸ/規格袋 11号 0.05mm厚 50枚入×10袋</t>
  </si>
  <si>
    <t>ｻﾝｷｮｳﾌﾟﾗﾃｯｸ/規格袋 12号 0.05mm厚 50枚入×10袋</t>
  </si>
  <si>
    <t>ｻﾝｷｮｳﾌﾟﾗﾃｯｸ/規格袋 14号 0.05mm厚 50枚入×10袋</t>
  </si>
  <si>
    <t>34/569</t>
  </si>
  <si>
    <t>34/568</t>
  </si>
  <si>
    <t>34/570</t>
  </si>
  <si>
    <t>-</t>
  </si>
  <si>
    <t>紺屋商事 PE規格ポリ袋 03透明 1号 03×70×100(100枚/冊) 00722001 1パック(100枚) 64-9608-30（直送品）</t>
  </si>
  <si>
    <t>紺屋商事 PE規格ポリ袋 03透明 2号 03×80×120(100枚/冊) 00722002 1パック(100枚) 64-9608-31（直送品）</t>
  </si>
  <si>
    <t>紺屋商事 PE規格ポリ袋 03透明 3号 03×80×150(100枚/冊) 00722003 1パック(100枚) 64-9608-32（直送品）</t>
  </si>
  <si>
    <t>紺屋商事 PE規格ポリ袋 03透明 4号 03×90×170(100枚/冊) 00722004 1パック(100枚) 64-9608-33（直送品）</t>
  </si>
  <si>
    <t>紺屋商事 PE規格ポリ袋 03透明 5号 03×100×190(100枚/冊) 00722005 1パック(100枚) 64-9608-34（直送品）</t>
  </si>
  <si>
    <t>紺屋商事 PE規格ポリ袋 03透明 6号 03×100×210(100枚/冊) 00722006 1パック(100枚) 64-9608-35（直送品）</t>
  </si>
  <si>
    <t>紺屋商事 PE規格ポリ袋 03透明 7号 03×120×230(100枚/冊) 00722007 1パック(100枚) 64-9608-36（直送品）</t>
  </si>
  <si>
    <t>紺屋商事 PE規格ポリ袋 03透明 8号 03×130×250(100枚/冊) 00722008 1パック(100枚) 64-9608-37（直送品）</t>
  </si>
  <si>
    <t>紺屋商事 PE規格ポリ袋 03透明 9号 03×150×250(100枚/冊) 00722009 1パック(100枚) 64-9608-38（直送品）</t>
  </si>
  <si>
    <t>紺屋商事 PE規格ポリ袋 03透明 10号 03×180×270(100枚/冊) 00722010 1パック(100枚)（直送品）</t>
  </si>
  <si>
    <t>紺屋商事 PE規格ポリ袋 03透明 11号 03×200×300(100枚/冊) 00722011 1パック(100枚)（直送品）</t>
  </si>
  <si>
    <t>紺屋商事 PE規格ポリ袋 03透明 12号 03×230×340(100枚/冊) 00722012 1パック(100枚)（直送品）</t>
  </si>
  <si>
    <t>紺屋商事 PE規格ポリ袋 03透明 13号 03×260×380(100枚/冊) 00722013 1パック(100枚)（直送品）</t>
  </si>
  <si>
    <t>紺屋商事 PE規格ポリ袋 03透明 14号 03×280×410(100枚/冊) 00722014 1パック(100枚)（直送品）</t>
  </si>
  <si>
    <t>紺屋商事 PE規格ポリ袋 03透明 15号 03×300×450(100枚/冊) 00722015 1パック(100枚)（直送品）</t>
  </si>
  <si>
    <t>紺屋商事 PE規格ポリ袋 03透明 16号 03×340×480(100枚/冊) 00722016 1パック(100枚)（直送品）</t>
  </si>
  <si>
    <t>紺屋商事 PE規格ポリ袋 03透明 17号 03×360×500(100枚/冊) 00722017 1パック(100枚)（直送品）</t>
  </si>
  <si>
    <t>紺屋商事 PE規格ポリ袋 03透明 18号 03×380×530(100枚/冊) 00722018 1パック(100枚)（直送品）</t>
  </si>
  <si>
    <t>紺屋商事 PE規格ポリ袋 03透明 19号 03×400×550(100枚/冊) 00722019 1パック(100枚)（直送品）</t>
  </si>
  <si>
    <t>紺屋商事 PE規格ポリ袋 03透明 20号 03×460×600(100枚/冊) 00722020 1パック(100枚)（直送品）</t>
  </si>
  <si>
    <t>紺屋商事 レジ袋乳白 東8西25号 160(260)×360(100枚/冊)) 00722108 1パック(100枚) 64-9609-83（直送品）</t>
  </si>
  <si>
    <t>紺屋商事 レジ袋乳白 東12西30号 180(300)×410(100枚/冊) 00722112 1パック(100枚) 64-9609-84（直送品）</t>
  </si>
  <si>
    <t>紺屋商事 レジ袋乳白 東16号 190(310)×460(100枚/冊) 00722116 1パック(100枚) 64-9609-85（直送品）</t>
  </si>
  <si>
    <t>紺屋商事 レジ袋乳白 東20西35号 210(340)×460(100枚/冊) 00722120 1パック(100枚) 64-9609-86（直送品）</t>
  </si>
  <si>
    <t>紺屋商事 レジ袋乳白 東25号 210(340)×480(100枚/冊) 00722125 1パック(100枚) 64-9609-87（直送品）</t>
  </si>
  <si>
    <t>紺屋商事 レジ袋乳白 東30西40号 260(390)×480(100枚/冊) 00722130 1パック(100枚) 64-9609-88（直送品）</t>
  </si>
  <si>
    <t>紺屋商事 レジ袋乳白 東35号 260(390)×530(100枚/冊) 00722135 1パック(100枚) 64-9609-89（直送品）</t>
  </si>
  <si>
    <t>紺屋商事 レジ袋乳白 東45西45号 300(440)×530(100枚/冊) 00722145 1パック(100枚) 64-9609-90（直送品）</t>
  </si>
  <si>
    <t>紺屋商事 レジ袋半透明 東8西25号 160(260)×360(100枚/冊) 00722408 1パック(100枚) 64-9609-99（直送品）</t>
  </si>
  <si>
    <t>紺屋商事 レジ袋半透明 東12西30号 180(300)×410 00722212 1パック(100枚) 64-9610-01</t>
  </si>
  <si>
    <t>紺屋商事 レジ袋 半透明 東30西40号 260(390)×480 100枚入 00722430 1パック(100枚) 65-9613-31（直送品）</t>
  </si>
  <si>
    <t>紺屋商事 バイオマスレジ袋乳白 E8W25 (100枚/冊) 0.013×160(260)×360 01042008 1パック(100枚)（直送品）</t>
  </si>
  <si>
    <t>紺屋商事 バイオマスレジ袋乳白 E12W30 (100枚/冊) 0.013×180(300)×410 01042012 1パック(100枚)（直送品）</t>
  </si>
  <si>
    <t>紺屋商事 バイオマスレジ袋乳白 E20W35 (100枚/冊) 0.014×210(340)×460 01042020 1パック(100枚)（直送品）</t>
  </si>
  <si>
    <t>紺屋商事 バイオマスレジ袋乳白 E45W45 (100枚/冊) 0.016×300(440)×530 01042045 1パック(100枚)（直送品）</t>
  </si>
  <si>
    <t>紺屋商事 バイオマスレジ袋乳白 E60W50 (100枚/冊) 0.022×350(500)×600 01042060 1パック(100枚)（直送品）</t>
  </si>
  <si>
    <t>サンキョウプラテック 規格袋11号LDPE 0.050mm厚 透明 FE-11 1ケース(2500枚:50枚（直送品）</t>
  </si>
  <si>
    <t>サンキョウプラテック 規格袋12号LDPE 0.050mm厚 透明 FE-12 1ケース(2000枚:50枚（直送品）</t>
  </si>
  <si>
    <t>1パック(100枚)</t>
  </si>
  <si>
    <t>KJ77588</t>
  </si>
  <si>
    <t>KJ77589</t>
  </si>
  <si>
    <t>KJ77590</t>
  </si>
  <si>
    <t>KJ77591</t>
  </si>
  <si>
    <t>KJ77592</t>
  </si>
  <si>
    <t>KJ77593</t>
  </si>
  <si>
    <t>KJ77544</t>
  </si>
  <si>
    <t>KJ77545</t>
  </si>
  <si>
    <t>KJ77546</t>
  </si>
  <si>
    <t>KJ77547</t>
  </si>
  <si>
    <t>KJ77548</t>
  </si>
  <si>
    <t>KJ77549</t>
  </si>
  <si>
    <t>KJ77550</t>
  </si>
  <si>
    <t>KJ77551</t>
  </si>
  <si>
    <t>KJ77594</t>
  </si>
  <si>
    <t>KJ77595</t>
  </si>
  <si>
    <t>KJ77597</t>
  </si>
  <si>
    <t>KJ77596</t>
  </si>
  <si>
    <t>KJ77598</t>
  </si>
  <si>
    <t>KJ77669</t>
  </si>
  <si>
    <t>KJ77670</t>
  </si>
  <si>
    <t>KJ77671</t>
  </si>
  <si>
    <t>KJ77673</t>
  </si>
  <si>
    <t>KJ77672</t>
  </si>
  <si>
    <t>KJ77674</t>
  </si>
  <si>
    <t>KJ77675</t>
  </si>
  <si>
    <t>KJ77677</t>
  </si>
  <si>
    <t>KJ77685</t>
  </si>
  <si>
    <t>KJ77686</t>
  </si>
  <si>
    <t>RE82600</t>
  </si>
  <si>
    <t>KJ77557</t>
  </si>
  <si>
    <t>KJ77558</t>
  </si>
  <si>
    <t>KJ77559</t>
  </si>
  <si>
    <t>KJ77561</t>
  </si>
  <si>
    <t>KJ77562</t>
  </si>
  <si>
    <t>UE54835</t>
  </si>
  <si>
    <t>1ケース（2500枚</t>
  </si>
  <si>
    <t>UE54836</t>
  </si>
  <si>
    <t>1ケース（2000枚</t>
  </si>
  <si>
    <t>-</t>
    <phoneticPr fontId="2"/>
  </si>
  <si>
    <t>5月
たの</t>
    <rPh sb="1" eb="2">
      <t>ガツ</t>
    </rPh>
    <phoneticPr fontId="2"/>
  </si>
  <si>
    <t>5月
カウ</t>
    <rPh sb="1" eb="2">
      <t>ガツ</t>
    </rPh>
    <phoneticPr fontId="2"/>
  </si>
  <si>
    <t>カウ
ｽﾗｲﾄﾞ</t>
    <phoneticPr fontId="2"/>
  </si>
  <si>
    <t>6月売価</t>
    <rPh sb="1" eb="2">
      <t>ガツ</t>
    </rPh>
    <rPh sb="2" eb="4">
      <t>バイカ</t>
    </rPh>
    <phoneticPr fontId="2"/>
  </si>
  <si>
    <t>6月
カウ</t>
    <rPh sb="1" eb="2">
      <t>ガツ</t>
    </rPh>
    <phoneticPr fontId="2"/>
  </si>
  <si>
    <t>PB逆転注意</t>
    <rPh sb="2" eb="4">
      <t>ギャクテン</t>
    </rPh>
    <rPh sb="4" eb="6">
      <t>チュウイ</t>
    </rPh>
    <phoneticPr fontId="2"/>
  </si>
  <si>
    <t>KJ77587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</si>
</sst>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3" borderId="10" xfId="0" applyFill="1" applyBorder="1">
      <alignment vertical="center"/>
    </xf>
    <xf numFmtId="0" fontId="0" fillId="3" borderId="4" xfId="0" applyFill="1" applyBorder="1">
      <alignment vertical="center"/>
    </xf>
    <xf numFmtId="0" fontId="0" fillId="0" borderId="22" xfId="0" applyBorder="1">
      <alignment vertical="center"/>
    </xf>
    <xf numFmtId="0" fontId="0" fillId="6" borderId="3" xfId="0" applyFill="1" applyBorder="1">
      <alignment vertical="center"/>
    </xf>
    <xf numFmtId="0" fontId="0" fillId="6" borderId="4" xfId="0" applyFill="1" applyBorder="1">
      <alignment vertical="center"/>
    </xf>
    <xf numFmtId="0" fontId="0" fillId="0" borderId="1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108"/>
  <sheetViews>
    <sheetView tabSelected="1" zoomScale="90" zoomScaleNormal="90" workbookViewId="0">
      <pane xSplit="7" ySplit="5" topLeftCell="L6" activePane="bottomRight" state="frozen"/>
      <selection pane="topRight" activeCell="G1" sqref="G1"/>
      <selection pane="bottomLeft" activeCell="A5" sqref="A5"/>
      <selection pane="bottomRight" activeCell="AJ5" sqref="AJ5"/>
    </sheetView>
  </sheetViews>
  <sheetFormatPr defaultRowHeight="18.75" outlineLevelCol="1" x14ac:dyDescent="0.4"/>
  <cols>
    <col min="1" max="1" width="4.625" customWidth="1"/>
    <col min="2" max="2" width="5.75" customWidth="1"/>
    <col min="3" max="5" width="7.2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5" width="7.625" customWidth="1"/>
    <col min="16" max="16" width="5.125" customWidth="1"/>
    <col min="17" max="24" width="7.625" hidden="1" customWidth="1" outlineLevel="1"/>
    <col min="25" max="25" width="6.5" customWidth="1" collapsed="1"/>
    <col min="26" max="26" width="6.5" customWidth="1"/>
    <col min="27" max="28" width="7.625" customWidth="1"/>
    <col min="29" max="29" width="4.375" customWidth="1" collapsed="1"/>
    <col min="30" max="30" width="7.25" customWidth="1"/>
    <col min="31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customWidth="1" outlineLevel="1"/>
    <col min="54" max="57" width="7.625" customWidth="1"/>
    <col min="58" max="59" width="9" customWidth="1"/>
    <col min="60" max="68" width="7.625" customWidth="1"/>
  </cols>
  <sheetData>
    <row r="1" spans="1:69" x14ac:dyDescent="0.4">
      <c r="C1" s="28" t="s">
        <v>49</v>
      </c>
      <c r="F1" s="38" t="s">
        <v>323</v>
      </c>
      <c r="Y1" s="42" t="s">
        <v>46</v>
      </c>
      <c r="Z1" s="43"/>
      <c r="AA1" s="43"/>
      <c r="AB1" s="44"/>
    </row>
    <row r="2" spans="1:69" x14ac:dyDescent="0.4">
      <c r="C2" s="8" t="s">
        <v>33</v>
      </c>
      <c r="D2" s="9" t="s">
        <v>34</v>
      </c>
      <c r="E2" s="9" t="s">
        <v>35</v>
      </c>
      <c r="F2" s="10"/>
      <c r="G2" s="10"/>
      <c r="H2" s="30"/>
      <c r="I2" s="30"/>
      <c r="J2" s="39" t="s">
        <v>36</v>
      </c>
      <c r="K2" s="41"/>
      <c r="L2" s="39" t="s">
        <v>2</v>
      </c>
      <c r="M2" s="40"/>
      <c r="N2" s="40"/>
      <c r="O2" s="41"/>
      <c r="P2" s="11"/>
      <c r="Q2" s="29"/>
      <c r="R2" s="29"/>
      <c r="S2" s="29"/>
      <c r="T2" s="29"/>
      <c r="U2" s="29"/>
      <c r="V2" s="29"/>
      <c r="W2" s="29"/>
      <c r="X2" s="29"/>
      <c r="Y2" s="22"/>
      <c r="Z2" s="23" t="s">
        <v>39</v>
      </c>
      <c r="AA2" s="23"/>
      <c r="AB2" s="24" t="s">
        <v>39</v>
      </c>
      <c r="AC2" s="10"/>
      <c r="AD2" s="9" t="s">
        <v>44</v>
      </c>
      <c r="AE2" s="11"/>
      <c r="AF2" s="11"/>
      <c r="AG2" s="11"/>
      <c r="AH2" s="11"/>
      <c r="AI2" s="11"/>
      <c r="AJ2" s="21" t="s">
        <v>47</v>
      </c>
      <c r="AK2" s="11"/>
      <c r="AL2" s="11"/>
      <c r="AM2" s="26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J2">
        <v>14</v>
      </c>
      <c r="BK2">
        <v>28</v>
      </c>
    </row>
    <row r="3" spans="1:69" ht="75" x14ac:dyDescent="0.4">
      <c r="A3" s="1" t="s">
        <v>57</v>
      </c>
      <c r="B3" s="1" t="s">
        <v>63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59</v>
      </c>
      <c r="I3" s="12" t="s">
        <v>60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53</v>
      </c>
      <c r="Q3" s="12" t="s">
        <v>20</v>
      </c>
      <c r="R3" s="12" t="s">
        <v>21</v>
      </c>
      <c r="S3" s="12" t="s">
        <v>54</v>
      </c>
      <c r="T3" s="12" t="s">
        <v>23</v>
      </c>
      <c r="U3" s="12" t="s">
        <v>24</v>
      </c>
      <c r="V3" s="12" t="s">
        <v>55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19" t="s">
        <v>17</v>
      </c>
      <c r="AE3" s="2" t="s">
        <v>16</v>
      </c>
      <c r="AF3" s="2" t="s">
        <v>50</v>
      </c>
      <c r="AG3" s="12" t="s">
        <v>45</v>
      </c>
      <c r="AH3" s="12" t="s">
        <v>61</v>
      </c>
      <c r="AI3" s="2" t="s">
        <v>16</v>
      </c>
      <c r="AJ3" s="13" t="s">
        <v>37</v>
      </c>
      <c r="AK3" s="2" t="s">
        <v>16</v>
      </c>
      <c r="AL3" s="2" t="s">
        <v>38</v>
      </c>
      <c r="AM3" s="25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48</v>
      </c>
      <c r="BG3" s="2" t="s">
        <v>62</v>
      </c>
      <c r="BH3" s="2" t="s">
        <v>321</v>
      </c>
      <c r="BI3" s="2" t="s">
        <v>15</v>
      </c>
      <c r="BJ3" s="17" t="s">
        <v>51</v>
      </c>
      <c r="BK3" s="17" t="s">
        <v>52</v>
      </c>
      <c r="BL3" s="15" t="s">
        <v>58</v>
      </c>
      <c r="BM3" s="36" t="s">
        <v>318</v>
      </c>
      <c r="BN3" s="37" t="s">
        <v>319</v>
      </c>
      <c r="BO3" s="37" t="s">
        <v>322</v>
      </c>
      <c r="BP3" s="37" t="s">
        <v>320</v>
      </c>
      <c r="BQ3" t="s">
        <v>56</v>
      </c>
    </row>
    <row r="4" spans="1:69" x14ac:dyDescent="0.4">
      <c r="A4" s="3">
        <v>1</v>
      </c>
      <c r="B4" s="3">
        <v>1</v>
      </c>
      <c r="C4" s="4" t="s">
        <v>64</v>
      </c>
      <c r="D4" s="4" t="str">
        <f t="shared" ref="D4:D35" si="0">TEXT(C4,"000000")</f>
        <v>J465WK</v>
      </c>
      <c r="E4" s="4" t="s">
        <v>64</v>
      </c>
      <c r="F4" s="4" t="s">
        <v>98</v>
      </c>
      <c r="G4" s="5">
        <v>4580417610017</v>
      </c>
      <c r="H4" s="5"/>
      <c r="I4" s="5"/>
      <c r="J4" s="5">
        <v>1</v>
      </c>
      <c r="K4" s="5">
        <v>1</v>
      </c>
      <c r="L4" s="4">
        <v>0</v>
      </c>
      <c r="M4" s="4">
        <v>83</v>
      </c>
      <c r="N4" s="4">
        <v>48</v>
      </c>
      <c r="O4" s="6">
        <f t="shared" ref="O4:O35" si="1">1-N4/M4</f>
        <v>0.42168674698795183</v>
      </c>
      <c r="P4" s="4" t="s">
        <v>238</v>
      </c>
      <c r="Q4" s="4" t="s">
        <v>238</v>
      </c>
      <c r="R4" s="4" t="s">
        <v>238</v>
      </c>
      <c r="S4" s="4" t="s">
        <v>238</v>
      </c>
      <c r="T4" s="4" t="s">
        <v>238</v>
      </c>
      <c r="U4" s="4" t="s">
        <v>238</v>
      </c>
      <c r="V4" s="4" t="s">
        <v>238</v>
      </c>
      <c r="W4" s="4" t="s">
        <v>238</v>
      </c>
      <c r="X4" s="4" t="s">
        <v>238</v>
      </c>
      <c r="Y4" s="4">
        <v>0</v>
      </c>
      <c r="Z4" s="4">
        <f t="shared" ref="Z4:Z35" si="2">IF(AC4="",Y4,Y4*AC4)</f>
        <v>0</v>
      </c>
      <c r="AA4" s="4">
        <v>55</v>
      </c>
      <c r="AB4" s="4">
        <f t="shared" ref="AB4:AB35" si="3">IF(AC4="",AA4,AA4*AC4)</f>
        <v>55</v>
      </c>
      <c r="AC4" s="4"/>
      <c r="AD4" s="20">
        <f t="shared" ref="AD4:AD35" si="4">ROUND(M4*AR4,0)</f>
        <v>95</v>
      </c>
      <c r="AE4" s="6">
        <f t="shared" ref="AE4:AE35" si="5">1-AB4/AD4</f>
        <v>0.42105263157894735</v>
      </c>
      <c r="AF4" s="4">
        <v>6.25</v>
      </c>
      <c r="AG4" s="4">
        <f t="shared" ref="AG4:AG35" si="6">BI4</f>
        <v>105</v>
      </c>
      <c r="AH4" s="4">
        <f t="shared" ref="AH4:AH35" si="7">AG4*AR4</f>
        <v>120.31249999999999</v>
      </c>
      <c r="AI4" s="6">
        <f t="shared" ref="AI4:AI35" si="8">1-AB4/AH4</f>
        <v>0.54285714285714282</v>
      </c>
      <c r="AJ4" s="7">
        <v>100</v>
      </c>
      <c r="AK4" s="6">
        <f t="shared" ref="AK4:AK35" si="9">1-AB4/AJ4</f>
        <v>0.44999999999999996</v>
      </c>
      <c r="AL4" s="4">
        <f t="shared" ref="AL4:AL35" si="10">AJ4-AB4</f>
        <v>45</v>
      </c>
      <c r="AM4" s="27"/>
      <c r="AN4" s="6" t="e">
        <f>1-AB4/AM4</f>
        <v>#DIV/0!</v>
      </c>
      <c r="AO4" s="4">
        <f>AM4-AB4</f>
        <v>-55</v>
      </c>
      <c r="AP4" s="6" t="e">
        <f t="shared" ref="AP4:AP35" si="11">Z4/L4</f>
        <v>#DIV/0!</v>
      </c>
      <c r="AQ4" s="6">
        <f t="shared" ref="AQ4:AQ35" si="12">AJ4/M4</f>
        <v>1.2048192771084338</v>
      </c>
      <c r="AR4" s="6">
        <f t="shared" ref="AR4:AR35" si="13">AB4/N4</f>
        <v>1.1458333333333333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 t="str">
        <f>IFERROR(ROUND($AJ4*S4/$M4,0),"-")</f>
        <v>-</v>
      </c>
      <c r="AW4" s="4" t="str">
        <f>IF(T4="","-",T4)</f>
        <v>-</v>
      </c>
      <c r="AX4" s="4" t="str">
        <f>IF(U4="","-",U4)</f>
        <v>-</v>
      </c>
      <c r="AY4" s="4" t="str">
        <f>IFERROR(ROUND($AJ4*V4/$M4,0),"-")</f>
        <v>-</v>
      </c>
      <c r="AZ4" s="4" t="str">
        <f>IF(W4="","-",W4)</f>
        <v>-</v>
      </c>
      <c r="BA4" s="4" t="str">
        <f>IF(X4="","-",X4)</f>
        <v>-</v>
      </c>
      <c r="BB4" s="4">
        <v>0</v>
      </c>
      <c r="BC4" s="4" t="s">
        <v>324</v>
      </c>
      <c r="BD4" s="4"/>
      <c r="BE4" s="4"/>
      <c r="BF4" s="4" t="s">
        <v>277</v>
      </c>
      <c r="BG4" s="4">
        <v>105</v>
      </c>
      <c r="BH4" s="4">
        <v>105</v>
      </c>
      <c r="BI4" s="4">
        <f t="shared" ref="BI4:BI35" si="14">IF(BD4="",BH4,BD4/BE4*BH4)</f>
        <v>105</v>
      </c>
      <c r="BJ4" s="18">
        <v>4</v>
      </c>
      <c r="BK4" s="18">
        <v>1</v>
      </c>
      <c r="BL4" s="16">
        <v>18</v>
      </c>
      <c r="BM4" t="s">
        <v>317</v>
      </c>
      <c r="BN4">
        <v>105</v>
      </c>
      <c r="BO4">
        <v>105</v>
      </c>
      <c r="BP4">
        <f>IFERROR(BO4*AR4,"-")</f>
        <v>120.31249999999999</v>
      </c>
      <c r="BQ4" s="4" t="s">
        <v>239</v>
      </c>
    </row>
    <row r="5" spans="1:69" x14ac:dyDescent="0.4">
      <c r="A5" s="3">
        <v>2</v>
      </c>
      <c r="B5" s="3">
        <v>2</v>
      </c>
      <c r="C5" s="4" t="s">
        <v>65</v>
      </c>
      <c r="D5" s="4" t="str">
        <f t="shared" si="0"/>
        <v>J470WK</v>
      </c>
      <c r="E5" s="4" t="s">
        <v>65</v>
      </c>
      <c r="F5" s="4" t="s">
        <v>99</v>
      </c>
      <c r="G5" s="5">
        <v>4580417610024</v>
      </c>
      <c r="H5" s="5"/>
      <c r="I5" s="5"/>
      <c r="J5" s="5">
        <v>1</v>
      </c>
      <c r="K5" s="5">
        <v>1</v>
      </c>
      <c r="L5" s="4">
        <v>0</v>
      </c>
      <c r="M5" s="4">
        <v>88</v>
      </c>
      <c r="N5" s="4">
        <v>51</v>
      </c>
      <c r="O5" s="6">
        <f t="shared" si="1"/>
        <v>0.42045454545454541</v>
      </c>
      <c r="P5" s="4" t="s">
        <v>238</v>
      </c>
      <c r="Q5" s="4" t="s">
        <v>238</v>
      </c>
      <c r="R5" s="4" t="s">
        <v>238</v>
      </c>
      <c r="S5" s="4" t="s">
        <v>238</v>
      </c>
      <c r="T5" s="4" t="s">
        <v>238</v>
      </c>
      <c r="U5" s="4" t="s">
        <v>238</v>
      </c>
      <c r="V5" s="4" t="s">
        <v>238</v>
      </c>
      <c r="W5" s="4" t="s">
        <v>238</v>
      </c>
      <c r="X5" s="4" t="s">
        <v>238</v>
      </c>
      <c r="Y5" s="4">
        <v>0</v>
      </c>
      <c r="Z5" s="4">
        <f t="shared" si="2"/>
        <v>0</v>
      </c>
      <c r="AA5" s="4">
        <v>59</v>
      </c>
      <c r="AB5" s="4">
        <f t="shared" si="3"/>
        <v>59</v>
      </c>
      <c r="AC5" s="4"/>
      <c r="AD5" s="20">
        <f t="shared" si="4"/>
        <v>102</v>
      </c>
      <c r="AE5" s="6">
        <f t="shared" si="5"/>
        <v>0.42156862745098034</v>
      </c>
      <c r="AF5" s="4">
        <v>8.5</v>
      </c>
      <c r="AG5" s="4">
        <f t="shared" si="6"/>
        <v>114</v>
      </c>
      <c r="AH5" s="4">
        <f t="shared" si="7"/>
        <v>131.88235294117649</v>
      </c>
      <c r="AI5" s="6">
        <f t="shared" si="8"/>
        <v>0.55263157894736847</v>
      </c>
      <c r="AJ5" s="7">
        <v>110</v>
      </c>
      <c r="AK5" s="6">
        <f t="shared" si="9"/>
        <v>0.46363636363636362</v>
      </c>
      <c r="AL5" s="4">
        <f t="shared" si="10"/>
        <v>51</v>
      </c>
      <c r="AM5" s="27"/>
      <c r="AN5" s="6"/>
      <c r="AO5" s="6"/>
      <c r="AP5" s="6" t="e">
        <f t="shared" si="11"/>
        <v>#DIV/0!</v>
      </c>
      <c r="AQ5" s="6">
        <f t="shared" si="12"/>
        <v>1.25</v>
      </c>
      <c r="AR5" s="6">
        <f t="shared" si="13"/>
        <v>1.1568627450980393</v>
      </c>
      <c r="AS5" s="4" t="str">
        <f t="shared" ref="AS5:AS68" si="15">IFERROR(ROUND($AJ5*P5/$M5,0),"-")</f>
        <v>-</v>
      </c>
      <c r="AT5" s="4" t="str">
        <f t="shared" ref="AT5:AT68" si="16">IF(Q5="","-",Q5)</f>
        <v>-</v>
      </c>
      <c r="AU5" s="4" t="str">
        <f t="shared" ref="AU5:AU68" si="17">IF(R5="","-",R5)</f>
        <v>-</v>
      </c>
      <c r="AV5" s="4" t="str">
        <f t="shared" ref="AV5:AV68" si="18">IFERROR(ROUND($AJ5*S5/$M5,0),"-")</f>
        <v>-</v>
      </c>
      <c r="AW5" s="4" t="str">
        <f t="shared" ref="AW5:AW68" si="19">IF(T5="","-",T5)</f>
        <v>-</v>
      </c>
      <c r="AX5" s="4" t="str">
        <f t="shared" ref="AX5:AX68" si="20">IF(U5="","-",U5)</f>
        <v>-</v>
      </c>
      <c r="AY5" s="4" t="str">
        <f t="shared" ref="AY5:AY68" si="21">IFERROR(ROUND($AJ5*V5/$M5,0),"-")</f>
        <v>-</v>
      </c>
      <c r="AZ5" s="4" t="str">
        <f t="shared" ref="AZ5:AZ68" si="22">IF(W5="","-",W5)</f>
        <v>-</v>
      </c>
      <c r="BA5" s="4" t="str">
        <f t="shared" ref="BA5:BA68" si="23">IF(X5="","-",X5)</f>
        <v>-</v>
      </c>
      <c r="BB5" s="4">
        <v>0</v>
      </c>
      <c r="BC5" s="4" t="s">
        <v>278</v>
      </c>
      <c r="BD5" s="4"/>
      <c r="BE5" s="4"/>
      <c r="BF5" s="4" t="s">
        <v>277</v>
      </c>
      <c r="BG5" s="4">
        <v>114</v>
      </c>
      <c r="BH5" s="4">
        <v>114</v>
      </c>
      <c r="BI5" s="4">
        <f t="shared" si="14"/>
        <v>114</v>
      </c>
      <c r="BJ5" s="18">
        <v>4</v>
      </c>
      <c r="BK5" s="18">
        <v>1</v>
      </c>
      <c r="BL5" s="16">
        <v>18</v>
      </c>
      <c r="BM5" t="s">
        <v>317</v>
      </c>
      <c r="BN5">
        <v>114</v>
      </c>
      <c r="BO5">
        <v>114</v>
      </c>
      <c r="BP5">
        <f t="shared" ref="BP5:BP68" si="24">IFERROR(BO5*AR5,"-")</f>
        <v>131.88235294117649</v>
      </c>
      <c r="BQ5" s="4" t="s">
        <v>240</v>
      </c>
    </row>
    <row r="6" spans="1:69" x14ac:dyDescent="0.4">
      <c r="A6" s="3">
        <v>3</v>
      </c>
      <c r="B6" s="3">
        <v>3</v>
      </c>
      <c r="C6" s="31" t="s">
        <v>66</v>
      </c>
      <c r="D6" s="4" t="str">
        <f t="shared" si="0"/>
        <v>J473WK</v>
      </c>
      <c r="E6" s="4" t="s">
        <v>66</v>
      </c>
      <c r="F6" s="4" t="s">
        <v>100</v>
      </c>
      <c r="G6" s="5">
        <v>4580417610031</v>
      </c>
      <c r="H6" s="5"/>
      <c r="I6" s="5"/>
      <c r="J6" s="5">
        <v>3</v>
      </c>
      <c r="K6" s="5">
        <v>1</v>
      </c>
      <c r="L6" s="4">
        <v>0</v>
      </c>
      <c r="M6" s="4">
        <v>98</v>
      </c>
      <c r="N6" s="4">
        <v>57</v>
      </c>
      <c r="O6" s="6">
        <f t="shared" si="1"/>
        <v>0.41836734693877553</v>
      </c>
      <c r="P6" s="4" t="s">
        <v>238</v>
      </c>
      <c r="Q6" s="4" t="s">
        <v>238</v>
      </c>
      <c r="R6" s="4" t="s">
        <v>238</v>
      </c>
      <c r="S6" s="4" t="s">
        <v>238</v>
      </c>
      <c r="T6" s="4" t="s">
        <v>238</v>
      </c>
      <c r="U6" s="4" t="s">
        <v>238</v>
      </c>
      <c r="V6" s="4" t="s">
        <v>238</v>
      </c>
      <c r="W6" s="4" t="s">
        <v>238</v>
      </c>
      <c r="X6" s="4" t="s">
        <v>238</v>
      </c>
      <c r="Y6" s="4">
        <v>0</v>
      </c>
      <c r="Z6" s="4">
        <f t="shared" si="2"/>
        <v>0</v>
      </c>
      <c r="AA6" s="4">
        <v>66</v>
      </c>
      <c r="AB6" s="4">
        <f t="shared" si="3"/>
        <v>66</v>
      </c>
      <c r="AC6" s="4"/>
      <c r="AD6" s="20">
        <f t="shared" si="4"/>
        <v>113</v>
      </c>
      <c r="AE6" s="6">
        <f t="shared" si="5"/>
        <v>0.41592920353982299</v>
      </c>
      <c r="AF6" s="4">
        <v>4</v>
      </c>
      <c r="AG6" s="4">
        <f t="shared" si="6"/>
        <v>125</v>
      </c>
      <c r="AH6" s="4">
        <f t="shared" si="7"/>
        <v>144.73684210526315</v>
      </c>
      <c r="AI6" s="6">
        <f t="shared" si="8"/>
        <v>0.54400000000000004</v>
      </c>
      <c r="AJ6" s="7">
        <v>120</v>
      </c>
      <c r="AK6" s="6">
        <f t="shared" si="9"/>
        <v>0.44999999999999996</v>
      </c>
      <c r="AL6" s="4">
        <f t="shared" si="10"/>
        <v>54</v>
      </c>
      <c r="AM6" s="27"/>
      <c r="AN6" s="6"/>
      <c r="AO6" s="6"/>
      <c r="AP6" s="6" t="e">
        <f t="shared" si="11"/>
        <v>#DIV/0!</v>
      </c>
      <c r="AQ6" s="6">
        <f t="shared" si="12"/>
        <v>1.2244897959183674</v>
      </c>
      <c r="AR6" s="6">
        <f t="shared" si="13"/>
        <v>1.1578947368421053</v>
      </c>
      <c r="AS6" s="4" t="str">
        <f t="shared" si="15"/>
        <v>-</v>
      </c>
      <c r="AT6" s="4" t="str">
        <f t="shared" si="16"/>
        <v>-</v>
      </c>
      <c r="AU6" s="4" t="str">
        <f t="shared" si="17"/>
        <v>-</v>
      </c>
      <c r="AV6" s="4" t="str">
        <f t="shared" si="18"/>
        <v>-</v>
      </c>
      <c r="AW6" s="4" t="str">
        <f t="shared" si="19"/>
        <v>-</v>
      </c>
      <c r="AX6" s="4" t="str">
        <f t="shared" si="20"/>
        <v>-</v>
      </c>
      <c r="AY6" s="4" t="str">
        <f t="shared" si="21"/>
        <v>-</v>
      </c>
      <c r="AZ6" s="4" t="str">
        <f t="shared" si="22"/>
        <v>-</v>
      </c>
      <c r="BA6" s="4" t="str">
        <f t="shared" si="23"/>
        <v>-</v>
      </c>
      <c r="BB6" s="4">
        <v>0</v>
      </c>
      <c r="BC6" s="4" t="s">
        <v>279</v>
      </c>
      <c r="BD6" s="4"/>
      <c r="BE6" s="4"/>
      <c r="BF6" s="4" t="s">
        <v>277</v>
      </c>
      <c r="BG6" s="4">
        <v>125</v>
      </c>
      <c r="BH6" s="4">
        <v>125</v>
      </c>
      <c r="BI6" s="4">
        <f t="shared" si="14"/>
        <v>125</v>
      </c>
      <c r="BJ6" s="18">
        <v>4</v>
      </c>
      <c r="BK6" s="18">
        <v>1</v>
      </c>
      <c r="BL6" s="16">
        <v>18</v>
      </c>
      <c r="BM6" t="s">
        <v>317</v>
      </c>
      <c r="BN6">
        <v>124</v>
      </c>
      <c r="BO6">
        <v>124</v>
      </c>
      <c r="BP6">
        <f t="shared" si="24"/>
        <v>143.57894736842107</v>
      </c>
      <c r="BQ6" s="4" t="s">
        <v>241</v>
      </c>
    </row>
    <row r="7" spans="1:69" x14ac:dyDescent="0.4">
      <c r="A7" s="3">
        <v>55</v>
      </c>
      <c r="B7" s="3">
        <v>3</v>
      </c>
      <c r="C7" s="31" t="s">
        <v>152</v>
      </c>
      <c r="D7" s="4" t="str">
        <f t="shared" si="0"/>
        <v>5759AK</v>
      </c>
      <c r="E7" s="4" t="s">
        <v>153</v>
      </c>
      <c r="F7" s="4" t="s">
        <v>184</v>
      </c>
      <c r="G7" s="5">
        <v>4580417610031</v>
      </c>
      <c r="H7" s="5"/>
      <c r="I7" s="5"/>
      <c r="J7" s="5"/>
      <c r="K7" s="5"/>
      <c r="L7" s="4">
        <v>0</v>
      </c>
      <c r="M7" s="4">
        <v>1677</v>
      </c>
      <c r="N7" s="4">
        <v>1140</v>
      </c>
      <c r="O7" s="6">
        <f t="shared" si="1"/>
        <v>0.32021466905187834</v>
      </c>
      <c r="P7" s="4" t="s">
        <v>238</v>
      </c>
      <c r="Q7" s="4" t="s">
        <v>238</v>
      </c>
      <c r="R7" s="4" t="s">
        <v>238</v>
      </c>
      <c r="S7" s="4" t="s">
        <v>238</v>
      </c>
      <c r="T7" s="4" t="s">
        <v>238</v>
      </c>
      <c r="U7" s="4" t="s">
        <v>238</v>
      </c>
      <c r="V7" s="4" t="s">
        <v>238</v>
      </c>
      <c r="W7" s="4" t="s">
        <v>238</v>
      </c>
      <c r="X7" s="4" t="s">
        <v>238</v>
      </c>
      <c r="Y7" s="4">
        <v>0</v>
      </c>
      <c r="Z7" s="4">
        <f t="shared" si="2"/>
        <v>0</v>
      </c>
      <c r="AA7" s="4">
        <v>66</v>
      </c>
      <c r="AB7" s="4">
        <f t="shared" si="3"/>
        <v>1320</v>
      </c>
      <c r="AC7" s="4">
        <v>20</v>
      </c>
      <c r="AD7" s="20">
        <f t="shared" si="4"/>
        <v>1942</v>
      </c>
      <c r="AE7" s="6">
        <f t="shared" si="5"/>
        <v>0.32028836251287329</v>
      </c>
      <c r="AF7" s="4">
        <v>7.0000000000000009</v>
      </c>
      <c r="AG7" s="4">
        <f t="shared" si="6"/>
        <v>2500</v>
      </c>
      <c r="AH7" s="4">
        <f t="shared" si="7"/>
        <v>2894.7368421052633</v>
      </c>
      <c r="AI7" s="6">
        <f t="shared" si="8"/>
        <v>0.54400000000000004</v>
      </c>
      <c r="AJ7" s="7">
        <v>2280</v>
      </c>
      <c r="AK7" s="6">
        <f t="shared" si="9"/>
        <v>0.42105263157894735</v>
      </c>
      <c r="AL7" s="4">
        <f t="shared" si="10"/>
        <v>960</v>
      </c>
      <c r="AM7" s="27"/>
      <c r="AN7" s="6"/>
      <c r="AO7" s="6"/>
      <c r="AP7" s="6" t="e">
        <f t="shared" si="11"/>
        <v>#DIV/0!</v>
      </c>
      <c r="AQ7" s="6">
        <f t="shared" si="12"/>
        <v>1.3595706618962433</v>
      </c>
      <c r="AR7" s="6">
        <f t="shared" si="13"/>
        <v>1.1578947368421053</v>
      </c>
      <c r="AS7" s="4" t="str">
        <f t="shared" si="15"/>
        <v>-</v>
      </c>
      <c r="AT7" s="4" t="str">
        <f t="shared" si="16"/>
        <v>-</v>
      </c>
      <c r="AU7" s="4" t="str">
        <f t="shared" si="17"/>
        <v>-</v>
      </c>
      <c r="AV7" s="4" t="str">
        <f t="shared" si="18"/>
        <v>-</v>
      </c>
      <c r="AW7" s="4" t="str">
        <f t="shared" si="19"/>
        <v>-</v>
      </c>
      <c r="AX7" s="4" t="str">
        <f t="shared" si="20"/>
        <v>-</v>
      </c>
      <c r="AY7" s="4" t="str">
        <f t="shared" si="21"/>
        <v>-</v>
      </c>
      <c r="AZ7" s="4" t="str">
        <f t="shared" si="22"/>
        <v>-</v>
      </c>
      <c r="BA7" s="4" t="str">
        <f t="shared" si="23"/>
        <v>-</v>
      </c>
      <c r="BB7" s="4">
        <v>0</v>
      </c>
      <c r="BC7" s="4" t="s">
        <v>279</v>
      </c>
      <c r="BD7" s="4">
        <v>20</v>
      </c>
      <c r="BE7" s="4">
        <v>1</v>
      </c>
      <c r="BF7" s="4" t="s">
        <v>277</v>
      </c>
      <c r="BG7" s="4">
        <v>125</v>
      </c>
      <c r="BH7" s="4">
        <v>125</v>
      </c>
      <c r="BI7" s="4">
        <f t="shared" si="14"/>
        <v>2500</v>
      </c>
      <c r="BJ7" s="18">
        <v>4</v>
      </c>
      <c r="BK7" s="18">
        <v>1</v>
      </c>
      <c r="BL7" s="16">
        <v>18</v>
      </c>
      <c r="BM7" t="s">
        <v>317</v>
      </c>
      <c r="BN7">
        <v>124</v>
      </c>
      <c r="BO7">
        <v>124</v>
      </c>
      <c r="BP7">
        <f t="shared" si="24"/>
        <v>143.57894736842107</v>
      </c>
      <c r="BQ7" s="4" t="s">
        <v>241</v>
      </c>
    </row>
    <row r="8" spans="1:69" x14ac:dyDescent="0.4">
      <c r="A8" s="3">
        <v>56</v>
      </c>
      <c r="B8" s="3">
        <v>3</v>
      </c>
      <c r="C8" s="31" t="s">
        <v>152</v>
      </c>
      <c r="D8" s="4" t="str">
        <f t="shared" si="0"/>
        <v>5759AK</v>
      </c>
      <c r="E8" s="4" t="s">
        <v>152</v>
      </c>
      <c r="F8" s="4" t="s">
        <v>185</v>
      </c>
      <c r="G8" s="5">
        <v>4580417610031</v>
      </c>
      <c r="H8" s="5"/>
      <c r="I8" s="5"/>
      <c r="J8" s="5"/>
      <c r="K8" s="5"/>
      <c r="L8" s="4">
        <v>0</v>
      </c>
      <c r="M8" s="4">
        <v>90</v>
      </c>
      <c r="N8" s="4">
        <v>57</v>
      </c>
      <c r="O8" s="6">
        <f t="shared" si="1"/>
        <v>0.3666666666666667</v>
      </c>
      <c r="P8" s="4" t="s">
        <v>238</v>
      </c>
      <c r="Q8" s="4" t="s">
        <v>238</v>
      </c>
      <c r="R8" s="4" t="s">
        <v>238</v>
      </c>
      <c r="S8" s="4" t="s">
        <v>238</v>
      </c>
      <c r="T8" s="4" t="s">
        <v>238</v>
      </c>
      <c r="U8" s="4" t="s">
        <v>238</v>
      </c>
      <c r="V8" s="4" t="s">
        <v>238</v>
      </c>
      <c r="W8" s="4" t="s">
        <v>238</v>
      </c>
      <c r="X8" s="4" t="s">
        <v>238</v>
      </c>
      <c r="Y8" s="4">
        <v>0</v>
      </c>
      <c r="Z8" s="4">
        <f t="shared" si="2"/>
        <v>0</v>
      </c>
      <c r="AA8" s="4">
        <v>66</v>
      </c>
      <c r="AB8" s="4">
        <f t="shared" si="3"/>
        <v>66</v>
      </c>
      <c r="AC8" s="4"/>
      <c r="AD8" s="20">
        <f t="shared" si="4"/>
        <v>104</v>
      </c>
      <c r="AE8" s="6">
        <f t="shared" si="5"/>
        <v>0.36538461538461542</v>
      </c>
      <c r="AF8" s="4">
        <v>7.0000000000000009</v>
      </c>
      <c r="AG8" s="4">
        <f t="shared" si="6"/>
        <v>125</v>
      </c>
      <c r="AH8" s="4">
        <f t="shared" si="7"/>
        <v>144.73684210526315</v>
      </c>
      <c r="AI8" s="6">
        <f t="shared" si="8"/>
        <v>0.54400000000000004</v>
      </c>
      <c r="AJ8" s="7">
        <v>120</v>
      </c>
      <c r="AK8" s="6">
        <f t="shared" si="9"/>
        <v>0.44999999999999996</v>
      </c>
      <c r="AL8" s="4">
        <f t="shared" si="10"/>
        <v>54</v>
      </c>
      <c r="AM8" s="27"/>
      <c r="AN8" s="6"/>
      <c r="AO8" s="6"/>
      <c r="AP8" s="6" t="e">
        <f t="shared" si="11"/>
        <v>#DIV/0!</v>
      </c>
      <c r="AQ8" s="6">
        <f t="shared" si="12"/>
        <v>1.3333333333333333</v>
      </c>
      <c r="AR8" s="6">
        <f t="shared" si="13"/>
        <v>1.1578947368421053</v>
      </c>
      <c r="AS8" s="4" t="str">
        <f t="shared" si="15"/>
        <v>-</v>
      </c>
      <c r="AT8" s="4" t="str">
        <f t="shared" si="16"/>
        <v>-</v>
      </c>
      <c r="AU8" s="4" t="str">
        <f t="shared" si="17"/>
        <v>-</v>
      </c>
      <c r="AV8" s="4" t="str">
        <f t="shared" si="18"/>
        <v>-</v>
      </c>
      <c r="AW8" s="4" t="str">
        <f t="shared" si="19"/>
        <v>-</v>
      </c>
      <c r="AX8" s="4" t="str">
        <f t="shared" si="20"/>
        <v>-</v>
      </c>
      <c r="AY8" s="4" t="str">
        <f t="shared" si="21"/>
        <v>-</v>
      </c>
      <c r="AZ8" s="4" t="str">
        <f t="shared" si="22"/>
        <v>-</v>
      </c>
      <c r="BA8" s="4" t="str">
        <f t="shared" si="23"/>
        <v>-</v>
      </c>
      <c r="BB8" s="4">
        <v>0</v>
      </c>
      <c r="BC8" s="4" t="s">
        <v>279</v>
      </c>
      <c r="BD8" s="4"/>
      <c r="BE8" s="4"/>
      <c r="BF8" s="4" t="s">
        <v>277</v>
      </c>
      <c r="BG8" s="4">
        <v>125</v>
      </c>
      <c r="BH8" s="4">
        <v>125</v>
      </c>
      <c r="BI8" s="4">
        <f t="shared" si="14"/>
        <v>125</v>
      </c>
      <c r="BJ8" s="18">
        <v>4</v>
      </c>
      <c r="BK8" s="18">
        <v>1</v>
      </c>
      <c r="BL8" s="16">
        <v>18</v>
      </c>
      <c r="BM8" t="s">
        <v>317</v>
      </c>
      <c r="BN8">
        <v>124</v>
      </c>
      <c r="BO8">
        <v>124</v>
      </c>
      <c r="BP8">
        <f t="shared" si="24"/>
        <v>143.57894736842107</v>
      </c>
      <c r="BQ8" s="4" t="s">
        <v>241</v>
      </c>
    </row>
    <row r="9" spans="1:69" x14ac:dyDescent="0.4">
      <c r="A9" s="3">
        <v>4</v>
      </c>
      <c r="B9" s="3">
        <v>4</v>
      </c>
      <c r="C9" s="31" t="s">
        <v>67</v>
      </c>
      <c r="D9" s="4" t="str">
        <f t="shared" si="0"/>
        <v>J471WK</v>
      </c>
      <c r="E9" s="4" t="s">
        <v>67</v>
      </c>
      <c r="F9" s="4" t="s">
        <v>101</v>
      </c>
      <c r="G9" s="5">
        <v>4580417610048</v>
      </c>
      <c r="H9" s="5"/>
      <c r="I9" s="5"/>
      <c r="J9" s="5">
        <v>3</v>
      </c>
      <c r="K9" s="5">
        <v>1</v>
      </c>
      <c r="L9" s="4">
        <v>0</v>
      </c>
      <c r="M9" s="4">
        <v>103</v>
      </c>
      <c r="N9" s="4">
        <v>60</v>
      </c>
      <c r="O9" s="6">
        <f t="shared" si="1"/>
        <v>0.41747572815533984</v>
      </c>
      <c r="P9" s="4" t="s">
        <v>238</v>
      </c>
      <c r="Q9" s="4" t="s">
        <v>238</v>
      </c>
      <c r="R9" s="4" t="s">
        <v>238</v>
      </c>
      <c r="S9" s="4" t="s">
        <v>238</v>
      </c>
      <c r="T9" s="4" t="s">
        <v>238</v>
      </c>
      <c r="U9" s="4" t="s">
        <v>238</v>
      </c>
      <c r="V9" s="4" t="s">
        <v>238</v>
      </c>
      <c r="W9" s="4" t="s">
        <v>238</v>
      </c>
      <c r="X9" s="4" t="s">
        <v>238</v>
      </c>
      <c r="Y9" s="4">
        <v>0</v>
      </c>
      <c r="Z9" s="4">
        <f t="shared" si="2"/>
        <v>0</v>
      </c>
      <c r="AA9" s="4">
        <v>69</v>
      </c>
      <c r="AB9" s="4">
        <f t="shared" si="3"/>
        <v>69</v>
      </c>
      <c r="AC9" s="4"/>
      <c r="AD9" s="20">
        <f t="shared" si="4"/>
        <v>118</v>
      </c>
      <c r="AE9" s="6">
        <f t="shared" si="5"/>
        <v>0.4152542372881356</v>
      </c>
      <c r="AF9" s="4">
        <v>3</v>
      </c>
      <c r="AG9" s="4">
        <f t="shared" si="6"/>
        <v>143</v>
      </c>
      <c r="AH9" s="4">
        <f t="shared" si="7"/>
        <v>164.45</v>
      </c>
      <c r="AI9" s="6">
        <f t="shared" si="8"/>
        <v>0.58041958041958042</v>
      </c>
      <c r="AJ9" s="7">
        <v>130</v>
      </c>
      <c r="AK9" s="6">
        <f t="shared" si="9"/>
        <v>0.46923076923076923</v>
      </c>
      <c r="AL9" s="4">
        <f t="shared" si="10"/>
        <v>61</v>
      </c>
      <c r="AM9" s="27"/>
      <c r="AN9" s="6"/>
      <c r="AO9" s="6"/>
      <c r="AP9" s="6" t="e">
        <f t="shared" si="11"/>
        <v>#DIV/0!</v>
      </c>
      <c r="AQ9" s="6">
        <f t="shared" si="12"/>
        <v>1.2621359223300972</v>
      </c>
      <c r="AR9" s="6">
        <f t="shared" si="13"/>
        <v>1.1499999999999999</v>
      </c>
      <c r="AS9" s="4" t="str">
        <f t="shared" si="15"/>
        <v>-</v>
      </c>
      <c r="AT9" s="4" t="str">
        <f t="shared" si="16"/>
        <v>-</v>
      </c>
      <c r="AU9" s="4" t="str">
        <f t="shared" si="17"/>
        <v>-</v>
      </c>
      <c r="AV9" s="4" t="str">
        <f t="shared" si="18"/>
        <v>-</v>
      </c>
      <c r="AW9" s="4" t="str">
        <f t="shared" si="19"/>
        <v>-</v>
      </c>
      <c r="AX9" s="4" t="str">
        <f t="shared" si="20"/>
        <v>-</v>
      </c>
      <c r="AY9" s="4" t="str">
        <f t="shared" si="21"/>
        <v>-</v>
      </c>
      <c r="AZ9" s="4" t="str">
        <f t="shared" si="22"/>
        <v>-</v>
      </c>
      <c r="BA9" s="4" t="str">
        <f t="shared" si="23"/>
        <v>-</v>
      </c>
      <c r="BB9" s="4">
        <v>0</v>
      </c>
      <c r="BC9" s="4" t="s">
        <v>280</v>
      </c>
      <c r="BD9" s="4"/>
      <c r="BE9" s="4"/>
      <c r="BF9" s="4" t="s">
        <v>277</v>
      </c>
      <c r="BG9" s="4">
        <v>143</v>
      </c>
      <c r="BH9" s="4">
        <v>143</v>
      </c>
      <c r="BI9" s="4">
        <f t="shared" si="14"/>
        <v>143</v>
      </c>
      <c r="BJ9" s="18">
        <v>4</v>
      </c>
      <c r="BK9" s="18">
        <v>1</v>
      </c>
      <c r="BL9" s="16">
        <v>18</v>
      </c>
      <c r="BM9" t="s">
        <v>317</v>
      </c>
      <c r="BN9">
        <v>143</v>
      </c>
      <c r="BO9">
        <v>143</v>
      </c>
      <c r="BP9">
        <f t="shared" si="24"/>
        <v>164.45</v>
      </c>
      <c r="BQ9" s="4" t="s">
        <v>242</v>
      </c>
    </row>
    <row r="10" spans="1:69" x14ac:dyDescent="0.4">
      <c r="A10" s="3">
        <v>57</v>
      </c>
      <c r="B10" s="3">
        <v>4</v>
      </c>
      <c r="C10" s="32" t="s">
        <v>154</v>
      </c>
      <c r="D10" s="4" t="str">
        <f t="shared" si="0"/>
        <v>J002XA</v>
      </c>
      <c r="E10" s="4" t="s">
        <v>155</v>
      </c>
      <c r="F10" s="4" t="s">
        <v>186</v>
      </c>
      <c r="G10" s="5">
        <v>4580417610048</v>
      </c>
      <c r="H10" s="5"/>
      <c r="I10" s="5"/>
      <c r="J10" s="5"/>
      <c r="K10" s="5"/>
      <c r="L10" s="4">
        <v>0</v>
      </c>
      <c r="M10" s="4">
        <v>1778</v>
      </c>
      <c r="N10" s="4">
        <v>1200</v>
      </c>
      <c r="O10" s="6">
        <f t="shared" si="1"/>
        <v>0.32508436445444322</v>
      </c>
      <c r="P10" s="4" t="s">
        <v>238</v>
      </c>
      <c r="Q10" s="4" t="s">
        <v>238</v>
      </c>
      <c r="R10" s="4" t="s">
        <v>238</v>
      </c>
      <c r="S10" s="4" t="s">
        <v>238</v>
      </c>
      <c r="T10" s="4" t="s">
        <v>238</v>
      </c>
      <c r="U10" s="4" t="s">
        <v>238</v>
      </c>
      <c r="V10" s="4" t="s">
        <v>238</v>
      </c>
      <c r="W10" s="4" t="s">
        <v>238</v>
      </c>
      <c r="X10" s="4" t="s">
        <v>238</v>
      </c>
      <c r="Y10" s="4">
        <v>0</v>
      </c>
      <c r="Z10" s="4">
        <f t="shared" si="2"/>
        <v>0</v>
      </c>
      <c r="AA10" s="4">
        <v>69</v>
      </c>
      <c r="AB10" s="4">
        <f t="shared" si="3"/>
        <v>1380</v>
      </c>
      <c r="AC10" s="4">
        <v>20</v>
      </c>
      <c r="AD10" s="20">
        <f t="shared" si="4"/>
        <v>2045</v>
      </c>
      <c r="AE10" s="6">
        <f t="shared" si="5"/>
        <v>0.32518337408312958</v>
      </c>
      <c r="AF10" s="4">
        <v>0</v>
      </c>
      <c r="AG10" s="4">
        <f t="shared" si="6"/>
        <v>2860</v>
      </c>
      <c r="AH10" s="4">
        <f t="shared" si="7"/>
        <v>3288.9999999999995</v>
      </c>
      <c r="AI10" s="6">
        <f t="shared" si="8"/>
        <v>0.58041958041958042</v>
      </c>
      <c r="AJ10" s="7">
        <v>2470</v>
      </c>
      <c r="AK10" s="6">
        <f t="shared" si="9"/>
        <v>0.4412955465587044</v>
      </c>
      <c r="AL10" s="4">
        <f t="shared" si="10"/>
        <v>1090</v>
      </c>
      <c r="AM10" s="27"/>
      <c r="AN10" s="6"/>
      <c r="AO10" s="6"/>
      <c r="AP10" s="6" t="e">
        <f t="shared" si="11"/>
        <v>#DIV/0!</v>
      </c>
      <c r="AQ10" s="6">
        <f t="shared" si="12"/>
        <v>1.3892013498312712</v>
      </c>
      <c r="AR10" s="6">
        <f t="shared" si="13"/>
        <v>1.1499999999999999</v>
      </c>
      <c r="AS10" s="4" t="str">
        <f t="shared" si="15"/>
        <v>-</v>
      </c>
      <c r="AT10" s="4" t="str">
        <f t="shared" si="16"/>
        <v>-</v>
      </c>
      <c r="AU10" s="4" t="str">
        <f t="shared" si="17"/>
        <v>-</v>
      </c>
      <c r="AV10" s="4" t="str">
        <f t="shared" si="18"/>
        <v>-</v>
      </c>
      <c r="AW10" s="4" t="str">
        <f t="shared" si="19"/>
        <v>-</v>
      </c>
      <c r="AX10" s="4" t="str">
        <f t="shared" si="20"/>
        <v>-</v>
      </c>
      <c r="AY10" s="4" t="str">
        <f t="shared" si="21"/>
        <v>-</v>
      </c>
      <c r="AZ10" s="4" t="str">
        <f t="shared" si="22"/>
        <v>-</v>
      </c>
      <c r="BA10" s="4" t="str">
        <f t="shared" si="23"/>
        <v>-</v>
      </c>
      <c r="BB10" s="4">
        <v>0</v>
      </c>
      <c r="BC10" s="4" t="s">
        <v>280</v>
      </c>
      <c r="BD10" s="4">
        <v>20</v>
      </c>
      <c r="BE10" s="4">
        <v>1</v>
      </c>
      <c r="BF10" s="4" t="s">
        <v>277</v>
      </c>
      <c r="BG10" s="4">
        <v>143</v>
      </c>
      <c r="BH10" s="4">
        <v>143</v>
      </c>
      <c r="BI10" s="4">
        <f t="shared" si="14"/>
        <v>2860</v>
      </c>
      <c r="BJ10" s="18">
        <v>4</v>
      </c>
      <c r="BK10" s="18">
        <v>1</v>
      </c>
      <c r="BL10" s="16">
        <v>18</v>
      </c>
      <c r="BM10" t="s">
        <v>317</v>
      </c>
      <c r="BN10">
        <v>143</v>
      </c>
      <c r="BO10">
        <v>143</v>
      </c>
      <c r="BP10">
        <f t="shared" si="24"/>
        <v>164.45</v>
      </c>
      <c r="BQ10" s="4" t="s">
        <v>242</v>
      </c>
    </row>
    <row r="11" spans="1:69" x14ac:dyDescent="0.4">
      <c r="A11" s="3">
        <v>58</v>
      </c>
      <c r="B11" s="3">
        <v>4</v>
      </c>
      <c r="C11" s="32" t="s">
        <v>154</v>
      </c>
      <c r="D11" s="4" t="str">
        <f t="shared" si="0"/>
        <v>J002XA</v>
      </c>
      <c r="E11" s="4" t="s">
        <v>154</v>
      </c>
      <c r="F11" s="4" t="s">
        <v>187</v>
      </c>
      <c r="G11" s="5">
        <v>4580417610048</v>
      </c>
      <c r="H11" s="5"/>
      <c r="I11" s="5"/>
      <c r="J11" s="5"/>
      <c r="K11" s="5"/>
      <c r="L11" s="4">
        <v>0</v>
      </c>
      <c r="M11" s="4">
        <v>95</v>
      </c>
      <c r="N11" s="4">
        <v>60</v>
      </c>
      <c r="O11" s="6">
        <f t="shared" si="1"/>
        <v>0.36842105263157898</v>
      </c>
      <c r="P11" s="4" t="s">
        <v>238</v>
      </c>
      <c r="Q11" s="4" t="s">
        <v>238</v>
      </c>
      <c r="R11" s="4" t="s">
        <v>238</v>
      </c>
      <c r="S11" s="4" t="s">
        <v>238</v>
      </c>
      <c r="T11" s="4" t="s">
        <v>238</v>
      </c>
      <c r="U11" s="4" t="s">
        <v>238</v>
      </c>
      <c r="V11" s="4" t="s">
        <v>238</v>
      </c>
      <c r="W11" s="4" t="s">
        <v>238</v>
      </c>
      <c r="X11" s="4" t="s">
        <v>238</v>
      </c>
      <c r="Y11" s="4">
        <v>0</v>
      </c>
      <c r="Z11" s="4">
        <f t="shared" si="2"/>
        <v>0</v>
      </c>
      <c r="AA11" s="4">
        <v>69</v>
      </c>
      <c r="AB11" s="4">
        <f t="shared" si="3"/>
        <v>69</v>
      </c>
      <c r="AC11" s="4"/>
      <c r="AD11" s="20">
        <f t="shared" si="4"/>
        <v>109</v>
      </c>
      <c r="AE11" s="6">
        <f t="shared" si="5"/>
        <v>0.3669724770642202</v>
      </c>
      <c r="AF11" s="4">
        <v>0</v>
      </c>
      <c r="AG11" s="4">
        <f t="shared" si="6"/>
        <v>143</v>
      </c>
      <c r="AH11" s="4">
        <f t="shared" si="7"/>
        <v>164.45</v>
      </c>
      <c r="AI11" s="6">
        <f t="shared" si="8"/>
        <v>0.58041958041958042</v>
      </c>
      <c r="AJ11" s="7">
        <v>130</v>
      </c>
      <c r="AK11" s="6">
        <f t="shared" si="9"/>
        <v>0.46923076923076923</v>
      </c>
      <c r="AL11" s="4">
        <f t="shared" si="10"/>
        <v>61</v>
      </c>
      <c r="AM11" s="27"/>
      <c r="AN11" s="6"/>
      <c r="AO11" s="6"/>
      <c r="AP11" s="6" t="e">
        <f t="shared" si="11"/>
        <v>#DIV/0!</v>
      </c>
      <c r="AQ11" s="6">
        <f t="shared" si="12"/>
        <v>1.368421052631579</v>
      </c>
      <c r="AR11" s="6">
        <f t="shared" si="13"/>
        <v>1.1499999999999999</v>
      </c>
      <c r="AS11" s="4" t="str">
        <f t="shared" si="15"/>
        <v>-</v>
      </c>
      <c r="AT11" s="4" t="str">
        <f t="shared" si="16"/>
        <v>-</v>
      </c>
      <c r="AU11" s="4" t="str">
        <f t="shared" si="17"/>
        <v>-</v>
      </c>
      <c r="AV11" s="4" t="str">
        <f t="shared" si="18"/>
        <v>-</v>
      </c>
      <c r="AW11" s="4" t="str">
        <f t="shared" si="19"/>
        <v>-</v>
      </c>
      <c r="AX11" s="4" t="str">
        <f t="shared" si="20"/>
        <v>-</v>
      </c>
      <c r="AY11" s="4" t="str">
        <f t="shared" si="21"/>
        <v>-</v>
      </c>
      <c r="AZ11" s="4" t="str">
        <f t="shared" si="22"/>
        <v>-</v>
      </c>
      <c r="BA11" s="4" t="str">
        <f t="shared" si="23"/>
        <v>-</v>
      </c>
      <c r="BB11" s="4">
        <v>0</v>
      </c>
      <c r="BC11" s="4" t="s">
        <v>280</v>
      </c>
      <c r="BD11" s="4"/>
      <c r="BE11" s="4"/>
      <c r="BF11" s="4" t="s">
        <v>277</v>
      </c>
      <c r="BG11" s="4">
        <v>143</v>
      </c>
      <c r="BH11" s="4">
        <v>143</v>
      </c>
      <c r="BI11" s="4">
        <f t="shared" si="14"/>
        <v>143</v>
      </c>
      <c r="BJ11" s="18">
        <v>4</v>
      </c>
      <c r="BK11" s="18">
        <v>1</v>
      </c>
      <c r="BL11" s="16">
        <v>18</v>
      </c>
      <c r="BM11" t="s">
        <v>317</v>
      </c>
      <c r="BN11">
        <v>143</v>
      </c>
      <c r="BO11">
        <v>143</v>
      </c>
      <c r="BP11">
        <f t="shared" si="24"/>
        <v>164.45</v>
      </c>
      <c r="BQ11" s="4" t="s">
        <v>242</v>
      </c>
    </row>
    <row r="12" spans="1:69" x14ac:dyDescent="0.4">
      <c r="A12" s="3">
        <v>5</v>
      </c>
      <c r="B12" s="3">
        <v>5</v>
      </c>
      <c r="C12" s="4" t="s">
        <v>68</v>
      </c>
      <c r="D12" s="4" t="str">
        <f t="shared" si="0"/>
        <v>J451WK</v>
      </c>
      <c r="E12" s="4" t="s">
        <v>68</v>
      </c>
      <c r="F12" s="4" t="s">
        <v>102</v>
      </c>
      <c r="G12" s="5">
        <v>4580417610055</v>
      </c>
      <c r="H12" s="5"/>
      <c r="I12" s="5"/>
      <c r="J12" s="5">
        <v>1</v>
      </c>
      <c r="K12" s="5">
        <v>1</v>
      </c>
      <c r="L12" s="4">
        <v>0</v>
      </c>
      <c r="M12" s="4">
        <v>114</v>
      </c>
      <c r="N12" s="4">
        <v>66</v>
      </c>
      <c r="O12" s="6">
        <f t="shared" si="1"/>
        <v>0.42105263157894735</v>
      </c>
      <c r="P12" s="4" t="s">
        <v>238</v>
      </c>
      <c r="Q12" s="4" t="s">
        <v>238</v>
      </c>
      <c r="R12" s="4" t="s">
        <v>238</v>
      </c>
      <c r="S12" s="4" t="s">
        <v>238</v>
      </c>
      <c r="T12" s="4" t="s">
        <v>238</v>
      </c>
      <c r="U12" s="4" t="s">
        <v>238</v>
      </c>
      <c r="V12" s="4" t="s">
        <v>238</v>
      </c>
      <c r="W12" s="4" t="s">
        <v>238</v>
      </c>
      <c r="X12" s="4" t="s">
        <v>238</v>
      </c>
      <c r="Y12" s="4">
        <v>0</v>
      </c>
      <c r="Z12" s="4">
        <f t="shared" si="2"/>
        <v>0</v>
      </c>
      <c r="AA12" s="4">
        <v>76</v>
      </c>
      <c r="AB12" s="4">
        <f t="shared" si="3"/>
        <v>76</v>
      </c>
      <c r="AC12" s="4"/>
      <c r="AD12" s="20">
        <f t="shared" si="4"/>
        <v>131</v>
      </c>
      <c r="AE12" s="6">
        <f t="shared" si="5"/>
        <v>0.41984732824427484</v>
      </c>
      <c r="AF12" s="4">
        <v>17.5</v>
      </c>
      <c r="AG12" s="4">
        <f t="shared" si="6"/>
        <v>152</v>
      </c>
      <c r="AH12" s="4">
        <f t="shared" si="7"/>
        <v>175.03030303030303</v>
      </c>
      <c r="AI12" s="6">
        <f t="shared" si="8"/>
        <v>0.56578947368421051</v>
      </c>
      <c r="AJ12" s="7">
        <v>140</v>
      </c>
      <c r="AK12" s="6">
        <f t="shared" si="9"/>
        <v>0.45714285714285718</v>
      </c>
      <c r="AL12" s="4">
        <f t="shared" si="10"/>
        <v>64</v>
      </c>
      <c r="AM12" s="27"/>
      <c r="AN12" s="6"/>
      <c r="AO12" s="6"/>
      <c r="AP12" s="6" t="e">
        <f t="shared" si="11"/>
        <v>#DIV/0!</v>
      </c>
      <c r="AQ12" s="6">
        <f t="shared" si="12"/>
        <v>1.2280701754385965</v>
      </c>
      <c r="AR12" s="6">
        <f t="shared" si="13"/>
        <v>1.1515151515151516</v>
      </c>
      <c r="AS12" s="4" t="str">
        <f t="shared" si="15"/>
        <v>-</v>
      </c>
      <c r="AT12" s="4" t="str">
        <f t="shared" si="16"/>
        <v>-</v>
      </c>
      <c r="AU12" s="4" t="str">
        <f t="shared" si="17"/>
        <v>-</v>
      </c>
      <c r="AV12" s="4" t="str">
        <f t="shared" si="18"/>
        <v>-</v>
      </c>
      <c r="AW12" s="4" t="str">
        <f t="shared" si="19"/>
        <v>-</v>
      </c>
      <c r="AX12" s="4" t="str">
        <f t="shared" si="20"/>
        <v>-</v>
      </c>
      <c r="AY12" s="4" t="str">
        <f t="shared" si="21"/>
        <v>-</v>
      </c>
      <c r="AZ12" s="4" t="str">
        <f t="shared" si="22"/>
        <v>-</v>
      </c>
      <c r="BA12" s="4" t="str">
        <f t="shared" si="23"/>
        <v>-</v>
      </c>
      <c r="BB12" s="4">
        <v>0</v>
      </c>
      <c r="BC12" s="4" t="s">
        <v>281</v>
      </c>
      <c r="BD12" s="4"/>
      <c r="BE12" s="4"/>
      <c r="BF12" s="4" t="s">
        <v>277</v>
      </c>
      <c r="BG12" s="4">
        <v>152</v>
      </c>
      <c r="BH12" s="4">
        <v>152</v>
      </c>
      <c r="BI12" s="4">
        <f t="shared" si="14"/>
        <v>152</v>
      </c>
      <c r="BJ12" s="18">
        <v>4</v>
      </c>
      <c r="BK12" s="18">
        <v>1</v>
      </c>
      <c r="BL12" s="16">
        <v>18</v>
      </c>
      <c r="BM12" t="s">
        <v>317</v>
      </c>
      <c r="BN12">
        <v>152</v>
      </c>
      <c r="BO12">
        <v>152</v>
      </c>
      <c r="BP12">
        <f t="shared" si="24"/>
        <v>175.03030303030303</v>
      </c>
      <c r="BQ12" s="4" t="s">
        <v>243</v>
      </c>
    </row>
    <row r="13" spans="1:69" x14ac:dyDescent="0.4">
      <c r="A13" s="3">
        <v>6</v>
      </c>
      <c r="B13" s="3">
        <v>6</v>
      </c>
      <c r="C13" s="32" t="s">
        <v>69</v>
      </c>
      <c r="D13" s="4" t="str">
        <f t="shared" si="0"/>
        <v>J462WK</v>
      </c>
      <c r="E13" s="4" t="s">
        <v>69</v>
      </c>
      <c r="F13" s="4" t="s">
        <v>103</v>
      </c>
      <c r="G13" s="5">
        <v>4580417610062</v>
      </c>
      <c r="H13" s="5"/>
      <c r="I13" s="5"/>
      <c r="J13" s="5">
        <v>3</v>
      </c>
      <c r="K13" s="5">
        <v>1</v>
      </c>
      <c r="L13" s="4">
        <v>0</v>
      </c>
      <c r="M13" s="4">
        <v>129</v>
      </c>
      <c r="N13" s="4">
        <v>75</v>
      </c>
      <c r="O13" s="6">
        <f t="shared" si="1"/>
        <v>0.41860465116279066</v>
      </c>
      <c r="P13" s="4" t="s">
        <v>238</v>
      </c>
      <c r="Q13" s="4" t="s">
        <v>238</v>
      </c>
      <c r="R13" s="4" t="s">
        <v>238</v>
      </c>
      <c r="S13" s="4" t="s">
        <v>238</v>
      </c>
      <c r="T13" s="4" t="s">
        <v>238</v>
      </c>
      <c r="U13" s="4" t="s">
        <v>238</v>
      </c>
      <c r="V13" s="4" t="s">
        <v>238</v>
      </c>
      <c r="W13" s="4" t="s">
        <v>238</v>
      </c>
      <c r="X13" s="4" t="s">
        <v>238</v>
      </c>
      <c r="Y13" s="4">
        <v>0</v>
      </c>
      <c r="Z13" s="4">
        <f t="shared" si="2"/>
        <v>0</v>
      </c>
      <c r="AA13" s="4">
        <v>86</v>
      </c>
      <c r="AB13" s="4">
        <f t="shared" si="3"/>
        <v>86</v>
      </c>
      <c r="AC13" s="4"/>
      <c r="AD13" s="20">
        <f t="shared" si="4"/>
        <v>148</v>
      </c>
      <c r="AE13" s="6">
        <f t="shared" si="5"/>
        <v>0.41891891891891897</v>
      </c>
      <c r="AF13" s="4">
        <v>1.25</v>
      </c>
      <c r="AG13" s="4">
        <f t="shared" si="6"/>
        <v>180</v>
      </c>
      <c r="AH13" s="4">
        <f t="shared" si="7"/>
        <v>206.4</v>
      </c>
      <c r="AI13" s="6">
        <f t="shared" si="8"/>
        <v>0.58333333333333337</v>
      </c>
      <c r="AJ13" s="7">
        <v>160</v>
      </c>
      <c r="AK13" s="6">
        <f t="shared" si="9"/>
        <v>0.46250000000000002</v>
      </c>
      <c r="AL13" s="4">
        <f t="shared" si="10"/>
        <v>74</v>
      </c>
      <c r="AM13" s="27"/>
      <c r="AN13" s="6"/>
      <c r="AO13" s="6"/>
      <c r="AP13" s="6" t="e">
        <f t="shared" si="11"/>
        <v>#DIV/0!</v>
      </c>
      <c r="AQ13" s="6">
        <f t="shared" si="12"/>
        <v>1.2403100775193798</v>
      </c>
      <c r="AR13" s="6">
        <f t="shared" si="13"/>
        <v>1.1466666666666667</v>
      </c>
      <c r="AS13" s="4" t="str">
        <f t="shared" si="15"/>
        <v>-</v>
      </c>
      <c r="AT13" s="4" t="str">
        <f t="shared" si="16"/>
        <v>-</v>
      </c>
      <c r="AU13" s="4" t="str">
        <f t="shared" si="17"/>
        <v>-</v>
      </c>
      <c r="AV13" s="4" t="str">
        <f t="shared" si="18"/>
        <v>-</v>
      </c>
      <c r="AW13" s="4" t="str">
        <f t="shared" si="19"/>
        <v>-</v>
      </c>
      <c r="AX13" s="4" t="str">
        <f t="shared" si="20"/>
        <v>-</v>
      </c>
      <c r="AY13" s="4" t="str">
        <f t="shared" si="21"/>
        <v>-</v>
      </c>
      <c r="AZ13" s="4" t="str">
        <f t="shared" si="22"/>
        <v>-</v>
      </c>
      <c r="BA13" s="4" t="str">
        <f t="shared" si="23"/>
        <v>-</v>
      </c>
      <c r="BB13" s="4">
        <v>0</v>
      </c>
      <c r="BC13" s="4" t="s">
        <v>282</v>
      </c>
      <c r="BD13" s="4"/>
      <c r="BE13" s="4"/>
      <c r="BF13" s="4" t="s">
        <v>277</v>
      </c>
      <c r="BG13" s="4">
        <v>180</v>
      </c>
      <c r="BH13" s="4">
        <v>180</v>
      </c>
      <c r="BI13" s="4">
        <f t="shared" si="14"/>
        <v>180</v>
      </c>
      <c r="BJ13" s="18">
        <v>4</v>
      </c>
      <c r="BK13" s="18">
        <v>1</v>
      </c>
      <c r="BL13" s="16">
        <v>18</v>
      </c>
      <c r="BM13" t="s">
        <v>317</v>
      </c>
      <c r="BN13">
        <v>181</v>
      </c>
      <c r="BO13">
        <v>181</v>
      </c>
      <c r="BP13">
        <f t="shared" si="24"/>
        <v>207.54666666666668</v>
      </c>
      <c r="BQ13" s="4" t="s">
        <v>244</v>
      </c>
    </row>
    <row r="14" spans="1:69" x14ac:dyDescent="0.4">
      <c r="A14" s="3">
        <v>59</v>
      </c>
      <c r="B14" s="3">
        <v>6</v>
      </c>
      <c r="C14" s="32" t="s">
        <v>156</v>
      </c>
      <c r="D14" s="4" t="str">
        <f t="shared" si="0"/>
        <v>J0092R</v>
      </c>
      <c r="E14" s="4" t="s">
        <v>157</v>
      </c>
      <c r="F14" s="4" t="s">
        <v>188</v>
      </c>
      <c r="G14" s="5">
        <v>4580417610062</v>
      </c>
      <c r="H14" s="5"/>
      <c r="I14" s="5"/>
      <c r="J14" s="5"/>
      <c r="K14" s="5"/>
      <c r="L14" s="4">
        <v>0</v>
      </c>
      <c r="M14" s="4">
        <v>1020</v>
      </c>
      <c r="N14" s="4">
        <v>548.4</v>
      </c>
      <c r="O14" s="6">
        <f t="shared" si="1"/>
        <v>0.46235294117647063</v>
      </c>
      <c r="P14" s="4" t="s">
        <v>238</v>
      </c>
      <c r="Q14" s="4" t="s">
        <v>238</v>
      </c>
      <c r="R14" s="4" t="s">
        <v>238</v>
      </c>
      <c r="S14" s="4" t="s">
        <v>238</v>
      </c>
      <c r="T14" s="4" t="s">
        <v>238</v>
      </c>
      <c r="U14" s="4" t="s">
        <v>238</v>
      </c>
      <c r="V14" s="4" t="s">
        <v>238</v>
      </c>
      <c r="W14" s="4" t="s">
        <v>238</v>
      </c>
      <c r="X14" s="4" t="s">
        <v>238</v>
      </c>
      <c r="Y14" s="4">
        <v>0</v>
      </c>
      <c r="Z14" s="4">
        <f t="shared" si="2"/>
        <v>0</v>
      </c>
      <c r="AA14" s="4">
        <v>86</v>
      </c>
      <c r="AB14" s="4">
        <f t="shared" si="3"/>
        <v>860</v>
      </c>
      <c r="AC14" s="4">
        <v>10</v>
      </c>
      <c r="AD14" s="20">
        <f t="shared" si="4"/>
        <v>1600</v>
      </c>
      <c r="AE14" s="6">
        <f t="shared" si="5"/>
        <v>0.46250000000000002</v>
      </c>
      <c r="AF14" s="4">
        <v>0</v>
      </c>
      <c r="AG14" s="4">
        <f t="shared" si="6"/>
        <v>1800</v>
      </c>
      <c r="AH14" s="4">
        <f t="shared" si="7"/>
        <v>2822.7571115973742</v>
      </c>
      <c r="AI14" s="6">
        <f t="shared" si="8"/>
        <v>0.69533333333333336</v>
      </c>
      <c r="AJ14" s="7">
        <v>1520</v>
      </c>
      <c r="AK14" s="6">
        <f t="shared" si="9"/>
        <v>0.43421052631578949</v>
      </c>
      <c r="AL14" s="4">
        <f t="shared" si="10"/>
        <v>660</v>
      </c>
      <c r="AM14" s="27"/>
      <c r="AN14" s="6"/>
      <c r="AO14" s="6"/>
      <c r="AP14" s="6" t="e">
        <f t="shared" si="11"/>
        <v>#DIV/0!</v>
      </c>
      <c r="AQ14" s="6">
        <f t="shared" si="12"/>
        <v>1.4901960784313726</v>
      </c>
      <c r="AR14" s="6">
        <f t="shared" si="13"/>
        <v>1.5681983953318746</v>
      </c>
      <c r="AS14" s="4" t="str">
        <f t="shared" si="15"/>
        <v>-</v>
      </c>
      <c r="AT14" s="4" t="str">
        <f t="shared" si="16"/>
        <v>-</v>
      </c>
      <c r="AU14" s="4" t="str">
        <f t="shared" si="17"/>
        <v>-</v>
      </c>
      <c r="AV14" s="4" t="str">
        <f t="shared" si="18"/>
        <v>-</v>
      </c>
      <c r="AW14" s="4" t="str">
        <f t="shared" si="19"/>
        <v>-</v>
      </c>
      <c r="AX14" s="4" t="str">
        <f t="shared" si="20"/>
        <v>-</v>
      </c>
      <c r="AY14" s="4" t="str">
        <f t="shared" si="21"/>
        <v>-</v>
      </c>
      <c r="AZ14" s="4" t="str">
        <f t="shared" si="22"/>
        <v>-</v>
      </c>
      <c r="BA14" s="4" t="str">
        <f t="shared" si="23"/>
        <v>-</v>
      </c>
      <c r="BB14" s="4">
        <v>0</v>
      </c>
      <c r="BC14" s="4" t="s">
        <v>282</v>
      </c>
      <c r="BD14" s="4">
        <v>10</v>
      </c>
      <c r="BE14" s="4">
        <v>1</v>
      </c>
      <c r="BF14" s="4" t="s">
        <v>277</v>
      </c>
      <c r="BG14" s="4">
        <v>180</v>
      </c>
      <c r="BH14" s="4">
        <v>180</v>
      </c>
      <c r="BI14" s="4">
        <f t="shared" si="14"/>
        <v>1800</v>
      </c>
      <c r="BJ14" s="18">
        <v>4</v>
      </c>
      <c r="BK14" s="18">
        <v>1</v>
      </c>
      <c r="BL14" s="16">
        <v>18</v>
      </c>
      <c r="BM14" t="s">
        <v>317</v>
      </c>
      <c r="BN14">
        <v>181</v>
      </c>
      <c r="BO14">
        <v>181</v>
      </c>
      <c r="BP14">
        <f t="shared" si="24"/>
        <v>283.84390955506927</v>
      </c>
      <c r="BQ14" s="4" t="s">
        <v>244</v>
      </c>
    </row>
    <row r="15" spans="1:69" x14ac:dyDescent="0.4">
      <c r="A15" s="3">
        <v>60</v>
      </c>
      <c r="B15" s="3">
        <v>6</v>
      </c>
      <c r="C15" s="32" t="s">
        <v>156</v>
      </c>
      <c r="D15" s="4" t="str">
        <f t="shared" si="0"/>
        <v>J0092R</v>
      </c>
      <c r="E15" s="4" t="s">
        <v>156</v>
      </c>
      <c r="F15" s="4" t="s">
        <v>189</v>
      </c>
      <c r="G15" s="5">
        <v>4580417610062</v>
      </c>
      <c r="H15" s="5"/>
      <c r="I15" s="5"/>
      <c r="J15" s="5"/>
      <c r="K15" s="5"/>
      <c r="L15" s="4">
        <v>0</v>
      </c>
      <c r="M15" s="4">
        <v>109</v>
      </c>
      <c r="N15" s="4">
        <v>54.84</v>
      </c>
      <c r="O15" s="6">
        <f t="shared" si="1"/>
        <v>0.49688073394495413</v>
      </c>
      <c r="P15" s="4" t="s">
        <v>238</v>
      </c>
      <c r="Q15" s="4" t="s">
        <v>238</v>
      </c>
      <c r="R15" s="4" t="s">
        <v>238</v>
      </c>
      <c r="S15" s="4" t="s">
        <v>238</v>
      </c>
      <c r="T15" s="4" t="s">
        <v>238</v>
      </c>
      <c r="U15" s="4" t="s">
        <v>238</v>
      </c>
      <c r="V15" s="4" t="s">
        <v>238</v>
      </c>
      <c r="W15" s="4" t="s">
        <v>238</v>
      </c>
      <c r="X15" s="4" t="s">
        <v>238</v>
      </c>
      <c r="Y15" s="4">
        <v>0</v>
      </c>
      <c r="Z15" s="4">
        <f t="shared" si="2"/>
        <v>0</v>
      </c>
      <c r="AA15" s="4">
        <v>86</v>
      </c>
      <c r="AB15" s="4">
        <f t="shared" si="3"/>
        <v>86</v>
      </c>
      <c r="AC15" s="4"/>
      <c r="AD15" s="20">
        <f t="shared" si="4"/>
        <v>171</v>
      </c>
      <c r="AE15" s="6">
        <f t="shared" si="5"/>
        <v>0.49707602339181289</v>
      </c>
      <c r="AF15" s="4">
        <v>0</v>
      </c>
      <c r="AG15" s="4">
        <f t="shared" si="6"/>
        <v>180</v>
      </c>
      <c r="AH15" s="4">
        <f t="shared" si="7"/>
        <v>282.2757111597374</v>
      </c>
      <c r="AI15" s="6">
        <f t="shared" si="8"/>
        <v>0.69533333333333336</v>
      </c>
      <c r="AJ15" s="7">
        <v>160</v>
      </c>
      <c r="AK15" s="6">
        <f t="shared" si="9"/>
        <v>0.46250000000000002</v>
      </c>
      <c r="AL15" s="4">
        <f t="shared" si="10"/>
        <v>74</v>
      </c>
      <c r="AM15" s="27"/>
      <c r="AN15" s="6"/>
      <c r="AO15" s="6"/>
      <c r="AP15" s="6" t="e">
        <f t="shared" si="11"/>
        <v>#DIV/0!</v>
      </c>
      <c r="AQ15" s="6">
        <f t="shared" si="12"/>
        <v>1.4678899082568808</v>
      </c>
      <c r="AR15" s="6">
        <f t="shared" si="13"/>
        <v>1.5681983953318746</v>
      </c>
      <c r="AS15" s="4" t="str">
        <f t="shared" si="15"/>
        <v>-</v>
      </c>
      <c r="AT15" s="4" t="str">
        <f t="shared" si="16"/>
        <v>-</v>
      </c>
      <c r="AU15" s="4" t="str">
        <f t="shared" si="17"/>
        <v>-</v>
      </c>
      <c r="AV15" s="4" t="str">
        <f t="shared" si="18"/>
        <v>-</v>
      </c>
      <c r="AW15" s="4" t="str">
        <f t="shared" si="19"/>
        <v>-</v>
      </c>
      <c r="AX15" s="4" t="str">
        <f t="shared" si="20"/>
        <v>-</v>
      </c>
      <c r="AY15" s="4" t="str">
        <f t="shared" si="21"/>
        <v>-</v>
      </c>
      <c r="AZ15" s="4" t="str">
        <f t="shared" si="22"/>
        <v>-</v>
      </c>
      <c r="BA15" s="4" t="str">
        <f t="shared" si="23"/>
        <v>-</v>
      </c>
      <c r="BB15" s="4">
        <v>0</v>
      </c>
      <c r="BC15" s="4" t="s">
        <v>282</v>
      </c>
      <c r="BD15" s="4"/>
      <c r="BE15" s="4"/>
      <c r="BF15" s="4" t="s">
        <v>277</v>
      </c>
      <c r="BG15" s="4">
        <v>180</v>
      </c>
      <c r="BH15" s="4">
        <v>180</v>
      </c>
      <c r="BI15" s="4">
        <f t="shared" si="14"/>
        <v>180</v>
      </c>
      <c r="BJ15" s="18">
        <v>4</v>
      </c>
      <c r="BK15" s="18">
        <v>1</v>
      </c>
      <c r="BL15" s="16">
        <v>18</v>
      </c>
      <c r="BM15" t="s">
        <v>317</v>
      </c>
      <c r="BN15">
        <v>181</v>
      </c>
      <c r="BO15">
        <v>181</v>
      </c>
      <c r="BP15">
        <f t="shared" si="24"/>
        <v>283.84390955506927</v>
      </c>
      <c r="BQ15" s="4" t="s">
        <v>244</v>
      </c>
    </row>
    <row r="16" spans="1:69" x14ac:dyDescent="0.4">
      <c r="A16" s="3">
        <v>7</v>
      </c>
      <c r="B16" s="3">
        <v>7</v>
      </c>
      <c r="C16" s="32" t="s">
        <v>70</v>
      </c>
      <c r="D16" s="4" t="str">
        <f t="shared" si="0"/>
        <v>J4430X</v>
      </c>
      <c r="E16" s="4" t="s">
        <v>70</v>
      </c>
      <c r="F16" s="4" t="s">
        <v>104</v>
      </c>
      <c r="G16" s="5">
        <v>4580417610079</v>
      </c>
      <c r="H16" s="5"/>
      <c r="I16" s="5"/>
      <c r="J16" s="5">
        <v>4</v>
      </c>
      <c r="K16" s="5">
        <v>2</v>
      </c>
      <c r="L16" s="4">
        <v>0</v>
      </c>
      <c r="M16" s="4">
        <v>140</v>
      </c>
      <c r="N16" s="4">
        <v>81</v>
      </c>
      <c r="O16" s="6">
        <f t="shared" si="1"/>
        <v>0.42142857142857137</v>
      </c>
      <c r="P16" s="4" t="s">
        <v>238</v>
      </c>
      <c r="Q16" s="4" t="s">
        <v>238</v>
      </c>
      <c r="R16" s="4" t="s">
        <v>238</v>
      </c>
      <c r="S16" s="4" t="s">
        <v>238</v>
      </c>
      <c r="T16" s="4" t="s">
        <v>238</v>
      </c>
      <c r="U16" s="4" t="s">
        <v>238</v>
      </c>
      <c r="V16" s="4" t="s">
        <v>238</v>
      </c>
      <c r="W16" s="4" t="s">
        <v>238</v>
      </c>
      <c r="X16" s="4" t="s">
        <v>238</v>
      </c>
      <c r="Y16" s="4">
        <v>0</v>
      </c>
      <c r="Z16" s="4">
        <f t="shared" si="2"/>
        <v>0</v>
      </c>
      <c r="AA16" s="4">
        <v>93</v>
      </c>
      <c r="AB16" s="4">
        <f t="shared" si="3"/>
        <v>93</v>
      </c>
      <c r="AC16" s="4"/>
      <c r="AD16" s="20">
        <f t="shared" si="4"/>
        <v>161</v>
      </c>
      <c r="AE16" s="6">
        <f t="shared" si="5"/>
        <v>0.42236024844720499</v>
      </c>
      <c r="AF16" s="4">
        <v>38.25</v>
      </c>
      <c r="AG16" s="4">
        <f t="shared" si="6"/>
        <v>200</v>
      </c>
      <c r="AH16" s="4">
        <f t="shared" si="7"/>
        <v>229.62962962962962</v>
      </c>
      <c r="AI16" s="6">
        <f t="shared" si="8"/>
        <v>0.59499999999999997</v>
      </c>
      <c r="AJ16" s="7">
        <v>170</v>
      </c>
      <c r="AK16" s="6">
        <f t="shared" si="9"/>
        <v>0.45294117647058818</v>
      </c>
      <c r="AL16" s="4">
        <f t="shared" si="10"/>
        <v>77</v>
      </c>
      <c r="AM16" s="27"/>
      <c r="AN16" s="6"/>
      <c r="AO16" s="6"/>
      <c r="AP16" s="6" t="e">
        <f t="shared" si="11"/>
        <v>#DIV/0!</v>
      </c>
      <c r="AQ16" s="6">
        <f t="shared" si="12"/>
        <v>1.2142857142857142</v>
      </c>
      <c r="AR16" s="6">
        <f t="shared" si="13"/>
        <v>1.1481481481481481</v>
      </c>
      <c r="AS16" s="4" t="str">
        <f t="shared" si="15"/>
        <v>-</v>
      </c>
      <c r="AT16" s="4" t="str">
        <f t="shared" si="16"/>
        <v>-</v>
      </c>
      <c r="AU16" s="4" t="str">
        <f t="shared" si="17"/>
        <v>-</v>
      </c>
      <c r="AV16" s="4" t="str">
        <f t="shared" si="18"/>
        <v>-</v>
      </c>
      <c r="AW16" s="4" t="str">
        <f t="shared" si="19"/>
        <v>-</v>
      </c>
      <c r="AX16" s="4" t="str">
        <f t="shared" si="20"/>
        <v>-</v>
      </c>
      <c r="AY16" s="4" t="str">
        <f t="shared" si="21"/>
        <v>-</v>
      </c>
      <c r="AZ16" s="4" t="str">
        <f t="shared" si="22"/>
        <v>-</v>
      </c>
      <c r="BA16" s="4" t="str">
        <f t="shared" si="23"/>
        <v>-</v>
      </c>
      <c r="BB16" s="4">
        <v>0</v>
      </c>
      <c r="BC16" s="4" t="s">
        <v>283</v>
      </c>
      <c r="BD16" s="4"/>
      <c r="BE16" s="4"/>
      <c r="BF16" s="4" t="s">
        <v>277</v>
      </c>
      <c r="BG16" s="4">
        <v>200</v>
      </c>
      <c r="BH16" s="4">
        <v>200</v>
      </c>
      <c r="BI16" s="4">
        <f t="shared" si="14"/>
        <v>200</v>
      </c>
      <c r="BJ16" s="18">
        <v>4</v>
      </c>
      <c r="BK16" s="18">
        <v>1</v>
      </c>
      <c r="BL16" s="16">
        <v>18</v>
      </c>
      <c r="BM16" t="s">
        <v>317</v>
      </c>
      <c r="BN16">
        <v>200</v>
      </c>
      <c r="BO16">
        <v>200</v>
      </c>
      <c r="BP16">
        <f t="shared" si="24"/>
        <v>229.62962962962962</v>
      </c>
      <c r="BQ16" s="4" t="s">
        <v>245</v>
      </c>
    </row>
    <row r="17" spans="1:69" x14ac:dyDescent="0.4">
      <c r="A17" s="3">
        <v>81</v>
      </c>
      <c r="B17" s="3">
        <v>7</v>
      </c>
      <c r="C17" s="32" t="s">
        <v>70</v>
      </c>
      <c r="D17" s="4" t="str">
        <f t="shared" si="0"/>
        <v>J4430X</v>
      </c>
      <c r="E17" s="4" t="s">
        <v>177</v>
      </c>
      <c r="F17" s="4" t="s">
        <v>210</v>
      </c>
      <c r="G17" s="5">
        <v>4580417610079</v>
      </c>
      <c r="H17" s="5"/>
      <c r="I17" s="5"/>
      <c r="J17" s="5"/>
      <c r="K17" s="5"/>
      <c r="L17" s="4">
        <v>0</v>
      </c>
      <c r="M17" s="4">
        <v>1330</v>
      </c>
      <c r="N17" s="4">
        <v>810</v>
      </c>
      <c r="O17" s="6">
        <f t="shared" si="1"/>
        <v>0.39097744360902253</v>
      </c>
      <c r="P17" s="4" t="s">
        <v>238</v>
      </c>
      <c r="Q17" s="4" t="s">
        <v>238</v>
      </c>
      <c r="R17" s="4" t="s">
        <v>238</v>
      </c>
      <c r="S17" s="4" t="s">
        <v>238</v>
      </c>
      <c r="T17" s="4" t="s">
        <v>238</v>
      </c>
      <c r="U17" s="4" t="s">
        <v>238</v>
      </c>
      <c r="V17" s="4" t="s">
        <v>238</v>
      </c>
      <c r="W17" s="4" t="s">
        <v>238</v>
      </c>
      <c r="X17" s="4" t="s">
        <v>238</v>
      </c>
      <c r="Y17" s="4">
        <v>0</v>
      </c>
      <c r="Z17" s="4">
        <f t="shared" si="2"/>
        <v>0</v>
      </c>
      <c r="AA17" s="4">
        <v>93</v>
      </c>
      <c r="AB17" s="4">
        <f t="shared" si="3"/>
        <v>930</v>
      </c>
      <c r="AC17" s="4">
        <v>10</v>
      </c>
      <c r="AD17" s="20">
        <f t="shared" si="4"/>
        <v>1527</v>
      </c>
      <c r="AE17" s="6">
        <f t="shared" si="5"/>
        <v>0.39096267190569745</v>
      </c>
      <c r="AF17" s="4">
        <v>38.25</v>
      </c>
      <c r="AG17" s="4">
        <f t="shared" si="6"/>
        <v>2000</v>
      </c>
      <c r="AH17" s="4">
        <f t="shared" si="7"/>
        <v>2296.2962962962961</v>
      </c>
      <c r="AI17" s="6">
        <f t="shared" si="8"/>
        <v>0.59499999999999997</v>
      </c>
      <c r="AJ17" s="7">
        <v>1600</v>
      </c>
      <c r="AK17" s="6">
        <f t="shared" si="9"/>
        <v>0.41874999999999996</v>
      </c>
      <c r="AL17" s="4">
        <f t="shared" si="10"/>
        <v>670</v>
      </c>
      <c r="AM17" s="27"/>
      <c r="AN17" s="6"/>
      <c r="AO17" s="6"/>
      <c r="AP17" s="6" t="e">
        <f t="shared" si="11"/>
        <v>#DIV/0!</v>
      </c>
      <c r="AQ17" s="6">
        <f t="shared" si="12"/>
        <v>1.2030075187969924</v>
      </c>
      <c r="AR17" s="6">
        <f t="shared" si="13"/>
        <v>1.1481481481481481</v>
      </c>
      <c r="AS17" s="4" t="str">
        <f t="shared" si="15"/>
        <v>-</v>
      </c>
      <c r="AT17" s="4" t="str">
        <f t="shared" si="16"/>
        <v>-</v>
      </c>
      <c r="AU17" s="4" t="str">
        <f t="shared" si="17"/>
        <v>-</v>
      </c>
      <c r="AV17" s="4" t="str">
        <f t="shared" si="18"/>
        <v>-</v>
      </c>
      <c r="AW17" s="4" t="str">
        <f t="shared" si="19"/>
        <v>-</v>
      </c>
      <c r="AX17" s="4" t="str">
        <f t="shared" si="20"/>
        <v>-</v>
      </c>
      <c r="AY17" s="4" t="str">
        <f t="shared" si="21"/>
        <v>-</v>
      </c>
      <c r="AZ17" s="4" t="str">
        <f t="shared" si="22"/>
        <v>-</v>
      </c>
      <c r="BA17" s="4" t="str">
        <f t="shared" si="23"/>
        <v>-</v>
      </c>
      <c r="BB17" s="4">
        <v>0</v>
      </c>
      <c r="BC17" s="4" t="s">
        <v>283</v>
      </c>
      <c r="BD17" s="4">
        <v>10</v>
      </c>
      <c r="BE17" s="4">
        <v>1</v>
      </c>
      <c r="BF17" s="4" t="s">
        <v>277</v>
      </c>
      <c r="BG17" s="4">
        <v>200</v>
      </c>
      <c r="BH17" s="4">
        <v>200</v>
      </c>
      <c r="BI17" s="4">
        <f t="shared" si="14"/>
        <v>2000</v>
      </c>
      <c r="BJ17" s="18">
        <v>4</v>
      </c>
      <c r="BK17" s="18">
        <v>1</v>
      </c>
      <c r="BL17" s="16">
        <v>18</v>
      </c>
      <c r="BM17" t="s">
        <v>317</v>
      </c>
      <c r="BN17">
        <v>200</v>
      </c>
      <c r="BO17">
        <v>200</v>
      </c>
      <c r="BP17">
        <f t="shared" si="24"/>
        <v>229.62962962962962</v>
      </c>
      <c r="BQ17" s="4" t="s">
        <v>245</v>
      </c>
    </row>
    <row r="18" spans="1:69" x14ac:dyDescent="0.4">
      <c r="A18" s="3">
        <v>82</v>
      </c>
      <c r="B18" s="3">
        <v>7</v>
      </c>
      <c r="C18" s="32" t="s">
        <v>178</v>
      </c>
      <c r="D18" s="4" t="str">
        <f t="shared" si="0"/>
        <v>J0093R</v>
      </c>
      <c r="E18" s="4" t="s">
        <v>179</v>
      </c>
      <c r="F18" s="4" t="s">
        <v>211</v>
      </c>
      <c r="G18" s="5">
        <v>4580417610079</v>
      </c>
      <c r="H18" s="5"/>
      <c r="I18" s="5"/>
      <c r="J18" s="5"/>
      <c r="K18" s="5"/>
      <c r="L18" s="4">
        <v>0</v>
      </c>
      <c r="M18" s="4">
        <v>1090</v>
      </c>
      <c r="N18" s="4">
        <v>688.8</v>
      </c>
      <c r="O18" s="6">
        <f t="shared" si="1"/>
        <v>0.36807339449541288</v>
      </c>
      <c r="P18" s="4" t="s">
        <v>238</v>
      </c>
      <c r="Q18" s="4" t="s">
        <v>238</v>
      </c>
      <c r="R18" s="4" t="s">
        <v>238</v>
      </c>
      <c r="S18" s="4" t="s">
        <v>238</v>
      </c>
      <c r="T18" s="4" t="s">
        <v>238</v>
      </c>
      <c r="U18" s="4" t="s">
        <v>238</v>
      </c>
      <c r="V18" s="4" t="s">
        <v>238</v>
      </c>
      <c r="W18" s="4" t="s">
        <v>238</v>
      </c>
      <c r="X18" s="4" t="s">
        <v>238</v>
      </c>
      <c r="Y18" s="4">
        <v>0</v>
      </c>
      <c r="Z18" s="4">
        <f t="shared" si="2"/>
        <v>0</v>
      </c>
      <c r="AA18" s="4">
        <v>93</v>
      </c>
      <c r="AB18" s="4">
        <f t="shared" si="3"/>
        <v>930</v>
      </c>
      <c r="AC18" s="4">
        <v>10</v>
      </c>
      <c r="AD18" s="20">
        <f t="shared" si="4"/>
        <v>1472</v>
      </c>
      <c r="AE18" s="6">
        <f t="shared" si="5"/>
        <v>0.36820652173913049</v>
      </c>
      <c r="AF18" s="4">
        <v>0</v>
      </c>
      <c r="AG18" s="4">
        <f t="shared" si="6"/>
        <v>2000</v>
      </c>
      <c r="AH18" s="4">
        <f t="shared" si="7"/>
        <v>2700.3484320557495</v>
      </c>
      <c r="AI18" s="6">
        <f t="shared" si="8"/>
        <v>0.65560000000000007</v>
      </c>
      <c r="AJ18" s="7">
        <v>1600</v>
      </c>
      <c r="AK18" s="6">
        <f t="shared" si="9"/>
        <v>0.41874999999999996</v>
      </c>
      <c r="AL18" s="4">
        <f t="shared" si="10"/>
        <v>670</v>
      </c>
      <c r="AM18" s="27"/>
      <c r="AN18" s="6"/>
      <c r="AO18" s="6"/>
      <c r="AP18" s="6" t="e">
        <f t="shared" si="11"/>
        <v>#DIV/0!</v>
      </c>
      <c r="AQ18" s="6">
        <f t="shared" si="12"/>
        <v>1.4678899082568808</v>
      </c>
      <c r="AR18" s="6">
        <f t="shared" si="13"/>
        <v>1.3501742160278747</v>
      </c>
      <c r="AS18" s="4" t="str">
        <f t="shared" si="15"/>
        <v>-</v>
      </c>
      <c r="AT18" s="4" t="str">
        <f t="shared" si="16"/>
        <v>-</v>
      </c>
      <c r="AU18" s="4" t="str">
        <f t="shared" si="17"/>
        <v>-</v>
      </c>
      <c r="AV18" s="4" t="str">
        <f t="shared" si="18"/>
        <v>-</v>
      </c>
      <c r="AW18" s="4" t="str">
        <f t="shared" si="19"/>
        <v>-</v>
      </c>
      <c r="AX18" s="4" t="str">
        <f t="shared" si="20"/>
        <v>-</v>
      </c>
      <c r="AY18" s="4" t="str">
        <f t="shared" si="21"/>
        <v>-</v>
      </c>
      <c r="AZ18" s="4" t="str">
        <f t="shared" si="22"/>
        <v>-</v>
      </c>
      <c r="BA18" s="4" t="str">
        <f t="shared" si="23"/>
        <v>-</v>
      </c>
      <c r="BB18" s="4">
        <v>0</v>
      </c>
      <c r="BC18" s="4" t="s">
        <v>283</v>
      </c>
      <c r="BD18" s="4">
        <v>10</v>
      </c>
      <c r="BE18" s="4">
        <v>1</v>
      </c>
      <c r="BF18" s="4" t="s">
        <v>277</v>
      </c>
      <c r="BG18" s="4">
        <v>200</v>
      </c>
      <c r="BH18" s="4">
        <v>200</v>
      </c>
      <c r="BI18" s="4">
        <f t="shared" si="14"/>
        <v>2000</v>
      </c>
      <c r="BJ18" s="18">
        <v>4</v>
      </c>
      <c r="BK18" s="18">
        <v>1</v>
      </c>
      <c r="BL18" s="16">
        <v>18</v>
      </c>
      <c r="BM18" t="s">
        <v>317</v>
      </c>
      <c r="BN18">
        <v>200</v>
      </c>
      <c r="BO18">
        <v>200</v>
      </c>
      <c r="BP18">
        <f t="shared" si="24"/>
        <v>270.03484320557493</v>
      </c>
      <c r="BQ18" s="4" t="s">
        <v>245</v>
      </c>
    </row>
    <row r="19" spans="1:69" x14ac:dyDescent="0.4">
      <c r="A19" s="3">
        <v>83</v>
      </c>
      <c r="B19" s="3">
        <v>7</v>
      </c>
      <c r="C19" s="32" t="s">
        <v>178</v>
      </c>
      <c r="D19" s="4" t="str">
        <f t="shared" si="0"/>
        <v>J0093R</v>
      </c>
      <c r="E19" s="4" t="s">
        <v>178</v>
      </c>
      <c r="F19" s="4" t="s">
        <v>212</v>
      </c>
      <c r="G19" s="5">
        <v>4580417610079</v>
      </c>
      <c r="H19" s="5"/>
      <c r="I19" s="5"/>
      <c r="J19" s="5"/>
      <c r="K19" s="5"/>
      <c r="L19" s="4">
        <v>0</v>
      </c>
      <c r="M19" s="4">
        <v>116</v>
      </c>
      <c r="N19" s="4">
        <v>68.88</v>
      </c>
      <c r="O19" s="6">
        <f t="shared" si="1"/>
        <v>0.40620689655172415</v>
      </c>
      <c r="P19" s="4" t="s">
        <v>238</v>
      </c>
      <c r="Q19" s="4" t="s">
        <v>238</v>
      </c>
      <c r="R19" s="4" t="s">
        <v>238</v>
      </c>
      <c r="S19" s="4" t="s">
        <v>238</v>
      </c>
      <c r="T19" s="4" t="s">
        <v>238</v>
      </c>
      <c r="U19" s="4" t="s">
        <v>238</v>
      </c>
      <c r="V19" s="4" t="s">
        <v>238</v>
      </c>
      <c r="W19" s="4" t="s">
        <v>238</v>
      </c>
      <c r="X19" s="4" t="s">
        <v>238</v>
      </c>
      <c r="Y19" s="4">
        <v>0</v>
      </c>
      <c r="Z19" s="4">
        <f t="shared" si="2"/>
        <v>0</v>
      </c>
      <c r="AA19" s="4">
        <v>93</v>
      </c>
      <c r="AB19" s="4">
        <f t="shared" si="3"/>
        <v>93</v>
      </c>
      <c r="AC19" s="4"/>
      <c r="AD19" s="20">
        <f t="shared" si="4"/>
        <v>157</v>
      </c>
      <c r="AE19" s="6">
        <f t="shared" si="5"/>
        <v>0.40764331210191085</v>
      </c>
      <c r="AF19" s="4">
        <v>0</v>
      </c>
      <c r="AG19" s="4">
        <f t="shared" si="6"/>
        <v>200</v>
      </c>
      <c r="AH19" s="4">
        <f t="shared" si="7"/>
        <v>270.03484320557493</v>
      </c>
      <c r="AI19" s="6">
        <f t="shared" si="8"/>
        <v>0.65559999999999996</v>
      </c>
      <c r="AJ19" s="7">
        <v>170</v>
      </c>
      <c r="AK19" s="6">
        <f t="shared" si="9"/>
        <v>0.45294117647058818</v>
      </c>
      <c r="AL19" s="4">
        <f t="shared" si="10"/>
        <v>77</v>
      </c>
      <c r="AM19" s="27"/>
      <c r="AN19" s="6"/>
      <c r="AO19" s="6"/>
      <c r="AP19" s="6" t="e">
        <f t="shared" si="11"/>
        <v>#DIV/0!</v>
      </c>
      <c r="AQ19" s="6">
        <f t="shared" si="12"/>
        <v>1.4655172413793103</v>
      </c>
      <c r="AR19" s="6">
        <f t="shared" si="13"/>
        <v>1.3501742160278747</v>
      </c>
      <c r="AS19" s="4" t="str">
        <f t="shared" si="15"/>
        <v>-</v>
      </c>
      <c r="AT19" s="4" t="str">
        <f t="shared" si="16"/>
        <v>-</v>
      </c>
      <c r="AU19" s="4" t="str">
        <f t="shared" si="17"/>
        <v>-</v>
      </c>
      <c r="AV19" s="4" t="str">
        <f t="shared" si="18"/>
        <v>-</v>
      </c>
      <c r="AW19" s="4" t="str">
        <f t="shared" si="19"/>
        <v>-</v>
      </c>
      <c r="AX19" s="4" t="str">
        <f t="shared" si="20"/>
        <v>-</v>
      </c>
      <c r="AY19" s="4" t="str">
        <f t="shared" si="21"/>
        <v>-</v>
      </c>
      <c r="AZ19" s="4" t="str">
        <f t="shared" si="22"/>
        <v>-</v>
      </c>
      <c r="BA19" s="4" t="str">
        <f t="shared" si="23"/>
        <v>-</v>
      </c>
      <c r="BB19" s="4">
        <v>0</v>
      </c>
      <c r="BC19" s="4" t="s">
        <v>283</v>
      </c>
      <c r="BD19" s="4"/>
      <c r="BE19" s="4"/>
      <c r="BF19" s="4" t="s">
        <v>277</v>
      </c>
      <c r="BG19" s="4">
        <v>200</v>
      </c>
      <c r="BH19" s="4">
        <v>200</v>
      </c>
      <c r="BI19" s="4">
        <f t="shared" si="14"/>
        <v>200</v>
      </c>
      <c r="BJ19" s="18">
        <v>4</v>
      </c>
      <c r="BK19" s="18">
        <v>1</v>
      </c>
      <c r="BL19" s="16">
        <v>18</v>
      </c>
      <c r="BM19" t="s">
        <v>317</v>
      </c>
      <c r="BN19">
        <v>200</v>
      </c>
      <c r="BO19">
        <v>200</v>
      </c>
      <c r="BP19">
        <f t="shared" si="24"/>
        <v>270.03484320557493</v>
      </c>
      <c r="BQ19" s="4" t="s">
        <v>245</v>
      </c>
    </row>
    <row r="20" spans="1:69" x14ac:dyDescent="0.4">
      <c r="A20" s="3">
        <v>8</v>
      </c>
      <c r="B20" s="3">
        <v>8</v>
      </c>
      <c r="C20" s="32" t="s">
        <v>71</v>
      </c>
      <c r="D20" s="4" t="str">
        <f t="shared" si="0"/>
        <v>J464WK</v>
      </c>
      <c r="E20" s="4" t="s">
        <v>71</v>
      </c>
      <c r="F20" s="4" t="s">
        <v>105</v>
      </c>
      <c r="G20" s="5">
        <v>4580417610086</v>
      </c>
      <c r="H20" s="5"/>
      <c r="I20" s="5"/>
      <c r="J20" s="5">
        <v>3</v>
      </c>
      <c r="K20" s="5">
        <v>1</v>
      </c>
      <c r="L20" s="4">
        <v>0</v>
      </c>
      <c r="M20" s="4">
        <v>157</v>
      </c>
      <c r="N20" s="4">
        <v>91</v>
      </c>
      <c r="O20" s="6">
        <f t="shared" si="1"/>
        <v>0.42038216560509556</v>
      </c>
      <c r="P20" s="4" t="s">
        <v>238</v>
      </c>
      <c r="Q20" s="4" t="s">
        <v>238</v>
      </c>
      <c r="R20" s="4" t="s">
        <v>238</v>
      </c>
      <c r="S20" s="4" t="s">
        <v>238</v>
      </c>
      <c r="T20" s="4" t="s">
        <v>238</v>
      </c>
      <c r="U20" s="4" t="s">
        <v>238</v>
      </c>
      <c r="V20" s="4" t="s">
        <v>238</v>
      </c>
      <c r="W20" s="4" t="s">
        <v>238</v>
      </c>
      <c r="X20" s="4" t="s">
        <v>238</v>
      </c>
      <c r="Y20" s="4">
        <v>0</v>
      </c>
      <c r="Z20" s="4">
        <f t="shared" si="2"/>
        <v>0</v>
      </c>
      <c r="AA20" s="4">
        <v>105</v>
      </c>
      <c r="AB20" s="4">
        <f t="shared" si="3"/>
        <v>105</v>
      </c>
      <c r="AC20" s="4"/>
      <c r="AD20" s="20">
        <f t="shared" si="4"/>
        <v>181</v>
      </c>
      <c r="AE20" s="6">
        <f t="shared" si="5"/>
        <v>0.41988950276243098</v>
      </c>
      <c r="AF20" s="4">
        <v>4.25</v>
      </c>
      <c r="AG20" s="4">
        <f t="shared" si="6"/>
        <v>190</v>
      </c>
      <c r="AH20" s="4">
        <f t="shared" si="7"/>
        <v>219.2307692307692</v>
      </c>
      <c r="AI20" s="6">
        <f t="shared" si="8"/>
        <v>0.52105263157894732</v>
      </c>
      <c r="AJ20" s="7">
        <v>190</v>
      </c>
      <c r="AK20" s="6">
        <f t="shared" si="9"/>
        <v>0.44736842105263153</v>
      </c>
      <c r="AL20" s="4">
        <f t="shared" si="10"/>
        <v>85</v>
      </c>
      <c r="AM20" s="27"/>
      <c r="AN20" s="6"/>
      <c r="AO20" s="6"/>
      <c r="AP20" s="6" t="e">
        <f t="shared" si="11"/>
        <v>#DIV/0!</v>
      </c>
      <c r="AQ20" s="6">
        <f t="shared" si="12"/>
        <v>1.2101910828025477</v>
      </c>
      <c r="AR20" s="6">
        <f t="shared" si="13"/>
        <v>1.1538461538461537</v>
      </c>
      <c r="AS20" s="4" t="str">
        <f t="shared" si="15"/>
        <v>-</v>
      </c>
      <c r="AT20" s="4" t="str">
        <f t="shared" si="16"/>
        <v>-</v>
      </c>
      <c r="AU20" s="4" t="str">
        <f t="shared" si="17"/>
        <v>-</v>
      </c>
      <c r="AV20" s="4" t="str">
        <f t="shared" si="18"/>
        <v>-</v>
      </c>
      <c r="AW20" s="4" t="str">
        <f t="shared" si="19"/>
        <v>-</v>
      </c>
      <c r="AX20" s="4" t="str">
        <f t="shared" si="20"/>
        <v>-</v>
      </c>
      <c r="AY20" s="4" t="str">
        <f t="shared" si="21"/>
        <v>-</v>
      </c>
      <c r="AZ20" s="4" t="str">
        <f t="shared" si="22"/>
        <v>-</v>
      </c>
      <c r="BA20" s="4" t="str">
        <f t="shared" si="23"/>
        <v>-</v>
      </c>
      <c r="BB20" s="4">
        <v>0</v>
      </c>
      <c r="BC20" s="4" t="s">
        <v>284</v>
      </c>
      <c r="BD20" s="4"/>
      <c r="BE20" s="4"/>
      <c r="BF20" s="4" t="s">
        <v>277</v>
      </c>
      <c r="BG20" s="4">
        <v>190</v>
      </c>
      <c r="BH20" s="4">
        <v>190</v>
      </c>
      <c r="BI20" s="4">
        <f t="shared" si="14"/>
        <v>190</v>
      </c>
      <c r="BJ20" s="18">
        <v>4</v>
      </c>
      <c r="BK20" s="18">
        <v>1</v>
      </c>
      <c r="BL20" s="16">
        <v>18</v>
      </c>
      <c r="BM20" t="s">
        <v>317</v>
      </c>
      <c r="BN20">
        <v>190</v>
      </c>
      <c r="BO20">
        <v>190</v>
      </c>
      <c r="BP20">
        <f t="shared" si="24"/>
        <v>219.2307692307692</v>
      </c>
      <c r="BQ20" s="4" t="s">
        <v>246</v>
      </c>
    </row>
    <row r="21" spans="1:69" x14ac:dyDescent="0.4">
      <c r="A21" s="3">
        <v>61</v>
      </c>
      <c r="B21" s="3">
        <v>8</v>
      </c>
      <c r="C21" s="32" t="s">
        <v>158</v>
      </c>
      <c r="D21" s="4" t="str">
        <f t="shared" si="0"/>
        <v>J0095R</v>
      </c>
      <c r="E21" s="4" t="s">
        <v>162</v>
      </c>
      <c r="F21" s="4" t="s">
        <v>190</v>
      </c>
      <c r="G21" s="5">
        <v>4580417610086</v>
      </c>
      <c r="H21" s="5"/>
      <c r="I21" s="5"/>
      <c r="J21" s="5"/>
      <c r="K21" s="5"/>
      <c r="L21" s="4">
        <v>0</v>
      </c>
      <c r="M21" s="4">
        <v>1220</v>
      </c>
      <c r="N21" s="4">
        <v>714</v>
      </c>
      <c r="O21" s="6">
        <f t="shared" si="1"/>
        <v>0.41475409836065569</v>
      </c>
      <c r="P21" s="4" t="s">
        <v>238</v>
      </c>
      <c r="Q21" s="4" t="s">
        <v>238</v>
      </c>
      <c r="R21" s="4" t="s">
        <v>238</v>
      </c>
      <c r="S21" s="4" t="s">
        <v>238</v>
      </c>
      <c r="T21" s="4" t="s">
        <v>238</v>
      </c>
      <c r="U21" s="4" t="s">
        <v>238</v>
      </c>
      <c r="V21" s="4" t="s">
        <v>238</v>
      </c>
      <c r="W21" s="4" t="s">
        <v>238</v>
      </c>
      <c r="X21" s="4" t="s">
        <v>238</v>
      </c>
      <c r="Y21" s="4">
        <v>0</v>
      </c>
      <c r="Z21" s="4">
        <f t="shared" si="2"/>
        <v>0</v>
      </c>
      <c r="AA21" s="4">
        <v>105</v>
      </c>
      <c r="AB21" s="4">
        <f t="shared" si="3"/>
        <v>1050</v>
      </c>
      <c r="AC21" s="4">
        <v>10</v>
      </c>
      <c r="AD21" s="20">
        <f t="shared" si="4"/>
        <v>1794</v>
      </c>
      <c r="AE21" s="6">
        <f t="shared" si="5"/>
        <v>0.4147157190635451</v>
      </c>
      <c r="AF21" s="4">
        <v>0</v>
      </c>
      <c r="AG21" s="4">
        <f t="shared" si="6"/>
        <v>1900</v>
      </c>
      <c r="AH21" s="4">
        <f t="shared" si="7"/>
        <v>2794.1176470588239</v>
      </c>
      <c r="AI21" s="6">
        <f t="shared" si="8"/>
        <v>0.62421052631578955</v>
      </c>
      <c r="AJ21" s="7">
        <v>1800</v>
      </c>
      <c r="AK21" s="6">
        <f t="shared" si="9"/>
        <v>0.41666666666666663</v>
      </c>
      <c r="AL21" s="4">
        <f t="shared" si="10"/>
        <v>750</v>
      </c>
      <c r="AM21" s="27"/>
      <c r="AN21" s="6"/>
      <c r="AO21" s="6"/>
      <c r="AP21" s="6" t="e">
        <f t="shared" si="11"/>
        <v>#DIV/0!</v>
      </c>
      <c r="AQ21" s="6">
        <f t="shared" si="12"/>
        <v>1.4754098360655739</v>
      </c>
      <c r="AR21" s="6">
        <f t="shared" si="13"/>
        <v>1.4705882352941178</v>
      </c>
      <c r="AS21" s="4" t="str">
        <f t="shared" si="15"/>
        <v>-</v>
      </c>
      <c r="AT21" s="4" t="str">
        <f t="shared" si="16"/>
        <v>-</v>
      </c>
      <c r="AU21" s="4" t="str">
        <f t="shared" si="17"/>
        <v>-</v>
      </c>
      <c r="AV21" s="4" t="str">
        <f t="shared" si="18"/>
        <v>-</v>
      </c>
      <c r="AW21" s="4" t="str">
        <f t="shared" si="19"/>
        <v>-</v>
      </c>
      <c r="AX21" s="4" t="str">
        <f t="shared" si="20"/>
        <v>-</v>
      </c>
      <c r="AY21" s="4" t="str">
        <f t="shared" si="21"/>
        <v>-</v>
      </c>
      <c r="AZ21" s="4" t="str">
        <f t="shared" si="22"/>
        <v>-</v>
      </c>
      <c r="BA21" s="4" t="str">
        <f t="shared" si="23"/>
        <v>-</v>
      </c>
      <c r="BB21" s="4">
        <v>0</v>
      </c>
      <c r="BC21" s="4" t="s">
        <v>284</v>
      </c>
      <c r="BD21" s="4">
        <v>10</v>
      </c>
      <c r="BE21" s="4">
        <v>1</v>
      </c>
      <c r="BF21" s="4" t="s">
        <v>277</v>
      </c>
      <c r="BG21" s="4">
        <v>190</v>
      </c>
      <c r="BH21" s="4">
        <v>190</v>
      </c>
      <c r="BI21" s="4">
        <f t="shared" si="14"/>
        <v>1900</v>
      </c>
      <c r="BJ21" s="18">
        <v>4</v>
      </c>
      <c r="BK21" s="18">
        <v>1</v>
      </c>
      <c r="BL21" s="16">
        <v>18</v>
      </c>
      <c r="BM21" t="s">
        <v>317</v>
      </c>
      <c r="BN21">
        <v>190</v>
      </c>
      <c r="BO21">
        <v>190</v>
      </c>
      <c r="BP21">
        <f t="shared" si="24"/>
        <v>279.41176470588238</v>
      </c>
      <c r="BQ21" s="4" t="s">
        <v>246</v>
      </c>
    </row>
    <row r="22" spans="1:69" x14ac:dyDescent="0.4">
      <c r="A22" s="3">
        <v>62</v>
      </c>
      <c r="B22" s="3">
        <v>8</v>
      </c>
      <c r="C22" s="32" t="s">
        <v>158</v>
      </c>
      <c r="D22" s="4" t="str">
        <f t="shared" si="0"/>
        <v>J0095R</v>
      </c>
      <c r="E22" s="4" t="s">
        <v>158</v>
      </c>
      <c r="F22" s="4" t="s">
        <v>191</v>
      </c>
      <c r="G22" s="5">
        <v>4580417610086</v>
      </c>
      <c r="H22" s="5"/>
      <c r="I22" s="5"/>
      <c r="J22" s="5"/>
      <c r="K22" s="5"/>
      <c r="L22" s="4">
        <v>0</v>
      </c>
      <c r="M22" s="4">
        <v>132</v>
      </c>
      <c r="N22" s="4">
        <v>71.400000000000006</v>
      </c>
      <c r="O22" s="6">
        <f t="shared" si="1"/>
        <v>0.45909090909090899</v>
      </c>
      <c r="P22" s="4" t="s">
        <v>238</v>
      </c>
      <c r="Q22" s="4" t="s">
        <v>238</v>
      </c>
      <c r="R22" s="4" t="s">
        <v>238</v>
      </c>
      <c r="S22" s="4" t="s">
        <v>238</v>
      </c>
      <c r="T22" s="4" t="s">
        <v>238</v>
      </c>
      <c r="U22" s="4" t="s">
        <v>238</v>
      </c>
      <c r="V22" s="4" t="s">
        <v>238</v>
      </c>
      <c r="W22" s="4" t="s">
        <v>238</v>
      </c>
      <c r="X22" s="4" t="s">
        <v>238</v>
      </c>
      <c r="Y22" s="4">
        <v>0</v>
      </c>
      <c r="Z22" s="4">
        <f t="shared" si="2"/>
        <v>0</v>
      </c>
      <c r="AA22" s="4">
        <v>105</v>
      </c>
      <c r="AB22" s="4">
        <f t="shared" si="3"/>
        <v>105</v>
      </c>
      <c r="AC22" s="4"/>
      <c r="AD22" s="20">
        <f t="shared" si="4"/>
        <v>194</v>
      </c>
      <c r="AE22" s="6">
        <f t="shared" si="5"/>
        <v>0.45876288659793818</v>
      </c>
      <c r="AF22" s="4">
        <v>0</v>
      </c>
      <c r="AG22" s="4">
        <f t="shared" si="6"/>
        <v>190</v>
      </c>
      <c r="AH22" s="4">
        <f t="shared" si="7"/>
        <v>279.41176470588232</v>
      </c>
      <c r="AI22" s="6">
        <f t="shared" si="8"/>
        <v>0.62421052631578944</v>
      </c>
      <c r="AJ22" s="7">
        <v>190</v>
      </c>
      <c r="AK22" s="6">
        <f t="shared" si="9"/>
        <v>0.44736842105263153</v>
      </c>
      <c r="AL22" s="4">
        <f t="shared" si="10"/>
        <v>85</v>
      </c>
      <c r="AM22" s="27"/>
      <c r="AN22" s="6"/>
      <c r="AO22" s="6"/>
      <c r="AP22" s="6" t="e">
        <f t="shared" si="11"/>
        <v>#DIV/0!</v>
      </c>
      <c r="AQ22" s="6">
        <f t="shared" si="12"/>
        <v>1.4393939393939394</v>
      </c>
      <c r="AR22" s="6">
        <f t="shared" si="13"/>
        <v>1.4705882352941175</v>
      </c>
      <c r="AS22" s="4" t="str">
        <f t="shared" si="15"/>
        <v>-</v>
      </c>
      <c r="AT22" s="4" t="str">
        <f t="shared" si="16"/>
        <v>-</v>
      </c>
      <c r="AU22" s="4" t="str">
        <f t="shared" si="17"/>
        <v>-</v>
      </c>
      <c r="AV22" s="4" t="str">
        <f t="shared" si="18"/>
        <v>-</v>
      </c>
      <c r="AW22" s="4" t="str">
        <f t="shared" si="19"/>
        <v>-</v>
      </c>
      <c r="AX22" s="4" t="str">
        <f t="shared" si="20"/>
        <v>-</v>
      </c>
      <c r="AY22" s="4" t="str">
        <f t="shared" si="21"/>
        <v>-</v>
      </c>
      <c r="AZ22" s="4" t="str">
        <f t="shared" si="22"/>
        <v>-</v>
      </c>
      <c r="BA22" s="4" t="str">
        <f t="shared" si="23"/>
        <v>-</v>
      </c>
      <c r="BB22" s="4">
        <v>0</v>
      </c>
      <c r="BC22" s="4" t="s">
        <v>284</v>
      </c>
      <c r="BD22" s="4"/>
      <c r="BE22" s="4"/>
      <c r="BF22" s="4" t="s">
        <v>277</v>
      </c>
      <c r="BG22" s="4">
        <v>190</v>
      </c>
      <c r="BH22" s="4">
        <v>190</v>
      </c>
      <c r="BI22" s="4">
        <f t="shared" si="14"/>
        <v>190</v>
      </c>
      <c r="BJ22" s="18">
        <v>4</v>
      </c>
      <c r="BK22" s="18">
        <v>1</v>
      </c>
      <c r="BL22" s="16">
        <v>18</v>
      </c>
      <c r="BM22" t="s">
        <v>317</v>
      </c>
      <c r="BN22">
        <v>190</v>
      </c>
      <c r="BO22">
        <v>190</v>
      </c>
      <c r="BP22">
        <f t="shared" si="24"/>
        <v>279.41176470588232</v>
      </c>
      <c r="BQ22" s="4" t="s">
        <v>246</v>
      </c>
    </row>
    <row r="23" spans="1:69" x14ac:dyDescent="0.4">
      <c r="A23" s="3">
        <v>9</v>
      </c>
      <c r="B23" s="3">
        <v>9</v>
      </c>
      <c r="C23" s="32" t="s">
        <v>72</v>
      </c>
      <c r="D23" s="4" t="str">
        <f t="shared" si="0"/>
        <v>J463WK</v>
      </c>
      <c r="E23" s="4" t="s">
        <v>72</v>
      </c>
      <c r="F23" s="4" t="s">
        <v>106</v>
      </c>
      <c r="G23" s="5">
        <v>4580417610093</v>
      </c>
      <c r="H23" s="5"/>
      <c r="I23" s="5"/>
      <c r="J23" s="5">
        <v>3</v>
      </c>
      <c r="K23" s="5">
        <v>1</v>
      </c>
      <c r="L23" s="4">
        <v>0</v>
      </c>
      <c r="M23" s="4">
        <v>160</v>
      </c>
      <c r="N23" s="4">
        <v>93</v>
      </c>
      <c r="O23" s="6">
        <f t="shared" si="1"/>
        <v>0.41874999999999996</v>
      </c>
      <c r="P23" s="4" t="s">
        <v>238</v>
      </c>
      <c r="Q23" s="4" t="s">
        <v>238</v>
      </c>
      <c r="R23" s="4" t="s">
        <v>238</v>
      </c>
      <c r="S23" s="4" t="s">
        <v>238</v>
      </c>
      <c r="T23" s="4" t="s">
        <v>238</v>
      </c>
      <c r="U23" s="4" t="s">
        <v>238</v>
      </c>
      <c r="V23" s="4" t="s">
        <v>238</v>
      </c>
      <c r="W23" s="4" t="s">
        <v>238</v>
      </c>
      <c r="X23" s="4" t="s">
        <v>238</v>
      </c>
      <c r="Y23" s="4">
        <v>0</v>
      </c>
      <c r="Z23" s="4">
        <f t="shared" si="2"/>
        <v>0</v>
      </c>
      <c r="AA23" s="4">
        <v>107</v>
      </c>
      <c r="AB23" s="4">
        <f t="shared" si="3"/>
        <v>107</v>
      </c>
      <c r="AC23" s="4"/>
      <c r="AD23" s="20">
        <f t="shared" si="4"/>
        <v>184</v>
      </c>
      <c r="AE23" s="6">
        <f t="shared" si="5"/>
        <v>0.41847826086956519</v>
      </c>
      <c r="AF23" s="4">
        <v>1.5</v>
      </c>
      <c r="AG23" s="4">
        <f t="shared" si="6"/>
        <v>220</v>
      </c>
      <c r="AH23" s="4">
        <f t="shared" si="7"/>
        <v>253.11827956989248</v>
      </c>
      <c r="AI23" s="6">
        <f t="shared" si="8"/>
        <v>0.57727272727272727</v>
      </c>
      <c r="AJ23" s="7">
        <v>200</v>
      </c>
      <c r="AK23" s="6">
        <f t="shared" si="9"/>
        <v>0.46499999999999997</v>
      </c>
      <c r="AL23" s="4">
        <f t="shared" si="10"/>
        <v>93</v>
      </c>
      <c r="AM23" s="27"/>
      <c r="AN23" s="6"/>
      <c r="AO23" s="6"/>
      <c r="AP23" s="6" t="e">
        <f t="shared" si="11"/>
        <v>#DIV/0!</v>
      </c>
      <c r="AQ23" s="6">
        <f t="shared" si="12"/>
        <v>1.25</v>
      </c>
      <c r="AR23" s="6">
        <f t="shared" si="13"/>
        <v>1.1505376344086022</v>
      </c>
      <c r="AS23" s="4" t="str">
        <f t="shared" si="15"/>
        <v>-</v>
      </c>
      <c r="AT23" s="4" t="str">
        <f t="shared" si="16"/>
        <v>-</v>
      </c>
      <c r="AU23" s="4" t="str">
        <f t="shared" si="17"/>
        <v>-</v>
      </c>
      <c r="AV23" s="4" t="str">
        <f t="shared" si="18"/>
        <v>-</v>
      </c>
      <c r="AW23" s="4" t="str">
        <f t="shared" si="19"/>
        <v>-</v>
      </c>
      <c r="AX23" s="4" t="str">
        <f t="shared" si="20"/>
        <v>-</v>
      </c>
      <c r="AY23" s="4" t="str">
        <f t="shared" si="21"/>
        <v>-</v>
      </c>
      <c r="AZ23" s="4" t="str">
        <f t="shared" si="22"/>
        <v>-</v>
      </c>
      <c r="BA23" s="4" t="str">
        <f t="shared" si="23"/>
        <v>-</v>
      </c>
      <c r="BB23" s="4">
        <v>0</v>
      </c>
      <c r="BC23" s="4" t="s">
        <v>285</v>
      </c>
      <c r="BD23" s="4"/>
      <c r="BE23" s="4"/>
      <c r="BF23" s="4" t="s">
        <v>277</v>
      </c>
      <c r="BG23" s="4">
        <v>220</v>
      </c>
      <c r="BH23" s="4">
        <v>220</v>
      </c>
      <c r="BI23" s="4">
        <f t="shared" si="14"/>
        <v>220</v>
      </c>
      <c r="BJ23" s="18">
        <v>4</v>
      </c>
      <c r="BK23" s="18">
        <v>1</v>
      </c>
      <c r="BL23" s="16">
        <v>18</v>
      </c>
      <c r="BM23" t="s">
        <v>317</v>
      </c>
      <c r="BN23">
        <v>219</v>
      </c>
      <c r="BO23">
        <v>219</v>
      </c>
      <c r="BP23">
        <f t="shared" si="24"/>
        <v>251.9677419354839</v>
      </c>
      <c r="BQ23" s="4" t="s">
        <v>247</v>
      </c>
    </row>
    <row r="24" spans="1:69" x14ac:dyDescent="0.4">
      <c r="A24" s="3">
        <v>63</v>
      </c>
      <c r="B24" s="3">
        <v>9</v>
      </c>
      <c r="C24" s="32" t="s">
        <v>159</v>
      </c>
      <c r="D24" s="4" t="str">
        <f t="shared" si="0"/>
        <v>J0202X</v>
      </c>
      <c r="E24" s="4" t="s">
        <v>163</v>
      </c>
      <c r="F24" s="4" t="s">
        <v>192</v>
      </c>
      <c r="G24" s="5">
        <v>4580417610093</v>
      </c>
      <c r="H24" s="5"/>
      <c r="I24" s="5"/>
      <c r="J24" s="5"/>
      <c r="K24" s="5"/>
      <c r="L24" s="4">
        <v>0</v>
      </c>
      <c r="M24" s="4">
        <v>1270</v>
      </c>
      <c r="N24" s="4">
        <v>1111</v>
      </c>
      <c r="O24" s="6">
        <f t="shared" si="1"/>
        <v>0.12519685039370076</v>
      </c>
      <c r="P24" s="4" t="s">
        <v>238</v>
      </c>
      <c r="Q24" s="4" t="s">
        <v>238</v>
      </c>
      <c r="R24" s="4" t="s">
        <v>238</v>
      </c>
      <c r="S24" s="4" t="s">
        <v>238</v>
      </c>
      <c r="T24" s="4" t="s">
        <v>238</v>
      </c>
      <c r="U24" s="4" t="s">
        <v>238</v>
      </c>
      <c r="V24" s="4" t="s">
        <v>238</v>
      </c>
      <c r="W24" s="4" t="s">
        <v>238</v>
      </c>
      <c r="X24" s="4" t="s">
        <v>238</v>
      </c>
      <c r="Y24" s="4">
        <v>0</v>
      </c>
      <c r="Z24" s="4">
        <f t="shared" si="2"/>
        <v>0</v>
      </c>
      <c r="AA24" s="4">
        <v>107</v>
      </c>
      <c r="AB24" s="4">
        <f t="shared" si="3"/>
        <v>1070</v>
      </c>
      <c r="AC24" s="4">
        <v>10</v>
      </c>
      <c r="AD24" s="20">
        <f t="shared" si="4"/>
        <v>1223</v>
      </c>
      <c r="AE24" s="6">
        <f t="shared" si="5"/>
        <v>0.12510220768601799</v>
      </c>
      <c r="AF24" s="4">
        <v>0</v>
      </c>
      <c r="AG24" s="4">
        <f t="shared" si="6"/>
        <v>2200</v>
      </c>
      <c r="AH24" s="4">
        <f t="shared" si="7"/>
        <v>2118.8118811881186</v>
      </c>
      <c r="AI24" s="6">
        <f t="shared" si="8"/>
        <v>0.495</v>
      </c>
      <c r="AJ24" s="7">
        <v>1900</v>
      </c>
      <c r="AK24" s="6">
        <f t="shared" si="9"/>
        <v>0.43684210526315792</v>
      </c>
      <c r="AL24" s="4">
        <f t="shared" si="10"/>
        <v>830</v>
      </c>
      <c r="AM24" s="27"/>
      <c r="AN24" s="6"/>
      <c r="AO24" s="6"/>
      <c r="AP24" s="6" t="e">
        <f t="shared" si="11"/>
        <v>#DIV/0!</v>
      </c>
      <c r="AQ24" s="6">
        <f t="shared" si="12"/>
        <v>1.4960629921259843</v>
      </c>
      <c r="AR24" s="6">
        <f t="shared" si="13"/>
        <v>0.96309630963096304</v>
      </c>
      <c r="AS24" s="4" t="str">
        <f t="shared" si="15"/>
        <v>-</v>
      </c>
      <c r="AT24" s="4" t="str">
        <f t="shared" si="16"/>
        <v>-</v>
      </c>
      <c r="AU24" s="4" t="str">
        <f t="shared" si="17"/>
        <v>-</v>
      </c>
      <c r="AV24" s="4" t="str">
        <f t="shared" si="18"/>
        <v>-</v>
      </c>
      <c r="AW24" s="4" t="str">
        <f t="shared" si="19"/>
        <v>-</v>
      </c>
      <c r="AX24" s="4" t="str">
        <f t="shared" si="20"/>
        <v>-</v>
      </c>
      <c r="AY24" s="4" t="str">
        <f t="shared" si="21"/>
        <v>-</v>
      </c>
      <c r="AZ24" s="4" t="str">
        <f t="shared" si="22"/>
        <v>-</v>
      </c>
      <c r="BA24" s="4" t="str">
        <f t="shared" si="23"/>
        <v>-</v>
      </c>
      <c r="BB24" s="4">
        <v>0</v>
      </c>
      <c r="BC24" s="4" t="s">
        <v>285</v>
      </c>
      <c r="BD24" s="4">
        <v>10</v>
      </c>
      <c r="BE24" s="4">
        <v>1</v>
      </c>
      <c r="BF24" s="4" t="s">
        <v>277</v>
      </c>
      <c r="BG24" s="4">
        <v>220</v>
      </c>
      <c r="BH24" s="4">
        <v>220</v>
      </c>
      <c r="BI24" s="4">
        <f t="shared" si="14"/>
        <v>2200</v>
      </c>
      <c r="BJ24" s="18">
        <v>4</v>
      </c>
      <c r="BK24" s="18">
        <v>1</v>
      </c>
      <c r="BL24" s="16">
        <v>18</v>
      </c>
      <c r="BM24" t="s">
        <v>317</v>
      </c>
      <c r="BN24">
        <v>219</v>
      </c>
      <c r="BO24">
        <v>219</v>
      </c>
      <c r="BP24">
        <f t="shared" si="24"/>
        <v>210.91809180918091</v>
      </c>
      <c r="BQ24" s="4" t="s">
        <v>247</v>
      </c>
    </row>
    <row r="25" spans="1:69" x14ac:dyDescent="0.4">
      <c r="A25" s="3">
        <v>64</v>
      </c>
      <c r="B25" s="3">
        <v>9</v>
      </c>
      <c r="C25" s="32" t="s">
        <v>159</v>
      </c>
      <c r="D25" s="4" t="str">
        <f t="shared" si="0"/>
        <v>J0202X</v>
      </c>
      <c r="E25" s="4" t="s">
        <v>159</v>
      </c>
      <c r="F25" s="4" t="s">
        <v>193</v>
      </c>
      <c r="G25" s="5">
        <v>4580417610093</v>
      </c>
      <c r="H25" s="5"/>
      <c r="I25" s="5"/>
      <c r="J25" s="5"/>
      <c r="K25" s="5"/>
      <c r="L25" s="4">
        <v>0</v>
      </c>
      <c r="M25" s="4">
        <v>137</v>
      </c>
      <c r="N25" s="4">
        <v>111.1</v>
      </c>
      <c r="O25" s="6">
        <f t="shared" si="1"/>
        <v>0.18905109489051097</v>
      </c>
      <c r="P25" s="4" t="s">
        <v>238</v>
      </c>
      <c r="Q25" s="4" t="s">
        <v>238</v>
      </c>
      <c r="R25" s="4" t="s">
        <v>238</v>
      </c>
      <c r="S25" s="4" t="s">
        <v>238</v>
      </c>
      <c r="T25" s="4" t="s">
        <v>238</v>
      </c>
      <c r="U25" s="4" t="s">
        <v>238</v>
      </c>
      <c r="V25" s="4" t="s">
        <v>238</v>
      </c>
      <c r="W25" s="4" t="s">
        <v>238</v>
      </c>
      <c r="X25" s="4" t="s">
        <v>238</v>
      </c>
      <c r="Y25" s="4">
        <v>0</v>
      </c>
      <c r="Z25" s="4">
        <f t="shared" si="2"/>
        <v>0</v>
      </c>
      <c r="AA25" s="4">
        <v>107</v>
      </c>
      <c r="AB25" s="4">
        <f t="shared" si="3"/>
        <v>107</v>
      </c>
      <c r="AC25" s="4"/>
      <c r="AD25" s="20">
        <f t="shared" si="4"/>
        <v>132</v>
      </c>
      <c r="AE25" s="6">
        <f t="shared" si="5"/>
        <v>0.18939393939393945</v>
      </c>
      <c r="AF25" s="4">
        <v>0</v>
      </c>
      <c r="AG25" s="4">
        <f t="shared" si="6"/>
        <v>220</v>
      </c>
      <c r="AH25" s="4">
        <f t="shared" si="7"/>
        <v>211.88118811881191</v>
      </c>
      <c r="AI25" s="6">
        <f t="shared" si="8"/>
        <v>0.49500000000000011</v>
      </c>
      <c r="AJ25" s="7">
        <v>200</v>
      </c>
      <c r="AK25" s="6">
        <f t="shared" si="9"/>
        <v>0.46499999999999997</v>
      </c>
      <c r="AL25" s="4">
        <f t="shared" si="10"/>
        <v>93</v>
      </c>
      <c r="AM25" s="27"/>
      <c r="AN25" s="6"/>
      <c r="AO25" s="6"/>
      <c r="AP25" s="6" t="e">
        <f t="shared" si="11"/>
        <v>#DIV/0!</v>
      </c>
      <c r="AQ25" s="6">
        <f t="shared" si="12"/>
        <v>1.4598540145985401</v>
      </c>
      <c r="AR25" s="6">
        <f t="shared" si="13"/>
        <v>0.96309630963096315</v>
      </c>
      <c r="AS25" s="4" t="str">
        <f t="shared" si="15"/>
        <v>-</v>
      </c>
      <c r="AT25" s="4" t="str">
        <f t="shared" si="16"/>
        <v>-</v>
      </c>
      <c r="AU25" s="4" t="str">
        <f t="shared" si="17"/>
        <v>-</v>
      </c>
      <c r="AV25" s="4" t="str">
        <f t="shared" si="18"/>
        <v>-</v>
      </c>
      <c r="AW25" s="4" t="str">
        <f t="shared" si="19"/>
        <v>-</v>
      </c>
      <c r="AX25" s="4" t="str">
        <f t="shared" si="20"/>
        <v>-</v>
      </c>
      <c r="AY25" s="4" t="str">
        <f t="shared" si="21"/>
        <v>-</v>
      </c>
      <c r="AZ25" s="4" t="str">
        <f t="shared" si="22"/>
        <v>-</v>
      </c>
      <c r="BA25" s="4" t="str">
        <f t="shared" si="23"/>
        <v>-</v>
      </c>
      <c r="BB25" s="4">
        <v>0</v>
      </c>
      <c r="BC25" s="4" t="s">
        <v>285</v>
      </c>
      <c r="BD25" s="4"/>
      <c r="BE25" s="4"/>
      <c r="BF25" s="4" t="s">
        <v>277</v>
      </c>
      <c r="BG25" s="4">
        <v>220</v>
      </c>
      <c r="BH25" s="4">
        <v>220</v>
      </c>
      <c r="BI25" s="4">
        <f t="shared" si="14"/>
        <v>220</v>
      </c>
      <c r="BJ25" s="18">
        <v>4</v>
      </c>
      <c r="BK25" s="18">
        <v>1</v>
      </c>
      <c r="BL25" s="16">
        <v>18</v>
      </c>
      <c r="BM25" t="s">
        <v>317</v>
      </c>
      <c r="BN25">
        <v>219</v>
      </c>
      <c r="BO25">
        <v>219</v>
      </c>
      <c r="BP25">
        <f t="shared" si="24"/>
        <v>210.91809180918094</v>
      </c>
      <c r="BQ25" s="4" t="s">
        <v>247</v>
      </c>
    </row>
    <row r="26" spans="1:69" x14ac:dyDescent="0.4">
      <c r="A26" s="3">
        <v>10</v>
      </c>
      <c r="B26" s="3">
        <v>10</v>
      </c>
      <c r="C26" s="4" t="s">
        <v>73</v>
      </c>
      <c r="D26" s="4" t="str">
        <f t="shared" si="0"/>
        <v>J452WK</v>
      </c>
      <c r="E26" s="4" t="s">
        <v>73</v>
      </c>
      <c r="F26" s="4" t="s">
        <v>107</v>
      </c>
      <c r="G26" s="5">
        <v>4580417610109</v>
      </c>
      <c r="H26" s="5"/>
      <c r="I26" s="5"/>
      <c r="J26" s="5">
        <v>1</v>
      </c>
      <c r="K26" s="5">
        <v>1</v>
      </c>
      <c r="L26" s="4">
        <v>0</v>
      </c>
      <c r="M26" s="4">
        <v>179</v>
      </c>
      <c r="N26" s="4">
        <v>104</v>
      </c>
      <c r="O26" s="6">
        <f t="shared" si="1"/>
        <v>0.41899441340782118</v>
      </c>
      <c r="P26" s="4" t="s">
        <v>238</v>
      </c>
      <c r="Q26" s="4" t="s">
        <v>238</v>
      </c>
      <c r="R26" s="4" t="s">
        <v>238</v>
      </c>
      <c r="S26" s="4" t="s">
        <v>238</v>
      </c>
      <c r="T26" s="4" t="s">
        <v>238</v>
      </c>
      <c r="U26" s="4" t="s">
        <v>238</v>
      </c>
      <c r="V26" s="4" t="s">
        <v>238</v>
      </c>
      <c r="W26" s="4" t="s">
        <v>238</v>
      </c>
      <c r="X26" s="4" t="s">
        <v>238</v>
      </c>
      <c r="Y26" s="4">
        <v>0</v>
      </c>
      <c r="Z26" s="4">
        <f t="shared" si="2"/>
        <v>0</v>
      </c>
      <c r="AA26" s="4">
        <v>120</v>
      </c>
      <c r="AB26" s="4">
        <f t="shared" si="3"/>
        <v>120</v>
      </c>
      <c r="AC26" s="4"/>
      <c r="AD26" s="20">
        <f t="shared" si="4"/>
        <v>207</v>
      </c>
      <c r="AE26" s="6">
        <f t="shared" si="5"/>
        <v>0.42028985507246375</v>
      </c>
      <c r="AF26" s="4">
        <v>5</v>
      </c>
      <c r="AG26" s="4">
        <f t="shared" si="6"/>
        <v>266</v>
      </c>
      <c r="AH26" s="4">
        <f t="shared" si="7"/>
        <v>306.92307692307691</v>
      </c>
      <c r="AI26" s="6">
        <f t="shared" si="8"/>
        <v>0.60902255639097747</v>
      </c>
      <c r="AJ26" s="7">
        <v>220</v>
      </c>
      <c r="AK26" s="6">
        <f t="shared" si="9"/>
        <v>0.45454545454545459</v>
      </c>
      <c r="AL26" s="4">
        <f t="shared" si="10"/>
        <v>100</v>
      </c>
      <c r="AM26" s="27"/>
      <c r="AN26" s="6"/>
      <c r="AO26" s="6"/>
      <c r="AP26" s="6" t="e">
        <f t="shared" si="11"/>
        <v>#DIV/0!</v>
      </c>
      <c r="AQ26" s="6">
        <f t="shared" si="12"/>
        <v>1.229050279329609</v>
      </c>
      <c r="AR26" s="6">
        <f t="shared" si="13"/>
        <v>1.1538461538461537</v>
      </c>
      <c r="AS26" s="4" t="str">
        <f t="shared" si="15"/>
        <v>-</v>
      </c>
      <c r="AT26" s="4" t="str">
        <f t="shared" si="16"/>
        <v>-</v>
      </c>
      <c r="AU26" s="4" t="str">
        <f t="shared" si="17"/>
        <v>-</v>
      </c>
      <c r="AV26" s="4" t="str">
        <f t="shared" si="18"/>
        <v>-</v>
      </c>
      <c r="AW26" s="4" t="str">
        <f t="shared" si="19"/>
        <v>-</v>
      </c>
      <c r="AX26" s="4" t="str">
        <f t="shared" si="20"/>
        <v>-</v>
      </c>
      <c r="AY26" s="4" t="str">
        <f t="shared" si="21"/>
        <v>-</v>
      </c>
      <c r="AZ26" s="4" t="str">
        <f t="shared" si="22"/>
        <v>-</v>
      </c>
      <c r="BA26" s="4" t="str">
        <f t="shared" si="23"/>
        <v>-</v>
      </c>
      <c r="BB26" s="4">
        <v>0</v>
      </c>
      <c r="BC26" s="4" t="s">
        <v>286</v>
      </c>
      <c r="BD26" s="4"/>
      <c r="BE26" s="4"/>
      <c r="BF26" s="4" t="s">
        <v>277</v>
      </c>
      <c r="BG26" s="4">
        <v>266</v>
      </c>
      <c r="BH26" s="4">
        <v>266</v>
      </c>
      <c r="BI26" s="4">
        <f t="shared" si="14"/>
        <v>266</v>
      </c>
      <c r="BJ26" s="18">
        <v>4</v>
      </c>
      <c r="BK26" s="18">
        <v>1</v>
      </c>
      <c r="BL26" s="16">
        <v>18</v>
      </c>
      <c r="BM26" t="s">
        <v>317</v>
      </c>
      <c r="BN26">
        <v>266</v>
      </c>
      <c r="BO26">
        <v>266</v>
      </c>
      <c r="BP26">
        <f t="shared" si="24"/>
        <v>306.92307692307691</v>
      </c>
      <c r="BQ26" s="4" t="s">
        <v>248</v>
      </c>
    </row>
    <row r="27" spans="1:69" x14ac:dyDescent="0.4">
      <c r="A27" s="3">
        <v>11</v>
      </c>
      <c r="B27" s="3">
        <v>11</v>
      </c>
      <c r="C27" s="32" t="s">
        <v>74</v>
      </c>
      <c r="D27" s="4" t="str">
        <f t="shared" si="0"/>
        <v>J4428X</v>
      </c>
      <c r="E27" s="4" t="s">
        <v>74</v>
      </c>
      <c r="F27" s="4" t="s">
        <v>108</v>
      </c>
      <c r="G27" s="5">
        <v>4580417610116</v>
      </c>
      <c r="H27" s="5"/>
      <c r="I27" s="5"/>
      <c r="J27" s="5">
        <v>4</v>
      </c>
      <c r="K27" s="5">
        <v>2</v>
      </c>
      <c r="L27" s="4">
        <v>0</v>
      </c>
      <c r="M27" s="4">
        <v>202</v>
      </c>
      <c r="N27" s="4">
        <v>117</v>
      </c>
      <c r="O27" s="6">
        <f t="shared" si="1"/>
        <v>0.42079207920792083</v>
      </c>
      <c r="P27" s="4" t="s">
        <v>238</v>
      </c>
      <c r="Q27" s="4" t="s">
        <v>238</v>
      </c>
      <c r="R27" s="4" t="s">
        <v>238</v>
      </c>
      <c r="S27" s="4" t="s">
        <v>238</v>
      </c>
      <c r="T27" s="4" t="s">
        <v>238</v>
      </c>
      <c r="U27" s="4" t="s">
        <v>238</v>
      </c>
      <c r="V27" s="4" t="s">
        <v>238</v>
      </c>
      <c r="W27" s="4" t="s">
        <v>238</v>
      </c>
      <c r="X27" s="4" t="s">
        <v>238</v>
      </c>
      <c r="Y27" s="4">
        <v>0</v>
      </c>
      <c r="Z27" s="4">
        <f t="shared" si="2"/>
        <v>0</v>
      </c>
      <c r="AA27" s="4">
        <v>135</v>
      </c>
      <c r="AB27" s="4">
        <f t="shared" si="3"/>
        <v>135</v>
      </c>
      <c r="AC27" s="4"/>
      <c r="AD27" s="20">
        <f t="shared" si="4"/>
        <v>233</v>
      </c>
      <c r="AE27" s="6">
        <f t="shared" si="5"/>
        <v>0.42060085836909866</v>
      </c>
      <c r="AF27" s="4">
        <v>28.749999999999996</v>
      </c>
      <c r="AG27" s="4">
        <f t="shared" si="6"/>
        <v>296</v>
      </c>
      <c r="AH27" s="4">
        <f t="shared" si="7"/>
        <v>341.53846153846149</v>
      </c>
      <c r="AI27" s="6">
        <f t="shared" si="8"/>
        <v>0.6047297297297296</v>
      </c>
      <c r="AJ27" s="7">
        <v>250</v>
      </c>
      <c r="AK27" s="6">
        <f t="shared" si="9"/>
        <v>0.45999999999999996</v>
      </c>
      <c r="AL27" s="4">
        <f t="shared" si="10"/>
        <v>115</v>
      </c>
      <c r="AM27" s="27"/>
      <c r="AN27" s="6"/>
      <c r="AO27" s="6"/>
      <c r="AP27" s="6" t="e">
        <f t="shared" si="11"/>
        <v>#DIV/0!</v>
      </c>
      <c r="AQ27" s="6">
        <f t="shared" si="12"/>
        <v>1.2376237623762376</v>
      </c>
      <c r="AR27" s="6">
        <f t="shared" si="13"/>
        <v>1.1538461538461537</v>
      </c>
      <c r="AS27" s="4" t="str">
        <f t="shared" si="15"/>
        <v>-</v>
      </c>
      <c r="AT27" s="4" t="str">
        <f t="shared" si="16"/>
        <v>-</v>
      </c>
      <c r="AU27" s="4" t="str">
        <f t="shared" si="17"/>
        <v>-</v>
      </c>
      <c r="AV27" s="4" t="str">
        <f t="shared" si="18"/>
        <v>-</v>
      </c>
      <c r="AW27" s="4" t="str">
        <f t="shared" si="19"/>
        <v>-</v>
      </c>
      <c r="AX27" s="4" t="str">
        <f t="shared" si="20"/>
        <v>-</v>
      </c>
      <c r="AY27" s="4" t="str">
        <f t="shared" si="21"/>
        <v>-</v>
      </c>
      <c r="AZ27" s="4" t="str">
        <f t="shared" si="22"/>
        <v>-</v>
      </c>
      <c r="BA27" s="4" t="str">
        <f t="shared" si="23"/>
        <v>-</v>
      </c>
      <c r="BB27" s="4">
        <v>0</v>
      </c>
      <c r="BC27" s="4" t="s">
        <v>287</v>
      </c>
      <c r="BD27" s="4"/>
      <c r="BE27" s="4"/>
      <c r="BF27" s="4" t="s">
        <v>277</v>
      </c>
      <c r="BG27" s="4">
        <v>296</v>
      </c>
      <c r="BH27" s="4">
        <v>296</v>
      </c>
      <c r="BI27" s="4">
        <f t="shared" si="14"/>
        <v>296</v>
      </c>
      <c r="BJ27" s="18">
        <v>4</v>
      </c>
      <c r="BK27" s="18">
        <v>1</v>
      </c>
      <c r="BL27" s="16">
        <v>18</v>
      </c>
      <c r="BM27" t="s">
        <v>317</v>
      </c>
      <c r="BN27">
        <v>295</v>
      </c>
      <c r="BO27">
        <v>295</v>
      </c>
      <c r="BP27">
        <f t="shared" si="24"/>
        <v>340.38461538461536</v>
      </c>
      <c r="BQ27" s="4" t="s">
        <v>249</v>
      </c>
    </row>
    <row r="28" spans="1:69" x14ac:dyDescent="0.4">
      <c r="A28" s="3">
        <v>84</v>
      </c>
      <c r="B28" s="3">
        <v>11</v>
      </c>
      <c r="C28" s="32" t="s">
        <v>74</v>
      </c>
      <c r="D28" s="4" t="str">
        <f t="shared" si="0"/>
        <v>J4428X</v>
      </c>
      <c r="E28" s="4" t="s">
        <v>182</v>
      </c>
      <c r="F28" s="4" t="s">
        <v>213</v>
      </c>
      <c r="G28" s="5">
        <v>4580417610116</v>
      </c>
      <c r="H28" s="5"/>
      <c r="I28" s="5"/>
      <c r="J28" s="5"/>
      <c r="K28" s="5"/>
      <c r="L28" s="4">
        <v>0</v>
      </c>
      <c r="M28" s="4">
        <v>1919</v>
      </c>
      <c r="N28" s="4">
        <v>1170</v>
      </c>
      <c r="O28" s="6">
        <f t="shared" si="1"/>
        <v>0.39030745179781134</v>
      </c>
      <c r="P28" s="4" t="s">
        <v>238</v>
      </c>
      <c r="Q28" s="4" t="s">
        <v>238</v>
      </c>
      <c r="R28" s="4" t="s">
        <v>238</v>
      </c>
      <c r="S28" s="4" t="s">
        <v>238</v>
      </c>
      <c r="T28" s="4" t="s">
        <v>238</v>
      </c>
      <c r="U28" s="4" t="s">
        <v>238</v>
      </c>
      <c r="V28" s="4" t="s">
        <v>238</v>
      </c>
      <c r="W28" s="4" t="s">
        <v>238</v>
      </c>
      <c r="X28" s="4" t="s">
        <v>238</v>
      </c>
      <c r="Y28" s="4">
        <v>0</v>
      </c>
      <c r="Z28" s="4">
        <f t="shared" si="2"/>
        <v>0</v>
      </c>
      <c r="AA28" s="4">
        <v>135</v>
      </c>
      <c r="AB28" s="4">
        <f t="shared" si="3"/>
        <v>1350</v>
      </c>
      <c r="AC28" s="4">
        <v>10</v>
      </c>
      <c r="AD28" s="20">
        <f t="shared" si="4"/>
        <v>2214</v>
      </c>
      <c r="AE28" s="6">
        <f t="shared" si="5"/>
        <v>0.3902439024390244</v>
      </c>
      <c r="AF28" s="4">
        <v>28.749999999999996</v>
      </c>
      <c r="AG28" s="4">
        <f t="shared" si="6"/>
        <v>2960</v>
      </c>
      <c r="AH28" s="4">
        <f t="shared" si="7"/>
        <v>3415.3846153846152</v>
      </c>
      <c r="AI28" s="6">
        <f t="shared" si="8"/>
        <v>0.60472972972972971</v>
      </c>
      <c r="AJ28" s="7">
        <v>2300</v>
      </c>
      <c r="AK28" s="6">
        <f t="shared" si="9"/>
        <v>0.41304347826086951</v>
      </c>
      <c r="AL28" s="4">
        <f t="shared" si="10"/>
        <v>950</v>
      </c>
      <c r="AM28" s="27"/>
      <c r="AN28" s="6"/>
      <c r="AO28" s="6"/>
      <c r="AP28" s="6" t="e">
        <f t="shared" si="11"/>
        <v>#DIV/0!</v>
      </c>
      <c r="AQ28" s="6">
        <f t="shared" si="12"/>
        <v>1.1985409067222512</v>
      </c>
      <c r="AR28" s="6">
        <f t="shared" si="13"/>
        <v>1.1538461538461537</v>
      </c>
      <c r="AS28" s="4" t="str">
        <f t="shared" si="15"/>
        <v>-</v>
      </c>
      <c r="AT28" s="4" t="str">
        <f t="shared" si="16"/>
        <v>-</v>
      </c>
      <c r="AU28" s="4" t="str">
        <f t="shared" si="17"/>
        <v>-</v>
      </c>
      <c r="AV28" s="4" t="str">
        <f t="shared" si="18"/>
        <v>-</v>
      </c>
      <c r="AW28" s="4" t="str">
        <f t="shared" si="19"/>
        <v>-</v>
      </c>
      <c r="AX28" s="4" t="str">
        <f t="shared" si="20"/>
        <v>-</v>
      </c>
      <c r="AY28" s="4" t="str">
        <f t="shared" si="21"/>
        <v>-</v>
      </c>
      <c r="AZ28" s="4" t="str">
        <f t="shared" si="22"/>
        <v>-</v>
      </c>
      <c r="BA28" s="4" t="str">
        <f t="shared" si="23"/>
        <v>-</v>
      </c>
      <c r="BB28" s="4">
        <v>0</v>
      </c>
      <c r="BC28" s="4" t="s">
        <v>287</v>
      </c>
      <c r="BD28" s="4">
        <v>10</v>
      </c>
      <c r="BE28" s="4">
        <v>1</v>
      </c>
      <c r="BF28" s="4" t="s">
        <v>277</v>
      </c>
      <c r="BG28" s="4">
        <v>296</v>
      </c>
      <c r="BH28" s="4">
        <v>296</v>
      </c>
      <c r="BI28" s="4">
        <f t="shared" si="14"/>
        <v>2960</v>
      </c>
      <c r="BJ28" s="18">
        <v>4</v>
      </c>
      <c r="BK28" s="18">
        <v>1</v>
      </c>
      <c r="BL28" s="16">
        <v>18</v>
      </c>
      <c r="BM28" t="s">
        <v>317</v>
      </c>
      <c r="BN28">
        <v>295</v>
      </c>
      <c r="BO28">
        <v>295</v>
      </c>
      <c r="BP28">
        <f t="shared" si="24"/>
        <v>340.38461538461536</v>
      </c>
      <c r="BQ28" s="4" t="s">
        <v>249</v>
      </c>
    </row>
    <row r="29" spans="1:69" x14ac:dyDescent="0.4">
      <c r="A29" s="3">
        <v>85</v>
      </c>
      <c r="B29" s="3">
        <v>11</v>
      </c>
      <c r="C29" s="32" t="s">
        <v>180</v>
      </c>
      <c r="D29" s="4" t="str">
        <f t="shared" si="0"/>
        <v>J0829Y</v>
      </c>
      <c r="E29" s="4" t="s">
        <v>181</v>
      </c>
      <c r="F29" s="4" t="s">
        <v>214</v>
      </c>
      <c r="G29" s="5">
        <v>4580417610116</v>
      </c>
      <c r="H29" s="5"/>
      <c r="I29" s="5"/>
      <c r="J29" s="5"/>
      <c r="K29" s="5"/>
      <c r="L29" s="4">
        <v>0</v>
      </c>
      <c r="M29" s="4">
        <v>1740</v>
      </c>
      <c r="N29" s="4">
        <v>1624</v>
      </c>
      <c r="O29" s="6">
        <f t="shared" si="1"/>
        <v>6.6666666666666652E-2</v>
      </c>
      <c r="P29" s="4" t="s">
        <v>238</v>
      </c>
      <c r="Q29" s="4" t="s">
        <v>238</v>
      </c>
      <c r="R29" s="4" t="s">
        <v>238</v>
      </c>
      <c r="S29" s="4" t="s">
        <v>238</v>
      </c>
      <c r="T29" s="4" t="s">
        <v>238</v>
      </c>
      <c r="U29" s="4" t="s">
        <v>238</v>
      </c>
      <c r="V29" s="4" t="s">
        <v>238</v>
      </c>
      <c r="W29" s="4" t="s">
        <v>238</v>
      </c>
      <c r="X29" s="4" t="s">
        <v>238</v>
      </c>
      <c r="Y29" s="4">
        <v>0</v>
      </c>
      <c r="Z29" s="4">
        <f t="shared" si="2"/>
        <v>0</v>
      </c>
      <c r="AA29" s="4">
        <v>135</v>
      </c>
      <c r="AB29" s="4">
        <f t="shared" si="3"/>
        <v>1350</v>
      </c>
      <c r="AC29" s="4">
        <v>10</v>
      </c>
      <c r="AD29" s="20">
        <f t="shared" si="4"/>
        <v>1446</v>
      </c>
      <c r="AE29" s="6">
        <f t="shared" si="5"/>
        <v>6.639004149377592E-2</v>
      </c>
      <c r="AF29" s="4">
        <v>0</v>
      </c>
      <c r="AG29" s="4">
        <f t="shared" si="6"/>
        <v>2960</v>
      </c>
      <c r="AH29" s="4">
        <f t="shared" si="7"/>
        <v>2460.5911330049262</v>
      </c>
      <c r="AI29" s="6">
        <f t="shared" si="8"/>
        <v>0.4513513513513514</v>
      </c>
      <c r="AJ29" s="7">
        <v>2300</v>
      </c>
      <c r="AK29" s="6">
        <f t="shared" si="9"/>
        <v>0.41304347826086951</v>
      </c>
      <c r="AL29" s="4">
        <f t="shared" si="10"/>
        <v>950</v>
      </c>
      <c r="AM29" s="27"/>
      <c r="AN29" s="6"/>
      <c r="AO29" s="6"/>
      <c r="AP29" s="6" t="e">
        <f t="shared" si="11"/>
        <v>#DIV/0!</v>
      </c>
      <c r="AQ29" s="6">
        <f t="shared" si="12"/>
        <v>1.3218390804597702</v>
      </c>
      <c r="AR29" s="6">
        <f t="shared" si="13"/>
        <v>0.83128078817733986</v>
      </c>
      <c r="AS29" s="4" t="str">
        <f t="shared" si="15"/>
        <v>-</v>
      </c>
      <c r="AT29" s="4" t="str">
        <f t="shared" si="16"/>
        <v>-</v>
      </c>
      <c r="AU29" s="4" t="str">
        <f t="shared" si="17"/>
        <v>-</v>
      </c>
      <c r="AV29" s="4" t="str">
        <f t="shared" si="18"/>
        <v>-</v>
      </c>
      <c r="AW29" s="4" t="str">
        <f t="shared" si="19"/>
        <v>-</v>
      </c>
      <c r="AX29" s="4" t="str">
        <f t="shared" si="20"/>
        <v>-</v>
      </c>
      <c r="AY29" s="4" t="str">
        <f t="shared" si="21"/>
        <v>-</v>
      </c>
      <c r="AZ29" s="4" t="str">
        <f t="shared" si="22"/>
        <v>-</v>
      </c>
      <c r="BA29" s="4" t="str">
        <f t="shared" si="23"/>
        <v>-</v>
      </c>
      <c r="BB29" s="4">
        <v>0</v>
      </c>
      <c r="BC29" s="4" t="s">
        <v>287</v>
      </c>
      <c r="BD29" s="4">
        <v>10</v>
      </c>
      <c r="BE29" s="4">
        <v>1</v>
      </c>
      <c r="BF29" s="4" t="s">
        <v>277</v>
      </c>
      <c r="BG29" s="4">
        <v>296</v>
      </c>
      <c r="BH29" s="4">
        <v>296</v>
      </c>
      <c r="BI29" s="4">
        <f t="shared" si="14"/>
        <v>2960</v>
      </c>
      <c r="BJ29" s="18">
        <v>4</v>
      </c>
      <c r="BK29" s="18">
        <v>1</v>
      </c>
      <c r="BL29" s="16">
        <v>18</v>
      </c>
      <c r="BM29" t="s">
        <v>317</v>
      </c>
      <c r="BN29">
        <v>295</v>
      </c>
      <c r="BO29">
        <v>295</v>
      </c>
      <c r="BP29">
        <f t="shared" si="24"/>
        <v>245.22783251231525</v>
      </c>
      <c r="BQ29" s="4" t="s">
        <v>249</v>
      </c>
    </row>
    <row r="30" spans="1:69" x14ac:dyDescent="0.4">
      <c r="A30" s="3">
        <v>86</v>
      </c>
      <c r="B30" s="3">
        <v>11</v>
      </c>
      <c r="C30" s="32" t="s">
        <v>180</v>
      </c>
      <c r="D30" s="4" t="str">
        <f t="shared" si="0"/>
        <v>J0829Y</v>
      </c>
      <c r="E30" s="4" t="s">
        <v>180</v>
      </c>
      <c r="F30" s="4" t="s">
        <v>215</v>
      </c>
      <c r="G30" s="5">
        <v>4580417610116</v>
      </c>
      <c r="H30" s="5"/>
      <c r="I30" s="5"/>
      <c r="J30" s="5"/>
      <c r="K30" s="5"/>
      <c r="L30" s="4">
        <v>0</v>
      </c>
      <c r="M30" s="4">
        <v>184</v>
      </c>
      <c r="N30" s="4">
        <v>162.4</v>
      </c>
      <c r="O30" s="6">
        <f t="shared" si="1"/>
        <v>0.11739130434782608</v>
      </c>
      <c r="P30" s="4" t="s">
        <v>238</v>
      </c>
      <c r="Q30" s="4" t="s">
        <v>238</v>
      </c>
      <c r="R30" s="4" t="s">
        <v>238</v>
      </c>
      <c r="S30" s="4" t="s">
        <v>238</v>
      </c>
      <c r="T30" s="4" t="s">
        <v>238</v>
      </c>
      <c r="U30" s="4" t="s">
        <v>238</v>
      </c>
      <c r="V30" s="4" t="s">
        <v>238</v>
      </c>
      <c r="W30" s="4" t="s">
        <v>238</v>
      </c>
      <c r="X30" s="4" t="s">
        <v>238</v>
      </c>
      <c r="Y30" s="4">
        <v>0</v>
      </c>
      <c r="Z30" s="4">
        <f t="shared" si="2"/>
        <v>0</v>
      </c>
      <c r="AA30" s="4">
        <v>135</v>
      </c>
      <c r="AB30" s="4">
        <f t="shared" si="3"/>
        <v>135</v>
      </c>
      <c r="AC30" s="4"/>
      <c r="AD30" s="20">
        <f t="shared" si="4"/>
        <v>153</v>
      </c>
      <c r="AE30" s="6">
        <f t="shared" si="5"/>
        <v>0.11764705882352944</v>
      </c>
      <c r="AF30" s="4">
        <v>0</v>
      </c>
      <c r="AG30" s="4">
        <f t="shared" si="6"/>
        <v>296</v>
      </c>
      <c r="AH30" s="4">
        <f t="shared" si="7"/>
        <v>246.05911330049258</v>
      </c>
      <c r="AI30" s="6">
        <f t="shared" si="8"/>
        <v>0.45135135135135129</v>
      </c>
      <c r="AJ30" s="7">
        <v>250</v>
      </c>
      <c r="AK30" s="6">
        <f t="shared" si="9"/>
        <v>0.45999999999999996</v>
      </c>
      <c r="AL30" s="4">
        <f t="shared" si="10"/>
        <v>115</v>
      </c>
      <c r="AM30" s="27"/>
      <c r="AN30" s="6"/>
      <c r="AO30" s="6"/>
      <c r="AP30" s="6" t="e">
        <f t="shared" si="11"/>
        <v>#DIV/0!</v>
      </c>
      <c r="AQ30" s="6">
        <f t="shared" si="12"/>
        <v>1.3586956521739131</v>
      </c>
      <c r="AR30" s="6">
        <f t="shared" si="13"/>
        <v>0.83128078817733986</v>
      </c>
      <c r="AS30" s="4" t="str">
        <f t="shared" si="15"/>
        <v>-</v>
      </c>
      <c r="AT30" s="4" t="str">
        <f t="shared" si="16"/>
        <v>-</v>
      </c>
      <c r="AU30" s="4" t="str">
        <f t="shared" si="17"/>
        <v>-</v>
      </c>
      <c r="AV30" s="4" t="str">
        <f t="shared" si="18"/>
        <v>-</v>
      </c>
      <c r="AW30" s="4" t="str">
        <f t="shared" si="19"/>
        <v>-</v>
      </c>
      <c r="AX30" s="4" t="str">
        <f t="shared" si="20"/>
        <v>-</v>
      </c>
      <c r="AY30" s="4" t="str">
        <f t="shared" si="21"/>
        <v>-</v>
      </c>
      <c r="AZ30" s="4" t="str">
        <f t="shared" si="22"/>
        <v>-</v>
      </c>
      <c r="BA30" s="4" t="str">
        <f t="shared" si="23"/>
        <v>-</v>
      </c>
      <c r="BB30" s="4">
        <v>0</v>
      </c>
      <c r="BC30" s="4" t="s">
        <v>287</v>
      </c>
      <c r="BD30" s="4"/>
      <c r="BE30" s="4"/>
      <c r="BF30" s="4" t="s">
        <v>277</v>
      </c>
      <c r="BG30" s="4">
        <v>296</v>
      </c>
      <c r="BH30" s="4">
        <v>296</v>
      </c>
      <c r="BI30" s="4">
        <f t="shared" si="14"/>
        <v>296</v>
      </c>
      <c r="BJ30" s="18">
        <v>4</v>
      </c>
      <c r="BK30" s="18">
        <v>1</v>
      </c>
      <c r="BL30" s="16">
        <v>18</v>
      </c>
      <c r="BM30" t="s">
        <v>317</v>
      </c>
      <c r="BN30">
        <v>295</v>
      </c>
      <c r="BO30">
        <v>295</v>
      </c>
      <c r="BP30">
        <f t="shared" si="24"/>
        <v>245.22783251231525</v>
      </c>
      <c r="BQ30" s="4" t="s">
        <v>249</v>
      </c>
    </row>
    <row r="31" spans="1:69" x14ac:dyDescent="0.4">
      <c r="A31" s="3">
        <v>12</v>
      </c>
      <c r="B31" s="3">
        <v>12</v>
      </c>
      <c r="C31" s="32" t="s">
        <v>75</v>
      </c>
      <c r="D31" s="4" t="str">
        <f t="shared" si="0"/>
        <v>J443WK</v>
      </c>
      <c r="E31" s="4" t="s">
        <v>75</v>
      </c>
      <c r="F31" s="4" t="s">
        <v>109</v>
      </c>
      <c r="G31" s="5">
        <v>4580417610123</v>
      </c>
      <c r="H31" s="5"/>
      <c r="I31" s="5"/>
      <c r="J31" s="5">
        <v>3</v>
      </c>
      <c r="K31" s="5">
        <v>1</v>
      </c>
      <c r="L31" s="4">
        <v>0</v>
      </c>
      <c r="M31" s="4">
        <v>283</v>
      </c>
      <c r="N31" s="4">
        <v>164</v>
      </c>
      <c r="O31" s="6">
        <f t="shared" si="1"/>
        <v>0.4204946996466431</v>
      </c>
      <c r="P31" s="4" t="s">
        <v>238</v>
      </c>
      <c r="Q31" s="4" t="s">
        <v>238</v>
      </c>
      <c r="R31" s="4" t="s">
        <v>238</v>
      </c>
      <c r="S31" s="4" t="s">
        <v>238</v>
      </c>
      <c r="T31" s="4" t="s">
        <v>238</v>
      </c>
      <c r="U31" s="4" t="s">
        <v>238</v>
      </c>
      <c r="V31" s="4" t="s">
        <v>238</v>
      </c>
      <c r="W31" s="4" t="s">
        <v>238</v>
      </c>
      <c r="X31" s="4" t="s">
        <v>238</v>
      </c>
      <c r="Y31" s="4">
        <v>0</v>
      </c>
      <c r="Z31" s="4">
        <f t="shared" si="2"/>
        <v>0</v>
      </c>
      <c r="AA31" s="4">
        <v>189</v>
      </c>
      <c r="AB31" s="4">
        <f t="shared" si="3"/>
        <v>189</v>
      </c>
      <c r="AC31" s="4"/>
      <c r="AD31" s="20">
        <f t="shared" si="4"/>
        <v>326</v>
      </c>
      <c r="AE31" s="6">
        <f t="shared" si="5"/>
        <v>0.42024539877300615</v>
      </c>
      <c r="AF31" s="4">
        <v>27</v>
      </c>
      <c r="AG31" s="4">
        <f t="shared" si="6"/>
        <v>382</v>
      </c>
      <c r="AH31" s="4">
        <f t="shared" si="7"/>
        <v>440.23170731707313</v>
      </c>
      <c r="AI31" s="6">
        <f t="shared" si="8"/>
        <v>0.57068062827225119</v>
      </c>
      <c r="AJ31" s="7">
        <v>340</v>
      </c>
      <c r="AK31" s="6">
        <f t="shared" si="9"/>
        <v>0.44411764705882351</v>
      </c>
      <c r="AL31" s="4">
        <f t="shared" si="10"/>
        <v>151</v>
      </c>
      <c r="AM31" s="27"/>
      <c r="AN31" s="6"/>
      <c r="AO31" s="6"/>
      <c r="AP31" s="6" t="e">
        <f t="shared" si="11"/>
        <v>#DIV/0!</v>
      </c>
      <c r="AQ31" s="6">
        <f t="shared" si="12"/>
        <v>1.2014134275618376</v>
      </c>
      <c r="AR31" s="6">
        <f t="shared" si="13"/>
        <v>1.1524390243902438</v>
      </c>
      <c r="AS31" s="4" t="str">
        <f t="shared" si="15"/>
        <v>-</v>
      </c>
      <c r="AT31" s="4" t="str">
        <f t="shared" si="16"/>
        <v>-</v>
      </c>
      <c r="AU31" s="4" t="str">
        <f t="shared" si="17"/>
        <v>-</v>
      </c>
      <c r="AV31" s="4" t="str">
        <f t="shared" si="18"/>
        <v>-</v>
      </c>
      <c r="AW31" s="4" t="str">
        <f t="shared" si="19"/>
        <v>-</v>
      </c>
      <c r="AX31" s="4" t="str">
        <f t="shared" si="20"/>
        <v>-</v>
      </c>
      <c r="AY31" s="4" t="str">
        <f t="shared" si="21"/>
        <v>-</v>
      </c>
      <c r="AZ31" s="4" t="str">
        <f t="shared" si="22"/>
        <v>-</v>
      </c>
      <c r="BA31" s="4" t="str">
        <f t="shared" si="23"/>
        <v>-</v>
      </c>
      <c r="BB31" s="4">
        <v>0</v>
      </c>
      <c r="BC31" s="4" t="s">
        <v>288</v>
      </c>
      <c r="BD31" s="4"/>
      <c r="BE31" s="4"/>
      <c r="BF31" s="4" t="s">
        <v>277</v>
      </c>
      <c r="BG31" s="4">
        <v>382</v>
      </c>
      <c r="BH31" s="4">
        <v>382</v>
      </c>
      <c r="BI31" s="4">
        <f t="shared" si="14"/>
        <v>382</v>
      </c>
      <c r="BJ31" s="18">
        <v>4</v>
      </c>
      <c r="BK31" s="18">
        <v>1</v>
      </c>
      <c r="BL31" s="16">
        <v>18</v>
      </c>
      <c r="BM31" t="s">
        <v>317</v>
      </c>
      <c r="BN31">
        <v>380</v>
      </c>
      <c r="BO31">
        <v>380</v>
      </c>
      <c r="BP31">
        <f t="shared" si="24"/>
        <v>437.92682926829264</v>
      </c>
      <c r="BQ31" s="4" t="s">
        <v>250</v>
      </c>
    </row>
    <row r="32" spans="1:69" x14ac:dyDescent="0.4">
      <c r="A32" s="3">
        <v>65</v>
      </c>
      <c r="B32" s="3">
        <v>12</v>
      </c>
      <c r="C32" s="32" t="s">
        <v>160</v>
      </c>
      <c r="D32" s="4" t="str">
        <f t="shared" si="0"/>
        <v>J009XA</v>
      </c>
      <c r="E32" s="4" t="s">
        <v>161</v>
      </c>
      <c r="F32" s="4" t="s">
        <v>194</v>
      </c>
      <c r="G32" s="5">
        <v>4580417610123</v>
      </c>
      <c r="H32" s="5"/>
      <c r="I32" s="5"/>
      <c r="J32" s="5"/>
      <c r="K32" s="5"/>
      <c r="L32" s="4">
        <v>0</v>
      </c>
      <c r="M32" s="4">
        <v>2520</v>
      </c>
      <c r="N32" s="4">
        <v>1640</v>
      </c>
      <c r="O32" s="6">
        <f t="shared" si="1"/>
        <v>0.34920634920634919</v>
      </c>
      <c r="P32" s="4" t="s">
        <v>238</v>
      </c>
      <c r="Q32" s="4" t="s">
        <v>238</v>
      </c>
      <c r="R32" s="4" t="s">
        <v>238</v>
      </c>
      <c r="S32" s="4" t="s">
        <v>238</v>
      </c>
      <c r="T32" s="4" t="s">
        <v>238</v>
      </c>
      <c r="U32" s="4" t="s">
        <v>238</v>
      </c>
      <c r="V32" s="4" t="s">
        <v>238</v>
      </c>
      <c r="W32" s="4" t="s">
        <v>238</v>
      </c>
      <c r="X32" s="4" t="s">
        <v>238</v>
      </c>
      <c r="Y32" s="4">
        <v>0</v>
      </c>
      <c r="Z32" s="4">
        <f t="shared" si="2"/>
        <v>0</v>
      </c>
      <c r="AA32" s="4">
        <v>189</v>
      </c>
      <c r="AB32" s="4">
        <f t="shared" si="3"/>
        <v>1890</v>
      </c>
      <c r="AC32" s="4">
        <v>10</v>
      </c>
      <c r="AD32" s="20">
        <f t="shared" si="4"/>
        <v>2904</v>
      </c>
      <c r="AE32" s="6">
        <f t="shared" si="5"/>
        <v>0.34917355371900827</v>
      </c>
      <c r="AF32" s="4">
        <v>0</v>
      </c>
      <c r="AG32" s="4">
        <f t="shared" si="6"/>
        <v>3820</v>
      </c>
      <c r="AH32" s="4">
        <f t="shared" si="7"/>
        <v>4402.3170731707314</v>
      </c>
      <c r="AI32" s="6">
        <f t="shared" si="8"/>
        <v>0.5706806282722513</v>
      </c>
      <c r="AJ32" s="7">
        <v>3230</v>
      </c>
      <c r="AK32" s="6">
        <f t="shared" si="9"/>
        <v>0.4148606811145511</v>
      </c>
      <c r="AL32" s="4">
        <f t="shared" si="10"/>
        <v>1340</v>
      </c>
      <c r="AM32" s="27"/>
      <c r="AN32" s="6"/>
      <c r="AO32" s="6"/>
      <c r="AP32" s="6" t="e">
        <f t="shared" si="11"/>
        <v>#DIV/0!</v>
      </c>
      <c r="AQ32" s="6">
        <f t="shared" si="12"/>
        <v>1.2817460317460319</v>
      </c>
      <c r="AR32" s="6">
        <f t="shared" si="13"/>
        <v>1.1524390243902438</v>
      </c>
      <c r="AS32" s="4" t="str">
        <f t="shared" si="15"/>
        <v>-</v>
      </c>
      <c r="AT32" s="4" t="str">
        <f t="shared" si="16"/>
        <v>-</v>
      </c>
      <c r="AU32" s="4" t="str">
        <f t="shared" si="17"/>
        <v>-</v>
      </c>
      <c r="AV32" s="4" t="str">
        <f t="shared" si="18"/>
        <v>-</v>
      </c>
      <c r="AW32" s="4" t="str">
        <f t="shared" si="19"/>
        <v>-</v>
      </c>
      <c r="AX32" s="4" t="str">
        <f t="shared" si="20"/>
        <v>-</v>
      </c>
      <c r="AY32" s="4" t="str">
        <f t="shared" si="21"/>
        <v>-</v>
      </c>
      <c r="AZ32" s="4" t="str">
        <f t="shared" si="22"/>
        <v>-</v>
      </c>
      <c r="BA32" s="4" t="str">
        <f t="shared" si="23"/>
        <v>-</v>
      </c>
      <c r="BB32" s="4">
        <v>0</v>
      </c>
      <c r="BC32" s="4" t="s">
        <v>288</v>
      </c>
      <c r="BD32" s="4">
        <v>10</v>
      </c>
      <c r="BE32" s="4">
        <v>1</v>
      </c>
      <c r="BF32" s="4" t="s">
        <v>277</v>
      </c>
      <c r="BG32" s="4">
        <v>382</v>
      </c>
      <c r="BH32" s="4">
        <v>382</v>
      </c>
      <c r="BI32" s="4">
        <f t="shared" si="14"/>
        <v>3820</v>
      </c>
      <c r="BJ32" s="18">
        <v>4</v>
      </c>
      <c r="BK32" s="18">
        <v>1</v>
      </c>
      <c r="BL32" s="16">
        <v>18</v>
      </c>
      <c r="BM32" t="s">
        <v>317</v>
      </c>
      <c r="BN32">
        <v>380</v>
      </c>
      <c r="BO32">
        <v>380</v>
      </c>
      <c r="BP32">
        <f t="shared" si="24"/>
        <v>437.92682926829264</v>
      </c>
      <c r="BQ32" s="4" t="s">
        <v>250</v>
      </c>
    </row>
    <row r="33" spans="1:69" x14ac:dyDescent="0.4">
      <c r="A33" s="3">
        <v>66</v>
      </c>
      <c r="B33" s="3">
        <v>12</v>
      </c>
      <c r="C33" s="32" t="s">
        <v>160</v>
      </c>
      <c r="D33" s="4" t="str">
        <f t="shared" si="0"/>
        <v>J009XA</v>
      </c>
      <c r="E33" s="4" t="s">
        <v>160</v>
      </c>
      <c r="F33" s="4" t="s">
        <v>195</v>
      </c>
      <c r="G33" s="5">
        <v>4580417610123</v>
      </c>
      <c r="H33" s="5"/>
      <c r="I33" s="5"/>
      <c r="J33" s="5"/>
      <c r="K33" s="5"/>
      <c r="L33" s="4">
        <v>0</v>
      </c>
      <c r="M33" s="4">
        <v>267</v>
      </c>
      <c r="N33" s="4">
        <v>164</v>
      </c>
      <c r="O33" s="6">
        <f t="shared" si="1"/>
        <v>0.38576779026217234</v>
      </c>
      <c r="P33" s="4" t="s">
        <v>238</v>
      </c>
      <c r="Q33" s="4" t="s">
        <v>238</v>
      </c>
      <c r="R33" s="4" t="s">
        <v>238</v>
      </c>
      <c r="S33" s="4" t="s">
        <v>238</v>
      </c>
      <c r="T33" s="4" t="s">
        <v>238</v>
      </c>
      <c r="U33" s="4" t="s">
        <v>238</v>
      </c>
      <c r="V33" s="4" t="s">
        <v>238</v>
      </c>
      <c r="W33" s="4" t="s">
        <v>238</v>
      </c>
      <c r="X33" s="4" t="s">
        <v>238</v>
      </c>
      <c r="Y33" s="4">
        <v>0</v>
      </c>
      <c r="Z33" s="4">
        <f t="shared" si="2"/>
        <v>0</v>
      </c>
      <c r="AA33" s="4">
        <v>189</v>
      </c>
      <c r="AB33" s="4">
        <f t="shared" si="3"/>
        <v>189</v>
      </c>
      <c r="AC33" s="4"/>
      <c r="AD33" s="20">
        <f t="shared" si="4"/>
        <v>308</v>
      </c>
      <c r="AE33" s="6">
        <f t="shared" si="5"/>
        <v>0.38636363636363635</v>
      </c>
      <c r="AF33" s="4">
        <v>0</v>
      </c>
      <c r="AG33" s="4">
        <f t="shared" si="6"/>
        <v>382</v>
      </c>
      <c r="AH33" s="4">
        <f t="shared" si="7"/>
        <v>440.23170731707313</v>
      </c>
      <c r="AI33" s="6">
        <f t="shared" si="8"/>
        <v>0.57068062827225119</v>
      </c>
      <c r="AJ33" s="7">
        <v>340</v>
      </c>
      <c r="AK33" s="6">
        <f t="shared" si="9"/>
        <v>0.44411764705882351</v>
      </c>
      <c r="AL33" s="4">
        <f t="shared" si="10"/>
        <v>151</v>
      </c>
      <c r="AM33" s="27"/>
      <c r="AN33" s="6"/>
      <c r="AO33" s="6"/>
      <c r="AP33" s="6" t="e">
        <f t="shared" si="11"/>
        <v>#DIV/0!</v>
      </c>
      <c r="AQ33" s="6">
        <f t="shared" si="12"/>
        <v>1.2734082397003745</v>
      </c>
      <c r="AR33" s="6">
        <f t="shared" si="13"/>
        <v>1.1524390243902438</v>
      </c>
      <c r="AS33" s="4" t="str">
        <f t="shared" si="15"/>
        <v>-</v>
      </c>
      <c r="AT33" s="4" t="str">
        <f t="shared" si="16"/>
        <v>-</v>
      </c>
      <c r="AU33" s="4" t="str">
        <f t="shared" si="17"/>
        <v>-</v>
      </c>
      <c r="AV33" s="4" t="str">
        <f t="shared" si="18"/>
        <v>-</v>
      </c>
      <c r="AW33" s="4" t="str">
        <f t="shared" si="19"/>
        <v>-</v>
      </c>
      <c r="AX33" s="4" t="str">
        <f t="shared" si="20"/>
        <v>-</v>
      </c>
      <c r="AY33" s="4" t="str">
        <f t="shared" si="21"/>
        <v>-</v>
      </c>
      <c r="AZ33" s="4" t="str">
        <f t="shared" si="22"/>
        <v>-</v>
      </c>
      <c r="BA33" s="4" t="str">
        <f t="shared" si="23"/>
        <v>-</v>
      </c>
      <c r="BB33" s="4">
        <v>0</v>
      </c>
      <c r="BC33" s="4" t="s">
        <v>288</v>
      </c>
      <c r="BD33" s="4"/>
      <c r="BE33" s="4"/>
      <c r="BF33" s="4" t="s">
        <v>277</v>
      </c>
      <c r="BG33" s="4">
        <v>382</v>
      </c>
      <c r="BH33" s="4">
        <v>382</v>
      </c>
      <c r="BI33" s="4">
        <f t="shared" si="14"/>
        <v>382</v>
      </c>
      <c r="BJ33" s="18">
        <v>4</v>
      </c>
      <c r="BK33" s="18">
        <v>1</v>
      </c>
      <c r="BL33" s="16">
        <v>18</v>
      </c>
      <c r="BM33" t="s">
        <v>317</v>
      </c>
      <c r="BN33">
        <v>380</v>
      </c>
      <c r="BO33">
        <v>380</v>
      </c>
      <c r="BP33">
        <f t="shared" si="24"/>
        <v>437.92682926829264</v>
      </c>
      <c r="BQ33" s="4" t="s">
        <v>250</v>
      </c>
    </row>
    <row r="34" spans="1:69" x14ac:dyDescent="0.4">
      <c r="A34" s="3">
        <v>13</v>
      </c>
      <c r="B34" s="3">
        <v>13</v>
      </c>
      <c r="C34" s="32" t="s">
        <v>76</v>
      </c>
      <c r="D34" s="4" t="str">
        <f t="shared" si="0"/>
        <v>J458WK</v>
      </c>
      <c r="E34" s="4" t="s">
        <v>76</v>
      </c>
      <c r="F34" s="4" t="s">
        <v>110</v>
      </c>
      <c r="G34" s="5">
        <v>4580417610130</v>
      </c>
      <c r="H34" s="5"/>
      <c r="I34" s="5"/>
      <c r="J34" s="5">
        <v>3</v>
      </c>
      <c r="K34" s="5">
        <v>1</v>
      </c>
      <c r="L34" s="4">
        <v>0</v>
      </c>
      <c r="M34" s="4">
        <v>331</v>
      </c>
      <c r="N34" s="4">
        <v>192</v>
      </c>
      <c r="O34" s="6">
        <f t="shared" si="1"/>
        <v>0.41993957703927487</v>
      </c>
      <c r="P34" s="4" t="s">
        <v>238</v>
      </c>
      <c r="Q34" s="4" t="s">
        <v>238</v>
      </c>
      <c r="R34" s="4" t="s">
        <v>238</v>
      </c>
      <c r="S34" s="4" t="s">
        <v>238</v>
      </c>
      <c r="T34" s="4" t="s">
        <v>238</v>
      </c>
      <c r="U34" s="4" t="s">
        <v>238</v>
      </c>
      <c r="V34" s="4" t="s">
        <v>238</v>
      </c>
      <c r="W34" s="4" t="s">
        <v>238</v>
      </c>
      <c r="X34" s="4" t="s">
        <v>238</v>
      </c>
      <c r="Y34" s="4">
        <v>0</v>
      </c>
      <c r="Z34" s="4">
        <f t="shared" si="2"/>
        <v>0</v>
      </c>
      <c r="AA34" s="4">
        <v>221</v>
      </c>
      <c r="AB34" s="4">
        <f t="shared" si="3"/>
        <v>221</v>
      </c>
      <c r="AC34" s="4"/>
      <c r="AD34" s="20">
        <f t="shared" si="4"/>
        <v>381</v>
      </c>
      <c r="AE34" s="6">
        <f t="shared" si="5"/>
        <v>0.41994750656167978</v>
      </c>
      <c r="AF34" s="4">
        <v>25.75</v>
      </c>
      <c r="AG34" s="4">
        <f t="shared" si="6"/>
        <v>448</v>
      </c>
      <c r="AH34" s="4">
        <f t="shared" si="7"/>
        <v>515.66666666666674</v>
      </c>
      <c r="AI34" s="6">
        <f t="shared" si="8"/>
        <v>0.57142857142857151</v>
      </c>
      <c r="AJ34" s="7">
        <v>400</v>
      </c>
      <c r="AK34" s="6">
        <f t="shared" si="9"/>
        <v>0.44750000000000001</v>
      </c>
      <c r="AL34" s="4">
        <f t="shared" si="10"/>
        <v>179</v>
      </c>
      <c r="AM34" s="27"/>
      <c r="AN34" s="6"/>
      <c r="AO34" s="6"/>
      <c r="AP34" s="6" t="e">
        <f t="shared" si="11"/>
        <v>#DIV/0!</v>
      </c>
      <c r="AQ34" s="6">
        <f t="shared" si="12"/>
        <v>1.2084592145015105</v>
      </c>
      <c r="AR34" s="6">
        <f t="shared" si="13"/>
        <v>1.1510416666666667</v>
      </c>
      <c r="AS34" s="4" t="str">
        <f t="shared" si="15"/>
        <v>-</v>
      </c>
      <c r="AT34" s="4" t="str">
        <f t="shared" si="16"/>
        <v>-</v>
      </c>
      <c r="AU34" s="4" t="str">
        <f t="shared" si="17"/>
        <v>-</v>
      </c>
      <c r="AV34" s="4" t="str">
        <f t="shared" si="18"/>
        <v>-</v>
      </c>
      <c r="AW34" s="4" t="str">
        <f t="shared" si="19"/>
        <v>-</v>
      </c>
      <c r="AX34" s="4" t="str">
        <f t="shared" si="20"/>
        <v>-</v>
      </c>
      <c r="AY34" s="4" t="str">
        <f t="shared" si="21"/>
        <v>-</v>
      </c>
      <c r="AZ34" s="4" t="str">
        <f t="shared" si="22"/>
        <v>-</v>
      </c>
      <c r="BA34" s="4" t="str">
        <f t="shared" si="23"/>
        <v>-</v>
      </c>
      <c r="BB34" s="4">
        <v>0</v>
      </c>
      <c r="BC34" s="4" t="s">
        <v>289</v>
      </c>
      <c r="BD34" s="4"/>
      <c r="BE34" s="4"/>
      <c r="BF34" s="4" t="s">
        <v>277</v>
      </c>
      <c r="BG34" s="4">
        <v>448</v>
      </c>
      <c r="BH34" s="4">
        <v>448</v>
      </c>
      <c r="BI34" s="4">
        <f t="shared" si="14"/>
        <v>448</v>
      </c>
      <c r="BJ34" s="18">
        <v>4</v>
      </c>
      <c r="BK34" s="18">
        <v>1</v>
      </c>
      <c r="BL34" s="16">
        <v>18</v>
      </c>
      <c r="BM34" t="s">
        <v>317</v>
      </c>
      <c r="BN34">
        <v>447</v>
      </c>
      <c r="BO34">
        <v>447</v>
      </c>
      <c r="BP34">
        <f t="shared" si="24"/>
        <v>514.515625</v>
      </c>
      <c r="BQ34" s="4" t="s">
        <v>251</v>
      </c>
    </row>
    <row r="35" spans="1:69" x14ac:dyDescent="0.4">
      <c r="A35" s="3">
        <v>67</v>
      </c>
      <c r="B35" s="3">
        <v>13</v>
      </c>
      <c r="C35" s="32" t="s">
        <v>164</v>
      </c>
      <c r="D35" s="4" t="str">
        <f t="shared" si="0"/>
        <v>J0099R</v>
      </c>
      <c r="E35" s="4" t="s">
        <v>165</v>
      </c>
      <c r="F35" s="4" t="s">
        <v>196</v>
      </c>
      <c r="G35" s="5">
        <v>4580417610130</v>
      </c>
      <c r="H35" s="5"/>
      <c r="I35" s="5"/>
      <c r="J35" s="5"/>
      <c r="K35" s="5"/>
      <c r="L35" s="4">
        <v>0</v>
      </c>
      <c r="M35" s="4">
        <v>1450</v>
      </c>
      <c r="N35" s="4">
        <v>943.2</v>
      </c>
      <c r="O35" s="6">
        <f t="shared" si="1"/>
        <v>0.34951724137931028</v>
      </c>
      <c r="P35" s="4" t="s">
        <v>238</v>
      </c>
      <c r="Q35" s="4" t="s">
        <v>238</v>
      </c>
      <c r="R35" s="4" t="s">
        <v>238</v>
      </c>
      <c r="S35" s="4" t="s">
        <v>238</v>
      </c>
      <c r="T35" s="4" t="s">
        <v>238</v>
      </c>
      <c r="U35" s="4" t="s">
        <v>238</v>
      </c>
      <c r="V35" s="4" t="s">
        <v>238</v>
      </c>
      <c r="W35" s="4" t="s">
        <v>238</v>
      </c>
      <c r="X35" s="4" t="s">
        <v>238</v>
      </c>
      <c r="Y35" s="4">
        <v>0</v>
      </c>
      <c r="Z35" s="4">
        <f t="shared" si="2"/>
        <v>0</v>
      </c>
      <c r="AA35" s="4">
        <v>221</v>
      </c>
      <c r="AB35" s="4">
        <f t="shared" si="3"/>
        <v>1105</v>
      </c>
      <c r="AC35" s="4">
        <v>5</v>
      </c>
      <c r="AD35" s="20">
        <f t="shared" si="4"/>
        <v>1699</v>
      </c>
      <c r="AE35" s="6">
        <f t="shared" si="5"/>
        <v>0.34961742201294876</v>
      </c>
      <c r="AF35" s="4">
        <v>0</v>
      </c>
      <c r="AG35" s="4">
        <f t="shared" si="6"/>
        <v>2240</v>
      </c>
      <c r="AH35" s="4">
        <f t="shared" si="7"/>
        <v>2624.2578456318915</v>
      </c>
      <c r="AI35" s="6">
        <f t="shared" si="8"/>
        <v>0.57892857142857146</v>
      </c>
      <c r="AJ35" s="7">
        <v>1940</v>
      </c>
      <c r="AK35" s="6">
        <f t="shared" si="9"/>
        <v>0.43041237113402064</v>
      </c>
      <c r="AL35" s="4">
        <f t="shared" si="10"/>
        <v>835</v>
      </c>
      <c r="AM35" s="27"/>
      <c r="AN35" s="6"/>
      <c r="AO35" s="6"/>
      <c r="AP35" s="6" t="e">
        <f t="shared" si="11"/>
        <v>#DIV/0!</v>
      </c>
      <c r="AQ35" s="6">
        <f t="shared" si="12"/>
        <v>1.3379310344827586</v>
      </c>
      <c r="AR35" s="6">
        <f t="shared" si="13"/>
        <v>1.1715436810856659</v>
      </c>
      <c r="AS35" s="4" t="str">
        <f t="shared" si="15"/>
        <v>-</v>
      </c>
      <c r="AT35" s="4" t="str">
        <f t="shared" si="16"/>
        <v>-</v>
      </c>
      <c r="AU35" s="4" t="str">
        <f t="shared" si="17"/>
        <v>-</v>
      </c>
      <c r="AV35" s="4" t="str">
        <f t="shared" si="18"/>
        <v>-</v>
      </c>
      <c r="AW35" s="4" t="str">
        <f t="shared" si="19"/>
        <v>-</v>
      </c>
      <c r="AX35" s="4" t="str">
        <f t="shared" si="20"/>
        <v>-</v>
      </c>
      <c r="AY35" s="4" t="str">
        <f t="shared" si="21"/>
        <v>-</v>
      </c>
      <c r="AZ35" s="4" t="str">
        <f t="shared" si="22"/>
        <v>-</v>
      </c>
      <c r="BA35" s="4" t="str">
        <f t="shared" si="23"/>
        <v>-</v>
      </c>
      <c r="BB35" s="4">
        <v>0</v>
      </c>
      <c r="BC35" s="4" t="s">
        <v>289</v>
      </c>
      <c r="BD35" s="4">
        <v>5</v>
      </c>
      <c r="BE35" s="4">
        <v>1</v>
      </c>
      <c r="BF35" s="4" t="s">
        <v>277</v>
      </c>
      <c r="BG35" s="4">
        <v>448</v>
      </c>
      <c r="BH35" s="4">
        <v>448</v>
      </c>
      <c r="BI35" s="4">
        <f t="shared" si="14"/>
        <v>2240</v>
      </c>
      <c r="BJ35" s="18">
        <v>4</v>
      </c>
      <c r="BK35" s="18">
        <v>1</v>
      </c>
      <c r="BL35" s="16">
        <v>18</v>
      </c>
      <c r="BM35" t="s">
        <v>317</v>
      </c>
      <c r="BN35">
        <v>447</v>
      </c>
      <c r="BO35">
        <v>447</v>
      </c>
      <c r="BP35">
        <f t="shared" si="24"/>
        <v>523.68002544529259</v>
      </c>
      <c r="BQ35" s="4" t="s">
        <v>251</v>
      </c>
    </row>
    <row r="36" spans="1:69" x14ac:dyDescent="0.4">
      <c r="A36" s="3">
        <v>68</v>
      </c>
      <c r="B36" s="3">
        <v>13</v>
      </c>
      <c r="C36" s="32" t="s">
        <v>164</v>
      </c>
      <c r="D36" s="4" t="str">
        <f t="shared" ref="D36:D67" si="25">TEXT(C36,"000000")</f>
        <v>J0099R</v>
      </c>
      <c r="E36" s="4" t="s">
        <v>164</v>
      </c>
      <c r="F36" s="4" t="s">
        <v>197</v>
      </c>
      <c r="G36" s="5">
        <v>4580417610130</v>
      </c>
      <c r="H36" s="5"/>
      <c r="I36" s="5"/>
      <c r="J36" s="5"/>
      <c r="K36" s="5"/>
      <c r="L36" s="4">
        <v>0</v>
      </c>
      <c r="M36" s="4">
        <v>305</v>
      </c>
      <c r="N36" s="4">
        <v>188.64</v>
      </c>
      <c r="O36" s="6">
        <f t="shared" ref="O36:O67" si="26">1-N36/M36</f>
        <v>0.38150819672131153</v>
      </c>
      <c r="P36" s="4" t="s">
        <v>238</v>
      </c>
      <c r="Q36" s="4" t="s">
        <v>238</v>
      </c>
      <c r="R36" s="4" t="s">
        <v>238</v>
      </c>
      <c r="S36" s="4" t="s">
        <v>238</v>
      </c>
      <c r="T36" s="4" t="s">
        <v>238</v>
      </c>
      <c r="U36" s="4" t="s">
        <v>238</v>
      </c>
      <c r="V36" s="4" t="s">
        <v>238</v>
      </c>
      <c r="W36" s="4" t="s">
        <v>238</v>
      </c>
      <c r="X36" s="4" t="s">
        <v>238</v>
      </c>
      <c r="Y36" s="4">
        <v>0</v>
      </c>
      <c r="Z36" s="4">
        <f t="shared" ref="Z36:Z61" si="27">IF(AC36="",Y36,Y36*AC36)</f>
        <v>0</v>
      </c>
      <c r="AA36" s="4">
        <v>221</v>
      </c>
      <c r="AB36" s="4">
        <f t="shared" ref="AB36:AB67" si="28">IF(AC36="",AA36,AA36*AC36)</f>
        <v>221</v>
      </c>
      <c r="AC36" s="4"/>
      <c r="AD36" s="20">
        <f t="shared" ref="AD36:AD67" si="29">ROUND(M36*AR36,0)</f>
        <v>357</v>
      </c>
      <c r="AE36" s="6">
        <f t="shared" ref="AE36:AE67" si="30">1-AB36/AD36</f>
        <v>0.38095238095238093</v>
      </c>
      <c r="AF36" s="4">
        <v>0</v>
      </c>
      <c r="AG36" s="4">
        <f t="shared" ref="AG36:AG67" si="31">BI36</f>
        <v>448</v>
      </c>
      <c r="AH36" s="4">
        <f t="shared" ref="AH36:AH67" si="32">AG36*AR36</f>
        <v>524.85156912637831</v>
      </c>
      <c r="AI36" s="6">
        <f t="shared" ref="AI36:AI67" si="33">1-AB36/AH36</f>
        <v>0.57892857142857146</v>
      </c>
      <c r="AJ36" s="7">
        <v>400</v>
      </c>
      <c r="AK36" s="6">
        <f t="shared" ref="AK36:AK67" si="34">1-AB36/AJ36</f>
        <v>0.44750000000000001</v>
      </c>
      <c r="AL36" s="4">
        <f t="shared" ref="AL36:AL67" si="35">AJ36-AB36</f>
        <v>179</v>
      </c>
      <c r="AM36" s="27"/>
      <c r="AN36" s="6"/>
      <c r="AO36" s="6"/>
      <c r="AP36" s="6" t="e">
        <f t="shared" ref="AP36:AP67" si="36">Z36/L36</f>
        <v>#DIV/0!</v>
      </c>
      <c r="AQ36" s="6">
        <f t="shared" ref="AQ36:AQ67" si="37">AJ36/M36</f>
        <v>1.3114754098360655</v>
      </c>
      <c r="AR36" s="6">
        <f t="shared" ref="AR36:AR67" si="38">AB36/N36</f>
        <v>1.1715436810856659</v>
      </c>
      <c r="AS36" s="4" t="str">
        <f t="shared" si="15"/>
        <v>-</v>
      </c>
      <c r="AT36" s="4" t="str">
        <f t="shared" si="16"/>
        <v>-</v>
      </c>
      <c r="AU36" s="4" t="str">
        <f t="shared" si="17"/>
        <v>-</v>
      </c>
      <c r="AV36" s="4" t="str">
        <f t="shared" si="18"/>
        <v>-</v>
      </c>
      <c r="AW36" s="4" t="str">
        <f t="shared" si="19"/>
        <v>-</v>
      </c>
      <c r="AX36" s="4" t="str">
        <f t="shared" si="20"/>
        <v>-</v>
      </c>
      <c r="AY36" s="4" t="str">
        <f t="shared" si="21"/>
        <v>-</v>
      </c>
      <c r="AZ36" s="4" t="str">
        <f t="shared" si="22"/>
        <v>-</v>
      </c>
      <c r="BA36" s="4" t="str">
        <f t="shared" si="23"/>
        <v>-</v>
      </c>
      <c r="BB36" s="4">
        <v>0</v>
      </c>
      <c r="BC36" s="4" t="s">
        <v>289</v>
      </c>
      <c r="BD36" s="4"/>
      <c r="BE36" s="4"/>
      <c r="BF36" s="4" t="s">
        <v>277</v>
      </c>
      <c r="BG36" s="4">
        <v>448</v>
      </c>
      <c r="BH36" s="4">
        <v>448</v>
      </c>
      <c r="BI36" s="4">
        <f t="shared" ref="BI36:BI67" si="39">IF(BD36="",BH36,BD36/BE36*BH36)</f>
        <v>448</v>
      </c>
      <c r="BJ36" s="18">
        <v>4</v>
      </c>
      <c r="BK36" s="18">
        <v>1</v>
      </c>
      <c r="BL36" s="16">
        <v>18</v>
      </c>
      <c r="BM36" t="s">
        <v>317</v>
      </c>
      <c r="BN36">
        <v>447</v>
      </c>
      <c r="BO36">
        <v>447</v>
      </c>
      <c r="BP36">
        <f t="shared" si="24"/>
        <v>523.68002544529259</v>
      </c>
      <c r="BQ36" s="4" t="s">
        <v>251</v>
      </c>
    </row>
    <row r="37" spans="1:69" x14ac:dyDescent="0.4">
      <c r="A37" s="3">
        <v>14</v>
      </c>
      <c r="B37" s="3">
        <v>14</v>
      </c>
      <c r="C37" s="32" t="s">
        <v>77</v>
      </c>
      <c r="D37" s="4" t="str">
        <f t="shared" si="25"/>
        <v>J456WK</v>
      </c>
      <c r="E37" s="4" t="s">
        <v>77</v>
      </c>
      <c r="F37" s="4" t="s">
        <v>111</v>
      </c>
      <c r="G37" s="5">
        <v>4580417610147</v>
      </c>
      <c r="H37" s="5"/>
      <c r="I37" s="5"/>
      <c r="J37" s="5">
        <v>3</v>
      </c>
      <c r="K37" s="5">
        <v>1</v>
      </c>
      <c r="L37" s="4">
        <v>0</v>
      </c>
      <c r="M37" s="4">
        <v>388</v>
      </c>
      <c r="N37" s="4">
        <v>225</v>
      </c>
      <c r="O37" s="6">
        <f t="shared" si="26"/>
        <v>0.42010309278350511</v>
      </c>
      <c r="P37" s="4" t="s">
        <v>238</v>
      </c>
      <c r="Q37" s="4" t="s">
        <v>238</v>
      </c>
      <c r="R37" s="4" t="s">
        <v>238</v>
      </c>
      <c r="S37" s="4" t="s">
        <v>238</v>
      </c>
      <c r="T37" s="4" t="s">
        <v>238</v>
      </c>
      <c r="U37" s="4" t="s">
        <v>238</v>
      </c>
      <c r="V37" s="4" t="s">
        <v>238</v>
      </c>
      <c r="W37" s="4" t="s">
        <v>238</v>
      </c>
      <c r="X37" s="4" t="s">
        <v>238</v>
      </c>
      <c r="Y37" s="4">
        <v>0</v>
      </c>
      <c r="Z37" s="4">
        <f t="shared" si="27"/>
        <v>0</v>
      </c>
      <c r="AA37" s="4">
        <v>259</v>
      </c>
      <c r="AB37" s="4">
        <f t="shared" si="28"/>
        <v>259</v>
      </c>
      <c r="AC37" s="4"/>
      <c r="AD37" s="20">
        <f t="shared" si="29"/>
        <v>447</v>
      </c>
      <c r="AE37" s="6">
        <f t="shared" si="30"/>
        <v>0.42058165548098436</v>
      </c>
      <c r="AF37" s="4">
        <v>5.75</v>
      </c>
      <c r="AG37" s="4">
        <f t="shared" si="31"/>
        <v>513</v>
      </c>
      <c r="AH37" s="4">
        <f t="shared" si="32"/>
        <v>590.5200000000001</v>
      </c>
      <c r="AI37" s="6">
        <f t="shared" si="33"/>
        <v>0.5614035087719299</v>
      </c>
      <c r="AJ37" s="7">
        <v>480</v>
      </c>
      <c r="AK37" s="6">
        <f t="shared" si="34"/>
        <v>0.4604166666666667</v>
      </c>
      <c r="AL37" s="4">
        <f t="shared" si="35"/>
        <v>221</v>
      </c>
      <c r="AM37" s="27"/>
      <c r="AN37" s="6"/>
      <c r="AO37" s="6"/>
      <c r="AP37" s="6" t="e">
        <f t="shared" si="36"/>
        <v>#DIV/0!</v>
      </c>
      <c r="AQ37" s="6">
        <f t="shared" si="37"/>
        <v>1.2371134020618557</v>
      </c>
      <c r="AR37" s="6">
        <f t="shared" si="38"/>
        <v>1.1511111111111112</v>
      </c>
      <c r="AS37" s="4" t="str">
        <f t="shared" si="15"/>
        <v>-</v>
      </c>
      <c r="AT37" s="4" t="str">
        <f t="shared" si="16"/>
        <v>-</v>
      </c>
      <c r="AU37" s="4" t="str">
        <f t="shared" si="17"/>
        <v>-</v>
      </c>
      <c r="AV37" s="4" t="str">
        <f t="shared" si="18"/>
        <v>-</v>
      </c>
      <c r="AW37" s="4" t="str">
        <f t="shared" si="19"/>
        <v>-</v>
      </c>
      <c r="AX37" s="4" t="str">
        <f t="shared" si="20"/>
        <v>-</v>
      </c>
      <c r="AY37" s="4" t="str">
        <f t="shared" si="21"/>
        <v>-</v>
      </c>
      <c r="AZ37" s="4" t="str">
        <f t="shared" si="22"/>
        <v>-</v>
      </c>
      <c r="BA37" s="4" t="str">
        <f t="shared" si="23"/>
        <v>-</v>
      </c>
      <c r="BB37" s="4">
        <v>0</v>
      </c>
      <c r="BC37" s="4" t="s">
        <v>290</v>
      </c>
      <c r="BD37" s="4"/>
      <c r="BE37" s="4"/>
      <c r="BF37" s="4" t="s">
        <v>277</v>
      </c>
      <c r="BG37" s="4">
        <v>513</v>
      </c>
      <c r="BH37" s="4">
        <v>513</v>
      </c>
      <c r="BI37" s="4">
        <f t="shared" si="39"/>
        <v>513</v>
      </c>
      <c r="BJ37" s="18">
        <v>4</v>
      </c>
      <c r="BK37" s="18">
        <v>1</v>
      </c>
      <c r="BL37" s="16">
        <v>18</v>
      </c>
      <c r="BM37" t="s">
        <v>317</v>
      </c>
      <c r="BN37">
        <v>513</v>
      </c>
      <c r="BO37">
        <v>513</v>
      </c>
      <c r="BP37">
        <f t="shared" si="24"/>
        <v>590.5200000000001</v>
      </c>
      <c r="BQ37" s="4" t="s">
        <v>252</v>
      </c>
    </row>
    <row r="38" spans="1:69" x14ac:dyDescent="0.4">
      <c r="A38" s="3">
        <v>69</v>
      </c>
      <c r="B38" s="3">
        <v>14</v>
      </c>
      <c r="C38" s="32" t="s">
        <v>166</v>
      </c>
      <c r="D38" s="4" t="str">
        <f t="shared" si="25"/>
        <v>J0101R</v>
      </c>
      <c r="E38" s="4" t="s">
        <v>167</v>
      </c>
      <c r="F38" s="4" t="s">
        <v>198</v>
      </c>
      <c r="G38" s="5">
        <v>4580417610147</v>
      </c>
      <c r="H38" s="5"/>
      <c r="I38" s="5"/>
      <c r="J38" s="5"/>
      <c r="K38" s="5"/>
      <c r="L38" s="4">
        <v>0</v>
      </c>
      <c r="M38" s="4">
        <v>1737</v>
      </c>
      <c r="N38" s="4">
        <v>1125</v>
      </c>
      <c r="O38" s="6">
        <f t="shared" si="26"/>
        <v>0.35233160621761661</v>
      </c>
      <c r="P38" s="4" t="s">
        <v>238</v>
      </c>
      <c r="Q38" s="4" t="s">
        <v>238</v>
      </c>
      <c r="R38" s="4" t="s">
        <v>238</v>
      </c>
      <c r="S38" s="4" t="s">
        <v>238</v>
      </c>
      <c r="T38" s="4" t="s">
        <v>238</v>
      </c>
      <c r="U38" s="4" t="s">
        <v>238</v>
      </c>
      <c r="V38" s="4" t="s">
        <v>238</v>
      </c>
      <c r="W38" s="4" t="s">
        <v>238</v>
      </c>
      <c r="X38" s="4" t="s">
        <v>238</v>
      </c>
      <c r="Y38" s="4">
        <v>0</v>
      </c>
      <c r="Z38" s="4">
        <f t="shared" si="27"/>
        <v>0</v>
      </c>
      <c r="AA38" s="4">
        <v>259</v>
      </c>
      <c r="AB38" s="4">
        <f t="shared" si="28"/>
        <v>1295</v>
      </c>
      <c r="AC38" s="4">
        <v>5</v>
      </c>
      <c r="AD38" s="20">
        <f t="shared" si="29"/>
        <v>1999</v>
      </c>
      <c r="AE38" s="6">
        <f t="shared" si="30"/>
        <v>0.35217608804402201</v>
      </c>
      <c r="AF38" s="4">
        <v>0</v>
      </c>
      <c r="AG38" s="4">
        <f t="shared" si="31"/>
        <v>2565</v>
      </c>
      <c r="AH38" s="4">
        <f t="shared" si="32"/>
        <v>2952.6000000000004</v>
      </c>
      <c r="AI38" s="6">
        <f t="shared" si="33"/>
        <v>0.5614035087719299</v>
      </c>
      <c r="AJ38" s="7">
        <v>2280</v>
      </c>
      <c r="AK38" s="6">
        <f t="shared" si="34"/>
        <v>0.43201754385964908</v>
      </c>
      <c r="AL38" s="4">
        <f t="shared" si="35"/>
        <v>985</v>
      </c>
      <c r="AM38" s="27"/>
      <c r="AN38" s="6"/>
      <c r="AO38" s="6"/>
      <c r="AP38" s="6" t="e">
        <f t="shared" si="36"/>
        <v>#DIV/0!</v>
      </c>
      <c r="AQ38" s="6">
        <f t="shared" si="37"/>
        <v>1.3126079447322971</v>
      </c>
      <c r="AR38" s="6">
        <f t="shared" si="38"/>
        <v>1.1511111111111112</v>
      </c>
      <c r="AS38" s="4" t="str">
        <f t="shared" si="15"/>
        <v>-</v>
      </c>
      <c r="AT38" s="4" t="str">
        <f t="shared" si="16"/>
        <v>-</v>
      </c>
      <c r="AU38" s="4" t="str">
        <f t="shared" si="17"/>
        <v>-</v>
      </c>
      <c r="AV38" s="4" t="str">
        <f t="shared" si="18"/>
        <v>-</v>
      </c>
      <c r="AW38" s="4" t="str">
        <f t="shared" si="19"/>
        <v>-</v>
      </c>
      <c r="AX38" s="4" t="str">
        <f t="shared" si="20"/>
        <v>-</v>
      </c>
      <c r="AY38" s="4" t="str">
        <f t="shared" si="21"/>
        <v>-</v>
      </c>
      <c r="AZ38" s="4" t="str">
        <f t="shared" si="22"/>
        <v>-</v>
      </c>
      <c r="BA38" s="4" t="str">
        <f t="shared" si="23"/>
        <v>-</v>
      </c>
      <c r="BB38" s="4">
        <v>0</v>
      </c>
      <c r="BC38" s="4" t="s">
        <v>290</v>
      </c>
      <c r="BD38" s="4">
        <v>5</v>
      </c>
      <c r="BE38" s="4">
        <v>1</v>
      </c>
      <c r="BF38" s="4" t="s">
        <v>277</v>
      </c>
      <c r="BG38" s="4">
        <v>513</v>
      </c>
      <c r="BH38" s="4">
        <v>513</v>
      </c>
      <c r="BI38" s="4">
        <f t="shared" si="39"/>
        <v>2565</v>
      </c>
      <c r="BJ38" s="18">
        <v>4</v>
      </c>
      <c r="BK38" s="18">
        <v>1</v>
      </c>
      <c r="BL38" s="16">
        <v>18</v>
      </c>
      <c r="BM38" t="s">
        <v>317</v>
      </c>
      <c r="BN38">
        <v>513</v>
      </c>
      <c r="BO38">
        <v>513</v>
      </c>
      <c r="BP38">
        <f t="shared" si="24"/>
        <v>590.5200000000001</v>
      </c>
      <c r="BQ38" s="4" t="s">
        <v>252</v>
      </c>
    </row>
    <row r="39" spans="1:69" x14ac:dyDescent="0.4">
      <c r="A39" s="3">
        <v>70</v>
      </c>
      <c r="B39" s="3">
        <v>14</v>
      </c>
      <c r="C39" s="32" t="s">
        <v>166</v>
      </c>
      <c r="D39" s="4" t="str">
        <f t="shared" si="25"/>
        <v>J0101R</v>
      </c>
      <c r="E39" s="4" t="s">
        <v>166</v>
      </c>
      <c r="F39" s="4" t="s">
        <v>199</v>
      </c>
      <c r="G39" s="5">
        <v>4580417610147</v>
      </c>
      <c r="H39" s="5"/>
      <c r="I39" s="5"/>
      <c r="J39" s="5"/>
      <c r="K39" s="5"/>
      <c r="L39" s="4">
        <v>0</v>
      </c>
      <c r="M39" s="4">
        <v>369</v>
      </c>
      <c r="N39" s="4">
        <v>225</v>
      </c>
      <c r="O39" s="6">
        <f t="shared" si="26"/>
        <v>0.3902439024390244</v>
      </c>
      <c r="P39" s="4" t="s">
        <v>238</v>
      </c>
      <c r="Q39" s="4" t="s">
        <v>238</v>
      </c>
      <c r="R39" s="4" t="s">
        <v>238</v>
      </c>
      <c r="S39" s="4" t="s">
        <v>238</v>
      </c>
      <c r="T39" s="4" t="s">
        <v>238</v>
      </c>
      <c r="U39" s="4" t="s">
        <v>238</v>
      </c>
      <c r="V39" s="4" t="s">
        <v>238</v>
      </c>
      <c r="W39" s="4" t="s">
        <v>238</v>
      </c>
      <c r="X39" s="4" t="s">
        <v>238</v>
      </c>
      <c r="Y39" s="4">
        <v>0</v>
      </c>
      <c r="Z39" s="4">
        <f t="shared" si="27"/>
        <v>0</v>
      </c>
      <c r="AA39" s="4">
        <v>259</v>
      </c>
      <c r="AB39" s="4">
        <f t="shared" si="28"/>
        <v>259</v>
      </c>
      <c r="AC39" s="4"/>
      <c r="AD39" s="20">
        <f t="shared" si="29"/>
        <v>425</v>
      </c>
      <c r="AE39" s="6">
        <f t="shared" si="30"/>
        <v>0.39058823529411768</v>
      </c>
      <c r="AF39" s="4">
        <v>0</v>
      </c>
      <c r="AG39" s="4">
        <f t="shared" si="31"/>
        <v>513</v>
      </c>
      <c r="AH39" s="4">
        <f t="shared" si="32"/>
        <v>590.5200000000001</v>
      </c>
      <c r="AI39" s="6">
        <f t="shared" si="33"/>
        <v>0.5614035087719299</v>
      </c>
      <c r="AJ39" s="7">
        <v>480</v>
      </c>
      <c r="AK39" s="6">
        <f t="shared" si="34"/>
        <v>0.4604166666666667</v>
      </c>
      <c r="AL39" s="4">
        <f t="shared" si="35"/>
        <v>221</v>
      </c>
      <c r="AM39" s="27"/>
      <c r="AN39" s="6"/>
      <c r="AO39" s="6"/>
      <c r="AP39" s="6" t="e">
        <f t="shared" si="36"/>
        <v>#DIV/0!</v>
      </c>
      <c r="AQ39" s="6">
        <f t="shared" si="37"/>
        <v>1.3008130081300813</v>
      </c>
      <c r="AR39" s="6">
        <f t="shared" si="38"/>
        <v>1.1511111111111112</v>
      </c>
      <c r="AS39" s="4" t="str">
        <f t="shared" si="15"/>
        <v>-</v>
      </c>
      <c r="AT39" s="4" t="str">
        <f t="shared" si="16"/>
        <v>-</v>
      </c>
      <c r="AU39" s="4" t="str">
        <f t="shared" si="17"/>
        <v>-</v>
      </c>
      <c r="AV39" s="4" t="str">
        <f t="shared" si="18"/>
        <v>-</v>
      </c>
      <c r="AW39" s="4" t="str">
        <f t="shared" si="19"/>
        <v>-</v>
      </c>
      <c r="AX39" s="4" t="str">
        <f t="shared" si="20"/>
        <v>-</v>
      </c>
      <c r="AY39" s="4" t="str">
        <f t="shared" si="21"/>
        <v>-</v>
      </c>
      <c r="AZ39" s="4" t="str">
        <f t="shared" si="22"/>
        <v>-</v>
      </c>
      <c r="BA39" s="4" t="str">
        <f t="shared" si="23"/>
        <v>-</v>
      </c>
      <c r="BB39" s="4">
        <v>0</v>
      </c>
      <c r="BC39" s="4" t="s">
        <v>290</v>
      </c>
      <c r="BD39" s="4"/>
      <c r="BE39" s="4"/>
      <c r="BF39" s="4" t="s">
        <v>277</v>
      </c>
      <c r="BG39" s="4">
        <v>513</v>
      </c>
      <c r="BH39" s="4">
        <v>513</v>
      </c>
      <c r="BI39" s="4">
        <f t="shared" si="39"/>
        <v>513</v>
      </c>
      <c r="BJ39" s="18">
        <v>4</v>
      </c>
      <c r="BK39" s="18">
        <v>1</v>
      </c>
      <c r="BL39" s="16">
        <v>18</v>
      </c>
      <c r="BM39" t="s">
        <v>317</v>
      </c>
      <c r="BN39">
        <v>513</v>
      </c>
      <c r="BO39">
        <v>513</v>
      </c>
      <c r="BP39">
        <f t="shared" si="24"/>
        <v>590.5200000000001</v>
      </c>
      <c r="BQ39" s="4" t="s">
        <v>252</v>
      </c>
    </row>
    <row r="40" spans="1:69" x14ac:dyDescent="0.4">
      <c r="A40" s="3">
        <v>15</v>
      </c>
      <c r="B40" s="3">
        <v>15</v>
      </c>
      <c r="C40" s="4" t="s">
        <v>78</v>
      </c>
      <c r="D40" s="4" t="str">
        <f t="shared" si="25"/>
        <v>J450WK</v>
      </c>
      <c r="E40" s="4" t="s">
        <v>78</v>
      </c>
      <c r="F40" s="4" t="s">
        <v>112</v>
      </c>
      <c r="G40" s="5">
        <v>4580417610154</v>
      </c>
      <c r="H40" s="5"/>
      <c r="I40" s="5"/>
      <c r="J40" s="5">
        <v>1</v>
      </c>
      <c r="K40" s="5">
        <v>1</v>
      </c>
      <c r="L40" s="4">
        <v>0</v>
      </c>
      <c r="M40" s="4">
        <v>448</v>
      </c>
      <c r="N40" s="4">
        <v>260</v>
      </c>
      <c r="O40" s="6">
        <f t="shared" si="26"/>
        <v>0.4196428571428571</v>
      </c>
      <c r="P40" s="4" t="s">
        <v>238</v>
      </c>
      <c r="Q40" s="4" t="s">
        <v>238</v>
      </c>
      <c r="R40" s="4" t="s">
        <v>238</v>
      </c>
      <c r="S40" s="4" t="s">
        <v>238</v>
      </c>
      <c r="T40" s="4" t="s">
        <v>238</v>
      </c>
      <c r="U40" s="4" t="s">
        <v>238</v>
      </c>
      <c r="V40" s="4" t="s">
        <v>238</v>
      </c>
      <c r="W40" s="4" t="s">
        <v>238</v>
      </c>
      <c r="X40" s="4" t="s">
        <v>238</v>
      </c>
      <c r="Y40" s="4">
        <v>0</v>
      </c>
      <c r="Z40" s="4">
        <f t="shared" si="27"/>
        <v>0</v>
      </c>
      <c r="AA40" s="4">
        <v>299</v>
      </c>
      <c r="AB40" s="4">
        <f t="shared" si="28"/>
        <v>299</v>
      </c>
      <c r="AC40" s="4"/>
      <c r="AD40" s="20">
        <f t="shared" si="29"/>
        <v>515</v>
      </c>
      <c r="AE40" s="6">
        <f t="shared" si="30"/>
        <v>0.41941747572815535</v>
      </c>
      <c r="AF40" s="4">
        <v>38.75</v>
      </c>
      <c r="AG40" s="4">
        <f t="shared" si="31"/>
        <v>619</v>
      </c>
      <c r="AH40" s="4">
        <f t="shared" si="32"/>
        <v>711.84999999999991</v>
      </c>
      <c r="AI40" s="6">
        <f t="shared" si="33"/>
        <v>0.57996768982229396</v>
      </c>
      <c r="AJ40" s="7">
        <v>550</v>
      </c>
      <c r="AK40" s="6">
        <f t="shared" si="34"/>
        <v>0.45636363636363642</v>
      </c>
      <c r="AL40" s="4">
        <f t="shared" si="35"/>
        <v>251</v>
      </c>
      <c r="AM40" s="27"/>
      <c r="AN40" s="6"/>
      <c r="AO40" s="6"/>
      <c r="AP40" s="6" t="e">
        <f t="shared" si="36"/>
        <v>#DIV/0!</v>
      </c>
      <c r="AQ40" s="6">
        <f t="shared" si="37"/>
        <v>1.2276785714285714</v>
      </c>
      <c r="AR40" s="6">
        <f t="shared" si="38"/>
        <v>1.1499999999999999</v>
      </c>
      <c r="AS40" s="4" t="str">
        <f t="shared" si="15"/>
        <v>-</v>
      </c>
      <c r="AT40" s="4" t="str">
        <f t="shared" si="16"/>
        <v>-</v>
      </c>
      <c r="AU40" s="4" t="str">
        <f t="shared" si="17"/>
        <v>-</v>
      </c>
      <c r="AV40" s="4" t="str">
        <f t="shared" si="18"/>
        <v>-</v>
      </c>
      <c r="AW40" s="4" t="str">
        <f t="shared" si="19"/>
        <v>-</v>
      </c>
      <c r="AX40" s="4" t="str">
        <f t="shared" si="20"/>
        <v>-</v>
      </c>
      <c r="AY40" s="4" t="str">
        <f t="shared" si="21"/>
        <v>-</v>
      </c>
      <c r="AZ40" s="4" t="str">
        <f t="shared" si="22"/>
        <v>-</v>
      </c>
      <c r="BA40" s="4" t="str">
        <f t="shared" si="23"/>
        <v>-</v>
      </c>
      <c r="BB40" s="4">
        <v>0</v>
      </c>
      <c r="BC40" s="4" t="s">
        <v>291</v>
      </c>
      <c r="BD40" s="4"/>
      <c r="BE40" s="4"/>
      <c r="BF40" s="4" t="s">
        <v>277</v>
      </c>
      <c r="BG40" s="4">
        <v>619</v>
      </c>
      <c r="BH40" s="4">
        <v>619</v>
      </c>
      <c r="BI40" s="4">
        <f t="shared" si="39"/>
        <v>619</v>
      </c>
      <c r="BJ40" s="18">
        <v>4</v>
      </c>
      <c r="BK40" s="18">
        <v>1</v>
      </c>
      <c r="BL40" s="16">
        <v>18</v>
      </c>
      <c r="BM40" t="s">
        <v>317</v>
      </c>
      <c r="BN40">
        <v>618</v>
      </c>
      <c r="BO40">
        <v>618</v>
      </c>
      <c r="BP40">
        <f t="shared" si="24"/>
        <v>710.69999999999993</v>
      </c>
      <c r="BQ40" s="4" t="s">
        <v>253</v>
      </c>
    </row>
    <row r="41" spans="1:69" x14ac:dyDescent="0.4">
      <c r="A41" s="3">
        <v>16</v>
      </c>
      <c r="B41" s="3">
        <v>16</v>
      </c>
      <c r="C41" s="32" t="s">
        <v>79</v>
      </c>
      <c r="D41" s="4" t="str">
        <f t="shared" si="25"/>
        <v>J468WK</v>
      </c>
      <c r="E41" s="4" t="s">
        <v>79</v>
      </c>
      <c r="F41" s="4" t="s">
        <v>113</v>
      </c>
      <c r="G41" s="5">
        <v>4580417610161</v>
      </c>
      <c r="H41" s="5"/>
      <c r="I41" s="5"/>
      <c r="J41" s="5">
        <v>4</v>
      </c>
      <c r="K41" s="5">
        <v>1</v>
      </c>
      <c r="L41" s="4">
        <v>0</v>
      </c>
      <c r="M41" s="4">
        <v>666</v>
      </c>
      <c r="N41" s="4">
        <v>386</v>
      </c>
      <c r="O41" s="6">
        <f t="shared" si="26"/>
        <v>0.42042042042042038</v>
      </c>
      <c r="P41" s="4" t="s">
        <v>238</v>
      </c>
      <c r="Q41" s="4" t="s">
        <v>238</v>
      </c>
      <c r="R41" s="4" t="s">
        <v>238</v>
      </c>
      <c r="S41" s="4" t="s">
        <v>238</v>
      </c>
      <c r="T41" s="4" t="s">
        <v>238</v>
      </c>
      <c r="U41" s="4" t="s">
        <v>238</v>
      </c>
      <c r="V41" s="4" t="s">
        <v>238</v>
      </c>
      <c r="W41" s="4" t="s">
        <v>238</v>
      </c>
      <c r="X41" s="4" t="s">
        <v>238</v>
      </c>
      <c r="Y41" s="4">
        <v>0</v>
      </c>
      <c r="Z41" s="4">
        <f t="shared" si="27"/>
        <v>0</v>
      </c>
      <c r="AA41" s="4">
        <v>444</v>
      </c>
      <c r="AB41" s="4">
        <f t="shared" si="28"/>
        <v>444</v>
      </c>
      <c r="AC41" s="4"/>
      <c r="AD41" s="20">
        <f t="shared" si="29"/>
        <v>766</v>
      </c>
      <c r="AE41" s="6">
        <f t="shared" si="30"/>
        <v>0.42036553524804177</v>
      </c>
      <c r="AF41" s="4">
        <v>3.75</v>
      </c>
      <c r="AG41" s="4">
        <f t="shared" si="31"/>
        <v>818</v>
      </c>
      <c r="AH41" s="4">
        <f t="shared" si="32"/>
        <v>940.91191709844566</v>
      </c>
      <c r="AI41" s="6">
        <f t="shared" si="33"/>
        <v>0.52811735941320292</v>
      </c>
      <c r="AJ41" s="7">
        <v>810</v>
      </c>
      <c r="AK41" s="6">
        <f t="shared" si="34"/>
        <v>0.45185185185185184</v>
      </c>
      <c r="AL41" s="4">
        <f t="shared" si="35"/>
        <v>366</v>
      </c>
      <c r="AM41" s="27"/>
      <c r="AN41" s="6"/>
      <c r="AO41" s="6"/>
      <c r="AP41" s="6" t="e">
        <f t="shared" si="36"/>
        <v>#DIV/0!</v>
      </c>
      <c r="AQ41" s="6">
        <f t="shared" si="37"/>
        <v>1.2162162162162162</v>
      </c>
      <c r="AR41" s="6">
        <f t="shared" si="38"/>
        <v>1.150259067357513</v>
      </c>
      <c r="AS41" s="4" t="str">
        <f t="shared" si="15"/>
        <v>-</v>
      </c>
      <c r="AT41" s="4" t="str">
        <f t="shared" si="16"/>
        <v>-</v>
      </c>
      <c r="AU41" s="4" t="str">
        <f t="shared" si="17"/>
        <v>-</v>
      </c>
      <c r="AV41" s="4" t="str">
        <f t="shared" si="18"/>
        <v>-</v>
      </c>
      <c r="AW41" s="4" t="str">
        <f t="shared" si="19"/>
        <v>-</v>
      </c>
      <c r="AX41" s="4" t="str">
        <f t="shared" si="20"/>
        <v>-</v>
      </c>
      <c r="AY41" s="4" t="str">
        <f t="shared" si="21"/>
        <v>-</v>
      </c>
      <c r="AZ41" s="4" t="str">
        <f t="shared" si="22"/>
        <v>-</v>
      </c>
      <c r="BA41" s="4" t="str">
        <f t="shared" si="23"/>
        <v>-</v>
      </c>
      <c r="BB41" s="4">
        <v>0</v>
      </c>
      <c r="BC41" s="4" t="s">
        <v>292</v>
      </c>
      <c r="BD41" s="4"/>
      <c r="BE41" s="4"/>
      <c r="BF41" s="4" t="s">
        <v>277</v>
      </c>
      <c r="BG41" s="4">
        <v>818</v>
      </c>
      <c r="BH41" s="4">
        <v>818</v>
      </c>
      <c r="BI41" s="4">
        <f t="shared" si="39"/>
        <v>818</v>
      </c>
      <c r="BJ41" s="18">
        <v>4</v>
      </c>
      <c r="BK41" s="18">
        <v>1</v>
      </c>
      <c r="BL41" s="16">
        <v>18</v>
      </c>
      <c r="BM41" t="s">
        <v>317</v>
      </c>
      <c r="BN41">
        <v>817</v>
      </c>
      <c r="BO41">
        <v>817</v>
      </c>
      <c r="BP41">
        <f t="shared" si="24"/>
        <v>939.76165803108813</v>
      </c>
      <c r="BQ41" s="4" t="s">
        <v>254</v>
      </c>
    </row>
    <row r="42" spans="1:69" x14ac:dyDescent="0.4">
      <c r="A42" s="3">
        <v>71</v>
      </c>
      <c r="B42" s="3">
        <v>16</v>
      </c>
      <c r="C42" s="32" t="s">
        <v>168</v>
      </c>
      <c r="D42" s="4" t="str">
        <f t="shared" si="25"/>
        <v>J011XA</v>
      </c>
      <c r="E42" s="4" t="s">
        <v>170</v>
      </c>
      <c r="F42" s="4" t="s">
        <v>200</v>
      </c>
      <c r="G42" s="5">
        <v>4580417610161</v>
      </c>
      <c r="H42" s="5"/>
      <c r="I42" s="5"/>
      <c r="J42" s="5"/>
      <c r="K42" s="5"/>
      <c r="L42" s="4">
        <v>0</v>
      </c>
      <c r="M42" s="4">
        <v>3015</v>
      </c>
      <c r="N42" s="4">
        <v>1930</v>
      </c>
      <c r="O42" s="6">
        <f t="shared" si="26"/>
        <v>0.35986733001658378</v>
      </c>
      <c r="P42" s="4" t="s">
        <v>238</v>
      </c>
      <c r="Q42" s="4" t="s">
        <v>238</v>
      </c>
      <c r="R42" s="4" t="s">
        <v>238</v>
      </c>
      <c r="S42" s="4" t="s">
        <v>238</v>
      </c>
      <c r="T42" s="4" t="s">
        <v>238</v>
      </c>
      <c r="U42" s="4" t="s">
        <v>238</v>
      </c>
      <c r="V42" s="4" t="s">
        <v>238</v>
      </c>
      <c r="W42" s="4" t="s">
        <v>238</v>
      </c>
      <c r="X42" s="4" t="s">
        <v>238</v>
      </c>
      <c r="Y42" s="4">
        <v>0</v>
      </c>
      <c r="Z42" s="4">
        <f t="shared" si="27"/>
        <v>0</v>
      </c>
      <c r="AA42" s="4">
        <v>444</v>
      </c>
      <c r="AB42" s="4">
        <f t="shared" si="28"/>
        <v>2220</v>
      </c>
      <c r="AC42" s="4">
        <v>5</v>
      </c>
      <c r="AD42" s="20">
        <f t="shared" si="29"/>
        <v>3468</v>
      </c>
      <c r="AE42" s="6">
        <f t="shared" si="30"/>
        <v>0.35986159169550169</v>
      </c>
      <c r="AF42" s="4">
        <v>0</v>
      </c>
      <c r="AG42" s="4">
        <f t="shared" si="31"/>
        <v>4090</v>
      </c>
      <c r="AH42" s="4">
        <f t="shared" si="32"/>
        <v>4704.5595854922285</v>
      </c>
      <c r="AI42" s="6">
        <f t="shared" si="33"/>
        <v>0.52811735941320292</v>
      </c>
      <c r="AJ42" s="7">
        <v>3800</v>
      </c>
      <c r="AK42" s="6">
        <f t="shared" si="34"/>
        <v>0.41578947368421049</v>
      </c>
      <c r="AL42" s="4">
        <f t="shared" si="35"/>
        <v>1580</v>
      </c>
      <c r="AM42" s="27"/>
      <c r="AN42" s="6"/>
      <c r="AO42" s="6"/>
      <c r="AP42" s="6" t="e">
        <f t="shared" si="36"/>
        <v>#DIV/0!</v>
      </c>
      <c r="AQ42" s="6">
        <f t="shared" si="37"/>
        <v>1.2603648424543947</v>
      </c>
      <c r="AR42" s="6">
        <f t="shared" si="38"/>
        <v>1.150259067357513</v>
      </c>
      <c r="AS42" s="4" t="str">
        <f t="shared" si="15"/>
        <v>-</v>
      </c>
      <c r="AT42" s="4" t="str">
        <f t="shared" si="16"/>
        <v>-</v>
      </c>
      <c r="AU42" s="4" t="str">
        <f t="shared" si="17"/>
        <v>-</v>
      </c>
      <c r="AV42" s="4" t="str">
        <f t="shared" si="18"/>
        <v>-</v>
      </c>
      <c r="AW42" s="4" t="str">
        <f t="shared" si="19"/>
        <v>-</v>
      </c>
      <c r="AX42" s="4" t="str">
        <f t="shared" si="20"/>
        <v>-</v>
      </c>
      <c r="AY42" s="4" t="str">
        <f t="shared" si="21"/>
        <v>-</v>
      </c>
      <c r="AZ42" s="4" t="str">
        <f t="shared" si="22"/>
        <v>-</v>
      </c>
      <c r="BA42" s="4" t="str">
        <f t="shared" si="23"/>
        <v>-</v>
      </c>
      <c r="BB42" s="4">
        <v>0</v>
      </c>
      <c r="BC42" s="4" t="s">
        <v>292</v>
      </c>
      <c r="BD42" s="4">
        <v>5</v>
      </c>
      <c r="BE42" s="4">
        <v>1</v>
      </c>
      <c r="BF42" s="4" t="s">
        <v>277</v>
      </c>
      <c r="BG42" s="4">
        <v>818</v>
      </c>
      <c r="BH42" s="4">
        <v>818</v>
      </c>
      <c r="BI42" s="4">
        <f t="shared" si="39"/>
        <v>4090</v>
      </c>
      <c r="BJ42" s="18">
        <v>4</v>
      </c>
      <c r="BK42" s="18">
        <v>1</v>
      </c>
      <c r="BL42" s="16">
        <v>18</v>
      </c>
      <c r="BM42" t="s">
        <v>317</v>
      </c>
      <c r="BN42">
        <v>817</v>
      </c>
      <c r="BO42">
        <v>817</v>
      </c>
      <c r="BP42">
        <f t="shared" si="24"/>
        <v>939.76165803108813</v>
      </c>
      <c r="BQ42" s="4" t="s">
        <v>254</v>
      </c>
    </row>
    <row r="43" spans="1:69" x14ac:dyDescent="0.4">
      <c r="A43" s="3">
        <v>72</v>
      </c>
      <c r="B43" s="3">
        <v>16</v>
      </c>
      <c r="C43" s="32" t="s">
        <v>168</v>
      </c>
      <c r="D43" s="4" t="str">
        <f t="shared" si="25"/>
        <v>J011XA</v>
      </c>
      <c r="E43" s="4" t="s">
        <v>168</v>
      </c>
      <c r="F43" s="4" t="s">
        <v>201</v>
      </c>
      <c r="G43" s="5">
        <v>4580417610161</v>
      </c>
      <c r="H43" s="5"/>
      <c r="I43" s="5"/>
      <c r="J43" s="5"/>
      <c r="K43" s="5"/>
      <c r="L43" s="4">
        <v>0</v>
      </c>
      <c r="M43" s="4">
        <v>638</v>
      </c>
      <c r="N43" s="4">
        <v>386</v>
      </c>
      <c r="O43" s="6">
        <f t="shared" si="26"/>
        <v>0.39498432601880873</v>
      </c>
      <c r="P43" s="4" t="s">
        <v>238</v>
      </c>
      <c r="Q43" s="4" t="s">
        <v>238</v>
      </c>
      <c r="R43" s="4" t="s">
        <v>238</v>
      </c>
      <c r="S43" s="4" t="s">
        <v>238</v>
      </c>
      <c r="T43" s="4" t="s">
        <v>238</v>
      </c>
      <c r="U43" s="4" t="s">
        <v>238</v>
      </c>
      <c r="V43" s="4" t="s">
        <v>238</v>
      </c>
      <c r="W43" s="4" t="s">
        <v>238</v>
      </c>
      <c r="X43" s="4" t="s">
        <v>238</v>
      </c>
      <c r="Y43" s="4">
        <v>0</v>
      </c>
      <c r="Z43" s="4">
        <f t="shared" si="27"/>
        <v>0</v>
      </c>
      <c r="AA43" s="4">
        <v>444</v>
      </c>
      <c r="AB43" s="4">
        <f t="shared" si="28"/>
        <v>444</v>
      </c>
      <c r="AC43" s="4"/>
      <c r="AD43" s="20">
        <f t="shared" si="29"/>
        <v>734</v>
      </c>
      <c r="AE43" s="6">
        <f t="shared" si="30"/>
        <v>0.39509536784741139</v>
      </c>
      <c r="AF43" s="4">
        <v>0</v>
      </c>
      <c r="AG43" s="4">
        <f t="shared" si="31"/>
        <v>818</v>
      </c>
      <c r="AH43" s="4">
        <f t="shared" si="32"/>
        <v>940.91191709844566</v>
      </c>
      <c r="AI43" s="6">
        <f t="shared" si="33"/>
        <v>0.52811735941320292</v>
      </c>
      <c r="AJ43" s="7">
        <v>810</v>
      </c>
      <c r="AK43" s="6">
        <f t="shared" si="34"/>
        <v>0.45185185185185184</v>
      </c>
      <c r="AL43" s="4">
        <f t="shared" si="35"/>
        <v>366</v>
      </c>
      <c r="AM43" s="27"/>
      <c r="AN43" s="6"/>
      <c r="AO43" s="6"/>
      <c r="AP43" s="6" t="e">
        <f t="shared" si="36"/>
        <v>#DIV/0!</v>
      </c>
      <c r="AQ43" s="6">
        <f t="shared" si="37"/>
        <v>1.2695924764890283</v>
      </c>
      <c r="AR43" s="6">
        <f t="shared" si="38"/>
        <v>1.150259067357513</v>
      </c>
      <c r="AS43" s="4" t="str">
        <f t="shared" si="15"/>
        <v>-</v>
      </c>
      <c r="AT43" s="4" t="str">
        <f t="shared" si="16"/>
        <v>-</v>
      </c>
      <c r="AU43" s="4" t="str">
        <f t="shared" si="17"/>
        <v>-</v>
      </c>
      <c r="AV43" s="4" t="str">
        <f t="shared" si="18"/>
        <v>-</v>
      </c>
      <c r="AW43" s="4" t="str">
        <f t="shared" si="19"/>
        <v>-</v>
      </c>
      <c r="AX43" s="4" t="str">
        <f t="shared" si="20"/>
        <v>-</v>
      </c>
      <c r="AY43" s="4" t="str">
        <f t="shared" si="21"/>
        <v>-</v>
      </c>
      <c r="AZ43" s="4" t="str">
        <f t="shared" si="22"/>
        <v>-</v>
      </c>
      <c r="BA43" s="4" t="str">
        <f t="shared" si="23"/>
        <v>-</v>
      </c>
      <c r="BB43" s="4">
        <v>0</v>
      </c>
      <c r="BC43" s="4" t="s">
        <v>292</v>
      </c>
      <c r="BD43" s="4"/>
      <c r="BE43" s="4"/>
      <c r="BF43" s="4" t="s">
        <v>277</v>
      </c>
      <c r="BG43" s="4">
        <v>818</v>
      </c>
      <c r="BH43" s="4">
        <v>818</v>
      </c>
      <c r="BI43" s="4">
        <f t="shared" si="39"/>
        <v>818</v>
      </c>
      <c r="BJ43" s="18">
        <v>4</v>
      </c>
      <c r="BK43" s="18">
        <v>1</v>
      </c>
      <c r="BL43" s="16">
        <v>18</v>
      </c>
      <c r="BM43" t="s">
        <v>317</v>
      </c>
      <c r="BN43">
        <v>817</v>
      </c>
      <c r="BO43">
        <v>817</v>
      </c>
      <c r="BP43">
        <f t="shared" si="24"/>
        <v>939.76165803108813</v>
      </c>
      <c r="BQ43" s="4" t="s">
        <v>254</v>
      </c>
    </row>
    <row r="44" spans="1:69" x14ac:dyDescent="0.4">
      <c r="A44" s="34">
        <v>73</v>
      </c>
      <c r="B44" s="3">
        <v>16</v>
      </c>
      <c r="C44" s="32" t="s">
        <v>169</v>
      </c>
      <c r="D44" s="4" t="str">
        <f t="shared" si="25"/>
        <v>J013XA</v>
      </c>
      <c r="E44" s="4" t="s">
        <v>169</v>
      </c>
      <c r="F44" s="4" t="s">
        <v>202</v>
      </c>
      <c r="G44" s="5">
        <v>4580417610161</v>
      </c>
      <c r="H44" s="5"/>
      <c r="I44" s="5"/>
      <c r="J44" s="5"/>
      <c r="K44" s="5"/>
      <c r="L44" s="4">
        <v>0</v>
      </c>
      <c r="M44" s="4">
        <v>10680</v>
      </c>
      <c r="N44" s="4">
        <v>7720</v>
      </c>
      <c r="O44" s="6">
        <f t="shared" si="26"/>
        <v>0.27715355805243447</v>
      </c>
      <c r="P44" s="4" t="s">
        <v>238</v>
      </c>
      <c r="Q44" s="4" t="s">
        <v>238</v>
      </c>
      <c r="R44" s="4" t="s">
        <v>238</v>
      </c>
      <c r="S44" s="4" t="s">
        <v>238</v>
      </c>
      <c r="T44" s="4" t="s">
        <v>238</v>
      </c>
      <c r="U44" s="4" t="s">
        <v>238</v>
      </c>
      <c r="V44" s="4" t="s">
        <v>238</v>
      </c>
      <c r="W44" s="4" t="s">
        <v>238</v>
      </c>
      <c r="X44" s="4" t="s">
        <v>238</v>
      </c>
      <c r="Y44" s="4">
        <v>0</v>
      </c>
      <c r="Z44" s="4">
        <f t="shared" si="27"/>
        <v>0</v>
      </c>
      <c r="AA44" s="4">
        <v>444</v>
      </c>
      <c r="AB44" s="4">
        <f t="shared" si="28"/>
        <v>8880</v>
      </c>
      <c r="AC44" s="4">
        <v>20</v>
      </c>
      <c r="AD44" s="20">
        <f t="shared" si="29"/>
        <v>12285</v>
      </c>
      <c r="AE44" s="6">
        <f t="shared" si="30"/>
        <v>0.27716727716727718</v>
      </c>
      <c r="AF44" s="4">
        <v>0</v>
      </c>
      <c r="AG44" s="4">
        <f t="shared" si="31"/>
        <v>16360</v>
      </c>
      <c r="AH44" s="4">
        <f t="shared" si="32"/>
        <v>18818.238341968914</v>
      </c>
      <c r="AI44" s="6">
        <f t="shared" si="33"/>
        <v>0.52811735941320292</v>
      </c>
      <c r="AJ44" s="7">
        <v>14900</v>
      </c>
      <c r="AK44" s="6">
        <f t="shared" si="34"/>
        <v>0.40402684563758384</v>
      </c>
      <c r="AL44" s="4">
        <f t="shared" si="35"/>
        <v>6020</v>
      </c>
      <c r="AM44" s="27"/>
      <c r="AN44" s="6"/>
      <c r="AO44" s="6"/>
      <c r="AP44" s="6" t="e">
        <f t="shared" si="36"/>
        <v>#DIV/0!</v>
      </c>
      <c r="AQ44" s="6">
        <f t="shared" si="37"/>
        <v>1.3951310861423221</v>
      </c>
      <c r="AR44" s="6">
        <f t="shared" si="38"/>
        <v>1.150259067357513</v>
      </c>
      <c r="AS44" s="4" t="str">
        <f t="shared" si="15"/>
        <v>-</v>
      </c>
      <c r="AT44" s="4" t="str">
        <f t="shared" si="16"/>
        <v>-</v>
      </c>
      <c r="AU44" s="4" t="str">
        <f t="shared" si="17"/>
        <v>-</v>
      </c>
      <c r="AV44" s="4" t="str">
        <f t="shared" si="18"/>
        <v>-</v>
      </c>
      <c r="AW44" s="4" t="str">
        <f t="shared" si="19"/>
        <v>-</v>
      </c>
      <c r="AX44" s="4" t="str">
        <f t="shared" si="20"/>
        <v>-</v>
      </c>
      <c r="AY44" s="4" t="str">
        <f t="shared" si="21"/>
        <v>-</v>
      </c>
      <c r="AZ44" s="4" t="str">
        <f t="shared" si="22"/>
        <v>-</v>
      </c>
      <c r="BA44" s="4" t="str">
        <f t="shared" si="23"/>
        <v>-</v>
      </c>
      <c r="BB44" s="4">
        <v>0</v>
      </c>
      <c r="BC44" s="4" t="s">
        <v>292</v>
      </c>
      <c r="BD44" s="4">
        <v>20</v>
      </c>
      <c r="BE44" s="4">
        <v>1</v>
      </c>
      <c r="BF44" s="4" t="s">
        <v>277</v>
      </c>
      <c r="BG44" s="4">
        <v>818</v>
      </c>
      <c r="BH44" s="4">
        <v>818</v>
      </c>
      <c r="BI44" s="4">
        <f t="shared" si="39"/>
        <v>16360</v>
      </c>
      <c r="BJ44" s="18">
        <v>2</v>
      </c>
      <c r="BK44" s="18">
        <v>1</v>
      </c>
      <c r="BL44" s="16">
        <v>18</v>
      </c>
      <c r="BM44" t="s">
        <v>317</v>
      </c>
      <c r="BN44">
        <v>817</v>
      </c>
      <c r="BO44">
        <v>817</v>
      </c>
      <c r="BP44">
        <f t="shared" si="24"/>
        <v>939.76165803108813</v>
      </c>
      <c r="BQ44" s="4" t="s">
        <v>254</v>
      </c>
    </row>
    <row r="45" spans="1:69" x14ac:dyDescent="0.4">
      <c r="A45" s="3">
        <v>17</v>
      </c>
      <c r="B45" s="3">
        <v>17</v>
      </c>
      <c r="C45" s="4" t="s">
        <v>80</v>
      </c>
      <c r="D45" s="4" t="str">
        <f t="shared" si="25"/>
        <v>J461WK</v>
      </c>
      <c r="E45" s="4" t="s">
        <v>80</v>
      </c>
      <c r="F45" s="4" t="s">
        <v>114</v>
      </c>
      <c r="G45" s="5">
        <v>4580417610178</v>
      </c>
      <c r="H45" s="5"/>
      <c r="I45" s="5"/>
      <c r="J45" s="5">
        <v>1</v>
      </c>
      <c r="K45" s="5">
        <v>1</v>
      </c>
      <c r="L45" s="4">
        <v>0</v>
      </c>
      <c r="M45" s="4">
        <v>722</v>
      </c>
      <c r="N45" s="4">
        <v>419</v>
      </c>
      <c r="O45" s="6">
        <f t="shared" si="26"/>
        <v>0.41966759002770082</v>
      </c>
      <c r="P45" s="4" t="s">
        <v>238</v>
      </c>
      <c r="Q45" s="4" t="s">
        <v>238</v>
      </c>
      <c r="R45" s="4" t="s">
        <v>238</v>
      </c>
      <c r="S45" s="4" t="s">
        <v>238</v>
      </c>
      <c r="T45" s="4" t="s">
        <v>238</v>
      </c>
      <c r="U45" s="4" t="s">
        <v>238</v>
      </c>
      <c r="V45" s="4" t="s">
        <v>238</v>
      </c>
      <c r="W45" s="4" t="s">
        <v>238</v>
      </c>
      <c r="X45" s="4" t="s">
        <v>238</v>
      </c>
      <c r="Y45" s="4">
        <v>0</v>
      </c>
      <c r="Z45" s="4">
        <f t="shared" si="27"/>
        <v>0</v>
      </c>
      <c r="AA45" s="4">
        <v>482</v>
      </c>
      <c r="AB45" s="4">
        <f t="shared" si="28"/>
        <v>482</v>
      </c>
      <c r="AC45" s="4"/>
      <c r="AD45" s="20">
        <f t="shared" si="29"/>
        <v>831</v>
      </c>
      <c r="AE45" s="6">
        <f t="shared" si="30"/>
        <v>0.41997593261131172</v>
      </c>
      <c r="AF45" s="4">
        <v>1.7500000000000002</v>
      </c>
      <c r="AG45" s="4">
        <f t="shared" si="31"/>
        <v>894</v>
      </c>
      <c r="AH45" s="4">
        <f t="shared" si="32"/>
        <v>1028.4200477326967</v>
      </c>
      <c r="AI45" s="6">
        <f t="shared" si="33"/>
        <v>0.5313199105145413</v>
      </c>
      <c r="AJ45" s="7">
        <v>890</v>
      </c>
      <c r="AK45" s="6">
        <f t="shared" si="34"/>
        <v>0.45842696629213486</v>
      </c>
      <c r="AL45" s="4">
        <f t="shared" si="35"/>
        <v>408</v>
      </c>
      <c r="AM45" s="27"/>
      <c r="AN45" s="6"/>
      <c r="AO45" s="6"/>
      <c r="AP45" s="6" t="e">
        <f t="shared" si="36"/>
        <v>#DIV/0!</v>
      </c>
      <c r="AQ45" s="6">
        <f t="shared" si="37"/>
        <v>1.2326869806094183</v>
      </c>
      <c r="AR45" s="6">
        <f t="shared" si="38"/>
        <v>1.1503579952267302</v>
      </c>
      <c r="AS45" s="4" t="str">
        <f t="shared" si="15"/>
        <v>-</v>
      </c>
      <c r="AT45" s="4" t="str">
        <f t="shared" si="16"/>
        <v>-</v>
      </c>
      <c r="AU45" s="4" t="str">
        <f t="shared" si="17"/>
        <v>-</v>
      </c>
      <c r="AV45" s="4" t="str">
        <f t="shared" si="18"/>
        <v>-</v>
      </c>
      <c r="AW45" s="4" t="str">
        <f t="shared" si="19"/>
        <v>-</v>
      </c>
      <c r="AX45" s="4" t="str">
        <f t="shared" si="20"/>
        <v>-</v>
      </c>
      <c r="AY45" s="4" t="str">
        <f t="shared" si="21"/>
        <v>-</v>
      </c>
      <c r="AZ45" s="4" t="str">
        <f t="shared" si="22"/>
        <v>-</v>
      </c>
      <c r="BA45" s="4" t="str">
        <f t="shared" si="23"/>
        <v>-</v>
      </c>
      <c r="BB45" s="4">
        <v>0</v>
      </c>
      <c r="BC45" s="4" t="s">
        <v>293</v>
      </c>
      <c r="BD45" s="4"/>
      <c r="BE45" s="4"/>
      <c r="BF45" s="4" t="s">
        <v>277</v>
      </c>
      <c r="BG45" s="4">
        <v>894</v>
      </c>
      <c r="BH45" s="4">
        <v>894</v>
      </c>
      <c r="BI45" s="4">
        <f t="shared" si="39"/>
        <v>894</v>
      </c>
      <c r="BJ45" s="18">
        <v>4</v>
      </c>
      <c r="BK45" s="18">
        <v>1</v>
      </c>
      <c r="BL45" s="16">
        <v>18</v>
      </c>
      <c r="BM45" t="s">
        <v>317</v>
      </c>
      <c r="BN45">
        <v>893</v>
      </c>
      <c r="BO45">
        <v>893</v>
      </c>
      <c r="BP45">
        <f t="shared" si="24"/>
        <v>1027.2696897374701</v>
      </c>
      <c r="BQ45" s="4" t="s">
        <v>255</v>
      </c>
    </row>
    <row r="46" spans="1:69" x14ac:dyDescent="0.4">
      <c r="A46" s="3">
        <v>18</v>
      </c>
      <c r="B46" s="3">
        <v>18</v>
      </c>
      <c r="C46" s="32" t="s">
        <v>81</v>
      </c>
      <c r="D46" s="4" t="str">
        <f t="shared" si="25"/>
        <v>J474WK</v>
      </c>
      <c r="E46" s="4" t="s">
        <v>81</v>
      </c>
      <c r="F46" s="4" t="s">
        <v>115</v>
      </c>
      <c r="G46" s="5">
        <v>4580417610185</v>
      </c>
      <c r="H46" s="5"/>
      <c r="I46" s="5"/>
      <c r="J46" s="5">
        <v>3</v>
      </c>
      <c r="K46" s="5">
        <v>1</v>
      </c>
      <c r="L46" s="4">
        <v>0</v>
      </c>
      <c r="M46" s="4">
        <v>778</v>
      </c>
      <c r="N46" s="4">
        <v>451</v>
      </c>
      <c r="O46" s="6">
        <f t="shared" si="26"/>
        <v>0.42030848329048842</v>
      </c>
      <c r="P46" s="4" t="s">
        <v>238</v>
      </c>
      <c r="Q46" s="4" t="s">
        <v>238</v>
      </c>
      <c r="R46" s="4" t="s">
        <v>238</v>
      </c>
      <c r="S46" s="4" t="s">
        <v>238</v>
      </c>
      <c r="T46" s="4" t="s">
        <v>238</v>
      </c>
      <c r="U46" s="4" t="s">
        <v>238</v>
      </c>
      <c r="V46" s="4" t="s">
        <v>238</v>
      </c>
      <c r="W46" s="4" t="s">
        <v>238</v>
      </c>
      <c r="X46" s="4" t="s">
        <v>238</v>
      </c>
      <c r="Y46" s="4">
        <v>0</v>
      </c>
      <c r="Z46" s="4">
        <f t="shared" si="27"/>
        <v>0</v>
      </c>
      <c r="AA46" s="4">
        <v>519</v>
      </c>
      <c r="AB46" s="4">
        <f t="shared" si="28"/>
        <v>519</v>
      </c>
      <c r="AC46" s="4"/>
      <c r="AD46" s="20">
        <f t="shared" si="29"/>
        <v>895</v>
      </c>
      <c r="AE46" s="6">
        <f t="shared" si="30"/>
        <v>0.42011173184357542</v>
      </c>
      <c r="AF46" s="4">
        <v>0.75</v>
      </c>
      <c r="AG46" s="4">
        <f t="shared" si="31"/>
        <v>960</v>
      </c>
      <c r="AH46" s="4">
        <f t="shared" si="32"/>
        <v>1104.7450110864745</v>
      </c>
      <c r="AI46" s="6">
        <f t="shared" si="33"/>
        <v>0.53020833333333339</v>
      </c>
      <c r="AJ46" s="7">
        <v>950</v>
      </c>
      <c r="AK46" s="6">
        <f t="shared" si="34"/>
        <v>0.4536842105263158</v>
      </c>
      <c r="AL46" s="4">
        <f t="shared" si="35"/>
        <v>431</v>
      </c>
      <c r="AM46" s="27"/>
      <c r="AN46" s="6"/>
      <c r="AO46" s="6"/>
      <c r="AP46" s="6" t="e">
        <f t="shared" si="36"/>
        <v>#DIV/0!</v>
      </c>
      <c r="AQ46" s="6">
        <f t="shared" si="37"/>
        <v>1.2210796915167095</v>
      </c>
      <c r="AR46" s="6">
        <f t="shared" si="38"/>
        <v>1.1507760532150777</v>
      </c>
      <c r="AS46" s="4" t="str">
        <f t="shared" si="15"/>
        <v>-</v>
      </c>
      <c r="AT46" s="4" t="str">
        <f t="shared" si="16"/>
        <v>-</v>
      </c>
      <c r="AU46" s="4" t="str">
        <f t="shared" si="17"/>
        <v>-</v>
      </c>
      <c r="AV46" s="4" t="str">
        <f t="shared" si="18"/>
        <v>-</v>
      </c>
      <c r="AW46" s="4" t="str">
        <f t="shared" si="19"/>
        <v>-</v>
      </c>
      <c r="AX46" s="4" t="str">
        <f t="shared" si="20"/>
        <v>-</v>
      </c>
      <c r="AY46" s="4" t="str">
        <f t="shared" si="21"/>
        <v>-</v>
      </c>
      <c r="AZ46" s="4" t="str">
        <f t="shared" si="22"/>
        <v>-</v>
      </c>
      <c r="BA46" s="4" t="str">
        <f t="shared" si="23"/>
        <v>-</v>
      </c>
      <c r="BB46" s="4">
        <v>0</v>
      </c>
      <c r="BC46" s="4" t="s">
        <v>294</v>
      </c>
      <c r="BD46" s="4"/>
      <c r="BE46" s="4"/>
      <c r="BF46" s="4" t="s">
        <v>277</v>
      </c>
      <c r="BG46" s="4">
        <v>960</v>
      </c>
      <c r="BH46" s="4">
        <v>960</v>
      </c>
      <c r="BI46" s="4">
        <f t="shared" si="39"/>
        <v>960</v>
      </c>
      <c r="BJ46" s="18">
        <v>4</v>
      </c>
      <c r="BK46" s="18">
        <v>1</v>
      </c>
      <c r="BL46" s="16">
        <v>18</v>
      </c>
      <c r="BM46" t="s">
        <v>317</v>
      </c>
      <c r="BN46">
        <v>960</v>
      </c>
      <c r="BO46">
        <v>960</v>
      </c>
      <c r="BP46">
        <f t="shared" si="24"/>
        <v>1104.7450110864745</v>
      </c>
      <c r="BQ46" s="4" t="s">
        <v>256</v>
      </c>
    </row>
    <row r="47" spans="1:69" x14ac:dyDescent="0.4">
      <c r="A47" s="3">
        <v>74</v>
      </c>
      <c r="B47" s="3">
        <v>18</v>
      </c>
      <c r="C47" s="32" t="s">
        <v>171</v>
      </c>
      <c r="D47" s="4" t="str">
        <f t="shared" si="25"/>
        <v>J000XA</v>
      </c>
      <c r="E47" s="4" t="s">
        <v>172</v>
      </c>
      <c r="F47" s="4" t="s">
        <v>203</v>
      </c>
      <c r="G47" s="5">
        <v>4580417610185</v>
      </c>
      <c r="H47" s="5"/>
      <c r="I47" s="5"/>
      <c r="J47" s="5"/>
      <c r="K47" s="5"/>
      <c r="L47" s="4">
        <v>0</v>
      </c>
      <c r="M47" s="4">
        <v>3363</v>
      </c>
      <c r="N47" s="4">
        <v>2255</v>
      </c>
      <c r="O47" s="6">
        <f t="shared" si="26"/>
        <v>0.32946773713945887</v>
      </c>
      <c r="P47" s="4" t="s">
        <v>238</v>
      </c>
      <c r="Q47" s="4" t="s">
        <v>238</v>
      </c>
      <c r="R47" s="4" t="s">
        <v>238</v>
      </c>
      <c r="S47" s="4" t="s">
        <v>238</v>
      </c>
      <c r="T47" s="4" t="s">
        <v>238</v>
      </c>
      <c r="U47" s="4" t="s">
        <v>238</v>
      </c>
      <c r="V47" s="4" t="s">
        <v>238</v>
      </c>
      <c r="W47" s="4" t="s">
        <v>238</v>
      </c>
      <c r="X47" s="4" t="s">
        <v>238</v>
      </c>
      <c r="Y47" s="4">
        <v>0</v>
      </c>
      <c r="Z47" s="4">
        <f t="shared" si="27"/>
        <v>0</v>
      </c>
      <c r="AA47" s="4">
        <v>519</v>
      </c>
      <c r="AB47" s="4">
        <f t="shared" si="28"/>
        <v>2595</v>
      </c>
      <c r="AC47" s="4">
        <v>5</v>
      </c>
      <c r="AD47" s="20">
        <f t="shared" si="29"/>
        <v>3870</v>
      </c>
      <c r="AE47" s="6">
        <f t="shared" si="30"/>
        <v>0.3294573643410853</v>
      </c>
      <c r="AF47" s="4">
        <v>1.5</v>
      </c>
      <c r="AG47" s="4">
        <f t="shared" si="31"/>
        <v>4800</v>
      </c>
      <c r="AH47" s="4">
        <f t="shared" si="32"/>
        <v>5523.7250554323728</v>
      </c>
      <c r="AI47" s="6">
        <f t="shared" si="33"/>
        <v>0.53020833333333339</v>
      </c>
      <c r="AJ47" s="7">
        <v>4500</v>
      </c>
      <c r="AK47" s="6">
        <f t="shared" si="34"/>
        <v>0.42333333333333334</v>
      </c>
      <c r="AL47" s="4">
        <f t="shared" si="35"/>
        <v>1905</v>
      </c>
      <c r="AM47" s="27"/>
      <c r="AN47" s="6"/>
      <c r="AO47" s="6"/>
      <c r="AP47" s="6" t="e">
        <f t="shared" si="36"/>
        <v>#DIV/0!</v>
      </c>
      <c r="AQ47" s="6">
        <f t="shared" si="37"/>
        <v>1.3380909901873328</v>
      </c>
      <c r="AR47" s="6">
        <f t="shared" si="38"/>
        <v>1.1507760532150777</v>
      </c>
      <c r="AS47" s="4" t="str">
        <f t="shared" si="15"/>
        <v>-</v>
      </c>
      <c r="AT47" s="4" t="str">
        <f t="shared" si="16"/>
        <v>-</v>
      </c>
      <c r="AU47" s="4" t="str">
        <f t="shared" si="17"/>
        <v>-</v>
      </c>
      <c r="AV47" s="4" t="str">
        <f t="shared" si="18"/>
        <v>-</v>
      </c>
      <c r="AW47" s="4" t="str">
        <f t="shared" si="19"/>
        <v>-</v>
      </c>
      <c r="AX47" s="4" t="str">
        <f t="shared" si="20"/>
        <v>-</v>
      </c>
      <c r="AY47" s="4" t="str">
        <f t="shared" si="21"/>
        <v>-</v>
      </c>
      <c r="AZ47" s="4" t="str">
        <f t="shared" si="22"/>
        <v>-</v>
      </c>
      <c r="BA47" s="4" t="str">
        <f t="shared" si="23"/>
        <v>-</v>
      </c>
      <c r="BB47" s="4">
        <v>0</v>
      </c>
      <c r="BC47" s="4" t="s">
        <v>294</v>
      </c>
      <c r="BD47" s="4">
        <v>5</v>
      </c>
      <c r="BE47" s="4">
        <v>1</v>
      </c>
      <c r="BF47" s="4" t="s">
        <v>277</v>
      </c>
      <c r="BG47" s="4">
        <v>960</v>
      </c>
      <c r="BH47" s="4">
        <v>960</v>
      </c>
      <c r="BI47" s="4">
        <f t="shared" si="39"/>
        <v>4800</v>
      </c>
      <c r="BJ47" s="18">
        <v>4</v>
      </c>
      <c r="BK47" s="18">
        <v>1</v>
      </c>
      <c r="BL47" s="16">
        <v>18</v>
      </c>
      <c r="BM47" t="s">
        <v>317</v>
      </c>
      <c r="BN47">
        <v>960</v>
      </c>
      <c r="BO47">
        <v>960</v>
      </c>
      <c r="BP47">
        <f t="shared" si="24"/>
        <v>1104.7450110864745</v>
      </c>
      <c r="BQ47" s="4" t="s">
        <v>256</v>
      </c>
    </row>
    <row r="48" spans="1:69" x14ac:dyDescent="0.4">
      <c r="A48" s="3">
        <v>75</v>
      </c>
      <c r="B48" s="3">
        <v>18</v>
      </c>
      <c r="C48" s="32" t="s">
        <v>171</v>
      </c>
      <c r="D48" s="4" t="str">
        <f t="shared" si="25"/>
        <v>J000XA</v>
      </c>
      <c r="E48" s="4" t="s">
        <v>171</v>
      </c>
      <c r="F48" s="4" t="s">
        <v>204</v>
      </c>
      <c r="G48" s="5">
        <v>4580417610185</v>
      </c>
      <c r="H48" s="5"/>
      <c r="I48" s="5"/>
      <c r="J48" s="5"/>
      <c r="K48" s="5"/>
      <c r="L48" s="4">
        <v>0</v>
      </c>
      <c r="M48" s="4">
        <v>746</v>
      </c>
      <c r="N48" s="4">
        <v>451</v>
      </c>
      <c r="O48" s="6">
        <f t="shared" si="26"/>
        <v>0.3954423592493298</v>
      </c>
      <c r="P48" s="4" t="s">
        <v>238</v>
      </c>
      <c r="Q48" s="4" t="s">
        <v>238</v>
      </c>
      <c r="R48" s="4" t="s">
        <v>238</v>
      </c>
      <c r="S48" s="4" t="s">
        <v>238</v>
      </c>
      <c r="T48" s="4" t="s">
        <v>238</v>
      </c>
      <c r="U48" s="4" t="s">
        <v>238</v>
      </c>
      <c r="V48" s="4" t="s">
        <v>238</v>
      </c>
      <c r="W48" s="4" t="s">
        <v>238</v>
      </c>
      <c r="X48" s="4" t="s">
        <v>238</v>
      </c>
      <c r="Y48" s="4">
        <v>0</v>
      </c>
      <c r="Z48" s="4">
        <f t="shared" si="27"/>
        <v>0</v>
      </c>
      <c r="AA48" s="4">
        <v>519</v>
      </c>
      <c r="AB48" s="4">
        <f t="shared" si="28"/>
        <v>519</v>
      </c>
      <c r="AC48" s="4"/>
      <c r="AD48" s="20">
        <f t="shared" si="29"/>
        <v>858</v>
      </c>
      <c r="AE48" s="6">
        <f t="shared" si="30"/>
        <v>0.3951048951048951</v>
      </c>
      <c r="AF48" s="4">
        <v>1.5</v>
      </c>
      <c r="AG48" s="4">
        <f t="shared" si="31"/>
        <v>960</v>
      </c>
      <c r="AH48" s="4">
        <f t="shared" si="32"/>
        <v>1104.7450110864745</v>
      </c>
      <c r="AI48" s="6">
        <f t="shared" si="33"/>
        <v>0.53020833333333339</v>
      </c>
      <c r="AJ48" s="7">
        <v>950</v>
      </c>
      <c r="AK48" s="6">
        <f t="shared" si="34"/>
        <v>0.4536842105263158</v>
      </c>
      <c r="AL48" s="4">
        <f t="shared" si="35"/>
        <v>431</v>
      </c>
      <c r="AM48" s="27"/>
      <c r="AN48" s="6"/>
      <c r="AO48" s="6"/>
      <c r="AP48" s="6" t="e">
        <f t="shared" si="36"/>
        <v>#DIV/0!</v>
      </c>
      <c r="AQ48" s="6">
        <f t="shared" si="37"/>
        <v>1.2734584450402144</v>
      </c>
      <c r="AR48" s="6">
        <f t="shared" si="38"/>
        <v>1.1507760532150777</v>
      </c>
      <c r="AS48" s="4" t="str">
        <f t="shared" si="15"/>
        <v>-</v>
      </c>
      <c r="AT48" s="4" t="str">
        <f t="shared" si="16"/>
        <v>-</v>
      </c>
      <c r="AU48" s="4" t="str">
        <f t="shared" si="17"/>
        <v>-</v>
      </c>
      <c r="AV48" s="4" t="str">
        <f t="shared" si="18"/>
        <v>-</v>
      </c>
      <c r="AW48" s="4" t="str">
        <f t="shared" si="19"/>
        <v>-</v>
      </c>
      <c r="AX48" s="4" t="str">
        <f t="shared" si="20"/>
        <v>-</v>
      </c>
      <c r="AY48" s="4" t="str">
        <f t="shared" si="21"/>
        <v>-</v>
      </c>
      <c r="AZ48" s="4" t="str">
        <f t="shared" si="22"/>
        <v>-</v>
      </c>
      <c r="BA48" s="4" t="str">
        <f t="shared" si="23"/>
        <v>-</v>
      </c>
      <c r="BB48" s="4">
        <v>0</v>
      </c>
      <c r="BC48" s="4" t="s">
        <v>294</v>
      </c>
      <c r="BD48" s="4"/>
      <c r="BE48" s="4"/>
      <c r="BF48" s="4" t="s">
        <v>277</v>
      </c>
      <c r="BG48" s="4">
        <v>960</v>
      </c>
      <c r="BH48" s="4">
        <v>960</v>
      </c>
      <c r="BI48" s="4">
        <f t="shared" si="39"/>
        <v>960</v>
      </c>
      <c r="BJ48" s="18">
        <v>4</v>
      </c>
      <c r="BK48" s="18">
        <v>1</v>
      </c>
      <c r="BL48" s="16">
        <v>18</v>
      </c>
      <c r="BM48" t="s">
        <v>317</v>
      </c>
      <c r="BN48">
        <v>960</v>
      </c>
      <c r="BO48">
        <v>960</v>
      </c>
      <c r="BP48">
        <f t="shared" si="24"/>
        <v>1104.7450110864745</v>
      </c>
      <c r="BQ48" s="4" t="s">
        <v>256</v>
      </c>
    </row>
    <row r="49" spans="1:69" x14ac:dyDescent="0.4">
      <c r="A49" s="34">
        <v>19</v>
      </c>
      <c r="B49" s="3">
        <v>19</v>
      </c>
      <c r="C49" s="4" t="s">
        <v>82</v>
      </c>
      <c r="D49" s="4" t="str">
        <f t="shared" si="25"/>
        <v>J472WK</v>
      </c>
      <c r="E49" s="4" t="s">
        <v>82</v>
      </c>
      <c r="F49" s="4" t="s">
        <v>116</v>
      </c>
      <c r="G49" s="5">
        <v>4580417610192</v>
      </c>
      <c r="H49" s="5"/>
      <c r="I49" s="5"/>
      <c r="J49" s="5">
        <v>1</v>
      </c>
      <c r="K49" s="5">
        <v>1</v>
      </c>
      <c r="L49" s="4">
        <v>0</v>
      </c>
      <c r="M49" s="4">
        <v>1300</v>
      </c>
      <c r="N49" s="4">
        <v>500</v>
      </c>
      <c r="O49" s="6">
        <f t="shared" si="26"/>
        <v>0.61538461538461542</v>
      </c>
      <c r="P49" s="4" t="s">
        <v>238</v>
      </c>
      <c r="Q49" s="4" t="s">
        <v>238</v>
      </c>
      <c r="R49" s="4" t="s">
        <v>238</v>
      </c>
      <c r="S49" s="4" t="s">
        <v>238</v>
      </c>
      <c r="T49" s="4" t="s">
        <v>238</v>
      </c>
      <c r="U49" s="4" t="s">
        <v>238</v>
      </c>
      <c r="V49" s="4" t="s">
        <v>238</v>
      </c>
      <c r="W49" s="4" t="s">
        <v>238</v>
      </c>
      <c r="X49" s="4" t="s">
        <v>238</v>
      </c>
      <c r="Y49" s="4">
        <v>0</v>
      </c>
      <c r="Z49" s="4">
        <f t="shared" si="27"/>
        <v>0</v>
      </c>
      <c r="AA49" s="4">
        <v>575</v>
      </c>
      <c r="AB49" s="4">
        <f t="shared" si="28"/>
        <v>575</v>
      </c>
      <c r="AC49" s="4"/>
      <c r="AD49" s="20">
        <f t="shared" si="29"/>
        <v>1495</v>
      </c>
      <c r="AE49" s="6">
        <f t="shared" si="30"/>
        <v>0.61538461538461542</v>
      </c>
      <c r="AF49" s="4">
        <v>2.5</v>
      </c>
      <c r="AG49" s="4">
        <f t="shared" si="31"/>
        <v>1026</v>
      </c>
      <c r="AH49" s="4">
        <f t="shared" si="32"/>
        <v>1179.8999999999999</v>
      </c>
      <c r="AI49" s="6">
        <f t="shared" si="33"/>
        <v>0.51267056530214417</v>
      </c>
      <c r="AJ49" s="7">
        <v>1400</v>
      </c>
      <c r="AK49" s="6">
        <f t="shared" si="34"/>
        <v>0.5892857142857143</v>
      </c>
      <c r="AL49" s="35">
        <f t="shared" si="35"/>
        <v>825</v>
      </c>
      <c r="AM49" s="27"/>
      <c r="AN49" s="6"/>
      <c r="AO49" s="6"/>
      <c r="AP49" s="6" t="e">
        <f t="shared" si="36"/>
        <v>#DIV/0!</v>
      </c>
      <c r="AQ49" s="6">
        <f t="shared" si="37"/>
        <v>1.0769230769230769</v>
      </c>
      <c r="AR49" s="6">
        <f t="shared" si="38"/>
        <v>1.1499999999999999</v>
      </c>
      <c r="AS49" s="4" t="str">
        <f t="shared" si="15"/>
        <v>-</v>
      </c>
      <c r="AT49" s="4" t="str">
        <f t="shared" si="16"/>
        <v>-</v>
      </c>
      <c r="AU49" s="4" t="str">
        <f t="shared" si="17"/>
        <v>-</v>
      </c>
      <c r="AV49" s="4" t="str">
        <f t="shared" si="18"/>
        <v>-</v>
      </c>
      <c r="AW49" s="4" t="str">
        <f t="shared" si="19"/>
        <v>-</v>
      </c>
      <c r="AX49" s="4" t="str">
        <f t="shared" si="20"/>
        <v>-</v>
      </c>
      <c r="AY49" s="4" t="str">
        <f t="shared" si="21"/>
        <v>-</v>
      </c>
      <c r="AZ49" s="4" t="str">
        <f t="shared" si="22"/>
        <v>-</v>
      </c>
      <c r="BA49" s="4" t="str">
        <f t="shared" si="23"/>
        <v>-</v>
      </c>
      <c r="BB49" s="4">
        <v>0</v>
      </c>
      <c r="BC49" s="4" t="s">
        <v>295</v>
      </c>
      <c r="BD49" s="4"/>
      <c r="BE49" s="4"/>
      <c r="BF49" s="4" t="s">
        <v>277</v>
      </c>
      <c r="BG49" s="4">
        <v>1026</v>
      </c>
      <c r="BH49" s="4">
        <v>1026</v>
      </c>
      <c r="BI49" s="4">
        <f t="shared" si="39"/>
        <v>1026</v>
      </c>
      <c r="BJ49" s="18">
        <v>2</v>
      </c>
      <c r="BK49" s="18">
        <v>1</v>
      </c>
      <c r="BL49" s="16">
        <v>18</v>
      </c>
      <c r="BM49" t="s">
        <v>317</v>
      </c>
      <c r="BN49">
        <v>1026</v>
      </c>
      <c r="BO49">
        <v>1026</v>
      </c>
      <c r="BP49">
        <f t="shared" si="24"/>
        <v>1179.8999999999999</v>
      </c>
      <c r="BQ49" s="4" t="s">
        <v>257</v>
      </c>
    </row>
    <row r="50" spans="1:69" x14ac:dyDescent="0.4">
      <c r="A50" s="34">
        <v>20</v>
      </c>
      <c r="B50" s="3">
        <v>20</v>
      </c>
      <c r="C50" s="4" t="s">
        <v>83</v>
      </c>
      <c r="D50" s="4" t="str">
        <f t="shared" si="25"/>
        <v>J467WK</v>
      </c>
      <c r="E50" s="4" t="s">
        <v>83</v>
      </c>
      <c r="F50" s="4" t="s">
        <v>117</v>
      </c>
      <c r="G50" s="5">
        <v>4580417610208</v>
      </c>
      <c r="H50" s="5"/>
      <c r="I50" s="5"/>
      <c r="J50" s="5">
        <v>1</v>
      </c>
      <c r="K50" s="5">
        <v>1</v>
      </c>
      <c r="L50" s="4">
        <v>0</v>
      </c>
      <c r="M50" s="4">
        <v>1300</v>
      </c>
      <c r="N50" s="4">
        <v>591</v>
      </c>
      <c r="O50" s="6">
        <f t="shared" si="26"/>
        <v>0.54538461538461536</v>
      </c>
      <c r="P50" s="4" t="s">
        <v>238</v>
      </c>
      <c r="Q50" s="4" t="s">
        <v>238</v>
      </c>
      <c r="R50" s="4" t="s">
        <v>238</v>
      </c>
      <c r="S50" s="4" t="s">
        <v>238</v>
      </c>
      <c r="T50" s="4" t="s">
        <v>238</v>
      </c>
      <c r="U50" s="4" t="s">
        <v>238</v>
      </c>
      <c r="V50" s="4" t="s">
        <v>238</v>
      </c>
      <c r="W50" s="4" t="s">
        <v>238</v>
      </c>
      <c r="X50" s="4" t="s">
        <v>238</v>
      </c>
      <c r="Y50" s="4">
        <v>0</v>
      </c>
      <c r="Z50" s="4">
        <f t="shared" si="27"/>
        <v>0</v>
      </c>
      <c r="AA50" s="4">
        <v>680</v>
      </c>
      <c r="AB50" s="4">
        <f t="shared" si="28"/>
        <v>680</v>
      </c>
      <c r="AC50" s="4"/>
      <c r="AD50" s="20">
        <f t="shared" si="29"/>
        <v>1496</v>
      </c>
      <c r="AE50" s="6">
        <f t="shared" si="30"/>
        <v>0.54545454545454541</v>
      </c>
      <c r="AF50" s="4">
        <v>1.25</v>
      </c>
      <c r="AG50" s="4">
        <f t="shared" si="31"/>
        <v>1322</v>
      </c>
      <c r="AH50" s="4">
        <f t="shared" si="32"/>
        <v>1521.082910321489</v>
      </c>
      <c r="AI50" s="6">
        <f t="shared" si="33"/>
        <v>0.55295007564296517</v>
      </c>
      <c r="AJ50" s="7">
        <v>1510</v>
      </c>
      <c r="AK50" s="6">
        <f t="shared" si="34"/>
        <v>0.54966887417218535</v>
      </c>
      <c r="AL50" s="35">
        <f t="shared" si="35"/>
        <v>830</v>
      </c>
      <c r="AM50" s="27"/>
      <c r="AN50" s="6"/>
      <c r="AO50" s="6"/>
      <c r="AP50" s="6" t="e">
        <f t="shared" si="36"/>
        <v>#DIV/0!</v>
      </c>
      <c r="AQ50" s="6">
        <f t="shared" si="37"/>
        <v>1.1615384615384616</v>
      </c>
      <c r="AR50" s="6">
        <f t="shared" si="38"/>
        <v>1.1505922165820643</v>
      </c>
      <c r="AS50" s="4" t="str">
        <f t="shared" si="15"/>
        <v>-</v>
      </c>
      <c r="AT50" s="4" t="str">
        <f t="shared" si="16"/>
        <v>-</v>
      </c>
      <c r="AU50" s="4" t="str">
        <f t="shared" si="17"/>
        <v>-</v>
      </c>
      <c r="AV50" s="4" t="str">
        <f t="shared" si="18"/>
        <v>-</v>
      </c>
      <c r="AW50" s="4" t="str">
        <f t="shared" si="19"/>
        <v>-</v>
      </c>
      <c r="AX50" s="4" t="str">
        <f t="shared" si="20"/>
        <v>-</v>
      </c>
      <c r="AY50" s="4" t="str">
        <f t="shared" si="21"/>
        <v>-</v>
      </c>
      <c r="AZ50" s="4" t="str">
        <f t="shared" si="22"/>
        <v>-</v>
      </c>
      <c r="BA50" s="4" t="str">
        <f t="shared" si="23"/>
        <v>-</v>
      </c>
      <c r="BB50" s="4">
        <v>0</v>
      </c>
      <c r="BC50" s="4" t="s">
        <v>296</v>
      </c>
      <c r="BD50" s="4"/>
      <c r="BE50" s="4"/>
      <c r="BF50" s="4" t="s">
        <v>277</v>
      </c>
      <c r="BG50" s="4">
        <v>1322</v>
      </c>
      <c r="BH50" s="4">
        <v>1322</v>
      </c>
      <c r="BI50" s="4">
        <f t="shared" si="39"/>
        <v>1322</v>
      </c>
      <c r="BJ50" s="18">
        <v>2</v>
      </c>
      <c r="BK50" s="18">
        <v>1</v>
      </c>
      <c r="BL50" s="16">
        <v>18</v>
      </c>
      <c r="BM50" t="s">
        <v>317</v>
      </c>
      <c r="BN50">
        <v>1321</v>
      </c>
      <c r="BO50">
        <v>1321</v>
      </c>
      <c r="BP50">
        <f t="shared" si="24"/>
        <v>1519.9323181049069</v>
      </c>
      <c r="BQ50" s="4" t="s">
        <v>258</v>
      </c>
    </row>
    <row r="51" spans="1:69" x14ac:dyDescent="0.4">
      <c r="A51" s="3">
        <v>21</v>
      </c>
      <c r="B51" s="3">
        <v>21</v>
      </c>
      <c r="C51" s="4" t="s">
        <v>84</v>
      </c>
      <c r="D51" s="4" t="str">
        <f t="shared" si="25"/>
        <v>J444WK</v>
      </c>
      <c r="E51" s="4" t="s">
        <v>84</v>
      </c>
      <c r="F51" s="4" t="s">
        <v>118</v>
      </c>
      <c r="G51" s="5">
        <v>4580417611007</v>
      </c>
      <c r="H51" s="5"/>
      <c r="I51" s="5"/>
      <c r="J51" s="5">
        <v>1</v>
      </c>
      <c r="K51" s="5">
        <v>1</v>
      </c>
      <c r="L51" s="4">
        <v>0</v>
      </c>
      <c r="M51" s="4">
        <v>122</v>
      </c>
      <c r="N51" s="4">
        <v>71</v>
      </c>
      <c r="O51" s="6">
        <f t="shared" si="26"/>
        <v>0.41803278688524592</v>
      </c>
      <c r="P51" s="4" t="s">
        <v>238</v>
      </c>
      <c r="Q51" s="4" t="s">
        <v>238</v>
      </c>
      <c r="R51" s="4" t="s">
        <v>238</v>
      </c>
      <c r="S51" s="4" t="s">
        <v>238</v>
      </c>
      <c r="T51" s="4" t="s">
        <v>238</v>
      </c>
      <c r="U51" s="4" t="s">
        <v>238</v>
      </c>
      <c r="V51" s="4" t="s">
        <v>238</v>
      </c>
      <c r="W51" s="4" t="s">
        <v>238</v>
      </c>
      <c r="X51" s="4" t="s">
        <v>238</v>
      </c>
      <c r="Y51" s="4">
        <v>0</v>
      </c>
      <c r="Z51" s="4">
        <f t="shared" si="27"/>
        <v>0</v>
      </c>
      <c r="AA51" s="4">
        <v>82</v>
      </c>
      <c r="AB51" s="4">
        <f t="shared" si="28"/>
        <v>82</v>
      </c>
      <c r="AC51" s="4"/>
      <c r="AD51" s="20">
        <f t="shared" si="29"/>
        <v>141</v>
      </c>
      <c r="AE51" s="6">
        <f t="shared" si="30"/>
        <v>0.41843971631205679</v>
      </c>
      <c r="AF51" s="4">
        <v>6.25</v>
      </c>
      <c r="AG51" s="4">
        <f t="shared" si="31"/>
        <v>143</v>
      </c>
      <c r="AH51" s="4">
        <f t="shared" si="32"/>
        <v>165.1549295774648</v>
      </c>
      <c r="AI51" s="6">
        <f t="shared" si="33"/>
        <v>0.50349650349650354</v>
      </c>
      <c r="AJ51" s="7">
        <v>150</v>
      </c>
      <c r="AK51" s="6">
        <f t="shared" si="34"/>
        <v>0.45333333333333337</v>
      </c>
      <c r="AL51" s="4">
        <f t="shared" si="35"/>
        <v>68</v>
      </c>
      <c r="AM51" s="27"/>
      <c r="AN51" s="6"/>
      <c r="AO51" s="6"/>
      <c r="AP51" s="6" t="e">
        <f t="shared" si="36"/>
        <v>#DIV/0!</v>
      </c>
      <c r="AQ51" s="6">
        <f t="shared" si="37"/>
        <v>1.2295081967213115</v>
      </c>
      <c r="AR51" s="6">
        <f t="shared" si="38"/>
        <v>1.1549295774647887</v>
      </c>
      <c r="AS51" s="4" t="str">
        <f t="shared" si="15"/>
        <v>-</v>
      </c>
      <c r="AT51" s="4" t="str">
        <f t="shared" si="16"/>
        <v>-</v>
      </c>
      <c r="AU51" s="4" t="str">
        <f t="shared" si="17"/>
        <v>-</v>
      </c>
      <c r="AV51" s="4" t="str">
        <f t="shared" si="18"/>
        <v>-</v>
      </c>
      <c r="AW51" s="4" t="str">
        <f t="shared" si="19"/>
        <v>-</v>
      </c>
      <c r="AX51" s="4" t="str">
        <f t="shared" si="20"/>
        <v>-</v>
      </c>
      <c r="AY51" s="4" t="str">
        <f t="shared" si="21"/>
        <v>-</v>
      </c>
      <c r="AZ51" s="4" t="str">
        <f t="shared" si="22"/>
        <v>-</v>
      </c>
      <c r="BA51" s="4" t="str">
        <f t="shared" si="23"/>
        <v>-</v>
      </c>
      <c r="BB51" s="4">
        <v>0</v>
      </c>
      <c r="BC51" s="4" t="s">
        <v>297</v>
      </c>
      <c r="BD51" s="4"/>
      <c r="BE51" s="4"/>
      <c r="BF51" s="4" t="s">
        <v>277</v>
      </c>
      <c r="BG51" s="4">
        <v>143</v>
      </c>
      <c r="BH51" s="4">
        <v>143</v>
      </c>
      <c r="BI51" s="4">
        <f t="shared" si="39"/>
        <v>143</v>
      </c>
      <c r="BJ51" s="18">
        <v>4</v>
      </c>
      <c r="BK51" s="18">
        <v>1</v>
      </c>
      <c r="BL51" s="16">
        <v>18</v>
      </c>
      <c r="BM51" t="s">
        <v>317</v>
      </c>
      <c r="BN51">
        <v>143</v>
      </c>
      <c r="BO51">
        <v>143</v>
      </c>
      <c r="BP51">
        <f t="shared" si="24"/>
        <v>165.1549295774648</v>
      </c>
      <c r="BQ51" s="4" t="s">
        <v>259</v>
      </c>
    </row>
    <row r="52" spans="1:69" x14ac:dyDescent="0.4">
      <c r="A52" s="3">
        <v>22</v>
      </c>
      <c r="B52" s="3">
        <v>22</v>
      </c>
      <c r="C52" s="4" t="s">
        <v>85</v>
      </c>
      <c r="D52" s="4" t="str">
        <f t="shared" si="25"/>
        <v>J445WK</v>
      </c>
      <c r="E52" s="4" t="s">
        <v>85</v>
      </c>
      <c r="F52" s="4" t="s">
        <v>119</v>
      </c>
      <c r="G52" s="5">
        <v>4580417611014</v>
      </c>
      <c r="H52" s="5"/>
      <c r="I52" s="5"/>
      <c r="J52" s="5">
        <v>1</v>
      </c>
      <c r="K52" s="5">
        <v>1</v>
      </c>
      <c r="L52" s="4">
        <v>0</v>
      </c>
      <c r="M52" s="4">
        <v>153</v>
      </c>
      <c r="N52" s="4">
        <v>89</v>
      </c>
      <c r="O52" s="6">
        <f t="shared" si="26"/>
        <v>0.4183006535947712</v>
      </c>
      <c r="P52" s="4" t="s">
        <v>238</v>
      </c>
      <c r="Q52" s="4" t="s">
        <v>238</v>
      </c>
      <c r="R52" s="4" t="s">
        <v>238</v>
      </c>
      <c r="S52" s="4" t="s">
        <v>238</v>
      </c>
      <c r="T52" s="4" t="s">
        <v>238</v>
      </c>
      <c r="U52" s="4" t="s">
        <v>238</v>
      </c>
      <c r="V52" s="4" t="s">
        <v>238</v>
      </c>
      <c r="W52" s="4" t="s">
        <v>238</v>
      </c>
      <c r="X52" s="4" t="s">
        <v>238</v>
      </c>
      <c r="Y52" s="4">
        <v>0</v>
      </c>
      <c r="Z52" s="4">
        <f t="shared" si="27"/>
        <v>0</v>
      </c>
      <c r="AA52" s="4">
        <v>102</v>
      </c>
      <c r="AB52" s="4">
        <f t="shared" si="28"/>
        <v>102</v>
      </c>
      <c r="AC52" s="4"/>
      <c r="AD52" s="20">
        <f t="shared" si="29"/>
        <v>175</v>
      </c>
      <c r="AE52" s="6">
        <f t="shared" si="30"/>
        <v>0.41714285714285715</v>
      </c>
      <c r="AF52" s="4">
        <v>7.2499999999999991</v>
      </c>
      <c r="AG52" s="4">
        <f t="shared" si="31"/>
        <v>190</v>
      </c>
      <c r="AH52" s="4">
        <f t="shared" si="32"/>
        <v>217.75280898876403</v>
      </c>
      <c r="AI52" s="6">
        <f t="shared" si="33"/>
        <v>0.53157894736842104</v>
      </c>
      <c r="AJ52" s="7">
        <v>190</v>
      </c>
      <c r="AK52" s="6">
        <f t="shared" si="34"/>
        <v>0.4631578947368421</v>
      </c>
      <c r="AL52" s="4">
        <f t="shared" si="35"/>
        <v>88</v>
      </c>
      <c r="AM52" s="27"/>
      <c r="AN52" s="6"/>
      <c r="AO52" s="6"/>
      <c r="AP52" s="6" t="e">
        <f t="shared" si="36"/>
        <v>#DIV/0!</v>
      </c>
      <c r="AQ52" s="6">
        <f t="shared" si="37"/>
        <v>1.2418300653594772</v>
      </c>
      <c r="AR52" s="6">
        <f t="shared" si="38"/>
        <v>1.146067415730337</v>
      </c>
      <c r="AS52" s="4" t="str">
        <f t="shared" si="15"/>
        <v>-</v>
      </c>
      <c r="AT52" s="4" t="str">
        <f t="shared" si="16"/>
        <v>-</v>
      </c>
      <c r="AU52" s="4" t="str">
        <f t="shared" si="17"/>
        <v>-</v>
      </c>
      <c r="AV52" s="4" t="str">
        <f t="shared" si="18"/>
        <v>-</v>
      </c>
      <c r="AW52" s="4" t="str">
        <f t="shared" si="19"/>
        <v>-</v>
      </c>
      <c r="AX52" s="4" t="str">
        <f t="shared" si="20"/>
        <v>-</v>
      </c>
      <c r="AY52" s="4" t="str">
        <f t="shared" si="21"/>
        <v>-</v>
      </c>
      <c r="AZ52" s="4" t="str">
        <f t="shared" si="22"/>
        <v>-</v>
      </c>
      <c r="BA52" s="4" t="str">
        <f t="shared" si="23"/>
        <v>-</v>
      </c>
      <c r="BB52" s="4">
        <v>0</v>
      </c>
      <c r="BC52" s="4" t="s">
        <v>298</v>
      </c>
      <c r="BD52" s="4"/>
      <c r="BE52" s="4"/>
      <c r="BF52" s="4" t="s">
        <v>277</v>
      </c>
      <c r="BG52" s="4">
        <v>190</v>
      </c>
      <c r="BH52" s="4">
        <v>190</v>
      </c>
      <c r="BI52" s="4">
        <f t="shared" si="39"/>
        <v>190</v>
      </c>
      <c r="BJ52" s="18">
        <v>4</v>
      </c>
      <c r="BK52" s="18">
        <v>1</v>
      </c>
      <c r="BL52" s="16">
        <v>18</v>
      </c>
      <c r="BM52" t="s">
        <v>317</v>
      </c>
      <c r="BN52">
        <v>190</v>
      </c>
      <c r="BO52">
        <v>190</v>
      </c>
      <c r="BP52">
        <f t="shared" si="24"/>
        <v>217.75280898876403</v>
      </c>
      <c r="BQ52" s="4" t="s">
        <v>260</v>
      </c>
    </row>
    <row r="53" spans="1:69" x14ac:dyDescent="0.4">
      <c r="A53" s="3">
        <v>23</v>
      </c>
      <c r="B53" s="3">
        <v>23</v>
      </c>
      <c r="C53" s="4" t="s">
        <v>86</v>
      </c>
      <c r="D53" s="4" t="str">
        <f t="shared" si="25"/>
        <v>J475WK</v>
      </c>
      <c r="E53" s="4" t="s">
        <v>86</v>
      </c>
      <c r="F53" s="4" t="s">
        <v>120</v>
      </c>
      <c r="G53" s="5">
        <v>4580417611021</v>
      </c>
      <c r="H53" s="5"/>
      <c r="I53" s="5"/>
      <c r="J53" s="5">
        <v>1</v>
      </c>
      <c r="K53" s="5">
        <v>1</v>
      </c>
      <c r="L53" s="4">
        <v>0</v>
      </c>
      <c r="M53" s="4">
        <v>216</v>
      </c>
      <c r="N53" s="4">
        <v>125</v>
      </c>
      <c r="O53" s="6">
        <f t="shared" si="26"/>
        <v>0.42129629629629628</v>
      </c>
      <c r="P53" s="4" t="s">
        <v>238</v>
      </c>
      <c r="Q53" s="4" t="s">
        <v>238</v>
      </c>
      <c r="R53" s="4" t="s">
        <v>238</v>
      </c>
      <c r="S53" s="4" t="s">
        <v>238</v>
      </c>
      <c r="T53" s="4" t="s">
        <v>238</v>
      </c>
      <c r="U53" s="4" t="s">
        <v>238</v>
      </c>
      <c r="V53" s="4" t="s">
        <v>238</v>
      </c>
      <c r="W53" s="4" t="s">
        <v>238</v>
      </c>
      <c r="X53" s="4" t="s">
        <v>238</v>
      </c>
      <c r="Y53" s="4">
        <v>0</v>
      </c>
      <c r="Z53" s="4">
        <f t="shared" si="27"/>
        <v>0</v>
      </c>
      <c r="AA53" s="4">
        <v>144</v>
      </c>
      <c r="AB53" s="4">
        <f t="shared" si="28"/>
        <v>144</v>
      </c>
      <c r="AC53" s="4"/>
      <c r="AD53" s="20">
        <f t="shared" si="29"/>
        <v>249</v>
      </c>
      <c r="AE53" s="6">
        <f t="shared" si="30"/>
        <v>0.42168674698795183</v>
      </c>
      <c r="AF53" s="4">
        <v>1.25</v>
      </c>
      <c r="AG53" s="4">
        <f t="shared" si="31"/>
        <v>228</v>
      </c>
      <c r="AH53" s="4">
        <f t="shared" si="32"/>
        <v>262.65600000000001</v>
      </c>
      <c r="AI53" s="6">
        <f t="shared" si="33"/>
        <v>0.45175438596491224</v>
      </c>
      <c r="AJ53" s="7">
        <v>260</v>
      </c>
      <c r="AK53" s="6">
        <f t="shared" si="34"/>
        <v>0.44615384615384612</v>
      </c>
      <c r="AL53" s="4">
        <f t="shared" si="35"/>
        <v>116</v>
      </c>
      <c r="AM53" s="27"/>
      <c r="AN53" s="6"/>
      <c r="AO53" s="6"/>
      <c r="AP53" s="6" t="e">
        <f t="shared" si="36"/>
        <v>#DIV/0!</v>
      </c>
      <c r="AQ53" s="6">
        <f t="shared" si="37"/>
        <v>1.2037037037037037</v>
      </c>
      <c r="AR53" s="6">
        <f t="shared" si="38"/>
        <v>1.1519999999999999</v>
      </c>
      <c r="AS53" s="4" t="str">
        <f t="shared" si="15"/>
        <v>-</v>
      </c>
      <c r="AT53" s="4" t="str">
        <f t="shared" si="16"/>
        <v>-</v>
      </c>
      <c r="AU53" s="4" t="str">
        <f t="shared" si="17"/>
        <v>-</v>
      </c>
      <c r="AV53" s="4" t="str">
        <f t="shared" si="18"/>
        <v>-</v>
      </c>
      <c r="AW53" s="4" t="str">
        <f t="shared" si="19"/>
        <v>-</v>
      </c>
      <c r="AX53" s="4" t="str">
        <f t="shared" si="20"/>
        <v>-</v>
      </c>
      <c r="AY53" s="4" t="str">
        <f t="shared" si="21"/>
        <v>-</v>
      </c>
      <c r="AZ53" s="4" t="str">
        <f t="shared" si="22"/>
        <v>-</v>
      </c>
      <c r="BA53" s="4" t="str">
        <f t="shared" si="23"/>
        <v>-</v>
      </c>
      <c r="BB53" s="4">
        <v>0</v>
      </c>
      <c r="BC53" s="4" t="s">
        <v>299</v>
      </c>
      <c r="BD53" s="4"/>
      <c r="BE53" s="4"/>
      <c r="BF53" s="4" t="s">
        <v>277</v>
      </c>
      <c r="BG53" s="4">
        <v>228</v>
      </c>
      <c r="BH53" s="4">
        <v>228</v>
      </c>
      <c r="BI53" s="4">
        <f t="shared" si="39"/>
        <v>228</v>
      </c>
      <c r="BJ53" s="18">
        <v>4</v>
      </c>
      <c r="BK53" s="18">
        <v>1</v>
      </c>
      <c r="BL53" s="16">
        <v>18</v>
      </c>
      <c r="BM53" t="s">
        <v>317</v>
      </c>
      <c r="BN53">
        <v>228</v>
      </c>
      <c r="BO53">
        <v>228</v>
      </c>
      <c r="BP53">
        <f t="shared" si="24"/>
        <v>262.65600000000001</v>
      </c>
      <c r="BQ53" s="4" t="s">
        <v>261</v>
      </c>
    </row>
    <row r="54" spans="1:69" x14ac:dyDescent="0.4">
      <c r="A54" s="3">
        <v>24</v>
      </c>
      <c r="B54" s="3">
        <v>24</v>
      </c>
      <c r="C54" s="4" t="s">
        <v>87</v>
      </c>
      <c r="D54" s="4" t="str">
        <f t="shared" si="25"/>
        <v>J449WK</v>
      </c>
      <c r="E54" s="4" t="s">
        <v>87</v>
      </c>
      <c r="F54" s="4" t="s">
        <v>121</v>
      </c>
      <c r="G54" s="5">
        <v>4580417611038</v>
      </c>
      <c r="H54" s="5"/>
      <c r="I54" s="5"/>
      <c r="J54" s="5">
        <v>1</v>
      </c>
      <c r="K54" s="5">
        <v>1</v>
      </c>
      <c r="L54" s="4">
        <v>0</v>
      </c>
      <c r="M54" s="4">
        <v>247</v>
      </c>
      <c r="N54" s="4">
        <v>143</v>
      </c>
      <c r="O54" s="6">
        <f t="shared" si="26"/>
        <v>0.42105263157894735</v>
      </c>
      <c r="P54" s="4" t="s">
        <v>238</v>
      </c>
      <c r="Q54" s="4" t="s">
        <v>238</v>
      </c>
      <c r="R54" s="4" t="s">
        <v>238</v>
      </c>
      <c r="S54" s="4" t="s">
        <v>238</v>
      </c>
      <c r="T54" s="4" t="s">
        <v>238</v>
      </c>
      <c r="U54" s="4" t="s">
        <v>238</v>
      </c>
      <c r="V54" s="4" t="s">
        <v>238</v>
      </c>
      <c r="W54" s="4" t="s">
        <v>238</v>
      </c>
      <c r="X54" s="4" t="s">
        <v>238</v>
      </c>
      <c r="Y54" s="4">
        <v>0</v>
      </c>
      <c r="Z54" s="4">
        <f t="shared" si="27"/>
        <v>0</v>
      </c>
      <c r="AA54" s="4">
        <v>164</v>
      </c>
      <c r="AB54" s="4">
        <f t="shared" si="28"/>
        <v>164</v>
      </c>
      <c r="AC54" s="4"/>
      <c r="AD54" s="20">
        <f t="shared" si="29"/>
        <v>283</v>
      </c>
      <c r="AE54" s="6">
        <f t="shared" si="30"/>
        <v>0.4204946996466431</v>
      </c>
      <c r="AF54" s="4">
        <v>4.25</v>
      </c>
      <c r="AG54" s="4">
        <f t="shared" si="31"/>
        <v>248</v>
      </c>
      <c r="AH54" s="4">
        <f t="shared" si="32"/>
        <v>284.41958041958043</v>
      </c>
      <c r="AI54" s="6">
        <f t="shared" si="33"/>
        <v>0.42338709677419362</v>
      </c>
      <c r="AJ54" s="7">
        <v>283</v>
      </c>
      <c r="AK54" s="6">
        <f t="shared" si="34"/>
        <v>0.4204946996466431</v>
      </c>
      <c r="AL54" s="4">
        <f t="shared" si="35"/>
        <v>119</v>
      </c>
      <c r="AM54" s="27"/>
      <c r="AN54" s="6"/>
      <c r="AO54" s="6"/>
      <c r="AP54" s="6" t="e">
        <f t="shared" si="36"/>
        <v>#DIV/0!</v>
      </c>
      <c r="AQ54" s="6">
        <f t="shared" si="37"/>
        <v>1.1457489878542511</v>
      </c>
      <c r="AR54" s="6">
        <f t="shared" si="38"/>
        <v>1.1468531468531469</v>
      </c>
      <c r="AS54" s="4" t="str">
        <f t="shared" si="15"/>
        <v>-</v>
      </c>
      <c r="AT54" s="4" t="str">
        <f t="shared" si="16"/>
        <v>-</v>
      </c>
      <c r="AU54" s="4" t="str">
        <f t="shared" si="17"/>
        <v>-</v>
      </c>
      <c r="AV54" s="4" t="str">
        <f t="shared" si="18"/>
        <v>-</v>
      </c>
      <c r="AW54" s="4" t="str">
        <f t="shared" si="19"/>
        <v>-</v>
      </c>
      <c r="AX54" s="4" t="str">
        <f t="shared" si="20"/>
        <v>-</v>
      </c>
      <c r="AY54" s="4" t="str">
        <f t="shared" si="21"/>
        <v>-</v>
      </c>
      <c r="AZ54" s="4" t="str">
        <f t="shared" si="22"/>
        <v>-</v>
      </c>
      <c r="BA54" s="4" t="str">
        <f t="shared" si="23"/>
        <v>-</v>
      </c>
      <c r="BB54" s="4">
        <v>0</v>
      </c>
      <c r="BC54" s="4" t="s">
        <v>300</v>
      </c>
      <c r="BD54" s="4"/>
      <c r="BE54" s="4"/>
      <c r="BF54" s="4" t="s">
        <v>277</v>
      </c>
      <c r="BG54" s="4">
        <v>248</v>
      </c>
      <c r="BH54" s="4">
        <v>248</v>
      </c>
      <c r="BI54" s="4">
        <f t="shared" si="39"/>
        <v>248</v>
      </c>
      <c r="BJ54" s="18">
        <v>4</v>
      </c>
      <c r="BK54" s="18">
        <v>1</v>
      </c>
      <c r="BL54" s="16">
        <v>18</v>
      </c>
      <c r="BM54" t="s">
        <v>317</v>
      </c>
      <c r="BN54">
        <v>247</v>
      </c>
      <c r="BO54">
        <v>247</v>
      </c>
      <c r="BP54">
        <f t="shared" si="24"/>
        <v>283.27272727272725</v>
      </c>
      <c r="BQ54" s="4" t="s">
        <v>262</v>
      </c>
    </row>
    <row r="55" spans="1:69" x14ac:dyDescent="0.4">
      <c r="A55" s="3">
        <v>25</v>
      </c>
      <c r="B55" s="3">
        <v>25</v>
      </c>
      <c r="C55" s="4" t="s">
        <v>88</v>
      </c>
      <c r="D55" s="4" t="str">
        <f t="shared" si="25"/>
        <v>J476WK</v>
      </c>
      <c r="E55" s="4" t="s">
        <v>88</v>
      </c>
      <c r="F55" s="4" t="s">
        <v>122</v>
      </c>
      <c r="G55" s="5">
        <v>4580417611045</v>
      </c>
      <c r="H55" s="5"/>
      <c r="I55" s="5"/>
      <c r="J55" s="5">
        <v>1</v>
      </c>
      <c r="K55" s="5">
        <v>1</v>
      </c>
      <c r="L55" s="4">
        <v>0</v>
      </c>
      <c r="M55" s="4">
        <v>288</v>
      </c>
      <c r="N55" s="4">
        <v>167</v>
      </c>
      <c r="O55" s="6">
        <f t="shared" si="26"/>
        <v>0.42013888888888884</v>
      </c>
      <c r="P55" s="4" t="s">
        <v>238</v>
      </c>
      <c r="Q55" s="4" t="s">
        <v>238</v>
      </c>
      <c r="R55" s="4" t="s">
        <v>238</v>
      </c>
      <c r="S55" s="4" t="s">
        <v>238</v>
      </c>
      <c r="T55" s="4" t="s">
        <v>238</v>
      </c>
      <c r="U55" s="4" t="s">
        <v>238</v>
      </c>
      <c r="V55" s="4" t="s">
        <v>238</v>
      </c>
      <c r="W55" s="4" t="s">
        <v>238</v>
      </c>
      <c r="X55" s="4" t="s">
        <v>238</v>
      </c>
      <c r="Y55" s="4">
        <v>0</v>
      </c>
      <c r="Z55" s="4">
        <f t="shared" si="27"/>
        <v>0</v>
      </c>
      <c r="AA55" s="4">
        <v>192</v>
      </c>
      <c r="AB55" s="4">
        <f t="shared" si="28"/>
        <v>192</v>
      </c>
      <c r="AC55" s="4"/>
      <c r="AD55" s="20">
        <f t="shared" si="29"/>
        <v>331</v>
      </c>
      <c r="AE55" s="6">
        <f t="shared" si="30"/>
        <v>0.41993957703927487</v>
      </c>
      <c r="AF55" s="4">
        <v>0.5</v>
      </c>
      <c r="AG55" s="4">
        <f t="shared" si="31"/>
        <v>334</v>
      </c>
      <c r="AH55" s="4">
        <f t="shared" si="32"/>
        <v>384</v>
      </c>
      <c r="AI55" s="6">
        <f t="shared" si="33"/>
        <v>0.5</v>
      </c>
      <c r="AJ55" s="7">
        <v>350</v>
      </c>
      <c r="AK55" s="6">
        <f t="shared" si="34"/>
        <v>0.4514285714285714</v>
      </c>
      <c r="AL55" s="4">
        <f t="shared" si="35"/>
        <v>158</v>
      </c>
      <c r="AM55" s="27"/>
      <c r="AN55" s="6"/>
      <c r="AO55" s="6"/>
      <c r="AP55" s="6" t="e">
        <f t="shared" si="36"/>
        <v>#DIV/0!</v>
      </c>
      <c r="AQ55" s="6">
        <f t="shared" si="37"/>
        <v>1.2152777777777777</v>
      </c>
      <c r="AR55" s="6">
        <f t="shared" si="38"/>
        <v>1.1497005988023952</v>
      </c>
      <c r="AS55" s="4" t="str">
        <f t="shared" si="15"/>
        <v>-</v>
      </c>
      <c r="AT55" s="4" t="str">
        <f t="shared" si="16"/>
        <v>-</v>
      </c>
      <c r="AU55" s="4" t="str">
        <f t="shared" si="17"/>
        <v>-</v>
      </c>
      <c r="AV55" s="4" t="str">
        <f t="shared" si="18"/>
        <v>-</v>
      </c>
      <c r="AW55" s="4" t="str">
        <f t="shared" si="19"/>
        <v>-</v>
      </c>
      <c r="AX55" s="4" t="str">
        <f t="shared" si="20"/>
        <v>-</v>
      </c>
      <c r="AY55" s="4" t="str">
        <f t="shared" si="21"/>
        <v>-</v>
      </c>
      <c r="AZ55" s="4" t="str">
        <f t="shared" si="22"/>
        <v>-</v>
      </c>
      <c r="BA55" s="4" t="str">
        <f t="shared" si="23"/>
        <v>-</v>
      </c>
      <c r="BB55" s="4">
        <v>0</v>
      </c>
      <c r="BC55" s="4" t="s">
        <v>301</v>
      </c>
      <c r="BD55" s="4"/>
      <c r="BE55" s="4"/>
      <c r="BF55" s="4" t="s">
        <v>277</v>
      </c>
      <c r="BG55" s="4">
        <v>334</v>
      </c>
      <c r="BH55" s="4">
        <v>334</v>
      </c>
      <c r="BI55" s="4">
        <f t="shared" si="39"/>
        <v>334</v>
      </c>
      <c r="BJ55" s="18">
        <v>4</v>
      </c>
      <c r="BK55" s="18">
        <v>1</v>
      </c>
      <c r="BL55" s="16">
        <v>18</v>
      </c>
      <c r="BM55" t="s">
        <v>317</v>
      </c>
      <c r="BN55">
        <v>333</v>
      </c>
      <c r="BO55">
        <v>333</v>
      </c>
      <c r="BP55">
        <f t="shared" si="24"/>
        <v>382.85029940119762</v>
      </c>
      <c r="BQ55" s="4" t="s">
        <v>263</v>
      </c>
    </row>
    <row r="56" spans="1:69" x14ac:dyDescent="0.4">
      <c r="A56" s="3">
        <v>26</v>
      </c>
      <c r="B56" s="3">
        <v>26</v>
      </c>
      <c r="C56" s="4" t="s">
        <v>89</v>
      </c>
      <c r="D56" s="4" t="str">
        <f t="shared" si="25"/>
        <v>J447WK</v>
      </c>
      <c r="E56" s="4" t="s">
        <v>89</v>
      </c>
      <c r="F56" s="4" t="s">
        <v>123</v>
      </c>
      <c r="G56" s="5">
        <v>4580417611052</v>
      </c>
      <c r="H56" s="5"/>
      <c r="I56" s="5"/>
      <c r="J56" s="5">
        <v>1</v>
      </c>
      <c r="K56" s="5">
        <v>1</v>
      </c>
      <c r="L56" s="4">
        <v>0</v>
      </c>
      <c r="M56" s="4">
        <v>329</v>
      </c>
      <c r="N56" s="4">
        <v>191</v>
      </c>
      <c r="O56" s="6">
        <f t="shared" si="26"/>
        <v>0.41945288753799392</v>
      </c>
      <c r="P56" s="4" t="s">
        <v>238</v>
      </c>
      <c r="Q56" s="4" t="s">
        <v>238</v>
      </c>
      <c r="R56" s="4" t="s">
        <v>238</v>
      </c>
      <c r="S56" s="4" t="s">
        <v>238</v>
      </c>
      <c r="T56" s="4" t="s">
        <v>238</v>
      </c>
      <c r="U56" s="4" t="s">
        <v>238</v>
      </c>
      <c r="V56" s="4" t="s">
        <v>238</v>
      </c>
      <c r="W56" s="4" t="s">
        <v>238</v>
      </c>
      <c r="X56" s="4" t="s">
        <v>238</v>
      </c>
      <c r="Y56" s="4">
        <v>0</v>
      </c>
      <c r="Z56" s="4">
        <f t="shared" si="27"/>
        <v>0</v>
      </c>
      <c r="AA56" s="4">
        <v>220</v>
      </c>
      <c r="AB56" s="4">
        <f t="shared" si="28"/>
        <v>220</v>
      </c>
      <c r="AC56" s="4"/>
      <c r="AD56" s="20">
        <f t="shared" si="29"/>
        <v>379</v>
      </c>
      <c r="AE56" s="6">
        <f t="shared" si="30"/>
        <v>0.41952506596306072</v>
      </c>
      <c r="AF56" s="4">
        <v>7.75</v>
      </c>
      <c r="AG56" s="4">
        <f t="shared" si="31"/>
        <v>352</v>
      </c>
      <c r="AH56" s="4">
        <f t="shared" si="32"/>
        <v>405.44502617801049</v>
      </c>
      <c r="AI56" s="6">
        <f t="shared" si="33"/>
        <v>0.45738636363636365</v>
      </c>
      <c r="AJ56" s="7">
        <v>390</v>
      </c>
      <c r="AK56" s="6">
        <f t="shared" si="34"/>
        <v>0.4358974358974359</v>
      </c>
      <c r="AL56" s="4">
        <f t="shared" si="35"/>
        <v>170</v>
      </c>
      <c r="AM56" s="27"/>
      <c r="AN56" s="6"/>
      <c r="AO56" s="6"/>
      <c r="AP56" s="6" t="e">
        <f t="shared" si="36"/>
        <v>#DIV/0!</v>
      </c>
      <c r="AQ56" s="6">
        <f t="shared" si="37"/>
        <v>1.1854103343465046</v>
      </c>
      <c r="AR56" s="6">
        <f t="shared" si="38"/>
        <v>1.1518324607329844</v>
      </c>
      <c r="AS56" s="4" t="str">
        <f t="shared" si="15"/>
        <v>-</v>
      </c>
      <c r="AT56" s="4" t="str">
        <f t="shared" si="16"/>
        <v>-</v>
      </c>
      <c r="AU56" s="4" t="str">
        <f t="shared" si="17"/>
        <v>-</v>
      </c>
      <c r="AV56" s="4" t="str">
        <f t="shared" si="18"/>
        <v>-</v>
      </c>
      <c r="AW56" s="4" t="str">
        <f t="shared" si="19"/>
        <v>-</v>
      </c>
      <c r="AX56" s="4" t="str">
        <f t="shared" si="20"/>
        <v>-</v>
      </c>
      <c r="AY56" s="4" t="str">
        <f t="shared" si="21"/>
        <v>-</v>
      </c>
      <c r="AZ56" s="4" t="str">
        <f t="shared" si="22"/>
        <v>-</v>
      </c>
      <c r="BA56" s="4" t="str">
        <f t="shared" si="23"/>
        <v>-</v>
      </c>
      <c r="BB56" s="4">
        <v>0</v>
      </c>
      <c r="BC56" s="4" t="s">
        <v>302</v>
      </c>
      <c r="BD56" s="4"/>
      <c r="BE56" s="4"/>
      <c r="BF56" s="4" t="s">
        <v>277</v>
      </c>
      <c r="BG56" s="4">
        <v>352</v>
      </c>
      <c r="BH56" s="4">
        <v>352</v>
      </c>
      <c r="BI56" s="4">
        <f t="shared" si="39"/>
        <v>352</v>
      </c>
      <c r="BJ56" s="18">
        <v>4</v>
      </c>
      <c r="BK56" s="18">
        <v>1</v>
      </c>
      <c r="BL56" s="16">
        <v>18</v>
      </c>
      <c r="BM56" t="s">
        <v>317</v>
      </c>
      <c r="BN56">
        <v>352</v>
      </c>
      <c r="BO56">
        <v>352</v>
      </c>
      <c r="BP56">
        <f t="shared" si="24"/>
        <v>405.44502617801049</v>
      </c>
      <c r="BQ56" s="4" t="s">
        <v>264</v>
      </c>
    </row>
    <row r="57" spans="1:69" x14ac:dyDescent="0.4">
      <c r="A57" s="3">
        <v>27</v>
      </c>
      <c r="B57" s="3">
        <v>27</v>
      </c>
      <c r="C57" s="32" t="s">
        <v>90</v>
      </c>
      <c r="D57" s="4" t="str">
        <f t="shared" si="25"/>
        <v>J477WK</v>
      </c>
      <c r="E57" s="4" t="s">
        <v>90</v>
      </c>
      <c r="F57" s="4" t="s">
        <v>124</v>
      </c>
      <c r="G57" s="5">
        <v>4580417611069</v>
      </c>
      <c r="H57" s="5"/>
      <c r="I57" s="5"/>
      <c r="J57" s="5">
        <v>3</v>
      </c>
      <c r="K57" s="5">
        <v>1</v>
      </c>
      <c r="L57" s="4">
        <v>0</v>
      </c>
      <c r="M57" s="4">
        <v>412</v>
      </c>
      <c r="N57" s="4">
        <v>239</v>
      </c>
      <c r="O57" s="6">
        <f t="shared" si="26"/>
        <v>0.41990291262135926</v>
      </c>
      <c r="P57" s="4" t="s">
        <v>238</v>
      </c>
      <c r="Q57" s="4" t="s">
        <v>238</v>
      </c>
      <c r="R57" s="4" t="s">
        <v>238</v>
      </c>
      <c r="S57" s="4" t="s">
        <v>238</v>
      </c>
      <c r="T57" s="4" t="s">
        <v>238</v>
      </c>
      <c r="U57" s="4" t="s">
        <v>238</v>
      </c>
      <c r="V57" s="4" t="s">
        <v>238</v>
      </c>
      <c r="W57" s="4" t="s">
        <v>238</v>
      </c>
      <c r="X57" s="4" t="s">
        <v>238</v>
      </c>
      <c r="Y57" s="4">
        <v>0</v>
      </c>
      <c r="Z57" s="4">
        <f t="shared" si="27"/>
        <v>0</v>
      </c>
      <c r="AA57" s="4">
        <v>275</v>
      </c>
      <c r="AB57" s="4">
        <f t="shared" si="28"/>
        <v>275</v>
      </c>
      <c r="AC57" s="4"/>
      <c r="AD57" s="20">
        <f t="shared" si="29"/>
        <v>474</v>
      </c>
      <c r="AE57" s="6">
        <f t="shared" si="30"/>
        <v>0.41983122362869196</v>
      </c>
      <c r="AF57" s="4">
        <v>1.7500000000000002</v>
      </c>
      <c r="AG57" s="4">
        <f t="shared" si="31"/>
        <v>457</v>
      </c>
      <c r="AH57" s="4">
        <f t="shared" si="32"/>
        <v>525.83682008368203</v>
      </c>
      <c r="AI57" s="6">
        <f t="shared" si="33"/>
        <v>0.47702407002188185</v>
      </c>
      <c r="AJ57" s="7">
        <v>500</v>
      </c>
      <c r="AK57" s="6">
        <f t="shared" si="34"/>
        <v>0.44999999999999996</v>
      </c>
      <c r="AL57" s="4">
        <f t="shared" si="35"/>
        <v>225</v>
      </c>
      <c r="AM57" s="27"/>
      <c r="AN57" s="6"/>
      <c r="AO57" s="6"/>
      <c r="AP57" s="6" t="e">
        <f t="shared" si="36"/>
        <v>#DIV/0!</v>
      </c>
      <c r="AQ57" s="6">
        <f t="shared" si="37"/>
        <v>1.2135922330097086</v>
      </c>
      <c r="AR57" s="6">
        <f t="shared" si="38"/>
        <v>1.1506276150627615</v>
      </c>
      <c r="AS57" s="4" t="str">
        <f t="shared" si="15"/>
        <v>-</v>
      </c>
      <c r="AT57" s="4" t="str">
        <f t="shared" si="16"/>
        <v>-</v>
      </c>
      <c r="AU57" s="4" t="str">
        <f t="shared" si="17"/>
        <v>-</v>
      </c>
      <c r="AV57" s="4" t="str">
        <f t="shared" si="18"/>
        <v>-</v>
      </c>
      <c r="AW57" s="4" t="str">
        <f t="shared" si="19"/>
        <v>-</v>
      </c>
      <c r="AX57" s="4" t="str">
        <f t="shared" si="20"/>
        <v>-</v>
      </c>
      <c r="AY57" s="4" t="str">
        <f t="shared" si="21"/>
        <v>-</v>
      </c>
      <c r="AZ57" s="4" t="str">
        <f t="shared" si="22"/>
        <v>-</v>
      </c>
      <c r="BA57" s="4" t="str">
        <f t="shared" si="23"/>
        <v>-</v>
      </c>
      <c r="BB57" s="4">
        <v>0</v>
      </c>
      <c r="BC57" s="4" t="s">
        <v>303</v>
      </c>
      <c r="BD57" s="4"/>
      <c r="BE57" s="4"/>
      <c r="BF57" s="4" t="s">
        <v>277</v>
      </c>
      <c r="BG57" s="4">
        <v>457</v>
      </c>
      <c r="BH57" s="4">
        <v>457</v>
      </c>
      <c r="BI57" s="4">
        <f t="shared" si="39"/>
        <v>457</v>
      </c>
      <c r="BJ57" s="18">
        <v>4</v>
      </c>
      <c r="BK57" s="18">
        <v>1</v>
      </c>
      <c r="BL57" s="16">
        <v>18</v>
      </c>
      <c r="BM57" t="s">
        <v>317</v>
      </c>
      <c r="BN57">
        <v>456</v>
      </c>
      <c r="BO57">
        <v>456</v>
      </c>
      <c r="BP57">
        <f t="shared" si="24"/>
        <v>524.6861924686192</v>
      </c>
      <c r="BQ57" s="4" t="s">
        <v>265</v>
      </c>
    </row>
    <row r="58" spans="1:69" x14ac:dyDescent="0.4">
      <c r="A58" s="33">
        <v>76</v>
      </c>
      <c r="B58" s="4">
        <v>27</v>
      </c>
      <c r="C58" s="32" t="s">
        <v>173</v>
      </c>
      <c r="D58" s="4" t="str">
        <f t="shared" si="25"/>
        <v>J0740S</v>
      </c>
      <c r="E58" s="4" t="s">
        <v>175</v>
      </c>
      <c r="F58" s="4" t="s">
        <v>205</v>
      </c>
      <c r="G58" s="5">
        <v>4580417611069</v>
      </c>
      <c r="H58" s="5"/>
      <c r="I58" s="5"/>
      <c r="J58" s="5"/>
      <c r="K58" s="5"/>
      <c r="L58" s="4">
        <v>0</v>
      </c>
      <c r="M58" s="4">
        <v>3380</v>
      </c>
      <c r="N58" s="4">
        <v>1924</v>
      </c>
      <c r="O58" s="6">
        <f t="shared" si="26"/>
        <v>0.43076923076923079</v>
      </c>
      <c r="P58" s="4">
        <v>3290</v>
      </c>
      <c r="Q58" s="4">
        <v>3</v>
      </c>
      <c r="R58" s="4">
        <v>5</v>
      </c>
      <c r="S58" s="4">
        <v>3166</v>
      </c>
      <c r="T58" s="4">
        <v>6</v>
      </c>
      <c r="U58" s="4">
        <v>11</v>
      </c>
      <c r="V58" s="4">
        <v>2990</v>
      </c>
      <c r="W58" s="4">
        <v>12</v>
      </c>
      <c r="X58" s="4">
        <v>99999</v>
      </c>
      <c r="Y58" s="4">
        <v>0</v>
      </c>
      <c r="Z58" s="4">
        <f t="shared" si="27"/>
        <v>0</v>
      </c>
      <c r="AA58" s="4">
        <v>275</v>
      </c>
      <c r="AB58" s="4">
        <f t="shared" si="28"/>
        <v>2750</v>
      </c>
      <c r="AC58" s="4">
        <v>10</v>
      </c>
      <c r="AD58" s="20">
        <f t="shared" si="29"/>
        <v>4831</v>
      </c>
      <c r="AE58" s="6">
        <f t="shared" si="30"/>
        <v>0.43075967708548957</v>
      </c>
      <c r="AF58" s="4">
        <v>1.5</v>
      </c>
      <c r="AG58" s="4">
        <f t="shared" si="31"/>
        <v>4570</v>
      </c>
      <c r="AH58" s="4">
        <f t="shared" si="32"/>
        <v>6531.9646569646575</v>
      </c>
      <c r="AI58" s="6">
        <f t="shared" si="33"/>
        <v>0.57899343544857773</v>
      </c>
      <c r="AJ58" s="7">
        <v>4750</v>
      </c>
      <c r="AK58" s="6">
        <f t="shared" si="34"/>
        <v>0.42105263157894735</v>
      </c>
      <c r="AL58" s="4">
        <f t="shared" si="35"/>
        <v>2000</v>
      </c>
      <c r="AM58" s="27"/>
      <c r="AN58" s="6"/>
      <c r="AO58" s="6"/>
      <c r="AP58" s="6" t="e">
        <f t="shared" si="36"/>
        <v>#DIV/0!</v>
      </c>
      <c r="AQ58" s="6">
        <f t="shared" si="37"/>
        <v>1.4053254437869822</v>
      </c>
      <c r="AR58" s="6">
        <f t="shared" si="38"/>
        <v>1.4293139293139294</v>
      </c>
      <c r="AS58" s="4">
        <f t="shared" si="15"/>
        <v>4624</v>
      </c>
      <c r="AT58" s="4">
        <f t="shared" si="16"/>
        <v>3</v>
      </c>
      <c r="AU58" s="4">
        <f t="shared" si="17"/>
        <v>5</v>
      </c>
      <c r="AV58" s="4">
        <f t="shared" si="18"/>
        <v>4449</v>
      </c>
      <c r="AW58" s="4">
        <f t="shared" si="19"/>
        <v>6</v>
      </c>
      <c r="AX58" s="4">
        <f t="shared" si="20"/>
        <v>11</v>
      </c>
      <c r="AY58" s="4">
        <f t="shared" si="21"/>
        <v>4202</v>
      </c>
      <c r="AZ58" s="4">
        <f t="shared" si="22"/>
        <v>12</v>
      </c>
      <c r="BA58" s="4">
        <f t="shared" si="23"/>
        <v>99999</v>
      </c>
      <c r="BB58" s="4">
        <v>0</v>
      </c>
      <c r="BC58" s="4" t="s">
        <v>303</v>
      </c>
      <c r="BD58" s="4">
        <v>10</v>
      </c>
      <c r="BE58" s="4">
        <v>1</v>
      </c>
      <c r="BF58" s="4" t="s">
        <v>277</v>
      </c>
      <c r="BG58" s="4">
        <v>457</v>
      </c>
      <c r="BH58" s="4">
        <v>457</v>
      </c>
      <c r="BI58" s="4">
        <f t="shared" si="39"/>
        <v>4570</v>
      </c>
      <c r="BJ58" s="18">
        <v>4</v>
      </c>
      <c r="BK58" s="18">
        <v>1</v>
      </c>
      <c r="BL58" s="16">
        <v>18</v>
      </c>
      <c r="BM58" t="s">
        <v>317</v>
      </c>
      <c r="BN58">
        <v>456</v>
      </c>
      <c r="BO58">
        <v>456</v>
      </c>
      <c r="BP58">
        <f t="shared" si="24"/>
        <v>651.76715176715186</v>
      </c>
      <c r="BQ58" s="4" t="s">
        <v>265</v>
      </c>
    </row>
    <row r="59" spans="1:69" x14ac:dyDescent="0.4">
      <c r="A59" s="33">
        <v>77</v>
      </c>
      <c r="B59" s="4">
        <v>27</v>
      </c>
      <c r="C59" s="32" t="s">
        <v>173</v>
      </c>
      <c r="D59" s="4" t="str">
        <f t="shared" si="25"/>
        <v>J0740S</v>
      </c>
      <c r="E59" s="4" t="s">
        <v>173</v>
      </c>
      <c r="F59" s="4" t="s">
        <v>206</v>
      </c>
      <c r="G59" s="5">
        <v>4580417611069</v>
      </c>
      <c r="H59" s="5"/>
      <c r="I59" s="5"/>
      <c r="J59" s="5"/>
      <c r="K59" s="5"/>
      <c r="L59" s="4">
        <v>0</v>
      </c>
      <c r="M59" s="4">
        <v>370</v>
      </c>
      <c r="N59" s="4">
        <v>192.4</v>
      </c>
      <c r="O59" s="6">
        <f t="shared" si="26"/>
        <v>0.48</v>
      </c>
      <c r="P59" s="4">
        <v>368</v>
      </c>
      <c r="Q59" s="4">
        <v>5</v>
      </c>
      <c r="R59" s="4">
        <v>99999</v>
      </c>
      <c r="S59" s="4" t="s">
        <v>238</v>
      </c>
      <c r="T59" s="4" t="s">
        <v>238</v>
      </c>
      <c r="U59" s="4" t="s">
        <v>238</v>
      </c>
      <c r="V59" s="4" t="s">
        <v>238</v>
      </c>
      <c r="W59" s="4" t="s">
        <v>238</v>
      </c>
      <c r="X59" s="4" t="s">
        <v>238</v>
      </c>
      <c r="Y59" s="4">
        <v>0</v>
      </c>
      <c r="Z59" s="4">
        <f t="shared" si="27"/>
        <v>0</v>
      </c>
      <c r="AA59" s="4">
        <v>275</v>
      </c>
      <c r="AB59" s="4">
        <f t="shared" si="28"/>
        <v>275</v>
      </c>
      <c r="AC59" s="4"/>
      <c r="AD59" s="20">
        <f t="shared" si="29"/>
        <v>529</v>
      </c>
      <c r="AE59" s="6">
        <f t="shared" si="30"/>
        <v>0.48015122873345939</v>
      </c>
      <c r="AF59" s="4">
        <v>1.5</v>
      </c>
      <c r="AG59" s="4">
        <f t="shared" si="31"/>
        <v>457</v>
      </c>
      <c r="AH59" s="4">
        <f t="shared" si="32"/>
        <v>653.19646569646568</v>
      </c>
      <c r="AI59" s="6">
        <f t="shared" si="33"/>
        <v>0.57899343544857773</v>
      </c>
      <c r="AJ59" s="7">
        <v>500</v>
      </c>
      <c r="AK59" s="6">
        <f t="shared" si="34"/>
        <v>0.44999999999999996</v>
      </c>
      <c r="AL59" s="4">
        <f t="shared" si="35"/>
        <v>225</v>
      </c>
      <c r="AM59" s="27"/>
      <c r="AN59" s="6"/>
      <c r="AO59" s="6"/>
      <c r="AP59" s="6" t="e">
        <f t="shared" si="36"/>
        <v>#DIV/0!</v>
      </c>
      <c r="AQ59" s="6">
        <f t="shared" si="37"/>
        <v>1.3513513513513513</v>
      </c>
      <c r="AR59" s="6">
        <f t="shared" si="38"/>
        <v>1.4293139293139292</v>
      </c>
      <c r="AS59" s="4">
        <f t="shared" si="15"/>
        <v>497</v>
      </c>
      <c r="AT59" s="4">
        <f t="shared" si="16"/>
        <v>5</v>
      </c>
      <c r="AU59" s="4">
        <f t="shared" si="17"/>
        <v>99999</v>
      </c>
      <c r="AV59" s="4" t="str">
        <f t="shared" si="18"/>
        <v>-</v>
      </c>
      <c r="AW59" s="4" t="str">
        <f t="shared" si="19"/>
        <v>-</v>
      </c>
      <c r="AX59" s="4" t="str">
        <f t="shared" si="20"/>
        <v>-</v>
      </c>
      <c r="AY59" s="4" t="str">
        <f t="shared" si="21"/>
        <v>-</v>
      </c>
      <c r="AZ59" s="4" t="str">
        <f t="shared" si="22"/>
        <v>-</v>
      </c>
      <c r="BA59" s="4" t="str">
        <f t="shared" si="23"/>
        <v>-</v>
      </c>
      <c r="BB59" s="4">
        <v>0</v>
      </c>
      <c r="BC59" s="4" t="s">
        <v>303</v>
      </c>
      <c r="BD59" s="4"/>
      <c r="BE59" s="4"/>
      <c r="BF59" s="4" t="s">
        <v>277</v>
      </c>
      <c r="BG59" s="4">
        <v>457</v>
      </c>
      <c r="BH59" s="4">
        <v>457</v>
      </c>
      <c r="BI59" s="4">
        <f t="shared" si="39"/>
        <v>457</v>
      </c>
      <c r="BJ59" s="18">
        <v>4</v>
      </c>
      <c r="BK59" s="18">
        <v>1</v>
      </c>
      <c r="BL59" s="16">
        <v>18</v>
      </c>
      <c r="BM59" t="s">
        <v>317</v>
      </c>
      <c r="BN59">
        <v>456</v>
      </c>
      <c r="BO59">
        <v>456</v>
      </c>
      <c r="BP59">
        <f t="shared" si="24"/>
        <v>651.76715176715174</v>
      </c>
      <c r="BQ59" s="4" t="s">
        <v>265</v>
      </c>
    </row>
    <row r="60" spans="1:69" x14ac:dyDescent="0.4">
      <c r="A60" s="33">
        <v>28</v>
      </c>
      <c r="B60" s="4">
        <v>28</v>
      </c>
      <c r="C60" s="4" t="s">
        <v>91</v>
      </c>
      <c r="D60" s="4" t="str">
        <f t="shared" si="25"/>
        <v>J448WK</v>
      </c>
      <c r="E60" s="4" t="s">
        <v>91</v>
      </c>
      <c r="F60" s="4" t="s">
        <v>125</v>
      </c>
      <c r="G60" s="5">
        <v>4580417611076</v>
      </c>
      <c r="H60" s="5"/>
      <c r="I60" s="5"/>
      <c r="J60" s="5">
        <v>1</v>
      </c>
      <c r="K60" s="5">
        <v>1</v>
      </c>
      <c r="L60" s="4">
        <v>0</v>
      </c>
      <c r="M60" s="4">
        <v>484</v>
      </c>
      <c r="N60" s="4">
        <v>281</v>
      </c>
      <c r="O60" s="6">
        <f t="shared" si="26"/>
        <v>0.41942148760330578</v>
      </c>
      <c r="P60" s="4" t="s">
        <v>238</v>
      </c>
      <c r="Q60" s="4" t="s">
        <v>238</v>
      </c>
      <c r="R60" s="4" t="s">
        <v>238</v>
      </c>
      <c r="S60" s="4" t="s">
        <v>238</v>
      </c>
      <c r="T60" s="4" t="s">
        <v>238</v>
      </c>
      <c r="U60" s="4" t="s">
        <v>238</v>
      </c>
      <c r="V60" s="4" t="s">
        <v>238</v>
      </c>
      <c r="W60" s="4" t="s">
        <v>238</v>
      </c>
      <c r="X60" s="4" t="s">
        <v>238</v>
      </c>
      <c r="Y60" s="4">
        <v>0</v>
      </c>
      <c r="Z60" s="4">
        <f t="shared" si="27"/>
        <v>0</v>
      </c>
      <c r="AA60" s="4">
        <v>323</v>
      </c>
      <c r="AB60" s="4">
        <f t="shared" si="28"/>
        <v>323</v>
      </c>
      <c r="AC60" s="4"/>
      <c r="AD60" s="20">
        <f t="shared" si="29"/>
        <v>556</v>
      </c>
      <c r="AE60" s="6">
        <f t="shared" si="30"/>
        <v>0.4190647482014388</v>
      </c>
      <c r="AF60" s="4">
        <v>23.75</v>
      </c>
      <c r="AG60" s="4">
        <f t="shared" si="31"/>
        <v>542</v>
      </c>
      <c r="AH60" s="4">
        <f t="shared" si="32"/>
        <v>623.0106761565836</v>
      </c>
      <c r="AI60" s="6">
        <f t="shared" si="33"/>
        <v>0.48154981549815501</v>
      </c>
      <c r="AJ60" s="7">
        <v>590</v>
      </c>
      <c r="AK60" s="6">
        <f t="shared" si="34"/>
        <v>0.4525423728813559</v>
      </c>
      <c r="AL60" s="4">
        <f t="shared" si="35"/>
        <v>267</v>
      </c>
      <c r="AM60" s="27"/>
      <c r="AN60" s="6"/>
      <c r="AO60" s="6"/>
      <c r="AP60" s="6" t="e">
        <f t="shared" si="36"/>
        <v>#DIV/0!</v>
      </c>
      <c r="AQ60" s="6">
        <f t="shared" si="37"/>
        <v>1.21900826446281</v>
      </c>
      <c r="AR60" s="6">
        <f t="shared" si="38"/>
        <v>1.1494661921708185</v>
      </c>
      <c r="AS60" s="4" t="str">
        <f t="shared" si="15"/>
        <v>-</v>
      </c>
      <c r="AT60" s="4" t="str">
        <f t="shared" si="16"/>
        <v>-</v>
      </c>
      <c r="AU60" s="4" t="str">
        <f t="shared" si="17"/>
        <v>-</v>
      </c>
      <c r="AV60" s="4" t="str">
        <f t="shared" si="18"/>
        <v>-</v>
      </c>
      <c r="AW60" s="4" t="str">
        <f t="shared" si="19"/>
        <v>-</v>
      </c>
      <c r="AX60" s="4" t="str">
        <f t="shared" si="20"/>
        <v>-</v>
      </c>
      <c r="AY60" s="4" t="str">
        <f t="shared" si="21"/>
        <v>-</v>
      </c>
      <c r="AZ60" s="4" t="str">
        <f t="shared" si="22"/>
        <v>-</v>
      </c>
      <c r="BA60" s="4" t="str">
        <f t="shared" si="23"/>
        <v>-</v>
      </c>
      <c r="BB60" s="4">
        <v>0</v>
      </c>
      <c r="BC60" s="4" t="s">
        <v>304</v>
      </c>
      <c r="BD60" s="4"/>
      <c r="BE60" s="4"/>
      <c r="BF60" s="4" t="s">
        <v>277</v>
      </c>
      <c r="BG60" s="4">
        <v>542</v>
      </c>
      <c r="BH60" s="4">
        <v>542</v>
      </c>
      <c r="BI60" s="4">
        <f t="shared" si="39"/>
        <v>542</v>
      </c>
      <c r="BJ60" s="18">
        <v>4</v>
      </c>
      <c r="BK60" s="18">
        <v>1</v>
      </c>
      <c r="BL60" s="16">
        <v>18</v>
      </c>
      <c r="BM60" t="s">
        <v>317</v>
      </c>
      <c r="BN60">
        <v>542</v>
      </c>
      <c r="BO60">
        <v>542</v>
      </c>
      <c r="BP60">
        <f t="shared" si="24"/>
        <v>623.0106761565836</v>
      </c>
      <c r="BQ60" s="4" t="s">
        <v>266</v>
      </c>
    </row>
    <row r="61" spans="1:69" x14ac:dyDescent="0.4">
      <c r="A61" s="33">
        <v>29</v>
      </c>
      <c r="B61" s="4">
        <v>29</v>
      </c>
      <c r="C61" s="32">
        <v>194693</v>
      </c>
      <c r="D61" s="4" t="str">
        <f t="shared" si="25"/>
        <v>194693</v>
      </c>
      <c r="E61" s="4">
        <v>194693</v>
      </c>
      <c r="F61" s="4" t="s">
        <v>126</v>
      </c>
      <c r="G61" s="5">
        <v>4580417612080</v>
      </c>
      <c r="H61" s="5"/>
      <c r="I61" s="5"/>
      <c r="J61" s="5">
        <v>2</v>
      </c>
      <c r="K61" s="5">
        <v>2</v>
      </c>
      <c r="L61" s="4">
        <v>0</v>
      </c>
      <c r="M61" s="4">
        <v>111</v>
      </c>
      <c r="N61" s="4">
        <v>39.9</v>
      </c>
      <c r="O61" s="6">
        <f t="shared" si="26"/>
        <v>0.64054054054054055</v>
      </c>
      <c r="P61" s="4">
        <v>100</v>
      </c>
      <c r="Q61" s="4">
        <v>10</v>
      </c>
      <c r="R61" s="4">
        <v>99999</v>
      </c>
      <c r="S61" s="4" t="s">
        <v>238</v>
      </c>
      <c r="T61" s="4" t="s">
        <v>238</v>
      </c>
      <c r="U61" s="4" t="s">
        <v>238</v>
      </c>
      <c r="V61" s="4" t="s">
        <v>238</v>
      </c>
      <c r="W61" s="4" t="s">
        <v>238</v>
      </c>
      <c r="X61" s="4" t="s">
        <v>238</v>
      </c>
      <c r="Y61" s="4">
        <v>0</v>
      </c>
      <c r="Z61" s="4">
        <f t="shared" si="27"/>
        <v>0</v>
      </c>
      <c r="AA61" s="4">
        <v>46</v>
      </c>
      <c r="AB61" s="4">
        <f t="shared" si="28"/>
        <v>46</v>
      </c>
      <c r="AC61" s="4"/>
      <c r="AD61" s="20">
        <f t="shared" si="29"/>
        <v>128</v>
      </c>
      <c r="AE61" s="6">
        <f t="shared" si="30"/>
        <v>0.640625</v>
      </c>
      <c r="AF61" s="4">
        <v>139.25</v>
      </c>
      <c r="AG61" s="4" t="str">
        <f t="shared" si="31"/>
        <v>-</v>
      </c>
      <c r="AH61" s="4" t="e">
        <f t="shared" si="32"/>
        <v>#VALUE!</v>
      </c>
      <c r="AI61" s="6" t="e">
        <f t="shared" si="33"/>
        <v>#VALUE!</v>
      </c>
      <c r="AJ61" s="7">
        <v>130</v>
      </c>
      <c r="AK61" s="6">
        <f t="shared" si="34"/>
        <v>0.64615384615384608</v>
      </c>
      <c r="AL61" s="4">
        <f t="shared" si="35"/>
        <v>84</v>
      </c>
      <c r="AM61" s="27"/>
      <c r="AN61" s="6"/>
      <c r="AO61" s="6"/>
      <c r="AP61" s="6" t="e">
        <f t="shared" si="36"/>
        <v>#DIV/0!</v>
      </c>
      <c r="AQ61" s="6">
        <f t="shared" si="37"/>
        <v>1.1711711711711712</v>
      </c>
      <c r="AR61" s="6">
        <f t="shared" si="38"/>
        <v>1.1528822055137844</v>
      </c>
      <c r="AS61" s="4">
        <f t="shared" si="15"/>
        <v>117</v>
      </c>
      <c r="AT61" s="4">
        <f t="shared" si="16"/>
        <v>10</v>
      </c>
      <c r="AU61" s="4">
        <f t="shared" si="17"/>
        <v>99999</v>
      </c>
      <c r="AV61" s="4" t="str">
        <f t="shared" si="18"/>
        <v>-</v>
      </c>
      <c r="AW61" s="4" t="str">
        <f t="shared" si="19"/>
        <v>-</v>
      </c>
      <c r="AX61" s="4" t="str">
        <f t="shared" si="20"/>
        <v>-</v>
      </c>
      <c r="AY61" s="4" t="str">
        <f t="shared" si="21"/>
        <v>-</v>
      </c>
      <c r="AZ61" s="4" t="str">
        <f t="shared" si="22"/>
        <v>-</v>
      </c>
      <c r="BA61" s="4" t="str">
        <f t="shared" si="23"/>
        <v>-</v>
      </c>
      <c r="BB61" s="4" t="s">
        <v>235</v>
      </c>
      <c r="BC61" s="4" t="s">
        <v>238</v>
      </c>
      <c r="BD61" s="4"/>
      <c r="BE61" s="4"/>
      <c r="BF61" s="4" t="s">
        <v>238</v>
      </c>
      <c r="BG61" s="4" t="s">
        <v>238</v>
      </c>
      <c r="BH61" s="4" t="s">
        <v>238</v>
      </c>
      <c r="BI61" s="4" t="str">
        <f t="shared" si="39"/>
        <v>-</v>
      </c>
      <c r="BJ61" s="18">
        <v>4</v>
      </c>
      <c r="BK61" s="18">
        <v>1</v>
      </c>
      <c r="BL61" s="16">
        <v>18</v>
      </c>
      <c r="BM61" t="s">
        <v>317</v>
      </c>
      <c r="BN61">
        <v>133</v>
      </c>
      <c r="BO61">
        <v>133</v>
      </c>
      <c r="BP61">
        <f t="shared" si="24"/>
        <v>153.33333333333331</v>
      </c>
      <c r="BQ61" s="4" t="s">
        <v>238</v>
      </c>
    </row>
    <row r="62" spans="1:69" x14ac:dyDescent="0.4">
      <c r="A62" s="33">
        <v>87</v>
      </c>
      <c r="B62" s="4">
        <v>29</v>
      </c>
      <c r="C62" s="32">
        <v>194693</v>
      </c>
      <c r="D62" s="4" t="str">
        <f t="shared" si="25"/>
        <v>194693</v>
      </c>
      <c r="E62" s="4">
        <v>194728</v>
      </c>
      <c r="F62" s="4" t="s">
        <v>216</v>
      </c>
      <c r="G62" s="5">
        <v>4580417612080</v>
      </c>
      <c r="H62" s="5"/>
      <c r="I62" s="5"/>
      <c r="J62" s="5"/>
      <c r="K62" s="5"/>
      <c r="L62" s="4">
        <v>0</v>
      </c>
      <c r="M62" s="4">
        <v>4596</v>
      </c>
      <c r="N62" s="4">
        <v>1995</v>
      </c>
      <c r="O62" s="6">
        <f t="shared" si="26"/>
        <v>0.56592689295039167</v>
      </c>
      <c r="P62" s="4">
        <v>4370</v>
      </c>
      <c r="Q62" s="4">
        <v>10</v>
      </c>
      <c r="R62" s="4">
        <v>99999</v>
      </c>
      <c r="S62" s="4" t="s">
        <v>238</v>
      </c>
      <c r="T62" s="4" t="s">
        <v>238</v>
      </c>
      <c r="U62" s="4" t="s">
        <v>238</v>
      </c>
      <c r="V62" s="4" t="s">
        <v>238</v>
      </c>
      <c r="W62" s="4" t="s">
        <v>238</v>
      </c>
      <c r="X62" s="4" t="s">
        <v>238</v>
      </c>
      <c r="Y62" s="4">
        <v>0</v>
      </c>
      <c r="Z62" s="4">
        <v>0</v>
      </c>
      <c r="AA62" s="4">
        <v>46</v>
      </c>
      <c r="AB62" s="4">
        <f t="shared" si="28"/>
        <v>2300</v>
      </c>
      <c r="AC62" s="4">
        <v>50</v>
      </c>
      <c r="AD62" s="20">
        <f t="shared" si="29"/>
        <v>5299</v>
      </c>
      <c r="AE62" s="6">
        <f t="shared" si="30"/>
        <v>0.56595584072466498</v>
      </c>
      <c r="AF62" s="4">
        <v>139.25</v>
      </c>
      <c r="AG62" s="4" t="str">
        <f t="shared" si="31"/>
        <v>-</v>
      </c>
      <c r="AH62" s="4" t="e">
        <f t="shared" si="32"/>
        <v>#VALUE!</v>
      </c>
      <c r="AI62" s="6" t="e">
        <f t="shared" si="33"/>
        <v>#VALUE!</v>
      </c>
      <c r="AJ62" s="7">
        <v>6100</v>
      </c>
      <c r="AK62" s="6">
        <f t="shared" si="34"/>
        <v>0.62295081967213117</v>
      </c>
      <c r="AL62" s="4">
        <f t="shared" si="35"/>
        <v>3800</v>
      </c>
      <c r="AM62" s="27"/>
      <c r="AN62" s="6"/>
      <c r="AO62" s="6"/>
      <c r="AP62" s="6" t="e">
        <f t="shared" si="36"/>
        <v>#DIV/0!</v>
      </c>
      <c r="AQ62" s="6">
        <f t="shared" si="37"/>
        <v>1.3272410791993037</v>
      </c>
      <c r="AR62" s="6">
        <f t="shared" si="38"/>
        <v>1.1528822055137844</v>
      </c>
      <c r="AS62" s="4">
        <f t="shared" si="15"/>
        <v>5800</v>
      </c>
      <c r="AT62" s="4">
        <f t="shared" si="16"/>
        <v>10</v>
      </c>
      <c r="AU62" s="4">
        <f t="shared" si="17"/>
        <v>99999</v>
      </c>
      <c r="AV62" s="4" t="str">
        <f t="shared" si="18"/>
        <v>-</v>
      </c>
      <c r="AW62" s="4" t="str">
        <f t="shared" si="19"/>
        <v>-</v>
      </c>
      <c r="AX62" s="4" t="str">
        <f t="shared" si="20"/>
        <v>-</v>
      </c>
      <c r="AY62" s="4" t="str">
        <f t="shared" si="21"/>
        <v>-</v>
      </c>
      <c r="AZ62" s="4" t="str">
        <f t="shared" si="22"/>
        <v>-</v>
      </c>
      <c r="BA62" s="4" t="str">
        <f t="shared" si="23"/>
        <v>-</v>
      </c>
      <c r="BB62" s="4" t="s">
        <v>235</v>
      </c>
      <c r="BC62" s="4" t="s">
        <v>238</v>
      </c>
      <c r="BD62" s="4"/>
      <c r="BE62" s="4"/>
      <c r="BF62" s="4" t="s">
        <v>238</v>
      </c>
      <c r="BG62" s="4" t="s">
        <v>238</v>
      </c>
      <c r="BH62" s="4" t="s">
        <v>238</v>
      </c>
      <c r="BI62" s="4" t="str">
        <f t="shared" si="39"/>
        <v>-</v>
      </c>
      <c r="BJ62" s="18">
        <v>4</v>
      </c>
      <c r="BK62" s="18">
        <v>1</v>
      </c>
      <c r="BL62" s="16">
        <v>18</v>
      </c>
      <c r="BM62" t="s">
        <v>317</v>
      </c>
      <c r="BN62">
        <v>133</v>
      </c>
      <c r="BO62">
        <v>133</v>
      </c>
      <c r="BP62">
        <f t="shared" si="24"/>
        <v>153.33333333333331</v>
      </c>
      <c r="BQ62" s="4" t="s">
        <v>238</v>
      </c>
    </row>
    <row r="63" spans="1:69" x14ac:dyDescent="0.4">
      <c r="A63" s="33">
        <v>30</v>
      </c>
      <c r="B63" s="4">
        <v>30</v>
      </c>
      <c r="C63" s="32">
        <v>194694</v>
      </c>
      <c r="D63" s="4" t="str">
        <f t="shared" si="25"/>
        <v>194694</v>
      </c>
      <c r="E63" s="4">
        <v>194694</v>
      </c>
      <c r="F63" s="4" t="s">
        <v>127</v>
      </c>
      <c r="G63" s="5">
        <v>4580417612097</v>
      </c>
      <c r="H63" s="5"/>
      <c r="I63" s="5"/>
      <c r="J63" s="5">
        <v>2</v>
      </c>
      <c r="K63" s="5">
        <v>2</v>
      </c>
      <c r="L63" s="4">
        <v>0</v>
      </c>
      <c r="M63" s="4">
        <v>119</v>
      </c>
      <c r="N63" s="4">
        <v>44.2</v>
      </c>
      <c r="O63" s="6">
        <f t="shared" si="26"/>
        <v>0.62857142857142856</v>
      </c>
      <c r="P63" s="4">
        <v>110</v>
      </c>
      <c r="Q63" s="4">
        <v>10</v>
      </c>
      <c r="R63" s="4">
        <v>99999</v>
      </c>
      <c r="S63" s="4" t="s">
        <v>238</v>
      </c>
      <c r="T63" s="4" t="s">
        <v>238</v>
      </c>
      <c r="U63" s="4" t="s">
        <v>238</v>
      </c>
      <c r="V63" s="4" t="s">
        <v>238</v>
      </c>
      <c r="W63" s="4" t="s">
        <v>238</v>
      </c>
      <c r="X63" s="4" t="s">
        <v>238</v>
      </c>
      <c r="Y63" s="4">
        <v>0</v>
      </c>
      <c r="Z63" s="4">
        <f>IF(AC63="",Y63,Y63*AC63)</f>
        <v>0</v>
      </c>
      <c r="AA63" s="4">
        <v>51</v>
      </c>
      <c r="AB63" s="4">
        <f t="shared" si="28"/>
        <v>51</v>
      </c>
      <c r="AC63" s="4"/>
      <c r="AD63" s="20">
        <f t="shared" si="29"/>
        <v>137</v>
      </c>
      <c r="AE63" s="6">
        <f t="shared" si="30"/>
        <v>0.62773722627737227</v>
      </c>
      <c r="AF63" s="4">
        <v>109.5</v>
      </c>
      <c r="AG63" s="4" t="str">
        <f t="shared" si="31"/>
        <v>-</v>
      </c>
      <c r="AH63" s="4" t="e">
        <f t="shared" si="32"/>
        <v>#VALUE!</v>
      </c>
      <c r="AI63" s="6" t="e">
        <f t="shared" si="33"/>
        <v>#VALUE!</v>
      </c>
      <c r="AJ63" s="7">
        <v>138</v>
      </c>
      <c r="AK63" s="6">
        <f t="shared" si="34"/>
        <v>0.63043478260869568</v>
      </c>
      <c r="AL63" s="4">
        <f t="shared" si="35"/>
        <v>87</v>
      </c>
      <c r="AM63" s="27"/>
      <c r="AN63" s="6"/>
      <c r="AO63" s="6"/>
      <c r="AP63" s="6" t="e">
        <f t="shared" si="36"/>
        <v>#DIV/0!</v>
      </c>
      <c r="AQ63" s="6">
        <f t="shared" si="37"/>
        <v>1.1596638655462186</v>
      </c>
      <c r="AR63" s="6">
        <f t="shared" si="38"/>
        <v>1.1538461538461537</v>
      </c>
      <c r="AS63" s="4">
        <f t="shared" si="15"/>
        <v>128</v>
      </c>
      <c r="AT63" s="4">
        <f t="shared" si="16"/>
        <v>10</v>
      </c>
      <c r="AU63" s="4">
        <f t="shared" si="17"/>
        <v>99999</v>
      </c>
      <c r="AV63" s="4" t="str">
        <f t="shared" si="18"/>
        <v>-</v>
      </c>
      <c r="AW63" s="4" t="str">
        <f t="shared" si="19"/>
        <v>-</v>
      </c>
      <c r="AX63" s="4" t="str">
        <f t="shared" si="20"/>
        <v>-</v>
      </c>
      <c r="AY63" s="4" t="str">
        <f t="shared" si="21"/>
        <v>-</v>
      </c>
      <c r="AZ63" s="4" t="str">
        <f t="shared" si="22"/>
        <v>-</v>
      </c>
      <c r="BA63" s="4" t="str">
        <f t="shared" si="23"/>
        <v>-</v>
      </c>
      <c r="BB63" s="4" t="s">
        <v>235</v>
      </c>
      <c r="BC63" s="4" t="s">
        <v>238</v>
      </c>
      <c r="BD63" s="4"/>
      <c r="BE63" s="4"/>
      <c r="BF63" s="4" t="s">
        <v>238</v>
      </c>
      <c r="BG63" s="4" t="s">
        <v>238</v>
      </c>
      <c r="BH63" s="4" t="s">
        <v>238</v>
      </c>
      <c r="BI63" s="4" t="str">
        <f t="shared" si="39"/>
        <v>-</v>
      </c>
      <c r="BJ63" s="18">
        <v>4</v>
      </c>
      <c r="BK63" s="18">
        <v>1</v>
      </c>
      <c r="BL63" s="16">
        <v>18</v>
      </c>
      <c r="BM63" t="s">
        <v>317</v>
      </c>
      <c r="BN63">
        <v>133</v>
      </c>
      <c r="BO63">
        <v>133</v>
      </c>
      <c r="BP63">
        <f t="shared" si="24"/>
        <v>153.46153846153845</v>
      </c>
      <c r="BQ63" s="4" t="s">
        <v>238</v>
      </c>
    </row>
    <row r="64" spans="1:69" x14ac:dyDescent="0.4">
      <c r="A64" s="33">
        <v>88</v>
      </c>
      <c r="B64" s="4">
        <v>30</v>
      </c>
      <c r="C64" s="32">
        <v>194694</v>
      </c>
      <c r="D64" s="4" t="str">
        <f t="shared" si="25"/>
        <v>194694</v>
      </c>
      <c r="E64" s="4">
        <v>194729</v>
      </c>
      <c r="F64" s="4" t="s">
        <v>217</v>
      </c>
      <c r="G64" s="5">
        <v>4580417612097</v>
      </c>
      <c r="H64" s="5"/>
      <c r="I64" s="5"/>
      <c r="J64" s="5"/>
      <c r="K64" s="5"/>
      <c r="L64" s="4">
        <v>0</v>
      </c>
      <c r="M64" s="4">
        <v>4975</v>
      </c>
      <c r="N64" s="4">
        <v>2210</v>
      </c>
      <c r="O64" s="6">
        <f t="shared" si="26"/>
        <v>0.55577889447236184</v>
      </c>
      <c r="P64" s="4">
        <v>4730</v>
      </c>
      <c r="Q64" s="4">
        <v>10</v>
      </c>
      <c r="R64" s="4">
        <v>99999</v>
      </c>
      <c r="S64" s="4" t="s">
        <v>238</v>
      </c>
      <c r="T64" s="4" t="s">
        <v>238</v>
      </c>
      <c r="U64" s="4" t="s">
        <v>238</v>
      </c>
      <c r="V64" s="4" t="s">
        <v>238</v>
      </c>
      <c r="W64" s="4" t="s">
        <v>238</v>
      </c>
      <c r="X64" s="4" t="s">
        <v>238</v>
      </c>
      <c r="Y64" s="4">
        <v>0</v>
      </c>
      <c r="Z64" s="4">
        <v>0</v>
      </c>
      <c r="AA64" s="4">
        <v>51</v>
      </c>
      <c r="AB64" s="4">
        <f t="shared" si="28"/>
        <v>2550</v>
      </c>
      <c r="AC64" s="4">
        <v>50</v>
      </c>
      <c r="AD64" s="20">
        <f t="shared" si="29"/>
        <v>5740</v>
      </c>
      <c r="AE64" s="6">
        <f t="shared" si="30"/>
        <v>0.55574912891986061</v>
      </c>
      <c r="AF64" s="4">
        <v>109.5</v>
      </c>
      <c r="AG64" s="4" t="str">
        <f t="shared" si="31"/>
        <v>-</v>
      </c>
      <c r="AH64" s="4" t="e">
        <f t="shared" si="32"/>
        <v>#VALUE!</v>
      </c>
      <c r="AI64" s="6" t="e">
        <f t="shared" si="33"/>
        <v>#VALUE!</v>
      </c>
      <c r="AJ64" s="7">
        <v>6100</v>
      </c>
      <c r="AK64" s="6">
        <f t="shared" si="34"/>
        <v>0.58196721311475408</v>
      </c>
      <c r="AL64" s="4">
        <f t="shared" si="35"/>
        <v>3550</v>
      </c>
      <c r="AM64" s="27"/>
      <c r="AN64" s="6"/>
      <c r="AO64" s="6"/>
      <c r="AP64" s="6" t="e">
        <f t="shared" si="36"/>
        <v>#DIV/0!</v>
      </c>
      <c r="AQ64" s="6">
        <f t="shared" si="37"/>
        <v>1.2261306532663316</v>
      </c>
      <c r="AR64" s="6">
        <f t="shared" si="38"/>
        <v>1.1538461538461537</v>
      </c>
      <c r="AS64" s="4">
        <f t="shared" si="15"/>
        <v>5800</v>
      </c>
      <c r="AT64" s="4">
        <f t="shared" si="16"/>
        <v>10</v>
      </c>
      <c r="AU64" s="4">
        <f t="shared" si="17"/>
        <v>99999</v>
      </c>
      <c r="AV64" s="4" t="str">
        <f t="shared" si="18"/>
        <v>-</v>
      </c>
      <c r="AW64" s="4" t="str">
        <f t="shared" si="19"/>
        <v>-</v>
      </c>
      <c r="AX64" s="4" t="str">
        <f t="shared" si="20"/>
        <v>-</v>
      </c>
      <c r="AY64" s="4" t="str">
        <f t="shared" si="21"/>
        <v>-</v>
      </c>
      <c r="AZ64" s="4" t="str">
        <f t="shared" si="22"/>
        <v>-</v>
      </c>
      <c r="BA64" s="4" t="str">
        <f t="shared" si="23"/>
        <v>-</v>
      </c>
      <c r="BB64" s="4" t="s">
        <v>235</v>
      </c>
      <c r="BC64" s="4" t="s">
        <v>238</v>
      </c>
      <c r="BD64" s="4"/>
      <c r="BE64" s="4"/>
      <c r="BF64" s="4" t="s">
        <v>238</v>
      </c>
      <c r="BG64" s="4" t="s">
        <v>238</v>
      </c>
      <c r="BH64" s="4" t="s">
        <v>238</v>
      </c>
      <c r="BI64" s="4" t="str">
        <f t="shared" si="39"/>
        <v>-</v>
      </c>
      <c r="BJ64" s="18">
        <v>4</v>
      </c>
      <c r="BK64" s="18">
        <v>1</v>
      </c>
      <c r="BL64" s="16">
        <v>18</v>
      </c>
      <c r="BM64" t="s">
        <v>317</v>
      </c>
      <c r="BN64">
        <v>133</v>
      </c>
      <c r="BO64">
        <v>133</v>
      </c>
      <c r="BP64">
        <f t="shared" si="24"/>
        <v>153.46153846153845</v>
      </c>
      <c r="BQ64" s="4" t="s">
        <v>238</v>
      </c>
    </row>
    <row r="65" spans="1:69" x14ac:dyDescent="0.4">
      <c r="A65" s="33">
        <v>31</v>
      </c>
      <c r="B65" s="4">
        <v>31</v>
      </c>
      <c r="C65" s="32">
        <v>194695</v>
      </c>
      <c r="D65" s="4" t="str">
        <f t="shared" si="25"/>
        <v>194695</v>
      </c>
      <c r="E65" s="4">
        <v>194695</v>
      </c>
      <c r="F65" s="4" t="s">
        <v>128</v>
      </c>
      <c r="G65" s="5">
        <v>4580417612103</v>
      </c>
      <c r="H65" s="5"/>
      <c r="I65" s="5"/>
      <c r="J65" s="5">
        <v>2</v>
      </c>
      <c r="K65" s="5">
        <v>2</v>
      </c>
      <c r="L65" s="4">
        <v>0</v>
      </c>
      <c r="M65" s="4">
        <v>134</v>
      </c>
      <c r="N65" s="4">
        <v>53</v>
      </c>
      <c r="O65" s="6">
        <f t="shared" si="26"/>
        <v>0.60447761194029859</v>
      </c>
      <c r="P65" s="4">
        <v>122</v>
      </c>
      <c r="Q65" s="4">
        <v>10</v>
      </c>
      <c r="R65" s="4">
        <v>99999</v>
      </c>
      <c r="S65" s="4" t="s">
        <v>238</v>
      </c>
      <c r="T65" s="4" t="s">
        <v>238</v>
      </c>
      <c r="U65" s="4" t="s">
        <v>238</v>
      </c>
      <c r="V65" s="4" t="s">
        <v>238</v>
      </c>
      <c r="W65" s="4" t="s">
        <v>238</v>
      </c>
      <c r="X65" s="4" t="s">
        <v>238</v>
      </c>
      <c r="Y65" s="4">
        <v>0</v>
      </c>
      <c r="Z65" s="4">
        <f>IF(AC65="",Y65,Y65*AC65)</f>
        <v>0</v>
      </c>
      <c r="AA65" s="4">
        <v>61</v>
      </c>
      <c r="AB65" s="4">
        <f t="shared" si="28"/>
        <v>61</v>
      </c>
      <c r="AC65" s="4"/>
      <c r="AD65" s="20">
        <f t="shared" si="29"/>
        <v>154</v>
      </c>
      <c r="AE65" s="6">
        <f t="shared" si="30"/>
        <v>0.60389610389610393</v>
      </c>
      <c r="AF65" s="4">
        <v>148.25</v>
      </c>
      <c r="AG65" s="4" t="str">
        <f t="shared" si="31"/>
        <v>-</v>
      </c>
      <c r="AH65" s="4" t="e">
        <f t="shared" si="32"/>
        <v>#VALUE!</v>
      </c>
      <c r="AI65" s="6" t="e">
        <f t="shared" si="33"/>
        <v>#VALUE!</v>
      </c>
      <c r="AJ65" s="7">
        <v>160</v>
      </c>
      <c r="AK65" s="6">
        <f t="shared" si="34"/>
        <v>0.61875000000000002</v>
      </c>
      <c r="AL65" s="4">
        <f t="shared" si="35"/>
        <v>99</v>
      </c>
      <c r="AM65" s="27"/>
      <c r="AN65" s="6"/>
      <c r="AO65" s="6"/>
      <c r="AP65" s="6" t="e">
        <f t="shared" si="36"/>
        <v>#DIV/0!</v>
      </c>
      <c r="AQ65" s="6">
        <f t="shared" si="37"/>
        <v>1.1940298507462686</v>
      </c>
      <c r="AR65" s="6">
        <f t="shared" si="38"/>
        <v>1.1509433962264151</v>
      </c>
      <c r="AS65" s="4">
        <f t="shared" si="15"/>
        <v>146</v>
      </c>
      <c r="AT65" s="4">
        <f t="shared" si="16"/>
        <v>10</v>
      </c>
      <c r="AU65" s="4">
        <f t="shared" si="17"/>
        <v>99999</v>
      </c>
      <c r="AV65" s="4" t="str">
        <f t="shared" si="18"/>
        <v>-</v>
      </c>
      <c r="AW65" s="4" t="str">
        <f t="shared" si="19"/>
        <v>-</v>
      </c>
      <c r="AX65" s="4" t="str">
        <f t="shared" si="20"/>
        <v>-</v>
      </c>
      <c r="AY65" s="4" t="str">
        <f t="shared" si="21"/>
        <v>-</v>
      </c>
      <c r="AZ65" s="4" t="str">
        <f t="shared" si="22"/>
        <v>-</v>
      </c>
      <c r="BA65" s="4" t="str">
        <f t="shared" si="23"/>
        <v>-</v>
      </c>
      <c r="BB65" s="4" t="s">
        <v>235</v>
      </c>
      <c r="BC65" s="4" t="s">
        <v>238</v>
      </c>
      <c r="BD65" s="4"/>
      <c r="BE65" s="4"/>
      <c r="BF65" s="4" t="s">
        <v>238</v>
      </c>
      <c r="BG65" s="4" t="s">
        <v>238</v>
      </c>
      <c r="BH65" s="4" t="s">
        <v>238</v>
      </c>
      <c r="BI65" s="4" t="str">
        <f t="shared" si="39"/>
        <v>-</v>
      </c>
      <c r="BJ65" s="18">
        <v>4</v>
      </c>
      <c r="BK65" s="18">
        <v>1</v>
      </c>
      <c r="BL65" s="16">
        <v>18</v>
      </c>
      <c r="BM65" t="s">
        <v>317</v>
      </c>
      <c r="BN65">
        <v>152</v>
      </c>
      <c r="BO65">
        <v>152</v>
      </c>
      <c r="BP65">
        <f t="shared" si="24"/>
        <v>174.94339622641508</v>
      </c>
      <c r="BQ65" s="4" t="s">
        <v>238</v>
      </c>
    </row>
    <row r="66" spans="1:69" x14ac:dyDescent="0.4">
      <c r="A66" s="33">
        <v>89</v>
      </c>
      <c r="B66" s="4">
        <v>31</v>
      </c>
      <c r="C66" s="32">
        <v>194695</v>
      </c>
      <c r="D66" s="4" t="str">
        <f t="shared" si="25"/>
        <v>194695</v>
      </c>
      <c r="E66" s="4">
        <v>194730</v>
      </c>
      <c r="F66" s="4" t="s">
        <v>218</v>
      </c>
      <c r="G66" s="5">
        <v>4580417612103</v>
      </c>
      <c r="H66" s="5"/>
      <c r="I66" s="5"/>
      <c r="J66" s="5"/>
      <c r="K66" s="5"/>
      <c r="L66" s="4">
        <v>0</v>
      </c>
      <c r="M66" s="4">
        <v>5122</v>
      </c>
      <c r="N66" s="4">
        <v>2650</v>
      </c>
      <c r="O66" s="6">
        <f t="shared" si="26"/>
        <v>0.48262397500976184</v>
      </c>
      <c r="P66" s="4">
        <v>4870</v>
      </c>
      <c r="Q66" s="4">
        <v>10</v>
      </c>
      <c r="R66" s="4">
        <v>99999</v>
      </c>
      <c r="S66" s="4" t="s">
        <v>238</v>
      </c>
      <c r="T66" s="4" t="s">
        <v>238</v>
      </c>
      <c r="U66" s="4" t="s">
        <v>238</v>
      </c>
      <c r="V66" s="4" t="s">
        <v>238</v>
      </c>
      <c r="W66" s="4" t="s">
        <v>238</v>
      </c>
      <c r="X66" s="4" t="s">
        <v>238</v>
      </c>
      <c r="Y66" s="4">
        <v>0</v>
      </c>
      <c r="Z66" s="4">
        <v>0</v>
      </c>
      <c r="AA66" s="4">
        <v>61</v>
      </c>
      <c r="AB66" s="4">
        <f t="shared" si="28"/>
        <v>3050</v>
      </c>
      <c r="AC66" s="4">
        <v>50</v>
      </c>
      <c r="AD66" s="20">
        <f t="shared" si="29"/>
        <v>5895</v>
      </c>
      <c r="AE66" s="6">
        <f t="shared" si="30"/>
        <v>0.48261238337574219</v>
      </c>
      <c r="AF66" s="4">
        <v>148.25</v>
      </c>
      <c r="AG66" s="4" t="str">
        <f t="shared" si="31"/>
        <v>-</v>
      </c>
      <c r="AH66" s="4" t="e">
        <f t="shared" si="32"/>
        <v>#VALUE!</v>
      </c>
      <c r="AI66" s="6" t="e">
        <f t="shared" si="33"/>
        <v>#VALUE!</v>
      </c>
      <c r="AJ66" s="7">
        <v>7600</v>
      </c>
      <c r="AK66" s="6">
        <f t="shared" si="34"/>
        <v>0.59868421052631571</v>
      </c>
      <c r="AL66" s="4">
        <f t="shared" si="35"/>
        <v>4550</v>
      </c>
      <c r="AM66" s="27"/>
      <c r="AN66" s="6"/>
      <c r="AO66" s="6"/>
      <c r="AP66" s="6" t="e">
        <f t="shared" si="36"/>
        <v>#DIV/0!</v>
      </c>
      <c r="AQ66" s="6">
        <f t="shared" si="37"/>
        <v>1.4837953924248342</v>
      </c>
      <c r="AR66" s="6">
        <f t="shared" si="38"/>
        <v>1.1509433962264151</v>
      </c>
      <c r="AS66" s="4">
        <f t="shared" si="15"/>
        <v>7226</v>
      </c>
      <c r="AT66" s="4">
        <f t="shared" si="16"/>
        <v>10</v>
      </c>
      <c r="AU66" s="4">
        <f t="shared" si="17"/>
        <v>99999</v>
      </c>
      <c r="AV66" s="4" t="str">
        <f t="shared" si="18"/>
        <v>-</v>
      </c>
      <c r="AW66" s="4" t="str">
        <f t="shared" si="19"/>
        <v>-</v>
      </c>
      <c r="AX66" s="4" t="str">
        <f t="shared" si="20"/>
        <v>-</v>
      </c>
      <c r="AY66" s="4" t="str">
        <f t="shared" si="21"/>
        <v>-</v>
      </c>
      <c r="AZ66" s="4" t="str">
        <f t="shared" si="22"/>
        <v>-</v>
      </c>
      <c r="BA66" s="4" t="str">
        <f t="shared" si="23"/>
        <v>-</v>
      </c>
      <c r="BB66" s="4" t="s">
        <v>235</v>
      </c>
      <c r="BC66" s="4" t="s">
        <v>238</v>
      </c>
      <c r="BD66" s="4"/>
      <c r="BE66" s="4"/>
      <c r="BF66" s="4" t="s">
        <v>238</v>
      </c>
      <c r="BG66" s="4" t="s">
        <v>238</v>
      </c>
      <c r="BH66" s="4" t="s">
        <v>238</v>
      </c>
      <c r="BI66" s="4" t="str">
        <f t="shared" si="39"/>
        <v>-</v>
      </c>
      <c r="BJ66" s="18">
        <v>4</v>
      </c>
      <c r="BK66" s="18">
        <v>1</v>
      </c>
      <c r="BL66" s="16">
        <v>18</v>
      </c>
      <c r="BM66" t="s">
        <v>317</v>
      </c>
      <c r="BN66">
        <v>152</v>
      </c>
      <c r="BO66">
        <v>152</v>
      </c>
      <c r="BP66">
        <f t="shared" si="24"/>
        <v>174.94339622641508</v>
      </c>
      <c r="BQ66" s="4" t="s">
        <v>238</v>
      </c>
    </row>
    <row r="67" spans="1:69" x14ac:dyDescent="0.4">
      <c r="A67" s="33">
        <v>32</v>
      </c>
      <c r="B67" s="4">
        <v>32</v>
      </c>
      <c r="C67" s="32">
        <v>194696</v>
      </c>
      <c r="D67" s="4" t="str">
        <f t="shared" si="25"/>
        <v>194696</v>
      </c>
      <c r="E67" s="4">
        <v>194696</v>
      </c>
      <c r="F67" s="4" t="s">
        <v>129</v>
      </c>
      <c r="G67" s="5">
        <v>4580417612110</v>
      </c>
      <c r="H67" s="5"/>
      <c r="I67" s="5"/>
      <c r="J67" s="5">
        <v>2</v>
      </c>
      <c r="K67" s="5">
        <v>2</v>
      </c>
      <c r="L67" s="4">
        <v>0</v>
      </c>
      <c r="M67" s="4">
        <v>144</v>
      </c>
      <c r="N67" s="4">
        <v>61.5</v>
      </c>
      <c r="O67" s="6">
        <f t="shared" si="26"/>
        <v>0.57291666666666674</v>
      </c>
      <c r="P67" s="4">
        <v>138</v>
      </c>
      <c r="Q67" s="4">
        <v>10</v>
      </c>
      <c r="R67" s="4">
        <v>99999</v>
      </c>
      <c r="S67" s="4" t="s">
        <v>238</v>
      </c>
      <c r="T67" s="4" t="s">
        <v>238</v>
      </c>
      <c r="U67" s="4" t="s">
        <v>238</v>
      </c>
      <c r="V67" s="4" t="s">
        <v>238</v>
      </c>
      <c r="W67" s="4" t="s">
        <v>238</v>
      </c>
      <c r="X67" s="4" t="s">
        <v>238</v>
      </c>
      <c r="Y67" s="4">
        <v>0</v>
      </c>
      <c r="Z67" s="4">
        <f>IF(AC67="",Y67,Y67*AC67)</f>
        <v>0</v>
      </c>
      <c r="AA67" s="4">
        <v>71</v>
      </c>
      <c r="AB67" s="4">
        <f t="shared" si="28"/>
        <v>71</v>
      </c>
      <c r="AC67" s="4"/>
      <c r="AD67" s="20">
        <f t="shared" si="29"/>
        <v>166</v>
      </c>
      <c r="AE67" s="6">
        <f t="shared" si="30"/>
        <v>0.57228915662650603</v>
      </c>
      <c r="AF67" s="4">
        <v>127.49999999999999</v>
      </c>
      <c r="AG67" s="4" t="str">
        <f t="shared" si="31"/>
        <v>-</v>
      </c>
      <c r="AH67" s="4" t="e">
        <f t="shared" si="32"/>
        <v>#VALUE!</v>
      </c>
      <c r="AI67" s="6" t="e">
        <f t="shared" si="33"/>
        <v>#VALUE!</v>
      </c>
      <c r="AJ67" s="7">
        <v>180</v>
      </c>
      <c r="AK67" s="6">
        <f t="shared" si="34"/>
        <v>0.60555555555555562</v>
      </c>
      <c r="AL67" s="4">
        <f t="shared" si="35"/>
        <v>109</v>
      </c>
      <c r="AM67" s="27"/>
      <c r="AN67" s="6"/>
      <c r="AO67" s="6"/>
      <c r="AP67" s="6" t="e">
        <f t="shared" si="36"/>
        <v>#DIV/0!</v>
      </c>
      <c r="AQ67" s="6">
        <f t="shared" si="37"/>
        <v>1.25</v>
      </c>
      <c r="AR67" s="6">
        <f t="shared" si="38"/>
        <v>1.1544715447154472</v>
      </c>
      <c r="AS67" s="4">
        <f t="shared" si="15"/>
        <v>173</v>
      </c>
      <c r="AT67" s="4">
        <f t="shared" si="16"/>
        <v>10</v>
      </c>
      <c r="AU67" s="4">
        <f t="shared" si="17"/>
        <v>99999</v>
      </c>
      <c r="AV67" s="4" t="str">
        <f t="shared" si="18"/>
        <v>-</v>
      </c>
      <c r="AW67" s="4" t="str">
        <f t="shared" si="19"/>
        <v>-</v>
      </c>
      <c r="AX67" s="4" t="str">
        <f t="shared" si="20"/>
        <v>-</v>
      </c>
      <c r="AY67" s="4" t="str">
        <f t="shared" si="21"/>
        <v>-</v>
      </c>
      <c r="AZ67" s="4" t="str">
        <f t="shared" si="22"/>
        <v>-</v>
      </c>
      <c r="BA67" s="4" t="str">
        <f t="shared" si="23"/>
        <v>-</v>
      </c>
      <c r="BB67" s="4" t="s">
        <v>235</v>
      </c>
      <c r="BC67" s="4" t="s">
        <v>238</v>
      </c>
      <c r="BD67" s="4"/>
      <c r="BE67" s="4"/>
      <c r="BF67" s="4" t="s">
        <v>238</v>
      </c>
      <c r="BG67" s="4" t="s">
        <v>238</v>
      </c>
      <c r="BH67" s="4" t="s">
        <v>238</v>
      </c>
      <c r="BI67" s="4" t="str">
        <f t="shared" si="39"/>
        <v>-</v>
      </c>
      <c r="BJ67" s="18">
        <v>4</v>
      </c>
      <c r="BK67" s="18">
        <v>1</v>
      </c>
      <c r="BL67" s="16">
        <v>18</v>
      </c>
      <c r="BM67" t="s">
        <v>317</v>
      </c>
      <c r="BN67">
        <v>162</v>
      </c>
      <c r="BO67">
        <v>162</v>
      </c>
      <c r="BP67">
        <f t="shared" si="24"/>
        <v>187.02439024390245</v>
      </c>
      <c r="BQ67" s="4" t="s">
        <v>238</v>
      </c>
    </row>
    <row r="68" spans="1:69" x14ac:dyDescent="0.4">
      <c r="A68" s="33">
        <v>90</v>
      </c>
      <c r="B68" s="4">
        <v>32</v>
      </c>
      <c r="C68" s="32">
        <v>194696</v>
      </c>
      <c r="D68" s="4" t="str">
        <f t="shared" ref="D68:D99" si="40">TEXT(C68,"000000")</f>
        <v>194696</v>
      </c>
      <c r="E68" s="4">
        <v>194731</v>
      </c>
      <c r="F68" s="4" t="s">
        <v>219</v>
      </c>
      <c r="G68" s="5">
        <v>4580417612110</v>
      </c>
      <c r="H68" s="5"/>
      <c r="I68" s="5"/>
      <c r="J68" s="5"/>
      <c r="K68" s="5"/>
      <c r="L68" s="4">
        <v>0</v>
      </c>
      <c r="M68" s="4">
        <v>6282</v>
      </c>
      <c r="N68" s="4">
        <v>3075</v>
      </c>
      <c r="O68" s="6">
        <f t="shared" ref="O68:O99" si="41">1-N68/M68</f>
        <v>0.51050620821394466</v>
      </c>
      <c r="P68" s="4">
        <v>5970</v>
      </c>
      <c r="Q68" s="4">
        <v>10</v>
      </c>
      <c r="R68" s="4">
        <v>99999</v>
      </c>
      <c r="S68" s="4" t="s">
        <v>238</v>
      </c>
      <c r="T68" s="4" t="s">
        <v>238</v>
      </c>
      <c r="U68" s="4" t="s">
        <v>238</v>
      </c>
      <c r="V68" s="4" t="s">
        <v>238</v>
      </c>
      <c r="W68" s="4" t="s">
        <v>238</v>
      </c>
      <c r="X68" s="4" t="s">
        <v>238</v>
      </c>
      <c r="Y68" s="4">
        <v>0</v>
      </c>
      <c r="Z68" s="4">
        <v>0</v>
      </c>
      <c r="AA68" s="4">
        <v>71</v>
      </c>
      <c r="AB68" s="4">
        <f t="shared" ref="AB68:AB99" si="42">IF(AC68="",AA68,AA68*AC68)</f>
        <v>3550</v>
      </c>
      <c r="AC68" s="4">
        <v>50</v>
      </c>
      <c r="AD68" s="20">
        <f t="shared" ref="AD68:AD99" si="43">ROUND(M68*AR68,0)</f>
        <v>7252</v>
      </c>
      <c r="AE68" s="6">
        <f t="shared" ref="AE68:AE99" si="44">1-AB68/AD68</f>
        <v>0.51047986762272479</v>
      </c>
      <c r="AF68" s="4">
        <v>127.49999999999999</v>
      </c>
      <c r="AG68" s="4" t="str">
        <f t="shared" ref="AG68:AG99" si="45">BI68</f>
        <v>-</v>
      </c>
      <c r="AH68" s="4" t="e">
        <f t="shared" ref="AH68:AH99" si="46">AG68*AR68</f>
        <v>#VALUE!</v>
      </c>
      <c r="AI68" s="6" t="e">
        <f t="shared" ref="AI68:AI99" si="47">1-AB68/AH68</f>
        <v>#VALUE!</v>
      </c>
      <c r="AJ68" s="7">
        <v>8500</v>
      </c>
      <c r="AK68" s="6">
        <f t="shared" ref="AK68:AK99" si="48">1-AB68/AJ68</f>
        <v>0.58235294117647052</v>
      </c>
      <c r="AL68" s="4">
        <f t="shared" ref="AL68:AL99" si="49">AJ68-AB68</f>
        <v>4950</v>
      </c>
      <c r="AM68" s="27"/>
      <c r="AN68" s="6"/>
      <c r="AO68" s="6"/>
      <c r="AP68" s="6" t="e">
        <f t="shared" ref="AP68:AP99" si="50">Z68/L68</f>
        <v>#DIV/0!</v>
      </c>
      <c r="AQ68" s="6">
        <f t="shared" ref="AQ68:AQ99" si="51">AJ68/M68</f>
        <v>1.353072269977714</v>
      </c>
      <c r="AR68" s="6">
        <f t="shared" ref="AR68:AR99" si="52">AB68/N68</f>
        <v>1.1544715447154472</v>
      </c>
      <c r="AS68" s="4">
        <f t="shared" si="15"/>
        <v>8078</v>
      </c>
      <c r="AT68" s="4">
        <f t="shared" si="16"/>
        <v>10</v>
      </c>
      <c r="AU68" s="4">
        <f t="shared" si="17"/>
        <v>99999</v>
      </c>
      <c r="AV68" s="4" t="str">
        <f t="shared" si="18"/>
        <v>-</v>
      </c>
      <c r="AW68" s="4" t="str">
        <f t="shared" si="19"/>
        <v>-</v>
      </c>
      <c r="AX68" s="4" t="str">
        <f t="shared" si="20"/>
        <v>-</v>
      </c>
      <c r="AY68" s="4" t="str">
        <f t="shared" si="21"/>
        <v>-</v>
      </c>
      <c r="AZ68" s="4" t="str">
        <f t="shared" si="22"/>
        <v>-</v>
      </c>
      <c r="BA68" s="4" t="str">
        <f t="shared" si="23"/>
        <v>-</v>
      </c>
      <c r="BB68" s="4" t="s">
        <v>235</v>
      </c>
      <c r="BC68" s="4" t="s">
        <v>238</v>
      </c>
      <c r="BD68" s="4"/>
      <c r="BE68" s="4"/>
      <c r="BF68" s="4" t="s">
        <v>238</v>
      </c>
      <c r="BG68" s="4" t="s">
        <v>238</v>
      </c>
      <c r="BH68" s="4" t="s">
        <v>238</v>
      </c>
      <c r="BI68" s="4" t="str">
        <f t="shared" ref="BI68:BI99" si="53">IF(BD68="",BH68,BD68/BE68*BH68)</f>
        <v>-</v>
      </c>
      <c r="BJ68" s="18">
        <v>4</v>
      </c>
      <c r="BK68" s="18">
        <v>1</v>
      </c>
      <c r="BL68" s="16">
        <v>18</v>
      </c>
      <c r="BM68" t="s">
        <v>317</v>
      </c>
      <c r="BN68">
        <v>162</v>
      </c>
      <c r="BO68">
        <v>162</v>
      </c>
      <c r="BP68">
        <f t="shared" si="24"/>
        <v>187.02439024390245</v>
      </c>
      <c r="BQ68" s="4" t="s">
        <v>238</v>
      </c>
    </row>
    <row r="69" spans="1:69" x14ac:dyDescent="0.4">
      <c r="A69" s="33">
        <v>33</v>
      </c>
      <c r="B69" s="4">
        <v>33</v>
      </c>
      <c r="C69" s="32">
        <v>194697</v>
      </c>
      <c r="D69" s="4" t="str">
        <f t="shared" si="40"/>
        <v>194697</v>
      </c>
      <c r="E69" s="4">
        <v>194697</v>
      </c>
      <c r="F69" s="4" t="s">
        <v>130</v>
      </c>
      <c r="G69" s="5">
        <v>4580417612127</v>
      </c>
      <c r="H69" s="5"/>
      <c r="I69" s="5"/>
      <c r="J69" s="5">
        <v>2</v>
      </c>
      <c r="K69" s="5">
        <v>2</v>
      </c>
      <c r="L69" s="4">
        <v>0</v>
      </c>
      <c r="M69" s="4">
        <v>220</v>
      </c>
      <c r="N69" s="4">
        <v>75.7</v>
      </c>
      <c r="O69" s="6">
        <f t="shared" si="41"/>
        <v>0.65590909090909089</v>
      </c>
      <c r="P69" s="4">
        <v>202</v>
      </c>
      <c r="Q69" s="4">
        <v>10</v>
      </c>
      <c r="R69" s="4">
        <v>99999</v>
      </c>
      <c r="S69" s="4" t="s">
        <v>238</v>
      </c>
      <c r="T69" s="4" t="s">
        <v>238</v>
      </c>
      <c r="U69" s="4" t="s">
        <v>238</v>
      </c>
      <c r="V69" s="4" t="s">
        <v>238</v>
      </c>
      <c r="W69" s="4" t="s">
        <v>238</v>
      </c>
      <c r="X69" s="4" t="s">
        <v>238</v>
      </c>
      <c r="Y69" s="4">
        <v>0</v>
      </c>
      <c r="Z69" s="4">
        <f>IF(AC69="",Y69,Y69*AC69)</f>
        <v>0</v>
      </c>
      <c r="AA69" s="4">
        <v>87</v>
      </c>
      <c r="AB69" s="4">
        <f t="shared" si="42"/>
        <v>87</v>
      </c>
      <c r="AC69" s="4"/>
      <c r="AD69" s="20">
        <f t="shared" si="43"/>
        <v>253</v>
      </c>
      <c r="AE69" s="6">
        <f t="shared" si="44"/>
        <v>0.65612648221343872</v>
      </c>
      <c r="AF69" s="4">
        <v>242</v>
      </c>
      <c r="AG69" s="4" t="str">
        <f t="shared" si="45"/>
        <v>-</v>
      </c>
      <c r="AH69" s="4" t="e">
        <f t="shared" si="46"/>
        <v>#VALUE!</v>
      </c>
      <c r="AI69" s="6" t="e">
        <f t="shared" si="47"/>
        <v>#VALUE!</v>
      </c>
      <c r="AJ69" s="7">
        <v>250</v>
      </c>
      <c r="AK69" s="6">
        <f t="shared" si="48"/>
        <v>0.65200000000000002</v>
      </c>
      <c r="AL69" s="4">
        <f t="shared" si="49"/>
        <v>163</v>
      </c>
      <c r="AM69" s="27"/>
      <c r="AN69" s="6"/>
      <c r="AO69" s="6"/>
      <c r="AP69" s="6" t="e">
        <f t="shared" si="50"/>
        <v>#DIV/0!</v>
      </c>
      <c r="AQ69" s="6">
        <f t="shared" si="51"/>
        <v>1.1363636363636365</v>
      </c>
      <c r="AR69" s="6">
        <f t="shared" si="52"/>
        <v>1.1492734478203435</v>
      </c>
      <c r="AS69" s="4">
        <f t="shared" ref="AS69:AS108" si="54">IFERROR(ROUND($AJ69*P69/$M69,0),"-")</f>
        <v>230</v>
      </c>
      <c r="AT69" s="4">
        <f t="shared" ref="AT69:AT108" si="55">IF(Q69="","-",Q69)</f>
        <v>10</v>
      </c>
      <c r="AU69" s="4">
        <f t="shared" ref="AU69:AU108" si="56">IF(R69="","-",R69)</f>
        <v>99999</v>
      </c>
      <c r="AV69" s="4" t="str">
        <f t="shared" ref="AV69:AV108" si="57">IFERROR(ROUND($AJ69*S69/$M69,0),"-")</f>
        <v>-</v>
      </c>
      <c r="AW69" s="4" t="str">
        <f t="shared" ref="AW69:AW108" si="58">IF(T69="","-",T69)</f>
        <v>-</v>
      </c>
      <c r="AX69" s="4" t="str">
        <f t="shared" ref="AX69:AX108" si="59">IF(U69="","-",U69)</f>
        <v>-</v>
      </c>
      <c r="AY69" s="4" t="str">
        <f t="shared" ref="AY69:AY108" si="60">IFERROR(ROUND($AJ69*V69/$M69,0),"-")</f>
        <v>-</v>
      </c>
      <c r="AZ69" s="4" t="str">
        <f t="shared" ref="AZ69:AZ108" si="61">IF(W69="","-",W69)</f>
        <v>-</v>
      </c>
      <c r="BA69" s="4" t="str">
        <f t="shared" ref="BA69:BA108" si="62">IF(X69="","-",X69)</f>
        <v>-</v>
      </c>
      <c r="BB69" s="4" t="s">
        <v>235</v>
      </c>
      <c r="BC69" s="4" t="s">
        <v>238</v>
      </c>
      <c r="BD69" s="4"/>
      <c r="BE69" s="4"/>
      <c r="BF69" s="4" t="s">
        <v>238</v>
      </c>
      <c r="BG69" s="4" t="s">
        <v>238</v>
      </c>
      <c r="BH69" s="4" t="s">
        <v>238</v>
      </c>
      <c r="BI69" s="4" t="str">
        <f t="shared" si="53"/>
        <v>-</v>
      </c>
      <c r="BJ69" s="18">
        <v>4</v>
      </c>
      <c r="BK69" s="18">
        <v>1</v>
      </c>
      <c r="BL69" s="16">
        <v>18</v>
      </c>
      <c r="BM69" t="s">
        <v>317</v>
      </c>
      <c r="BN69">
        <v>238</v>
      </c>
      <c r="BO69">
        <v>238</v>
      </c>
      <c r="BP69">
        <f t="shared" ref="BP69:BP108" si="63">IFERROR(BO69*AR69,"-")</f>
        <v>273.52708058124176</v>
      </c>
      <c r="BQ69" s="4" t="s">
        <v>238</v>
      </c>
    </row>
    <row r="70" spans="1:69" x14ac:dyDescent="0.4">
      <c r="A70" s="33">
        <v>91</v>
      </c>
      <c r="B70" s="4">
        <v>33</v>
      </c>
      <c r="C70" s="32">
        <v>194697</v>
      </c>
      <c r="D70" s="4" t="str">
        <f t="shared" si="40"/>
        <v>194697</v>
      </c>
      <c r="E70" s="4">
        <v>194732</v>
      </c>
      <c r="F70" s="4" t="s">
        <v>220</v>
      </c>
      <c r="G70" s="5">
        <v>4580417612127</v>
      </c>
      <c r="H70" s="5"/>
      <c r="I70" s="5"/>
      <c r="J70" s="5"/>
      <c r="K70" s="5"/>
      <c r="L70" s="4">
        <v>0</v>
      </c>
      <c r="M70" s="4">
        <v>5715</v>
      </c>
      <c r="N70" s="4">
        <v>2271</v>
      </c>
      <c r="O70" s="6">
        <f t="shared" si="41"/>
        <v>0.60262467191601043</v>
      </c>
      <c r="P70" s="4">
        <v>5430</v>
      </c>
      <c r="Q70" s="4">
        <v>10</v>
      </c>
      <c r="R70" s="4">
        <v>99999</v>
      </c>
      <c r="S70" s="4" t="s">
        <v>238</v>
      </c>
      <c r="T70" s="4" t="s">
        <v>238</v>
      </c>
      <c r="U70" s="4" t="s">
        <v>238</v>
      </c>
      <c r="V70" s="4" t="s">
        <v>238</v>
      </c>
      <c r="W70" s="4" t="s">
        <v>238</v>
      </c>
      <c r="X70" s="4" t="s">
        <v>238</v>
      </c>
      <c r="Y70" s="4">
        <v>0</v>
      </c>
      <c r="Z70" s="4">
        <v>0</v>
      </c>
      <c r="AA70" s="4">
        <v>87</v>
      </c>
      <c r="AB70" s="4">
        <f t="shared" si="42"/>
        <v>2610</v>
      </c>
      <c r="AC70" s="4">
        <v>30</v>
      </c>
      <c r="AD70" s="20">
        <f t="shared" si="43"/>
        <v>6568</v>
      </c>
      <c r="AE70" s="6">
        <f t="shared" si="44"/>
        <v>0.60261875761266748</v>
      </c>
      <c r="AF70" s="4">
        <v>242</v>
      </c>
      <c r="AG70" s="4" t="str">
        <f t="shared" si="45"/>
        <v>-</v>
      </c>
      <c r="AH70" s="4" t="e">
        <f t="shared" si="46"/>
        <v>#VALUE!</v>
      </c>
      <c r="AI70" s="6" t="e">
        <f t="shared" si="47"/>
        <v>#VALUE!</v>
      </c>
      <c r="AJ70" s="7">
        <v>7100</v>
      </c>
      <c r="AK70" s="6">
        <f t="shared" si="48"/>
        <v>0.63239436619718314</v>
      </c>
      <c r="AL70" s="4">
        <f t="shared" si="49"/>
        <v>4490</v>
      </c>
      <c r="AM70" s="27"/>
      <c r="AN70" s="6"/>
      <c r="AO70" s="6"/>
      <c r="AP70" s="6" t="e">
        <f t="shared" si="50"/>
        <v>#DIV/0!</v>
      </c>
      <c r="AQ70" s="6">
        <f t="shared" si="51"/>
        <v>1.242344706911636</v>
      </c>
      <c r="AR70" s="6">
        <f t="shared" si="52"/>
        <v>1.1492734478203435</v>
      </c>
      <c r="AS70" s="4">
        <f t="shared" si="54"/>
        <v>6746</v>
      </c>
      <c r="AT70" s="4">
        <f t="shared" si="55"/>
        <v>10</v>
      </c>
      <c r="AU70" s="4">
        <f t="shared" si="56"/>
        <v>99999</v>
      </c>
      <c r="AV70" s="4" t="str">
        <f t="shared" si="57"/>
        <v>-</v>
      </c>
      <c r="AW70" s="4" t="str">
        <f t="shared" si="58"/>
        <v>-</v>
      </c>
      <c r="AX70" s="4" t="str">
        <f t="shared" si="59"/>
        <v>-</v>
      </c>
      <c r="AY70" s="4" t="str">
        <f t="shared" si="60"/>
        <v>-</v>
      </c>
      <c r="AZ70" s="4" t="str">
        <f t="shared" si="61"/>
        <v>-</v>
      </c>
      <c r="BA70" s="4" t="str">
        <f t="shared" si="62"/>
        <v>-</v>
      </c>
      <c r="BB70" s="4" t="s">
        <v>235</v>
      </c>
      <c r="BC70" s="4" t="s">
        <v>238</v>
      </c>
      <c r="BD70" s="4"/>
      <c r="BE70" s="4"/>
      <c r="BF70" s="4" t="s">
        <v>238</v>
      </c>
      <c r="BG70" s="4" t="s">
        <v>238</v>
      </c>
      <c r="BH70" s="4" t="s">
        <v>238</v>
      </c>
      <c r="BI70" s="4" t="str">
        <f t="shared" si="53"/>
        <v>-</v>
      </c>
      <c r="BJ70" s="18">
        <v>4</v>
      </c>
      <c r="BK70" s="18">
        <v>1</v>
      </c>
      <c r="BL70" s="16">
        <v>18</v>
      </c>
      <c r="BM70" t="s">
        <v>317</v>
      </c>
      <c r="BN70">
        <v>238</v>
      </c>
      <c r="BO70">
        <v>238</v>
      </c>
      <c r="BP70">
        <f t="shared" si="63"/>
        <v>273.52708058124176</v>
      </c>
      <c r="BQ70" s="4" t="s">
        <v>238</v>
      </c>
    </row>
    <row r="71" spans="1:69" x14ac:dyDescent="0.4">
      <c r="A71" s="33">
        <v>34</v>
      </c>
      <c r="B71" s="4">
        <v>34</v>
      </c>
      <c r="C71" s="32">
        <v>194698</v>
      </c>
      <c r="D71" s="4" t="str">
        <f t="shared" si="40"/>
        <v>194698</v>
      </c>
      <c r="E71" s="4">
        <v>194698</v>
      </c>
      <c r="F71" s="4" t="s">
        <v>131</v>
      </c>
      <c r="G71" s="5">
        <v>4580417612134</v>
      </c>
      <c r="H71" s="5"/>
      <c r="I71" s="5"/>
      <c r="J71" s="5">
        <v>2</v>
      </c>
      <c r="K71" s="5">
        <v>2</v>
      </c>
      <c r="L71" s="4">
        <v>0</v>
      </c>
      <c r="M71" s="4">
        <v>255</v>
      </c>
      <c r="N71" s="4">
        <v>92.2</v>
      </c>
      <c r="O71" s="6">
        <f t="shared" si="41"/>
        <v>0.6384313725490196</v>
      </c>
      <c r="P71" s="4">
        <v>230</v>
      </c>
      <c r="Q71" s="4">
        <v>10</v>
      </c>
      <c r="R71" s="4">
        <v>99999</v>
      </c>
      <c r="S71" s="4" t="s">
        <v>238</v>
      </c>
      <c r="T71" s="4" t="s">
        <v>238</v>
      </c>
      <c r="U71" s="4" t="s">
        <v>238</v>
      </c>
      <c r="V71" s="4" t="s">
        <v>238</v>
      </c>
      <c r="W71" s="4" t="s">
        <v>238</v>
      </c>
      <c r="X71" s="4" t="s">
        <v>238</v>
      </c>
      <c r="Y71" s="4">
        <v>0</v>
      </c>
      <c r="Z71" s="4">
        <f>IF(AC71="",Y71,Y71*AC71)</f>
        <v>0</v>
      </c>
      <c r="AA71" s="4">
        <v>106</v>
      </c>
      <c r="AB71" s="4">
        <f t="shared" si="42"/>
        <v>106</v>
      </c>
      <c r="AC71" s="4"/>
      <c r="AD71" s="20">
        <f t="shared" si="43"/>
        <v>293</v>
      </c>
      <c r="AE71" s="6">
        <f t="shared" si="44"/>
        <v>0.63822525597269619</v>
      </c>
      <c r="AF71" s="4">
        <v>264.75</v>
      </c>
      <c r="AG71" s="4" t="str">
        <f t="shared" si="45"/>
        <v>-</v>
      </c>
      <c r="AH71" s="4" t="e">
        <f t="shared" si="46"/>
        <v>#VALUE!</v>
      </c>
      <c r="AI71" s="6" t="e">
        <f t="shared" si="47"/>
        <v>#VALUE!</v>
      </c>
      <c r="AJ71" s="7">
        <v>300</v>
      </c>
      <c r="AK71" s="6">
        <f t="shared" si="48"/>
        <v>0.64666666666666672</v>
      </c>
      <c r="AL71" s="4">
        <f t="shared" si="49"/>
        <v>194</v>
      </c>
      <c r="AM71" s="27"/>
      <c r="AN71" s="6"/>
      <c r="AO71" s="6"/>
      <c r="AP71" s="6" t="e">
        <f t="shared" si="50"/>
        <v>#DIV/0!</v>
      </c>
      <c r="AQ71" s="6">
        <f t="shared" si="51"/>
        <v>1.1764705882352942</v>
      </c>
      <c r="AR71" s="6">
        <f t="shared" si="52"/>
        <v>1.1496746203904555</v>
      </c>
      <c r="AS71" s="4">
        <f t="shared" si="54"/>
        <v>271</v>
      </c>
      <c r="AT71" s="4">
        <f t="shared" si="55"/>
        <v>10</v>
      </c>
      <c r="AU71" s="4">
        <f t="shared" si="56"/>
        <v>99999</v>
      </c>
      <c r="AV71" s="4" t="str">
        <f t="shared" si="57"/>
        <v>-</v>
      </c>
      <c r="AW71" s="4" t="str">
        <f t="shared" si="58"/>
        <v>-</v>
      </c>
      <c r="AX71" s="4" t="str">
        <f t="shared" si="59"/>
        <v>-</v>
      </c>
      <c r="AY71" s="4" t="str">
        <f t="shared" si="60"/>
        <v>-</v>
      </c>
      <c r="AZ71" s="4" t="str">
        <f t="shared" si="61"/>
        <v>-</v>
      </c>
      <c r="BA71" s="4" t="str">
        <f t="shared" si="62"/>
        <v>-</v>
      </c>
      <c r="BB71" s="4" t="s">
        <v>235</v>
      </c>
      <c r="BC71" s="4" t="s">
        <v>238</v>
      </c>
      <c r="BD71" s="4"/>
      <c r="BE71" s="4"/>
      <c r="BF71" s="4" t="s">
        <v>238</v>
      </c>
      <c r="BG71" s="4" t="s">
        <v>238</v>
      </c>
      <c r="BH71" s="4" t="s">
        <v>238</v>
      </c>
      <c r="BI71" s="4" t="str">
        <f t="shared" si="53"/>
        <v>-</v>
      </c>
      <c r="BJ71" s="18">
        <v>4</v>
      </c>
      <c r="BK71" s="18">
        <v>1</v>
      </c>
      <c r="BL71" s="16">
        <v>18</v>
      </c>
      <c r="BM71" t="s">
        <v>317</v>
      </c>
      <c r="BN71">
        <v>276</v>
      </c>
      <c r="BO71">
        <v>276</v>
      </c>
      <c r="BP71">
        <f t="shared" si="63"/>
        <v>317.31019522776575</v>
      </c>
      <c r="BQ71" s="4" t="s">
        <v>238</v>
      </c>
    </row>
    <row r="72" spans="1:69" x14ac:dyDescent="0.4">
      <c r="A72" s="3">
        <v>92</v>
      </c>
      <c r="B72" s="3">
        <v>34</v>
      </c>
      <c r="C72" s="32">
        <v>194698</v>
      </c>
      <c r="D72" s="4" t="str">
        <f t="shared" si="40"/>
        <v>194698</v>
      </c>
      <c r="E72" s="4">
        <v>194733</v>
      </c>
      <c r="F72" s="4" t="s">
        <v>221</v>
      </c>
      <c r="G72" s="5">
        <v>4580417612134</v>
      </c>
      <c r="H72" s="5"/>
      <c r="I72" s="5"/>
      <c r="J72" s="5"/>
      <c r="K72" s="5"/>
      <c r="L72" s="4">
        <v>0</v>
      </c>
      <c r="M72" s="4">
        <v>5503</v>
      </c>
      <c r="N72" s="4">
        <v>2305</v>
      </c>
      <c r="O72" s="6">
        <f t="shared" si="41"/>
        <v>0.58113756133018346</v>
      </c>
      <c r="P72" s="4">
        <v>5230</v>
      </c>
      <c r="Q72" s="4">
        <v>10</v>
      </c>
      <c r="R72" s="4">
        <v>99999</v>
      </c>
      <c r="S72" s="4" t="s">
        <v>238</v>
      </c>
      <c r="T72" s="4" t="s">
        <v>238</v>
      </c>
      <c r="U72" s="4" t="s">
        <v>238</v>
      </c>
      <c r="V72" s="4" t="s">
        <v>238</v>
      </c>
      <c r="W72" s="4" t="s">
        <v>238</v>
      </c>
      <c r="X72" s="4" t="s">
        <v>238</v>
      </c>
      <c r="Y72" s="4">
        <v>0</v>
      </c>
      <c r="Z72" s="4">
        <v>0</v>
      </c>
      <c r="AA72" s="4">
        <v>106</v>
      </c>
      <c r="AB72" s="4">
        <f t="shared" si="42"/>
        <v>2650</v>
      </c>
      <c r="AC72" s="4">
        <v>25</v>
      </c>
      <c r="AD72" s="20">
        <f t="shared" si="43"/>
        <v>6327</v>
      </c>
      <c r="AE72" s="6">
        <f t="shared" si="44"/>
        <v>0.58116010747589697</v>
      </c>
      <c r="AF72" s="4">
        <v>264.75</v>
      </c>
      <c r="AG72" s="4" t="str">
        <f t="shared" si="45"/>
        <v>-</v>
      </c>
      <c r="AH72" s="4" t="e">
        <f t="shared" si="46"/>
        <v>#VALUE!</v>
      </c>
      <c r="AI72" s="6" t="e">
        <f t="shared" si="47"/>
        <v>#VALUE!</v>
      </c>
      <c r="AJ72" s="7">
        <v>7100</v>
      </c>
      <c r="AK72" s="6">
        <f t="shared" si="48"/>
        <v>0.62676056338028174</v>
      </c>
      <c r="AL72" s="4">
        <f t="shared" si="49"/>
        <v>4450</v>
      </c>
      <c r="AM72" s="27"/>
      <c r="AN72" s="6"/>
      <c r="AO72" s="6"/>
      <c r="AP72" s="6" t="e">
        <f t="shared" si="50"/>
        <v>#DIV/0!</v>
      </c>
      <c r="AQ72" s="6">
        <f t="shared" si="51"/>
        <v>1.2902053425404325</v>
      </c>
      <c r="AR72" s="6">
        <f t="shared" si="52"/>
        <v>1.1496746203904555</v>
      </c>
      <c r="AS72" s="4">
        <f t="shared" si="54"/>
        <v>6748</v>
      </c>
      <c r="AT72" s="4">
        <f t="shared" si="55"/>
        <v>10</v>
      </c>
      <c r="AU72" s="4">
        <f t="shared" si="56"/>
        <v>99999</v>
      </c>
      <c r="AV72" s="4" t="str">
        <f t="shared" si="57"/>
        <v>-</v>
      </c>
      <c r="AW72" s="4" t="str">
        <f t="shared" si="58"/>
        <v>-</v>
      </c>
      <c r="AX72" s="4" t="str">
        <f t="shared" si="59"/>
        <v>-</v>
      </c>
      <c r="AY72" s="4" t="str">
        <f t="shared" si="60"/>
        <v>-</v>
      </c>
      <c r="AZ72" s="4" t="str">
        <f t="shared" si="61"/>
        <v>-</v>
      </c>
      <c r="BA72" s="4" t="str">
        <f t="shared" si="62"/>
        <v>-</v>
      </c>
      <c r="BB72" s="4" t="s">
        <v>235</v>
      </c>
      <c r="BC72" s="4" t="s">
        <v>238</v>
      </c>
      <c r="BD72" s="4"/>
      <c r="BE72" s="4"/>
      <c r="BF72" s="4" t="s">
        <v>238</v>
      </c>
      <c r="BG72" s="4" t="s">
        <v>238</v>
      </c>
      <c r="BH72" s="4" t="s">
        <v>238</v>
      </c>
      <c r="BI72" s="4" t="str">
        <f t="shared" si="53"/>
        <v>-</v>
      </c>
      <c r="BJ72" s="18">
        <v>4</v>
      </c>
      <c r="BK72" s="18">
        <v>1</v>
      </c>
      <c r="BL72" s="16">
        <v>18</v>
      </c>
      <c r="BM72" t="s">
        <v>317</v>
      </c>
      <c r="BN72">
        <v>276</v>
      </c>
      <c r="BO72">
        <v>276</v>
      </c>
      <c r="BP72">
        <f t="shared" si="63"/>
        <v>317.31019522776575</v>
      </c>
      <c r="BQ72" s="4" t="s">
        <v>238</v>
      </c>
    </row>
    <row r="73" spans="1:69" x14ac:dyDescent="0.4">
      <c r="A73" s="3">
        <v>35</v>
      </c>
      <c r="B73" s="3">
        <v>35</v>
      </c>
      <c r="C73" s="32">
        <v>194699</v>
      </c>
      <c r="D73" s="4" t="str">
        <f t="shared" si="40"/>
        <v>194699</v>
      </c>
      <c r="E73" s="4">
        <v>194699</v>
      </c>
      <c r="F73" s="4" t="s">
        <v>132</v>
      </c>
      <c r="G73" s="5">
        <v>4580417612141</v>
      </c>
      <c r="H73" s="5"/>
      <c r="I73" s="5"/>
      <c r="J73" s="5">
        <v>2</v>
      </c>
      <c r="K73" s="5">
        <v>2</v>
      </c>
      <c r="L73" s="4">
        <v>0</v>
      </c>
      <c r="M73" s="4">
        <v>331</v>
      </c>
      <c r="N73" s="4">
        <v>104.8</v>
      </c>
      <c r="O73" s="6">
        <f t="shared" si="41"/>
        <v>0.68338368580060416</v>
      </c>
      <c r="P73" s="4">
        <v>306</v>
      </c>
      <c r="Q73" s="4">
        <v>10</v>
      </c>
      <c r="R73" s="4">
        <v>99999</v>
      </c>
      <c r="S73" s="4" t="s">
        <v>238</v>
      </c>
      <c r="T73" s="4" t="s">
        <v>238</v>
      </c>
      <c r="U73" s="4" t="s">
        <v>238</v>
      </c>
      <c r="V73" s="4" t="s">
        <v>238</v>
      </c>
      <c r="W73" s="4" t="s">
        <v>238</v>
      </c>
      <c r="X73" s="4" t="s">
        <v>238</v>
      </c>
      <c r="Y73" s="4">
        <v>0</v>
      </c>
      <c r="Z73" s="4">
        <f>IF(AC73="",Y73,Y73*AC73)</f>
        <v>0</v>
      </c>
      <c r="AA73" s="4">
        <v>121</v>
      </c>
      <c r="AB73" s="4">
        <f t="shared" si="42"/>
        <v>121</v>
      </c>
      <c r="AC73" s="4"/>
      <c r="AD73" s="20">
        <f t="shared" si="43"/>
        <v>382</v>
      </c>
      <c r="AE73" s="6">
        <f t="shared" si="44"/>
        <v>0.68324607329842935</v>
      </c>
      <c r="AF73" s="4">
        <v>47.5</v>
      </c>
      <c r="AG73" s="4" t="str">
        <f t="shared" si="45"/>
        <v>-</v>
      </c>
      <c r="AH73" s="4" t="e">
        <f t="shared" si="46"/>
        <v>#VALUE!</v>
      </c>
      <c r="AI73" s="6" t="e">
        <f t="shared" si="47"/>
        <v>#VALUE!</v>
      </c>
      <c r="AJ73" s="7">
        <v>390</v>
      </c>
      <c r="AK73" s="6">
        <f t="shared" si="48"/>
        <v>0.68974358974358974</v>
      </c>
      <c r="AL73" s="4">
        <f t="shared" si="49"/>
        <v>269</v>
      </c>
      <c r="AM73" s="27"/>
      <c r="AN73" s="6"/>
      <c r="AO73" s="6"/>
      <c r="AP73" s="6" t="e">
        <f t="shared" si="50"/>
        <v>#DIV/0!</v>
      </c>
      <c r="AQ73" s="6">
        <f t="shared" si="51"/>
        <v>1.1782477341389728</v>
      </c>
      <c r="AR73" s="6">
        <f t="shared" si="52"/>
        <v>1.1545801526717558</v>
      </c>
      <c r="AS73" s="4">
        <f t="shared" si="54"/>
        <v>361</v>
      </c>
      <c r="AT73" s="4">
        <f t="shared" si="55"/>
        <v>10</v>
      </c>
      <c r="AU73" s="4">
        <f t="shared" si="56"/>
        <v>99999</v>
      </c>
      <c r="AV73" s="4" t="str">
        <f t="shared" si="57"/>
        <v>-</v>
      </c>
      <c r="AW73" s="4" t="str">
        <f t="shared" si="58"/>
        <v>-</v>
      </c>
      <c r="AX73" s="4" t="str">
        <f t="shared" si="59"/>
        <v>-</v>
      </c>
      <c r="AY73" s="4" t="str">
        <f t="shared" si="60"/>
        <v>-</v>
      </c>
      <c r="AZ73" s="4" t="str">
        <f t="shared" si="61"/>
        <v>-</v>
      </c>
      <c r="BA73" s="4" t="str">
        <f t="shared" si="62"/>
        <v>-</v>
      </c>
      <c r="BB73" s="4" t="s">
        <v>235</v>
      </c>
      <c r="BC73" s="4" t="s">
        <v>238</v>
      </c>
      <c r="BD73" s="4"/>
      <c r="BE73" s="4"/>
      <c r="BF73" s="4" t="s">
        <v>238</v>
      </c>
      <c r="BG73" s="4" t="s">
        <v>238</v>
      </c>
      <c r="BH73" s="4" t="s">
        <v>238</v>
      </c>
      <c r="BI73" s="4" t="str">
        <f t="shared" si="53"/>
        <v>-</v>
      </c>
      <c r="BJ73" s="18">
        <v>4</v>
      </c>
      <c r="BK73" s="18">
        <v>1</v>
      </c>
      <c r="BL73" s="16">
        <v>18</v>
      </c>
      <c r="BM73" t="s">
        <v>317</v>
      </c>
      <c r="BN73">
        <v>361</v>
      </c>
      <c r="BO73">
        <v>361</v>
      </c>
      <c r="BP73">
        <f t="shared" si="63"/>
        <v>416.80343511450388</v>
      </c>
      <c r="BQ73" s="4" t="s">
        <v>238</v>
      </c>
    </row>
    <row r="74" spans="1:69" x14ac:dyDescent="0.4">
      <c r="A74" s="3">
        <v>93</v>
      </c>
      <c r="B74" s="3">
        <v>35</v>
      </c>
      <c r="C74" s="32">
        <v>194699</v>
      </c>
      <c r="D74" s="4" t="str">
        <f t="shared" si="40"/>
        <v>194699</v>
      </c>
      <c r="E74" s="4">
        <v>194734</v>
      </c>
      <c r="F74" s="4" t="s">
        <v>222</v>
      </c>
      <c r="G74" s="5">
        <v>4580417612141</v>
      </c>
      <c r="H74" s="5"/>
      <c r="I74" s="5"/>
      <c r="J74" s="5"/>
      <c r="K74" s="5"/>
      <c r="L74" s="4">
        <v>0</v>
      </c>
      <c r="M74" s="4">
        <v>7184</v>
      </c>
      <c r="N74" s="4">
        <v>2620</v>
      </c>
      <c r="O74" s="6">
        <f t="shared" si="41"/>
        <v>0.6353006681514477</v>
      </c>
      <c r="P74" s="4">
        <v>6820</v>
      </c>
      <c r="Q74" s="4">
        <v>10</v>
      </c>
      <c r="R74" s="4">
        <v>99999</v>
      </c>
      <c r="S74" s="4" t="s">
        <v>238</v>
      </c>
      <c r="T74" s="4" t="s">
        <v>238</v>
      </c>
      <c r="U74" s="4" t="s">
        <v>238</v>
      </c>
      <c r="V74" s="4" t="s">
        <v>238</v>
      </c>
      <c r="W74" s="4" t="s">
        <v>238</v>
      </c>
      <c r="X74" s="4" t="s">
        <v>238</v>
      </c>
      <c r="Y74" s="4">
        <v>0</v>
      </c>
      <c r="Z74" s="4">
        <v>0</v>
      </c>
      <c r="AA74" s="4">
        <v>121</v>
      </c>
      <c r="AB74" s="4">
        <f t="shared" si="42"/>
        <v>3025</v>
      </c>
      <c r="AC74" s="4">
        <v>25</v>
      </c>
      <c r="AD74" s="20">
        <f t="shared" si="43"/>
        <v>8295</v>
      </c>
      <c r="AE74" s="6">
        <f t="shared" si="44"/>
        <v>0.6353224834237492</v>
      </c>
      <c r="AF74" s="4">
        <v>47.5</v>
      </c>
      <c r="AG74" s="4" t="str">
        <f t="shared" si="45"/>
        <v>-</v>
      </c>
      <c r="AH74" s="4" t="e">
        <f t="shared" si="46"/>
        <v>#VALUE!</v>
      </c>
      <c r="AI74" s="6" t="e">
        <f t="shared" si="47"/>
        <v>#VALUE!</v>
      </c>
      <c r="AJ74" s="7">
        <v>9200</v>
      </c>
      <c r="AK74" s="6">
        <f t="shared" si="48"/>
        <v>0.67119565217391308</v>
      </c>
      <c r="AL74" s="4">
        <f t="shared" si="49"/>
        <v>6175</v>
      </c>
      <c r="AM74" s="27"/>
      <c r="AN74" s="6"/>
      <c r="AO74" s="6"/>
      <c r="AP74" s="6" t="e">
        <f t="shared" si="50"/>
        <v>#DIV/0!</v>
      </c>
      <c r="AQ74" s="6">
        <f t="shared" si="51"/>
        <v>1.2806236080178173</v>
      </c>
      <c r="AR74" s="6">
        <f t="shared" si="52"/>
        <v>1.1545801526717556</v>
      </c>
      <c r="AS74" s="4">
        <f t="shared" si="54"/>
        <v>8734</v>
      </c>
      <c r="AT74" s="4">
        <f t="shared" si="55"/>
        <v>10</v>
      </c>
      <c r="AU74" s="4">
        <f t="shared" si="56"/>
        <v>99999</v>
      </c>
      <c r="AV74" s="4" t="str">
        <f t="shared" si="57"/>
        <v>-</v>
      </c>
      <c r="AW74" s="4" t="str">
        <f t="shared" si="58"/>
        <v>-</v>
      </c>
      <c r="AX74" s="4" t="str">
        <f t="shared" si="59"/>
        <v>-</v>
      </c>
      <c r="AY74" s="4" t="str">
        <f t="shared" si="60"/>
        <v>-</v>
      </c>
      <c r="AZ74" s="4" t="str">
        <f t="shared" si="61"/>
        <v>-</v>
      </c>
      <c r="BA74" s="4" t="str">
        <f t="shared" si="62"/>
        <v>-</v>
      </c>
      <c r="BB74" s="4" t="s">
        <v>235</v>
      </c>
      <c r="BC74" s="4" t="s">
        <v>238</v>
      </c>
      <c r="BD74" s="4"/>
      <c r="BE74" s="4"/>
      <c r="BF74" s="4" t="s">
        <v>238</v>
      </c>
      <c r="BG74" s="4" t="s">
        <v>238</v>
      </c>
      <c r="BH74" s="4" t="s">
        <v>238</v>
      </c>
      <c r="BI74" s="4" t="str">
        <f t="shared" si="53"/>
        <v>-</v>
      </c>
      <c r="BJ74" s="18">
        <v>4</v>
      </c>
      <c r="BK74" s="18">
        <v>1</v>
      </c>
      <c r="BL74" s="16">
        <v>18</v>
      </c>
      <c r="BM74" t="s">
        <v>317</v>
      </c>
      <c r="BN74">
        <v>361</v>
      </c>
      <c r="BO74">
        <v>361</v>
      </c>
      <c r="BP74">
        <f t="shared" si="63"/>
        <v>416.80343511450377</v>
      </c>
      <c r="BQ74" s="4" t="s">
        <v>238</v>
      </c>
    </row>
    <row r="75" spans="1:69" x14ac:dyDescent="0.4">
      <c r="A75" s="3">
        <v>36</v>
      </c>
      <c r="B75" s="3">
        <v>36</v>
      </c>
      <c r="C75" s="32">
        <v>194700</v>
      </c>
      <c r="D75" s="4" t="str">
        <f t="shared" si="40"/>
        <v>194700</v>
      </c>
      <c r="E75" s="4">
        <v>194700</v>
      </c>
      <c r="F75" s="4" t="s">
        <v>133</v>
      </c>
      <c r="G75" s="5">
        <v>4580417612158</v>
      </c>
      <c r="H75" s="5"/>
      <c r="I75" s="5"/>
      <c r="J75" s="5">
        <v>2</v>
      </c>
      <c r="K75" s="5">
        <v>2</v>
      </c>
      <c r="L75" s="4">
        <v>0</v>
      </c>
      <c r="M75" s="4">
        <v>371</v>
      </c>
      <c r="N75" s="4">
        <v>121.6</v>
      </c>
      <c r="O75" s="6">
        <f t="shared" si="41"/>
        <v>0.67223719676549865</v>
      </c>
      <c r="P75" s="4">
        <v>336</v>
      </c>
      <c r="Q75" s="4">
        <v>10</v>
      </c>
      <c r="R75" s="4">
        <v>99999</v>
      </c>
      <c r="S75" s="4" t="s">
        <v>238</v>
      </c>
      <c r="T75" s="4" t="s">
        <v>238</v>
      </c>
      <c r="U75" s="4" t="s">
        <v>238</v>
      </c>
      <c r="V75" s="4" t="s">
        <v>238</v>
      </c>
      <c r="W75" s="4" t="s">
        <v>238</v>
      </c>
      <c r="X75" s="4" t="s">
        <v>238</v>
      </c>
      <c r="Y75" s="4">
        <v>0</v>
      </c>
      <c r="Z75" s="4">
        <f>IF(AC75="",Y75,Y75*AC75)</f>
        <v>0</v>
      </c>
      <c r="AA75" s="4">
        <v>140</v>
      </c>
      <c r="AB75" s="4">
        <f t="shared" si="42"/>
        <v>140</v>
      </c>
      <c r="AC75" s="4"/>
      <c r="AD75" s="20">
        <f t="shared" si="43"/>
        <v>427</v>
      </c>
      <c r="AE75" s="6">
        <f t="shared" si="44"/>
        <v>0.67213114754098369</v>
      </c>
      <c r="AF75" s="4">
        <v>154.75</v>
      </c>
      <c r="AG75" s="4" t="str">
        <f t="shared" si="45"/>
        <v>-</v>
      </c>
      <c r="AH75" s="4" t="e">
        <f t="shared" si="46"/>
        <v>#VALUE!</v>
      </c>
      <c r="AI75" s="6" t="e">
        <f t="shared" si="47"/>
        <v>#VALUE!</v>
      </c>
      <c r="AJ75" s="7">
        <v>430</v>
      </c>
      <c r="AK75" s="6">
        <f t="shared" si="48"/>
        <v>0.67441860465116277</v>
      </c>
      <c r="AL75" s="4">
        <f t="shared" si="49"/>
        <v>290</v>
      </c>
      <c r="AM75" s="27"/>
      <c r="AN75" s="6"/>
      <c r="AO75" s="6"/>
      <c r="AP75" s="6" t="e">
        <f t="shared" si="50"/>
        <v>#DIV/0!</v>
      </c>
      <c r="AQ75" s="6">
        <f t="shared" si="51"/>
        <v>1.1590296495956873</v>
      </c>
      <c r="AR75" s="6">
        <f t="shared" si="52"/>
        <v>1.1513157894736843</v>
      </c>
      <c r="AS75" s="4">
        <f t="shared" si="54"/>
        <v>389</v>
      </c>
      <c r="AT75" s="4">
        <f t="shared" si="55"/>
        <v>10</v>
      </c>
      <c r="AU75" s="4">
        <f t="shared" si="56"/>
        <v>99999</v>
      </c>
      <c r="AV75" s="4" t="str">
        <f t="shared" si="57"/>
        <v>-</v>
      </c>
      <c r="AW75" s="4" t="str">
        <f t="shared" si="58"/>
        <v>-</v>
      </c>
      <c r="AX75" s="4" t="str">
        <f t="shared" si="59"/>
        <v>-</v>
      </c>
      <c r="AY75" s="4" t="str">
        <f t="shared" si="60"/>
        <v>-</v>
      </c>
      <c r="AZ75" s="4" t="str">
        <f t="shared" si="61"/>
        <v>-</v>
      </c>
      <c r="BA75" s="4" t="str">
        <f t="shared" si="62"/>
        <v>-</v>
      </c>
      <c r="BB75" s="4" t="s">
        <v>235</v>
      </c>
      <c r="BC75" s="4" t="s">
        <v>238</v>
      </c>
      <c r="BD75" s="4"/>
      <c r="BE75" s="4"/>
      <c r="BF75" s="4" t="s">
        <v>238</v>
      </c>
      <c r="BG75" s="4" t="s">
        <v>238</v>
      </c>
      <c r="BH75" s="4" t="s">
        <v>238</v>
      </c>
      <c r="BI75" s="4" t="str">
        <f t="shared" si="53"/>
        <v>-</v>
      </c>
      <c r="BJ75" s="18">
        <v>4</v>
      </c>
      <c r="BK75" s="18">
        <v>1</v>
      </c>
      <c r="BL75" s="16">
        <v>18</v>
      </c>
      <c r="BM75" t="s">
        <v>317</v>
      </c>
      <c r="BN75">
        <v>456</v>
      </c>
      <c r="BO75">
        <v>456</v>
      </c>
      <c r="BP75">
        <f t="shared" si="63"/>
        <v>525</v>
      </c>
      <c r="BQ75" s="4" t="s">
        <v>238</v>
      </c>
    </row>
    <row r="76" spans="1:69" x14ac:dyDescent="0.4">
      <c r="A76" s="3">
        <v>94</v>
      </c>
      <c r="B76" s="3">
        <v>36</v>
      </c>
      <c r="C76" s="32">
        <v>194700</v>
      </c>
      <c r="D76" s="4" t="str">
        <f t="shared" si="40"/>
        <v>194700</v>
      </c>
      <c r="E76" s="4">
        <v>194735</v>
      </c>
      <c r="F76" s="4" t="s">
        <v>223</v>
      </c>
      <c r="G76" s="5">
        <v>4580417612158</v>
      </c>
      <c r="H76" s="5"/>
      <c r="I76" s="5"/>
      <c r="J76" s="5"/>
      <c r="K76" s="5"/>
      <c r="L76" s="4">
        <v>0</v>
      </c>
      <c r="M76" s="4">
        <v>5202</v>
      </c>
      <c r="N76" s="4">
        <v>1824</v>
      </c>
      <c r="O76" s="6">
        <f t="shared" si="41"/>
        <v>0.64936562860438296</v>
      </c>
      <c r="P76" s="4">
        <v>4940</v>
      </c>
      <c r="Q76" s="4">
        <v>10</v>
      </c>
      <c r="R76" s="4">
        <v>99999</v>
      </c>
      <c r="S76" s="4" t="s">
        <v>238</v>
      </c>
      <c r="T76" s="4" t="s">
        <v>238</v>
      </c>
      <c r="U76" s="4" t="s">
        <v>238</v>
      </c>
      <c r="V76" s="4" t="s">
        <v>238</v>
      </c>
      <c r="W76" s="4" t="s">
        <v>238</v>
      </c>
      <c r="X76" s="4" t="s">
        <v>238</v>
      </c>
      <c r="Y76" s="4">
        <v>0</v>
      </c>
      <c r="Z76" s="4">
        <v>0</v>
      </c>
      <c r="AA76" s="4">
        <v>140</v>
      </c>
      <c r="AB76" s="4">
        <f t="shared" si="42"/>
        <v>2100</v>
      </c>
      <c r="AC76" s="4">
        <v>15</v>
      </c>
      <c r="AD76" s="20">
        <f t="shared" si="43"/>
        <v>5989</v>
      </c>
      <c r="AE76" s="6">
        <f t="shared" si="44"/>
        <v>0.64935715478377021</v>
      </c>
      <c r="AF76" s="4">
        <v>154.75</v>
      </c>
      <c r="AG76" s="4" t="str">
        <f t="shared" si="45"/>
        <v>-</v>
      </c>
      <c r="AH76" s="4" t="e">
        <f t="shared" si="46"/>
        <v>#VALUE!</v>
      </c>
      <c r="AI76" s="6" t="e">
        <f t="shared" si="47"/>
        <v>#VALUE!</v>
      </c>
      <c r="AJ76" s="7">
        <v>6100</v>
      </c>
      <c r="AK76" s="6">
        <f t="shared" si="48"/>
        <v>0.65573770491803285</v>
      </c>
      <c r="AL76" s="4">
        <f t="shared" si="49"/>
        <v>4000</v>
      </c>
      <c r="AM76" s="27"/>
      <c r="AN76" s="6"/>
      <c r="AO76" s="6"/>
      <c r="AP76" s="6" t="e">
        <f t="shared" si="50"/>
        <v>#DIV/0!</v>
      </c>
      <c r="AQ76" s="6">
        <f t="shared" si="51"/>
        <v>1.1726259131103423</v>
      </c>
      <c r="AR76" s="6">
        <f t="shared" si="52"/>
        <v>1.1513157894736843</v>
      </c>
      <c r="AS76" s="4">
        <f t="shared" si="54"/>
        <v>5793</v>
      </c>
      <c r="AT76" s="4">
        <f t="shared" si="55"/>
        <v>10</v>
      </c>
      <c r="AU76" s="4">
        <f t="shared" si="56"/>
        <v>99999</v>
      </c>
      <c r="AV76" s="4" t="str">
        <f t="shared" si="57"/>
        <v>-</v>
      </c>
      <c r="AW76" s="4" t="str">
        <f t="shared" si="58"/>
        <v>-</v>
      </c>
      <c r="AX76" s="4" t="str">
        <f t="shared" si="59"/>
        <v>-</v>
      </c>
      <c r="AY76" s="4" t="str">
        <f t="shared" si="60"/>
        <v>-</v>
      </c>
      <c r="AZ76" s="4" t="str">
        <f t="shared" si="61"/>
        <v>-</v>
      </c>
      <c r="BA76" s="4" t="str">
        <f t="shared" si="62"/>
        <v>-</v>
      </c>
      <c r="BB76" s="4" t="s">
        <v>235</v>
      </c>
      <c r="BC76" s="4" t="s">
        <v>238</v>
      </c>
      <c r="BD76" s="4"/>
      <c r="BE76" s="4"/>
      <c r="BF76" s="4" t="s">
        <v>238</v>
      </c>
      <c r="BG76" s="4" t="s">
        <v>238</v>
      </c>
      <c r="BH76" s="4" t="s">
        <v>238</v>
      </c>
      <c r="BI76" s="4" t="str">
        <f t="shared" si="53"/>
        <v>-</v>
      </c>
      <c r="BJ76" s="18">
        <v>4</v>
      </c>
      <c r="BK76" s="18">
        <v>1</v>
      </c>
      <c r="BL76" s="16">
        <v>18</v>
      </c>
      <c r="BM76" t="s">
        <v>317</v>
      </c>
      <c r="BN76">
        <v>456</v>
      </c>
      <c r="BO76">
        <v>456</v>
      </c>
      <c r="BP76">
        <f t="shared" si="63"/>
        <v>525</v>
      </c>
      <c r="BQ76" s="4" t="s">
        <v>238</v>
      </c>
    </row>
    <row r="77" spans="1:69" x14ac:dyDescent="0.4">
      <c r="A77" s="3">
        <v>37</v>
      </c>
      <c r="B77" s="3">
        <v>37</v>
      </c>
      <c r="C77" s="32">
        <v>194701</v>
      </c>
      <c r="D77" s="4" t="str">
        <f t="shared" si="40"/>
        <v>194701</v>
      </c>
      <c r="E77" s="4">
        <v>194701</v>
      </c>
      <c r="F77" s="4" t="s">
        <v>134</v>
      </c>
      <c r="G77" s="5">
        <v>4580417612165</v>
      </c>
      <c r="H77" s="5"/>
      <c r="I77" s="5"/>
      <c r="J77" s="5">
        <v>2</v>
      </c>
      <c r="K77" s="5">
        <v>2</v>
      </c>
      <c r="L77" s="4">
        <v>0</v>
      </c>
      <c r="M77" s="4">
        <v>466</v>
      </c>
      <c r="N77" s="4">
        <v>144.19999999999999</v>
      </c>
      <c r="O77" s="6">
        <f t="shared" si="41"/>
        <v>0.69055793991416303</v>
      </c>
      <c r="P77" s="4">
        <v>420</v>
      </c>
      <c r="Q77" s="4">
        <v>10</v>
      </c>
      <c r="R77" s="4">
        <v>99999</v>
      </c>
      <c r="S77" s="4" t="s">
        <v>238</v>
      </c>
      <c r="T77" s="4" t="s">
        <v>238</v>
      </c>
      <c r="U77" s="4" t="s">
        <v>238</v>
      </c>
      <c r="V77" s="4" t="s">
        <v>238</v>
      </c>
      <c r="W77" s="4" t="s">
        <v>238</v>
      </c>
      <c r="X77" s="4" t="s">
        <v>238</v>
      </c>
      <c r="Y77" s="4">
        <v>0</v>
      </c>
      <c r="Z77" s="4">
        <f>IF(AC77="",Y77,Y77*AC77)</f>
        <v>0</v>
      </c>
      <c r="AA77" s="4">
        <v>166</v>
      </c>
      <c r="AB77" s="4">
        <f t="shared" si="42"/>
        <v>166</v>
      </c>
      <c r="AC77" s="4"/>
      <c r="AD77" s="20">
        <f t="shared" si="43"/>
        <v>536</v>
      </c>
      <c r="AE77" s="6">
        <f t="shared" si="44"/>
        <v>0.69029850746268662</v>
      </c>
      <c r="AF77" s="4">
        <v>78.5</v>
      </c>
      <c r="AG77" s="4" t="str">
        <f t="shared" si="45"/>
        <v>-</v>
      </c>
      <c r="AH77" s="4" t="e">
        <f t="shared" si="46"/>
        <v>#VALUE!</v>
      </c>
      <c r="AI77" s="6" t="e">
        <f t="shared" si="47"/>
        <v>#VALUE!</v>
      </c>
      <c r="AJ77" s="7">
        <v>538</v>
      </c>
      <c r="AK77" s="6">
        <f t="shared" si="48"/>
        <v>0.69144981412639406</v>
      </c>
      <c r="AL77" s="4">
        <f t="shared" si="49"/>
        <v>372</v>
      </c>
      <c r="AM77" s="27"/>
      <c r="AN77" s="6"/>
      <c r="AO77" s="6"/>
      <c r="AP77" s="6" t="e">
        <f t="shared" si="50"/>
        <v>#DIV/0!</v>
      </c>
      <c r="AQ77" s="6">
        <f t="shared" si="51"/>
        <v>1.1545064377682404</v>
      </c>
      <c r="AR77" s="6">
        <f t="shared" si="52"/>
        <v>1.1511789181692096</v>
      </c>
      <c r="AS77" s="4">
        <f t="shared" si="54"/>
        <v>485</v>
      </c>
      <c r="AT77" s="4">
        <f t="shared" si="55"/>
        <v>10</v>
      </c>
      <c r="AU77" s="4">
        <f t="shared" si="56"/>
        <v>99999</v>
      </c>
      <c r="AV77" s="4" t="str">
        <f t="shared" si="57"/>
        <v>-</v>
      </c>
      <c r="AW77" s="4" t="str">
        <f t="shared" si="58"/>
        <v>-</v>
      </c>
      <c r="AX77" s="4" t="str">
        <f t="shared" si="59"/>
        <v>-</v>
      </c>
      <c r="AY77" s="4" t="str">
        <f t="shared" si="60"/>
        <v>-</v>
      </c>
      <c r="AZ77" s="4" t="str">
        <f t="shared" si="61"/>
        <v>-</v>
      </c>
      <c r="BA77" s="4" t="str">
        <f t="shared" si="62"/>
        <v>-</v>
      </c>
      <c r="BB77" s="4" t="s">
        <v>235</v>
      </c>
      <c r="BC77" s="4" t="s">
        <v>238</v>
      </c>
      <c r="BD77" s="4"/>
      <c r="BE77" s="4"/>
      <c r="BF77" s="4" t="s">
        <v>238</v>
      </c>
      <c r="BG77" s="4" t="s">
        <v>238</v>
      </c>
      <c r="BH77" s="4" t="s">
        <v>238</v>
      </c>
      <c r="BI77" s="4" t="str">
        <f t="shared" si="53"/>
        <v>-</v>
      </c>
      <c r="BJ77" s="18">
        <v>4</v>
      </c>
      <c r="BK77" s="18">
        <v>1</v>
      </c>
      <c r="BL77" s="16">
        <v>18</v>
      </c>
      <c r="BM77" t="s">
        <v>317</v>
      </c>
      <c r="BN77">
        <v>456</v>
      </c>
      <c r="BO77">
        <v>456</v>
      </c>
      <c r="BP77">
        <f t="shared" si="63"/>
        <v>524.93758668515954</v>
      </c>
      <c r="BQ77" s="4" t="s">
        <v>238</v>
      </c>
    </row>
    <row r="78" spans="1:69" x14ac:dyDescent="0.4">
      <c r="A78" s="3">
        <v>95</v>
      </c>
      <c r="B78" s="3">
        <v>37</v>
      </c>
      <c r="C78" s="32">
        <v>194701</v>
      </c>
      <c r="D78" s="4" t="str">
        <f t="shared" si="40"/>
        <v>194701</v>
      </c>
      <c r="E78" s="4">
        <v>194736</v>
      </c>
      <c r="F78" s="4" t="s">
        <v>224</v>
      </c>
      <c r="G78" s="5">
        <v>4580417612165</v>
      </c>
      <c r="H78" s="5"/>
      <c r="I78" s="5"/>
      <c r="J78" s="5"/>
      <c r="K78" s="5"/>
      <c r="L78" s="4">
        <v>0</v>
      </c>
      <c r="M78" s="4">
        <v>5763</v>
      </c>
      <c r="N78" s="4">
        <v>2163</v>
      </c>
      <c r="O78" s="6">
        <f t="shared" si="41"/>
        <v>0.62467464862051014</v>
      </c>
      <c r="P78" s="4">
        <v>5480</v>
      </c>
      <c r="Q78" s="4">
        <v>10</v>
      </c>
      <c r="R78" s="4">
        <v>99999</v>
      </c>
      <c r="S78" s="4" t="s">
        <v>238</v>
      </c>
      <c r="T78" s="4" t="s">
        <v>238</v>
      </c>
      <c r="U78" s="4" t="s">
        <v>238</v>
      </c>
      <c r="V78" s="4" t="s">
        <v>238</v>
      </c>
      <c r="W78" s="4" t="s">
        <v>238</v>
      </c>
      <c r="X78" s="4" t="s">
        <v>238</v>
      </c>
      <c r="Y78" s="4">
        <v>0</v>
      </c>
      <c r="Z78" s="4">
        <v>0</v>
      </c>
      <c r="AA78" s="4">
        <v>166</v>
      </c>
      <c r="AB78" s="4">
        <f t="shared" si="42"/>
        <v>2490</v>
      </c>
      <c r="AC78" s="4">
        <v>15</v>
      </c>
      <c r="AD78" s="20">
        <f t="shared" si="43"/>
        <v>6634</v>
      </c>
      <c r="AE78" s="6">
        <f t="shared" si="44"/>
        <v>0.6246608381067229</v>
      </c>
      <c r="AF78" s="4">
        <v>78.5</v>
      </c>
      <c r="AG78" s="4" t="str">
        <f t="shared" si="45"/>
        <v>-</v>
      </c>
      <c r="AH78" s="4" t="e">
        <f t="shared" si="46"/>
        <v>#VALUE!</v>
      </c>
      <c r="AI78" s="6" t="e">
        <f t="shared" si="47"/>
        <v>#VALUE!</v>
      </c>
      <c r="AJ78" s="7">
        <v>7500</v>
      </c>
      <c r="AK78" s="6">
        <f t="shared" si="48"/>
        <v>0.66799999999999993</v>
      </c>
      <c r="AL78" s="4">
        <f t="shared" si="49"/>
        <v>5010</v>
      </c>
      <c r="AM78" s="27"/>
      <c r="AN78" s="6"/>
      <c r="AO78" s="6"/>
      <c r="AP78" s="6" t="e">
        <f t="shared" si="50"/>
        <v>#DIV/0!</v>
      </c>
      <c r="AQ78" s="6">
        <f t="shared" si="51"/>
        <v>1.3014055179593962</v>
      </c>
      <c r="AR78" s="6">
        <f t="shared" si="52"/>
        <v>1.1511789181692094</v>
      </c>
      <c r="AS78" s="4">
        <f t="shared" si="54"/>
        <v>7132</v>
      </c>
      <c r="AT78" s="4">
        <f t="shared" si="55"/>
        <v>10</v>
      </c>
      <c r="AU78" s="4">
        <f t="shared" si="56"/>
        <v>99999</v>
      </c>
      <c r="AV78" s="4" t="str">
        <f t="shared" si="57"/>
        <v>-</v>
      </c>
      <c r="AW78" s="4" t="str">
        <f t="shared" si="58"/>
        <v>-</v>
      </c>
      <c r="AX78" s="4" t="str">
        <f t="shared" si="59"/>
        <v>-</v>
      </c>
      <c r="AY78" s="4" t="str">
        <f t="shared" si="60"/>
        <v>-</v>
      </c>
      <c r="AZ78" s="4" t="str">
        <f t="shared" si="61"/>
        <v>-</v>
      </c>
      <c r="BA78" s="4" t="str">
        <f t="shared" si="62"/>
        <v>-</v>
      </c>
      <c r="BB78" s="4" t="s">
        <v>235</v>
      </c>
      <c r="BC78" s="4" t="s">
        <v>238</v>
      </c>
      <c r="BD78" s="4"/>
      <c r="BE78" s="4"/>
      <c r="BF78" s="4" t="s">
        <v>238</v>
      </c>
      <c r="BG78" s="4" t="s">
        <v>238</v>
      </c>
      <c r="BH78" s="4" t="s">
        <v>238</v>
      </c>
      <c r="BI78" s="4" t="str">
        <f t="shared" si="53"/>
        <v>-</v>
      </c>
      <c r="BJ78" s="18">
        <v>4</v>
      </c>
      <c r="BK78" s="18">
        <v>1</v>
      </c>
      <c r="BL78" s="16">
        <v>18</v>
      </c>
      <c r="BM78" t="s">
        <v>317</v>
      </c>
      <c r="BN78">
        <v>456</v>
      </c>
      <c r="BO78">
        <v>456</v>
      </c>
      <c r="BP78">
        <f t="shared" si="63"/>
        <v>524.93758668515943</v>
      </c>
      <c r="BQ78" s="4" t="s">
        <v>238</v>
      </c>
    </row>
    <row r="79" spans="1:69" x14ac:dyDescent="0.4">
      <c r="A79" s="3">
        <v>38</v>
      </c>
      <c r="B79" s="3">
        <v>38</v>
      </c>
      <c r="C79" s="32" t="s">
        <v>92</v>
      </c>
      <c r="D79" s="4" t="str">
        <f t="shared" si="40"/>
        <v>J457WK</v>
      </c>
      <c r="E79" s="4" t="s">
        <v>92</v>
      </c>
      <c r="F79" s="4" t="s">
        <v>135</v>
      </c>
      <c r="G79" s="5">
        <v>4580417610789</v>
      </c>
      <c r="H79" s="5"/>
      <c r="I79" s="5"/>
      <c r="J79" s="5">
        <v>3</v>
      </c>
      <c r="K79" s="5">
        <v>1</v>
      </c>
      <c r="L79" s="4">
        <v>0</v>
      </c>
      <c r="M79" s="4">
        <v>122</v>
      </c>
      <c r="N79" s="4">
        <v>71</v>
      </c>
      <c r="O79" s="6">
        <f t="shared" si="41"/>
        <v>0.41803278688524592</v>
      </c>
      <c r="P79" s="4" t="s">
        <v>238</v>
      </c>
      <c r="Q79" s="4" t="s">
        <v>238</v>
      </c>
      <c r="R79" s="4" t="s">
        <v>238</v>
      </c>
      <c r="S79" s="4" t="s">
        <v>238</v>
      </c>
      <c r="T79" s="4" t="s">
        <v>238</v>
      </c>
      <c r="U79" s="4" t="s">
        <v>238</v>
      </c>
      <c r="V79" s="4" t="s">
        <v>238</v>
      </c>
      <c r="W79" s="4" t="s">
        <v>238</v>
      </c>
      <c r="X79" s="4" t="s">
        <v>238</v>
      </c>
      <c r="Y79" s="4">
        <v>0</v>
      </c>
      <c r="Z79" s="4">
        <f t="shared" ref="Z79:Z86" si="64">IF(AC79="",Y79,Y79*AC79)</f>
        <v>0</v>
      </c>
      <c r="AA79" s="4">
        <v>82</v>
      </c>
      <c r="AB79" s="4">
        <f t="shared" si="42"/>
        <v>82</v>
      </c>
      <c r="AC79" s="4"/>
      <c r="AD79" s="20">
        <f t="shared" si="43"/>
        <v>141</v>
      </c>
      <c r="AE79" s="6">
        <f t="shared" si="44"/>
        <v>0.41843971631205679</v>
      </c>
      <c r="AF79" s="4">
        <v>9.5</v>
      </c>
      <c r="AG79" s="4">
        <f t="shared" si="45"/>
        <v>143</v>
      </c>
      <c r="AH79" s="4">
        <f t="shared" si="46"/>
        <v>165.1549295774648</v>
      </c>
      <c r="AI79" s="6">
        <f t="shared" si="47"/>
        <v>0.50349650349650354</v>
      </c>
      <c r="AJ79" s="7">
        <v>150</v>
      </c>
      <c r="AK79" s="6">
        <f t="shared" si="48"/>
        <v>0.45333333333333337</v>
      </c>
      <c r="AL79" s="4">
        <f t="shared" si="49"/>
        <v>68</v>
      </c>
      <c r="AM79" s="27"/>
      <c r="AN79" s="6"/>
      <c r="AO79" s="6"/>
      <c r="AP79" s="6" t="e">
        <f t="shared" si="50"/>
        <v>#DIV/0!</v>
      </c>
      <c r="AQ79" s="6">
        <f t="shared" si="51"/>
        <v>1.2295081967213115</v>
      </c>
      <c r="AR79" s="6">
        <f t="shared" si="52"/>
        <v>1.1549295774647887</v>
      </c>
      <c r="AS79" s="4" t="str">
        <f t="shared" si="54"/>
        <v>-</v>
      </c>
      <c r="AT79" s="4" t="str">
        <f t="shared" si="55"/>
        <v>-</v>
      </c>
      <c r="AU79" s="4" t="str">
        <f t="shared" si="56"/>
        <v>-</v>
      </c>
      <c r="AV79" s="4" t="str">
        <f t="shared" si="57"/>
        <v>-</v>
      </c>
      <c r="AW79" s="4" t="str">
        <f t="shared" si="58"/>
        <v>-</v>
      </c>
      <c r="AX79" s="4" t="str">
        <f t="shared" si="59"/>
        <v>-</v>
      </c>
      <c r="AY79" s="4" t="str">
        <f t="shared" si="60"/>
        <v>-</v>
      </c>
      <c r="AZ79" s="4" t="str">
        <f t="shared" si="61"/>
        <v>-</v>
      </c>
      <c r="BA79" s="4" t="str">
        <f t="shared" si="62"/>
        <v>-</v>
      </c>
      <c r="BB79" s="4">
        <v>0</v>
      </c>
      <c r="BC79" s="4" t="s">
        <v>305</v>
      </c>
      <c r="BD79" s="4"/>
      <c r="BE79" s="4"/>
      <c r="BF79" s="4" t="s">
        <v>277</v>
      </c>
      <c r="BG79" s="4">
        <v>143</v>
      </c>
      <c r="BH79" s="4">
        <v>143</v>
      </c>
      <c r="BI79" s="4">
        <f t="shared" si="53"/>
        <v>143</v>
      </c>
      <c r="BJ79" s="18">
        <v>4</v>
      </c>
      <c r="BK79" s="18">
        <v>1</v>
      </c>
      <c r="BL79" s="16">
        <v>18</v>
      </c>
      <c r="BM79" t="s">
        <v>317</v>
      </c>
      <c r="BN79">
        <v>143</v>
      </c>
      <c r="BO79">
        <v>143</v>
      </c>
      <c r="BP79">
        <f t="shared" si="63"/>
        <v>165.1549295774648</v>
      </c>
      <c r="BQ79" s="4" t="s">
        <v>267</v>
      </c>
    </row>
    <row r="80" spans="1:69" x14ac:dyDescent="0.4">
      <c r="A80" s="3">
        <v>78</v>
      </c>
      <c r="B80" s="3">
        <v>38</v>
      </c>
      <c r="C80" s="32" t="s">
        <v>174</v>
      </c>
      <c r="D80" s="4" t="str">
        <f t="shared" si="40"/>
        <v>6101AR</v>
      </c>
      <c r="E80" s="4" t="s">
        <v>176</v>
      </c>
      <c r="F80" s="4" t="s">
        <v>207</v>
      </c>
      <c r="G80" s="5">
        <v>4580417610789</v>
      </c>
      <c r="H80" s="5"/>
      <c r="I80" s="5"/>
      <c r="J80" s="5"/>
      <c r="K80" s="5"/>
      <c r="L80" s="4">
        <v>0</v>
      </c>
      <c r="M80" s="4">
        <v>2137</v>
      </c>
      <c r="N80" s="4">
        <v>1420</v>
      </c>
      <c r="O80" s="6">
        <f t="shared" si="41"/>
        <v>0.33551708001871783</v>
      </c>
      <c r="P80" s="4">
        <v>2011</v>
      </c>
      <c r="Q80" s="4">
        <v>3</v>
      </c>
      <c r="R80" s="4">
        <v>5</v>
      </c>
      <c r="S80" s="4">
        <v>1718</v>
      </c>
      <c r="T80" s="4">
        <v>6</v>
      </c>
      <c r="U80" s="4">
        <v>11</v>
      </c>
      <c r="V80" s="4">
        <v>1690</v>
      </c>
      <c r="W80" s="4">
        <v>12</v>
      </c>
      <c r="X80" s="4">
        <v>99999</v>
      </c>
      <c r="Y80" s="4">
        <v>0</v>
      </c>
      <c r="Z80" s="4">
        <f t="shared" si="64"/>
        <v>0</v>
      </c>
      <c r="AA80" s="4">
        <v>82</v>
      </c>
      <c r="AB80" s="4">
        <f t="shared" si="42"/>
        <v>1640</v>
      </c>
      <c r="AC80" s="4">
        <v>20</v>
      </c>
      <c r="AD80" s="20">
        <f t="shared" si="43"/>
        <v>2468</v>
      </c>
      <c r="AE80" s="6">
        <f t="shared" si="44"/>
        <v>0.3354943273905997</v>
      </c>
      <c r="AF80" s="4">
        <v>0</v>
      </c>
      <c r="AG80" s="4">
        <f t="shared" si="45"/>
        <v>2860</v>
      </c>
      <c r="AH80" s="4">
        <f t="shared" si="46"/>
        <v>3303.0985915492956</v>
      </c>
      <c r="AI80" s="6">
        <f t="shared" si="47"/>
        <v>0.50349650349650354</v>
      </c>
      <c r="AJ80" s="7">
        <v>2850</v>
      </c>
      <c r="AK80" s="6">
        <f t="shared" si="48"/>
        <v>0.42456140350877192</v>
      </c>
      <c r="AL80" s="4">
        <f t="shared" si="49"/>
        <v>1210</v>
      </c>
      <c r="AM80" s="27"/>
      <c r="AN80" s="6"/>
      <c r="AO80" s="6"/>
      <c r="AP80" s="6" t="e">
        <f t="shared" si="50"/>
        <v>#DIV/0!</v>
      </c>
      <c r="AQ80" s="6">
        <f t="shared" si="51"/>
        <v>1.333645297145531</v>
      </c>
      <c r="AR80" s="6">
        <f t="shared" si="52"/>
        <v>1.1549295774647887</v>
      </c>
      <c r="AS80" s="4">
        <f t="shared" si="54"/>
        <v>2682</v>
      </c>
      <c r="AT80" s="4">
        <f t="shared" si="55"/>
        <v>3</v>
      </c>
      <c r="AU80" s="4">
        <f t="shared" si="56"/>
        <v>5</v>
      </c>
      <c r="AV80" s="4">
        <f t="shared" si="57"/>
        <v>2291</v>
      </c>
      <c r="AW80" s="4">
        <f t="shared" si="58"/>
        <v>6</v>
      </c>
      <c r="AX80" s="4">
        <f t="shared" si="59"/>
        <v>11</v>
      </c>
      <c r="AY80" s="4">
        <f t="shared" si="60"/>
        <v>2254</v>
      </c>
      <c r="AZ80" s="4">
        <f t="shared" si="61"/>
        <v>12</v>
      </c>
      <c r="BA80" s="4">
        <f t="shared" si="62"/>
        <v>99999</v>
      </c>
      <c r="BB80" s="4">
        <v>0</v>
      </c>
      <c r="BC80" s="4" t="s">
        <v>305</v>
      </c>
      <c r="BD80" s="4">
        <v>20</v>
      </c>
      <c r="BE80" s="4">
        <v>1</v>
      </c>
      <c r="BF80" s="4" t="s">
        <v>277</v>
      </c>
      <c r="BG80" s="4">
        <v>143</v>
      </c>
      <c r="BH80" s="4">
        <v>143</v>
      </c>
      <c r="BI80" s="4">
        <f t="shared" si="53"/>
        <v>2860</v>
      </c>
      <c r="BJ80" s="18">
        <v>4</v>
      </c>
      <c r="BK80" s="18">
        <v>1</v>
      </c>
      <c r="BL80" s="16">
        <v>18</v>
      </c>
      <c r="BM80" t="s">
        <v>317</v>
      </c>
      <c r="BN80">
        <v>143</v>
      </c>
      <c r="BO80">
        <v>143</v>
      </c>
      <c r="BP80">
        <f t="shared" si="63"/>
        <v>165.1549295774648</v>
      </c>
      <c r="BQ80" s="4" t="s">
        <v>267</v>
      </c>
    </row>
    <row r="81" spans="1:69" x14ac:dyDescent="0.4">
      <c r="A81" s="3">
        <v>79</v>
      </c>
      <c r="B81" s="3">
        <v>38</v>
      </c>
      <c r="C81" s="32" t="s">
        <v>174</v>
      </c>
      <c r="D81" s="4" t="str">
        <f t="shared" si="40"/>
        <v>6101AR</v>
      </c>
      <c r="E81" s="4" t="s">
        <v>174</v>
      </c>
      <c r="F81" s="4" t="s">
        <v>208</v>
      </c>
      <c r="G81" s="5">
        <v>4580417610789</v>
      </c>
      <c r="H81" s="5"/>
      <c r="I81" s="5"/>
      <c r="J81" s="5"/>
      <c r="K81" s="5"/>
      <c r="L81" s="4">
        <v>0</v>
      </c>
      <c r="M81" s="4">
        <v>116</v>
      </c>
      <c r="N81" s="4">
        <v>71</v>
      </c>
      <c r="O81" s="6">
        <f t="shared" si="41"/>
        <v>0.38793103448275867</v>
      </c>
      <c r="P81" s="4">
        <v>114</v>
      </c>
      <c r="Q81" s="4">
        <v>5</v>
      </c>
      <c r="R81" s="4">
        <v>9</v>
      </c>
      <c r="S81" s="4">
        <v>110</v>
      </c>
      <c r="T81" s="4">
        <v>10</v>
      </c>
      <c r="U81" s="4">
        <v>99999</v>
      </c>
      <c r="V81" s="4" t="s">
        <v>238</v>
      </c>
      <c r="W81" s="4" t="s">
        <v>238</v>
      </c>
      <c r="X81" s="4" t="s">
        <v>238</v>
      </c>
      <c r="Y81" s="4">
        <v>0</v>
      </c>
      <c r="Z81" s="4">
        <f t="shared" si="64"/>
        <v>0</v>
      </c>
      <c r="AA81" s="4">
        <v>82</v>
      </c>
      <c r="AB81" s="4">
        <f t="shared" si="42"/>
        <v>82</v>
      </c>
      <c r="AC81" s="4"/>
      <c r="AD81" s="20">
        <f t="shared" si="43"/>
        <v>134</v>
      </c>
      <c r="AE81" s="6">
        <f t="shared" si="44"/>
        <v>0.38805970149253732</v>
      </c>
      <c r="AF81" s="4">
        <v>0</v>
      </c>
      <c r="AG81" s="4">
        <f t="shared" si="45"/>
        <v>143</v>
      </c>
      <c r="AH81" s="4">
        <f t="shared" si="46"/>
        <v>165.1549295774648</v>
      </c>
      <c r="AI81" s="6">
        <f t="shared" si="47"/>
        <v>0.50349650349650354</v>
      </c>
      <c r="AJ81" s="7">
        <v>150</v>
      </c>
      <c r="AK81" s="6">
        <f t="shared" si="48"/>
        <v>0.45333333333333337</v>
      </c>
      <c r="AL81" s="4">
        <f t="shared" si="49"/>
        <v>68</v>
      </c>
      <c r="AM81" s="27"/>
      <c r="AN81" s="6"/>
      <c r="AO81" s="6"/>
      <c r="AP81" s="6" t="e">
        <f t="shared" si="50"/>
        <v>#DIV/0!</v>
      </c>
      <c r="AQ81" s="6">
        <f t="shared" si="51"/>
        <v>1.2931034482758621</v>
      </c>
      <c r="AR81" s="6">
        <f t="shared" si="52"/>
        <v>1.1549295774647887</v>
      </c>
      <c r="AS81" s="4">
        <f t="shared" si="54"/>
        <v>147</v>
      </c>
      <c r="AT81" s="4">
        <f t="shared" si="55"/>
        <v>5</v>
      </c>
      <c r="AU81" s="4">
        <f t="shared" si="56"/>
        <v>9</v>
      </c>
      <c r="AV81" s="4">
        <f t="shared" si="57"/>
        <v>142</v>
      </c>
      <c r="AW81" s="4">
        <f t="shared" si="58"/>
        <v>10</v>
      </c>
      <c r="AX81" s="4">
        <f t="shared" si="59"/>
        <v>99999</v>
      </c>
      <c r="AY81" s="4" t="str">
        <f t="shared" si="60"/>
        <v>-</v>
      </c>
      <c r="AZ81" s="4" t="str">
        <f t="shared" si="61"/>
        <v>-</v>
      </c>
      <c r="BA81" s="4" t="str">
        <f t="shared" si="62"/>
        <v>-</v>
      </c>
      <c r="BB81" s="4">
        <v>0</v>
      </c>
      <c r="BC81" s="4" t="s">
        <v>305</v>
      </c>
      <c r="BD81" s="4"/>
      <c r="BE81" s="4"/>
      <c r="BF81" s="4" t="s">
        <v>277</v>
      </c>
      <c r="BG81" s="4">
        <v>143</v>
      </c>
      <c r="BH81" s="4">
        <v>143</v>
      </c>
      <c r="BI81" s="4">
        <f t="shared" si="53"/>
        <v>143</v>
      </c>
      <c r="BJ81" s="18">
        <v>4</v>
      </c>
      <c r="BK81" s="18">
        <v>1</v>
      </c>
      <c r="BL81" s="16">
        <v>18</v>
      </c>
      <c r="BM81" t="s">
        <v>317</v>
      </c>
      <c r="BN81">
        <v>143</v>
      </c>
      <c r="BO81">
        <v>143</v>
      </c>
      <c r="BP81">
        <f t="shared" si="63"/>
        <v>165.1549295774648</v>
      </c>
      <c r="BQ81" s="4" t="s">
        <v>267</v>
      </c>
    </row>
    <row r="82" spans="1:69" x14ac:dyDescent="0.4">
      <c r="A82" s="3">
        <v>39</v>
      </c>
      <c r="B82" s="3">
        <v>39</v>
      </c>
      <c r="C82" s="4" t="s">
        <v>93</v>
      </c>
      <c r="D82" s="4" t="str">
        <f t="shared" si="40"/>
        <v>J460WK</v>
      </c>
      <c r="E82" s="4" t="s">
        <v>93</v>
      </c>
      <c r="F82" s="4" t="s">
        <v>136</v>
      </c>
      <c r="G82" s="5">
        <v>4580417610796</v>
      </c>
      <c r="H82" s="5"/>
      <c r="I82" s="5"/>
      <c r="J82" s="5">
        <v>1</v>
      </c>
      <c r="K82" s="5">
        <v>1</v>
      </c>
      <c r="L82" s="4">
        <v>0</v>
      </c>
      <c r="M82" s="4">
        <v>153</v>
      </c>
      <c r="N82" s="4">
        <v>89</v>
      </c>
      <c r="O82" s="6">
        <f t="shared" si="41"/>
        <v>0.4183006535947712</v>
      </c>
      <c r="P82" s="4" t="s">
        <v>238</v>
      </c>
      <c r="Q82" s="4" t="s">
        <v>238</v>
      </c>
      <c r="R82" s="4" t="s">
        <v>238</v>
      </c>
      <c r="S82" s="4" t="s">
        <v>238</v>
      </c>
      <c r="T82" s="4" t="s">
        <v>238</v>
      </c>
      <c r="U82" s="4" t="s">
        <v>238</v>
      </c>
      <c r="V82" s="4" t="s">
        <v>238</v>
      </c>
      <c r="W82" s="4" t="s">
        <v>238</v>
      </c>
      <c r="X82" s="4" t="s">
        <v>238</v>
      </c>
      <c r="Y82" s="4">
        <v>0</v>
      </c>
      <c r="Z82" s="4">
        <f t="shared" si="64"/>
        <v>0</v>
      </c>
      <c r="AA82" s="4">
        <v>102</v>
      </c>
      <c r="AB82" s="4">
        <f t="shared" si="42"/>
        <v>102</v>
      </c>
      <c r="AC82" s="4"/>
      <c r="AD82" s="20">
        <f t="shared" si="43"/>
        <v>175</v>
      </c>
      <c r="AE82" s="6">
        <f t="shared" si="44"/>
        <v>0.41714285714285715</v>
      </c>
      <c r="AF82" s="4">
        <v>2.25</v>
      </c>
      <c r="AG82" s="4">
        <f t="shared" si="45"/>
        <v>181</v>
      </c>
      <c r="AH82" s="4">
        <f t="shared" si="46"/>
        <v>207.43820224719099</v>
      </c>
      <c r="AI82" s="6">
        <f t="shared" si="47"/>
        <v>0.50828729281767948</v>
      </c>
      <c r="AJ82" s="7">
        <v>190</v>
      </c>
      <c r="AK82" s="6">
        <f t="shared" si="48"/>
        <v>0.4631578947368421</v>
      </c>
      <c r="AL82" s="4">
        <f t="shared" si="49"/>
        <v>88</v>
      </c>
      <c r="AM82" s="27"/>
      <c r="AN82" s="6"/>
      <c r="AO82" s="6"/>
      <c r="AP82" s="6" t="e">
        <f t="shared" si="50"/>
        <v>#DIV/0!</v>
      </c>
      <c r="AQ82" s="6">
        <f t="shared" si="51"/>
        <v>1.2418300653594772</v>
      </c>
      <c r="AR82" s="6">
        <f t="shared" si="52"/>
        <v>1.146067415730337</v>
      </c>
      <c r="AS82" s="4" t="str">
        <f t="shared" si="54"/>
        <v>-</v>
      </c>
      <c r="AT82" s="4" t="str">
        <f t="shared" si="55"/>
        <v>-</v>
      </c>
      <c r="AU82" s="4" t="str">
        <f t="shared" si="56"/>
        <v>-</v>
      </c>
      <c r="AV82" s="4" t="str">
        <f t="shared" si="57"/>
        <v>-</v>
      </c>
      <c r="AW82" s="4" t="str">
        <f t="shared" si="58"/>
        <v>-</v>
      </c>
      <c r="AX82" s="4" t="str">
        <f t="shared" si="59"/>
        <v>-</v>
      </c>
      <c r="AY82" s="4" t="str">
        <f t="shared" si="60"/>
        <v>-</v>
      </c>
      <c r="AZ82" s="4" t="str">
        <f t="shared" si="61"/>
        <v>-</v>
      </c>
      <c r="BA82" s="4" t="str">
        <f t="shared" si="62"/>
        <v>-</v>
      </c>
      <c r="BB82" s="4">
        <v>0</v>
      </c>
      <c r="BC82" s="4" t="s">
        <v>306</v>
      </c>
      <c r="BD82" s="4"/>
      <c r="BE82" s="4"/>
      <c r="BF82" s="4" t="s">
        <v>277</v>
      </c>
      <c r="BG82" s="4">
        <v>181</v>
      </c>
      <c r="BH82" s="4">
        <v>181</v>
      </c>
      <c r="BI82" s="4">
        <f t="shared" si="53"/>
        <v>181</v>
      </c>
      <c r="BJ82" s="18">
        <v>4</v>
      </c>
      <c r="BK82" s="18">
        <v>1</v>
      </c>
      <c r="BL82" s="16">
        <v>18</v>
      </c>
      <c r="BM82" t="s">
        <v>317</v>
      </c>
      <c r="BN82">
        <v>181</v>
      </c>
      <c r="BO82">
        <v>181</v>
      </c>
      <c r="BP82">
        <f t="shared" si="63"/>
        <v>207.43820224719099</v>
      </c>
      <c r="BQ82" s="4" t="s">
        <v>268</v>
      </c>
    </row>
    <row r="83" spans="1:69" x14ac:dyDescent="0.4">
      <c r="A83" s="3">
        <v>40</v>
      </c>
      <c r="B83" s="3">
        <v>40</v>
      </c>
      <c r="C83" s="4" t="s">
        <v>94</v>
      </c>
      <c r="D83" s="4" t="str">
        <f t="shared" si="40"/>
        <v>J454WK</v>
      </c>
      <c r="E83" s="4" t="s">
        <v>94</v>
      </c>
      <c r="F83" s="4" t="s">
        <v>137</v>
      </c>
      <c r="G83" s="5">
        <v>4580417610802</v>
      </c>
      <c r="H83" s="5"/>
      <c r="I83" s="5"/>
      <c r="J83" s="5">
        <v>1</v>
      </c>
      <c r="K83" s="5">
        <v>1</v>
      </c>
      <c r="L83" s="4">
        <v>0</v>
      </c>
      <c r="M83" s="4">
        <v>216</v>
      </c>
      <c r="N83" s="4">
        <v>125</v>
      </c>
      <c r="O83" s="6">
        <f t="shared" si="41"/>
        <v>0.42129629629629628</v>
      </c>
      <c r="P83" s="4" t="s">
        <v>238</v>
      </c>
      <c r="Q83" s="4" t="s">
        <v>238</v>
      </c>
      <c r="R83" s="4" t="s">
        <v>238</v>
      </c>
      <c r="S83" s="4" t="s">
        <v>238</v>
      </c>
      <c r="T83" s="4" t="s">
        <v>238</v>
      </c>
      <c r="U83" s="4" t="s">
        <v>238</v>
      </c>
      <c r="V83" s="4" t="s">
        <v>238</v>
      </c>
      <c r="W83" s="4" t="s">
        <v>238</v>
      </c>
      <c r="X83" s="4" t="s">
        <v>238</v>
      </c>
      <c r="Y83" s="4">
        <v>0</v>
      </c>
      <c r="Z83" s="4">
        <f t="shared" si="64"/>
        <v>0</v>
      </c>
      <c r="AA83" s="4">
        <v>144</v>
      </c>
      <c r="AB83" s="4">
        <f t="shared" si="42"/>
        <v>144</v>
      </c>
      <c r="AC83" s="4"/>
      <c r="AD83" s="20">
        <f t="shared" si="43"/>
        <v>249</v>
      </c>
      <c r="AE83" s="6">
        <f t="shared" si="44"/>
        <v>0.42168674698795183</v>
      </c>
      <c r="AF83" s="4">
        <v>13.5</v>
      </c>
      <c r="AG83" s="4" t="str">
        <f t="shared" si="45"/>
        <v>-</v>
      </c>
      <c r="AH83" s="4" t="e">
        <f t="shared" si="46"/>
        <v>#VALUE!</v>
      </c>
      <c r="AI83" s="6" t="e">
        <f t="shared" si="47"/>
        <v>#VALUE!</v>
      </c>
      <c r="AJ83" s="7">
        <v>270</v>
      </c>
      <c r="AK83" s="6">
        <f t="shared" si="48"/>
        <v>0.46666666666666667</v>
      </c>
      <c r="AL83" s="4">
        <f t="shared" si="49"/>
        <v>126</v>
      </c>
      <c r="AM83" s="27"/>
      <c r="AN83" s="6"/>
      <c r="AO83" s="6"/>
      <c r="AP83" s="6" t="e">
        <f t="shared" si="50"/>
        <v>#DIV/0!</v>
      </c>
      <c r="AQ83" s="6">
        <f t="shared" si="51"/>
        <v>1.25</v>
      </c>
      <c r="AR83" s="6">
        <f t="shared" si="52"/>
        <v>1.1519999999999999</v>
      </c>
      <c r="AS83" s="4" t="str">
        <f t="shared" si="54"/>
        <v>-</v>
      </c>
      <c r="AT83" s="4" t="str">
        <f t="shared" si="55"/>
        <v>-</v>
      </c>
      <c r="AU83" s="4" t="str">
        <f t="shared" si="56"/>
        <v>-</v>
      </c>
      <c r="AV83" s="4" t="str">
        <f t="shared" si="57"/>
        <v>-</v>
      </c>
      <c r="AW83" s="4" t="str">
        <f t="shared" si="58"/>
        <v>-</v>
      </c>
      <c r="AX83" s="4" t="str">
        <f t="shared" si="59"/>
        <v>-</v>
      </c>
      <c r="AY83" s="4" t="str">
        <f t="shared" si="60"/>
        <v>-</v>
      </c>
      <c r="AZ83" s="4" t="str">
        <f t="shared" si="61"/>
        <v>-</v>
      </c>
      <c r="BA83" s="4" t="str">
        <f t="shared" si="62"/>
        <v>-</v>
      </c>
      <c r="BB83" s="4">
        <v>0</v>
      </c>
      <c r="BC83" s="4" t="s">
        <v>238</v>
      </c>
      <c r="BD83" s="4"/>
      <c r="BE83" s="4"/>
      <c r="BF83" s="4" t="s">
        <v>238</v>
      </c>
      <c r="BG83" s="4" t="s">
        <v>238</v>
      </c>
      <c r="BH83" s="4" t="s">
        <v>238</v>
      </c>
      <c r="BI83" s="4" t="str">
        <f t="shared" si="53"/>
        <v>-</v>
      </c>
      <c r="BJ83" s="18">
        <v>4</v>
      </c>
      <c r="BK83" s="18">
        <v>1</v>
      </c>
      <c r="BL83" s="16">
        <v>18</v>
      </c>
      <c r="BM83" t="s">
        <v>317</v>
      </c>
      <c r="BN83">
        <v>247</v>
      </c>
      <c r="BO83">
        <v>247</v>
      </c>
      <c r="BP83">
        <f t="shared" si="63"/>
        <v>284.54399999999998</v>
      </c>
      <c r="BQ83" s="4" t="s">
        <v>238</v>
      </c>
    </row>
    <row r="84" spans="1:69" x14ac:dyDescent="0.4">
      <c r="A84" s="3">
        <v>41</v>
      </c>
      <c r="B84" s="3">
        <v>41</v>
      </c>
      <c r="C84" s="4" t="s">
        <v>95</v>
      </c>
      <c r="D84" s="4" t="str">
        <f t="shared" si="40"/>
        <v>J453WK</v>
      </c>
      <c r="E84" s="4" t="s">
        <v>95</v>
      </c>
      <c r="F84" s="4" t="s">
        <v>138</v>
      </c>
      <c r="G84" s="5">
        <v>4580417610840</v>
      </c>
      <c r="H84" s="5"/>
      <c r="I84" s="5"/>
      <c r="J84" s="5">
        <v>1</v>
      </c>
      <c r="K84" s="5">
        <v>1</v>
      </c>
      <c r="L84" s="4">
        <v>0</v>
      </c>
      <c r="M84" s="4">
        <v>329</v>
      </c>
      <c r="N84" s="4">
        <v>191</v>
      </c>
      <c r="O84" s="6">
        <f t="shared" si="41"/>
        <v>0.41945288753799392</v>
      </c>
      <c r="P84" s="4" t="s">
        <v>238</v>
      </c>
      <c r="Q84" s="4" t="s">
        <v>238</v>
      </c>
      <c r="R84" s="4" t="s">
        <v>238</v>
      </c>
      <c r="S84" s="4" t="s">
        <v>238</v>
      </c>
      <c r="T84" s="4" t="s">
        <v>238</v>
      </c>
      <c r="U84" s="4" t="s">
        <v>238</v>
      </c>
      <c r="V84" s="4" t="s">
        <v>238</v>
      </c>
      <c r="W84" s="4" t="s">
        <v>238</v>
      </c>
      <c r="X84" s="4" t="s">
        <v>238</v>
      </c>
      <c r="Y84" s="4">
        <v>0</v>
      </c>
      <c r="Z84" s="4">
        <f t="shared" si="64"/>
        <v>0</v>
      </c>
      <c r="AA84" s="4">
        <v>220</v>
      </c>
      <c r="AB84" s="4">
        <f t="shared" si="42"/>
        <v>220</v>
      </c>
      <c r="AC84" s="4"/>
      <c r="AD84" s="20">
        <f t="shared" si="43"/>
        <v>379</v>
      </c>
      <c r="AE84" s="6">
        <f t="shared" si="44"/>
        <v>0.41952506596306072</v>
      </c>
      <c r="AF84" s="4">
        <v>7.2499999999999991</v>
      </c>
      <c r="AG84" s="4">
        <f t="shared" si="45"/>
        <v>300</v>
      </c>
      <c r="AH84" s="4">
        <f t="shared" si="46"/>
        <v>345.54973821989535</v>
      </c>
      <c r="AI84" s="6">
        <f t="shared" si="47"/>
        <v>0.3633333333333334</v>
      </c>
      <c r="AJ84" s="7">
        <v>390</v>
      </c>
      <c r="AK84" s="6">
        <f t="shared" si="48"/>
        <v>0.4358974358974359</v>
      </c>
      <c r="AL84" s="4">
        <f t="shared" si="49"/>
        <v>170</v>
      </c>
      <c r="AM84" s="27"/>
      <c r="AN84" s="6"/>
      <c r="AO84" s="6"/>
      <c r="AP84" s="6" t="e">
        <f t="shared" si="50"/>
        <v>#DIV/0!</v>
      </c>
      <c r="AQ84" s="6">
        <f t="shared" si="51"/>
        <v>1.1854103343465046</v>
      </c>
      <c r="AR84" s="6">
        <f t="shared" si="52"/>
        <v>1.1518324607329844</v>
      </c>
      <c r="AS84" s="4" t="str">
        <f t="shared" si="54"/>
        <v>-</v>
      </c>
      <c r="AT84" s="4" t="str">
        <f t="shared" si="55"/>
        <v>-</v>
      </c>
      <c r="AU84" s="4" t="str">
        <f t="shared" si="56"/>
        <v>-</v>
      </c>
      <c r="AV84" s="4" t="str">
        <f t="shared" si="57"/>
        <v>-</v>
      </c>
      <c r="AW84" s="4" t="str">
        <f t="shared" si="58"/>
        <v>-</v>
      </c>
      <c r="AX84" s="4" t="str">
        <f t="shared" si="59"/>
        <v>-</v>
      </c>
      <c r="AY84" s="4" t="str">
        <f t="shared" si="60"/>
        <v>-</v>
      </c>
      <c r="AZ84" s="4" t="str">
        <f t="shared" si="61"/>
        <v>-</v>
      </c>
      <c r="BA84" s="4" t="str">
        <f t="shared" si="62"/>
        <v>-</v>
      </c>
      <c r="BB84" s="4">
        <v>0</v>
      </c>
      <c r="BC84" s="4" t="s">
        <v>307</v>
      </c>
      <c r="BD84" s="4"/>
      <c r="BE84" s="4"/>
      <c r="BF84" s="4" t="s">
        <v>277</v>
      </c>
      <c r="BG84" s="4">
        <v>300</v>
      </c>
      <c r="BH84" s="4">
        <v>300</v>
      </c>
      <c r="BI84" s="4">
        <f t="shared" si="53"/>
        <v>300</v>
      </c>
      <c r="BJ84" s="18">
        <v>4</v>
      </c>
      <c r="BK84" s="18">
        <v>1</v>
      </c>
      <c r="BL84" s="16">
        <v>18</v>
      </c>
      <c r="BM84" t="s">
        <v>317</v>
      </c>
      <c r="BN84">
        <v>285</v>
      </c>
      <c r="BO84">
        <v>285</v>
      </c>
      <c r="BP84">
        <f t="shared" si="63"/>
        <v>328.27225130890054</v>
      </c>
      <c r="BQ84" s="4" t="s">
        <v>269</v>
      </c>
    </row>
    <row r="85" spans="1:69" x14ac:dyDescent="0.4">
      <c r="A85" s="3">
        <v>42</v>
      </c>
      <c r="B85" s="3">
        <v>42</v>
      </c>
      <c r="C85" s="4" t="s">
        <v>96</v>
      </c>
      <c r="D85" s="4" t="str">
        <f t="shared" si="40"/>
        <v>J459WK</v>
      </c>
      <c r="E85" s="4" t="s">
        <v>96</v>
      </c>
      <c r="F85" s="4" t="s">
        <v>139</v>
      </c>
      <c r="G85" s="5">
        <v>4580417610819</v>
      </c>
      <c r="H85" s="5"/>
      <c r="I85" s="5"/>
      <c r="J85" s="5">
        <v>1</v>
      </c>
      <c r="K85" s="5">
        <v>1</v>
      </c>
      <c r="L85" s="4">
        <v>0</v>
      </c>
      <c r="M85" s="4">
        <v>484</v>
      </c>
      <c r="N85" s="4">
        <v>281</v>
      </c>
      <c r="O85" s="6">
        <f t="shared" si="41"/>
        <v>0.41942148760330578</v>
      </c>
      <c r="P85" s="4" t="s">
        <v>238</v>
      </c>
      <c r="Q85" s="4" t="s">
        <v>238</v>
      </c>
      <c r="R85" s="4" t="s">
        <v>238</v>
      </c>
      <c r="S85" s="4" t="s">
        <v>238</v>
      </c>
      <c r="T85" s="4" t="s">
        <v>238</v>
      </c>
      <c r="U85" s="4" t="s">
        <v>238</v>
      </c>
      <c r="V85" s="4" t="s">
        <v>238</v>
      </c>
      <c r="W85" s="4" t="s">
        <v>238</v>
      </c>
      <c r="X85" s="4" t="s">
        <v>238</v>
      </c>
      <c r="Y85" s="4">
        <v>0</v>
      </c>
      <c r="Z85" s="4">
        <f t="shared" si="64"/>
        <v>0</v>
      </c>
      <c r="AA85" s="4">
        <v>323</v>
      </c>
      <c r="AB85" s="4">
        <f t="shared" si="42"/>
        <v>323</v>
      </c>
      <c r="AC85" s="4"/>
      <c r="AD85" s="20">
        <f t="shared" si="43"/>
        <v>556</v>
      </c>
      <c r="AE85" s="6">
        <f t="shared" si="44"/>
        <v>0.4190647482014388</v>
      </c>
      <c r="AF85" s="4">
        <v>9.5</v>
      </c>
      <c r="AG85" s="4" t="str">
        <f t="shared" si="45"/>
        <v>-</v>
      </c>
      <c r="AH85" s="4" t="e">
        <f t="shared" si="46"/>
        <v>#VALUE!</v>
      </c>
      <c r="AI85" s="6" t="e">
        <f t="shared" si="47"/>
        <v>#VALUE!</v>
      </c>
      <c r="AJ85" s="7">
        <v>590</v>
      </c>
      <c r="AK85" s="6">
        <f t="shared" si="48"/>
        <v>0.4525423728813559</v>
      </c>
      <c r="AL85" s="4">
        <f t="shared" si="49"/>
        <v>267</v>
      </c>
      <c r="AM85" s="27"/>
      <c r="AN85" s="6"/>
      <c r="AO85" s="6"/>
      <c r="AP85" s="6" t="e">
        <f t="shared" si="50"/>
        <v>#DIV/0!</v>
      </c>
      <c r="AQ85" s="6">
        <f t="shared" si="51"/>
        <v>1.21900826446281</v>
      </c>
      <c r="AR85" s="6">
        <f t="shared" si="52"/>
        <v>1.1494661921708185</v>
      </c>
      <c r="AS85" s="4" t="str">
        <f t="shared" si="54"/>
        <v>-</v>
      </c>
      <c r="AT85" s="4" t="str">
        <f t="shared" si="55"/>
        <v>-</v>
      </c>
      <c r="AU85" s="4" t="str">
        <f t="shared" si="56"/>
        <v>-</v>
      </c>
      <c r="AV85" s="4" t="str">
        <f t="shared" si="57"/>
        <v>-</v>
      </c>
      <c r="AW85" s="4" t="str">
        <f t="shared" si="58"/>
        <v>-</v>
      </c>
      <c r="AX85" s="4" t="str">
        <f t="shared" si="59"/>
        <v>-</v>
      </c>
      <c r="AY85" s="4" t="str">
        <f t="shared" si="60"/>
        <v>-</v>
      </c>
      <c r="AZ85" s="4" t="str">
        <f t="shared" si="61"/>
        <v>-</v>
      </c>
      <c r="BA85" s="4" t="str">
        <f t="shared" si="62"/>
        <v>-</v>
      </c>
      <c r="BB85" s="4">
        <v>0</v>
      </c>
      <c r="BC85" s="4" t="s">
        <v>238</v>
      </c>
      <c r="BD85" s="4"/>
      <c r="BE85" s="4"/>
      <c r="BF85" s="4" t="s">
        <v>238</v>
      </c>
      <c r="BG85" s="4" t="s">
        <v>238</v>
      </c>
      <c r="BH85" s="4" t="s">
        <v>238</v>
      </c>
      <c r="BI85" s="4" t="str">
        <f t="shared" si="53"/>
        <v>-</v>
      </c>
      <c r="BJ85" s="18">
        <v>4</v>
      </c>
      <c r="BK85" s="18">
        <v>1</v>
      </c>
      <c r="BL85" s="16">
        <v>18</v>
      </c>
      <c r="BM85" t="s">
        <v>317</v>
      </c>
      <c r="BN85">
        <v>542</v>
      </c>
      <c r="BO85">
        <v>542</v>
      </c>
      <c r="BP85">
        <f t="shared" si="63"/>
        <v>623.0106761565836</v>
      </c>
      <c r="BQ85" s="4" t="s">
        <v>238</v>
      </c>
    </row>
    <row r="86" spans="1:69" x14ac:dyDescent="0.4">
      <c r="A86" s="34">
        <v>43</v>
      </c>
      <c r="B86" s="3">
        <v>43</v>
      </c>
      <c r="C86" s="32" t="s">
        <v>97</v>
      </c>
      <c r="D86" s="4" t="str">
        <f t="shared" si="40"/>
        <v>J469WK</v>
      </c>
      <c r="E86" s="4" t="s">
        <v>97</v>
      </c>
      <c r="F86" s="4" t="s">
        <v>140</v>
      </c>
      <c r="G86" s="5">
        <v>4580417610826</v>
      </c>
      <c r="H86" s="5"/>
      <c r="I86" s="5"/>
      <c r="J86" s="5">
        <v>2</v>
      </c>
      <c r="K86" s="5">
        <v>2</v>
      </c>
      <c r="L86" s="4">
        <v>0</v>
      </c>
      <c r="M86" s="4">
        <v>1200</v>
      </c>
      <c r="N86" s="4">
        <v>419</v>
      </c>
      <c r="O86" s="6">
        <f t="shared" si="41"/>
        <v>0.65083333333333337</v>
      </c>
      <c r="P86" s="4" t="s">
        <v>238</v>
      </c>
      <c r="Q86" s="4" t="s">
        <v>238</v>
      </c>
      <c r="R86" s="4" t="s">
        <v>238</v>
      </c>
      <c r="S86" s="4" t="s">
        <v>238</v>
      </c>
      <c r="T86" s="4" t="s">
        <v>238</v>
      </c>
      <c r="U86" s="4" t="s">
        <v>238</v>
      </c>
      <c r="V86" s="4" t="s">
        <v>238</v>
      </c>
      <c r="W86" s="4" t="s">
        <v>238</v>
      </c>
      <c r="X86" s="4" t="s">
        <v>238</v>
      </c>
      <c r="Y86" s="4">
        <v>0</v>
      </c>
      <c r="Z86" s="4">
        <f t="shared" si="64"/>
        <v>0</v>
      </c>
      <c r="AA86" s="4">
        <v>482</v>
      </c>
      <c r="AB86" s="4">
        <f t="shared" si="42"/>
        <v>482</v>
      </c>
      <c r="AC86" s="4"/>
      <c r="AD86" s="20">
        <f t="shared" si="43"/>
        <v>1380</v>
      </c>
      <c r="AE86" s="6">
        <f t="shared" si="44"/>
        <v>0.6507246376811594</v>
      </c>
      <c r="AF86" s="4">
        <v>1.25</v>
      </c>
      <c r="AG86" s="4" t="str">
        <f t="shared" si="45"/>
        <v>-</v>
      </c>
      <c r="AH86" s="4" t="e">
        <f t="shared" si="46"/>
        <v>#VALUE!</v>
      </c>
      <c r="AI86" s="6" t="e">
        <f t="shared" si="47"/>
        <v>#VALUE!</v>
      </c>
      <c r="AJ86" s="7">
        <v>1380</v>
      </c>
      <c r="AK86" s="6">
        <f t="shared" si="48"/>
        <v>0.6507246376811594</v>
      </c>
      <c r="AL86" s="35">
        <f t="shared" si="49"/>
        <v>898</v>
      </c>
      <c r="AM86" s="27"/>
      <c r="AN86" s="6"/>
      <c r="AO86" s="6"/>
      <c r="AP86" s="6" t="e">
        <f t="shared" si="50"/>
        <v>#DIV/0!</v>
      </c>
      <c r="AQ86" s="6">
        <f t="shared" si="51"/>
        <v>1.1499999999999999</v>
      </c>
      <c r="AR86" s="6">
        <f t="shared" si="52"/>
        <v>1.1503579952267302</v>
      </c>
      <c r="AS86" s="4" t="str">
        <f t="shared" si="54"/>
        <v>-</v>
      </c>
      <c r="AT86" s="4" t="str">
        <f t="shared" si="55"/>
        <v>-</v>
      </c>
      <c r="AU86" s="4" t="str">
        <f t="shared" si="56"/>
        <v>-</v>
      </c>
      <c r="AV86" s="4" t="str">
        <f t="shared" si="57"/>
        <v>-</v>
      </c>
      <c r="AW86" s="4" t="str">
        <f t="shared" si="58"/>
        <v>-</v>
      </c>
      <c r="AX86" s="4" t="str">
        <f t="shared" si="59"/>
        <v>-</v>
      </c>
      <c r="AY86" s="4" t="str">
        <f t="shared" si="60"/>
        <v>-</v>
      </c>
      <c r="AZ86" s="4" t="str">
        <f t="shared" si="61"/>
        <v>-</v>
      </c>
      <c r="BA86" s="4" t="str">
        <f t="shared" si="62"/>
        <v>-</v>
      </c>
      <c r="BB86" s="4">
        <v>0</v>
      </c>
      <c r="BC86" s="4" t="s">
        <v>238</v>
      </c>
      <c r="BD86" s="4"/>
      <c r="BE86" s="4"/>
      <c r="BF86" s="4" t="s">
        <v>238</v>
      </c>
      <c r="BG86" s="4" t="s">
        <v>238</v>
      </c>
      <c r="BH86" s="4" t="s">
        <v>238</v>
      </c>
      <c r="BI86" s="4" t="str">
        <f t="shared" si="53"/>
        <v>-</v>
      </c>
      <c r="BJ86" s="18">
        <v>2</v>
      </c>
      <c r="BK86" s="18">
        <v>1</v>
      </c>
      <c r="BL86" s="16">
        <v>18</v>
      </c>
      <c r="BM86" t="s">
        <v>317</v>
      </c>
      <c r="BN86">
        <v>789</v>
      </c>
      <c r="BO86">
        <v>789</v>
      </c>
      <c r="BP86">
        <f t="shared" si="63"/>
        <v>907.63245823389013</v>
      </c>
      <c r="BQ86" s="4" t="s">
        <v>238</v>
      </c>
    </row>
    <row r="87" spans="1:69" x14ac:dyDescent="0.4">
      <c r="A87" s="34">
        <v>96</v>
      </c>
      <c r="B87" s="3">
        <v>43</v>
      </c>
      <c r="C87" s="32" t="s">
        <v>97</v>
      </c>
      <c r="D87" s="4" t="str">
        <f t="shared" si="40"/>
        <v>J469WK</v>
      </c>
      <c r="E87" s="4" t="s">
        <v>183</v>
      </c>
      <c r="F87" s="4" t="s">
        <v>225</v>
      </c>
      <c r="G87" s="5">
        <v>4580417610826</v>
      </c>
      <c r="H87" s="5"/>
      <c r="I87" s="5"/>
      <c r="J87" s="5"/>
      <c r="K87" s="5"/>
      <c r="L87" s="4">
        <v>0</v>
      </c>
      <c r="M87" s="4">
        <v>6900</v>
      </c>
      <c r="N87" s="4">
        <v>4190</v>
      </c>
      <c r="O87" s="6">
        <f t="shared" si="41"/>
        <v>0.39275362318840579</v>
      </c>
      <c r="P87" s="4" t="s">
        <v>238</v>
      </c>
      <c r="Q87" s="4" t="s">
        <v>238</v>
      </c>
      <c r="R87" s="4" t="s">
        <v>238</v>
      </c>
      <c r="S87" s="4" t="s">
        <v>238</v>
      </c>
      <c r="T87" s="4" t="s">
        <v>238</v>
      </c>
      <c r="U87" s="4" t="s">
        <v>238</v>
      </c>
      <c r="V87" s="4" t="s">
        <v>238</v>
      </c>
      <c r="W87" s="4" t="s">
        <v>238</v>
      </c>
      <c r="X87" s="4" t="s">
        <v>238</v>
      </c>
      <c r="Y87" s="4">
        <v>0</v>
      </c>
      <c r="Z87" s="4">
        <v>0</v>
      </c>
      <c r="AA87" s="4">
        <v>482</v>
      </c>
      <c r="AB87" s="4">
        <f t="shared" si="42"/>
        <v>4820</v>
      </c>
      <c r="AC87" s="4">
        <v>10</v>
      </c>
      <c r="AD87" s="20">
        <f t="shared" si="43"/>
        <v>7937</v>
      </c>
      <c r="AE87" s="6">
        <f t="shared" si="44"/>
        <v>0.39271765150560667</v>
      </c>
      <c r="AF87" s="4">
        <v>1.25</v>
      </c>
      <c r="AG87" s="4" t="str">
        <f t="shared" si="45"/>
        <v>-</v>
      </c>
      <c r="AH87" s="4" t="e">
        <f t="shared" si="46"/>
        <v>#VALUE!</v>
      </c>
      <c r="AI87" s="6" t="e">
        <f t="shared" si="47"/>
        <v>#VALUE!</v>
      </c>
      <c r="AJ87" s="7">
        <v>11800</v>
      </c>
      <c r="AK87" s="6">
        <f t="shared" si="48"/>
        <v>0.59152542372881356</v>
      </c>
      <c r="AL87" s="4">
        <f t="shared" si="49"/>
        <v>6980</v>
      </c>
      <c r="AM87" s="27"/>
      <c r="AN87" s="6"/>
      <c r="AO87" s="6"/>
      <c r="AP87" s="6" t="e">
        <f t="shared" si="50"/>
        <v>#DIV/0!</v>
      </c>
      <c r="AQ87" s="6">
        <f t="shared" si="51"/>
        <v>1.7101449275362319</v>
      </c>
      <c r="AR87" s="6">
        <f t="shared" si="52"/>
        <v>1.1503579952267302</v>
      </c>
      <c r="AS87" s="4" t="str">
        <f t="shared" si="54"/>
        <v>-</v>
      </c>
      <c r="AT87" s="4" t="str">
        <f t="shared" si="55"/>
        <v>-</v>
      </c>
      <c r="AU87" s="4" t="str">
        <f t="shared" si="56"/>
        <v>-</v>
      </c>
      <c r="AV87" s="4" t="str">
        <f t="shared" si="57"/>
        <v>-</v>
      </c>
      <c r="AW87" s="4" t="str">
        <f t="shared" si="58"/>
        <v>-</v>
      </c>
      <c r="AX87" s="4" t="str">
        <f t="shared" si="59"/>
        <v>-</v>
      </c>
      <c r="AY87" s="4" t="str">
        <f t="shared" si="60"/>
        <v>-</v>
      </c>
      <c r="AZ87" s="4" t="str">
        <f t="shared" si="61"/>
        <v>-</v>
      </c>
      <c r="BA87" s="4" t="str">
        <f t="shared" si="62"/>
        <v>-</v>
      </c>
      <c r="BB87" s="4">
        <v>0</v>
      </c>
      <c r="BC87" s="4" t="s">
        <v>238</v>
      </c>
      <c r="BD87" s="4"/>
      <c r="BE87" s="4"/>
      <c r="BF87" s="4" t="s">
        <v>238</v>
      </c>
      <c r="BG87" s="4" t="s">
        <v>238</v>
      </c>
      <c r="BH87" s="4" t="s">
        <v>238</v>
      </c>
      <c r="BI87" s="4" t="str">
        <f t="shared" si="53"/>
        <v>-</v>
      </c>
      <c r="BJ87" s="18">
        <v>2</v>
      </c>
      <c r="BK87" s="18">
        <v>1</v>
      </c>
      <c r="BL87" s="16">
        <v>18</v>
      </c>
      <c r="BM87" t="s">
        <v>317</v>
      </c>
      <c r="BN87">
        <v>789</v>
      </c>
      <c r="BO87">
        <v>789</v>
      </c>
      <c r="BP87">
        <f t="shared" si="63"/>
        <v>907.63245823389013</v>
      </c>
      <c r="BQ87" s="4" t="s">
        <v>238</v>
      </c>
    </row>
    <row r="88" spans="1:69" x14ac:dyDescent="0.4">
      <c r="A88" s="3">
        <v>44</v>
      </c>
      <c r="B88" s="3">
        <v>44</v>
      </c>
      <c r="C88" s="32">
        <v>369771</v>
      </c>
      <c r="D88" s="4" t="str">
        <f t="shared" si="40"/>
        <v>369771</v>
      </c>
      <c r="E88" s="4">
        <v>369771</v>
      </c>
      <c r="F88" s="4" t="s">
        <v>141</v>
      </c>
      <c r="G88" s="5">
        <v>4580417611205</v>
      </c>
      <c r="H88" s="5"/>
      <c r="I88" s="5"/>
      <c r="J88" s="5">
        <v>2</v>
      </c>
      <c r="K88" s="5">
        <v>2</v>
      </c>
      <c r="L88" s="4">
        <v>0</v>
      </c>
      <c r="M88" s="4">
        <v>148</v>
      </c>
      <c r="N88" s="4">
        <v>100.5</v>
      </c>
      <c r="O88" s="6">
        <f t="shared" si="41"/>
        <v>0.32094594594594594</v>
      </c>
      <c r="P88" s="4">
        <v>135</v>
      </c>
      <c r="Q88" s="4">
        <v>10</v>
      </c>
      <c r="R88" s="4">
        <v>99999</v>
      </c>
      <c r="S88" s="4" t="s">
        <v>238</v>
      </c>
      <c r="T88" s="4" t="s">
        <v>238</v>
      </c>
      <c r="U88" s="4" t="s">
        <v>238</v>
      </c>
      <c r="V88" s="4" t="s">
        <v>238</v>
      </c>
      <c r="W88" s="4" t="s">
        <v>238</v>
      </c>
      <c r="X88" s="4" t="s">
        <v>238</v>
      </c>
      <c r="Y88" s="4">
        <v>0</v>
      </c>
      <c r="Z88" s="4">
        <f>IF(AC88="",Y88,Y88*AC88)</f>
        <v>0</v>
      </c>
      <c r="AA88" s="4">
        <v>115</v>
      </c>
      <c r="AB88" s="4">
        <f t="shared" si="42"/>
        <v>115</v>
      </c>
      <c r="AC88" s="4"/>
      <c r="AD88" s="20">
        <f t="shared" si="43"/>
        <v>169</v>
      </c>
      <c r="AE88" s="6">
        <f t="shared" si="44"/>
        <v>0.31952662721893488</v>
      </c>
      <c r="AF88" s="4">
        <v>789.5</v>
      </c>
      <c r="AG88" s="4">
        <f t="shared" si="45"/>
        <v>180</v>
      </c>
      <c r="AH88" s="4">
        <f t="shared" si="46"/>
        <v>205.97014925373134</v>
      </c>
      <c r="AI88" s="6">
        <f t="shared" si="47"/>
        <v>0.44166666666666665</v>
      </c>
      <c r="AJ88" s="7">
        <v>190</v>
      </c>
      <c r="AK88" s="6">
        <f t="shared" si="48"/>
        <v>0.39473684210526316</v>
      </c>
      <c r="AL88" s="4">
        <f t="shared" si="49"/>
        <v>75</v>
      </c>
      <c r="AM88" s="27"/>
      <c r="AN88" s="6"/>
      <c r="AO88" s="6"/>
      <c r="AP88" s="6" t="e">
        <f t="shared" si="50"/>
        <v>#DIV/0!</v>
      </c>
      <c r="AQ88" s="6">
        <f t="shared" si="51"/>
        <v>1.2837837837837838</v>
      </c>
      <c r="AR88" s="6">
        <f t="shared" si="52"/>
        <v>1.144278606965174</v>
      </c>
      <c r="AS88" s="4">
        <f t="shared" si="54"/>
        <v>173</v>
      </c>
      <c r="AT88" s="4">
        <f t="shared" si="55"/>
        <v>10</v>
      </c>
      <c r="AU88" s="4">
        <f t="shared" si="56"/>
        <v>99999</v>
      </c>
      <c r="AV88" s="4" t="str">
        <f t="shared" si="57"/>
        <v>-</v>
      </c>
      <c r="AW88" s="4" t="str">
        <f t="shared" si="58"/>
        <v>-</v>
      </c>
      <c r="AX88" s="4" t="str">
        <f t="shared" si="59"/>
        <v>-</v>
      </c>
      <c r="AY88" s="4" t="str">
        <f t="shared" si="60"/>
        <v>-</v>
      </c>
      <c r="AZ88" s="4" t="str">
        <f t="shared" si="61"/>
        <v>-</v>
      </c>
      <c r="BA88" s="4" t="str">
        <f t="shared" si="62"/>
        <v>-</v>
      </c>
      <c r="BB88" s="4" t="s">
        <v>236</v>
      </c>
      <c r="BC88" s="4" t="s">
        <v>308</v>
      </c>
      <c r="BD88" s="4"/>
      <c r="BE88" s="4"/>
      <c r="BF88" s="4" t="s">
        <v>277</v>
      </c>
      <c r="BG88" s="4">
        <v>180</v>
      </c>
      <c r="BH88" s="4">
        <v>180</v>
      </c>
      <c r="BI88" s="4">
        <f t="shared" si="53"/>
        <v>180</v>
      </c>
      <c r="BJ88" s="18">
        <v>4</v>
      </c>
      <c r="BK88" s="18">
        <v>1</v>
      </c>
      <c r="BL88" s="16">
        <v>18</v>
      </c>
      <c r="BM88" t="s">
        <v>317</v>
      </c>
      <c r="BN88">
        <v>181</v>
      </c>
      <c r="BO88">
        <v>181</v>
      </c>
      <c r="BP88">
        <f t="shared" si="63"/>
        <v>207.11442786069651</v>
      </c>
      <c r="BQ88" s="4" t="s">
        <v>270</v>
      </c>
    </row>
    <row r="89" spans="1:69" x14ac:dyDescent="0.4">
      <c r="A89" s="3">
        <v>97</v>
      </c>
      <c r="B89" s="3">
        <v>44</v>
      </c>
      <c r="C89" s="32">
        <v>369771</v>
      </c>
      <c r="D89" s="4" t="str">
        <f t="shared" si="40"/>
        <v>369771</v>
      </c>
      <c r="E89" s="4">
        <v>369772</v>
      </c>
      <c r="F89" s="4" t="s">
        <v>226</v>
      </c>
      <c r="G89" s="5">
        <v>4580417611205</v>
      </c>
      <c r="H89" s="5"/>
      <c r="I89" s="5"/>
      <c r="J89" s="5"/>
      <c r="K89" s="5"/>
      <c r="L89" s="4">
        <v>0</v>
      </c>
      <c r="M89" s="4">
        <v>3943</v>
      </c>
      <c r="N89" s="4">
        <v>3015</v>
      </c>
      <c r="O89" s="6">
        <f t="shared" si="41"/>
        <v>0.23535379152929237</v>
      </c>
      <c r="P89" s="4">
        <v>3577</v>
      </c>
      <c r="Q89" s="4">
        <v>2</v>
      </c>
      <c r="R89" s="4">
        <v>99999</v>
      </c>
      <c r="S89" s="4" t="s">
        <v>238</v>
      </c>
      <c r="T89" s="4" t="s">
        <v>238</v>
      </c>
      <c r="U89" s="4" t="s">
        <v>238</v>
      </c>
      <c r="V89" s="4" t="s">
        <v>238</v>
      </c>
      <c r="W89" s="4" t="s">
        <v>238</v>
      </c>
      <c r="X89" s="4" t="s">
        <v>238</v>
      </c>
      <c r="Y89" s="4">
        <v>0</v>
      </c>
      <c r="Z89" s="4">
        <v>0</v>
      </c>
      <c r="AA89" s="4">
        <v>115</v>
      </c>
      <c r="AB89" s="4">
        <f t="shared" si="42"/>
        <v>3450</v>
      </c>
      <c r="AC89" s="4">
        <v>30</v>
      </c>
      <c r="AD89" s="20">
        <f t="shared" si="43"/>
        <v>4512</v>
      </c>
      <c r="AE89" s="6">
        <f t="shared" si="44"/>
        <v>0.2353723404255319</v>
      </c>
      <c r="AF89" s="4">
        <v>789.5</v>
      </c>
      <c r="AG89" s="4">
        <f t="shared" si="45"/>
        <v>5400</v>
      </c>
      <c r="AH89" s="4">
        <f t="shared" si="46"/>
        <v>6179.1044776119397</v>
      </c>
      <c r="AI89" s="6">
        <f t="shared" si="47"/>
        <v>0.44166666666666665</v>
      </c>
      <c r="AJ89" s="7">
        <v>5400</v>
      </c>
      <c r="AK89" s="6">
        <f t="shared" si="48"/>
        <v>0.36111111111111116</v>
      </c>
      <c r="AL89" s="4">
        <f t="shared" si="49"/>
        <v>1950</v>
      </c>
      <c r="AM89" s="27"/>
      <c r="AN89" s="6"/>
      <c r="AO89" s="6"/>
      <c r="AP89" s="6" t="e">
        <f t="shared" si="50"/>
        <v>#DIV/0!</v>
      </c>
      <c r="AQ89" s="6">
        <f t="shared" si="51"/>
        <v>1.3695155972609687</v>
      </c>
      <c r="AR89" s="6">
        <f t="shared" si="52"/>
        <v>1.144278606965174</v>
      </c>
      <c r="AS89" s="4">
        <f t="shared" si="54"/>
        <v>4899</v>
      </c>
      <c r="AT89" s="4">
        <f t="shared" si="55"/>
        <v>2</v>
      </c>
      <c r="AU89" s="4">
        <f t="shared" si="56"/>
        <v>99999</v>
      </c>
      <c r="AV89" s="4" t="str">
        <f t="shared" si="57"/>
        <v>-</v>
      </c>
      <c r="AW89" s="4" t="str">
        <f t="shared" si="58"/>
        <v>-</v>
      </c>
      <c r="AX89" s="4" t="str">
        <f t="shared" si="59"/>
        <v>-</v>
      </c>
      <c r="AY89" s="4" t="str">
        <f t="shared" si="60"/>
        <v>-</v>
      </c>
      <c r="AZ89" s="4" t="str">
        <f t="shared" si="61"/>
        <v>-</v>
      </c>
      <c r="BA89" s="4" t="str">
        <f t="shared" si="62"/>
        <v>-</v>
      </c>
      <c r="BB89" s="4" t="s">
        <v>236</v>
      </c>
      <c r="BC89" s="4" t="s">
        <v>308</v>
      </c>
      <c r="BD89" s="4">
        <v>30</v>
      </c>
      <c r="BE89" s="4">
        <v>1</v>
      </c>
      <c r="BF89" s="4" t="s">
        <v>277</v>
      </c>
      <c r="BG89" s="4">
        <v>180</v>
      </c>
      <c r="BH89" s="4">
        <v>180</v>
      </c>
      <c r="BI89" s="4">
        <f t="shared" si="53"/>
        <v>5400</v>
      </c>
      <c r="BJ89" s="18">
        <v>4</v>
      </c>
      <c r="BK89" s="18">
        <v>1</v>
      </c>
      <c r="BL89" s="16">
        <v>18</v>
      </c>
      <c r="BM89" t="s">
        <v>317</v>
      </c>
      <c r="BN89">
        <v>181</v>
      </c>
      <c r="BO89">
        <v>181</v>
      </c>
      <c r="BP89">
        <f t="shared" si="63"/>
        <v>207.11442786069651</v>
      </c>
      <c r="BQ89" s="4" t="s">
        <v>270</v>
      </c>
    </row>
    <row r="90" spans="1:69" x14ac:dyDescent="0.4">
      <c r="A90" s="3">
        <v>45</v>
      </c>
      <c r="B90" s="3">
        <v>45</v>
      </c>
      <c r="C90" s="32">
        <v>369773</v>
      </c>
      <c r="D90" s="4" t="str">
        <f t="shared" si="40"/>
        <v>369773</v>
      </c>
      <c r="E90" s="4">
        <v>369773</v>
      </c>
      <c r="F90" s="4" t="s">
        <v>142</v>
      </c>
      <c r="G90" s="5">
        <v>4580417611212</v>
      </c>
      <c r="H90" s="5"/>
      <c r="I90" s="5"/>
      <c r="J90" s="5">
        <v>2</v>
      </c>
      <c r="K90" s="5">
        <v>2</v>
      </c>
      <c r="L90" s="4">
        <v>0</v>
      </c>
      <c r="M90" s="4">
        <v>184</v>
      </c>
      <c r="N90" s="4">
        <v>130.80000000000001</v>
      </c>
      <c r="O90" s="6">
        <f t="shared" si="41"/>
        <v>0.28913043478260858</v>
      </c>
      <c r="P90" s="4">
        <v>174</v>
      </c>
      <c r="Q90" s="4">
        <v>10</v>
      </c>
      <c r="R90" s="4">
        <v>99999</v>
      </c>
      <c r="S90" s="4" t="s">
        <v>238</v>
      </c>
      <c r="T90" s="4" t="s">
        <v>238</v>
      </c>
      <c r="U90" s="4" t="s">
        <v>238</v>
      </c>
      <c r="V90" s="4" t="s">
        <v>238</v>
      </c>
      <c r="W90" s="4" t="s">
        <v>238</v>
      </c>
      <c r="X90" s="4" t="s">
        <v>238</v>
      </c>
      <c r="Y90" s="4">
        <v>0</v>
      </c>
      <c r="Z90" s="4">
        <f>IF(AC90="",Y90,Y90*AC90)</f>
        <v>0</v>
      </c>
      <c r="AA90" s="4">
        <v>151</v>
      </c>
      <c r="AB90" s="4">
        <f t="shared" si="42"/>
        <v>151</v>
      </c>
      <c r="AC90" s="4"/>
      <c r="AD90" s="20">
        <f t="shared" si="43"/>
        <v>212</v>
      </c>
      <c r="AE90" s="6">
        <f t="shared" si="44"/>
        <v>0.28773584905660377</v>
      </c>
      <c r="AF90" s="4">
        <v>923.5</v>
      </c>
      <c r="AG90" s="4">
        <f t="shared" si="45"/>
        <v>228</v>
      </c>
      <c r="AH90" s="4">
        <f t="shared" si="46"/>
        <v>263.21100917431193</v>
      </c>
      <c r="AI90" s="6">
        <f t="shared" si="47"/>
        <v>0.4263157894736842</v>
      </c>
      <c r="AJ90" s="7">
        <v>250</v>
      </c>
      <c r="AK90" s="6">
        <f t="shared" si="48"/>
        <v>0.39600000000000002</v>
      </c>
      <c r="AL90" s="4">
        <f t="shared" si="49"/>
        <v>99</v>
      </c>
      <c r="AM90" s="27"/>
      <c r="AN90" s="6"/>
      <c r="AO90" s="6"/>
      <c r="AP90" s="6" t="e">
        <f t="shared" si="50"/>
        <v>#DIV/0!</v>
      </c>
      <c r="AQ90" s="6">
        <f t="shared" si="51"/>
        <v>1.3586956521739131</v>
      </c>
      <c r="AR90" s="6">
        <f t="shared" si="52"/>
        <v>1.154434250764526</v>
      </c>
      <c r="AS90" s="4">
        <f t="shared" si="54"/>
        <v>236</v>
      </c>
      <c r="AT90" s="4">
        <f t="shared" si="55"/>
        <v>10</v>
      </c>
      <c r="AU90" s="4">
        <f t="shared" si="56"/>
        <v>99999</v>
      </c>
      <c r="AV90" s="4" t="str">
        <f t="shared" si="57"/>
        <v>-</v>
      </c>
      <c r="AW90" s="4" t="str">
        <f t="shared" si="58"/>
        <v>-</v>
      </c>
      <c r="AX90" s="4" t="str">
        <f t="shared" si="59"/>
        <v>-</v>
      </c>
      <c r="AY90" s="4" t="str">
        <f t="shared" si="60"/>
        <v>-</v>
      </c>
      <c r="AZ90" s="4" t="str">
        <f t="shared" si="61"/>
        <v>-</v>
      </c>
      <c r="BA90" s="4" t="str">
        <f t="shared" si="62"/>
        <v>-</v>
      </c>
      <c r="BB90" s="4" t="s">
        <v>236</v>
      </c>
      <c r="BC90" s="4" t="s">
        <v>309</v>
      </c>
      <c r="BD90" s="4"/>
      <c r="BE90" s="4"/>
      <c r="BF90" s="4" t="s">
        <v>277</v>
      </c>
      <c r="BG90" s="4">
        <v>228</v>
      </c>
      <c r="BH90" s="4">
        <v>228</v>
      </c>
      <c r="BI90" s="4">
        <f t="shared" si="53"/>
        <v>228</v>
      </c>
      <c r="BJ90" s="18">
        <v>4</v>
      </c>
      <c r="BK90" s="18">
        <v>1</v>
      </c>
      <c r="BL90" s="16">
        <v>18</v>
      </c>
      <c r="BM90" t="s">
        <v>317</v>
      </c>
      <c r="BN90">
        <v>228</v>
      </c>
      <c r="BO90">
        <v>228</v>
      </c>
      <c r="BP90">
        <f t="shared" si="63"/>
        <v>263.21100917431193</v>
      </c>
      <c r="BQ90" s="4" t="s">
        <v>271</v>
      </c>
    </row>
    <row r="91" spans="1:69" x14ac:dyDescent="0.4">
      <c r="A91" s="3">
        <v>98</v>
      </c>
      <c r="B91" s="3">
        <v>45</v>
      </c>
      <c r="C91" s="32">
        <v>369773</v>
      </c>
      <c r="D91" s="4" t="str">
        <f t="shared" si="40"/>
        <v>369773</v>
      </c>
      <c r="E91" s="4">
        <v>388132</v>
      </c>
      <c r="F91" s="4" t="s">
        <v>227</v>
      </c>
      <c r="G91" s="5">
        <v>4580417611212</v>
      </c>
      <c r="H91" s="5"/>
      <c r="I91" s="5"/>
      <c r="J91" s="5"/>
      <c r="K91" s="5"/>
      <c r="L91" s="4">
        <v>0</v>
      </c>
      <c r="M91" s="4">
        <v>4409</v>
      </c>
      <c r="N91" s="4">
        <v>3270</v>
      </c>
      <c r="O91" s="6">
        <f t="shared" si="41"/>
        <v>0.25833522340666815</v>
      </c>
      <c r="P91" s="4" t="s">
        <v>238</v>
      </c>
      <c r="Q91" s="4" t="s">
        <v>238</v>
      </c>
      <c r="R91" s="4" t="s">
        <v>238</v>
      </c>
      <c r="S91" s="4" t="s">
        <v>238</v>
      </c>
      <c r="T91" s="4" t="s">
        <v>238</v>
      </c>
      <c r="U91" s="4" t="s">
        <v>238</v>
      </c>
      <c r="V91" s="4" t="s">
        <v>238</v>
      </c>
      <c r="W91" s="4" t="s">
        <v>238</v>
      </c>
      <c r="X91" s="4" t="s">
        <v>238</v>
      </c>
      <c r="Y91" s="4">
        <v>0</v>
      </c>
      <c r="Z91" s="4">
        <v>0</v>
      </c>
      <c r="AA91" s="4">
        <v>151</v>
      </c>
      <c r="AB91" s="4">
        <f t="shared" si="42"/>
        <v>3775</v>
      </c>
      <c r="AC91" s="4">
        <v>25</v>
      </c>
      <c r="AD91" s="20">
        <f t="shared" si="43"/>
        <v>5090</v>
      </c>
      <c r="AE91" s="6">
        <f t="shared" si="44"/>
        <v>0.25834970530451862</v>
      </c>
      <c r="AF91" s="4">
        <v>923.5</v>
      </c>
      <c r="AG91" s="4">
        <f t="shared" si="45"/>
        <v>5700</v>
      </c>
      <c r="AH91" s="4">
        <f t="shared" si="46"/>
        <v>6580.2752293577978</v>
      </c>
      <c r="AI91" s="6">
        <f t="shared" si="47"/>
        <v>0.4263157894736842</v>
      </c>
      <c r="AJ91" s="7">
        <v>5900</v>
      </c>
      <c r="AK91" s="6">
        <f t="shared" si="48"/>
        <v>0.36016949152542377</v>
      </c>
      <c r="AL91" s="4">
        <f t="shared" si="49"/>
        <v>2125</v>
      </c>
      <c r="AM91" s="27"/>
      <c r="AN91" s="6"/>
      <c r="AO91" s="6"/>
      <c r="AP91" s="6" t="e">
        <f t="shared" si="50"/>
        <v>#DIV/0!</v>
      </c>
      <c r="AQ91" s="6">
        <f t="shared" si="51"/>
        <v>1.3381719210705376</v>
      </c>
      <c r="AR91" s="6">
        <f t="shared" si="52"/>
        <v>1.154434250764526</v>
      </c>
      <c r="AS91" s="4" t="str">
        <f t="shared" si="54"/>
        <v>-</v>
      </c>
      <c r="AT91" s="4" t="str">
        <f t="shared" si="55"/>
        <v>-</v>
      </c>
      <c r="AU91" s="4" t="str">
        <f t="shared" si="56"/>
        <v>-</v>
      </c>
      <c r="AV91" s="4" t="str">
        <f t="shared" si="57"/>
        <v>-</v>
      </c>
      <c r="AW91" s="4" t="str">
        <f t="shared" si="58"/>
        <v>-</v>
      </c>
      <c r="AX91" s="4" t="str">
        <f t="shared" si="59"/>
        <v>-</v>
      </c>
      <c r="AY91" s="4" t="str">
        <f t="shared" si="60"/>
        <v>-</v>
      </c>
      <c r="AZ91" s="4" t="str">
        <f t="shared" si="61"/>
        <v>-</v>
      </c>
      <c r="BA91" s="4" t="str">
        <f t="shared" si="62"/>
        <v>-</v>
      </c>
      <c r="BB91" s="4" t="s">
        <v>236</v>
      </c>
      <c r="BC91" s="4" t="s">
        <v>309</v>
      </c>
      <c r="BD91" s="4">
        <v>25</v>
      </c>
      <c r="BE91" s="4">
        <v>1</v>
      </c>
      <c r="BF91" s="4" t="s">
        <v>277</v>
      </c>
      <c r="BG91" s="4">
        <v>228</v>
      </c>
      <c r="BH91" s="4">
        <v>228</v>
      </c>
      <c r="BI91" s="4">
        <f t="shared" si="53"/>
        <v>5700</v>
      </c>
      <c r="BJ91" s="18">
        <v>4</v>
      </c>
      <c r="BK91" s="18">
        <v>1</v>
      </c>
      <c r="BL91" s="16">
        <v>18</v>
      </c>
      <c r="BM91" t="s">
        <v>317</v>
      </c>
      <c r="BN91">
        <v>228</v>
      </c>
      <c r="BO91">
        <v>228</v>
      </c>
      <c r="BP91">
        <f t="shared" si="63"/>
        <v>263.21100917431193</v>
      </c>
      <c r="BQ91" s="4" t="s">
        <v>271</v>
      </c>
    </row>
    <row r="92" spans="1:69" x14ac:dyDescent="0.4">
      <c r="A92" s="3">
        <v>46</v>
      </c>
      <c r="B92" s="3">
        <v>46</v>
      </c>
      <c r="C92" s="32">
        <v>388546</v>
      </c>
      <c r="D92" s="4" t="str">
        <f t="shared" si="40"/>
        <v>388546</v>
      </c>
      <c r="E92" s="4">
        <v>388546</v>
      </c>
      <c r="F92" s="4" t="s">
        <v>143</v>
      </c>
      <c r="G92" s="5">
        <v>4580417611229</v>
      </c>
      <c r="H92" s="5"/>
      <c r="I92" s="5"/>
      <c r="J92" s="5">
        <v>2</v>
      </c>
      <c r="K92" s="5">
        <v>2</v>
      </c>
      <c r="L92" s="4">
        <v>0</v>
      </c>
      <c r="M92" s="4">
        <v>280</v>
      </c>
      <c r="N92" s="4">
        <v>191.4</v>
      </c>
      <c r="O92" s="6">
        <f t="shared" si="41"/>
        <v>0.31642857142857139</v>
      </c>
      <c r="P92" s="4">
        <v>255</v>
      </c>
      <c r="Q92" s="4">
        <v>10</v>
      </c>
      <c r="R92" s="4">
        <v>99999</v>
      </c>
      <c r="S92" s="4" t="s">
        <v>238</v>
      </c>
      <c r="T92" s="4" t="s">
        <v>238</v>
      </c>
      <c r="U92" s="4" t="s">
        <v>238</v>
      </c>
      <c r="V92" s="4" t="s">
        <v>238</v>
      </c>
      <c r="W92" s="4" t="s">
        <v>238</v>
      </c>
      <c r="X92" s="4" t="s">
        <v>238</v>
      </c>
      <c r="Y92" s="4">
        <v>0</v>
      </c>
      <c r="Z92" s="4">
        <f>IF(AC92="",Y92,Y92*AC92)</f>
        <v>0</v>
      </c>
      <c r="AA92" s="4">
        <v>220</v>
      </c>
      <c r="AB92" s="4">
        <f t="shared" si="42"/>
        <v>220</v>
      </c>
      <c r="AC92" s="4"/>
      <c r="AD92" s="20">
        <f t="shared" si="43"/>
        <v>322</v>
      </c>
      <c r="AE92" s="6">
        <f t="shared" si="44"/>
        <v>0.31677018633540377</v>
      </c>
      <c r="AF92" s="4">
        <v>531.25</v>
      </c>
      <c r="AG92" s="4">
        <f t="shared" si="45"/>
        <v>304</v>
      </c>
      <c r="AH92" s="4">
        <f t="shared" si="46"/>
        <v>349.4252873563218</v>
      </c>
      <c r="AI92" s="6">
        <f t="shared" si="47"/>
        <v>0.37039473684210522</v>
      </c>
      <c r="AJ92" s="7">
        <v>345</v>
      </c>
      <c r="AK92" s="6">
        <f t="shared" si="48"/>
        <v>0.3623188405797102</v>
      </c>
      <c r="AL92" s="4">
        <f t="shared" si="49"/>
        <v>125</v>
      </c>
      <c r="AM92" s="27"/>
      <c r="AN92" s="6"/>
      <c r="AO92" s="6"/>
      <c r="AP92" s="6" t="e">
        <f t="shared" si="50"/>
        <v>#DIV/0!</v>
      </c>
      <c r="AQ92" s="6">
        <f t="shared" si="51"/>
        <v>1.2321428571428572</v>
      </c>
      <c r="AR92" s="6">
        <f t="shared" si="52"/>
        <v>1.1494252873563218</v>
      </c>
      <c r="AS92" s="4">
        <f t="shared" si="54"/>
        <v>314</v>
      </c>
      <c r="AT92" s="4">
        <f t="shared" si="55"/>
        <v>10</v>
      </c>
      <c r="AU92" s="4">
        <f t="shared" si="56"/>
        <v>99999</v>
      </c>
      <c r="AV92" s="4" t="str">
        <f t="shared" si="57"/>
        <v>-</v>
      </c>
      <c r="AW92" s="4" t="str">
        <f t="shared" si="58"/>
        <v>-</v>
      </c>
      <c r="AX92" s="4" t="str">
        <f t="shared" si="59"/>
        <v>-</v>
      </c>
      <c r="AY92" s="4" t="str">
        <f t="shared" si="60"/>
        <v>-</v>
      </c>
      <c r="AZ92" s="4" t="str">
        <f t="shared" si="61"/>
        <v>-</v>
      </c>
      <c r="BA92" s="4" t="str">
        <f t="shared" si="62"/>
        <v>-</v>
      </c>
      <c r="BB92" s="4" t="s">
        <v>236</v>
      </c>
      <c r="BC92" s="4" t="s">
        <v>310</v>
      </c>
      <c r="BD92" s="4"/>
      <c r="BE92" s="4"/>
      <c r="BF92" s="4" t="s">
        <v>277</v>
      </c>
      <c r="BG92" s="4">
        <v>304</v>
      </c>
      <c r="BH92" s="4">
        <v>304</v>
      </c>
      <c r="BI92" s="4">
        <f t="shared" si="53"/>
        <v>304</v>
      </c>
      <c r="BJ92" s="18">
        <v>4</v>
      </c>
      <c r="BK92" s="18">
        <v>1</v>
      </c>
      <c r="BL92" s="16">
        <v>18</v>
      </c>
      <c r="BM92" t="s">
        <v>317</v>
      </c>
      <c r="BN92">
        <v>304</v>
      </c>
      <c r="BO92">
        <v>304</v>
      </c>
      <c r="BP92">
        <f t="shared" si="63"/>
        <v>349.4252873563218</v>
      </c>
      <c r="BQ92" s="4" t="s">
        <v>272</v>
      </c>
    </row>
    <row r="93" spans="1:69" x14ac:dyDescent="0.4">
      <c r="A93" s="3">
        <v>99</v>
      </c>
      <c r="B93" s="3">
        <v>46</v>
      </c>
      <c r="C93" s="32">
        <v>388546</v>
      </c>
      <c r="D93" s="4" t="str">
        <f t="shared" si="40"/>
        <v>388546</v>
      </c>
      <c r="E93" s="4">
        <v>388133</v>
      </c>
      <c r="F93" s="4" t="s">
        <v>228</v>
      </c>
      <c r="G93" s="5">
        <v>4580417611229</v>
      </c>
      <c r="H93" s="5"/>
      <c r="I93" s="5"/>
      <c r="J93" s="5"/>
      <c r="K93" s="5"/>
      <c r="L93" s="4">
        <v>0</v>
      </c>
      <c r="M93" s="4">
        <v>4966</v>
      </c>
      <c r="N93" s="4">
        <v>3828</v>
      </c>
      <c r="O93" s="6">
        <f t="shared" si="41"/>
        <v>0.22915827627869512</v>
      </c>
      <c r="P93" s="4" t="s">
        <v>238</v>
      </c>
      <c r="Q93" s="4" t="s">
        <v>238</v>
      </c>
      <c r="R93" s="4" t="s">
        <v>238</v>
      </c>
      <c r="S93" s="4" t="s">
        <v>238</v>
      </c>
      <c r="T93" s="4" t="s">
        <v>238</v>
      </c>
      <c r="U93" s="4" t="s">
        <v>238</v>
      </c>
      <c r="V93" s="4" t="s">
        <v>238</v>
      </c>
      <c r="W93" s="4" t="s">
        <v>238</v>
      </c>
      <c r="X93" s="4" t="s">
        <v>238</v>
      </c>
      <c r="Y93" s="4">
        <v>0</v>
      </c>
      <c r="Z93" s="4">
        <v>0</v>
      </c>
      <c r="AA93" s="4">
        <v>220</v>
      </c>
      <c r="AB93" s="4">
        <f t="shared" si="42"/>
        <v>4400</v>
      </c>
      <c r="AC93" s="4">
        <v>20</v>
      </c>
      <c r="AD93" s="20">
        <f t="shared" si="43"/>
        <v>5708</v>
      </c>
      <c r="AE93" s="6">
        <f t="shared" si="44"/>
        <v>0.22915206727400139</v>
      </c>
      <c r="AF93" s="4">
        <v>531.25</v>
      </c>
      <c r="AG93" s="4">
        <f t="shared" si="45"/>
        <v>6080</v>
      </c>
      <c r="AH93" s="4">
        <f t="shared" si="46"/>
        <v>6988.5057471264363</v>
      </c>
      <c r="AI93" s="6">
        <f t="shared" si="47"/>
        <v>0.37039473684210522</v>
      </c>
      <c r="AJ93" s="7">
        <v>6500</v>
      </c>
      <c r="AK93" s="6">
        <f t="shared" si="48"/>
        <v>0.32307692307692304</v>
      </c>
      <c r="AL93" s="4">
        <f t="shared" si="49"/>
        <v>2100</v>
      </c>
      <c r="AM93" s="27"/>
      <c r="AN93" s="6"/>
      <c r="AO93" s="6"/>
      <c r="AP93" s="6" t="e">
        <f t="shared" si="50"/>
        <v>#DIV/0!</v>
      </c>
      <c r="AQ93" s="6">
        <f t="shared" si="51"/>
        <v>1.3089005235602094</v>
      </c>
      <c r="AR93" s="6">
        <f t="shared" si="52"/>
        <v>1.1494252873563218</v>
      </c>
      <c r="AS93" s="4" t="str">
        <f t="shared" si="54"/>
        <v>-</v>
      </c>
      <c r="AT93" s="4" t="str">
        <f t="shared" si="55"/>
        <v>-</v>
      </c>
      <c r="AU93" s="4" t="str">
        <f t="shared" si="56"/>
        <v>-</v>
      </c>
      <c r="AV93" s="4" t="str">
        <f t="shared" si="57"/>
        <v>-</v>
      </c>
      <c r="AW93" s="4" t="str">
        <f t="shared" si="58"/>
        <v>-</v>
      </c>
      <c r="AX93" s="4" t="str">
        <f t="shared" si="59"/>
        <v>-</v>
      </c>
      <c r="AY93" s="4" t="str">
        <f t="shared" si="60"/>
        <v>-</v>
      </c>
      <c r="AZ93" s="4" t="str">
        <f t="shared" si="61"/>
        <v>-</v>
      </c>
      <c r="BA93" s="4" t="str">
        <f t="shared" si="62"/>
        <v>-</v>
      </c>
      <c r="BB93" s="4" t="s">
        <v>236</v>
      </c>
      <c r="BC93" s="4" t="s">
        <v>310</v>
      </c>
      <c r="BD93" s="4">
        <v>20</v>
      </c>
      <c r="BE93" s="4">
        <v>1</v>
      </c>
      <c r="BF93" s="4" t="s">
        <v>277</v>
      </c>
      <c r="BG93" s="4">
        <v>304</v>
      </c>
      <c r="BH93" s="4">
        <v>304</v>
      </c>
      <c r="BI93" s="4">
        <f t="shared" si="53"/>
        <v>6080</v>
      </c>
      <c r="BJ93" s="18">
        <v>4</v>
      </c>
      <c r="BK93" s="18">
        <v>1</v>
      </c>
      <c r="BL93" s="16">
        <v>18</v>
      </c>
      <c r="BM93" t="s">
        <v>317</v>
      </c>
      <c r="BN93">
        <v>304</v>
      </c>
      <c r="BO93">
        <v>304</v>
      </c>
      <c r="BP93">
        <f t="shared" si="63"/>
        <v>349.4252873563218</v>
      </c>
      <c r="BQ93" s="4" t="s">
        <v>272</v>
      </c>
    </row>
    <row r="94" spans="1:69" x14ac:dyDescent="0.4">
      <c r="A94" s="3">
        <v>47</v>
      </c>
      <c r="B94" s="3">
        <v>47</v>
      </c>
      <c r="C94" s="32">
        <v>388549</v>
      </c>
      <c r="D94" s="4" t="str">
        <f t="shared" si="40"/>
        <v>388549</v>
      </c>
      <c r="E94" s="4">
        <v>388549</v>
      </c>
      <c r="F94" s="4" t="s">
        <v>144</v>
      </c>
      <c r="G94" s="5">
        <v>4580417611236</v>
      </c>
      <c r="H94" s="5"/>
      <c r="I94" s="5"/>
      <c r="J94" s="5">
        <v>2</v>
      </c>
      <c r="K94" s="5">
        <v>2</v>
      </c>
      <c r="L94" s="4">
        <v>0</v>
      </c>
      <c r="M94" s="4">
        <v>367</v>
      </c>
      <c r="N94" s="4">
        <v>255.1</v>
      </c>
      <c r="O94" s="6">
        <f t="shared" si="41"/>
        <v>0.30490463215258856</v>
      </c>
      <c r="P94" s="4">
        <v>338</v>
      </c>
      <c r="Q94" s="4">
        <v>10</v>
      </c>
      <c r="R94" s="4">
        <v>99999</v>
      </c>
      <c r="S94" s="4" t="s">
        <v>238</v>
      </c>
      <c r="T94" s="4" t="s">
        <v>238</v>
      </c>
      <c r="U94" s="4" t="s">
        <v>238</v>
      </c>
      <c r="V94" s="4" t="s">
        <v>238</v>
      </c>
      <c r="W94" s="4" t="s">
        <v>238</v>
      </c>
      <c r="X94" s="4" t="s">
        <v>238</v>
      </c>
      <c r="Y94" s="4">
        <v>0</v>
      </c>
      <c r="Z94" s="4">
        <f>IF(AC94="",Y94,Y94*AC94)</f>
        <v>0</v>
      </c>
      <c r="AA94" s="4">
        <v>293</v>
      </c>
      <c r="AB94" s="4">
        <f t="shared" si="42"/>
        <v>293</v>
      </c>
      <c r="AC94" s="4"/>
      <c r="AD94" s="20">
        <f t="shared" si="43"/>
        <v>422</v>
      </c>
      <c r="AE94" s="6">
        <f t="shared" si="44"/>
        <v>0.30568720379146919</v>
      </c>
      <c r="AF94" s="4">
        <v>527.5</v>
      </c>
      <c r="AG94" s="4" t="str">
        <f t="shared" si="45"/>
        <v>-</v>
      </c>
      <c r="AH94" s="4" t="e">
        <f t="shared" si="46"/>
        <v>#VALUE!</v>
      </c>
      <c r="AI94" s="6" t="e">
        <f t="shared" si="47"/>
        <v>#VALUE!</v>
      </c>
      <c r="AJ94" s="7">
        <v>422</v>
      </c>
      <c r="AK94" s="6">
        <f t="shared" si="48"/>
        <v>0.30568720379146919</v>
      </c>
      <c r="AL94" s="4">
        <f t="shared" si="49"/>
        <v>129</v>
      </c>
      <c r="AM94" s="27"/>
      <c r="AN94" s="6"/>
      <c r="AO94" s="6"/>
      <c r="AP94" s="6" t="e">
        <f t="shared" si="50"/>
        <v>#DIV/0!</v>
      </c>
      <c r="AQ94" s="6">
        <f t="shared" si="51"/>
        <v>1.1498637602179838</v>
      </c>
      <c r="AR94" s="6">
        <f t="shared" si="52"/>
        <v>1.1485691885535085</v>
      </c>
      <c r="AS94" s="4">
        <f t="shared" si="54"/>
        <v>389</v>
      </c>
      <c r="AT94" s="4">
        <f t="shared" si="55"/>
        <v>10</v>
      </c>
      <c r="AU94" s="4">
        <f t="shared" si="56"/>
        <v>99999</v>
      </c>
      <c r="AV94" s="4" t="str">
        <f t="shared" si="57"/>
        <v>-</v>
      </c>
      <c r="AW94" s="4" t="str">
        <f t="shared" si="58"/>
        <v>-</v>
      </c>
      <c r="AX94" s="4" t="str">
        <f t="shared" si="59"/>
        <v>-</v>
      </c>
      <c r="AY94" s="4" t="str">
        <f t="shared" si="60"/>
        <v>-</v>
      </c>
      <c r="AZ94" s="4" t="str">
        <f t="shared" si="61"/>
        <v>-</v>
      </c>
      <c r="BA94" s="4" t="str">
        <f t="shared" si="62"/>
        <v>-</v>
      </c>
      <c r="BB94" s="4" t="s">
        <v>236</v>
      </c>
      <c r="BC94" s="4" t="s">
        <v>238</v>
      </c>
      <c r="BD94" s="4"/>
      <c r="BE94" s="4"/>
      <c r="BF94" s="4" t="s">
        <v>238</v>
      </c>
      <c r="BG94" s="4" t="s">
        <v>238</v>
      </c>
      <c r="BH94" s="4" t="s">
        <v>238</v>
      </c>
      <c r="BI94" s="4" t="str">
        <f t="shared" si="53"/>
        <v>-</v>
      </c>
      <c r="BJ94" s="18">
        <v>4</v>
      </c>
      <c r="BK94" s="18">
        <v>1</v>
      </c>
      <c r="BL94" s="16">
        <v>18</v>
      </c>
      <c r="BM94" t="s">
        <v>317</v>
      </c>
      <c r="BN94">
        <v>369</v>
      </c>
      <c r="BO94">
        <v>369</v>
      </c>
      <c r="BP94">
        <f t="shared" si="63"/>
        <v>423.82203057624463</v>
      </c>
      <c r="BQ94" s="4" t="s">
        <v>238</v>
      </c>
    </row>
    <row r="95" spans="1:69" x14ac:dyDescent="0.4">
      <c r="A95" s="3">
        <v>100</v>
      </c>
      <c r="B95" s="3">
        <v>47</v>
      </c>
      <c r="C95" s="32">
        <v>388549</v>
      </c>
      <c r="D95" s="4" t="str">
        <f t="shared" si="40"/>
        <v>388549</v>
      </c>
      <c r="E95" s="4">
        <v>388134</v>
      </c>
      <c r="F95" s="4" t="s">
        <v>229</v>
      </c>
      <c r="G95" s="5">
        <v>4580417611236</v>
      </c>
      <c r="H95" s="5"/>
      <c r="I95" s="5"/>
      <c r="J95" s="5"/>
      <c r="K95" s="5"/>
      <c r="L95" s="4">
        <v>0</v>
      </c>
      <c r="M95" s="4">
        <v>6468</v>
      </c>
      <c r="N95" s="4">
        <v>5102</v>
      </c>
      <c r="O95" s="6">
        <f t="shared" si="41"/>
        <v>0.21119356833642544</v>
      </c>
      <c r="P95" s="4">
        <v>5970</v>
      </c>
      <c r="Q95" s="4">
        <v>2</v>
      </c>
      <c r="R95" s="4">
        <v>99999</v>
      </c>
      <c r="S95" s="4" t="s">
        <v>238</v>
      </c>
      <c r="T95" s="4" t="s">
        <v>238</v>
      </c>
      <c r="U95" s="4" t="s">
        <v>238</v>
      </c>
      <c r="V95" s="4" t="s">
        <v>238</v>
      </c>
      <c r="W95" s="4" t="s">
        <v>238</v>
      </c>
      <c r="X95" s="4" t="s">
        <v>238</v>
      </c>
      <c r="Y95" s="4">
        <v>0</v>
      </c>
      <c r="Z95" s="4">
        <v>0</v>
      </c>
      <c r="AA95" s="4">
        <v>293</v>
      </c>
      <c r="AB95" s="4">
        <f t="shared" si="42"/>
        <v>5860</v>
      </c>
      <c r="AC95" s="4">
        <v>20</v>
      </c>
      <c r="AD95" s="20">
        <f t="shared" si="43"/>
        <v>7429</v>
      </c>
      <c r="AE95" s="6">
        <f t="shared" si="44"/>
        <v>0.21119935388342981</v>
      </c>
      <c r="AF95" s="4">
        <v>527.5</v>
      </c>
      <c r="AG95" s="4" t="str">
        <f t="shared" si="45"/>
        <v>-</v>
      </c>
      <c r="AH95" s="4" t="e">
        <f t="shared" si="46"/>
        <v>#VALUE!</v>
      </c>
      <c r="AI95" s="6" t="e">
        <f t="shared" si="47"/>
        <v>#VALUE!</v>
      </c>
      <c r="AJ95" s="7">
        <v>8000</v>
      </c>
      <c r="AK95" s="6">
        <f t="shared" si="48"/>
        <v>0.26749999999999996</v>
      </c>
      <c r="AL95" s="4">
        <f t="shared" si="49"/>
        <v>2140</v>
      </c>
      <c r="AM95" s="27"/>
      <c r="AN95" s="6"/>
      <c r="AO95" s="6"/>
      <c r="AP95" s="6" t="e">
        <f t="shared" si="50"/>
        <v>#DIV/0!</v>
      </c>
      <c r="AQ95" s="6">
        <f t="shared" si="51"/>
        <v>1.2368583797155226</v>
      </c>
      <c r="AR95" s="6">
        <f t="shared" si="52"/>
        <v>1.1485691885535085</v>
      </c>
      <c r="AS95" s="4">
        <f t="shared" si="54"/>
        <v>7384</v>
      </c>
      <c r="AT95" s="4">
        <f t="shared" si="55"/>
        <v>2</v>
      </c>
      <c r="AU95" s="4">
        <f t="shared" si="56"/>
        <v>99999</v>
      </c>
      <c r="AV95" s="4" t="str">
        <f t="shared" si="57"/>
        <v>-</v>
      </c>
      <c r="AW95" s="4" t="str">
        <f t="shared" si="58"/>
        <v>-</v>
      </c>
      <c r="AX95" s="4" t="str">
        <f t="shared" si="59"/>
        <v>-</v>
      </c>
      <c r="AY95" s="4" t="str">
        <f t="shared" si="60"/>
        <v>-</v>
      </c>
      <c r="AZ95" s="4" t="str">
        <f t="shared" si="61"/>
        <v>-</v>
      </c>
      <c r="BA95" s="4" t="str">
        <f t="shared" si="62"/>
        <v>-</v>
      </c>
      <c r="BB95" s="4" t="s">
        <v>236</v>
      </c>
      <c r="BC95" s="4" t="s">
        <v>238</v>
      </c>
      <c r="BD95" s="4"/>
      <c r="BE95" s="4"/>
      <c r="BF95" s="4" t="s">
        <v>238</v>
      </c>
      <c r="BG95" s="4" t="s">
        <v>238</v>
      </c>
      <c r="BH95" s="4" t="s">
        <v>238</v>
      </c>
      <c r="BI95" s="4" t="str">
        <f t="shared" si="53"/>
        <v>-</v>
      </c>
      <c r="BJ95" s="18">
        <v>4</v>
      </c>
      <c r="BK95" s="18">
        <v>1</v>
      </c>
      <c r="BL95" s="16">
        <v>18</v>
      </c>
      <c r="BM95" t="s">
        <v>317</v>
      </c>
      <c r="BN95">
        <v>369</v>
      </c>
      <c r="BO95">
        <v>369</v>
      </c>
      <c r="BP95">
        <f t="shared" si="63"/>
        <v>423.82203057624463</v>
      </c>
      <c r="BQ95" s="4" t="s">
        <v>238</v>
      </c>
    </row>
    <row r="96" spans="1:69" x14ac:dyDescent="0.4">
      <c r="A96" s="3">
        <v>48</v>
      </c>
      <c r="B96" s="3">
        <v>48</v>
      </c>
      <c r="C96" s="32">
        <v>369775</v>
      </c>
      <c r="D96" s="4" t="str">
        <f t="shared" si="40"/>
        <v>369775</v>
      </c>
      <c r="E96" s="4">
        <v>369775</v>
      </c>
      <c r="F96" s="4" t="s">
        <v>145</v>
      </c>
      <c r="G96" s="5">
        <v>4580417611243</v>
      </c>
      <c r="H96" s="5"/>
      <c r="I96" s="5"/>
      <c r="J96" s="5">
        <v>2</v>
      </c>
      <c r="K96" s="5">
        <v>1</v>
      </c>
      <c r="L96" s="4">
        <v>0</v>
      </c>
      <c r="M96" s="4">
        <v>504</v>
      </c>
      <c r="N96" s="4">
        <v>342.3</v>
      </c>
      <c r="O96" s="6">
        <f t="shared" si="41"/>
        <v>0.3208333333333333</v>
      </c>
      <c r="P96" s="4">
        <v>457</v>
      </c>
      <c r="Q96" s="4">
        <v>10</v>
      </c>
      <c r="R96" s="4">
        <v>99999</v>
      </c>
      <c r="S96" s="4" t="s">
        <v>238</v>
      </c>
      <c r="T96" s="4" t="s">
        <v>238</v>
      </c>
      <c r="U96" s="4" t="s">
        <v>238</v>
      </c>
      <c r="V96" s="4" t="s">
        <v>238</v>
      </c>
      <c r="W96" s="4" t="s">
        <v>238</v>
      </c>
      <c r="X96" s="4" t="s">
        <v>238</v>
      </c>
      <c r="Y96" s="4">
        <v>0</v>
      </c>
      <c r="Z96" s="4">
        <f>IF(AC96="",Y96,Y96*AC96)</f>
        <v>0</v>
      </c>
      <c r="AA96" s="4">
        <v>393</v>
      </c>
      <c r="AB96" s="4">
        <f t="shared" si="42"/>
        <v>393</v>
      </c>
      <c r="AC96" s="4"/>
      <c r="AD96" s="20">
        <f t="shared" si="43"/>
        <v>579</v>
      </c>
      <c r="AE96" s="6">
        <f t="shared" si="44"/>
        <v>0.32124352331606221</v>
      </c>
      <c r="AF96" s="4">
        <v>96.75</v>
      </c>
      <c r="AG96" s="4">
        <f t="shared" si="45"/>
        <v>551</v>
      </c>
      <c r="AH96" s="4">
        <f t="shared" si="46"/>
        <v>632.61174408413672</v>
      </c>
      <c r="AI96" s="6">
        <f t="shared" si="47"/>
        <v>0.37876588021778579</v>
      </c>
      <c r="AJ96" s="7">
        <v>630</v>
      </c>
      <c r="AK96" s="6">
        <f t="shared" si="48"/>
        <v>0.37619047619047619</v>
      </c>
      <c r="AL96" s="4">
        <f t="shared" si="49"/>
        <v>237</v>
      </c>
      <c r="AM96" s="27"/>
      <c r="AN96" s="6"/>
      <c r="AO96" s="6"/>
      <c r="AP96" s="6" t="e">
        <f t="shared" si="50"/>
        <v>#DIV/0!</v>
      </c>
      <c r="AQ96" s="6">
        <f t="shared" si="51"/>
        <v>1.25</v>
      </c>
      <c r="AR96" s="6">
        <f t="shared" si="52"/>
        <v>1.1481156879929886</v>
      </c>
      <c r="AS96" s="4">
        <f t="shared" si="54"/>
        <v>571</v>
      </c>
      <c r="AT96" s="4">
        <f t="shared" si="55"/>
        <v>10</v>
      </c>
      <c r="AU96" s="4">
        <f t="shared" si="56"/>
        <v>99999</v>
      </c>
      <c r="AV96" s="4" t="str">
        <f t="shared" si="57"/>
        <v>-</v>
      </c>
      <c r="AW96" s="4" t="str">
        <f t="shared" si="58"/>
        <v>-</v>
      </c>
      <c r="AX96" s="4" t="str">
        <f t="shared" si="59"/>
        <v>-</v>
      </c>
      <c r="AY96" s="4" t="str">
        <f t="shared" si="60"/>
        <v>-</v>
      </c>
      <c r="AZ96" s="4" t="str">
        <f t="shared" si="61"/>
        <v>-</v>
      </c>
      <c r="BA96" s="4" t="str">
        <f t="shared" si="62"/>
        <v>-</v>
      </c>
      <c r="BB96" s="4" t="s">
        <v>236</v>
      </c>
      <c r="BC96" s="4" t="s">
        <v>311</v>
      </c>
      <c r="BD96" s="4"/>
      <c r="BE96" s="4"/>
      <c r="BF96" s="4" t="s">
        <v>277</v>
      </c>
      <c r="BG96" s="4">
        <v>551</v>
      </c>
      <c r="BH96" s="4">
        <v>551</v>
      </c>
      <c r="BI96" s="4">
        <f t="shared" si="53"/>
        <v>551</v>
      </c>
      <c r="BJ96" s="18">
        <v>4</v>
      </c>
      <c r="BK96" s="18">
        <v>1</v>
      </c>
      <c r="BL96" s="16">
        <v>18</v>
      </c>
      <c r="BM96" t="s">
        <v>317</v>
      </c>
      <c r="BN96">
        <v>551</v>
      </c>
      <c r="BO96">
        <v>551</v>
      </c>
      <c r="BP96">
        <f t="shared" si="63"/>
        <v>632.61174408413672</v>
      </c>
      <c r="BQ96" s="4" t="s">
        <v>273</v>
      </c>
    </row>
    <row r="97" spans="1:69" x14ac:dyDescent="0.4">
      <c r="A97" s="34">
        <v>80</v>
      </c>
      <c r="B97" s="3">
        <v>48</v>
      </c>
      <c r="C97" s="32">
        <v>369776</v>
      </c>
      <c r="D97" s="4" t="str">
        <f t="shared" si="40"/>
        <v>369776</v>
      </c>
      <c r="E97" s="4">
        <v>369776</v>
      </c>
      <c r="F97" s="4" t="s">
        <v>209</v>
      </c>
      <c r="G97" s="5">
        <v>4580417611243</v>
      </c>
      <c r="H97" s="5"/>
      <c r="I97" s="5"/>
      <c r="J97" s="5"/>
      <c r="K97" s="5"/>
      <c r="L97" s="4">
        <v>0</v>
      </c>
      <c r="M97" s="4">
        <v>8980</v>
      </c>
      <c r="N97" s="4">
        <v>6846</v>
      </c>
      <c r="O97" s="6">
        <f t="shared" si="41"/>
        <v>0.23763919821826285</v>
      </c>
      <c r="P97" s="4">
        <v>8936</v>
      </c>
      <c r="Q97" s="4">
        <v>2</v>
      </c>
      <c r="R97" s="4">
        <v>99999</v>
      </c>
      <c r="S97" s="4" t="s">
        <v>238</v>
      </c>
      <c r="T97" s="4" t="s">
        <v>238</v>
      </c>
      <c r="U97" s="4" t="s">
        <v>238</v>
      </c>
      <c r="V97" s="4" t="s">
        <v>238</v>
      </c>
      <c r="W97" s="4" t="s">
        <v>238</v>
      </c>
      <c r="X97" s="4" t="s">
        <v>238</v>
      </c>
      <c r="Y97" s="4">
        <v>0</v>
      </c>
      <c r="Z97" s="4">
        <f>IF(AC97="",Y97,Y97*AC97)</f>
        <v>0</v>
      </c>
      <c r="AA97" s="4">
        <v>393</v>
      </c>
      <c r="AB97" s="4">
        <f t="shared" si="42"/>
        <v>7860</v>
      </c>
      <c r="AC97" s="4">
        <v>20</v>
      </c>
      <c r="AD97" s="20">
        <f t="shared" si="43"/>
        <v>10310</v>
      </c>
      <c r="AE97" s="6">
        <f t="shared" si="44"/>
        <v>0.23763336566440352</v>
      </c>
      <c r="AF97" s="4">
        <v>301.5</v>
      </c>
      <c r="AG97" s="4">
        <f t="shared" si="45"/>
        <v>11020</v>
      </c>
      <c r="AH97" s="4">
        <f t="shared" si="46"/>
        <v>12652.234881682734</v>
      </c>
      <c r="AI97" s="6">
        <f t="shared" si="47"/>
        <v>0.37876588021778579</v>
      </c>
      <c r="AJ97" s="7">
        <v>11950</v>
      </c>
      <c r="AK97" s="6">
        <f t="shared" si="48"/>
        <v>0.34225941422594142</v>
      </c>
      <c r="AL97" s="4">
        <f t="shared" si="49"/>
        <v>4090</v>
      </c>
      <c r="AM97" s="27"/>
      <c r="AN97" s="6"/>
      <c r="AO97" s="6"/>
      <c r="AP97" s="6" t="e">
        <f t="shared" si="50"/>
        <v>#DIV/0!</v>
      </c>
      <c r="AQ97" s="6">
        <f t="shared" si="51"/>
        <v>1.3307349665924275</v>
      </c>
      <c r="AR97" s="6">
        <f t="shared" si="52"/>
        <v>1.1481156879929886</v>
      </c>
      <c r="AS97" s="4">
        <f t="shared" si="54"/>
        <v>11891</v>
      </c>
      <c r="AT97" s="4">
        <f t="shared" si="55"/>
        <v>2</v>
      </c>
      <c r="AU97" s="4">
        <f t="shared" si="56"/>
        <v>99999</v>
      </c>
      <c r="AV97" s="4" t="str">
        <f t="shared" si="57"/>
        <v>-</v>
      </c>
      <c r="AW97" s="4" t="str">
        <f t="shared" si="58"/>
        <v>-</v>
      </c>
      <c r="AX97" s="4" t="str">
        <f t="shared" si="59"/>
        <v>-</v>
      </c>
      <c r="AY97" s="4" t="str">
        <f t="shared" si="60"/>
        <v>-</v>
      </c>
      <c r="AZ97" s="4" t="str">
        <f t="shared" si="61"/>
        <v>-</v>
      </c>
      <c r="BA97" s="4" t="str">
        <f t="shared" si="62"/>
        <v>-</v>
      </c>
      <c r="BB97" s="4" t="s">
        <v>236</v>
      </c>
      <c r="BC97" s="4" t="s">
        <v>311</v>
      </c>
      <c r="BD97" s="4">
        <v>20</v>
      </c>
      <c r="BE97" s="4">
        <v>1</v>
      </c>
      <c r="BF97" s="4" t="s">
        <v>277</v>
      </c>
      <c r="BG97" s="4">
        <v>551</v>
      </c>
      <c r="BH97" s="4">
        <v>551</v>
      </c>
      <c r="BI97" s="4">
        <f t="shared" si="53"/>
        <v>11020</v>
      </c>
      <c r="BJ97" s="18">
        <v>2</v>
      </c>
      <c r="BK97" s="18">
        <v>1</v>
      </c>
      <c r="BL97" s="16">
        <v>18</v>
      </c>
      <c r="BM97" t="s">
        <v>317</v>
      </c>
      <c r="BN97">
        <v>551</v>
      </c>
      <c r="BO97">
        <v>551</v>
      </c>
      <c r="BP97">
        <f t="shared" si="63"/>
        <v>632.61174408413672</v>
      </c>
      <c r="BQ97" s="4" t="s">
        <v>273</v>
      </c>
    </row>
    <row r="98" spans="1:69" x14ac:dyDescent="0.4">
      <c r="A98" s="3">
        <v>49</v>
      </c>
      <c r="B98" s="3">
        <v>49</v>
      </c>
      <c r="C98" s="4">
        <v>394251</v>
      </c>
      <c r="D98" s="4" t="str">
        <f t="shared" si="40"/>
        <v>394251</v>
      </c>
      <c r="E98" s="4">
        <v>394251</v>
      </c>
      <c r="F98" s="4" t="s">
        <v>146</v>
      </c>
      <c r="G98" s="5">
        <v>4580417611250</v>
      </c>
      <c r="H98" s="5"/>
      <c r="I98" s="5"/>
      <c r="J98" s="5">
        <v>1</v>
      </c>
      <c r="K98" s="5">
        <v>1</v>
      </c>
      <c r="L98" s="4">
        <v>0</v>
      </c>
      <c r="M98" s="4">
        <v>826</v>
      </c>
      <c r="N98" s="4">
        <v>503.3</v>
      </c>
      <c r="O98" s="6">
        <f t="shared" si="41"/>
        <v>0.39067796610169492</v>
      </c>
      <c r="P98" s="4">
        <v>750</v>
      </c>
      <c r="Q98" s="4">
        <v>10</v>
      </c>
      <c r="R98" s="4">
        <v>99999</v>
      </c>
      <c r="S98" s="4" t="s">
        <v>238</v>
      </c>
      <c r="T98" s="4" t="s">
        <v>238</v>
      </c>
      <c r="U98" s="4" t="s">
        <v>238</v>
      </c>
      <c r="V98" s="4" t="s">
        <v>238</v>
      </c>
      <c r="W98" s="4" t="s">
        <v>238</v>
      </c>
      <c r="X98" s="4" t="s">
        <v>238</v>
      </c>
      <c r="Y98" s="4">
        <v>0</v>
      </c>
      <c r="Z98" s="4">
        <f>IF(AC98="",Y98,Y98*AC98)</f>
        <v>0</v>
      </c>
      <c r="AA98" s="4">
        <v>578</v>
      </c>
      <c r="AB98" s="4">
        <f t="shared" si="42"/>
        <v>578</v>
      </c>
      <c r="AC98" s="4"/>
      <c r="AD98" s="20">
        <f t="shared" si="43"/>
        <v>949</v>
      </c>
      <c r="AE98" s="6">
        <f t="shared" si="44"/>
        <v>0.39093782929399368</v>
      </c>
      <c r="AF98" s="4">
        <v>23</v>
      </c>
      <c r="AG98" s="4">
        <f t="shared" si="45"/>
        <v>856</v>
      </c>
      <c r="AH98" s="4">
        <f t="shared" si="46"/>
        <v>983.04788396582546</v>
      </c>
      <c r="AI98" s="6">
        <f t="shared" si="47"/>
        <v>0.4120327102803738</v>
      </c>
      <c r="AJ98" s="7">
        <v>980</v>
      </c>
      <c r="AK98" s="6">
        <f t="shared" si="48"/>
        <v>0.41020408163265309</v>
      </c>
      <c r="AL98" s="4">
        <f t="shared" si="49"/>
        <v>402</v>
      </c>
      <c r="AM98" s="27"/>
      <c r="AN98" s="6"/>
      <c r="AO98" s="6"/>
      <c r="AP98" s="6" t="e">
        <f t="shared" si="50"/>
        <v>#DIV/0!</v>
      </c>
      <c r="AQ98" s="6">
        <f t="shared" si="51"/>
        <v>1.1864406779661016</v>
      </c>
      <c r="AR98" s="6">
        <f t="shared" si="52"/>
        <v>1.1484204251937213</v>
      </c>
      <c r="AS98" s="4">
        <f t="shared" si="54"/>
        <v>890</v>
      </c>
      <c r="AT98" s="4">
        <f t="shared" si="55"/>
        <v>10</v>
      </c>
      <c r="AU98" s="4">
        <f t="shared" si="56"/>
        <v>99999</v>
      </c>
      <c r="AV98" s="4" t="str">
        <f t="shared" si="57"/>
        <v>-</v>
      </c>
      <c r="AW98" s="4" t="str">
        <f t="shared" si="58"/>
        <v>-</v>
      </c>
      <c r="AX98" s="4" t="str">
        <f t="shared" si="59"/>
        <v>-</v>
      </c>
      <c r="AY98" s="4" t="str">
        <f t="shared" si="60"/>
        <v>-</v>
      </c>
      <c r="AZ98" s="4" t="str">
        <f t="shared" si="61"/>
        <v>-</v>
      </c>
      <c r="BA98" s="4" t="str">
        <f t="shared" si="62"/>
        <v>-</v>
      </c>
      <c r="BB98" s="4" t="s">
        <v>236</v>
      </c>
      <c r="BC98" s="4" t="s">
        <v>312</v>
      </c>
      <c r="BD98" s="4"/>
      <c r="BE98" s="4"/>
      <c r="BF98" s="4" t="s">
        <v>277</v>
      </c>
      <c r="BG98" s="4">
        <v>856</v>
      </c>
      <c r="BH98" s="4">
        <v>856</v>
      </c>
      <c r="BI98" s="4">
        <f t="shared" si="53"/>
        <v>856</v>
      </c>
      <c r="BJ98" s="18">
        <v>4</v>
      </c>
      <c r="BK98" s="18">
        <v>1</v>
      </c>
      <c r="BL98" s="16">
        <v>18</v>
      </c>
      <c r="BM98" t="s">
        <v>317</v>
      </c>
      <c r="BN98">
        <v>855</v>
      </c>
      <c r="BO98">
        <v>855</v>
      </c>
      <c r="BP98">
        <f t="shared" si="63"/>
        <v>981.8994635406317</v>
      </c>
      <c r="BQ98" s="4" t="s">
        <v>274</v>
      </c>
    </row>
    <row r="99" spans="1:69" x14ac:dyDescent="0.4">
      <c r="A99" s="3">
        <v>50</v>
      </c>
      <c r="B99" s="3">
        <v>50</v>
      </c>
      <c r="C99" s="32">
        <v>172431</v>
      </c>
      <c r="D99" s="4" t="str">
        <f t="shared" si="40"/>
        <v>172431</v>
      </c>
      <c r="E99" s="4">
        <v>172431</v>
      </c>
      <c r="F99" s="4" t="s">
        <v>147</v>
      </c>
      <c r="G99" s="5">
        <v>4562345604535</v>
      </c>
      <c r="H99" s="5"/>
      <c r="I99" s="5"/>
      <c r="J99" s="5">
        <v>2</v>
      </c>
      <c r="K99" s="5">
        <v>2</v>
      </c>
      <c r="L99" s="4">
        <v>0</v>
      </c>
      <c r="M99" s="4">
        <v>175</v>
      </c>
      <c r="N99" s="4">
        <v>107.5</v>
      </c>
      <c r="O99" s="6">
        <f t="shared" si="41"/>
        <v>0.38571428571428568</v>
      </c>
      <c r="P99" s="4" t="s">
        <v>238</v>
      </c>
      <c r="Q99" s="4" t="s">
        <v>238</v>
      </c>
      <c r="R99" s="4" t="s">
        <v>238</v>
      </c>
      <c r="S99" s="4" t="s">
        <v>238</v>
      </c>
      <c r="T99" s="4" t="s">
        <v>238</v>
      </c>
      <c r="U99" s="4" t="s">
        <v>238</v>
      </c>
      <c r="V99" s="4" t="s">
        <v>238</v>
      </c>
      <c r="W99" s="4" t="s">
        <v>238</v>
      </c>
      <c r="X99" s="4" t="s">
        <v>238</v>
      </c>
      <c r="Y99" s="4">
        <v>0</v>
      </c>
      <c r="Z99" s="4">
        <f>IF(AC99="",Y99,Y99*AC99)</f>
        <v>0</v>
      </c>
      <c r="AA99" s="4">
        <v>108</v>
      </c>
      <c r="AB99" s="4">
        <f t="shared" si="42"/>
        <v>108</v>
      </c>
      <c r="AC99" s="4"/>
      <c r="AD99" s="20">
        <f t="shared" si="43"/>
        <v>176</v>
      </c>
      <c r="AE99" s="6">
        <f t="shared" si="44"/>
        <v>0.38636363636363635</v>
      </c>
      <c r="AF99" s="4">
        <v>14.000000000000002</v>
      </c>
      <c r="AG99" s="4" t="str">
        <f t="shared" si="45"/>
        <v>-</v>
      </c>
      <c r="AH99" s="4" t="e">
        <f t="shared" si="46"/>
        <v>#VALUE!</v>
      </c>
      <c r="AI99" s="6" t="e">
        <f t="shared" si="47"/>
        <v>#VALUE!</v>
      </c>
      <c r="AJ99" s="7">
        <v>180</v>
      </c>
      <c r="AK99" s="6">
        <f t="shared" si="48"/>
        <v>0.4</v>
      </c>
      <c r="AL99" s="4">
        <f t="shared" si="49"/>
        <v>72</v>
      </c>
      <c r="AM99" s="27"/>
      <c r="AN99" s="6"/>
      <c r="AO99" s="6"/>
      <c r="AP99" s="6" t="e">
        <f t="shared" si="50"/>
        <v>#DIV/0!</v>
      </c>
      <c r="AQ99" s="6">
        <f t="shared" si="51"/>
        <v>1.0285714285714285</v>
      </c>
      <c r="AR99" s="6">
        <f t="shared" si="52"/>
        <v>1.0046511627906978</v>
      </c>
      <c r="AS99" s="4" t="str">
        <f t="shared" si="54"/>
        <v>-</v>
      </c>
      <c r="AT99" s="4" t="str">
        <f t="shared" si="55"/>
        <v>-</v>
      </c>
      <c r="AU99" s="4" t="str">
        <f t="shared" si="56"/>
        <v>-</v>
      </c>
      <c r="AV99" s="4" t="str">
        <f t="shared" si="57"/>
        <v>-</v>
      </c>
      <c r="AW99" s="4" t="str">
        <f t="shared" si="58"/>
        <v>-</v>
      </c>
      <c r="AX99" s="4" t="str">
        <f t="shared" si="59"/>
        <v>-</v>
      </c>
      <c r="AY99" s="4" t="str">
        <f t="shared" si="60"/>
        <v>-</v>
      </c>
      <c r="AZ99" s="4" t="str">
        <f t="shared" si="61"/>
        <v>-</v>
      </c>
      <c r="BA99" s="4" t="str">
        <f t="shared" si="62"/>
        <v>-</v>
      </c>
      <c r="BB99" s="4" t="s">
        <v>237</v>
      </c>
      <c r="BC99" s="4" t="s">
        <v>238</v>
      </c>
      <c r="BD99" s="4"/>
      <c r="BE99" s="4"/>
      <c r="BF99" s="4" t="s">
        <v>238</v>
      </c>
      <c r="BG99" s="4" t="s">
        <v>238</v>
      </c>
      <c r="BH99" s="4" t="s">
        <v>238</v>
      </c>
      <c r="BI99" s="4" t="str">
        <f t="shared" si="53"/>
        <v>-</v>
      </c>
      <c r="BJ99" s="18">
        <v>4</v>
      </c>
      <c r="BK99" s="18">
        <v>1</v>
      </c>
      <c r="BL99" s="16">
        <v>18</v>
      </c>
      <c r="BM99" t="s">
        <v>317</v>
      </c>
      <c r="BN99" t="s">
        <v>238</v>
      </c>
      <c r="BO99" t="s">
        <v>238</v>
      </c>
      <c r="BP99" t="str">
        <f t="shared" si="63"/>
        <v>-</v>
      </c>
      <c r="BQ99" s="4" t="s">
        <v>238</v>
      </c>
    </row>
    <row r="100" spans="1:69" x14ac:dyDescent="0.4">
      <c r="A100" s="3">
        <v>101</v>
      </c>
      <c r="B100" s="3">
        <v>50</v>
      </c>
      <c r="C100" s="32">
        <v>172431</v>
      </c>
      <c r="D100" s="4" t="str">
        <f t="shared" ref="D100:D108" si="65">TEXT(C100,"000000")</f>
        <v>172431</v>
      </c>
      <c r="E100" s="4">
        <v>172433</v>
      </c>
      <c r="F100" s="4" t="s">
        <v>230</v>
      </c>
      <c r="G100" s="5">
        <v>4562345604535</v>
      </c>
      <c r="H100" s="5"/>
      <c r="I100" s="5"/>
      <c r="J100" s="5"/>
      <c r="K100" s="5"/>
      <c r="L100" s="4">
        <v>0</v>
      </c>
      <c r="M100" s="4">
        <v>1702</v>
      </c>
      <c r="N100" s="4">
        <v>1075</v>
      </c>
      <c r="O100" s="6">
        <f t="shared" ref="O100:O108" si="66">1-N100/M100</f>
        <v>0.3683901292596945</v>
      </c>
      <c r="P100" s="4" t="s">
        <v>238</v>
      </c>
      <c r="Q100" s="4" t="s">
        <v>238</v>
      </c>
      <c r="R100" s="4" t="s">
        <v>238</v>
      </c>
      <c r="S100" s="4" t="s">
        <v>238</v>
      </c>
      <c r="T100" s="4" t="s">
        <v>238</v>
      </c>
      <c r="U100" s="4" t="s">
        <v>238</v>
      </c>
      <c r="V100" s="4" t="s">
        <v>238</v>
      </c>
      <c r="W100" s="4" t="s">
        <v>238</v>
      </c>
      <c r="X100" s="4" t="s">
        <v>238</v>
      </c>
      <c r="Y100" s="4">
        <v>0</v>
      </c>
      <c r="Z100" s="4">
        <v>0</v>
      </c>
      <c r="AA100" s="4">
        <v>108</v>
      </c>
      <c r="AB100" s="4">
        <f t="shared" ref="AB100:AB108" si="67">IF(AC100="",AA100,AA100*AC100)</f>
        <v>1080</v>
      </c>
      <c r="AC100" s="4">
        <v>10</v>
      </c>
      <c r="AD100" s="20">
        <f t="shared" ref="AD100:AD108" si="68">ROUND(M100*AR100,0)</f>
        <v>1710</v>
      </c>
      <c r="AE100" s="6">
        <f t="shared" ref="AE100:AE108" si="69">1-AB100/AD100</f>
        <v>0.36842105263157898</v>
      </c>
      <c r="AF100" s="4">
        <v>14.000000000000002</v>
      </c>
      <c r="AG100" s="4" t="str">
        <f t="shared" ref="AG100:AG108" si="70">BI100</f>
        <v>-</v>
      </c>
      <c r="AH100" s="4" t="e">
        <f t="shared" ref="AH100:AH108" si="71">AG100*AR100</f>
        <v>#VALUE!</v>
      </c>
      <c r="AI100" s="6" t="e">
        <f t="shared" ref="AI100:AI108" si="72">1-AB100/AH100</f>
        <v>#VALUE!</v>
      </c>
      <c r="AJ100" s="7">
        <v>1710</v>
      </c>
      <c r="AK100" s="6">
        <f t="shared" ref="AK100:AK108" si="73">1-AB100/AJ100</f>
        <v>0.36842105263157898</v>
      </c>
      <c r="AL100" s="4">
        <f t="shared" ref="AL100:AL108" si="74">AJ100-AB100</f>
        <v>630</v>
      </c>
      <c r="AM100" s="27"/>
      <c r="AN100" s="6"/>
      <c r="AO100" s="6"/>
      <c r="AP100" s="6" t="e">
        <f t="shared" ref="AP100:AP108" si="75">Z100/L100</f>
        <v>#DIV/0!</v>
      </c>
      <c r="AQ100" s="6">
        <f t="shared" ref="AQ100:AQ108" si="76">AJ100/M100</f>
        <v>1.0047003525264395</v>
      </c>
      <c r="AR100" s="6">
        <f t="shared" ref="AR100:AR108" si="77">AB100/N100</f>
        <v>1.0046511627906978</v>
      </c>
      <c r="AS100" s="4" t="str">
        <f t="shared" si="54"/>
        <v>-</v>
      </c>
      <c r="AT100" s="4" t="str">
        <f t="shared" si="55"/>
        <v>-</v>
      </c>
      <c r="AU100" s="4" t="str">
        <f t="shared" si="56"/>
        <v>-</v>
      </c>
      <c r="AV100" s="4" t="str">
        <f t="shared" si="57"/>
        <v>-</v>
      </c>
      <c r="AW100" s="4" t="str">
        <f t="shared" si="58"/>
        <v>-</v>
      </c>
      <c r="AX100" s="4" t="str">
        <f t="shared" si="59"/>
        <v>-</v>
      </c>
      <c r="AY100" s="4" t="str">
        <f t="shared" si="60"/>
        <v>-</v>
      </c>
      <c r="AZ100" s="4" t="str">
        <f t="shared" si="61"/>
        <v>-</v>
      </c>
      <c r="BA100" s="4" t="str">
        <f t="shared" si="62"/>
        <v>-</v>
      </c>
      <c r="BB100" s="4" t="s">
        <v>237</v>
      </c>
      <c r="BC100" s="4" t="s">
        <v>238</v>
      </c>
      <c r="BD100" s="4"/>
      <c r="BE100" s="4"/>
      <c r="BF100" s="4" t="s">
        <v>238</v>
      </c>
      <c r="BG100" s="4" t="s">
        <v>238</v>
      </c>
      <c r="BH100" s="4" t="s">
        <v>238</v>
      </c>
      <c r="BI100" s="4" t="str">
        <f t="shared" ref="BI100:BI108" si="78">IF(BD100="",BH100,BD100/BE100*BH100)</f>
        <v>-</v>
      </c>
      <c r="BJ100" s="18">
        <v>4</v>
      </c>
      <c r="BK100" s="18">
        <v>1</v>
      </c>
      <c r="BL100" s="16">
        <v>18</v>
      </c>
      <c r="BM100" t="s">
        <v>317</v>
      </c>
      <c r="BN100" t="s">
        <v>238</v>
      </c>
      <c r="BO100" t="s">
        <v>238</v>
      </c>
      <c r="BP100" t="str">
        <f t="shared" si="63"/>
        <v>-</v>
      </c>
      <c r="BQ100" s="4" t="s">
        <v>238</v>
      </c>
    </row>
    <row r="101" spans="1:69" x14ac:dyDescent="0.4">
      <c r="A101" s="3">
        <v>51</v>
      </c>
      <c r="B101" s="3">
        <v>51</v>
      </c>
      <c r="C101" s="32">
        <v>172435</v>
      </c>
      <c r="D101" s="4" t="str">
        <f t="shared" si="65"/>
        <v>172435</v>
      </c>
      <c r="E101" s="4">
        <v>172435</v>
      </c>
      <c r="F101" s="4" t="s">
        <v>148</v>
      </c>
      <c r="G101" s="5">
        <v>4562345604542</v>
      </c>
      <c r="H101" s="5"/>
      <c r="I101" s="5"/>
      <c r="J101" s="5">
        <v>2</v>
      </c>
      <c r="K101" s="5">
        <v>2</v>
      </c>
      <c r="L101" s="4">
        <v>0</v>
      </c>
      <c r="M101" s="4">
        <v>211</v>
      </c>
      <c r="N101" s="4">
        <v>133.80000000000001</v>
      </c>
      <c r="O101" s="6">
        <f t="shared" si="66"/>
        <v>0.36587677725118473</v>
      </c>
      <c r="P101" s="4" t="s">
        <v>238</v>
      </c>
      <c r="Q101" s="4" t="s">
        <v>238</v>
      </c>
      <c r="R101" s="4" t="s">
        <v>238</v>
      </c>
      <c r="S101" s="4" t="s">
        <v>238</v>
      </c>
      <c r="T101" s="4" t="s">
        <v>238</v>
      </c>
      <c r="U101" s="4" t="s">
        <v>238</v>
      </c>
      <c r="V101" s="4" t="s">
        <v>238</v>
      </c>
      <c r="W101" s="4" t="s">
        <v>238</v>
      </c>
      <c r="X101" s="4" t="s">
        <v>238</v>
      </c>
      <c r="Y101" s="4">
        <v>0</v>
      </c>
      <c r="Z101" s="4">
        <f>IF(AC101="",Y101,Y101*AC101)</f>
        <v>0</v>
      </c>
      <c r="AA101" s="4">
        <v>134</v>
      </c>
      <c r="AB101" s="4">
        <f t="shared" si="67"/>
        <v>134</v>
      </c>
      <c r="AC101" s="4"/>
      <c r="AD101" s="20">
        <f t="shared" si="68"/>
        <v>211</v>
      </c>
      <c r="AE101" s="6">
        <f t="shared" si="69"/>
        <v>0.36492890995260663</v>
      </c>
      <c r="AF101" s="4">
        <v>15.75</v>
      </c>
      <c r="AG101" s="4" t="str">
        <f t="shared" si="70"/>
        <v>-</v>
      </c>
      <c r="AH101" s="4" t="e">
        <f t="shared" si="71"/>
        <v>#VALUE!</v>
      </c>
      <c r="AI101" s="6" t="e">
        <f t="shared" si="72"/>
        <v>#VALUE!</v>
      </c>
      <c r="AJ101" s="7">
        <v>230</v>
      </c>
      <c r="AK101" s="6">
        <f t="shared" si="73"/>
        <v>0.41739130434782612</v>
      </c>
      <c r="AL101" s="4">
        <f t="shared" si="74"/>
        <v>96</v>
      </c>
      <c r="AM101" s="27"/>
      <c r="AN101" s="6"/>
      <c r="AO101" s="6"/>
      <c r="AP101" s="6" t="e">
        <f t="shared" si="75"/>
        <v>#DIV/0!</v>
      </c>
      <c r="AQ101" s="6">
        <f t="shared" si="76"/>
        <v>1.0900473933649288</v>
      </c>
      <c r="AR101" s="6">
        <f t="shared" si="77"/>
        <v>1.0014947683109117</v>
      </c>
      <c r="AS101" s="4" t="str">
        <f t="shared" si="54"/>
        <v>-</v>
      </c>
      <c r="AT101" s="4" t="str">
        <f t="shared" si="55"/>
        <v>-</v>
      </c>
      <c r="AU101" s="4" t="str">
        <f t="shared" si="56"/>
        <v>-</v>
      </c>
      <c r="AV101" s="4" t="str">
        <f t="shared" si="57"/>
        <v>-</v>
      </c>
      <c r="AW101" s="4" t="str">
        <f t="shared" si="58"/>
        <v>-</v>
      </c>
      <c r="AX101" s="4" t="str">
        <f t="shared" si="59"/>
        <v>-</v>
      </c>
      <c r="AY101" s="4" t="str">
        <f t="shared" si="60"/>
        <v>-</v>
      </c>
      <c r="AZ101" s="4" t="str">
        <f t="shared" si="61"/>
        <v>-</v>
      </c>
      <c r="BA101" s="4" t="str">
        <f t="shared" si="62"/>
        <v>-</v>
      </c>
      <c r="BB101" s="4" t="s">
        <v>237</v>
      </c>
      <c r="BC101" s="4" t="s">
        <v>238</v>
      </c>
      <c r="BD101" s="4"/>
      <c r="BE101" s="4"/>
      <c r="BF101" s="4" t="s">
        <v>238</v>
      </c>
      <c r="BG101" s="4" t="s">
        <v>238</v>
      </c>
      <c r="BH101" s="4" t="s">
        <v>238</v>
      </c>
      <c r="BI101" s="4" t="str">
        <f t="shared" si="78"/>
        <v>-</v>
      </c>
      <c r="BJ101" s="18">
        <v>4</v>
      </c>
      <c r="BK101" s="18">
        <v>1</v>
      </c>
      <c r="BL101" s="16">
        <v>18</v>
      </c>
      <c r="BM101" t="s">
        <v>317</v>
      </c>
      <c r="BN101" t="s">
        <v>238</v>
      </c>
      <c r="BO101" t="s">
        <v>238</v>
      </c>
      <c r="BP101" t="str">
        <f t="shared" si="63"/>
        <v>-</v>
      </c>
      <c r="BQ101" s="4" t="s">
        <v>238</v>
      </c>
    </row>
    <row r="102" spans="1:69" x14ac:dyDescent="0.4">
      <c r="A102" s="3">
        <v>102</v>
      </c>
      <c r="B102" s="3">
        <v>51</v>
      </c>
      <c r="C102" s="32">
        <v>172435</v>
      </c>
      <c r="D102" s="4" t="str">
        <f t="shared" si="65"/>
        <v>172435</v>
      </c>
      <c r="E102" s="4">
        <v>172436</v>
      </c>
      <c r="F102" s="4" t="s">
        <v>231</v>
      </c>
      <c r="G102" s="5">
        <v>4562345604542</v>
      </c>
      <c r="H102" s="5"/>
      <c r="I102" s="5"/>
      <c r="J102" s="5"/>
      <c r="K102" s="5"/>
      <c r="L102" s="4">
        <v>0</v>
      </c>
      <c r="M102" s="4">
        <v>2051</v>
      </c>
      <c r="N102" s="4">
        <v>1338</v>
      </c>
      <c r="O102" s="6">
        <f t="shared" si="66"/>
        <v>0.34763529985372987</v>
      </c>
      <c r="P102" s="4" t="s">
        <v>238</v>
      </c>
      <c r="Q102" s="4" t="s">
        <v>238</v>
      </c>
      <c r="R102" s="4" t="s">
        <v>238</v>
      </c>
      <c r="S102" s="4" t="s">
        <v>238</v>
      </c>
      <c r="T102" s="4" t="s">
        <v>238</v>
      </c>
      <c r="U102" s="4" t="s">
        <v>238</v>
      </c>
      <c r="V102" s="4" t="s">
        <v>238</v>
      </c>
      <c r="W102" s="4" t="s">
        <v>238</v>
      </c>
      <c r="X102" s="4" t="s">
        <v>238</v>
      </c>
      <c r="Y102" s="4">
        <v>0</v>
      </c>
      <c r="Z102" s="4">
        <v>0</v>
      </c>
      <c r="AA102" s="4">
        <v>134</v>
      </c>
      <c r="AB102" s="4">
        <f t="shared" si="67"/>
        <v>1340</v>
      </c>
      <c r="AC102" s="4">
        <v>10</v>
      </c>
      <c r="AD102" s="20">
        <f t="shared" si="68"/>
        <v>2054</v>
      </c>
      <c r="AE102" s="6">
        <f t="shared" si="69"/>
        <v>0.34761441090555012</v>
      </c>
      <c r="AF102" s="4">
        <v>15.75</v>
      </c>
      <c r="AG102" s="4" t="str">
        <f t="shared" si="70"/>
        <v>-</v>
      </c>
      <c r="AH102" s="4" t="e">
        <f t="shared" si="71"/>
        <v>#VALUE!</v>
      </c>
      <c r="AI102" s="6" t="e">
        <f t="shared" si="72"/>
        <v>#VALUE!</v>
      </c>
      <c r="AJ102" s="7">
        <v>2180</v>
      </c>
      <c r="AK102" s="6">
        <f t="shared" si="73"/>
        <v>0.38532110091743121</v>
      </c>
      <c r="AL102" s="4">
        <f t="shared" si="74"/>
        <v>840</v>
      </c>
      <c r="AM102" s="27"/>
      <c r="AN102" s="6"/>
      <c r="AO102" s="6"/>
      <c r="AP102" s="6" t="e">
        <f t="shared" si="75"/>
        <v>#DIV/0!</v>
      </c>
      <c r="AQ102" s="6">
        <f t="shared" si="76"/>
        <v>1.0628961482203803</v>
      </c>
      <c r="AR102" s="6">
        <f t="shared" si="77"/>
        <v>1.0014947683109119</v>
      </c>
      <c r="AS102" s="4" t="str">
        <f t="shared" si="54"/>
        <v>-</v>
      </c>
      <c r="AT102" s="4" t="str">
        <f t="shared" si="55"/>
        <v>-</v>
      </c>
      <c r="AU102" s="4" t="str">
        <f t="shared" si="56"/>
        <v>-</v>
      </c>
      <c r="AV102" s="4" t="str">
        <f t="shared" si="57"/>
        <v>-</v>
      </c>
      <c r="AW102" s="4" t="str">
        <f t="shared" si="58"/>
        <v>-</v>
      </c>
      <c r="AX102" s="4" t="str">
        <f t="shared" si="59"/>
        <v>-</v>
      </c>
      <c r="AY102" s="4" t="str">
        <f t="shared" si="60"/>
        <v>-</v>
      </c>
      <c r="AZ102" s="4" t="str">
        <f t="shared" si="61"/>
        <v>-</v>
      </c>
      <c r="BA102" s="4" t="str">
        <f t="shared" si="62"/>
        <v>-</v>
      </c>
      <c r="BB102" s="4" t="s">
        <v>237</v>
      </c>
      <c r="BC102" s="4" t="s">
        <v>238</v>
      </c>
      <c r="BD102" s="4"/>
      <c r="BE102" s="4"/>
      <c r="BF102" s="4" t="s">
        <v>238</v>
      </c>
      <c r="BG102" s="4" t="s">
        <v>238</v>
      </c>
      <c r="BH102" s="4" t="s">
        <v>238</v>
      </c>
      <c r="BI102" s="4" t="str">
        <f t="shared" si="78"/>
        <v>-</v>
      </c>
      <c r="BJ102" s="18">
        <v>4</v>
      </c>
      <c r="BK102" s="18">
        <v>1</v>
      </c>
      <c r="BL102" s="16">
        <v>18</v>
      </c>
      <c r="BM102" t="s">
        <v>317</v>
      </c>
      <c r="BN102" t="s">
        <v>238</v>
      </c>
      <c r="BO102" t="s">
        <v>238</v>
      </c>
      <c r="BP102" t="str">
        <f t="shared" si="63"/>
        <v>-</v>
      </c>
      <c r="BQ102" s="4" t="s">
        <v>238</v>
      </c>
    </row>
    <row r="103" spans="1:69" x14ac:dyDescent="0.4">
      <c r="A103" s="3">
        <v>52</v>
      </c>
      <c r="B103" s="3">
        <v>52</v>
      </c>
      <c r="C103" s="32">
        <v>172437</v>
      </c>
      <c r="D103" s="4" t="str">
        <f t="shared" si="65"/>
        <v>172437</v>
      </c>
      <c r="E103" s="4">
        <v>172437</v>
      </c>
      <c r="F103" s="4" t="s">
        <v>149</v>
      </c>
      <c r="G103" s="5">
        <v>4562345604559</v>
      </c>
      <c r="H103" s="5"/>
      <c r="I103" s="5"/>
      <c r="J103" s="5">
        <v>2</v>
      </c>
      <c r="K103" s="5">
        <v>2</v>
      </c>
      <c r="L103" s="4">
        <v>0</v>
      </c>
      <c r="M103" s="4">
        <v>266</v>
      </c>
      <c r="N103" s="4">
        <v>157.80000000000001</v>
      </c>
      <c r="O103" s="6">
        <f t="shared" si="66"/>
        <v>0.406766917293233</v>
      </c>
      <c r="P103" s="4" t="s">
        <v>238</v>
      </c>
      <c r="Q103" s="4" t="s">
        <v>238</v>
      </c>
      <c r="R103" s="4" t="s">
        <v>238</v>
      </c>
      <c r="S103" s="4" t="s">
        <v>238</v>
      </c>
      <c r="T103" s="4" t="s">
        <v>238</v>
      </c>
      <c r="U103" s="4" t="s">
        <v>238</v>
      </c>
      <c r="V103" s="4" t="s">
        <v>238</v>
      </c>
      <c r="W103" s="4" t="s">
        <v>238</v>
      </c>
      <c r="X103" s="4" t="s">
        <v>238</v>
      </c>
      <c r="Y103" s="4">
        <v>0</v>
      </c>
      <c r="Z103" s="4">
        <f>IF(AC103="",Y103,Y103*AC103)</f>
        <v>0</v>
      </c>
      <c r="AA103" s="4">
        <v>158</v>
      </c>
      <c r="AB103" s="4">
        <f t="shared" si="67"/>
        <v>158</v>
      </c>
      <c r="AC103" s="4"/>
      <c r="AD103" s="20">
        <f t="shared" si="68"/>
        <v>266</v>
      </c>
      <c r="AE103" s="6">
        <f t="shared" si="69"/>
        <v>0.40601503759398494</v>
      </c>
      <c r="AF103" s="4">
        <v>10</v>
      </c>
      <c r="AG103" s="4">
        <f t="shared" si="70"/>
        <v>240.48000000000002</v>
      </c>
      <c r="AH103" s="4">
        <f t="shared" si="71"/>
        <v>240.7847908745247</v>
      </c>
      <c r="AI103" s="6">
        <f t="shared" si="72"/>
        <v>0.34381237524950092</v>
      </c>
      <c r="AJ103" s="7">
        <v>240</v>
      </c>
      <c r="AK103" s="6">
        <f t="shared" si="73"/>
        <v>0.34166666666666667</v>
      </c>
      <c r="AL103" s="4">
        <f t="shared" si="74"/>
        <v>82</v>
      </c>
      <c r="AM103" s="27"/>
      <c r="AN103" s="6"/>
      <c r="AO103" s="6"/>
      <c r="AP103" s="6" t="e">
        <f t="shared" si="75"/>
        <v>#DIV/0!</v>
      </c>
      <c r="AQ103" s="6">
        <f t="shared" si="76"/>
        <v>0.90225563909774431</v>
      </c>
      <c r="AR103" s="6">
        <f t="shared" si="77"/>
        <v>1.0012674271229403</v>
      </c>
      <c r="AS103" s="4" t="str">
        <f t="shared" si="54"/>
        <v>-</v>
      </c>
      <c r="AT103" s="4" t="str">
        <f t="shared" si="55"/>
        <v>-</v>
      </c>
      <c r="AU103" s="4" t="str">
        <f t="shared" si="56"/>
        <v>-</v>
      </c>
      <c r="AV103" s="4" t="str">
        <f t="shared" si="57"/>
        <v>-</v>
      </c>
      <c r="AW103" s="4" t="str">
        <f t="shared" si="58"/>
        <v>-</v>
      </c>
      <c r="AX103" s="4" t="str">
        <f t="shared" si="59"/>
        <v>-</v>
      </c>
      <c r="AY103" s="4" t="str">
        <f t="shared" si="60"/>
        <v>-</v>
      </c>
      <c r="AZ103" s="4" t="str">
        <f t="shared" si="61"/>
        <v>-</v>
      </c>
      <c r="BA103" s="4" t="str">
        <f t="shared" si="62"/>
        <v>-</v>
      </c>
      <c r="BB103" s="4" t="s">
        <v>237</v>
      </c>
      <c r="BC103" s="4" t="s">
        <v>313</v>
      </c>
      <c r="BD103" s="4">
        <v>50</v>
      </c>
      <c r="BE103" s="4">
        <v>2500</v>
      </c>
      <c r="BF103" s="4" t="s">
        <v>314</v>
      </c>
      <c r="BG103" s="4">
        <v>9166</v>
      </c>
      <c r="BH103" s="4">
        <v>12024</v>
      </c>
      <c r="BI103" s="4">
        <f t="shared" si="78"/>
        <v>240.48000000000002</v>
      </c>
      <c r="BJ103" s="18">
        <v>4</v>
      </c>
      <c r="BK103" s="18">
        <v>1</v>
      </c>
      <c r="BL103" s="16">
        <v>18</v>
      </c>
      <c r="BM103" t="s">
        <v>317</v>
      </c>
      <c r="BN103" t="s">
        <v>238</v>
      </c>
      <c r="BO103" t="s">
        <v>238</v>
      </c>
      <c r="BP103" t="str">
        <f t="shared" si="63"/>
        <v>-</v>
      </c>
      <c r="BQ103" s="4" t="s">
        <v>275</v>
      </c>
    </row>
    <row r="104" spans="1:69" x14ac:dyDescent="0.4">
      <c r="A104" s="3">
        <v>103</v>
      </c>
      <c r="B104" s="3">
        <v>52</v>
      </c>
      <c r="C104" s="32">
        <v>172437</v>
      </c>
      <c r="D104" s="4" t="str">
        <f t="shared" si="65"/>
        <v>172437</v>
      </c>
      <c r="E104" s="4">
        <v>172438</v>
      </c>
      <c r="F104" s="4" t="s">
        <v>232</v>
      </c>
      <c r="G104" s="5">
        <v>4562345604559</v>
      </c>
      <c r="H104" s="5"/>
      <c r="I104" s="5"/>
      <c r="J104" s="5"/>
      <c r="K104" s="5"/>
      <c r="L104" s="4">
        <v>0</v>
      </c>
      <c r="M104" s="4">
        <v>2464</v>
      </c>
      <c r="N104" s="4">
        <v>1578</v>
      </c>
      <c r="O104" s="6">
        <f t="shared" si="66"/>
        <v>0.35957792207792205</v>
      </c>
      <c r="P104" s="4" t="s">
        <v>238</v>
      </c>
      <c r="Q104" s="4" t="s">
        <v>238</v>
      </c>
      <c r="R104" s="4" t="s">
        <v>238</v>
      </c>
      <c r="S104" s="4" t="s">
        <v>238</v>
      </c>
      <c r="T104" s="4" t="s">
        <v>238</v>
      </c>
      <c r="U104" s="4" t="s">
        <v>238</v>
      </c>
      <c r="V104" s="4" t="s">
        <v>238</v>
      </c>
      <c r="W104" s="4" t="s">
        <v>238</v>
      </c>
      <c r="X104" s="4" t="s">
        <v>238</v>
      </c>
      <c r="Y104" s="4">
        <v>0</v>
      </c>
      <c r="Z104" s="4">
        <v>0</v>
      </c>
      <c r="AA104" s="4">
        <v>158</v>
      </c>
      <c r="AB104" s="4">
        <f t="shared" si="67"/>
        <v>1580</v>
      </c>
      <c r="AC104" s="4">
        <v>10</v>
      </c>
      <c r="AD104" s="20">
        <f t="shared" si="68"/>
        <v>2467</v>
      </c>
      <c r="AE104" s="6">
        <f t="shared" si="69"/>
        <v>0.35954600729631125</v>
      </c>
      <c r="AF104" s="4">
        <v>10</v>
      </c>
      <c r="AG104" s="4">
        <f t="shared" si="70"/>
        <v>2404.8000000000002</v>
      </c>
      <c r="AH104" s="4">
        <f t="shared" si="71"/>
        <v>2407.8479087452474</v>
      </c>
      <c r="AI104" s="6">
        <f t="shared" si="72"/>
        <v>0.34381237524950103</v>
      </c>
      <c r="AJ104" s="7">
        <v>2280</v>
      </c>
      <c r="AK104" s="6">
        <f t="shared" si="73"/>
        <v>0.30701754385964908</v>
      </c>
      <c r="AL104" s="4">
        <f t="shared" si="74"/>
        <v>700</v>
      </c>
      <c r="AM104" s="27"/>
      <c r="AN104" s="6"/>
      <c r="AO104" s="6"/>
      <c r="AP104" s="6" t="e">
        <f t="shared" si="75"/>
        <v>#DIV/0!</v>
      </c>
      <c r="AQ104" s="6">
        <f t="shared" si="76"/>
        <v>0.92532467532467533</v>
      </c>
      <c r="AR104" s="6">
        <f t="shared" si="77"/>
        <v>1.0012674271229405</v>
      </c>
      <c r="AS104" s="4" t="str">
        <f t="shared" si="54"/>
        <v>-</v>
      </c>
      <c r="AT104" s="4" t="str">
        <f t="shared" si="55"/>
        <v>-</v>
      </c>
      <c r="AU104" s="4" t="str">
        <f t="shared" si="56"/>
        <v>-</v>
      </c>
      <c r="AV104" s="4" t="str">
        <f t="shared" si="57"/>
        <v>-</v>
      </c>
      <c r="AW104" s="4" t="str">
        <f t="shared" si="58"/>
        <v>-</v>
      </c>
      <c r="AX104" s="4" t="str">
        <f t="shared" si="59"/>
        <v>-</v>
      </c>
      <c r="AY104" s="4" t="str">
        <f t="shared" si="60"/>
        <v>-</v>
      </c>
      <c r="AZ104" s="4" t="str">
        <f t="shared" si="61"/>
        <v>-</v>
      </c>
      <c r="BA104" s="4" t="str">
        <f t="shared" si="62"/>
        <v>-</v>
      </c>
      <c r="BB104" s="4" t="s">
        <v>237</v>
      </c>
      <c r="BC104" s="4" t="s">
        <v>313</v>
      </c>
      <c r="BD104" s="4">
        <v>500</v>
      </c>
      <c r="BE104" s="4">
        <v>2500</v>
      </c>
      <c r="BF104" s="4" t="s">
        <v>314</v>
      </c>
      <c r="BG104" s="4">
        <v>9166</v>
      </c>
      <c r="BH104" s="4">
        <v>12024</v>
      </c>
      <c r="BI104" s="4">
        <f t="shared" si="78"/>
        <v>2404.8000000000002</v>
      </c>
      <c r="BJ104" s="18">
        <v>4</v>
      </c>
      <c r="BK104" s="18">
        <v>1</v>
      </c>
      <c r="BL104" s="16">
        <v>18</v>
      </c>
      <c r="BM104" t="s">
        <v>317</v>
      </c>
      <c r="BN104" t="s">
        <v>238</v>
      </c>
      <c r="BO104" t="s">
        <v>238</v>
      </c>
      <c r="BP104" t="str">
        <f t="shared" si="63"/>
        <v>-</v>
      </c>
      <c r="BQ104" s="4" t="s">
        <v>275</v>
      </c>
    </row>
    <row r="105" spans="1:69" x14ac:dyDescent="0.4">
      <c r="A105" s="3">
        <v>53</v>
      </c>
      <c r="B105" s="3">
        <v>53</v>
      </c>
      <c r="C105" s="32">
        <v>172439</v>
      </c>
      <c r="D105" s="4" t="str">
        <f t="shared" si="65"/>
        <v>172439</v>
      </c>
      <c r="E105" s="4">
        <v>172439</v>
      </c>
      <c r="F105" s="4" t="s">
        <v>150</v>
      </c>
      <c r="G105" s="5">
        <v>4562345604566</v>
      </c>
      <c r="H105" s="5"/>
      <c r="I105" s="5"/>
      <c r="J105" s="5">
        <v>2</v>
      </c>
      <c r="K105" s="5">
        <v>2</v>
      </c>
      <c r="L105" s="4">
        <v>0</v>
      </c>
      <c r="M105" s="4">
        <v>328</v>
      </c>
      <c r="N105" s="4">
        <v>205.8</v>
      </c>
      <c r="O105" s="6">
        <f t="shared" si="66"/>
        <v>0.3725609756097561</v>
      </c>
      <c r="P105" s="4" t="s">
        <v>238</v>
      </c>
      <c r="Q105" s="4" t="s">
        <v>238</v>
      </c>
      <c r="R105" s="4" t="s">
        <v>238</v>
      </c>
      <c r="S105" s="4" t="s">
        <v>238</v>
      </c>
      <c r="T105" s="4" t="s">
        <v>238</v>
      </c>
      <c r="U105" s="4" t="s">
        <v>238</v>
      </c>
      <c r="V105" s="4" t="s">
        <v>238</v>
      </c>
      <c r="W105" s="4" t="s">
        <v>238</v>
      </c>
      <c r="X105" s="4" t="s">
        <v>238</v>
      </c>
      <c r="Y105" s="4">
        <v>0</v>
      </c>
      <c r="Z105" s="4">
        <f>IF(AC105="",Y105,Y105*AC105)</f>
        <v>0</v>
      </c>
      <c r="AA105" s="4">
        <v>206</v>
      </c>
      <c r="AB105" s="4">
        <f t="shared" si="67"/>
        <v>206</v>
      </c>
      <c r="AC105" s="4"/>
      <c r="AD105" s="20">
        <f t="shared" si="68"/>
        <v>328</v>
      </c>
      <c r="AE105" s="6">
        <f t="shared" si="69"/>
        <v>0.37195121951219512</v>
      </c>
      <c r="AF105" s="4">
        <v>4.5</v>
      </c>
      <c r="AG105" s="4">
        <f t="shared" si="70"/>
        <v>317</v>
      </c>
      <c r="AH105" s="4">
        <f t="shared" si="71"/>
        <v>317.30806608357631</v>
      </c>
      <c r="AI105" s="6">
        <f t="shared" si="72"/>
        <v>0.35078864353312311</v>
      </c>
      <c r="AJ105" s="7">
        <v>317</v>
      </c>
      <c r="AK105" s="6">
        <f t="shared" si="73"/>
        <v>0.35015772870662465</v>
      </c>
      <c r="AL105" s="4">
        <f t="shared" si="74"/>
        <v>111</v>
      </c>
      <c r="AM105" s="27"/>
      <c r="AN105" s="6"/>
      <c r="AO105" s="6"/>
      <c r="AP105" s="6" t="e">
        <f t="shared" si="75"/>
        <v>#DIV/0!</v>
      </c>
      <c r="AQ105" s="6">
        <f t="shared" si="76"/>
        <v>0.96646341463414631</v>
      </c>
      <c r="AR105" s="6">
        <f t="shared" si="77"/>
        <v>1.0009718172983479</v>
      </c>
      <c r="AS105" s="4" t="str">
        <f t="shared" si="54"/>
        <v>-</v>
      </c>
      <c r="AT105" s="4" t="str">
        <f t="shared" si="55"/>
        <v>-</v>
      </c>
      <c r="AU105" s="4" t="str">
        <f t="shared" si="56"/>
        <v>-</v>
      </c>
      <c r="AV105" s="4" t="str">
        <f t="shared" si="57"/>
        <v>-</v>
      </c>
      <c r="AW105" s="4" t="str">
        <f t="shared" si="58"/>
        <v>-</v>
      </c>
      <c r="AX105" s="4" t="str">
        <f t="shared" si="59"/>
        <v>-</v>
      </c>
      <c r="AY105" s="4" t="str">
        <f t="shared" si="60"/>
        <v>-</v>
      </c>
      <c r="AZ105" s="4" t="str">
        <f t="shared" si="61"/>
        <v>-</v>
      </c>
      <c r="BA105" s="4" t="str">
        <f t="shared" si="62"/>
        <v>-</v>
      </c>
      <c r="BB105" s="4" t="s">
        <v>237</v>
      </c>
      <c r="BC105" s="4" t="s">
        <v>315</v>
      </c>
      <c r="BD105" s="4">
        <v>50</v>
      </c>
      <c r="BE105" s="4">
        <v>2000</v>
      </c>
      <c r="BF105" s="4" t="s">
        <v>316</v>
      </c>
      <c r="BG105" s="4">
        <v>9303</v>
      </c>
      <c r="BH105" s="4">
        <v>12680</v>
      </c>
      <c r="BI105" s="4">
        <f t="shared" si="78"/>
        <v>317</v>
      </c>
      <c r="BJ105" s="18">
        <v>4</v>
      </c>
      <c r="BK105" s="18">
        <v>1</v>
      </c>
      <c r="BL105" s="16">
        <v>18</v>
      </c>
      <c r="BM105" t="s">
        <v>317</v>
      </c>
      <c r="BN105" t="s">
        <v>238</v>
      </c>
      <c r="BO105" t="s">
        <v>238</v>
      </c>
      <c r="BP105" t="str">
        <f t="shared" si="63"/>
        <v>-</v>
      </c>
      <c r="BQ105" s="4" t="s">
        <v>276</v>
      </c>
    </row>
    <row r="106" spans="1:69" x14ac:dyDescent="0.4">
      <c r="A106" s="3">
        <v>104</v>
      </c>
      <c r="B106" s="3">
        <v>53</v>
      </c>
      <c r="C106" s="32">
        <v>172439</v>
      </c>
      <c r="D106" s="4" t="str">
        <f t="shared" si="65"/>
        <v>172439</v>
      </c>
      <c r="E106" s="4">
        <v>172440</v>
      </c>
      <c r="F106" s="4" t="s">
        <v>233</v>
      </c>
      <c r="G106" s="5">
        <v>4562345604566</v>
      </c>
      <c r="H106" s="5"/>
      <c r="I106" s="5"/>
      <c r="J106" s="5"/>
      <c r="K106" s="5"/>
      <c r="L106" s="4">
        <v>0</v>
      </c>
      <c r="M106" s="4">
        <v>3166</v>
      </c>
      <c r="N106" s="4">
        <v>2058</v>
      </c>
      <c r="O106" s="6">
        <f t="shared" si="66"/>
        <v>0.34996841440303217</v>
      </c>
      <c r="P106" s="4" t="s">
        <v>238</v>
      </c>
      <c r="Q106" s="4" t="s">
        <v>238</v>
      </c>
      <c r="R106" s="4" t="s">
        <v>238</v>
      </c>
      <c r="S106" s="4" t="s">
        <v>238</v>
      </c>
      <c r="T106" s="4" t="s">
        <v>238</v>
      </c>
      <c r="U106" s="4" t="s">
        <v>238</v>
      </c>
      <c r="V106" s="4" t="s">
        <v>238</v>
      </c>
      <c r="W106" s="4" t="s">
        <v>238</v>
      </c>
      <c r="X106" s="4" t="s">
        <v>238</v>
      </c>
      <c r="Y106" s="4">
        <v>0</v>
      </c>
      <c r="Z106" s="4">
        <v>0</v>
      </c>
      <c r="AA106" s="4">
        <v>206</v>
      </c>
      <c r="AB106" s="4">
        <f t="shared" si="67"/>
        <v>2060</v>
      </c>
      <c r="AC106" s="4">
        <v>10</v>
      </c>
      <c r="AD106" s="20">
        <f t="shared" si="68"/>
        <v>3169</v>
      </c>
      <c r="AE106" s="6">
        <f t="shared" si="69"/>
        <v>0.34995266645629541</v>
      </c>
      <c r="AF106" s="4">
        <v>4.5</v>
      </c>
      <c r="AG106" s="4">
        <f t="shared" si="70"/>
        <v>3170</v>
      </c>
      <c r="AH106" s="4">
        <f t="shared" si="71"/>
        <v>3173.080660835763</v>
      </c>
      <c r="AI106" s="6">
        <f t="shared" si="72"/>
        <v>0.350788643533123</v>
      </c>
      <c r="AJ106" s="7">
        <v>3010</v>
      </c>
      <c r="AK106" s="6">
        <f t="shared" si="73"/>
        <v>0.31561461794019929</v>
      </c>
      <c r="AL106" s="4">
        <f t="shared" si="74"/>
        <v>950</v>
      </c>
      <c r="AM106" s="27"/>
      <c r="AN106" s="6"/>
      <c r="AO106" s="6"/>
      <c r="AP106" s="6" t="e">
        <f t="shared" si="75"/>
        <v>#DIV/0!</v>
      </c>
      <c r="AQ106" s="6">
        <f t="shared" si="76"/>
        <v>0.95072646873025901</v>
      </c>
      <c r="AR106" s="6">
        <f t="shared" si="77"/>
        <v>1.0009718172983479</v>
      </c>
      <c r="AS106" s="4" t="str">
        <f t="shared" si="54"/>
        <v>-</v>
      </c>
      <c r="AT106" s="4" t="str">
        <f t="shared" si="55"/>
        <v>-</v>
      </c>
      <c r="AU106" s="4" t="str">
        <f t="shared" si="56"/>
        <v>-</v>
      </c>
      <c r="AV106" s="4" t="str">
        <f t="shared" si="57"/>
        <v>-</v>
      </c>
      <c r="AW106" s="4" t="str">
        <f t="shared" si="58"/>
        <v>-</v>
      </c>
      <c r="AX106" s="4" t="str">
        <f t="shared" si="59"/>
        <v>-</v>
      </c>
      <c r="AY106" s="4" t="str">
        <f t="shared" si="60"/>
        <v>-</v>
      </c>
      <c r="AZ106" s="4" t="str">
        <f t="shared" si="61"/>
        <v>-</v>
      </c>
      <c r="BA106" s="4" t="str">
        <f t="shared" si="62"/>
        <v>-</v>
      </c>
      <c r="BB106" s="4" t="s">
        <v>237</v>
      </c>
      <c r="BC106" s="4" t="s">
        <v>315</v>
      </c>
      <c r="BD106" s="4">
        <v>500</v>
      </c>
      <c r="BE106" s="4">
        <v>2000</v>
      </c>
      <c r="BF106" s="4" t="s">
        <v>316</v>
      </c>
      <c r="BG106" s="4">
        <v>9303</v>
      </c>
      <c r="BH106" s="4">
        <v>12680</v>
      </c>
      <c r="BI106" s="4">
        <f t="shared" si="78"/>
        <v>3170</v>
      </c>
      <c r="BJ106" s="18">
        <v>4</v>
      </c>
      <c r="BK106" s="18">
        <v>1</v>
      </c>
      <c r="BL106" s="16">
        <v>18</v>
      </c>
      <c r="BM106" t="s">
        <v>317</v>
      </c>
      <c r="BN106" t="s">
        <v>238</v>
      </c>
      <c r="BO106" t="s">
        <v>238</v>
      </c>
      <c r="BP106" t="str">
        <f t="shared" si="63"/>
        <v>-</v>
      </c>
      <c r="BQ106" s="4" t="s">
        <v>276</v>
      </c>
    </row>
    <row r="107" spans="1:69" x14ac:dyDescent="0.4">
      <c r="A107" s="3">
        <v>54</v>
      </c>
      <c r="B107" s="3">
        <v>54</v>
      </c>
      <c r="C107" s="32">
        <v>172443</v>
      </c>
      <c r="D107" s="4" t="str">
        <f t="shared" si="65"/>
        <v>172443</v>
      </c>
      <c r="E107" s="4">
        <v>172443</v>
      </c>
      <c r="F107" s="4" t="s">
        <v>151</v>
      </c>
      <c r="G107" s="5">
        <v>4562345604580</v>
      </c>
      <c r="H107" s="5"/>
      <c r="I107" s="5"/>
      <c r="J107" s="5">
        <v>2</v>
      </c>
      <c r="K107" s="5">
        <v>2</v>
      </c>
      <c r="L107" s="4">
        <v>0</v>
      </c>
      <c r="M107" s="4">
        <v>504</v>
      </c>
      <c r="N107" s="4">
        <v>287.60000000000002</v>
      </c>
      <c r="O107" s="6">
        <f t="shared" si="66"/>
        <v>0.42936507936507928</v>
      </c>
      <c r="P107" s="4" t="s">
        <v>238</v>
      </c>
      <c r="Q107" s="4" t="s">
        <v>238</v>
      </c>
      <c r="R107" s="4" t="s">
        <v>238</v>
      </c>
      <c r="S107" s="4" t="s">
        <v>238</v>
      </c>
      <c r="T107" s="4" t="s">
        <v>238</v>
      </c>
      <c r="U107" s="4" t="s">
        <v>238</v>
      </c>
      <c r="V107" s="4" t="s">
        <v>238</v>
      </c>
      <c r="W107" s="4" t="s">
        <v>238</v>
      </c>
      <c r="X107" s="4" t="s">
        <v>238</v>
      </c>
      <c r="Y107" s="4">
        <v>0</v>
      </c>
      <c r="Z107" s="4">
        <f>IF(AC107="",Y107,Y107*AC107)</f>
        <v>0</v>
      </c>
      <c r="AA107" s="4">
        <v>288</v>
      </c>
      <c r="AB107" s="4">
        <f t="shared" si="67"/>
        <v>288</v>
      </c>
      <c r="AC107" s="4"/>
      <c r="AD107" s="20">
        <f t="shared" si="68"/>
        <v>505</v>
      </c>
      <c r="AE107" s="6">
        <f t="shared" si="69"/>
        <v>0.42970297029702975</v>
      </c>
      <c r="AF107" s="4">
        <v>21.25</v>
      </c>
      <c r="AG107" s="4" t="str">
        <f t="shared" si="70"/>
        <v>-</v>
      </c>
      <c r="AH107" s="4" t="e">
        <f t="shared" si="71"/>
        <v>#VALUE!</v>
      </c>
      <c r="AI107" s="6" t="e">
        <f t="shared" si="72"/>
        <v>#VALUE!</v>
      </c>
      <c r="AJ107" s="7">
        <v>510</v>
      </c>
      <c r="AK107" s="6">
        <f t="shared" si="73"/>
        <v>0.43529411764705883</v>
      </c>
      <c r="AL107" s="4">
        <f t="shared" si="74"/>
        <v>222</v>
      </c>
      <c r="AM107" s="27"/>
      <c r="AN107" s="6"/>
      <c r="AO107" s="6"/>
      <c r="AP107" s="6" t="e">
        <f t="shared" si="75"/>
        <v>#DIV/0!</v>
      </c>
      <c r="AQ107" s="6">
        <f t="shared" si="76"/>
        <v>1.0119047619047619</v>
      </c>
      <c r="AR107" s="6">
        <f t="shared" si="77"/>
        <v>1.0013908205841446</v>
      </c>
      <c r="AS107" s="4" t="str">
        <f t="shared" si="54"/>
        <v>-</v>
      </c>
      <c r="AT107" s="4" t="str">
        <f t="shared" si="55"/>
        <v>-</v>
      </c>
      <c r="AU107" s="4" t="str">
        <f t="shared" si="56"/>
        <v>-</v>
      </c>
      <c r="AV107" s="4" t="str">
        <f t="shared" si="57"/>
        <v>-</v>
      </c>
      <c r="AW107" s="4" t="str">
        <f t="shared" si="58"/>
        <v>-</v>
      </c>
      <c r="AX107" s="4" t="str">
        <f t="shared" si="59"/>
        <v>-</v>
      </c>
      <c r="AY107" s="4" t="str">
        <f t="shared" si="60"/>
        <v>-</v>
      </c>
      <c r="AZ107" s="4" t="str">
        <f t="shared" si="61"/>
        <v>-</v>
      </c>
      <c r="BA107" s="4" t="str">
        <f t="shared" si="62"/>
        <v>-</v>
      </c>
      <c r="BB107" s="4" t="s">
        <v>237</v>
      </c>
      <c r="BC107" s="4" t="s">
        <v>238</v>
      </c>
      <c r="BD107" s="4"/>
      <c r="BE107" s="4"/>
      <c r="BF107" s="4" t="s">
        <v>238</v>
      </c>
      <c r="BG107" s="4" t="s">
        <v>238</v>
      </c>
      <c r="BH107" s="4" t="s">
        <v>238</v>
      </c>
      <c r="BI107" s="4" t="str">
        <f t="shared" si="78"/>
        <v>-</v>
      </c>
      <c r="BJ107" s="18">
        <v>4</v>
      </c>
      <c r="BK107" s="18">
        <v>1</v>
      </c>
      <c r="BL107" s="16">
        <v>18</v>
      </c>
      <c r="BM107" t="s">
        <v>317</v>
      </c>
      <c r="BN107" t="s">
        <v>238</v>
      </c>
      <c r="BO107" t="s">
        <v>238</v>
      </c>
      <c r="BP107" t="str">
        <f t="shared" si="63"/>
        <v>-</v>
      </c>
      <c r="BQ107" s="4" t="s">
        <v>238</v>
      </c>
    </row>
    <row r="108" spans="1:69" x14ac:dyDescent="0.4">
      <c r="A108" s="3">
        <v>105</v>
      </c>
      <c r="B108" s="3">
        <v>54</v>
      </c>
      <c r="C108" s="32">
        <v>172443</v>
      </c>
      <c r="D108" s="4" t="str">
        <f t="shared" si="65"/>
        <v>172443</v>
      </c>
      <c r="E108" s="4">
        <v>172444</v>
      </c>
      <c r="F108" s="4" t="s">
        <v>234</v>
      </c>
      <c r="G108" s="5">
        <v>4562345604580</v>
      </c>
      <c r="H108" s="5"/>
      <c r="I108" s="5"/>
      <c r="J108" s="5"/>
      <c r="K108" s="5"/>
      <c r="L108" s="4">
        <v>0</v>
      </c>
      <c r="M108" s="4">
        <v>4847</v>
      </c>
      <c r="N108" s="4">
        <v>2876</v>
      </c>
      <c r="O108" s="6">
        <f t="shared" si="66"/>
        <v>0.40664328450587994</v>
      </c>
      <c r="P108" s="4" t="s">
        <v>238</v>
      </c>
      <c r="Q108" s="4" t="s">
        <v>238</v>
      </c>
      <c r="R108" s="4" t="s">
        <v>238</v>
      </c>
      <c r="S108" s="4" t="s">
        <v>238</v>
      </c>
      <c r="T108" s="4" t="s">
        <v>238</v>
      </c>
      <c r="U108" s="4" t="s">
        <v>238</v>
      </c>
      <c r="V108" s="4" t="s">
        <v>238</v>
      </c>
      <c r="W108" s="4" t="s">
        <v>238</v>
      </c>
      <c r="X108" s="4" t="s">
        <v>238</v>
      </c>
      <c r="Y108" s="4">
        <v>0</v>
      </c>
      <c r="Z108" s="4">
        <v>0</v>
      </c>
      <c r="AA108" s="4">
        <v>288</v>
      </c>
      <c r="AB108" s="4">
        <f t="shared" si="67"/>
        <v>2880</v>
      </c>
      <c r="AC108" s="4">
        <v>10</v>
      </c>
      <c r="AD108" s="20">
        <f t="shared" si="68"/>
        <v>4854</v>
      </c>
      <c r="AE108" s="6">
        <f t="shared" si="69"/>
        <v>0.4066749072929543</v>
      </c>
      <c r="AF108" s="4">
        <v>21.25</v>
      </c>
      <c r="AG108" s="4" t="str">
        <f t="shared" si="70"/>
        <v>-</v>
      </c>
      <c r="AH108" s="4" t="e">
        <f t="shared" si="71"/>
        <v>#VALUE!</v>
      </c>
      <c r="AI108" s="6" t="e">
        <f t="shared" si="72"/>
        <v>#VALUE!</v>
      </c>
      <c r="AJ108" s="7">
        <v>4850</v>
      </c>
      <c r="AK108" s="6">
        <f t="shared" si="73"/>
        <v>0.40618556701030928</v>
      </c>
      <c r="AL108" s="4">
        <f t="shared" si="74"/>
        <v>1970</v>
      </c>
      <c r="AM108" s="27"/>
      <c r="AN108" s="6"/>
      <c r="AO108" s="6"/>
      <c r="AP108" s="6" t="e">
        <f t="shared" si="75"/>
        <v>#DIV/0!</v>
      </c>
      <c r="AQ108" s="6">
        <f t="shared" si="76"/>
        <v>1.0006189395502372</v>
      </c>
      <c r="AR108" s="6">
        <f t="shared" si="77"/>
        <v>1.0013908205841446</v>
      </c>
      <c r="AS108" s="4" t="str">
        <f t="shared" si="54"/>
        <v>-</v>
      </c>
      <c r="AT108" s="4" t="str">
        <f t="shared" si="55"/>
        <v>-</v>
      </c>
      <c r="AU108" s="4" t="str">
        <f t="shared" si="56"/>
        <v>-</v>
      </c>
      <c r="AV108" s="4" t="str">
        <f t="shared" si="57"/>
        <v>-</v>
      </c>
      <c r="AW108" s="4" t="str">
        <f t="shared" si="58"/>
        <v>-</v>
      </c>
      <c r="AX108" s="4" t="str">
        <f t="shared" si="59"/>
        <v>-</v>
      </c>
      <c r="AY108" s="4" t="str">
        <f t="shared" si="60"/>
        <v>-</v>
      </c>
      <c r="AZ108" s="4" t="str">
        <f t="shared" si="61"/>
        <v>-</v>
      </c>
      <c r="BA108" s="4" t="str">
        <f t="shared" si="62"/>
        <v>-</v>
      </c>
      <c r="BB108" s="4" t="s">
        <v>237</v>
      </c>
      <c r="BC108" s="4" t="s">
        <v>238</v>
      </c>
      <c r="BD108" s="4"/>
      <c r="BE108" s="4"/>
      <c r="BF108" s="4" t="s">
        <v>238</v>
      </c>
      <c r="BG108" s="4" t="s">
        <v>238</v>
      </c>
      <c r="BH108" s="4" t="s">
        <v>238</v>
      </c>
      <c r="BI108" s="4" t="str">
        <f t="shared" si="78"/>
        <v>-</v>
      </c>
      <c r="BJ108" s="18">
        <v>4</v>
      </c>
      <c r="BK108" s="18">
        <v>1</v>
      </c>
      <c r="BL108" s="16">
        <v>18</v>
      </c>
      <c r="BM108" t="s">
        <v>317</v>
      </c>
      <c r="BN108" t="s">
        <v>238</v>
      </c>
      <c r="BO108" t="s">
        <v>238</v>
      </c>
      <c r="BP108" t="str">
        <f t="shared" si="63"/>
        <v>-</v>
      </c>
      <c r="BQ108" s="4" t="s">
        <v>238</v>
      </c>
    </row>
  </sheetData>
  <autoFilter ref="A3:BQ108" xr:uid="{7A1660CF-9003-4B2D-B659-7F339ED5B476}">
    <sortState xmlns:xlrd2="http://schemas.microsoft.com/office/spreadsheetml/2017/richdata2" ref="A4:BQ108">
      <sortCondition ref="B4:B108"/>
    </sortState>
  </autoFilter>
  <mergeCells count="3">
    <mergeCell ref="L2:O2"/>
    <mergeCell ref="J2:K2"/>
    <mergeCell ref="Y1:AB1"/>
  </mergeCells>
  <phoneticPr fontId="2"/>
  <conditionalFormatting sqref="AH4:AH108">
    <cfRule type="cellIs" dxfId="4" priority="4" operator="lessThan">
      <formula>$AJ4</formula>
    </cfRule>
  </conditionalFormatting>
  <conditionalFormatting sqref="AJ4:AJ108">
    <cfRule type="cellIs" dxfId="3" priority="6" operator="greaterThan">
      <formula>$Z4</formula>
    </cfRule>
  </conditionalFormatting>
  <conditionalFormatting sqref="AK4:AK108">
    <cfRule type="cellIs" dxfId="2" priority="3" operator="lessThan">
      <formula>0.2</formula>
    </cfRule>
  </conditionalFormatting>
  <conditionalFormatting sqref="BH4:BH108">
    <cfRule type="cellIs" dxfId="1" priority="2" operator="notEqual">
      <formula>$BG4</formula>
    </cfRule>
  </conditionalFormatting>
  <conditionalFormatting sqref="BO4:BO108">
    <cfRule type="cellIs" dxfId="0" priority="1" operator="notEqual">
      <formula>$BN4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2026-06-09T08:05:51Z</dcterms:modified>
</cp:coreProperties>
</file>