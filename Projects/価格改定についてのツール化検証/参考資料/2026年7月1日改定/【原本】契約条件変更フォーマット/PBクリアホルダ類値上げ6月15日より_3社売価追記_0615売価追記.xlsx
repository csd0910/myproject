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06月中旬_PBクリアフォルダ\"/>
    </mc:Choice>
  </mc:AlternateContent>
  <xr:revisionPtr revIDLastSave="0" documentId="13_ncr:1_{8F6C49FA-BDBC-4141-BD36-C8A3879C171C}" xr6:coauthVersionLast="47" xr6:coauthVersionMax="47" xr10:uidLastSave="{00000000-0000-0000-0000-000000000000}"/>
  <bookViews>
    <workbookView xWindow="-120" yWindow="-120" windowWidth="29040" windowHeight="15720" xr2:uid="{339AD56C-EA4C-44F8-9A59-1A0D3188613A}"/>
  </bookViews>
  <sheets>
    <sheet name="Sheet1" sheetId="1" r:id="rId1"/>
  </sheets>
  <definedNames>
    <definedName name="_xlnm._FilterDatabase" localSheetId="0" hidden="1">Sheet1!$A$2:$CG$85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2" i="1" l="1"/>
  <c r="Z48" i="1"/>
  <c r="Y33" i="1"/>
  <c r="Y34" i="1"/>
  <c r="Z37" i="1"/>
  <c r="Z32" i="1"/>
  <c r="Y32" i="1"/>
  <c r="Y26" i="1"/>
  <c r="Y24" i="1"/>
  <c r="Y18" i="1"/>
  <c r="Z14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7" i="1"/>
  <c r="Y56" i="1"/>
  <c r="Y55" i="1"/>
  <c r="Y54" i="1"/>
  <c r="Y53" i="1"/>
  <c r="Y51" i="1"/>
  <c r="Y50" i="1"/>
  <c r="Y49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1" i="1"/>
  <c r="Y30" i="1"/>
  <c r="Y27" i="1"/>
  <c r="Y25" i="1"/>
  <c r="Y19" i="1"/>
  <c r="Y15" i="1"/>
  <c r="Y14" i="1"/>
  <c r="Y13" i="1"/>
  <c r="Y12" i="1"/>
  <c r="Y9" i="1"/>
  <c r="Y8" i="1"/>
  <c r="Y4" i="1"/>
  <c r="Y3" i="1"/>
  <c r="X8" i="1"/>
  <c r="Q8" i="1"/>
  <c r="Q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3" i="1"/>
  <c r="X4" i="1"/>
  <c r="X5" i="1"/>
  <c r="X6" i="1"/>
  <c r="X7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7" i="1"/>
  <c r="X28" i="1"/>
  <c r="X29" i="1"/>
  <c r="X30" i="1"/>
  <c r="X31" i="1"/>
  <c r="X33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3" i="1"/>
  <c r="Z4" i="1"/>
  <c r="Z5" i="1"/>
  <c r="Z6" i="1"/>
  <c r="Z7" i="1"/>
  <c r="Z9" i="1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7" i="1"/>
  <c r="Z28" i="1"/>
  <c r="Z29" i="1"/>
  <c r="Z30" i="1"/>
  <c r="Z31" i="1"/>
  <c r="Z33" i="1"/>
  <c r="Z35" i="1"/>
  <c r="Z36" i="1"/>
  <c r="Z38" i="1"/>
  <c r="Z39" i="1"/>
  <c r="Z40" i="1"/>
  <c r="Z41" i="1"/>
  <c r="Z42" i="1"/>
  <c r="Z43" i="1"/>
  <c r="Z44" i="1"/>
  <c r="Z45" i="1"/>
  <c r="Z46" i="1"/>
  <c r="Z47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3" i="1"/>
  <c r="AC4" i="1"/>
  <c r="AC5" i="1"/>
  <c r="AC6" i="1"/>
  <c r="AC7" i="1"/>
  <c r="AC8" i="1"/>
  <c r="AC9" i="1"/>
  <c r="AC10" i="1"/>
  <c r="AC11" i="1"/>
  <c r="AC12" i="1"/>
  <c r="V12" i="1" s="1"/>
  <c r="AC13" i="1"/>
  <c r="AC14" i="1"/>
  <c r="AC15" i="1"/>
  <c r="AC16" i="1"/>
  <c r="AC17" i="1"/>
  <c r="AC18" i="1"/>
  <c r="AC19" i="1"/>
  <c r="AC20" i="1"/>
  <c r="AC21" i="1"/>
  <c r="AC22" i="1"/>
  <c r="AC23" i="1"/>
  <c r="AC24" i="1"/>
  <c r="V24" i="1" s="1"/>
  <c r="AC25" i="1"/>
  <c r="AC26" i="1"/>
  <c r="V26" i="1" s="1"/>
  <c r="AC27" i="1"/>
  <c r="AC28" i="1"/>
  <c r="AC29" i="1"/>
  <c r="AC30" i="1"/>
  <c r="V30" i="1" s="1"/>
  <c r="AC31" i="1"/>
  <c r="AC32" i="1"/>
  <c r="V32" i="1" s="1"/>
  <c r="AC33" i="1"/>
  <c r="AC34" i="1"/>
  <c r="V34" i="1" s="1"/>
  <c r="AC35" i="1"/>
  <c r="AC36" i="1"/>
  <c r="V36" i="1" s="1"/>
  <c r="AC37" i="1"/>
  <c r="AC38" i="1"/>
  <c r="V38" i="1" s="1"/>
  <c r="AC39" i="1"/>
  <c r="AC40" i="1"/>
  <c r="V40" i="1" s="1"/>
  <c r="AC41" i="1"/>
  <c r="AC42" i="1"/>
  <c r="V42" i="1" s="1"/>
  <c r="AC43" i="1"/>
  <c r="AC44" i="1"/>
  <c r="V44" i="1" s="1"/>
  <c r="AC45" i="1"/>
  <c r="AC46" i="1"/>
  <c r="V46" i="1" s="1"/>
  <c r="AC47" i="1"/>
  <c r="AC48" i="1"/>
  <c r="V48" i="1" s="1"/>
  <c r="AC49" i="1"/>
  <c r="AC50" i="1"/>
  <c r="V50" i="1" s="1"/>
  <c r="AC51" i="1"/>
  <c r="AC52" i="1"/>
  <c r="V52" i="1" s="1"/>
  <c r="AC53" i="1"/>
  <c r="AC54" i="1"/>
  <c r="V54" i="1" s="1"/>
  <c r="AC55" i="1"/>
  <c r="AC56" i="1"/>
  <c r="V56" i="1" s="1"/>
  <c r="AC57" i="1"/>
  <c r="AC58" i="1"/>
  <c r="AC59" i="1"/>
  <c r="AC60" i="1"/>
  <c r="V60" i="1" s="1"/>
  <c r="AC61" i="1"/>
  <c r="AC62" i="1"/>
  <c r="V62" i="1" s="1"/>
  <c r="AC63" i="1"/>
  <c r="AC64" i="1"/>
  <c r="V64" i="1" s="1"/>
  <c r="AC65" i="1"/>
  <c r="AC66" i="1"/>
  <c r="V66" i="1" s="1"/>
  <c r="AC67" i="1"/>
  <c r="AC68" i="1"/>
  <c r="AC69" i="1"/>
  <c r="AC70" i="1"/>
  <c r="V70" i="1" s="1"/>
  <c r="AC71" i="1"/>
  <c r="AC72" i="1"/>
  <c r="V72" i="1" s="1"/>
  <c r="AC73" i="1"/>
  <c r="AC74" i="1"/>
  <c r="V74" i="1" s="1"/>
  <c r="AC75" i="1"/>
  <c r="AC76" i="1"/>
  <c r="V76" i="1" s="1"/>
  <c r="AC77" i="1"/>
  <c r="AC78" i="1"/>
  <c r="V78" i="1" s="1"/>
  <c r="AC79" i="1"/>
  <c r="AC80" i="1"/>
  <c r="V80" i="1" s="1"/>
  <c r="AC81" i="1"/>
  <c r="AC82" i="1"/>
  <c r="V82" i="1" s="1"/>
  <c r="AC83" i="1"/>
  <c r="AC84" i="1"/>
  <c r="V84" i="1" s="1"/>
  <c r="AC85" i="1"/>
  <c r="AC3" i="1"/>
  <c r="V3" i="1" s="1"/>
  <c r="AR3" i="1"/>
  <c r="AM70" i="1"/>
  <c r="AM60" i="1"/>
  <c r="AM52" i="1"/>
  <c r="AM36" i="1"/>
  <c r="AM24" i="1"/>
  <c r="AM3" i="1"/>
  <c r="AH76" i="1"/>
  <c r="AH72" i="1"/>
  <c r="AH60" i="1"/>
  <c r="AH56" i="1"/>
  <c r="AH54" i="1"/>
  <c r="AH42" i="1"/>
  <c r="AH40" i="1"/>
  <c r="AH38" i="1"/>
  <c r="AH24" i="1"/>
  <c r="AH12" i="1"/>
  <c r="AH3" i="1"/>
  <c r="AR84" i="1"/>
  <c r="AR82" i="1"/>
  <c r="AR80" i="1"/>
  <c r="AR78" i="1"/>
  <c r="AR76" i="1"/>
  <c r="AR74" i="1"/>
  <c r="AR72" i="1"/>
  <c r="AR70" i="1"/>
  <c r="AR68" i="1"/>
  <c r="AR66" i="1"/>
  <c r="AR64" i="1"/>
  <c r="AR62" i="1"/>
  <c r="AR60" i="1"/>
  <c r="AR56" i="1"/>
  <c r="AR54" i="1"/>
  <c r="AR52" i="1"/>
  <c r="AR50" i="1"/>
  <c r="AR48" i="1"/>
  <c r="AR46" i="1"/>
  <c r="AR44" i="1"/>
  <c r="AR42" i="1"/>
  <c r="AR40" i="1"/>
  <c r="AR38" i="1"/>
  <c r="AR36" i="1"/>
  <c r="AR34" i="1"/>
  <c r="AR32" i="1"/>
  <c r="AR30" i="1"/>
  <c r="AR26" i="1"/>
  <c r="AR24" i="1"/>
  <c r="AR12" i="1"/>
  <c r="AM84" i="1"/>
  <c r="AM82" i="1"/>
  <c r="AM80" i="1"/>
  <c r="AM78" i="1"/>
  <c r="AM76" i="1"/>
  <c r="AM74" i="1"/>
  <c r="AM72" i="1"/>
  <c r="AM68" i="1"/>
  <c r="AM66" i="1"/>
  <c r="AM64" i="1"/>
  <c r="AM62" i="1"/>
  <c r="AM56" i="1"/>
  <c r="AM54" i="1"/>
  <c r="AM50" i="1"/>
  <c r="AM48" i="1"/>
  <c r="AM46" i="1"/>
  <c r="AM44" i="1"/>
  <c r="AM42" i="1"/>
  <c r="AM40" i="1"/>
  <c r="AM38" i="1"/>
  <c r="AM34" i="1"/>
  <c r="AM32" i="1"/>
  <c r="AM30" i="1"/>
  <c r="AM26" i="1"/>
  <c r="AM12" i="1"/>
  <c r="AH84" i="1"/>
  <c r="AH82" i="1"/>
  <c r="AH80" i="1"/>
  <c r="AH78" i="1"/>
  <c r="AH74" i="1"/>
  <c r="AH70" i="1"/>
  <c r="AH68" i="1"/>
  <c r="AH66" i="1"/>
  <c r="AH64" i="1"/>
  <c r="AH62" i="1"/>
  <c r="AH52" i="1"/>
  <c r="AH50" i="1"/>
  <c r="AH48" i="1"/>
  <c r="AH46" i="1"/>
  <c r="AH44" i="1"/>
  <c r="AH36" i="1"/>
  <c r="AH34" i="1"/>
  <c r="AH32" i="1"/>
  <c r="AH30" i="1"/>
  <c r="AH26" i="1"/>
  <c r="AQ84" i="1"/>
  <c r="AQ82" i="1"/>
  <c r="AQ80" i="1"/>
  <c r="AQ78" i="1"/>
  <c r="AQ76" i="1"/>
  <c r="AQ72" i="1"/>
  <c r="AQ70" i="1"/>
  <c r="AQ68" i="1"/>
  <c r="AQ64" i="1"/>
  <c r="AQ62" i="1"/>
  <c r="AQ56" i="1"/>
  <c r="AQ54" i="1"/>
  <c r="AQ52" i="1"/>
  <c r="AQ50" i="1"/>
  <c r="AQ48" i="1"/>
  <c r="AQ44" i="1"/>
  <c r="AQ42" i="1"/>
  <c r="AQ38" i="1"/>
  <c r="AQ36" i="1"/>
  <c r="AQ34" i="1"/>
  <c r="AQ32" i="1"/>
  <c r="AQ30" i="1"/>
  <c r="AL84" i="1"/>
  <c r="AL82" i="1"/>
  <c r="AL80" i="1"/>
  <c r="AL78" i="1"/>
  <c r="AL76" i="1"/>
  <c r="AL74" i="1"/>
  <c r="AL72" i="1"/>
  <c r="AL70" i="1"/>
  <c r="AL68" i="1"/>
  <c r="AL64" i="1"/>
  <c r="AL62" i="1"/>
  <c r="AL56" i="1"/>
  <c r="AL54" i="1"/>
  <c r="AL50" i="1"/>
  <c r="AL48" i="1"/>
  <c r="AL44" i="1"/>
  <c r="AL42" i="1"/>
  <c r="AL38" i="1"/>
  <c r="AL36" i="1"/>
  <c r="AL32" i="1"/>
  <c r="AL30" i="1"/>
  <c r="AL26" i="1"/>
  <c r="AL24" i="1"/>
  <c r="AL12" i="1"/>
  <c r="AL3" i="1"/>
  <c r="AG84" i="1"/>
  <c r="AG82" i="1"/>
  <c r="AG80" i="1"/>
  <c r="AG76" i="1"/>
  <c r="AG74" i="1"/>
  <c r="AG72" i="1"/>
  <c r="AG70" i="1"/>
  <c r="AG68" i="1"/>
  <c r="AG64" i="1"/>
  <c r="AG62" i="1"/>
  <c r="AG56" i="1"/>
  <c r="AG54" i="1"/>
  <c r="AG52" i="1"/>
  <c r="AG50" i="1"/>
  <c r="AG48" i="1"/>
  <c r="AG44" i="1"/>
  <c r="AG42" i="1"/>
  <c r="AG38" i="1"/>
  <c r="AG36" i="1"/>
  <c r="AG34" i="1"/>
  <c r="AG32" i="1"/>
  <c r="AG30" i="1"/>
  <c r="AG26" i="1"/>
  <c r="AG24" i="1"/>
  <c r="AG12" i="1"/>
  <c r="AG3" i="1"/>
  <c r="AQ66" i="1"/>
  <c r="AQ60" i="1"/>
  <c r="AQ74" i="1"/>
  <c r="AL66" i="1"/>
  <c r="AL60" i="1"/>
  <c r="AL52" i="1"/>
  <c r="AG78" i="1"/>
  <c r="AG66" i="1"/>
  <c r="AG60" i="1"/>
  <c r="AG46" i="1"/>
  <c r="AQ26" i="1"/>
  <c r="AQ12" i="1"/>
  <c r="AG40" i="1"/>
  <c r="AQ46" i="1"/>
  <c r="AQ40" i="1"/>
  <c r="AL46" i="1"/>
  <c r="AL40" i="1"/>
  <c r="AL34" i="1"/>
  <c r="AQ24" i="1"/>
  <c r="AQ3" i="1"/>
  <c r="V68" i="1"/>
  <c r="X52" i="1" l="1"/>
  <c r="Y48" i="1"/>
  <c r="X34" i="1"/>
  <c r="Z34" i="1"/>
  <c r="X32" i="1"/>
  <c r="Z26" i="1"/>
  <c r="X26" i="1"/>
  <c r="X18" i="1"/>
  <c r="Z8" i="1"/>
</calcChain>
</file>

<file path=xl/sharedStrings.xml><?xml version="1.0" encoding="utf-8"?>
<sst xmlns="http://schemas.openxmlformats.org/spreadsheetml/2006/main" count="775" uniqueCount="135">
  <si>
    <t>注文番号(Em310)</t>
  </si>
  <si>
    <t>品目ｺｰﾄﾞ(Em310)</t>
  </si>
  <si>
    <t>Jan_cd(Em164)</t>
  </si>
  <si>
    <t>ﾒｰｶｰcd(Em160)</t>
  </si>
  <si>
    <t>ﾒｰｶｰ名(Em120_2)</t>
  </si>
  <si>
    <t>ｶﾀﾁﾗ品目名(Em310)</t>
  </si>
  <si>
    <t>ﾒｰｶｰ品番(Em160)</t>
  </si>
  <si>
    <t>販売M価(Em170)</t>
  </si>
  <si>
    <t>販売単価(Em170)</t>
  </si>
  <si>
    <t>販売原価(Em170)</t>
  </si>
  <si>
    <t>販売荷姿cd(Em310)</t>
  </si>
  <si>
    <t>販売荷姿名(Em170)</t>
  </si>
  <si>
    <t>仕入先cd(Em160)</t>
  </si>
  <si>
    <t>仕入先名(Em120)</t>
  </si>
  <si>
    <t>ﾌｫｰﾚｽﾄｵﾘｼﾞﾅﾙ</t>
  </si>
  <si>
    <t>Forestway/ｸﾘｱｰﾎﾙﾀﾞｰ 0.15mm A4ﾀﾃ 100枚</t>
  </si>
  <si>
    <t>FRW-511182</t>
  </si>
  <si>
    <t>ﾊﾟｯｸ</t>
  </si>
  <si>
    <t>J1251Y</t>
  </si>
  <si>
    <t>7347AJ</t>
  </si>
  <si>
    <t>Forestway/ｸﾘｱｰﾎﾙﾀﾞｰ 0.15mm A4ﾀﾃ 600枚</t>
  </si>
  <si>
    <t>箱</t>
  </si>
  <si>
    <t>5697AK</t>
  </si>
  <si>
    <t>Forestway/ｸﾘｱｰﾎﾙﾀﾞｰ 0.18mm A4ﾀﾃ 100枚</t>
  </si>
  <si>
    <t>FRW-511245</t>
  </si>
  <si>
    <t>J1252Y</t>
  </si>
  <si>
    <t>Forestway/ｸﾘｱｰﾎﾙﾀﾞｰ 0.18mm A4ﾀﾃ 600枚</t>
  </si>
  <si>
    <t>5698AK</t>
  </si>
  <si>
    <t>J1253Y</t>
  </si>
  <si>
    <t>Forestway/ｸﾘｱｰﾎﾙﾀﾞｰ 0.2mm A4ﾀﾃ 100枚</t>
  </si>
  <si>
    <t>FRW-511353</t>
  </si>
  <si>
    <t>Forestway/ｸﾘｱｰﾎﾙﾀﾞｰ 0.2mm A4ﾀﾃ 600枚</t>
  </si>
  <si>
    <t>5699AK</t>
  </si>
  <si>
    <t>Forestway/ｸﾘﾔｰﾌﾞｯｸ ｴｺﾉﾐｰ A4 10ﾎﾟｹｯﾄ 赤</t>
  </si>
  <si>
    <t>FRW-210316</t>
  </si>
  <si>
    <t>冊</t>
  </si>
  <si>
    <t>Forestway/ｸﾘﾔｰﾌﾞｯｸ ｴｺﾉﾐｰ A4 10ﾎﾟｹｯﾄ 赤 10冊</t>
  </si>
  <si>
    <t>Forestway/ｸﾘﾔｰﾌﾞｯｸ ｴｺﾉﾐｰ A4 20ﾎﾟｹｯﾄ 青 10冊</t>
  </si>
  <si>
    <t>FRW-210463</t>
  </si>
  <si>
    <t>5768AK</t>
  </si>
  <si>
    <t>Forestway/ｸﾘﾔｰﾌﾞｯｸ ｴｺﾉﾐｰ A4 20ﾎﾟｹｯﾄ 青</t>
  </si>
  <si>
    <t>Forestway/ｸﾘﾔｰﾌﾞｯｸ ｴｺﾉﾐｰ A4 40ﾎﾟｹｯﾄ 黒</t>
  </si>
  <si>
    <t>FRW-210529</t>
  </si>
  <si>
    <t>Forestway/ｸﾘﾔｰﾌﾞｯｸ ｴｺﾉﾐｰ A4 40ﾎﾟｹｯﾄ 黒 10冊</t>
  </si>
  <si>
    <t>Forestway/ｸﾘﾔｰﾌﾞｯｸ ｴｺﾉﾐｰ A4 10ﾎﾟｹｯﾄ 赤 40冊</t>
  </si>
  <si>
    <t>大箱</t>
  </si>
  <si>
    <t>Forestway/ｸﾘﾔｰﾌﾞｯｸ ｴｺﾉﾐｰ A4 10ﾎﾟｹｯﾄ 青 40冊</t>
  </si>
  <si>
    <t>FRW-210374</t>
  </si>
  <si>
    <t>Forestway/ｸﾘﾔｰﾌﾞｯｸ ｴｺﾉﾐｰ A4 10ﾎﾟｹｯﾄ 黒 40冊</t>
  </si>
  <si>
    <t>FRW-210395</t>
  </si>
  <si>
    <t>Forestway/ｸﾘﾔｰﾌﾞｯｸ ｴｺﾉﾐｰ A4 20ﾎﾟｹｯﾄ 青 40冊</t>
  </si>
  <si>
    <t>Forestway/ｸﾘﾔｰﾌﾞｯｸ ｴｺﾉﾐｰ A4 20ﾎﾟｹｯﾄ 黒 40冊</t>
  </si>
  <si>
    <t>FRW-210478</t>
  </si>
  <si>
    <t>Forestway/ｸﾘﾔｰﾌﾞｯｸ ｴｺﾉﾐｰ A4 10ﾎﾟｹｯﾄ 青</t>
  </si>
  <si>
    <t>Forestway/ｸﾘﾔｰﾌﾞｯｸ ｴｺﾉﾐｰ A4 10ﾎﾟｹｯﾄ 青 10冊</t>
  </si>
  <si>
    <t>Forestway/ｸﾘﾔｰﾌﾞｯｸ ｴｺﾉﾐｰ A4 20ﾎﾟｹｯﾄ 赤</t>
  </si>
  <si>
    <t>FRW-210422</t>
  </si>
  <si>
    <t>Forestway/ｸﾘﾔｰﾌﾞｯｸ ｴｺﾉﾐｰ A4 20ﾎﾟｹｯﾄ 赤 10冊</t>
  </si>
  <si>
    <t>Forestway/ｸﾘﾔｰﾌﾞｯｸ ｴｺﾉﾐｰ A4 20ﾎﾟｹｯﾄ 黒 10冊</t>
  </si>
  <si>
    <t>Forestway/ｸﾘﾔｰﾌﾞｯｸ ｴｺﾉﾐｰ A4 20ﾎﾟｹｯﾄ 黒</t>
  </si>
  <si>
    <t>Forestway/ｸﾘﾔｰﾌﾞｯｸ ｴｺﾉﾐｰ A4 40ﾎﾟｹｯﾄ 黒 30冊</t>
  </si>
  <si>
    <t>Forestway/ｸﾘﾔｰﾌﾞｯｸ ｴｺﾉﾐｰ A4 20ﾎﾟｹｯﾄ 赤 40冊</t>
  </si>
  <si>
    <t>Forestway/ｸﾘﾔｰﾌﾞｯｸ ｴｺﾉﾐｰ A4 40ﾎﾟｹｯﾄ 赤 30冊</t>
  </si>
  <si>
    <t>FRW-210514</t>
  </si>
  <si>
    <t>Forestway/ｸﾘﾔｰﾌﾞｯｸ ｴｺﾉﾐｰ A4 40ﾎﾟｹｯﾄ 青 30冊</t>
  </si>
  <si>
    <t>FRW-210517</t>
  </si>
  <si>
    <t>Forestway/ｸﾘﾔｰﾌﾞｯｸ ｴｺﾉﾐｰ A4 10ﾎﾟｹｯﾄ 黒 10冊</t>
  </si>
  <si>
    <t>Forestway/ｸﾘﾔｰﾌﾞｯｸ ｴｺﾉﾐｰ A4 10ﾎﾟｹｯﾄ 黒</t>
  </si>
  <si>
    <t>Forestway/ｸﾘﾔｰﾌﾞｯｸ ｴｺﾉﾐｰ A4 40ﾎﾟｹｯﾄ 赤</t>
  </si>
  <si>
    <t>Forestway/ｸﾘﾔｰﾌﾞｯｸ ｴｺﾉﾐｰ A4 40ﾎﾟｹｯﾄ 赤 10冊</t>
  </si>
  <si>
    <t>Forestway/ｸﾘﾔｰﾌﾞｯｸ ｴｺﾉﾐｰ A4 40ﾎﾟｹｯﾄ 青</t>
  </si>
  <si>
    <t>Forestway/ｸﾘﾔｰﾌﾞｯｸ ｴｺﾉﾐｰ A4 40ﾎﾟｹｯﾄ 青 10冊</t>
  </si>
  <si>
    <t>8969AM</t>
  </si>
  <si>
    <t>Sunray Grobal Trading Co.Limited</t>
  </si>
  <si>
    <t>自社出荷</t>
  </si>
  <si>
    <t>→</t>
    <phoneticPr fontId="1"/>
  </si>
  <si>
    <t>新売価</t>
    <rPh sb="0" eb="1">
      <t>シン</t>
    </rPh>
    <rPh sb="1" eb="3">
      <t>バイカ</t>
    </rPh>
    <phoneticPr fontId="1"/>
  </si>
  <si>
    <t>粗利率</t>
    <rPh sb="0" eb="2">
      <t>アラリ</t>
    </rPh>
    <rPh sb="2" eb="3">
      <t>リツ</t>
    </rPh>
    <phoneticPr fontId="1"/>
  </si>
  <si>
    <t>AS注番</t>
    <rPh sb="2" eb="4">
      <t>チュウバン</t>
    </rPh>
    <phoneticPr fontId="1"/>
  </si>
  <si>
    <t>AS税抜</t>
    <rPh sb="2" eb="4">
      <t>ゼイヌキ</t>
    </rPh>
    <phoneticPr fontId="1"/>
  </si>
  <si>
    <t>たの注番</t>
    <rPh sb="2" eb="4">
      <t>チュウバン</t>
    </rPh>
    <phoneticPr fontId="1"/>
  </si>
  <si>
    <t>たの税抜</t>
    <rPh sb="2" eb="4">
      <t>ゼイヌキ</t>
    </rPh>
    <phoneticPr fontId="1"/>
  </si>
  <si>
    <t>カウ注番</t>
    <rPh sb="2" eb="4">
      <t>チュウバン</t>
    </rPh>
    <phoneticPr fontId="1"/>
  </si>
  <si>
    <t>カウ税抜</t>
    <rPh sb="2" eb="4">
      <t>ゼイヌキ</t>
    </rPh>
    <phoneticPr fontId="1"/>
  </si>
  <si>
    <t>5月</t>
    <rPh sb="1" eb="2">
      <t>ガツ</t>
    </rPh>
    <phoneticPr fontId="1"/>
  </si>
  <si>
    <t>カウ換算</t>
    <rPh sb="2" eb="4">
      <t>カンザン</t>
    </rPh>
    <phoneticPr fontId="1"/>
  </si>
  <si>
    <t>-</t>
    <phoneticPr fontId="1"/>
  </si>
  <si>
    <t>たの換算</t>
    <rPh sb="2" eb="4">
      <t>カンザン</t>
    </rPh>
    <phoneticPr fontId="1"/>
  </si>
  <si>
    <t>AS換算</t>
    <rPh sb="2" eb="4">
      <t>カンザン</t>
    </rPh>
    <phoneticPr fontId="1"/>
  </si>
  <si>
    <t>スライド
売価</t>
    <rPh sb="5" eb="7">
      <t>バイカ</t>
    </rPh>
    <phoneticPr fontId="1"/>
  </si>
  <si>
    <t>6月</t>
    <rPh sb="1" eb="2">
      <t>ガツ</t>
    </rPh>
    <phoneticPr fontId="1"/>
  </si>
  <si>
    <t>6月</t>
    <rPh sb="1" eb="2">
      <t>ガツ</t>
    </rPh>
    <phoneticPr fontId="1"/>
  </si>
  <si>
    <t>-</t>
  </si>
  <si>
    <t>6/15時点
売価</t>
    <rPh sb="4" eb="6">
      <t>ジテン</t>
    </rPh>
    <rPh sb="7" eb="9">
      <t>バイカ</t>
    </rPh>
    <phoneticPr fontId="1"/>
  </si>
  <si>
    <t>6/15時点
原価</t>
    <rPh sb="4" eb="6">
      <t>ジテン</t>
    </rPh>
    <rPh sb="7" eb="9">
      <t>ゲンカ</t>
    </rPh>
    <phoneticPr fontId="1"/>
  </si>
  <si>
    <t>6/15時点
契約単価</t>
    <rPh sb="4" eb="6">
      <t>ジテン</t>
    </rPh>
    <rPh sb="7" eb="11">
      <t>ケイヤクタンカ</t>
    </rPh>
    <phoneticPr fontId="1"/>
  </si>
  <si>
    <t>511146</t>
  </si>
  <si>
    <t>511182</t>
  </si>
  <si>
    <t>511191</t>
  </si>
  <si>
    <t>511245</t>
  </si>
  <si>
    <t>511254</t>
  </si>
  <si>
    <t>511353</t>
  </si>
  <si>
    <t>210395</t>
  </si>
  <si>
    <t>210398</t>
  </si>
  <si>
    <t>210413</t>
  </si>
  <si>
    <t>210374</t>
  </si>
  <si>
    <t>210381</t>
  </si>
  <si>
    <t>210393</t>
  </si>
  <si>
    <t>210316</t>
  </si>
  <si>
    <t>210353</t>
  </si>
  <si>
    <t>210364</t>
  </si>
  <si>
    <t>210478</t>
  </si>
  <si>
    <t>210479</t>
  </si>
  <si>
    <t>210480</t>
  </si>
  <si>
    <t>210463</t>
  </si>
  <si>
    <t>210464</t>
  </si>
  <si>
    <t>210477</t>
  </si>
  <si>
    <t>210422</t>
  </si>
  <si>
    <t>210460</t>
  </si>
  <si>
    <t>210461</t>
  </si>
  <si>
    <t>210529</t>
  </si>
  <si>
    <t>210534</t>
  </si>
  <si>
    <t>210556</t>
  </si>
  <si>
    <t>210517</t>
  </si>
  <si>
    <t>210518</t>
  </si>
  <si>
    <t>210520</t>
  </si>
  <si>
    <t>210514</t>
  </si>
  <si>
    <t>210515</t>
  </si>
  <si>
    <t>210516</t>
  </si>
  <si>
    <t>暫定
新原価</t>
    <rPh sb="0" eb="2">
      <t>ザンテイ</t>
    </rPh>
    <rPh sb="3" eb="4">
      <t>シン</t>
    </rPh>
    <rPh sb="4" eb="6">
      <t>ゲンカ</t>
    </rPh>
    <phoneticPr fontId="1"/>
  </si>
  <si>
    <t>原価
値上率</t>
    <rPh sb="0" eb="2">
      <t>ゲンカ</t>
    </rPh>
    <rPh sb="3" eb="5">
      <t>ネアガ</t>
    </rPh>
    <rPh sb="5" eb="6">
      <t>リツ</t>
    </rPh>
    <phoneticPr fontId="1"/>
  </si>
  <si>
    <t>売価
値上率</t>
    <rPh sb="0" eb="2">
      <t>バイカ</t>
    </rPh>
    <rPh sb="3" eb="5">
      <t>ネアガ</t>
    </rPh>
    <rPh sb="5" eb="6">
      <t>リツ</t>
    </rPh>
    <phoneticPr fontId="1"/>
  </si>
  <si>
    <t>粗利率</t>
    <rPh sb="0" eb="3">
      <t>アラリリツ</t>
    </rPh>
    <phoneticPr fontId="1"/>
  </si>
  <si>
    <t>単価</t>
    <rPh sb="0" eb="2">
      <t>タンカ</t>
    </rPh>
    <phoneticPr fontId="1"/>
  </si>
  <si>
    <t>入数</t>
    <rPh sb="0" eb="2">
      <t>イリスウ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</si>
</sst>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"/>
    <numFmt numFmtId="180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9" fontId="0" fillId="0" borderId="0" xfId="0" applyNumberFormat="1">
      <alignment vertical="center"/>
    </xf>
    <xf numFmtId="0" fontId="0" fillId="8" borderId="0" xfId="0" applyFill="1" applyAlignment="1">
      <alignment vertical="center" wrapText="1"/>
    </xf>
    <xf numFmtId="179" fontId="0" fillId="5" borderId="0" xfId="0" applyNumberFormat="1" applyFill="1" applyAlignment="1">
      <alignment vertical="center" wrapText="1"/>
    </xf>
    <xf numFmtId="179" fontId="0" fillId="5" borderId="0" xfId="0" applyNumberFormat="1" applyFill="1">
      <alignment vertical="center"/>
    </xf>
    <xf numFmtId="180" fontId="0" fillId="0" borderId="0" xfId="2" applyNumberFormat="1" applyFont="1">
      <alignment vertical="center"/>
    </xf>
    <xf numFmtId="10" fontId="0" fillId="0" borderId="0" xfId="2" applyNumberFormat="1" applyFont="1">
      <alignment vertical="center"/>
    </xf>
    <xf numFmtId="180" fontId="0" fillId="0" borderId="0" xfId="2" applyNumberFormat="1" applyFont="1" applyAlignment="1">
      <alignment vertical="center" wrapText="1"/>
    </xf>
    <xf numFmtId="38" fontId="0" fillId="0" borderId="0" xfId="1" applyFont="1">
      <alignment vertical="center"/>
    </xf>
    <xf numFmtId="38" fontId="0" fillId="8" borderId="0" xfId="1" applyFont="1" applyFill="1" applyAlignment="1">
      <alignment vertical="center" wrapText="1"/>
    </xf>
  </cellXfs>
  <cellStyles count="3">
    <cellStyle name="パーセント" xfId="2" builtinId="5"/>
    <cellStyle name="桁区切り" xfId="1" builtinId="6"/>
    <cellStyle name="標準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CCCC"/>
      <color rgb="FFFFCC99"/>
      <color rgb="FFCCFFCC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890A-F38F-47EB-927C-723B6ED6ADE6}">
  <dimension ref="A1:CF85"/>
  <sheetViews>
    <sheetView tabSelected="1" zoomScale="85" zoomScaleNormal="85" workbookViewId="0">
      <pane xSplit="7" ySplit="4" topLeftCell="H5" activePane="bottomRight" state="frozen"/>
      <selection pane="topRight" activeCell="G1" sqref="G1"/>
      <selection pane="bottomLeft" activeCell="A4" sqref="A4"/>
      <selection pane="bottomRight" activeCell="M2" sqref="M2"/>
    </sheetView>
  </sheetViews>
  <sheetFormatPr defaultRowHeight="18.75" outlineLevelCol="1" x14ac:dyDescent="0.4"/>
  <cols>
    <col min="4" max="5" width="0" hidden="1" customWidth="1"/>
    <col min="6" max="6" width="7.75" customWidth="1"/>
    <col min="7" max="7" width="39.375" customWidth="1"/>
    <col min="16" max="16" width="7.5" bestFit="1" customWidth="1"/>
    <col min="17" max="18" width="7.5" style="15" customWidth="1"/>
    <col min="25" max="25" width="9" style="15"/>
    <col min="26" max="26" width="9" style="12"/>
    <col min="28" max="28" width="9" style="8"/>
    <col min="29" max="29" width="9" style="12"/>
    <col min="31" max="32" width="9" hidden="1" customWidth="1" outlineLevel="1"/>
    <col min="33" max="33" width="9" collapsed="1"/>
    <col min="36" max="37" width="9" hidden="1" customWidth="1" outlineLevel="1"/>
    <col min="38" max="38" width="9" collapsed="1"/>
    <col min="41" max="42" width="9" hidden="1" customWidth="1" outlineLevel="1"/>
    <col min="43" max="43" width="9" collapsed="1"/>
    <col min="46" max="46" width="32.5" bestFit="1" customWidth="1"/>
  </cols>
  <sheetData>
    <row r="1" spans="1:84" x14ac:dyDescent="0.4">
      <c r="AE1" t="s">
        <v>84</v>
      </c>
      <c r="AF1" t="s">
        <v>91</v>
      </c>
      <c r="AG1" t="s">
        <v>84</v>
      </c>
      <c r="AH1" t="s">
        <v>90</v>
      </c>
      <c r="AJ1" t="s">
        <v>84</v>
      </c>
      <c r="AK1" t="s">
        <v>90</v>
      </c>
      <c r="AL1" t="s">
        <v>84</v>
      </c>
      <c r="AM1" t="s">
        <v>90</v>
      </c>
      <c r="AO1" t="s">
        <v>84</v>
      </c>
      <c r="AP1" t="s">
        <v>90</v>
      </c>
      <c r="AQ1" t="s">
        <v>84</v>
      </c>
      <c r="AR1" t="s">
        <v>90</v>
      </c>
    </row>
    <row r="2" spans="1:84" ht="37.5" x14ac:dyDescent="0.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132</v>
      </c>
      <c r="M2" s="9" t="s">
        <v>93</v>
      </c>
      <c r="N2" s="9" t="s">
        <v>94</v>
      </c>
      <c r="O2" s="9" t="s">
        <v>95</v>
      </c>
      <c r="P2" s="9" t="s">
        <v>132</v>
      </c>
      <c r="Q2" s="16" t="s">
        <v>133</v>
      </c>
      <c r="R2" s="16" t="s">
        <v>134</v>
      </c>
      <c r="S2" t="s">
        <v>10</v>
      </c>
      <c r="T2" t="s">
        <v>11</v>
      </c>
      <c r="V2" s="4" t="s">
        <v>89</v>
      </c>
      <c r="W2" s="6" t="s">
        <v>76</v>
      </c>
      <c r="X2" t="s">
        <v>77</v>
      </c>
      <c r="Y2" s="15" t="s">
        <v>133</v>
      </c>
      <c r="Z2" s="14" t="s">
        <v>131</v>
      </c>
      <c r="AA2" s="9" t="s">
        <v>94</v>
      </c>
      <c r="AB2" s="10" t="s">
        <v>129</v>
      </c>
      <c r="AC2" s="14" t="s">
        <v>130</v>
      </c>
      <c r="AD2" t="s">
        <v>78</v>
      </c>
      <c r="AE2" t="s">
        <v>79</v>
      </c>
      <c r="AF2" t="s">
        <v>79</v>
      </c>
      <c r="AG2" s="1" t="s">
        <v>88</v>
      </c>
      <c r="AH2" s="1" t="s">
        <v>88</v>
      </c>
      <c r="AI2" t="s">
        <v>80</v>
      </c>
      <c r="AJ2" t="s">
        <v>81</v>
      </c>
      <c r="AK2" t="s">
        <v>81</v>
      </c>
      <c r="AL2" s="2" t="s">
        <v>87</v>
      </c>
      <c r="AM2" s="2" t="s">
        <v>87</v>
      </c>
      <c r="AN2" t="s">
        <v>82</v>
      </c>
      <c r="AO2" t="s">
        <v>83</v>
      </c>
      <c r="AP2" t="s">
        <v>83</v>
      </c>
      <c r="AQ2" s="3" t="s">
        <v>85</v>
      </c>
      <c r="AR2" s="3" t="s">
        <v>85</v>
      </c>
      <c r="AS2" t="s">
        <v>12</v>
      </c>
      <c r="AT2" t="s">
        <v>13</v>
      </c>
      <c r="CF2" t="s">
        <v>74</v>
      </c>
    </row>
    <row r="3" spans="1:84" x14ac:dyDescent="0.4">
      <c r="A3" t="s">
        <v>96</v>
      </c>
      <c r="B3" s="7">
        <v>511146</v>
      </c>
      <c r="C3" s="7">
        <v>511146</v>
      </c>
      <c r="D3">
        <v>4582130775783</v>
      </c>
      <c r="E3">
        <v>1000000479</v>
      </c>
      <c r="F3" t="s">
        <v>14</v>
      </c>
      <c r="G3" t="s">
        <v>15</v>
      </c>
      <c r="H3" t="s">
        <v>16</v>
      </c>
      <c r="I3">
        <v>0</v>
      </c>
      <c r="J3">
        <v>768</v>
      </c>
      <c r="K3">
        <v>542.38</v>
      </c>
      <c r="L3" s="12">
        <f>(J3-K3)/J3</f>
        <v>0.29377604166666665</v>
      </c>
      <c r="M3">
        <v>768</v>
      </c>
      <c r="N3">
        <v>598.85</v>
      </c>
      <c r="O3">
        <v>598.85</v>
      </c>
      <c r="P3" s="12">
        <f>(M3-N3)/M3</f>
        <v>0.2202473958333333</v>
      </c>
      <c r="Q3" s="15">
        <f>M3</f>
        <v>768</v>
      </c>
      <c r="R3" s="15">
        <v>1</v>
      </c>
      <c r="S3">
        <v>5</v>
      </c>
      <c r="T3" t="s">
        <v>17</v>
      </c>
      <c r="U3" t="s">
        <v>75</v>
      </c>
      <c r="V3" s="5">
        <f>ROUND(J3*AC3,0)</f>
        <v>848</v>
      </c>
      <c r="W3">
        <v>850</v>
      </c>
      <c r="X3" s="13">
        <f>(W3-AA3)/W3</f>
        <v>0.2954705882352941</v>
      </c>
      <c r="Y3" s="15">
        <f>W3/R3</f>
        <v>850</v>
      </c>
      <c r="Z3" s="12">
        <f>W3/M3</f>
        <v>1.1067708333333333</v>
      </c>
      <c r="AA3">
        <v>598.85</v>
      </c>
      <c r="AB3" s="11">
        <v>599</v>
      </c>
      <c r="AC3" s="12">
        <f>AA3/K3</f>
        <v>1.1041151959880526</v>
      </c>
      <c r="AD3">
        <v>590785</v>
      </c>
      <c r="AE3">
        <v>728</v>
      </c>
      <c r="AF3">
        <v>728</v>
      </c>
      <c r="AG3" s="1">
        <f>AE3</f>
        <v>728</v>
      </c>
      <c r="AH3" s="1">
        <f>AF3</f>
        <v>728</v>
      </c>
      <c r="AI3">
        <v>2125567</v>
      </c>
      <c r="AJ3">
        <v>728</v>
      </c>
      <c r="AK3">
        <v>728</v>
      </c>
      <c r="AL3" s="2">
        <f>AJ3</f>
        <v>728</v>
      </c>
      <c r="AM3" s="2">
        <f>AK3</f>
        <v>728</v>
      </c>
      <c r="AN3">
        <v>81516438</v>
      </c>
      <c r="AO3">
        <v>973</v>
      </c>
      <c r="AP3">
        <v>973</v>
      </c>
      <c r="AQ3" s="3">
        <f>AO3/120*100</f>
        <v>810.83333333333326</v>
      </c>
      <c r="AR3" s="3">
        <f>AP3/120*100</f>
        <v>810.83333333333326</v>
      </c>
      <c r="AS3">
        <v>989</v>
      </c>
      <c r="AT3" t="s">
        <v>73</v>
      </c>
    </row>
    <row r="4" spans="1:84" x14ac:dyDescent="0.4">
      <c r="A4" t="s">
        <v>96</v>
      </c>
      <c r="B4">
        <v>511146</v>
      </c>
      <c r="C4">
        <v>511146</v>
      </c>
      <c r="D4">
        <v>4582130775783</v>
      </c>
      <c r="E4">
        <v>1000000479</v>
      </c>
      <c r="F4" t="s">
        <v>14</v>
      </c>
      <c r="G4" t="s">
        <v>15</v>
      </c>
      <c r="H4" t="s">
        <v>16</v>
      </c>
      <c r="I4">
        <v>0</v>
      </c>
      <c r="J4">
        <v>768</v>
      </c>
      <c r="K4">
        <v>542.38</v>
      </c>
      <c r="L4" s="12">
        <f t="shared" ref="L4:L67" si="0">(J4-K4)/J4</f>
        <v>0.29377604166666665</v>
      </c>
      <c r="M4">
        <v>768</v>
      </c>
      <c r="N4">
        <v>598.85</v>
      </c>
      <c r="O4">
        <v>598.85</v>
      </c>
      <c r="P4" s="12">
        <f t="shared" ref="P4:P67" si="1">(M4-N4)/M4</f>
        <v>0.2202473958333333</v>
      </c>
      <c r="R4" s="15">
        <v>1</v>
      </c>
      <c r="S4">
        <v>5</v>
      </c>
      <c r="T4" t="s">
        <v>17</v>
      </c>
      <c r="U4" t="s">
        <v>75</v>
      </c>
      <c r="V4" s="5"/>
      <c r="W4">
        <v>850</v>
      </c>
      <c r="X4" s="13">
        <f t="shared" ref="X4:X67" si="2">(W4-AA4)/W4</f>
        <v>0.2954705882352941</v>
      </c>
      <c r="Y4" s="15">
        <f>W4/R4</f>
        <v>850</v>
      </c>
      <c r="Z4" s="12">
        <f>W4/M4</f>
        <v>1.1067708333333333</v>
      </c>
      <c r="AA4">
        <v>598.85</v>
      </c>
      <c r="AB4" s="11">
        <v>599</v>
      </c>
      <c r="AC4" s="12">
        <f>AA4/K4</f>
        <v>1.1041151959880526</v>
      </c>
      <c r="AG4" s="1"/>
      <c r="AH4" s="1"/>
      <c r="AL4" s="2"/>
      <c r="AM4" s="2"/>
      <c r="AQ4" s="3"/>
      <c r="AR4" s="3"/>
      <c r="AS4">
        <v>989</v>
      </c>
      <c r="AT4" t="s">
        <v>73</v>
      </c>
    </row>
    <row r="5" spans="1:84" x14ac:dyDescent="0.4">
      <c r="A5" t="s">
        <v>18</v>
      </c>
      <c r="B5" t="s">
        <v>18</v>
      </c>
      <c r="C5">
        <v>511146</v>
      </c>
      <c r="D5">
        <v>4582130775783</v>
      </c>
      <c r="E5">
        <v>1000000479</v>
      </c>
      <c r="F5" t="s">
        <v>14</v>
      </c>
      <c r="G5" t="s">
        <v>15</v>
      </c>
      <c r="H5" t="s">
        <v>16</v>
      </c>
      <c r="I5">
        <v>0</v>
      </c>
      <c r="J5">
        <v>598</v>
      </c>
      <c r="K5">
        <v>542.38</v>
      </c>
      <c r="L5" s="12">
        <f t="shared" si="0"/>
        <v>9.3010033444816065E-2</v>
      </c>
      <c r="M5">
        <v>598</v>
      </c>
      <c r="N5">
        <v>598.85</v>
      </c>
      <c r="O5">
        <v>598.85</v>
      </c>
      <c r="P5" s="12">
        <f t="shared" si="1"/>
        <v>-1.4214046822742855E-3</v>
      </c>
      <c r="S5">
        <v>99</v>
      </c>
      <c r="T5" t="s">
        <v>17</v>
      </c>
      <c r="U5" t="s">
        <v>75</v>
      </c>
      <c r="V5" s="5"/>
      <c r="W5" t="s">
        <v>86</v>
      </c>
      <c r="X5" s="13" t="e">
        <f t="shared" si="2"/>
        <v>#VALUE!</v>
      </c>
      <c r="Y5" s="13"/>
      <c r="Z5" s="12" t="e">
        <f>W5/M5</f>
        <v>#VALUE!</v>
      </c>
      <c r="AA5">
        <v>598.85</v>
      </c>
      <c r="AB5" s="11">
        <v>599</v>
      </c>
      <c r="AC5" s="12">
        <f>AA5/K5</f>
        <v>1.1041151959880526</v>
      </c>
      <c r="AG5" s="1"/>
      <c r="AH5" s="1"/>
      <c r="AL5" s="2"/>
      <c r="AM5" s="2"/>
      <c r="AQ5" s="3"/>
      <c r="AR5" s="3"/>
      <c r="AS5">
        <v>989</v>
      </c>
      <c r="AT5" t="s">
        <v>73</v>
      </c>
    </row>
    <row r="6" spans="1:84" x14ac:dyDescent="0.4">
      <c r="A6" t="s">
        <v>18</v>
      </c>
      <c r="B6" t="s">
        <v>18</v>
      </c>
      <c r="C6">
        <v>511146</v>
      </c>
      <c r="D6">
        <v>4582130775783</v>
      </c>
      <c r="E6">
        <v>1000000479</v>
      </c>
      <c r="F6" t="s">
        <v>14</v>
      </c>
      <c r="G6" t="s">
        <v>15</v>
      </c>
      <c r="H6" t="s">
        <v>16</v>
      </c>
      <c r="I6">
        <v>0</v>
      </c>
      <c r="J6">
        <v>598</v>
      </c>
      <c r="K6">
        <v>542.38</v>
      </c>
      <c r="L6" s="12">
        <f t="shared" si="0"/>
        <v>9.3010033444816065E-2</v>
      </c>
      <c r="M6">
        <v>598</v>
      </c>
      <c r="N6">
        <v>598.85</v>
      </c>
      <c r="O6">
        <v>598.85</v>
      </c>
      <c r="P6" s="12">
        <f t="shared" si="1"/>
        <v>-1.4214046822742855E-3</v>
      </c>
      <c r="S6">
        <v>99</v>
      </c>
      <c r="T6" t="s">
        <v>17</v>
      </c>
      <c r="U6" t="s">
        <v>75</v>
      </c>
      <c r="V6" s="5"/>
      <c r="W6" t="s">
        <v>86</v>
      </c>
      <c r="X6" s="13" t="e">
        <f t="shared" si="2"/>
        <v>#VALUE!</v>
      </c>
      <c r="Y6" s="13"/>
      <c r="Z6" s="12" t="e">
        <f>W6/M6</f>
        <v>#VALUE!</v>
      </c>
      <c r="AA6">
        <v>598.85</v>
      </c>
      <c r="AB6" s="11">
        <v>599</v>
      </c>
      <c r="AC6" s="12">
        <f>AA6/K6</f>
        <v>1.1041151959880526</v>
      </c>
      <c r="AG6" s="1"/>
      <c r="AH6" s="1"/>
      <c r="AL6" s="2"/>
      <c r="AM6" s="2"/>
      <c r="AQ6" s="3"/>
      <c r="AR6" s="3"/>
      <c r="AS6">
        <v>989</v>
      </c>
      <c r="AT6" t="s">
        <v>73</v>
      </c>
    </row>
    <row r="7" spans="1:84" x14ac:dyDescent="0.4">
      <c r="A7" t="s">
        <v>72</v>
      </c>
      <c r="B7" t="s">
        <v>72</v>
      </c>
      <c r="C7" t="s">
        <v>72</v>
      </c>
      <c r="D7">
        <v>4582130775783</v>
      </c>
      <c r="E7">
        <v>1000000479</v>
      </c>
      <c r="F7" t="s">
        <v>14</v>
      </c>
      <c r="G7" t="s">
        <v>15</v>
      </c>
      <c r="H7" t="s">
        <v>16</v>
      </c>
      <c r="I7">
        <v>0</v>
      </c>
      <c r="J7">
        <v>598</v>
      </c>
      <c r="K7">
        <v>530.66999999999996</v>
      </c>
      <c r="L7" s="12">
        <f t="shared" si="0"/>
        <v>0.11259197324414723</v>
      </c>
      <c r="M7">
        <v>598</v>
      </c>
      <c r="N7">
        <v>530.66999999999996</v>
      </c>
      <c r="O7">
        <v>530.66999999999996</v>
      </c>
      <c r="P7" s="12">
        <f t="shared" si="1"/>
        <v>0.11259197324414723</v>
      </c>
      <c r="S7">
        <v>6</v>
      </c>
      <c r="T7" t="s">
        <v>17</v>
      </c>
      <c r="U7" t="s">
        <v>75</v>
      </c>
      <c r="V7" s="5"/>
      <c r="W7" t="s">
        <v>86</v>
      </c>
      <c r="X7" s="13" t="e">
        <f t="shared" si="2"/>
        <v>#VALUE!</v>
      </c>
      <c r="Y7" s="13"/>
      <c r="Z7" s="12" t="e">
        <f>W7/M7</f>
        <v>#VALUE!</v>
      </c>
      <c r="AA7">
        <v>530.66999999999996</v>
      </c>
      <c r="AB7" s="11">
        <v>599</v>
      </c>
      <c r="AC7" s="12">
        <f>AA7/K7</f>
        <v>1</v>
      </c>
      <c r="AG7" s="1"/>
      <c r="AH7" s="1"/>
      <c r="AL7" s="2"/>
      <c r="AM7" s="2"/>
      <c r="AQ7" s="3"/>
      <c r="AR7" s="3"/>
      <c r="AS7">
        <v>989</v>
      </c>
      <c r="AT7" t="s">
        <v>73</v>
      </c>
    </row>
    <row r="8" spans="1:84" x14ac:dyDescent="0.4">
      <c r="A8" t="s">
        <v>19</v>
      </c>
      <c r="B8" t="s">
        <v>19</v>
      </c>
      <c r="C8">
        <v>511182</v>
      </c>
      <c r="D8">
        <v>4582130775790</v>
      </c>
      <c r="E8">
        <v>1000000479</v>
      </c>
      <c r="F8" t="s">
        <v>14</v>
      </c>
      <c r="G8" t="s">
        <v>20</v>
      </c>
      <c r="H8" t="s">
        <v>16</v>
      </c>
      <c r="I8">
        <v>0</v>
      </c>
      <c r="J8">
        <v>3889</v>
      </c>
      <c r="K8">
        <v>3254.28</v>
      </c>
      <c r="L8" s="12">
        <f t="shared" si="0"/>
        <v>0.16320905116996653</v>
      </c>
      <c r="M8">
        <v>3889</v>
      </c>
      <c r="N8">
        <v>3593.1</v>
      </c>
      <c r="O8">
        <v>3593.1</v>
      </c>
      <c r="P8" s="12">
        <f t="shared" si="1"/>
        <v>7.6086397531499123E-2</v>
      </c>
      <c r="Q8" s="15">
        <f>M8/6</f>
        <v>648.16666666666663</v>
      </c>
      <c r="R8" s="15">
        <v>6</v>
      </c>
      <c r="S8">
        <v>6</v>
      </c>
      <c r="T8" t="s">
        <v>21</v>
      </c>
      <c r="U8" t="s">
        <v>75</v>
      </c>
      <c r="V8" s="5"/>
      <c r="W8" t="s">
        <v>86</v>
      </c>
      <c r="X8" s="13" t="e">
        <f t="shared" si="2"/>
        <v>#VALUE!</v>
      </c>
      <c r="Y8" s="15" t="e">
        <f t="shared" ref="Y8:Y9" si="3">W8/R8</f>
        <v>#VALUE!</v>
      </c>
      <c r="Z8" s="12" t="e">
        <f>W8/M8</f>
        <v>#VALUE!</v>
      </c>
      <c r="AA8">
        <v>3593.1</v>
      </c>
      <c r="AB8" s="11">
        <v>3594</v>
      </c>
      <c r="AC8" s="12">
        <f>AA8/K8</f>
        <v>1.1041151959880526</v>
      </c>
      <c r="AG8" s="1"/>
      <c r="AH8" s="1"/>
      <c r="AL8" s="2"/>
      <c r="AM8" s="2"/>
      <c r="AQ8" s="3"/>
      <c r="AR8" s="3"/>
      <c r="AS8">
        <v>989</v>
      </c>
      <c r="AT8" t="s">
        <v>73</v>
      </c>
    </row>
    <row r="9" spans="1:84" x14ac:dyDescent="0.4">
      <c r="A9" t="s">
        <v>19</v>
      </c>
      <c r="B9" t="s">
        <v>19</v>
      </c>
      <c r="C9">
        <v>511182</v>
      </c>
      <c r="D9">
        <v>4582130775790</v>
      </c>
      <c r="E9">
        <v>1000000479</v>
      </c>
      <c r="F9" t="s">
        <v>14</v>
      </c>
      <c r="G9" t="s">
        <v>20</v>
      </c>
      <c r="H9" t="s">
        <v>16</v>
      </c>
      <c r="I9">
        <v>0</v>
      </c>
      <c r="J9">
        <v>3889</v>
      </c>
      <c r="K9">
        <v>3254.28</v>
      </c>
      <c r="L9" s="12">
        <f t="shared" si="0"/>
        <v>0.16320905116996653</v>
      </c>
      <c r="M9">
        <v>3889</v>
      </c>
      <c r="N9">
        <v>3593.1</v>
      </c>
      <c r="O9">
        <v>3593.1</v>
      </c>
      <c r="P9" s="12">
        <f t="shared" si="1"/>
        <v>7.6086397531499123E-2</v>
      </c>
      <c r="R9" s="15">
        <v>6</v>
      </c>
      <c r="S9">
        <v>6</v>
      </c>
      <c r="T9" t="s">
        <v>21</v>
      </c>
      <c r="U9" t="s">
        <v>75</v>
      </c>
      <c r="V9" s="5"/>
      <c r="W9" t="s">
        <v>86</v>
      </c>
      <c r="X9" s="13" t="e">
        <f t="shared" si="2"/>
        <v>#VALUE!</v>
      </c>
      <c r="Y9" s="15" t="e">
        <f t="shared" si="3"/>
        <v>#VALUE!</v>
      </c>
      <c r="Z9" s="12" t="e">
        <f>W9/M9</f>
        <v>#VALUE!</v>
      </c>
      <c r="AA9">
        <v>3593.1</v>
      </c>
      <c r="AB9" s="11">
        <v>3594</v>
      </c>
      <c r="AC9" s="12">
        <f>AA9/K9</f>
        <v>1.1041151959880526</v>
      </c>
      <c r="AG9" s="1"/>
      <c r="AH9" s="1"/>
      <c r="AL9" s="2"/>
      <c r="AM9" s="2"/>
      <c r="AQ9" s="3"/>
      <c r="AR9" s="3"/>
      <c r="AS9">
        <v>989</v>
      </c>
      <c r="AT9" t="s">
        <v>73</v>
      </c>
    </row>
    <row r="10" spans="1:84" x14ac:dyDescent="0.4">
      <c r="A10" t="s">
        <v>22</v>
      </c>
      <c r="B10" t="s">
        <v>22</v>
      </c>
      <c r="C10">
        <v>511182</v>
      </c>
      <c r="D10">
        <v>4582130775790</v>
      </c>
      <c r="E10">
        <v>1000000479</v>
      </c>
      <c r="F10" t="s">
        <v>14</v>
      </c>
      <c r="G10" t="s">
        <v>20</v>
      </c>
      <c r="H10" t="s">
        <v>16</v>
      </c>
      <c r="I10">
        <v>0</v>
      </c>
      <c r="J10">
        <v>3480</v>
      </c>
      <c r="K10">
        <v>3254.28</v>
      </c>
      <c r="L10" s="12">
        <f t="shared" si="0"/>
        <v>6.4862068965517189E-2</v>
      </c>
      <c r="M10">
        <v>3480</v>
      </c>
      <c r="N10">
        <v>3593.1</v>
      </c>
      <c r="O10">
        <v>3593.1</v>
      </c>
      <c r="P10" s="12">
        <f t="shared" si="1"/>
        <v>-3.2499999999999973E-2</v>
      </c>
      <c r="S10">
        <v>99</v>
      </c>
      <c r="T10" t="s">
        <v>21</v>
      </c>
      <c r="U10" t="s">
        <v>75</v>
      </c>
      <c r="V10" s="5"/>
      <c r="W10" t="s">
        <v>86</v>
      </c>
      <c r="X10" s="13" t="e">
        <f t="shared" si="2"/>
        <v>#VALUE!</v>
      </c>
      <c r="Y10" s="13"/>
      <c r="Z10" s="12" t="e">
        <f>W10/M10</f>
        <v>#VALUE!</v>
      </c>
      <c r="AA10">
        <v>3593.1</v>
      </c>
      <c r="AB10" s="11">
        <v>3594</v>
      </c>
      <c r="AC10" s="12">
        <f>AA10/K10</f>
        <v>1.1041151959880526</v>
      </c>
      <c r="AG10" s="1"/>
      <c r="AH10" s="1"/>
      <c r="AL10" s="2"/>
      <c r="AM10" s="2"/>
      <c r="AQ10" s="3"/>
      <c r="AR10" s="3"/>
      <c r="AS10">
        <v>989</v>
      </c>
      <c r="AT10" t="s">
        <v>73</v>
      </c>
    </row>
    <row r="11" spans="1:84" x14ac:dyDescent="0.4">
      <c r="A11" t="s">
        <v>22</v>
      </c>
      <c r="B11" t="s">
        <v>22</v>
      </c>
      <c r="C11">
        <v>511182</v>
      </c>
      <c r="D11">
        <v>4582130775790</v>
      </c>
      <c r="E11">
        <v>1000000479</v>
      </c>
      <c r="F11" t="s">
        <v>14</v>
      </c>
      <c r="G11" t="s">
        <v>20</v>
      </c>
      <c r="H11" t="s">
        <v>16</v>
      </c>
      <c r="I11">
        <v>0</v>
      </c>
      <c r="J11">
        <v>3480</v>
      </c>
      <c r="K11">
        <v>3254.28</v>
      </c>
      <c r="L11" s="12">
        <f t="shared" si="0"/>
        <v>6.4862068965517189E-2</v>
      </c>
      <c r="M11">
        <v>3480</v>
      </c>
      <c r="N11">
        <v>3593.1</v>
      </c>
      <c r="O11">
        <v>3593.1</v>
      </c>
      <c r="P11" s="12">
        <f t="shared" si="1"/>
        <v>-3.2499999999999973E-2</v>
      </c>
      <c r="S11">
        <v>99</v>
      </c>
      <c r="T11" t="s">
        <v>21</v>
      </c>
      <c r="U11" t="s">
        <v>75</v>
      </c>
      <c r="V11" s="5"/>
      <c r="W11" t="s">
        <v>86</v>
      </c>
      <c r="X11" s="13" t="e">
        <f t="shared" si="2"/>
        <v>#VALUE!</v>
      </c>
      <c r="Y11" s="13"/>
      <c r="Z11" s="12" t="e">
        <f>W11/M11</f>
        <v>#VALUE!</v>
      </c>
      <c r="AA11">
        <v>3593.1</v>
      </c>
      <c r="AB11" s="11">
        <v>3594</v>
      </c>
      <c r="AC11" s="12">
        <f>AA11/K11</f>
        <v>1.1041151959880526</v>
      </c>
      <c r="AG11" s="1"/>
      <c r="AH11" s="1"/>
      <c r="AL11" s="2"/>
      <c r="AM11" s="2"/>
      <c r="AQ11" s="3"/>
      <c r="AR11" s="3"/>
      <c r="AS11">
        <v>989</v>
      </c>
      <c r="AT11" t="s">
        <v>73</v>
      </c>
    </row>
    <row r="12" spans="1:84" x14ac:dyDescent="0.4">
      <c r="A12" t="s">
        <v>97</v>
      </c>
      <c r="B12" s="7">
        <v>511182</v>
      </c>
      <c r="C12" s="7">
        <v>511182</v>
      </c>
      <c r="D12">
        <v>4582130775790</v>
      </c>
      <c r="E12">
        <v>1000000479</v>
      </c>
      <c r="F12" t="s">
        <v>14</v>
      </c>
      <c r="G12" t="s">
        <v>20</v>
      </c>
      <c r="H12" t="s">
        <v>16</v>
      </c>
      <c r="I12">
        <v>0</v>
      </c>
      <c r="J12">
        <v>4360</v>
      </c>
      <c r="K12">
        <v>3254.28</v>
      </c>
      <c r="L12" s="12">
        <f t="shared" si="0"/>
        <v>0.25360550458715592</v>
      </c>
      <c r="M12">
        <v>4360</v>
      </c>
      <c r="N12">
        <v>3593.1</v>
      </c>
      <c r="O12">
        <v>3593.1</v>
      </c>
      <c r="P12" s="12">
        <f t="shared" si="1"/>
        <v>0.17589449541284405</v>
      </c>
      <c r="R12" s="15">
        <v>6</v>
      </c>
      <c r="S12">
        <v>5</v>
      </c>
      <c r="T12" t="s">
        <v>21</v>
      </c>
      <c r="U12" t="s">
        <v>75</v>
      </c>
      <c r="V12" s="5">
        <f>ROUND(J12*AC12,0)</f>
        <v>4814</v>
      </c>
      <c r="W12">
        <v>4790</v>
      </c>
      <c r="X12" s="13">
        <f t="shared" si="2"/>
        <v>0.24987473903966598</v>
      </c>
      <c r="Y12" s="15">
        <f t="shared" ref="Y12:Y15" si="4">W12/R12</f>
        <v>798.33333333333337</v>
      </c>
      <c r="Z12" s="12">
        <f>W12/M12</f>
        <v>1.0986238532110091</v>
      </c>
      <c r="AA12">
        <v>3593.1</v>
      </c>
      <c r="AB12" s="11">
        <v>3594</v>
      </c>
      <c r="AC12" s="12">
        <f>AA12/K12</f>
        <v>1.1041151959880526</v>
      </c>
      <c r="AD12">
        <v>126432</v>
      </c>
      <c r="AE12">
        <v>4128</v>
      </c>
      <c r="AF12">
        <v>4128</v>
      </c>
      <c r="AG12" s="1">
        <f>AE12</f>
        <v>4128</v>
      </c>
      <c r="AH12" s="1">
        <f>AF12</f>
        <v>4128</v>
      </c>
      <c r="AI12">
        <v>9100592</v>
      </c>
      <c r="AJ12">
        <v>4218</v>
      </c>
      <c r="AK12">
        <v>4218</v>
      </c>
      <c r="AL12" s="2">
        <f>AJ12</f>
        <v>4218</v>
      </c>
      <c r="AM12" s="2">
        <f>AK12</f>
        <v>4218</v>
      </c>
      <c r="AN12">
        <v>81516742</v>
      </c>
      <c r="AO12">
        <v>5753</v>
      </c>
      <c r="AP12">
        <v>5753</v>
      </c>
      <c r="AQ12" s="3">
        <f>AO12/720*600</f>
        <v>4794.166666666667</v>
      </c>
      <c r="AR12" s="3">
        <f>AP12/720*600</f>
        <v>4794.166666666667</v>
      </c>
      <c r="AS12">
        <v>989</v>
      </c>
      <c r="AT12" t="s">
        <v>73</v>
      </c>
    </row>
    <row r="13" spans="1:84" x14ac:dyDescent="0.4">
      <c r="A13" t="s">
        <v>97</v>
      </c>
      <c r="B13">
        <v>511182</v>
      </c>
      <c r="C13">
        <v>511182</v>
      </c>
      <c r="D13">
        <v>4582130775790</v>
      </c>
      <c r="E13">
        <v>1000000479</v>
      </c>
      <c r="F13" t="s">
        <v>14</v>
      </c>
      <c r="G13" t="s">
        <v>20</v>
      </c>
      <c r="H13" t="s">
        <v>16</v>
      </c>
      <c r="I13">
        <v>0</v>
      </c>
      <c r="J13">
        <v>4360</v>
      </c>
      <c r="K13">
        <v>3254.28</v>
      </c>
      <c r="L13" s="12">
        <f t="shared" si="0"/>
        <v>0.25360550458715592</v>
      </c>
      <c r="M13">
        <v>4360</v>
      </c>
      <c r="N13">
        <v>3593.1</v>
      </c>
      <c r="O13">
        <v>3593.1</v>
      </c>
      <c r="P13" s="12">
        <f t="shared" si="1"/>
        <v>0.17589449541284405</v>
      </c>
      <c r="R13" s="15">
        <v>6</v>
      </c>
      <c r="S13">
        <v>5</v>
      </c>
      <c r="T13" t="s">
        <v>21</v>
      </c>
      <c r="U13" t="s">
        <v>75</v>
      </c>
      <c r="V13" s="5"/>
      <c r="W13">
        <v>4790</v>
      </c>
      <c r="X13" s="13">
        <f t="shared" si="2"/>
        <v>0.24987473903966598</v>
      </c>
      <c r="Y13" s="15">
        <f t="shared" si="4"/>
        <v>798.33333333333337</v>
      </c>
      <c r="Z13" s="12">
        <f>W13/M13</f>
        <v>1.0986238532110091</v>
      </c>
      <c r="AA13">
        <v>3593.1</v>
      </c>
      <c r="AB13" s="11">
        <v>3594</v>
      </c>
      <c r="AC13" s="12">
        <f>AA13/K13</f>
        <v>1.1041151959880526</v>
      </c>
      <c r="AG13" s="1"/>
      <c r="AH13" s="1"/>
      <c r="AL13" s="2"/>
      <c r="AM13" s="2"/>
      <c r="AQ13" s="3"/>
      <c r="AR13" s="3"/>
      <c r="AS13">
        <v>989</v>
      </c>
      <c r="AT13" t="s">
        <v>73</v>
      </c>
    </row>
    <row r="14" spans="1:84" x14ac:dyDescent="0.4">
      <c r="A14" t="s">
        <v>98</v>
      </c>
      <c r="B14">
        <v>511191</v>
      </c>
      <c r="C14">
        <v>511191</v>
      </c>
      <c r="D14">
        <v>4582130775806</v>
      </c>
      <c r="E14">
        <v>1000000479</v>
      </c>
      <c r="F14" t="s">
        <v>14</v>
      </c>
      <c r="G14" t="s">
        <v>23</v>
      </c>
      <c r="H14" t="s">
        <v>24</v>
      </c>
      <c r="I14">
        <v>0</v>
      </c>
      <c r="J14">
        <v>835</v>
      </c>
      <c r="K14">
        <v>640.13</v>
      </c>
      <c r="L14" s="12">
        <f t="shared" si="0"/>
        <v>0.23337724550898203</v>
      </c>
      <c r="M14">
        <v>835</v>
      </c>
      <c r="N14">
        <v>705.91</v>
      </c>
      <c r="O14">
        <v>705.91</v>
      </c>
      <c r="P14" s="12">
        <f t="shared" si="1"/>
        <v>0.15459880239520962</v>
      </c>
      <c r="R14" s="15">
        <v>1</v>
      </c>
      <c r="S14">
        <v>5</v>
      </c>
      <c r="T14" t="s">
        <v>17</v>
      </c>
      <c r="U14" t="s">
        <v>75</v>
      </c>
      <c r="V14" s="5"/>
      <c r="W14">
        <v>928</v>
      </c>
      <c r="X14" s="13">
        <f t="shared" si="2"/>
        <v>0.23932112068965522</v>
      </c>
      <c r="Y14" s="15">
        <f t="shared" si="4"/>
        <v>928</v>
      </c>
      <c r="Z14" s="12">
        <f>W14/M14</f>
        <v>1.1113772455089821</v>
      </c>
      <c r="AA14">
        <v>705.91</v>
      </c>
      <c r="AB14" s="11">
        <v>706</v>
      </c>
      <c r="AC14" s="12">
        <f>AA14/K14</f>
        <v>1.1027603767984628</v>
      </c>
      <c r="AG14" s="1"/>
      <c r="AH14" s="1"/>
      <c r="AL14" s="2"/>
      <c r="AM14" s="2"/>
      <c r="AQ14" s="3"/>
      <c r="AR14" s="3"/>
      <c r="AS14">
        <v>989</v>
      </c>
      <c r="AT14" t="s">
        <v>73</v>
      </c>
    </row>
    <row r="15" spans="1:84" x14ac:dyDescent="0.4">
      <c r="A15" t="s">
        <v>98</v>
      </c>
      <c r="B15">
        <v>511191</v>
      </c>
      <c r="C15">
        <v>511191</v>
      </c>
      <c r="D15">
        <v>4582130775806</v>
      </c>
      <c r="E15">
        <v>1000000479</v>
      </c>
      <c r="F15" t="s">
        <v>14</v>
      </c>
      <c r="G15" t="s">
        <v>23</v>
      </c>
      <c r="H15" t="s">
        <v>24</v>
      </c>
      <c r="I15">
        <v>0</v>
      </c>
      <c r="J15">
        <v>835</v>
      </c>
      <c r="K15">
        <v>640.13</v>
      </c>
      <c r="L15" s="12">
        <f t="shared" si="0"/>
        <v>0.23337724550898203</v>
      </c>
      <c r="M15">
        <v>835</v>
      </c>
      <c r="N15">
        <v>705.91</v>
      </c>
      <c r="O15">
        <v>705.91</v>
      </c>
      <c r="P15" s="12">
        <f t="shared" si="1"/>
        <v>0.15459880239520962</v>
      </c>
      <c r="R15" s="15">
        <v>1</v>
      </c>
      <c r="S15">
        <v>5</v>
      </c>
      <c r="T15" t="s">
        <v>17</v>
      </c>
      <c r="U15" t="s">
        <v>75</v>
      </c>
      <c r="V15" s="5"/>
      <c r="W15">
        <v>928</v>
      </c>
      <c r="X15" s="13">
        <f t="shared" si="2"/>
        <v>0.23932112068965522</v>
      </c>
      <c r="Y15" s="15">
        <f t="shared" si="4"/>
        <v>928</v>
      </c>
      <c r="Z15" s="12">
        <f>W15/M15</f>
        <v>1.1113772455089821</v>
      </c>
      <c r="AA15">
        <v>705.91</v>
      </c>
      <c r="AB15" s="11">
        <v>706</v>
      </c>
      <c r="AC15" s="12">
        <f>AA15/K15</f>
        <v>1.1027603767984628</v>
      </c>
      <c r="AG15" s="1"/>
      <c r="AH15" s="1"/>
      <c r="AL15" s="2"/>
      <c r="AM15" s="2"/>
      <c r="AQ15" s="3"/>
      <c r="AR15" s="3"/>
      <c r="AS15">
        <v>989</v>
      </c>
      <c r="AT15" t="s">
        <v>73</v>
      </c>
    </row>
    <row r="16" spans="1:84" x14ac:dyDescent="0.4">
      <c r="A16" t="s">
        <v>25</v>
      </c>
      <c r="B16" t="s">
        <v>25</v>
      </c>
      <c r="C16">
        <v>511191</v>
      </c>
      <c r="D16">
        <v>4582130775806</v>
      </c>
      <c r="E16">
        <v>1000000479</v>
      </c>
      <c r="F16" t="s">
        <v>14</v>
      </c>
      <c r="G16" t="s">
        <v>23</v>
      </c>
      <c r="H16" t="s">
        <v>24</v>
      </c>
      <c r="I16">
        <v>0</v>
      </c>
      <c r="J16">
        <v>728</v>
      </c>
      <c r="K16">
        <v>640.13</v>
      </c>
      <c r="L16" s="12">
        <f t="shared" si="0"/>
        <v>0.12070054945054946</v>
      </c>
      <c r="M16">
        <v>728</v>
      </c>
      <c r="N16">
        <v>705.91</v>
      </c>
      <c r="O16">
        <v>705.91</v>
      </c>
      <c r="P16" s="12">
        <f t="shared" si="1"/>
        <v>3.0343406593406636E-2</v>
      </c>
      <c r="S16">
        <v>99</v>
      </c>
      <c r="T16" t="s">
        <v>17</v>
      </c>
      <c r="U16" t="s">
        <v>75</v>
      </c>
      <c r="V16" s="5"/>
      <c r="W16" t="s">
        <v>86</v>
      </c>
      <c r="X16" s="13" t="e">
        <f t="shared" si="2"/>
        <v>#VALUE!</v>
      </c>
      <c r="Y16" s="13"/>
      <c r="Z16" s="12" t="e">
        <f>W16/M16</f>
        <v>#VALUE!</v>
      </c>
      <c r="AA16">
        <v>705.91</v>
      </c>
      <c r="AB16" s="11">
        <v>706</v>
      </c>
      <c r="AC16" s="12">
        <f>AA16/K16</f>
        <v>1.1027603767984628</v>
      </c>
      <c r="AG16" s="1"/>
      <c r="AH16" s="1"/>
      <c r="AL16" s="2"/>
      <c r="AM16" s="2"/>
      <c r="AQ16" s="3"/>
      <c r="AR16" s="3"/>
      <c r="AS16">
        <v>989</v>
      </c>
      <c r="AT16" t="s">
        <v>73</v>
      </c>
    </row>
    <row r="17" spans="1:46" x14ac:dyDescent="0.4">
      <c r="A17" t="s">
        <v>25</v>
      </c>
      <c r="B17" t="s">
        <v>25</v>
      </c>
      <c r="C17">
        <v>511191</v>
      </c>
      <c r="D17">
        <v>4582130775806</v>
      </c>
      <c r="E17">
        <v>1000000479</v>
      </c>
      <c r="F17" t="s">
        <v>14</v>
      </c>
      <c r="G17" t="s">
        <v>23</v>
      </c>
      <c r="H17" t="s">
        <v>24</v>
      </c>
      <c r="I17">
        <v>0</v>
      </c>
      <c r="J17">
        <v>728</v>
      </c>
      <c r="K17">
        <v>640.13</v>
      </c>
      <c r="L17" s="12">
        <f t="shared" si="0"/>
        <v>0.12070054945054946</v>
      </c>
      <c r="M17">
        <v>728</v>
      </c>
      <c r="N17">
        <v>705.91</v>
      </c>
      <c r="O17">
        <v>705.91</v>
      </c>
      <c r="P17" s="12">
        <f t="shared" si="1"/>
        <v>3.0343406593406636E-2</v>
      </c>
      <c r="S17">
        <v>99</v>
      </c>
      <c r="T17" t="s">
        <v>17</v>
      </c>
      <c r="U17" t="s">
        <v>75</v>
      </c>
      <c r="V17" s="5"/>
      <c r="W17" t="s">
        <v>86</v>
      </c>
      <c r="X17" s="13" t="e">
        <f t="shared" si="2"/>
        <v>#VALUE!</v>
      </c>
      <c r="Y17" s="13"/>
      <c r="Z17" s="12" t="e">
        <f>W17/M17</f>
        <v>#VALUE!</v>
      </c>
      <c r="AA17">
        <v>705.91</v>
      </c>
      <c r="AB17" s="11">
        <v>706</v>
      </c>
      <c r="AC17" s="12">
        <f>AA17/K17</f>
        <v>1.1027603767984628</v>
      </c>
      <c r="AG17" s="1"/>
      <c r="AH17" s="1"/>
      <c r="AL17" s="2"/>
      <c r="AM17" s="2"/>
      <c r="AQ17" s="3"/>
      <c r="AR17" s="3"/>
      <c r="AS17">
        <v>989</v>
      </c>
      <c r="AT17" t="s">
        <v>73</v>
      </c>
    </row>
    <row r="18" spans="1:46" x14ac:dyDescent="0.4">
      <c r="A18" t="s">
        <v>99</v>
      </c>
      <c r="B18">
        <v>511245</v>
      </c>
      <c r="C18">
        <v>511245</v>
      </c>
      <c r="D18">
        <v>4582130775813</v>
      </c>
      <c r="E18">
        <v>1000000479</v>
      </c>
      <c r="F18" t="s">
        <v>14</v>
      </c>
      <c r="G18" t="s">
        <v>26</v>
      </c>
      <c r="H18" t="s">
        <v>24</v>
      </c>
      <c r="I18">
        <v>0</v>
      </c>
      <c r="J18">
        <v>4890</v>
      </c>
      <c r="K18">
        <v>3840.78</v>
      </c>
      <c r="L18" s="12">
        <f t="shared" si="0"/>
        <v>0.21456441717791408</v>
      </c>
      <c r="M18">
        <v>4890</v>
      </c>
      <c r="N18">
        <v>4235.46</v>
      </c>
      <c r="O18">
        <v>4235.46</v>
      </c>
      <c r="P18" s="12">
        <f t="shared" si="1"/>
        <v>0.13385276073619631</v>
      </c>
      <c r="R18" s="15">
        <v>6</v>
      </c>
      <c r="S18">
        <v>5</v>
      </c>
      <c r="T18" t="s">
        <v>21</v>
      </c>
      <c r="U18" t="s">
        <v>75</v>
      </c>
      <c r="V18" s="5"/>
      <c r="W18">
        <v>5380</v>
      </c>
      <c r="X18" s="13">
        <f t="shared" si="2"/>
        <v>0.21273977695167284</v>
      </c>
      <c r="Y18" s="15">
        <f t="shared" ref="Y18:Y19" si="5">W18/R18</f>
        <v>896.66666666666663</v>
      </c>
      <c r="Z18" s="12">
        <f>W18/M18</f>
        <v>1.1002044989775051</v>
      </c>
      <c r="AA18">
        <v>4235.46</v>
      </c>
      <c r="AB18" s="11">
        <v>4236</v>
      </c>
      <c r="AC18" s="12">
        <f>AA18/K18</f>
        <v>1.1027603767984628</v>
      </c>
      <c r="AG18" s="1"/>
      <c r="AH18" s="1"/>
      <c r="AL18" s="2"/>
      <c r="AM18" s="2"/>
      <c r="AQ18" s="3"/>
      <c r="AR18" s="3"/>
      <c r="AS18">
        <v>989</v>
      </c>
      <c r="AT18" t="s">
        <v>73</v>
      </c>
    </row>
    <row r="19" spans="1:46" x14ac:dyDescent="0.4">
      <c r="A19" t="s">
        <v>99</v>
      </c>
      <c r="B19">
        <v>511245</v>
      </c>
      <c r="C19">
        <v>511245</v>
      </c>
      <c r="D19">
        <v>4582130775813</v>
      </c>
      <c r="E19">
        <v>1000000479</v>
      </c>
      <c r="F19" t="s">
        <v>14</v>
      </c>
      <c r="G19" t="s">
        <v>26</v>
      </c>
      <c r="H19" t="s">
        <v>24</v>
      </c>
      <c r="I19">
        <v>0</v>
      </c>
      <c r="J19">
        <v>4890</v>
      </c>
      <c r="K19">
        <v>3840.78</v>
      </c>
      <c r="L19" s="12">
        <f t="shared" si="0"/>
        <v>0.21456441717791408</v>
      </c>
      <c r="M19">
        <v>4890</v>
      </c>
      <c r="N19">
        <v>4235.46</v>
      </c>
      <c r="O19">
        <v>4235.46</v>
      </c>
      <c r="P19" s="12">
        <f t="shared" si="1"/>
        <v>0.13385276073619631</v>
      </c>
      <c r="R19" s="15">
        <v>6</v>
      </c>
      <c r="S19">
        <v>5</v>
      </c>
      <c r="T19" t="s">
        <v>21</v>
      </c>
      <c r="U19" t="s">
        <v>75</v>
      </c>
      <c r="V19" s="5"/>
      <c r="W19">
        <v>5380</v>
      </c>
      <c r="X19" s="13">
        <f t="shared" si="2"/>
        <v>0.21273977695167284</v>
      </c>
      <c r="Y19" s="15">
        <f t="shared" si="5"/>
        <v>896.66666666666663</v>
      </c>
      <c r="Z19" s="12">
        <f>W19/M19</f>
        <v>1.1002044989775051</v>
      </c>
      <c r="AA19">
        <v>4235.46</v>
      </c>
      <c r="AB19" s="11">
        <v>4236</v>
      </c>
      <c r="AC19" s="12">
        <f>AA19/K19</f>
        <v>1.1027603767984628</v>
      </c>
      <c r="AG19" s="1"/>
      <c r="AH19" s="1"/>
      <c r="AL19" s="2"/>
      <c r="AM19" s="2"/>
      <c r="AQ19" s="3"/>
      <c r="AR19" s="3"/>
      <c r="AS19">
        <v>989</v>
      </c>
      <c r="AT19" t="s">
        <v>73</v>
      </c>
    </row>
    <row r="20" spans="1:46" x14ac:dyDescent="0.4">
      <c r="A20" t="s">
        <v>27</v>
      </c>
      <c r="B20" t="s">
        <v>27</v>
      </c>
      <c r="C20">
        <v>511245</v>
      </c>
      <c r="D20">
        <v>4582130775813</v>
      </c>
      <c r="E20">
        <v>1000000479</v>
      </c>
      <c r="F20" t="s">
        <v>14</v>
      </c>
      <c r="G20" t="s">
        <v>26</v>
      </c>
      <c r="H20" t="s">
        <v>24</v>
      </c>
      <c r="I20">
        <v>0</v>
      </c>
      <c r="J20">
        <v>4280</v>
      </c>
      <c r="K20">
        <v>3840.78</v>
      </c>
      <c r="L20" s="12">
        <f t="shared" si="0"/>
        <v>0.10262149532710275</v>
      </c>
      <c r="M20">
        <v>4280</v>
      </c>
      <c r="N20">
        <v>4235.46</v>
      </c>
      <c r="O20">
        <v>4235.46</v>
      </c>
      <c r="P20" s="12">
        <f t="shared" si="1"/>
        <v>1.0406542056074757E-2</v>
      </c>
      <c r="S20">
        <v>99</v>
      </c>
      <c r="T20" t="s">
        <v>21</v>
      </c>
      <c r="U20" t="s">
        <v>75</v>
      </c>
      <c r="V20" s="5"/>
      <c r="W20" t="s">
        <v>86</v>
      </c>
      <c r="X20" s="13" t="e">
        <f t="shared" si="2"/>
        <v>#VALUE!</v>
      </c>
      <c r="Y20" s="13"/>
      <c r="Z20" s="12" t="e">
        <f>W20/M20</f>
        <v>#VALUE!</v>
      </c>
      <c r="AA20">
        <v>4235.46</v>
      </c>
      <c r="AB20" s="11">
        <v>4236</v>
      </c>
      <c r="AC20" s="12">
        <f>AA20/K20</f>
        <v>1.1027603767984628</v>
      </c>
      <c r="AG20" s="1"/>
      <c r="AH20" s="1"/>
      <c r="AL20" s="2"/>
      <c r="AM20" s="2"/>
      <c r="AQ20" s="3"/>
      <c r="AR20" s="3"/>
      <c r="AS20">
        <v>989</v>
      </c>
      <c r="AT20" t="s">
        <v>73</v>
      </c>
    </row>
    <row r="21" spans="1:46" x14ac:dyDescent="0.4">
      <c r="A21" t="s">
        <v>27</v>
      </c>
      <c r="B21" t="s">
        <v>27</v>
      </c>
      <c r="C21">
        <v>511245</v>
      </c>
      <c r="D21">
        <v>4582130775813</v>
      </c>
      <c r="E21">
        <v>1000000479</v>
      </c>
      <c r="F21" t="s">
        <v>14</v>
      </c>
      <c r="G21" t="s">
        <v>26</v>
      </c>
      <c r="H21" t="s">
        <v>24</v>
      </c>
      <c r="I21">
        <v>0</v>
      </c>
      <c r="J21">
        <v>4280</v>
      </c>
      <c r="K21">
        <v>3840.78</v>
      </c>
      <c r="L21" s="12">
        <f t="shared" si="0"/>
        <v>0.10262149532710275</v>
      </c>
      <c r="M21">
        <v>4280</v>
      </c>
      <c r="N21">
        <v>4235.46</v>
      </c>
      <c r="O21">
        <v>4235.46</v>
      </c>
      <c r="P21" s="12">
        <f t="shared" si="1"/>
        <v>1.0406542056074757E-2</v>
      </c>
      <c r="S21">
        <v>99</v>
      </c>
      <c r="T21" t="s">
        <v>21</v>
      </c>
      <c r="U21" t="s">
        <v>75</v>
      </c>
      <c r="V21" s="5"/>
      <c r="W21" t="s">
        <v>86</v>
      </c>
      <c r="X21" s="13" t="e">
        <f t="shared" si="2"/>
        <v>#VALUE!</v>
      </c>
      <c r="Y21" s="13"/>
      <c r="Z21" s="12" t="e">
        <f>W21/M21</f>
        <v>#VALUE!</v>
      </c>
      <c r="AA21">
        <v>4235.46</v>
      </c>
      <c r="AB21" s="11">
        <v>4236</v>
      </c>
      <c r="AC21" s="12">
        <f>AA21/K21</f>
        <v>1.1027603767984628</v>
      </c>
      <c r="AG21" s="1"/>
      <c r="AH21" s="1"/>
      <c r="AL21" s="2"/>
      <c r="AM21" s="2"/>
      <c r="AQ21" s="3"/>
      <c r="AR21" s="3"/>
      <c r="AS21">
        <v>989</v>
      </c>
      <c r="AT21" t="s">
        <v>73</v>
      </c>
    </row>
    <row r="22" spans="1:46" x14ac:dyDescent="0.4">
      <c r="A22" t="s">
        <v>28</v>
      </c>
      <c r="B22" t="s">
        <v>28</v>
      </c>
      <c r="C22">
        <v>511254</v>
      </c>
      <c r="D22">
        <v>4582130775820</v>
      </c>
      <c r="E22">
        <v>1000000479</v>
      </c>
      <c r="F22" t="s">
        <v>14</v>
      </c>
      <c r="G22" t="s">
        <v>29</v>
      </c>
      <c r="H22" t="s">
        <v>30</v>
      </c>
      <c r="I22">
        <v>0</v>
      </c>
      <c r="J22">
        <v>648</v>
      </c>
      <c r="K22">
        <v>706.06</v>
      </c>
      <c r="L22" s="12">
        <f t="shared" si="0"/>
        <v>-8.9598765432098687E-2</v>
      </c>
      <c r="M22">
        <v>648</v>
      </c>
      <c r="N22">
        <v>779.62</v>
      </c>
      <c r="O22">
        <v>779.62</v>
      </c>
      <c r="P22" s="12">
        <f t="shared" si="1"/>
        <v>-0.20311728395061729</v>
      </c>
      <c r="S22">
        <v>99</v>
      </c>
      <c r="T22" t="s">
        <v>17</v>
      </c>
      <c r="U22" t="s">
        <v>75</v>
      </c>
      <c r="V22" s="5"/>
      <c r="W22" t="s">
        <v>86</v>
      </c>
      <c r="X22" s="13" t="e">
        <f t="shared" si="2"/>
        <v>#VALUE!</v>
      </c>
      <c r="Y22" s="13"/>
      <c r="Z22" s="12" t="e">
        <f>W22/M22</f>
        <v>#VALUE!</v>
      </c>
      <c r="AA22">
        <v>779.62</v>
      </c>
      <c r="AB22" s="11">
        <v>780</v>
      </c>
      <c r="AC22" s="12">
        <f>AA22/K22</f>
        <v>1.1041837804152623</v>
      </c>
      <c r="AG22" s="1"/>
      <c r="AH22" s="1"/>
      <c r="AL22" s="2"/>
      <c r="AM22" s="2"/>
      <c r="AQ22" s="3"/>
      <c r="AR22" s="3"/>
      <c r="AS22">
        <v>989</v>
      </c>
      <c r="AT22" t="s">
        <v>73</v>
      </c>
    </row>
    <row r="23" spans="1:46" x14ac:dyDescent="0.4">
      <c r="A23" t="s">
        <v>28</v>
      </c>
      <c r="B23" t="s">
        <v>28</v>
      </c>
      <c r="C23">
        <v>511254</v>
      </c>
      <c r="D23">
        <v>4582130775820</v>
      </c>
      <c r="E23">
        <v>1000000479</v>
      </c>
      <c r="F23" t="s">
        <v>14</v>
      </c>
      <c r="G23" t="s">
        <v>29</v>
      </c>
      <c r="H23" t="s">
        <v>30</v>
      </c>
      <c r="I23">
        <v>0</v>
      </c>
      <c r="J23">
        <v>648</v>
      </c>
      <c r="K23">
        <v>706.06</v>
      </c>
      <c r="L23" s="12">
        <f t="shared" si="0"/>
        <v>-8.9598765432098687E-2</v>
      </c>
      <c r="M23">
        <v>648</v>
      </c>
      <c r="N23">
        <v>779.62</v>
      </c>
      <c r="O23">
        <v>779.62</v>
      </c>
      <c r="P23" s="12">
        <f t="shared" si="1"/>
        <v>-0.20311728395061729</v>
      </c>
      <c r="S23">
        <v>99</v>
      </c>
      <c r="T23" t="s">
        <v>17</v>
      </c>
      <c r="U23" t="s">
        <v>75</v>
      </c>
      <c r="V23" s="5"/>
      <c r="W23" t="s">
        <v>86</v>
      </c>
      <c r="X23" s="13" t="e">
        <f t="shared" si="2"/>
        <v>#VALUE!</v>
      </c>
      <c r="Y23" s="13"/>
      <c r="Z23" s="12" t="e">
        <f>W23/M23</f>
        <v>#VALUE!</v>
      </c>
      <c r="AA23">
        <v>779.62</v>
      </c>
      <c r="AB23" s="11">
        <v>780</v>
      </c>
      <c r="AC23" s="12">
        <f>AA23/K23</f>
        <v>1.1041837804152623</v>
      </c>
      <c r="AG23" s="1"/>
      <c r="AH23" s="1"/>
      <c r="AL23" s="2"/>
      <c r="AM23" s="2"/>
      <c r="AQ23" s="3"/>
      <c r="AR23" s="3"/>
      <c r="AS23">
        <v>989</v>
      </c>
      <c r="AT23" t="s">
        <v>73</v>
      </c>
    </row>
    <row r="24" spans="1:46" x14ac:dyDescent="0.4">
      <c r="A24" t="s">
        <v>100</v>
      </c>
      <c r="B24" s="7">
        <v>511254</v>
      </c>
      <c r="C24" s="7">
        <v>511254</v>
      </c>
      <c r="D24">
        <v>4582130775820</v>
      </c>
      <c r="E24">
        <v>1000000479</v>
      </c>
      <c r="F24" t="s">
        <v>14</v>
      </c>
      <c r="G24" t="s">
        <v>29</v>
      </c>
      <c r="H24" t="s">
        <v>30</v>
      </c>
      <c r="I24">
        <v>0</v>
      </c>
      <c r="J24">
        <v>850</v>
      </c>
      <c r="K24">
        <v>706.06</v>
      </c>
      <c r="L24" s="12">
        <f t="shared" si="0"/>
        <v>0.1693411764705883</v>
      </c>
      <c r="M24">
        <v>850</v>
      </c>
      <c r="N24">
        <v>779.62</v>
      </c>
      <c r="O24">
        <v>779.62</v>
      </c>
      <c r="P24" s="12">
        <f t="shared" si="1"/>
        <v>8.2799999999999999E-2</v>
      </c>
      <c r="R24" s="15">
        <v>1</v>
      </c>
      <c r="S24">
        <v>5</v>
      </c>
      <c r="T24" t="s">
        <v>17</v>
      </c>
      <c r="U24" t="s">
        <v>75</v>
      </c>
      <c r="V24" s="5">
        <f>ROUND(J24*AC24,0)</f>
        <v>939</v>
      </c>
      <c r="W24">
        <v>990</v>
      </c>
      <c r="X24" s="13">
        <f t="shared" si="2"/>
        <v>0.2125050505050505</v>
      </c>
      <c r="Y24" s="15">
        <f t="shared" ref="Y24:Y27" si="6">W24/R24</f>
        <v>990</v>
      </c>
      <c r="Z24" s="12">
        <f>W24/M24</f>
        <v>1.1647058823529413</v>
      </c>
      <c r="AA24">
        <v>779.62</v>
      </c>
      <c r="AB24" s="11">
        <v>780</v>
      </c>
      <c r="AC24" s="12">
        <f>AA24/K24</f>
        <v>1.1041837804152623</v>
      </c>
      <c r="AD24">
        <v>596223</v>
      </c>
      <c r="AE24">
        <v>818</v>
      </c>
      <c r="AF24">
        <v>818</v>
      </c>
      <c r="AG24" s="1">
        <f>AE24</f>
        <v>818</v>
      </c>
      <c r="AH24" s="1">
        <f>AF24</f>
        <v>818</v>
      </c>
      <c r="AI24">
        <v>5175758</v>
      </c>
      <c r="AJ24">
        <v>818</v>
      </c>
      <c r="AK24">
        <v>818</v>
      </c>
      <c r="AL24" s="2">
        <f>AJ24</f>
        <v>818</v>
      </c>
      <c r="AM24" s="2">
        <f>AK24</f>
        <v>818</v>
      </c>
      <c r="AN24">
        <v>81516452</v>
      </c>
      <c r="AO24">
        <v>874</v>
      </c>
      <c r="AP24">
        <v>874</v>
      </c>
      <c r="AQ24" s="3">
        <f>AO24/120*100</f>
        <v>728.33333333333337</v>
      </c>
      <c r="AR24" s="3">
        <f>AP24/120*100</f>
        <v>728.33333333333337</v>
      </c>
      <c r="AS24">
        <v>989</v>
      </c>
      <c r="AT24" t="s">
        <v>73</v>
      </c>
    </row>
    <row r="25" spans="1:46" x14ac:dyDescent="0.4">
      <c r="A25" t="s">
        <v>100</v>
      </c>
      <c r="B25">
        <v>511254</v>
      </c>
      <c r="C25">
        <v>511254</v>
      </c>
      <c r="D25">
        <v>4582130775820</v>
      </c>
      <c r="E25">
        <v>1000000479</v>
      </c>
      <c r="F25" t="s">
        <v>14</v>
      </c>
      <c r="G25" t="s">
        <v>29</v>
      </c>
      <c r="H25" t="s">
        <v>30</v>
      </c>
      <c r="I25">
        <v>0</v>
      </c>
      <c r="J25">
        <v>850</v>
      </c>
      <c r="K25">
        <v>706.06</v>
      </c>
      <c r="L25" s="12">
        <f t="shared" si="0"/>
        <v>0.1693411764705883</v>
      </c>
      <c r="M25">
        <v>850</v>
      </c>
      <c r="N25">
        <v>779.62</v>
      </c>
      <c r="O25">
        <v>779.62</v>
      </c>
      <c r="P25" s="12">
        <f t="shared" si="1"/>
        <v>8.2799999999999999E-2</v>
      </c>
      <c r="R25" s="15">
        <v>1</v>
      </c>
      <c r="S25">
        <v>5</v>
      </c>
      <c r="T25" t="s">
        <v>17</v>
      </c>
      <c r="U25" t="s">
        <v>75</v>
      </c>
      <c r="V25" s="5"/>
      <c r="W25">
        <v>990</v>
      </c>
      <c r="X25" s="13">
        <f t="shared" si="2"/>
        <v>0.2125050505050505</v>
      </c>
      <c r="Y25" s="15">
        <f t="shared" si="6"/>
        <v>990</v>
      </c>
      <c r="Z25" s="12">
        <f>W25/M25</f>
        <v>1.1647058823529413</v>
      </c>
      <c r="AA25">
        <v>779.62</v>
      </c>
      <c r="AB25" s="11">
        <v>780</v>
      </c>
      <c r="AC25" s="12">
        <f>AA25/K25</f>
        <v>1.1041837804152623</v>
      </c>
      <c r="AG25" s="1"/>
      <c r="AH25" s="1"/>
      <c r="AL25" s="2"/>
      <c r="AM25" s="2"/>
      <c r="AQ25" s="3"/>
      <c r="AR25" s="3"/>
      <c r="AS25">
        <v>989</v>
      </c>
      <c r="AT25" t="s">
        <v>73</v>
      </c>
    </row>
    <row r="26" spans="1:46" x14ac:dyDescent="0.4">
      <c r="A26" t="s">
        <v>101</v>
      </c>
      <c r="B26" s="7">
        <v>511353</v>
      </c>
      <c r="C26" s="7">
        <v>511353</v>
      </c>
      <c r="D26">
        <v>4582130775837</v>
      </c>
      <c r="E26">
        <v>1000000479</v>
      </c>
      <c r="F26" t="s">
        <v>14</v>
      </c>
      <c r="G26" t="s">
        <v>31</v>
      </c>
      <c r="H26" t="s">
        <v>30</v>
      </c>
      <c r="I26">
        <v>0</v>
      </c>
      <c r="J26">
        <v>4990</v>
      </c>
      <c r="K26">
        <v>4236.3599999999997</v>
      </c>
      <c r="L26" s="12">
        <f t="shared" si="0"/>
        <v>0.15103006012024053</v>
      </c>
      <c r="M26">
        <v>4990</v>
      </c>
      <c r="N26">
        <v>4677.72</v>
      </c>
      <c r="O26">
        <v>4677.72</v>
      </c>
      <c r="P26" s="12">
        <f t="shared" si="1"/>
        <v>6.2581162324649248E-2</v>
      </c>
      <c r="R26" s="15">
        <v>6</v>
      </c>
      <c r="S26">
        <v>5</v>
      </c>
      <c r="T26" t="s">
        <v>21</v>
      </c>
      <c r="U26" t="s">
        <v>75</v>
      </c>
      <c r="V26" s="5">
        <f>ROUND(J26*AC26,0)</f>
        <v>5510</v>
      </c>
      <c r="W26">
        <v>5610</v>
      </c>
      <c r="X26" s="13">
        <f t="shared" si="2"/>
        <v>0.16618181818181813</v>
      </c>
      <c r="Y26" s="15">
        <f t="shared" si="6"/>
        <v>935</v>
      </c>
      <c r="Z26" s="12">
        <f>W26/M26</f>
        <v>1.1242484969939879</v>
      </c>
      <c r="AA26">
        <v>4677.72</v>
      </c>
      <c r="AB26" s="11">
        <v>4680</v>
      </c>
      <c r="AC26" s="12">
        <f>AA26/K26</f>
        <v>1.1041837804152623</v>
      </c>
      <c r="AD26">
        <v>126423</v>
      </c>
      <c r="AE26">
        <v>4850</v>
      </c>
      <c r="AF26">
        <v>4850</v>
      </c>
      <c r="AG26" s="1">
        <f>AE26</f>
        <v>4850</v>
      </c>
      <c r="AH26" s="1">
        <f>AF26</f>
        <v>4850</v>
      </c>
      <c r="AI26">
        <v>9105795</v>
      </c>
      <c r="AJ26">
        <v>4494</v>
      </c>
      <c r="AK26">
        <v>4494</v>
      </c>
      <c r="AL26" s="2">
        <f>AJ26</f>
        <v>4494</v>
      </c>
      <c r="AM26" s="2">
        <f>AK26</f>
        <v>4494</v>
      </c>
      <c r="AN26">
        <v>81516780</v>
      </c>
      <c r="AO26">
        <v>4954</v>
      </c>
      <c r="AP26">
        <v>4954</v>
      </c>
      <c r="AQ26" s="3">
        <f>AO26/720*600</f>
        <v>4128.333333333333</v>
      </c>
      <c r="AR26" s="3">
        <f>AP26/720*600</f>
        <v>4128.333333333333</v>
      </c>
      <c r="AS26">
        <v>989</v>
      </c>
      <c r="AT26" t="s">
        <v>73</v>
      </c>
    </row>
    <row r="27" spans="1:46" x14ac:dyDescent="0.4">
      <c r="A27" t="s">
        <v>101</v>
      </c>
      <c r="B27">
        <v>511353</v>
      </c>
      <c r="C27">
        <v>511353</v>
      </c>
      <c r="D27">
        <v>4582130775837</v>
      </c>
      <c r="E27">
        <v>1000000479</v>
      </c>
      <c r="F27" t="s">
        <v>14</v>
      </c>
      <c r="G27" t="s">
        <v>31</v>
      </c>
      <c r="H27" t="s">
        <v>30</v>
      </c>
      <c r="I27">
        <v>0</v>
      </c>
      <c r="J27">
        <v>4990</v>
      </c>
      <c r="K27">
        <v>4236.3599999999997</v>
      </c>
      <c r="L27" s="12">
        <f t="shared" si="0"/>
        <v>0.15103006012024053</v>
      </c>
      <c r="M27">
        <v>4990</v>
      </c>
      <c r="N27">
        <v>4677.72</v>
      </c>
      <c r="O27">
        <v>4677.72</v>
      </c>
      <c r="P27" s="12">
        <f t="shared" si="1"/>
        <v>6.2581162324649248E-2</v>
      </c>
      <c r="R27" s="15">
        <v>6</v>
      </c>
      <c r="S27">
        <v>5</v>
      </c>
      <c r="T27" t="s">
        <v>21</v>
      </c>
      <c r="U27" t="s">
        <v>75</v>
      </c>
      <c r="V27" s="5"/>
      <c r="W27">
        <v>5610</v>
      </c>
      <c r="X27" s="13">
        <f t="shared" si="2"/>
        <v>0.16618181818181813</v>
      </c>
      <c r="Y27" s="15">
        <f t="shared" si="6"/>
        <v>935</v>
      </c>
      <c r="Z27" s="12">
        <f>W27/M27</f>
        <v>1.1242484969939879</v>
      </c>
      <c r="AA27">
        <v>4677.72</v>
      </c>
      <c r="AB27" s="11">
        <v>4680</v>
      </c>
      <c r="AC27" s="12">
        <f>AA27/K27</f>
        <v>1.1041837804152623</v>
      </c>
      <c r="AG27" s="1"/>
      <c r="AH27" s="1"/>
      <c r="AL27" s="2"/>
      <c r="AM27" s="2"/>
      <c r="AQ27" s="3"/>
      <c r="AR27" s="3"/>
      <c r="AS27">
        <v>989</v>
      </c>
      <c r="AT27" t="s">
        <v>73</v>
      </c>
    </row>
    <row r="28" spans="1:46" x14ac:dyDescent="0.4">
      <c r="A28" t="s">
        <v>32</v>
      </c>
      <c r="B28" t="s">
        <v>32</v>
      </c>
      <c r="C28">
        <v>511353</v>
      </c>
      <c r="D28">
        <v>4582130775837</v>
      </c>
      <c r="E28">
        <v>1000000479</v>
      </c>
      <c r="F28" t="s">
        <v>14</v>
      </c>
      <c r="G28" t="s">
        <v>31</v>
      </c>
      <c r="H28" t="s">
        <v>30</v>
      </c>
      <c r="I28">
        <v>0</v>
      </c>
      <c r="J28">
        <v>4180</v>
      </c>
      <c r="K28">
        <v>4236.3599999999997</v>
      </c>
      <c r="L28" s="12">
        <f t="shared" si="0"/>
        <v>-1.3483253588516668E-2</v>
      </c>
      <c r="M28">
        <v>4180</v>
      </c>
      <c r="N28">
        <v>4677.72</v>
      </c>
      <c r="O28">
        <v>4677.72</v>
      </c>
      <c r="P28" s="12">
        <f t="shared" si="1"/>
        <v>-0.11907177033492829</v>
      </c>
      <c r="S28">
        <v>99</v>
      </c>
      <c r="T28" t="s">
        <v>21</v>
      </c>
      <c r="U28" t="s">
        <v>75</v>
      </c>
      <c r="V28" s="5"/>
      <c r="W28" t="s">
        <v>86</v>
      </c>
      <c r="X28" s="13" t="e">
        <f t="shared" si="2"/>
        <v>#VALUE!</v>
      </c>
      <c r="Y28" s="13"/>
      <c r="Z28" s="12" t="e">
        <f>W28/M28</f>
        <v>#VALUE!</v>
      </c>
      <c r="AA28">
        <v>4677.72</v>
      </c>
      <c r="AB28" s="11">
        <v>4680</v>
      </c>
      <c r="AC28" s="12">
        <f>AA28/K28</f>
        <v>1.1041837804152623</v>
      </c>
      <c r="AG28" s="1"/>
      <c r="AH28" s="1"/>
      <c r="AL28" s="2"/>
      <c r="AM28" s="2"/>
      <c r="AQ28" s="3"/>
      <c r="AR28" s="3"/>
      <c r="AS28">
        <v>989</v>
      </c>
      <c r="AT28" t="s">
        <v>73</v>
      </c>
    </row>
    <row r="29" spans="1:46" x14ac:dyDescent="0.4">
      <c r="A29" t="s">
        <v>32</v>
      </c>
      <c r="B29" t="s">
        <v>32</v>
      </c>
      <c r="C29">
        <v>511353</v>
      </c>
      <c r="D29">
        <v>4582130775837</v>
      </c>
      <c r="E29">
        <v>1000000479</v>
      </c>
      <c r="F29" t="s">
        <v>14</v>
      </c>
      <c r="G29" t="s">
        <v>31</v>
      </c>
      <c r="H29" t="s">
        <v>30</v>
      </c>
      <c r="I29">
        <v>0</v>
      </c>
      <c r="J29">
        <v>4180</v>
      </c>
      <c r="K29">
        <v>4236.3599999999997</v>
      </c>
      <c r="L29" s="12">
        <f t="shared" si="0"/>
        <v>-1.3483253588516668E-2</v>
      </c>
      <c r="M29">
        <v>4180</v>
      </c>
      <c r="N29">
        <v>4677.72</v>
      </c>
      <c r="O29">
        <v>4677.72</v>
      </c>
      <c r="P29" s="12">
        <f t="shared" si="1"/>
        <v>-0.11907177033492829</v>
      </c>
      <c r="S29">
        <v>99</v>
      </c>
      <c r="T29" t="s">
        <v>21</v>
      </c>
      <c r="U29" t="s">
        <v>75</v>
      </c>
      <c r="V29" s="5"/>
      <c r="W29" t="s">
        <v>86</v>
      </c>
      <c r="X29" s="13" t="e">
        <f t="shared" si="2"/>
        <v>#VALUE!</v>
      </c>
      <c r="Y29" s="13"/>
      <c r="Z29" s="12" t="e">
        <f>W29/M29</f>
        <v>#VALUE!</v>
      </c>
      <c r="AA29">
        <v>4677.72</v>
      </c>
      <c r="AB29" s="11">
        <v>4680</v>
      </c>
      <c r="AC29" s="12">
        <f>AA29/K29</f>
        <v>1.1041837804152623</v>
      </c>
      <c r="AG29" s="1"/>
      <c r="AH29" s="1"/>
      <c r="AL29" s="2"/>
      <c r="AM29" s="2"/>
      <c r="AQ29" s="3"/>
      <c r="AR29" s="3"/>
      <c r="AS29">
        <v>989</v>
      </c>
      <c r="AT29" t="s">
        <v>73</v>
      </c>
    </row>
    <row r="30" spans="1:46" x14ac:dyDescent="0.4">
      <c r="A30" t="s">
        <v>102</v>
      </c>
      <c r="B30" s="7">
        <v>210395</v>
      </c>
      <c r="C30" s="7">
        <v>210395</v>
      </c>
      <c r="D30">
        <v>4582130779392</v>
      </c>
      <c r="E30">
        <v>1000000479</v>
      </c>
      <c r="F30" t="s">
        <v>14</v>
      </c>
      <c r="G30" t="s">
        <v>67</v>
      </c>
      <c r="H30" t="s">
        <v>49</v>
      </c>
      <c r="I30">
        <v>0</v>
      </c>
      <c r="J30">
        <v>118</v>
      </c>
      <c r="K30">
        <v>73.89</v>
      </c>
      <c r="L30" s="12">
        <f t="shared" si="0"/>
        <v>0.37381355932203392</v>
      </c>
      <c r="M30">
        <v>118</v>
      </c>
      <c r="N30">
        <v>86.4</v>
      </c>
      <c r="O30">
        <v>3456</v>
      </c>
      <c r="P30" s="12">
        <f t="shared" si="1"/>
        <v>0.26779661016949147</v>
      </c>
      <c r="R30" s="15">
        <v>1</v>
      </c>
      <c r="S30">
        <v>5</v>
      </c>
      <c r="T30" t="s">
        <v>35</v>
      </c>
      <c r="U30" t="s">
        <v>75</v>
      </c>
      <c r="V30" s="5">
        <f>ROUND(J30*AC30,0)</f>
        <v>138</v>
      </c>
      <c r="W30">
        <v>138</v>
      </c>
      <c r="X30" s="13">
        <f t="shared" si="2"/>
        <v>0.37391304347826082</v>
      </c>
      <c r="Y30" s="15">
        <f t="shared" ref="Y30:Y57" si="7">W30/R30</f>
        <v>138</v>
      </c>
      <c r="Z30" s="12">
        <f>W30/M30</f>
        <v>1.1694915254237288</v>
      </c>
      <c r="AA30">
        <v>86.4</v>
      </c>
      <c r="AB30" s="11">
        <v>86.5</v>
      </c>
      <c r="AC30" s="12">
        <f>AA30/K30</f>
        <v>1.169305724725944</v>
      </c>
      <c r="AD30" t="s">
        <v>86</v>
      </c>
      <c r="AE30" t="s">
        <v>86</v>
      </c>
      <c r="AF30" t="s">
        <v>92</v>
      </c>
      <c r="AG30" s="1" t="str">
        <f>AE30</f>
        <v>-</v>
      </c>
      <c r="AH30" s="1" t="str">
        <f>AF30</f>
        <v>-</v>
      </c>
      <c r="AI30">
        <v>6190408</v>
      </c>
      <c r="AJ30">
        <v>114</v>
      </c>
      <c r="AK30">
        <v>114</v>
      </c>
      <c r="AL30" s="2">
        <f>AJ30</f>
        <v>114</v>
      </c>
      <c r="AM30" s="2">
        <f>AK30</f>
        <v>114</v>
      </c>
      <c r="AN30" t="s">
        <v>86</v>
      </c>
      <c r="AO30" t="s">
        <v>86</v>
      </c>
      <c r="AP30" t="s">
        <v>92</v>
      </c>
      <c r="AQ30" s="3" t="str">
        <f>AO30</f>
        <v>-</v>
      </c>
      <c r="AR30" s="3" t="str">
        <f>AP30</f>
        <v>-</v>
      </c>
      <c r="AS30">
        <v>989</v>
      </c>
      <c r="AT30" t="s">
        <v>73</v>
      </c>
    </row>
    <row r="31" spans="1:46" x14ac:dyDescent="0.4">
      <c r="A31" t="s">
        <v>102</v>
      </c>
      <c r="B31">
        <v>210395</v>
      </c>
      <c r="C31">
        <v>210395</v>
      </c>
      <c r="D31">
        <v>4582130779392</v>
      </c>
      <c r="E31">
        <v>1000000479</v>
      </c>
      <c r="F31" t="s">
        <v>14</v>
      </c>
      <c r="G31" t="s">
        <v>67</v>
      </c>
      <c r="H31" t="s">
        <v>49</v>
      </c>
      <c r="I31">
        <v>0</v>
      </c>
      <c r="J31">
        <v>118</v>
      </c>
      <c r="K31">
        <v>73.89</v>
      </c>
      <c r="L31" s="12">
        <f t="shared" si="0"/>
        <v>0.37381355932203392</v>
      </c>
      <c r="M31">
        <v>118</v>
      </c>
      <c r="N31">
        <v>86.4</v>
      </c>
      <c r="O31">
        <v>3456</v>
      </c>
      <c r="P31" s="12">
        <f t="shared" si="1"/>
        <v>0.26779661016949147</v>
      </c>
      <c r="R31" s="15">
        <v>1</v>
      </c>
      <c r="S31">
        <v>5</v>
      </c>
      <c r="T31" t="s">
        <v>35</v>
      </c>
      <c r="U31" t="s">
        <v>75</v>
      </c>
      <c r="V31" s="5"/>
      <c r="W31">
        <v>138</v>
      </c>
      <c r="X31" s="13">
        <f t="shared" si="2"/>
        <v>0.37391304347826082</v>
      </c>
      <c r="Y31" s="15">
        <f t="shared" si="7"/>
        <v>138</v>
      </c>
      <c r="Z31" s="12">
        <f>W31/M31</f>
        <v>1.1694915254237288</v>
      </c>
      <c r="AA31">
        <v>86.4</v>
      </c>
      <c r="AB31" s="11">
        <v>86.5</v>
      </c>
      <c r="AC31" s="12">
        <f>AA31/K31</f>
        <v>1.169305724725944</v>
      </c>
      <c r="AG31" s="1"/>
      <c r="AH31" s="1"/>
      <c r="AL31" s="2"/>
      <c r="AM31" s="2"/>
      <c r="AQ31" s="3"/>
      <c r="AR31" s="3"/>
      <c r="AS31">
        <v>989</v>
      </c>
      <c r="AT31" t="s">
        <v>73</v>
      </c>
    </row>
    <row r="32" spans="1:46" x14ac:dyDescent="0.4">
      <c r="A32" t="s">
        <v>103</v>
      </c>
      <c r="B32" s="7">
        <v>210398</v>
      </c>
      <c r="C32" s="7">
        <v>210395</v>
      </c>
      <c r="D32">
        <v>4582130779392</v>
      </c>
      <c r="E32">
        <v>1000000479</v>
      </c>
      <c r="F32" t="s">
        <v>14</v>
      </c>
      <c r="G32" t="s">
        <v>66</v>
      </c>
      <c r="H32" t="s">
        <v>49</v>
      </c>
      <c r="I32">
        <v>0</v>
      </c>
      <c r="J32">
        <v>1101</v>
      </c>
      <c r="K32">
        <v>738.9</v>
      </c>
      <c r="L32" s="12">
        <f t="shared" si="0"/>
        <v>0.32888283378746597</v>
      </c>
      <c r="M32">
        <v>1101</v>
      </c>
      <c r="N32">
        <v>864</v>
      </c>
      <c r="O32">
        <v>3456</v>
      </c>
      <c r="P32" s="12">
        <f t="shared" si="1"/>
        <v>0.21525885558583105</v>
      </c>
      <c r="R32" s="15">
        <v>10</v>
      </c>
      <c r="S32">
        <v>8</v>
      </c>
      <c r="T32" t="s">
        <v>21</v>
      </c>
      <c r="U32" t="s">
        <v>75</v>
      </c>
      <c r="V32" s="5">
        <f>ROUND(J32*AC32,0)</f>
        <v>1287</v>
      </c>
      <c r="W32">
        <v>1270</v>
      </c>
      <c r="X32" s="13">
        <f t="shared" si="2"/>
        <v>0.31968503937007875</v>
      </c>
      <c r="Y32" s="15">
        <f t="shared" si="7"/>
        <v>127</v>
      </c>
      <c r="Z32" s="12">
        <f>W32/M32</f>
        <v>1.1534968210717529</v>
      </c>
      <c r="AA32">
        <v>864</v>
      </c>
      <c r="AB32" s="11">
        <v>865</v>
      </c>
      <c r="AC32" s="12">
        <f>AA32/K32</f>
        <v>1.169305724725944</v>
      </c>
      <c r="AD32" t="s">
        <v>86</v>
      </c>
      <c r="AE32" t="s">
        <v>86</v>
      </c>
      <c r="AF32" t="s">
        <v>92</v>
      </c>
      <c r="AG32" s="1" t="str">
        <f>AE32</f>
        <v>-</v>
      </c>
      <c r="AH32" s="1" t="str">
        <f>AF32</f>
        <v>-</v>
      </c>
      <c r="AI32">
        <v>9107616</v>
      </c>
      <c r="AJ32">
        <v>1080</v>
      </c>
      <c r="AK32">
        <v>1080</v>
      </c>
      <c r="AL32" s="2">
        <f>AJ32</f>
        <v>1080</v>
      </c>
      <c r="AM32" s="2">
        <f>AK32</f>
        <v>1080</v>
      </c>
      <c r="AN32" t="s">
        <v>86</v>
      </c>
      <c r="AO32" t="s">
        <v>86</v>
      </c>
      <c r="AP32" t="s">
        <v>92</v>
      </c>
      <c r="AQ32" s="3" t="str">
        <f>AO32</f>
        <v>-</v>
      </c>
      <c r="AR32" s="3" t="str">
        <f>AP32</f>
        <v>-</v>
      </c>
      <c r="AS32">
        <v>989</v>
      </c>
      <c r="AT32" t="s">
        <v>73</v>
      </c>
    </row>
    <row r="33" spans="1:46" x14ac:dyDescent="0.4">
      <c r="A33" t="s">
        <v>103</v>
      </c>
      <c r="B33">
        <v>210398</v>
      </c>
      <c r="C33">
        <v>210395</v>
      </c>
      <c r="D33">
        <v>4582130779392</v>
      </c>
      <c r="E33">
        <v>1000000479</v>
      </c>
      <c r="F33" t="s">
        <v>14</v>
      </c>
      <c r="G33" t="s">
        <v>66</v>
      </c>
      <c r="H33" t="s">
        <v>49</v>
      </c>
      <c r="I33">
        <v>0</v>
      </c>
      <c r="J33">
        <v>1101</v>
      </c>
      <c r="K33">
        <v>738.9</v>
      </c>
      <c r="L33" s="12">
        <f t="shared" si="0"/>
        <v>0.32888283378746597</v>
      </c>
      <c r="M33">
        <v>1101</v>
      </c>
      <c r="N33">
        <v>864</v>
      </c>
      <c r="O33">
        <v>3456</v>
      </c>
      <c r="P33" s="12">
        <f t="shared" si="1"/>
        <v>0.21525885558583105</v>
      </c>
      <c r="R33" s="15">
        <v>10</v>
      </c>
      <c r="S33">
        <v>8</v>
      </c>
      <c r="T33" t="s">
        <v>21</v>
      </c>
      <c r="U33" t="s">
        <v>75</v>
      </c>
      <c r="V33" s="5"/>
      <c r="W33">
        <v>1270</v>
      </c>
      <c r="X33" s="13">
        <f t="shared" si="2"/>
        <v>0.31968503937007875</v>
      </c>
      <c r="Y33" s="15">
        <f t="shared" si="7"/>
        <v>127</v>
      </c>
      <c r="Z33" s="12">
        <f>W33/M33</f>
        <v>1.1534968210717529</v>
      </c>
      <c r="AA33">
        <v>864</v>
      </c>
      <c r="AB33" s="11">
        <v>865</v>
      </c>
      <c r="AC33" s="12">
        <f>AA33/K33</f>
        <v>1.169305724725944</v>
      </c>
      <c r="AG33" s="1"/>
      <c r="AH33" s="1"/>
      <c r="AL33" s="2"/>
      <c r="AM33" s="2"/>
      <c r="AQ33" s="3"/>
      <c r="AR33" s="3"/>
      <c r="AS33">
        <v>989</v>
      </c>
      <c r="AT33" t="s">
        <v>73</v>
      </c>
    </row>
    <row r="34" spans="1:46" x14ac:dyDescent="0.4">
      <c r="A34" t="s">
        <v>104</v>
      </c>
      <c r="B34" s="7">
        <v>210413</v>
      </c>
      <c r="C34" s="7">
        <v>210413</v>
      </c>
      <c r="D34">
        <v>4582130779552</v>
      </c>
      <c r="E34">
        <v>1000000479</v>
      </c>
      <c r="F34" t="s">
        <v>14</v>
      </c>
      <c r="G34" t="s">
        <v>48</v>
      </c>
      <c r="H34" t="s">
        <v>49</v>
      </c>
      <c r="I34">
        <v>0</v>
      </c>
      <c r="J34">
        <v>4202</v>
      </c>
      <c r="K34">
        <v>2955.6</v>
      </c>
      <c r="L34" s="12">
        <f t="shared" si="0"/>
        <v>0.29662065683008093</v>
      </c>
      <c r="M34">
        <v>4202</v>
      </c>
      <c r="N34">
        <v>3456</v>
      </c>
      <c r="O34">
        <v>3456</v>
      </c>
      <c r="P34" s="12">
        <f t="shared" si="1"/>
        <v>0.17753450737743931</v>
      </c>
      <c r="R34" s="15">
        <v>40</v>
      </c>
      <c r="S34">
        <v>5</v>
      </c>
      <c r="T34" t="s">
        <v>45</v>
      </c>
      <c r="U34" t="s">
        <v>75</v>
      </c>
      <c r="V34" s="5">
        <f>ROUND(J34*AC34,0)</f>
        <v>4913</v>
      </c>
      <c r="W34">
        <v>4890</v>
      </c>
      <c r="X34" s="13">
        <f t="shared" si="2"/>
        <v>0.29325153374233126</v>
      </c>
      <c r="Y34" s="15">
        <f t="shared" si="7"/>
        <v>122.25</v>
      </c>
      <c r="Z34" s="12">
        <f>W34/M34</f>
        <v>1.1637315564017134</v>
      </c>
      <c r="AA34">
        <v>3456</v>
      </c>
      <c r="AB34" s="11">
        <v>3460</v>
      </c>
      <c r="AC34" s="12">
        <f>AA34/K34</f>
        <v>1.169305724725944</v>
      </c>
      <c r="AD34" t="s">
        <v>86</v>
      </c>
      <c r="AE34" t="s">
        <v>86</v>
      </c>
      <c r="AF34" t="s">
        <v>92</v>
      </c>
      <c r="AG34" s="1" t="str">
        <f>AE34</f>
        <v>-</v>
      </c>
      <c r="AH34" s="1" t="str">
        <f>AF34</f>
        <v>-</v>
      </c>
      <c r="AI34">
        <v>9115237</v>
      </c>
      <c r="AJ34">
        <v>8240</v>
      </c>
      <c r="AK34">
        <v>8240</v>
      </c>
      <c r="AL34" s="2">
        <f>AJ34/80*40</f>
        <v>4120</v>
      </c>
      <c r="AM34" s="2">
        <f>AK34/80*40</f>
        <v>4120</v>
      </c>
      <c r="AN34" t="s">
        <v>86</v>
      </c>
      <c r="AO34" t="s">
        <v>86</v>
      </c>
      <c r="AP34" t="s">
        <v>92</v>
      </c>
      <c r="AQ34" s="3" t="str">
        <f>AO34</f>
        <v>-</v>
      </c>
      <c r="AR34" s="3" t="str">
        <f>AP34</f>
        <v>-</v>
      </c>
      <c r="AS34">
        <v>989</v>
      </c>
      <c r="AT34" t="s">
        <v>73</v>
      </c>
    </row>
    <row r="35" spans="1:46" x14ac:dyDescent="0.4">
      <c r="A35" t="s">
        <v>104</v>
      </c>
      <c r="B35">
        <v>210413</v>
      </c>
      <c r="C35">
        <v>210413</v>
      </c>
      <c r="D35">
        <v>4582130779552</v>
      </c>
      <c r="E35">
        <v>1000000479</v>
      </c>
      <c r="F35" t="s">
        <v>14</v>
      </c>
      <c r="G35" t="s">
        <v>48</v>
      </c>
      <c r="H35" t="s">
        <v>49</v>
      </c>
      <c r="I35">
        <v>0</v>
      </c>
      <c r="J35">
        <v>4202</v>
      </c>
      <c r="K35">
        <v>2955.6</v>
      </c>
      <c r="L35" s="12">
        <f t="shared" si="0"/>
        <v>0.29662065683008093</v>
      </c>
      <c r="M35">
        <v>4202</v>
      </c>
      <c r="N35">
        <v>3456</v>
      </c>
      <c r="O35">
        <v>3456</v>
      </c>
      <c r="P35" s="12">
        <f t="shared" si="1"/>
        <v>0.17753450737743931</v>
      </c>
      <c r="R35" s="15">
        <v>40</v>
      </c>
      <c r="S35">
        <v>5</v>
      </c>
      <c r="T35" t="s">
        <v>45</v>
      </c>
      <c r="U35" t="s">
        <v>75</v>
      </c>
      <c r="V35" s="5"/>
      <c r="W35">
        <v>4890</v>
      </c>
      <c r="X35" s="13">
        <f t="shared" si="2"/>
        <v>0.29325153374233126</v>
      </c>
      <c r="Y35" s="15">
        <f t="shared" si="7"/>
        <v>122.25</v>
      </c>
      <c r="Z35" s="12">
        <f>W35/M35</f>
        <v>1.1637315564017134</v>
      </c>
      <c r="AA35">
        <v>3456</v>
      </c>
      <c r="AB35" s="11">
        <v>3460</v>
      </c>
      <c r="AC35" s="12">
        <f>AA35/K35</f>
        <v>1.169305724725944</v>
      </c>
      <c r="AG35" s="1"/>
      <c r="AH35" s="1"/>
      <c r="AL35" s="2"/>
      <c r="AM35" s="2"/>
      <c r="AQ35" s="3"/>
      <c r="AR35" s="3"/>
      <c r="AS35">
        <v>989</v>
      </c>
      <c r="AT35" t="s">
        <v>73</v>
      </c>
    </row>
    <row r="36" spans="1:46" x14ac:dyDescent="0.4">
      <c r="A36" t="s">
        <v>105</v>
      </c>
      <c r="B36" s="7">
        <v>210374</v>
      </c>
      <c r="C36" s="7">
        <v>210374</v>
      </c>
      <c r="D36">
        <v>4582130779378</v>
      </c>
      <c r="E36">
        <v>1000000479</v>
      </c>
      <c r="F36" t="s">
        <v>14</v>
      </c>
      <c r="G36" t="s">
        <v>53</v>
      </c>
      <c r="H36" t="s">
        <v>47</v>
      </c>
      <c r="I36">
        <v>0</v>
      </c>
      <c r="J36">
        <v>118</v>
      </c>
      <c r="K36">
        <v>73.89</v>
      </c>
      <c r="L36" s="12">
        <f t="shared" si="0"/>
        <v>0.37381355932203392</v>
      </c>
      <c r="M36">
        <v>118</v>
      </c>
      <c r="N36">
        <v>86.4</v>
      </c>
      <c r="O36">
        <v>3456</v>
      </c>
      <c r="P36" s="12">
        <f t="shared" si="1"/>
        <v>0.26779661016949147</v>
      </c>
      <c r="R36" s="15">
        <v>1</v>
      </c>
      <c r="S36">
        <v>5</v>
      </c>
      <c r="T36" t="s">
        <v>35</v>
      </c>
      <c r="U36" t="s">
        <v>75</v>
      </c>
      <c r="V36" s="5">
        <f>ROUND(J36*AC36,0)</f>
        <v>138</v>
      </c>
      <c r="W36">
        <v>138</v>
      </c>
      <c r="X36" s="13">
        <f t="shared" si="2"/>
        <v>0.37391304347826082</v>
      </c>
      <c r="Y36" s="15">
        <f t="shared" si="7"/>
        <v>138</v>
      </c>
      <c r="Z36" s="12">
        <f>W36/M36</f>
        <v>1.1694915254237288</v>
      </c>
      <c r="AA36">
        <v>86.4</v>
      </c>
      <c r="AB36" s="11">
        <v>86.5</v>
      </c>
      <c r="AC36" s="12">
        <f>AA36/K36</f>
        <v>1.169305724725944</v>
      </c>
      <c r="AD36">
        <v>8470685</v>
      </c>
      <c r="AE36">
        <v>114</v>
      </c>
      <c r="AF36">
        <v>114</v>
      </c>
      <c r="AG36" s="1">
        <f>AE36</f>
        <v>114</v>
      </c>
      <c r="AH36" s="1">
        <f>AF36</f>
        <v>114</v>
      </c>
      <c r="AI36">
        <v>2192208</v>
      </c>
      <c r="AJ36">
        <v>114</v>
      </c>
      <c r="AK36">
        <v>114</v>
      </c>
      <c r="AL36" s="2">
        <f>AJ36</f>
        <v>114</v>
      </c>
      <c r="AM36" s="2">
        <f>AK36</f>
        <v>114</v>
      </c>
      <c r="AN36" t="s">
        <v>86</v>
      </c>
      <c r="AO36" t="s">
        <v>86</v>
      </c>
      <c r="AP36" t="s">
        <v>92</v>
      </c>
      <c r="AQ36" s="3" t="str">
        <f>AO36</f>
        <v>-</v>
      </c>
      <c r="AR36" s="3" t="str">
        <f>AP36</f>
        <v>-</v>
      </c>
      <c r="AS36">
        <v>989</v>
      </c>
      <c r="AT36" t="s">
        <v>73</v>
      </c>
    </row>
    <row r="37" spans="1:46" x14ac:dyDescent="0.4">
      <c r="A37" t="s">
        <v>105</v>
      </c>
      <c r="B37">
        <v>210374</v>
      </c>
      <c r="C37">
        <v>210374</v>
      </c>
      <c r="D37">
        <v>4582130779378</v>
      </c>
      <c r="E37">
        <v>1000000479</v>
      </c>
      <c r="F37" t="s">
        <v>14</v>
      </c>
      <c r="G37" t="s">
        <v>53</v>
      </c>
      <c r="H37" t="s">
        <v>47</v>
      </c>
      <c r="I37">
        <v>0</v>
      </c>
      <c r="J37">
        <v>118</v>
      </c>
      <c r="K37">
        <v>73.89</v>
      </c>
      <c r="L37" s="12">
        <f t="shared" si="0"/>
        <v>0.37381355932203392</v>
      </c>
      <c r="M37">
        <v>118</v>
      </c>
      <c r="N37">
        <v>86.4</v>
      </c>
      <c r="O37">
        <v>3456</v>
      </c>
      <c r="P37" s="12">
        <f t="shared" si="1"/>
        <v>0.26779661016949147</v>
      </c>
      <c r="R37" s="15">
        <v>1</v>
      </c>
      <c r="S37">
        <v>5</v>
      </c>
      <c r="T37" t="s">
        <v>35</v>
      </c>
      <c r="U37" t="s">
        <v>75</v>
      </c>
      <c r="V37" s="5"/>
      <c r="W37">
        <v>138</v>
      </c>
      <c r="X37" s="13">
        <f t="shared" si="2"/>
        <v>0.37391304347826082</v>
      </c>
      <c r="Y37" s="15">
        <f t="shared" si="7"/>
        <v>138</v>
      </c>
      <c r="Z37" s="12">
        <f>W37/M37</f>
        <v>1.1694915254237288</v>
      </c>
      <c r="AA37">
        <v>86.4</v>
      </c>
      <c r="AB37" s="11">
        <v>86.5</v>
      </c>
      <c r="AC37" s="12">
        <f>AA37/K37</f>
        <v>1.169305724725944</v>
      </c>
      <c r="AG37" s="1"/>
      <c r="AH37" s="1"/>
      <c r="AL37" s="2"/>
      <c r="AM37" s="2"/>
      <c r="AQ37" s="3"/>
      <c r="AR37" s="3"/>
      <c r="AS37">
        <v>989</v>
      </c>
      <c r="AT37" t="s">
        <v>73</v>
      </c>
    </row>
    <row r="38" spans="1:46" x14ac:dyDescent="0.4">
      <c r="A38" t="s">
        <v>106</v>
      </c>
      <c r="B38" s="7">
        <v>210381</v>
      </c>
      <c r="C38" s="7">
        <v>210374</v>
      </c>
      <c r="D38">
        <v>4582130779378</v>
      </c>
      <c r="E38">
        <v>1000000479</v>
      </c>
      <c r="F38" t="s">
        <v>14</v>
      </c>
      <c r="G38" t="s">
        <v>54</v>
      </c>
      <c r="H38" t="s">
        <v>47</v>
      </c>
      <c r="I38">
        <v>0</v>
      </c>
      <c r="J38">
        <v>1101</v>
      </c>
      <c r="K38">
        <v>738.9</v>
      </c>
      <c r="L38" s="12">
        <f t="shared" si="0"/>
        <v>0.32888283378746597</v>
      </c>
      <c r="M38">
        <v>1101</v>
      </c>
      <c r="N38">
        <v>864</v>
      </c>
      <c r="O38">
        <v>3456</v>
      </c>
      <c r="P38" s="12">
        <f t="shared" si="1"/>
        <v>0.21525885558583105</v>
      </c>
      <c r="R38" s="15">
        <v>10</v>
      </c>
      <c r="S38">
        <v>8</v>
      </c>
      <c r="T38" t="s">
        <v>21</v>
      </c>
      <c r="U38" t="s">
        <v>75</v>
      </c>
      <c r="V38" s="5">
        <f>ROUND(J38*AC38,0)</f>
        <v>1287</v>
      </c>
      <c r="W38">
        <v>1270</v>
      </c>
      <c r="X38" s="13">
        <f t="shared" si="2"/>
        <v>0.31968503937007875</v>
      </c>
      <c r="Y38" s="15">
        <f t="shared" si="7"/>
        <v>127</v>
      </c>
      <c r="Z38" s="12">
        <f>W38/M38</f>
        <v>1.1534968210717529</v>
      </c>
      <c r="AA38">
        <v>864</v>
      </c>
      <c r="AB38" s="11">
        <v>865</v>
      </c>
      <c r="AC38" s="12">
        <f>AA38/K38</f>
        <v>1.169305724725944</v>
      </c>
      <c r="AD38">
        <v>8213347</v>
      </c>
      <c r="AE38">
        <v>1073</v>
      </c>
      <c r="AF38">
        <v>1073</v>
      </c>
      <c r="AG38" s="1">
        <f>AE38</f>
        <v>1073</v>
      </c>
      <c r="AH38" s="1">
        <f>AF38</f>
        <v>1073</v>
      </c>
      <c r="AI38">
        <v>7103988</v>
      </c>
      <c r="AJ38">
        <v>1080</v>
      </c>
      <c r="AK38">
        <v>1080</v>
      </c>
      <c r="AL38" s="2">
        <f>AJ38</f>
        <v>1080</v>
      </c>
      <c r="AM38" s="2">
        <f>AK38</f>
        <v>1080</v>
      </c>
      <c r="AN38">
        <v>42111337</v>
      </c>
      <c r="AO38">
        <v>1271</v>
      </c>
      <c r="AP38">
        <v>1271</v>
      </c>
      <c r="AQ38" s="3">
        <f>AO38</f>
        <v>1271</v>
      </c>
      <c r="AR38" s="3">
        <f>AP38</f>
        <v>1271</v>
      </c>
      <c r="AS38">
        <v>989</v>
      </c>
      <c r="AT38" t="s">
        <v>73</v>
      </c>
    </row>
    <row r="39" spans="1:46" x14ac:dyDescent="0.4">
      <c r="A39" t="s">
        <v>106</v>
      </c>
      <c r="B39">
        <v>210381</v>
      </c>
      <c r="C39">
        <v>210374</v>
      </c>
      <c r="D39">
        <v>4582130779378</v>
      </c>
      <c r="E39">
        <v>1000000479</v>
      </c>
      <c r="F39" t="s">
        <v>14</v>
      </c>
      <c r="G39" t="s">
        <v>54</v>
      </c>
      <c r="H39" t="s">
        <v>47</v>
      </c>
      <c r="I39">
        <v>0</v>
      </c>
      <c r="J39">
        <v>1101</v>
      </c>
      <c r="K39">
        <v>738.9</v>
      </c>
      <c r="L39" s="12">
        <f t="shared" si="0"/>
        <v>0.32888283378746597</v>
      </c>
      <c r="M39">
        <v>1101</v>
      </c>
      <c r="N39">
        <v>864</v>
      </c>
      <c r="O39">
        <v>3456</v>
      </c>
      <c r="P39" s="12">
        <f t="shared" si="1"/>
        <v>0.21525885558583105</v>
      </c>
      <c r="R39" s="15">
        <v>10</v>
      </c>
      <c r="S39">
        <v>8</v>
      </c>
      <c r="T39" t="s">
        <v>21</v>
      </c>
      <c r="U39" t="s">
        <v>75</v>
      </c>
      <c r="V39" s="5"/>
      <c r="W39">
        <v>1270</v>
      </c>
      <c r="X39" s="13">
        <f t="shared" si="2"/>
        <v>0.31968503937007875</v>
      </c>
      <c r="Y39" s="15">
        <f t="shared" si="7"/>
        <v>127</v>
      </c>
      <c r="Z39" s="12">
        <f>W39/M39</f>
        <v>1.1534968210717529</v>
      </c>
      <c r="AA39">
        <v>864</v>
      </c>
      <c r="AB39" s="11">
        <v>865</v>
      </c>
      <c r="AC39" s="12">
        <f>AA39/K39</f>
        <v>1.169305724725944</v>
      </c>
      <c r="AG39" s="1"/>
      <c r="AH39" s="1"/>
      <c r="AL39" s="2"/>
      <c r="AM39" s="2"/>
      <c r="AQ39" s="3"/>
      <c r="AR39" s="3"/>
      <c r="AS39">
        <v>989</v>
      </c>
      <c r="AT39" t="s">
        <v>73</v>
      </c>
    </row>
    <row r="40" spans="1:46" x14ac:dyDescent="0.4">
      <c r="A40" t="s">
        <v>107</v>
      </c>
      <c r="B40" s="7">
        <v>210393</v>
      </c>
      <c r="C40" s="7">
        <v>210393</v>
      </c>
      <c r="D40">
        <v>4582130779545</v>
      </c>
      <c r="E40">
        <v>1000000479</v>
      </c>
      <c r="F40" t="s">
        <v>14</v>
      </c>
      <c r="G40" t="s">
        <v>46</v>
      </c>
      <c r="H40" t="s">
        <v>47</v>
      </c>
      <c r="I40">
        <v>0</v>
      </c>
      <c r="J40">
        <v>4202</v>
      </c>
      <c r="K40">
        <v>2955.6</v>
      </c>
      <c r="L40" s="12">
        <f t="shared" si="0"/>
        <v>0.29662065683008093</v>
      </c>
      <c r="M40">
        <v>4202</v>
      </c>
      <c r="N40">
        <v>3456</v>
      </c>
      <c r="O40">
        <v>3456</v>
      </c>
      <c r="P40" s="12">
        <f t="shared" si="1"/>
        <v>0.17753450737743931</v>
      </c>
      <c r="R40" s="15">
        <v>40</v>
      </c>
      <c r="S40">
        <v>5</v>
      </c>
      <c r="T40" t="s">
        <v>45</v>
      </c>
      <c r="U40" t="s">
        <v>75</v>
      </c>
      <c r="V40" s="5">
        <f>ROUND(J40*AC40,0)</f>
        <v>4913</v>
      </c>
      <c r="W40">
        <v>4890</v>
      </c>
      <c r="X40" s="13">
        <f t="shared" si="2"/>
        <v>0.29325153374233126</v>
      </c>
      <c r="Y40" s="15">
        <f t="shared" si="7"/>
        <v>122.25</v>
      </c>
      <c r="Z40" s="12">
        <f>W40/M40</f>
        <v>1.1637315564017134</v>
      </c>
      <c r="AA40">
        <v>3456</v>
      </c>
      <c r="AB40" s="11">
        <v>3460</v>
      </c>
      <c r="AC40" s="12">
        <f>AA40/K40</f>
        <v>1.169305724725944</v>
      </c>
      <c r="AD40">
        <v>8231828</v>
      </c>
      <c r="AE40">
        <v>2128</v>
      </c>
      <c r="AF40">
        <v>2128</v>
      </c>
      <c r="AG40" s="1">
        <f>AE40/20*40</f>
        <v>4256</v>
      </c>
      <c r="AH40" s="1">
        <f>AF40/20*40</f>
        <v>4256</v>
      </c>
      <c r="AI40">
        <v>9115250</v>
      </c>
      <c r="AJ40">
        <v>8240</v>
      </c>
      <c r="AK40">
        <v>8240</v>
      </c>
      <c r="AL40" s="2">
        <f>AJ40/80*40</f>
        <v>4120</v>
      </c>
      <c r="AM40" s="2">
        <f>AK40/80*40</f>
        <v>4120</v>
      </c>
      <c r="AN40">
        <v>42120674</v>
      </c>
      <c r="AO40">
        <v>3753</v>
      </c>
      <c r="AP40">
        <v>3753</v>
      </c>
      <c r="AQ40" s="3">
        <f>AO40/30*40</f>
        <v>5004</v>
      </c>
      <c r="AR40" s="3">
        <f>AP40/30*40</f>
        <v>5004</v>
      </c>
      <c r="AS40">
        <v>989</v>
      </c>
      <c r="AT40" t="s">
        <v>73</v>
      </c>
    </row>
    <row r="41" spans="1:46" x14ac:dyDescent="0.4">
      <c r="A41" t="s">
        <v>107</v>
      </c>
      <c r="B41">
        <v>210393</v>
      </c>
      <c r="C41">
        <v>210393</v>
      </c>
      <c r="D41">
        <v>4582130779545</v>
      </c>
      <c r="E41">
        <v>1000000479</v>
      </c>
      <c r="F41" t="s">
        <v>14</v>
      </c>
      <c r="G41" t="s">
        <v>46</v>
      </c>
      <c r="H41" t="s">
        <v>47</v>
      </c>
      <c r="I41">
        <v>0</v>
      </c>
      <c r="J41">
        <v>4202</v>
      </c>
      <c r="K41">
        <v>2955.6</v>
      </c>
      <c r="L41" s="12">
        <f t="shared" si="0"/>
        <v>0.29662065683008093</v>
      </c>
      <c r="M41">
        <v>4202</v>
      </c>
      <c r="N41">
        <v>3456</v>
      </c>
      <c r="O41">
        <v>3456</v>
      </c>
      <c r="P41" s="12">
        <f t="shared" si="1"/>
        <v>0.17753450737743931</v>
      </c>
      <c r="R41" s="15">
        <v>40</v>
      </c>
      <c r="S41">
        <v>5</v>
      </c>
      <c r="T41" t="s">
        <v>45</v>
      </c>
      <c r="U41" t="s">
        <v>75</v>
      </c>
      <c r="V41" s="5"/>
      <c r="W41">
        <v>4890</v>
      </c>
      <c r="X41" s="13">
        <f t="shared" si="2"/>
        <v>0.29325153374233126</v>
      </c>
      <c r="Y41" s="15">
        <f t="shared" si="7"/>
        <v>122.25</v>
      </c>
      <c r="Z41" s="12">
        <f>W41/M41</f>
        <v>1.1637315564017134</v>
      </c>
      <c r="AA41">
        <v>3456</v>
      </c>
      <c r="AB41" s="11">
        <v>3460</v>
      </c>
      <c r="AC41" s="12">
        <f>AA41/K41</f>
        <v>1.169305724725944</v>
      </c>
      <c r="AG41" s="1"/>
      <c r="AH41" s="1"/>
      <c r="AL41" s="2"/>
      <c r="AM41" s="2"/>
      <c r="AQ41" s="3"/>
      <c r="AR41" s="3"/>
      <c r="AS41">
        <v>989</v>
      </c>
      <c r="AT41" t="s">
        <v>73</v>
      </c>
    </row>
    <row r="42" spans="1:46" x14ac:dyDescent="0.4">
      <c r="A42" t="s">
        <v>108</v>
      </c>
      <c r="B42" s="7">
        <v>210316</v>
      </c>
      <c r="C42" s="7">
        <v>210316</v>
      </c>
      <c r="D42">
        <v>4582130779354</v>
      </c>
      <c r="E42">
        <v>1000000479</v>
      </c>
      <c r="F42" t="s">
        <v>14</v>
      </c>
      <c r="G42" t="s">
        <v>33</v>
      </c>
      <c r="H42" t="s">
        <v>34</v>
      </c>
      <c r="I42">
        <v>0</v>
      </c>
      <c r="J42">
        <v>118</v>
      </c>
      <c r="K42">
        <v>73.89</v>
      </c>
      <c r="L42" s="12">
        <f t="shared" si="0"/>
        <v>0.37381355932203392</v>
      </c>
      <c r="M42">
        <v>118</v>
      </c>
      <c r="N42">
        <v>86.4</v>
      </c>
      <c r="O42">
        <v>3456</v>
      </c>
      <c r="P42" s="12">
        <f t="shared" si="1"/>
        <v>0.26779661016949147</v>
      </c>
      <c r="R42" s="15">
        <v>1</v>
      </c>
      <c r="S42">
        <v>5</v>
      </c>
      <c r="T42" t="s">
        <v>35</v>
      </c>
      <c r="U42" t="s">
        <v>75</v>
      </c>
      <c r="V42" s="5">
        <f>ROUND(J42*AC42,0)</f>
        <v>138</v>
      </c>
      <c r="W42">
        <v>138</v>
      </c>
      <c r="X42" s="13">
        <f t="shared" si="2"/>
        <v>0.37391304347826082</v>
      </c>
      <c r="Y42" s="15">
        <f t="shared" si="7"/>
        <v>138</v>
      </c>
      <c r="Z42" s="12">
        <f>W42/M42</f>
        <v>1.1694915254237288</v>
      </c>
      <c r="AA42">
        <v>86.4</v>
      </c>
      <c r="AB42" s="11">
        <v>86.5</v>
      </c>
      <c r="AC42" s="12">
        <f>AA42/K42</f>
        <v>1.169305724725944</v>
      </c>
      <c r="AD42">
        <v>8470710</v>
      </c>
      <c r="AE42">
        <v>114</v>
      </c>
      <c r="AF42">
        <v>114</v>
      </c>
      <c r="AG42" s="1">
        <f>AE42</f>
        <v>114</v>
      </c>
      <c r="AH42" s="1">
        <f>AF42</f>
        <v>114</v>
      </c>
      <c r="AI42">
        <v>2192239</v>
      </c>
      <c r="AJ42">
        <v>114</v>
      </c>
      <c r="AK42">
        <v>114</v>
      </c>
      <c r="AL42" s="2">
        <f>AJ42</f>
        <v>114</v>
      </c>
      <c r="AM42" s="2">
        <f>AK42</f>
        <v>114</v>
      </c>
      <c r="AN42" t="s">
        <v>86</v>
      </c>
      <c r="AO42" t="s">
        <v>86</v>
      </c>
      <c r="AP42" t="s">
        <v>92</v>
      </c>
      <c r="AQ42" s="3" t="str">
        <f>AO42</f>
        <v>-</v>
      </c>
      <c r="AR42" s="3" t="str">
        <f>AP42</f>
        <v>-</v>
      </c>
      <c r="AS42">
        <v>989</v>
      </c>
      <c r="AT42" t="s">
        <v>73</v>
      </c>
    </row>
    <row r="43" spans="1:46" x14ac:dyDescent="0.4">
      <c r="A43" t="s">
        <v>108</v>
      </c>
      <c r="B43">
        <v>210316</v>
      </c>
      <c r="C43">
        <v>210316</v>
      </c>
      <c r="D43">
        <v>4582130779354</v>
      </c>
      <c r="E43">
        <v>1000000479</v>
      </c>
      <c r="F43" t="s">
        <v>14</v>
      </c>
      <c r="G43" t="s">
        <v>33</v>
      </c>
      <c r="H43" t="s">
        <v>34</v>
      </c>
      <c r="I43">
        <v>0</v>
      </c>
      <c r="J43">
        <v>118</v>
      </c>
      <c r="K43">
        <v>73.89</v>
      </c>
      <c r="L43" s="12">
        <f t="shared" si="0"/>
        <v>0.37381355932203392</v>
      </c>
      <c r="M43">
        <v>118</v>
      </c>
      <c r="N43">
        <v>86.4</v>
      </c>
      <c r="O43">
        <v>3456</v>
      </c>
      <c r="P43" s="12">
        <f t="shared" si="1"/>
        <v>0.26779661016949147</v>
      </c>
      <c r="R43" s="15">
        <v>1</v>
      </c>
      <c r="S43">
        <v>5</v>
      </c>
      <c r="T43" t="s">
        <v>35</v>
      </c>
      <c r="U43" t="s">
        <v>75</v>
      </c>
      <c r="V43" s="5"/>
      <c r="W43">
        <v>138</v>
      </c>
      <c r="X43" s="13">
        <f t="shared" si="2"/>
        <v>0.37391304347826082</v>
      </c>
      <c r="Y43" s="15">
        <f t="shared" si="7"/>
        <v>138</v>
      </c>
      <c r="Z43" s="12">
        <f>W43/M43</f>
        <v>1.1694915254237288</v>
      </c>
      <c r="AA43">
        <v>86.4</v>
      </c>
      <c r="AB43" s="11">
        <v>86.5</v>
      </c>
      <c r="AC43" s="12">
        <f>AA43/K43</f>
        <v>1.169305724725944</v>
      </c>
      <c r="AG43" s="1"/>
      <c r="AH43" s="1"/>
      <c r="AL43" s="2"/>
      <c r="AM43" s="2"/>
      <c r="AQ43" s="3"/>
      <c r="AR43" s="3"/>
      <c r="AS43">
        <v>989</v>
      </c>
      <c r="AT43" t="s">
        <v>73</v>
      </c>
    </row>
    <row r="44" spans="1:46" x14ac:dyDescent="0.4">
      <c r="A44" t="s">
        <v>109</v>
      </c>
      <c r="B44" s="7">
        <v>210353</v>
      </c>
      <c r="C44" s="7">
        <v>210316</v>
      </c>
      <c r="D44">
        <v>4582130779354</v>
      </c>
      <c r="E44">
        <v>1000000479</v>
      </c>
      <c r="F44" t="s">
        <v>14</v>
      </c>
      <c r="G44" t="s">
        <v>36</v>
      </c>
      <c r="H44" t="s">
        <v>34</v>
      </c>
      <c r="I44">
        <v>0</v>
      </c>
      <c r="J44">
        <v>1101</v>
      </c>
      <c r="K44">
        <v>738.9</v>
      </c>
      <c r="L44" s="12">
        <f t="shared" si="0"/>
        <v>0.32888283378746597</v>
      </c>
      <c r="M44">
        <v>1101</v>
      </c>
      <c r="N44">
        <v>864</v>
      </c>
      <c r="O44">
        <v>3456</v>
      </c>
      <c r="P44" s="12">
        <f t="shared" si="1"/>
        <v>0.21525885558583105</v>
      </c>
      <c r="R44" s="15">
        <v>10</v>
      </c>
      <c r="S44">
        <v>8</v>
      </c>
      <c r="T44" t="s">
        <v>21</v>
      </c>
      <c r="U44" t="s">
        <v>75</v>
      </c>
      <c r="V44" s="5">
        <f>ROUND(J44*AC44,0)</f>
        <v>1287</v>
      </c>
      <c r="W44">
        <v>1270</v>
      </c>
      <c r="X44" s="13">
        <f t="shared" si="2"/>
        <v>0.31968503937007875</v>
      </c>
      <c r="Y44" s="15">
        <f t="shared" si="7"/>
        <v>127</v>
      </c>
      <c r="Z44" s="12">
        <f>W44/M44</f>
        <v>1.1534968210717529</v>
      </c>
      <c r="AA44">
        <v>864</v>
      </c>
      <c r="AB44" s="11">
        <v>865</v>
      </c>
      <c r="AC44" s="12">
        <f>AA44/K44</f>
        <v>1.169305724725944</v>
      </c>
      <c r="AD44">
        <v>8213310</v>
      </c>
      <c r="AE44">
        <v>1073</v>
      </c>
      <c r="AF44">
        <v>1073</v>
      </c>
      <c r="AG44" s="1">
        <f>AE44</f>
        <v>1073</v>
      </c>
      <c r="AH44" s="1">
        <f>AF44</f>
        <v>1073</v>
      </c>
      <c r="AI44">
        <v>7104015</v>
      </c>
      <c r="AJ44">
        <v>1080</v>
      </c>
      <c r="AK44">
        <v>1080</v>
      </c>
      <c r="AL44" s="2">
        <f>AJ44</f>
        <v>1080</v>
      </c>
      <c r="AM44" s="2">
        <f>AK44</f>
        <v>1080</v>
      </c>
      <c r="AN44">
        <v>42111375</v>
      </c>
      <c r="AO44">
        <v>1271</v>
      </c>
      <c r="AP44">
        <v>1271</v>
      </c>
      <c r="AQ44" s="3">
        <f>AO44</f>
        <v>1271</v>
      </c>
      <c r="AR44" s="3">
        <f>AP44</f>
        <v>1271</v>
      </c>
      <c r="AS44">
        <v>989</v>
      </c>
      <c r="AT44" t="s">
        <v>73</v>
      </c>
    </row>
    <row r="45" spans="1:46" x14ac:dyDescent="0.4">
      <c r="A45" t="s">
        <v>109</v>
      </c>
      <c r="B45">
        <v>210353</v>
      </c>
      <c r="C45">
        <v>210316</v>
      </c>
      <c r="D45">
        <v>4582130779354</v>
      </c>
      <c r="E45">
        <v>1000000479</v>
      </c>
      <c r="F45" t="s">
        <v>14</v>
      </c>
      <c r="G45" t="s">
        <v>36</v>
      </c>
      <c r="H45" t="s">
        <v>34</v>
      </c>
      <c r="I45">
        <v>0</v>
      </c>
      <c r="J45">
        <v>1101</v>
      </c>
      <c r="K45">
        <v>738.9</v>
      </c>
      <c r="L45" s="12">
        <f t="shared" si="0"/>
        <v>0.32888283378746597</v>
      </c>
      <c r="M45">
        <v>1101</v>
      </c>
      <c r="N45">
        <v>864</v>
      </c>
      <c r="O45">
        <v>3456</v>
      </c>
      <c r="P45" s="12">
        <f t="shared" si="1"/>
        <v>0.21525885558583105</v>
      </c>
      <c r="R45" s="15">
        <v>10</v>
      </c>
      <c r="S45">
        <v>8</v>
      </c>
      <c r="T45" t="s">
        <v>21</v>
      </c>
      <c r="U45" t="s">
        <v>75</v>
      </c>
      <c r="V45" s="5"/>
      <c r="W45">
        <v>1270</v>
      </c>
      <c r="X45" s="13">
        <f t="shared" si="2"/>
        <v>0.31968503937007875</v>
      </c>
      <c r="Y45" s="15">
        <f t="shared" si="7"/>
        <v>127</v>
      </c>
      <c r="Z45" s="12">
        <f>W45/M45</f>
        <v>1.1534968210717529</v>
      </c>
      <c r="AA45">
        <v>864</v>
      </c>
      <c r="AB45" s="11">
        <v>865</v>
      </c>
      <c r="AC45" s="12">
        <f>AA45/K45</f>
        <v>1.169305724725944</v>
      </c>
      <c r="AG45" s="1"/>
      <c r="AH45" s="1"/>
      <c r="AL45" s="2"/>
      <c r="AM45" s="2"/>
      <c r="AQ45" s="3"/>
      <c r="AR45" s="3"/>
      <c r="AS45">
        <v>989</v>
      </c>
      <c r="AT45" t="s">
        <v>73</v>
      </c>
    </row>
    <row r="46" spans="1:46" x14ac:dyDescent="0.4">
      <c r="A46" t="s">
        <v>110</v>
      </c>
      <c r="B46" s="7">
        <v>210364</v>
      </c>
      <c r="C46" s="7">
        <v>210364</v>
      </c>
      <c r="D46">
        <v>4582130779538</v>
      </c>
      <c r="E46">
        <v>1000000479</v>
      </c>
      <c r="F46" t="s">
        <v>14</v>
      </c>
      <c r="G46" t="s">
        <v>44</v>
      </c>
      <c r="H46" t="s">
        <v>34</v>
      </c>
      <c r="I46">
        <v>0</v>
      </c>
      <c r="J46">
        <v>4202</v>
      </c>
      <c r="K46">
        <v>2955.6</v>
      </c>
      <c r="L46" s="12">
        <f t="shared" si="0"/>
        <v>0.29662065683008093</v>
      </c>
      <c r="M46">
        <v>4202</v>
      </c>
      <c r="N46">
        <v>3456</v>
      </c>
      <c r="O46">
        <v>3456</v>
      </c>
      <c r="P46" s="12">
        <f t="shared" si="1"/>
        <v>0.17753450737743931</v>
      </c>
      <c r="R46" s="15">
        <v>40</v>
      </c>
      <c r="S46">
        <v>5</v>
      </c>
      <c r="T46" t="s">
        <v>45</v>
      </c>
      <c r="U46" t="s">
        <v>75</v>
      </c>
      <c r="V46" s="5">
        <f>ROUND(J46*AC46,0)</f>
        <v>4913</v>
      </c>
      <c r="W46">
        <v>4890</v>
      </c>
      <c r="X46" s="13">
        <f t="shared" si="2"/>
        <v>0.29325153374233126</v>
      </c>
      <c r="Y46" s="15">
        <f t="shared" si="7"/>
        <v>122.25</v>
      </c>
      <c r="Z46" s="12">
        <f>W46/M46</f>
        <v>1.1637315564017134</v>
      </c>
      <c r="AA46">
        <v>3456</v>
      </c>
      <c r="AB46" s="11">
        <v>3460</v>
      </c>
      <c r="AC46" s="12">
        <f>AA46/K46</f>
        <v>1.169305724725944</v>
      </c>
      <c r="AD46">
        <v>8231757</v>
      </c>
      <c r="AE46">
        <v>2128</v>
      </c>
      <c r="AF46">
        <v>2128</v>
      </c>
      <c r="AG46" s="1">
        <f>AE46/20*40</f>
        <v>4256</v>
      </c>
      <c r="AH46" s="1">
        <f>AF46/20*40</f>
        <v>4256</v>
      </c>
      <c r="AI46">
        <v>9115290</v>
      </c>
      <c r="AJ46">
        <v>8240</v>
      </c>
      <c r="AK46">
        <v>8240</v>
      </c>
      <c r="AL46" s="2">
        <f>AJ46/80*40</f>
        <v>4120</v>
      </c>
      <c r="AM46" s="2">
        <f>AK46/80*40</f>
        <v>4120</v>
      </c>
      <c r="AN46">
        <v>42120797</v>
      </c>
      <c r="AO46">
        <v>3753</v>
      </c>
      <c r="AP46">
        <v>3753</v>
      </c>
      <c r="AQ46" s="3">
        <f>AO46/30*40</f>
        <v>5004</v>
      </c>
      <c r="AR46" s="3">
        <f>AP46/30*40</f>
        <v>5004</v>
      </c>
      <c r="AS46">
        <v>989</v>
      </c>
      <c r="AT46" t="s">
        <v>73</v>
      </c>
    </row>
    <row r="47" spans="1:46" x14ac:dyDescent="0.4">
      <c r="A47" t="s">
        <v>110</v>
      </c>
      <c r="B47">
        <v>210364</v>
      </c>
      <c r="C47">
        <v>210364</v>
      </c>
      <c r="D47">
        <v>4582130779538</v>
      </c>
      <c r="E47">
        <v>1000000479</v>
      </c>
      <c r="F47" t="s">
        <v>14</v>
      </c>
      <c r="G47" t="s">
        <v>44</v>
      </c>
      <c r="H47" t="s">
        <v>34</v>
      </c>
      <c r="I47">
        <v>0</v>
      </c>
      <c r="J47">
        <v>4202</v>
      </c>
      <c r="K47">
        <v>2955.6</v>
      </c>
      <c r="L47" s="12">
        <f t="shared" si="0"/>
        <v>0.29662065683008093</v>
      </c>
      <c r="M47">
        <v>4202</v>
      </c>
      <c r="N47">
        <v>3456</v>
      </c>
      <c r="O47">
        <v>3456</v>
      </c>
      <c r="P47" s="12">
        <f t="shared" si="1"/>
        <v>0.17753450737743931</v>
      </c>
      <c r="R47" s="15">
        <v>40</v>
      </c>
      <c r="S47">
        <v>5</v>
      </c>
      <c r="T47" t="s">
        <v>45</v>
      </c>
      <c r="U47" t="s">
        <v>75</v>
      </c>
      <c r="V47" s="5"/>
      <c r="W47">
        <v>4890</v>
      </c>
      <c r="X47" s="13">
        <f t="shared" si="2"/>
        <v>0.29325153374233126</v>
      </c>
      <c r="Y47" s="15">
        <f t="shared" si="7"/>
        <v>122.25</v>
      </c>
      <c r="Z47" s="12">
        <f>W47/M47</f>
        <v>1.1637315564017134</v>
      </c>
      <c r="AA47">
        <v>3456</v>
      </c>
      <c r="AB47" s="11">
        <v>3460</v>
      </c>
      <c r="AC47" s="12">
        <f>AA47/K47</f>
        <v>1.169305724725944</v>
      </c>
      <c r="AG47" s="1"/>
      <c r="AH47" s="1"/>
      <c r="AL47" s="2"/>
      <c r="AM47" s="2"/>
      <c r="AQ47" s="3"/>
      <c r="AR47" s="3"/>
      <c r="AS47">
        <v>989</v>
      </c>
      <c r="AT47" t="s">
        <v>73</v>
      </c>
    </row>
    <row r="48" spans="1:46" x14ac:dyDescent="0.4">
      <c r="A48" t="s">
        <v>111</v>
      </c>
      <c r="B48" s="7">
        <v>210478</v>
      </c>
      <c r="C48" s="7">
        <v>210478</v>
      </c>
      <c r="D48">
        <v>4582130779453</v>
      </c>
      <c r="E48">
        <v>1000000479</v>
      </c>
      <c r="F48" t="s">
        <v>14</v>
      </c>
      <c r="G48" t="s">
        <v>59</v>
      </c>
      <c r="H48" t="s">
        <v>52</v>
      </c>
      <c r="I48">
        <v>0</v>
      </c>
      <c r="J48">
        <v>145</v>
      </c>
      <c r="K48">
        <v>93.48</v>
      </c>
      <c r="L48" s="12">
        <f t="shared" si="0"/>
        <v>0.35531034482758617</v>
      </c>
      <c r="M48">
        <v>145</v>
      </c>
      <c r="N48">
        <v>109.21</v>
      </c>
      <c r="O48">
        <v>4368.3999999999996</v>
      </c>
      <c r="P48" s="12">
        <f t="shared" si="1"/>
        <v>0.2468275862068966</v>
      </c>
      <c r="R48" s="15">
        <v>1</v>
      </c>
      <c r="S48">
        <v>5</v>
      </c>
      <c r="T48" t="s">
        <v>35</v>
      </c>
      <c r="U48" t="s">
        <v>75</v>
      </c>
      <c r="V48" s="5">
        <f>ROUND(J48*AC48,0)</f>
        <v>169</v>
      </c>
      <c r="W48">
        <v>168</v>
      </c>
      <c r="X48" s="13">
        <f t="shared" si="2"/>
        <v>0.34994047619047625</v>
      </c>
      <c r="Y48" s="15">
        <f t="shared" si="7"/>
        <v>168</v>
      </c>
      <c r="Z48" s="12">
        <f>W48/M48</f>
        <v>1.1586206896551725</v>
      </c>
      <c r="AA48">
        <v>109.21</v>
      </c>
      <c r="AB48" s="11">
        <v>109.4</v>
      </c>
      <c r="AC48" s="12">
        <f>AA48/K48</f>
        <v>1.1682712879760375</v>
      </c>
      <c r="AD48" t="s">
        <v>86</v>
      </c>
      <c r="AE48" t="s">
        <v>86</v>
      </c>
      <c r="AF48" t="s">
        <v>92</v>
      </c>
      <c r="AG48" s="1" t="str">
        <f>AE48</f>
        <v>-</v>
      </c>
      <c r="AH48" s="1" t="str">
        <f>AF48</f>
        <v>-</v>
      </c>
      <c r="AI48">
        <v>6190415</v>
      </c>
      <c r="AJ48">
        <v>141</v>
      </c>
      <c r="AK48">
        <v>141</v>
      </c>
      <c r="AL48" s="2">
        <f>AJ48</f>
        <v>141</v>
      </c>
      <c r="AM48" s="2">
        <f>AK48</f>
        <v>141</v>
      </c>
      <c r="AN48" t="s">
        <v>86</v>
      </c>
      <c r="AO48" t="s">
        <v>86</v>
      </c>
      <c r="AP48" t="s">
        <v>92</v>
      </c>
      <c r="AQ48" s="3" t="str">
        <f>AO48</f>
        <v>-</v>
      </c>
      <c r="AR48" s="3" t="str">
        <f>AP48</f>
        <v>-</v>
      </c>
      <c r="AS48">
        <v>989</v>
      </c>
      <c r="AT48" t="s">
        <v>73</v>
      </c>
    </row>
    <row r="49" spans="1:46" x14ac:dyDescent="0.4">
      <c r="A49" t="s">
        <v>111</v>
      </c>
      <c r="B49">
        <v>210478</v>
      </c>
      <c r="C49">
        <v>210478</v>
      </c>
      <c r="D49">
        <v>4582130779453</v>
      </c>
      <c r="E49">
        <v>1000000479</v>
      </c>
      <c r="F49" t="s">
        <v>14</v>
      </c>
      <c r="G49" t="s">
        <v>59</v>
      </c>
      <c r="H49" t="s">
        <v>52</v>
      </c>
      <c r="I49">
        <v>0</v>
      </c>
      <c r="J49">
        <v>145</v>
      </c>
      <c r="K49">
        <v>93.48</v>
      </c>
      <c r="L49" s="12">
        <f t="shared" si="0"/>
        <v>0.35531034482758617</v>
      </c>
      <c r="M49">
        <v>145</v>
      </c>
      <c r="N49">
        <v>109.21</v>
      </c>
      <c r="O49">
        <v>4368.3999999999996</v>
      </c>
      <c r="P49" s="12">
        <f t="shared" si="1"/>
        <v>0.2468275862068966</v>
      </c>
      <c r="R49" s="15">
        <v>1</v>
      </c>
      <c r="S49">
        <v>5</v>
      </c>
      <c r="T49" t="s">
        <v>35</v>
      </c>
      <c r="U49" t="s">
        <v>75</v>
      </c>
      <c r="V49" s="5"/>
      <c r="W49">
        <v>168</v>
      </c>
      <c r="X49" s="13">
        <f t="shared" si="2"/>
        <v>0.34994047619047625</v>
      </c>
      <c r="Y49" s="15">
        <f t="shared" si="7"/>
        <v>168</v>
      </c>
      <c r="Z49" s="12">
        <f>W49/M49</f>
        <v>1.1586206896551725</v>
      </c>
      <c r="AA49">
        <v>109.21</v>
      </c>
      <c r="AB49" s="11">
        <v>109.4</v>
      </c>
      <c r="AC49" s="12">
        <f>AA49/K49</f>
        <v>1.1682712879760375</v>
      </c>
      <c r="AG49" s="1"/>
      <c r="AH49" s="1"/>
      <c r="AL49" s="2"/>
      <c r="AM49" s="2"/>
      <c r="AQ49" s="3"/>
      <c r="AR49" s="3"/>
      <c r="AS49">
        <v>989</v>
      </c>
      <c r="AT49" t="s">
        <v>73</v>
      </c>
    </row>
    <row r="50" spans="1:46" x14ac:dyDescent="0.4">
      <c r="A50" t="s">
        <v>112</v>
      </c>
      <c r="B50" s="7">
        <v>210479</v>
      </c>
      <c r="C50" s="7">
        <v>210478</v>
      </c>
      <c r="D50">
        <v>4582130779453</v>
      </c>
      <c r="E50">
        <v>1000000479</v>
      </c>
      <c r="F50" t="s">
        <v>14</v>
      </c>
      <c r="G50" t="s">
        <v>58</v>
      </c>
      <c r="H50" t="s">
        <v>52</v>
      </c>
      <c r="I50">
        <v>0</v>
      </c>
      <c r="J50">
        <v>1333</v>
      </c>
      <c r="K50">
        <v>934.8</v>
      </c>
      <c r="L50" s="12">
        <f t="shared" si="0"/>
        <v>0.29872468117029261</v>
      </c>
      <c r="M50">
        <v>1333</v>
      </c>
      <c r="N50">
        <v>1092.0999999999999</v>
      </c>
      <c r="O50">
        <v>4368.3999999999996</v>
      </c>
      <c r="P50" s="12">
        <f t="shared" si="1"/>
        <v>0.18072018004501131</v>
      </c>
      <c r="R50" s="15">
        <v>10</v>
      </c>
      <c r="S50">
        <v>8</v>
      </c>
      <c r="T50" t="s">
        <v>21</v>
      </c>
      <c r="U50" t="s">
        <v>75</v>
      </c>
      <c r="V50" s="5">
        <f>ROUND(J50*AC50,0)</f>
        <v>1557</v>
      </c>
      <c r="W50">
        <v>1560</v>
      </c>
      <c r="X50" s="13">
        <f t="shared" si="2"/>
        <v>0.29993589743589749</v>
      </c>
      <c r="Y50" s="15">
        <f t="shared" si="7"/>
        <v>156</v>
      </c>
      <c r="Z50" s="12">
        <f>W50/M50</f>
        <v>1.1702925731432858</v>
      </c>
      <c r="AA50">
        <v>1092.0999999999999</v>
      </c>
      <c r="AB50" s="11">
        <v>1094</v>
      </c>
      <c r="AC50" s="12">
        <f>AA50/K50</f>
        <v>1.1682712879760375</v>
      </c>
      <c r="AD50" t="s">
        <v>86</v>
      </c>
      <c r="AE50" t="s">
        <v>86</v>
      </c>
      <c r="AF50" t="s">
        <v>92</v>
      </c>
      <c r="AG50" s="1" t="str">
        <f>AE50</f>
        <v>-</v>
      </c>
      <c r="AH50" s="1" t="str">
        <f>AF50</f>
        <v>-</v>
      </c>
      <c r="AI50">
        <v>9107630</v>
      </c>
      <c r="AJ50">
        <v>1320</v>
      </c>
      <c r="AK50">
        <v>1320</v>
      </c>
      <c r="AL50" s="2">
        <f>AJ50</f>
        <v>1320</v>
      </c>
      <c r="AM50" s="2">
        <f>AK50</f>
        <v>1320</v>
      </c>
      <c r="AN50" t="s">
        <v>86</v>
      </c>
      <c r="AO50" t="s">
        <v>86</v>
      </c>
      <c r="AP50" t="s">
        <v>92</v>
      </c>
      <c r="AQ50" s="3" t="str">
        <f>AO50</f>
        <v>-</v>
      </c>
      <c r="AR50" s="3" t="str">
        <f>AP50</f>
        <v>-</v>
      </c>
      <c r="AS50">
        <v>989</v>
      </c>
      <c r="AT50" t="s">
        <v>73</v>
      </c>
    </row>
    <row r="51" spans="1:46" x14ac:dyDescent="0.4">
      <c r="A51" t="s">
        <v>112</v>
      </c>
      <c r="B51">
        <v>210479</v>
      </c>
      <c r="C51">
        <v>210478</v>
      </c>
      <c r="D51">
        <v>4582130779453</v>
      </c>
      <c r="E51">
        <v>1000000479</v>
      </c>
      <c r="F51" t="s">
        <v>14</v>
      </c>
      <c r="G51" t="s">
        <v>58</v>
      </c>
      <c r="H51" t="s">
        <v>52</v>
      </c>
      <c r="I51">
        <v>0</v>
      </c>
      <c r="J51">
        <v>1333</v>
      </c>
      <c r="K51">
        <v>934.8</v>
      </c>
      <c r="L51" s="12">
        <f t="shared" si="0"/>
        <v>0.29872468117029261</v>
      </c>
      <c r="M51">
        <v>1333</v>
      </c>
      <c r="N51">
        <v>1092.0999999999999</v>
      </c>
      <c r="O51">
        <v>4368.3999999999996</v>
      </c>
      <c r="P51" s="12">
        <f t="shared" si="1"/>
        <v>0.18072018004501131</v>
      </c>
      <c r="R51" s="15">
        <v>10</v>
      </c>
      <c r="S51">
        <v>8</v>
      </c>
      <c r="T51" t="s">
        <v>21</v>
      </c>
      <c r="U51" t="s">
        <v>75</v>
      </c>
      <c r="V51" s="5"/>
      <c r="W51">
        <v>1560</v>
      </c>
      <c r="X51" s="13">
        <f t="shared" si="2"/>
        <v>0.29993589743589749</v>
      </c>
      <c r="Y51" s="15">
        <f t="shared" si="7"/>
        <v>156</v>
      </c>
      <c r="Z51" s="12">
        <f>W51/M51</f>
        <v>1.1702925731432858</v>
      </c>
      <c r="AA51">
        <v>1092.0999999999999</v>
      </c>
      <c r="AB51" s="11">
        <v>1094</v>
      </c>
      <c r="AC51" s="12">
        <f>AA51/K51</f>
        <v>1.1682712879760375</v>
      </c>
      <c r="AG51" s="1"/>
      <c r="AH51" s="1"/>
      <c r="AL51" s="2"/>
      <c r="AM51" s="2"/>
      <c r="AQ51" s="3"/>
      <c r="AR51" s="3"/>
      <c r="AS51">
        <v>989</v>
      </c>
      <c r="AT51" t="s">
        <v>73</v>
      </c>
    </row>
    <row r="52" spans="1:46" x14ac:dyDescent="0.4">
      <c r="A52" t="s">
        <v>113</v>
      </c>
      <c r="B52" s="7">
        <v>210480</v>
      </c>
      <c r="C52" s="7">
        <v>210480</v>
      </c>
      <c r="D52">
        <v>4582130779583</v>
      </c>
      <c r="E52">
        <v>1000000479</v>
      </c>
      <c r="F52" t="s">
        <v>14</v>
      </c>
      <c r="G52" t="s">
        <v>51</v>
      </c>
      <c r="H52" t="s">
        <v>52</v>
      </c>
      <c r="I52">
        <v>0</v>
      </c>
      <c r="J52">
        <v>5131</v>
      </c>
      <c r="K52">
        <v>3739.2</v>
      </c>
      <c r="L52" s="12">
        <f t="shared" si="0"/>
        <v>0.27125316702397195</v>
      </c>
      <c r="M52">
        <v>5131</v>
      </c>
      <c r="N52">
        <v>4368.3999999999996</v>
      </c>
      <c r="O52">
        <v>4368.3999999999996</v>
      </c>
      <c r="P52" s="12">
        <f t="shared" si="1"/>
        <v>0.14862599883063737</v>
      </c>
      <c r="R52" s="15">
        <v>40</v>
      </c>
      <c r="S52">
        <v>5</v>
      </c>
      <c r="T52" t="s">
        <v>45</v>
      </c>
      <c r="U52" t="s">
        <v>75</v>
      </c>
      <c r="V52" s="5">
        <f>ROUND(J52*AC52,0)</f>
        <v>5994</v>
      </c>
      <c r="W52">
        <v>5960</v>
      </c>
      <c r="X52" s="13">
        <f t="shared" si="2"/>
        <v>0.26704697986577186</v>
      </c>
      <c r="Y52" s="15">
        <f t="shared" si="7"/>
        <v>149</v>
      </c>
      <c r="Z52" s="12">
        <f>W52/M52</f>
        <v>1.1615669460144222</v>
      </c>
      <c r="AA52">
        <v>4368.3999999999996</v>
      </c>
      <c r="AB52" s="11">
        <v>4376</v>
      </c>
      <c r="AC52" s="12">
        <f>AA52/K52</f>
        <v>1.1682712879760375</v>
      </c>
      <c r="AD52" t="s">
        <v>86</v>
      </c>
      <c r="AE52" t="s">
        <v>86</v>
      </c>
      <c r="AF52" t="s">
        <v>92</v>
      </c>
      <c r="AG52" s="1" t="str">
        <f>AE52</f>
        <v>-</v>
      </c>
      <c r="AH52" s="1" t="str">
        <f>AF52</f>
        <v>-</v>
      </c>
      <c r="AI52">
        <v>9115317</v>
      </c>
      <c r="AJ52">
        <v>10160</v>
      </c>
      <c r="AK52">
        <v>10160</v>
      </c>
      <c r="AL52" s="2">
        <f>AJ52/80*40</f>
        <v>5080</v>
      </c>
      <c r="AM52" s="2">
        <f>AK52/80*40</f>
        <v>5080</v>
      </c>
      <c r="AN52" t="s">
        <v>86</v>
      </c>
      <c r="AO52" t="s">
        <v>86</v>
      </c>
      <c r="AP52" t="s">
        <v>92</v>
      </c>
      <c r="AQ52" s="3" t="str">
        <f>AO52</f>
        <v>-</v>
      </c>
      <c r="AR52" s="3" t="str">
        <f>AP52</f>
        <v>-</v>
      </c>
      <c r="AS52">
        <v>989</v>
      </c>
      <c r="AT52" t="s">
        <v>73</v>
      </c>
    </row>
    <row r="53" spans="1:46" x14ac:dyDescent="0.4">
      <c r="A53" t="s">
        <v>113</v>
      </c>
      <c r="B53">
        <v>210480</v>
      </c>
      <c r="C53">
        <v>210480</v>
      </c>
      <c r="D53">
        <v>4582130779583</v>
      </c>
      <c r="E53">
        <v>1000000479</v>
      </c>
      <c r="F53" t="s">
        <v>14</v>
      </c>
      <c r="G53" t="s">
        <v>51</v>
      </c>
      <c r="H53" t="s">
        <v>52</v>
      </c>
      <c r="I53">
        <v>0</v>
      </c>
      <c r="J53">
        <v>5131</v>
      </c>
      <c r="K53">
        <v>3739.2</v>
      </c>
      <c r="L53" s="12">
        <f t="shared" si="0"/>
        <v>0.27125316702397195</v>
      </c>
      <c r="M53">
        <v>5131</v>
      </c>
      <c r="N53">
        <v>4368.3999999999996</v>
      </c>
      <c r="O53">
        <v>4368.3999999999996</v>
      </c>
      <c r="P53" s="12">
        <f t="shared" si="1"/>
        <v>0.14862599883063737</v>
      </c>
      <c r="R53" s="15">
        <v>40</v>
      </c>
      <c r="S53">
        <v>5</v>
      </c>
      <c r="T53" t="s">
        <v>45</v>
      </c>
      <c r="U53" t="s">
        <v>75</v>
      </c>
      <c r="V53" s="5"/>
      <c r="W53">
        <v>5960</v>
      </c>
      <c r="X53" s="13">
        <f t="shared" si="2"/>
        <v>0.26704697986577186</v>
      </c>
      <c r="Y53" s="15">
        <f t="shared" si="7"/>
        <v>149</v>
      </c>
      <c r="Z53" s="12">
        <f>W53/M53</f>
        <v>1.1615669460144222</v>
      </c>
      <c r="AA53">
        <v>4368.3999999999996</v>
      </c>
      <c r="AB53" s="11">
        <v>4376</v>
      </c>
      <c r="AC53" s="12">
        <f>AA53/K53</f>
        <v>1.1682712879760375</v>
      </c>
      <c r="AG53" s="1"/>
      <c r="AH53" s="1"/>
      <c r="AL53" s="2"/>
      <c r="AM53" s="2"/>
      <c r="AQ53" s="3"/>
      <c r="AR53" s="3"/>
      <c r="AS53">
        <v>989</v>
      </c>
      <c r="AT53" t="s">
        <v>73</v>
      </c>
    </row>
    <row r="54" spans="1:46" x14ac:dyDescent="0.4">
      <c r="A54" t="s">
        <v>114</v>
      </c>
      <c r="B54" s="7">
        <v>210463</v>
      </c>
      <c r="C54" s="7">
        <v>210463</v>
      </c>
      <c r="D54">
        <v>4582130779439</v>
      </c>
      <c r="E54">
        <v>1000000479</v>
      </c>
      <c r="F54" t="s">
        <v>14</v>
      </c>
      <c r="G54" t="s">
        <v>40</v>
      </c>
      <c r="H54" t="s">
        <v>38</v>
      </c>
      <c r="I54">
        <v>0</v>
      </c>
      <c r="J54">
        <v>145</v>
      </c>
      <c r="K54">
        <v>93.48</v>
      </c>
      <c r="L54" s="12">
        <f t="shared" si="0"/>
        <v>0.35531034482758617</v>
      </c>
      <c r="M54">
        <v>145</v>
      </c>
      <c r="N54">
        <v>109.21</v>
      </c>
      <c r="O54">
        <v>4368.3999999999996</v>
      </c>
      <c r="P54" s="12">
        <f t="shared" si="1"/>
        <v>0.2468275862068966</v>
      </c>
      <c r="R54" s="15">
        <v>1</v>
      </c>
      <c r="S54">
        <v>5</v>
      </c>
      <c r="T54" t="s">
        <v>35</v>
      </c>
      <c r="U54" t="s">
        <v>75</v>
      </c>
      <c r="V54" s="5">
        <f>ROUND(J54*AC54,0)</f>
        <v>169</v>
      </c>
      <c r="W54">
        <v>168</v>
      </c>
      <c r="X54" s="13">
        <f t="shared" si="2"/>
        <v>0.34994047619047625</v>
      </c>
      <c r="Y54" s="15">
        <f t="shared" si="7"/>
        <v>168</v>
      </c>
      <c r="Z54" s="12">
        <f>W54/M54</f>
        <v>1.1586206896551725</v>
      </c>
      <c r="AA54">
        <v>109.21</v>
      </c>
      <c r="AB54" s="11">
        <v>109.4</v>
      </c>
      <c r="AC54" s="12">
        <f>AA54/K54</f>
        <v>1.1682712879760375</v>
      </c>
      <c r="AD54">
        <v>8470765</v>
      </c>
      <c r="AE54">
        <v>141</v>
      </c>
      <c r="AF54">
        <v>141</v>
      </c>
      <c r="AG54" s="1">
        <f>AE54</f>
        <v>141</v>
      </c>
      <c r="AH54" s="1">
        <f>AF54</f>
        <v>141</v>
      </c>
      <c r="AI54">
        <v>2192253</v>
      </c>
      <c r="AJ54">
        <v>141</v>
      </c>
      <c r="AK54">
        <v>141</v>
      </c>
      <c r="AL54" s="2">
        <f>AJ54</f>
        <v>141</v>
      </c>
      <c r="AM54" s="2">
        <f>AK54</f>
        <v>141</v>
      </c>
      <c r="AN54" t="s">
        <v>86</v>
      </c>
      <c r="AO54" t="s">
        <v>86</v>
      </c>
      <c r="AP54" t="s">
        <v>92</v>
      </c>
      <c r="AQ54" s="3" t="str">
        <f>AO54</f>
        <v>-</v>
      </c>
      <c r="AR54" s="3" t="str">
        <f>AP54</f>
        <v>-</v>
      </c>
      <c r="AS54">
        <v>989</v>
      </c>
      <c r="AT54" t="s">
        <v>73</v>
      </c>
    </row>
    <row r="55" spans="1:46" x14ac:dyDescent="0.4">
      <c r="A55" t="s">
        <v>114</v>
      </c>
      <c r="B55">
        <v>210463</v>
      </c>
      <c r="C55">
        <v>210463</v>
      </c>
      <c r="D55">
        <v>4582130779439</v>
      </c>
      <c r="E55">
        <v>1000000479</v>
      </c>
      <c r="F55" t="s">
        <v>14</v>
      </c>
      <c r="G55" t="s">
        <v>40</v>
      </c>
      <c r="H55" t="s">
        <v>38</v>
      </c>
      <c r="I55">
        <v>0</v>
      </c>
      <c r="J55">
        <v>145</v>
      </c>
      <c r="K55">
        <v>93.48</v>
      </c>
      <c r="L55" s="12">
        <f t="shared" si="0"/>
        <v>0.35531034482758617</v>
      </c>
      <c r="M55">
        <v>145</v>
      </c>
      <c r="N55">
        <v>109.21</v>
      </c>
      <c r="O55">
        <v>4368.3999999999996</v>
      </c>
      <c r="P55" s="12">
        <f t="shared" si="1"/>
        <v>0.2468275862068966</v>
      </c>
      <c r="R55" s="15">
        <v>1</v>
      </c>
      <c r="S55">
        <v>5</v>
      </c>
      <c r="T55" t="s">
        <v>35</v>
      </c>
      <c r="U55" t="s">
        <v>75</v>
      </c>
      <c r="V55" s="5"/>
      <c r="W55">
        <v>168</v>
      </c>
      <c r="X55" s="13">
        <f t="shared" si="2"/>
        <v>0.34994047619047625</v>
      </c>
      <c r="Y55" s="15">
        <f t="shared" si="7"/>
        <v>168</v>
      </c>
      <c r="Z55" s="12">
        <f>W55/M55</f>
        <v>1.1586206896551725</v>
      </c>
      <c r="AA55">
        <v>109.21</v>
      </c>
      <c r="AB55" s="11">
        <v>109.4</v>
      </c>
      <c r="AC55" s="12">
        <f>AA55/K55</f>
        <v>1.1682712879760375</v>
      </c>
      <c r="AG55" s="1"/>
      <c r="AH55" s="1"/>
      <c r="AL55" s="2"/>
      <c r="AM55" s="2"/>
      <c r="AQ55" s="3"/>
      <c r="AR55" s="3"/>
      <c r="AS55">
        <v>989</v>
      </c>
      <c r="AT55" t="s">
        <v>73</v>
      </c>
    </row>
    <row r="56" spans="1:46" x14ac:dyDescent="0.4">
      <c r="A56" t="s">
        <v>115</v>
      </c>
      <c r="B56" s="7">
        <v>210464</v>
      </c>
      <c r="C56" s="7">
        <v>210463</v>
      </c>
      <c r="D56">
        <v>4582130779439</v>
      </c>
      <c r="E56">
        <v>1000000479</v>
      </c>
      <c r="F56" t="s">
        <v>14</v>
      </c>
      <c r="G56" t="s">
        <v>37</v>
      </c>
      <c r="H56" t="s">
        <v>38</v>
      </c>
      <c r="I56">
        <v>0</v>
      </c>
      <c r="J56">
        <v>1333</v>
      </c>
      <c r="K56">
        <v>934.8</v>
      </c>
      <c r="L56" s="12">
        <f t="shared" si="0"/>
        <v>0.29872468117029261</v>
      </c>
      <c r="M56">
        <v>1333</v>
      </c>
      <c r="N56">
        <v>1092.0999999999999</v>
      </c>
      <c r="O56">
        <v>4368.3999999999996</v>
      </c>
      <c r="P56" s="12">
        <f t="shared" si="1"/>
        <v>0.18072018004501131</v>
      </c>
      <c r="R56" s="15">
        <v>10</v>
      </c>
      <c r="S56">
        <v>8</v>
      </c>
      <c r="T56" t="s">
        <v>21</v>
      </c>
      <c r="U56" t="s">
        <v>75</v>
      </c>
      <c r="V56" s="5">
        <f>ROUND(J56*AC56,0)</f>
        <v>1557</v>
      </c>
      <c r="W56">
        <v>1560</v>
      </c>
      <c r="X56" s="13">
        <f t="shared" si="2"/>
        <v>0.29993589743589749</v>
      </c>
      <c r="Y56" s="15">
        <f t="shared" si="7"/>
        <v>156</v>
      </c>
      <c r="Z56" s="12">
        <f>W56/M56</f>
        <v>1.1702925731432858</v>
      </c>
      <c r="AA56">
        <v>1092.0999999999999</v>
      </c>
      <c r="AB56" s="11">
        <v>1094</v>
      </c>
      <c r="AC56" s="12">
        <f>AA56/K56</f>
        <v>1.1682712879760375</v>
      </c>
      <c r="AD56">
        <v>8213329</v>
      </c>
      <c r="AE56">
        <v>1330</v>
      </c>
      <c r="AF56">
        <v>1330</v>
      </c>
      <c r="AG56" s="1">
        <f>AE56</f>
        <v>1330</v>
      </c>
      <c r="AH56" s="1">
        <f>AF56</f>
        <v>1330</v>
      </c>
      <c r="AI56">
        <v>7104039</v>
      </c>
      <c r="AJ56">
        <v>1320</v>
      </c>
      <c r="AK56">
        <v>1320</v>
      </c>
      <c r="AL56" s="2">
        <f>AJ56</f>
        <v>1320</v>
      </c>
      <c r="AM56" s="2">
        <f>AK56</f>
        <v>1320</v>
      </c>
      <c r="AN56">
        <v>41165331</v>
      </c>
      <c r="AO56">
        <v>2014</v>
      </c>
      <c r="AP56">
        <v>2014</v>
      </c>
      <c r="AQ56" s="3">
        <f>AO56</f>
        <v>2014</v>
      </c>
      <c r="AR56" s="3">
        <f>AP56</f>
        <v>2014</v>
      </c>
      <c r="AS56">
        <v>989</v>
      </c>
      <c r="AT56" t="s">
        <v>73</v>
      </c>
    </row>
    <row r="57" spans="1:46" x14ac:dyDescent="0.4">
      <c r="A57" t="s">
        <v>115</v>
      </c>
      <c r="B57">
        <v>210464</v>
      </c>
      <c r="C57">
        <v>210463</v>
      </c>
      <c r="D57">
        <v>4582130779439</v>
      </c>
      <c r="E57">
        <v>1000000479</v>
      </c>
      <c r="F57" t="s">
        <v>14</v>
      </c>
      <c r="G57" t="s">
        <v>37</v>
      </c>
      <c r="H57" t="s">
        <v>38</v>
      </c>
      <c r="I57">
        <v>0</v>
      </c>
      <c r="J57">
        <v>1333</v>
      </c>
      <c r="K57">
        <v>934.8</v>
      </c>
      <c r="L57" s="12">
        <f t="shared" si="0"/>
        <v>0.29872468117029261</v>
      </c>
      <c r="M57">
        <v>1333</v>
      </c>
      <c r="N57">
        <v>1092.0999999999999</v>
      </c>
      <c r="O57">
        <v>4368.3999999999996</v>
      </c>
      <c r="P57" s="12">
        <f t="shared" si="1"/>
        <v>0.18072018004501131</v>
      </c>
      <c r="R57" s="15">
        <v>10</v>
      </c>
      <c r="S57">
        <v>8</v>
      </c>
      <c r="T57" t="s">
        <v>21</v>
      </c>
      <c r="U57" t="s">
        <v>75</v>
      </c>
      <c r="V57" s="5"/>
      <c r="W57">
        <v>1560</v>
      </c>
      <c r="X57" s="13">
        <f t="shared" si="2"/>
        <v>0.29993589743589749</v>
      </c>
      <c r="Y57" s="15">
        <f t="shared" si="7"/>
        <v>156</v>
      </c>
      <c r="Z57" s="12">
        <f>W57/M57</f>
        <v>1.1702925731432858</v>
      </c>
      <c r="AA57">
        <v>1092.0999999999999</v>
      </c>
      <c r="AB57" s="11">
        <v>1094</v>
      </c>
      <c r="AC57" s="12">
        <f>AA57/K57</f>
        <v>1.1682712879760375</v>
      </c>
      <c r="AG57" s="1"/>
      <c r="AH57" s="1"/>
      <c r="AL57" s="2"/>
      <c r="AM57" s="2"/>
      <c r="AQ57" s="3"/>
      <c r="AR57" s="3"/>
      <c r="AS57">
        <v>989</v>
      </c>
      <c r="AT57" t="s">
        <v>73</v>
      </c>
    </row>
    <row r="58" spans="1:46" x14ac:dyDescent="0.4">
      <c r="A58" t="s">
        <v>39</v>
      </c>
      <c r="B58" t="s">
        <v>39</v>
      </c>
      <c r="C58">
        <v>210463</v>
      </c>
      <c r="D58">
        <v>4582130779439</v>
      </c>
      <c r="E58">
        <v>1000000479</v>
      </c>
      <c r="F58" t="s">
        <v>14</v>
      </c>
      <c r="G58" t="s">
        <v>37</v>
      </c>
      <c r="H58" t="s">
        <v>38</v>
      </c>
      <c r="I58">
        <v>0</v>
      </c>
      <c r="J58">
        <v>1280</v>
      </c>
      <c r="K58">
        <v>934.8</v>
      </c>
      <c r="L58" s="12">
        <f t="shared" si="0"/>
        <v>0.26968750000000002</v>
      </c>
      <c r="M58">
        <v>1280</v>
      </c>
      <c r="N58">
        <v>1092.0999999999999</v>
      </c>
      <c r="O58">
        <v>4368.3999999999996</v>
      </c>
      <c r="P58" s="12">
        <f t="shared" si="1"/>
        <v>0.14679687500000008</v>
      </c>
      <c r="S58">
        <v>98</v>
      </c>
      <c r="T58" t="s">
        <v>21</v>
      </c>
      <c r="U58" t="s">
        <v>75</v>
      </c>
      <c r="V58" s="5"/>
      <c r="W58" t="s">
        <v>86</v>
      </c>
      <c r="X58" s="13" t="e">
        <f t="shared" si="2"/>
        <v>#VALUE!</v>
      </c>
      <c r="Y58" s="13"/>
      <c r="Z58" s="12" t="e">
        <f>W58/M58</f>
        <v>#VALUE!</v>
      </c>
      <c r="AA58">
        <v>1092.0999999999999</v>
      </c>
      <c r="AB58" s="11">
        <v>1094</v>
      </c>
      <c r="AC58" s="12">
        <f>AA58/K58</f>
        <v>1.1682712879760375</v>
      </c>
      <c r="AG58" s="1"/>
      <c r="AH58" s="1"/>
      <c r="AL58" s="2"/>
      <c r="AM58" s="2"/>
      <c r="AQ58" s="3"/>
      <c r="AR58" s="3"/>
      <c r="AS58">
        <v>989</v>
      </c>
      <c r="AT58" t="s">
        <v>73</v>
      </c>
    </row>
    <row r="59" spans="1:46" x14ac:dyDescent="0.4">
      <c r="A59" t="s">
        <v>39</v>
      </c>
      <c r="B59" t="s">
        <v>39</v>
      </c>
      <c r="C59">
        <v>210463</v>
      </c>
      <c r="D59">
        <v>4582130779439</v>
      </c>
      <c r="E59">
        <v>1000000479</v>
      </c>
      <c r="F59" t="s">
        <v>14</v>
      </c>
      <c r="G59" t="s">
        <v>37</v>
      </c>
      <c r="H59" t="s">
        <v>38</v>
      </c>
      <c r="I59">
        <v>0</v>
      </c>
      <c r="J59">
        <v>1280</v>
      </c>
      <c r="K59">
        <v>934.8</v>
      </c>
      <c r="L59" s="12">
        <f t="shared" si="0"/>
        <v>0.26968750000000002</v>
      </c>
      <c r="M59">
        <v>1280</v>
      </c>
      <c r="N59">
        <v>1092.0999999999999</v>
      </c>
      <c r="O59">
        <v>4368.3999999999996</v>
      </c>
      <c r="P59" s="12">
        <f t="shared" si="1"/>
        <v>0.14679687500000008</v>
      </c>
      <c r="S59">
        <v>98</v>
      </c>
      <c r="T59" t="s">
        <v>21</v>
      </c>
      <c r="U59" t="s">
        <v>75</v>
      </c>
      <c r="V59" s="5"/>
      <c r="W59" t="s">
        <v>86</v>
      </c>
      <c r="X59" s="13" t="e">
        <f t="shared" si="2"/>
        <v>#VALUE!</v>
      </c>
      <c r="Y59" s="13"/>
      <c r="Z59" s="12" t="e">
        <f>W59/M59</f>
        <v>#VALUE!</v>
      </c>
      <c r="AA59">
        <v>1092.0999999999999</v>
      </c>
      <c r="AB59" s="11">
        <v>1094</v>
      </c>
      <c r="AC59" s="12">
        <f>AA59/K59</f>
        <v>1.1682712879760375</v>
      </c>
      <c r="AG59" s="1"/>
      <c r="AH59" s="1"/>
      <c r="AL59" s="2"/>
      <c r="AM59" s="2"/>
      <c r="AQ59" s="3"/>
      <c r="AR59" s="3"/>
      <c r="AS59">
        <v>989</v>
      </c>
      <c r="AT59" t="s">
        <v>73</v>
      </c>
    </row>
    <row r="60" spans="1:46" x14ac:dyDescent="0.4">
      <c r="A60" t="s">
        <v>116</v>
      </c>
      <c r="B60" s="7">
        <v>210477</v>
      </c>
      <c r="C60" s="7">
        <v>210477</v>
      </c>
      <c r="D60">
        <v>4582130779576</v>
      </c>
      <c r="E60">
        <v>1000000479</v>
      </c>
      <c r="F60" t="s">
        <v>14</v>
      </c>
      <c r="G60" t="s">
        <v>50</v>
      </c>
      <c r="H60" t="s">
        <v>38</v>
      </c>
      <c r="I60">
        <v>0</v>
      </c>
      <c r="J60">
        <v>5131</v>
      </c>
      <c r="K60">
        <v>3739.2</v>
      </c>
      <c r="L60" s="12">
        <f t="shared" si="0"/>
        <v>0.27125316702397195</v>
      </c>
      <c r="M60">
        <v>5131</v>
      </c>
      <c r="N60">
        <v>4368.3999999999996</v>
      </c>
      <c r="O60">
        <v>4368.3999999999996</v>
      </c>
      <c r="P60" s="12">
        <f t="shared" si="1"/>
        <v>0.14862599883063737</v>
      </c>
      <c r="R60" s="15">
        <v>40</v>
      </c>
      <c r="S60">
        <v>5</v>
      </c>
      <c r="T60" t="s">
        <v>45</v>
      </c>
      <c r="U60" t="s">
        <v>75</v>
      </c>
      <c r="V60" s="5">
        <f>ROUND(J60*AC60,0)</f>
        <v>5994</v>
      </c>
      <c r="W60">
        <v>5960</v>
      </c>
      <c r="X60" s="13">
        <f t="shared" si="2"/>
        <v>0.26704697986577186</v>
      </c>
      <c r="Y60" s="15">
        <f t="shared" ref="Y60:Y85" si="8">W60/R60</f>
        <v>149</v>
      </c>
      <c r="Z60" s="12">
        <f>W60/M60</f>
        <v>1.1615669460144222</v>
      </c>
      <c r="AA60">
        <v>4368.3999999999996</v>
      </c>
      <c r="AB60" s="11">
        <v>4376</v>
      </c>
      <c r="AC60" s="12">
        <f>AA60/K60</f>
        <v>1.1682712879760375</v>
      </c>
      <c r="AD60">
        <v>8231775</v>
      </c>
      <c r="AE60">
        <v>2618</v>
      </c>
      <c r="AF60">
        <v>2618</v>
      </c>
      <c r="AG60" s="1">
        <f>AE60/20*40</f>
        <v>5236</v>
      </c>
      <c r="AH60" s="1">
        <f>AF60/20*40</f>
        <v>5236</v>
      </c>
      <c r="AI60">
        <v>9115331</v>
      </c>
      <c r="AJ60">
        <v>10160</v>
      </c>
      <c r="AK60">
        <v>10160</v>
      </c>
      <c r="AL60" s="2">
        <f>AJ60/80*40</f>
        <v>5080</v>
      </c>
      <c r="AM60" s="2">
        <f>AK60/80*40</f>
        <v>5080</v>
      </c>
      <c r="AN60">
        <v>41403952</v>
      </c>
      <c r="AO60">
        <v>5923</v>
      </c>
      <c r="AP60">
        <v>5923</v>
      </c>
      <c r="AQ60" s="3">
        <f>AO60/30*40</f>
        <v>7897.3333333333339</v>
      </c>
      <c r="AR60" s="3">
        <f>AP60/30*40</f>
        <v>7897.3333333333339</v>
      </c>
      <c r="AS60">
        <v>989</v>
      </c>
      <c r="AT60" t="s">
        <v>73</v>
      </c>
    </row>
    <row r="61" spans="1:46" x14ac:dyDescent="0.4">
      <c r="A61" t="s">
        <v>116</v>
      </c>
      <c r="B61">
        <v>210477</v>
      </c>
      <c r="C61">
        <v>210477</v>
      </c>
      <c r="D61">
        <v>4582130779576</v>
      </c>
      <c r="E61">
        <v>1000000479</v>
      </c>
      <c r="F61" t="s">
        <v>14</v>
      </c>
      <c r="G61" t="s">
        <v>50</v>
      </c>
      <c r="H61" t="s">
        <v>38</v>
      </c>
      <c r="I61">
        <v>0</v>
      </c>
      <c r="J61">
        <v>5131</v>
      </c>
      <c r="K61">
        <v>3739.2</v>
      </c>
      <c r="L61" s="12">
        <f t="shared" si="0"/>
        <v>0.27125316702397195</v>
      </c>
      <c r="M61">
        <v>5131</v>
      </c>
      <c r="N61">
        <v>4368.3999999999996</v>
      </c>
      <c r="O61">
        <v>4368.3999999999996</v>
      </c>
      <c r="P61" s="12">
        <f t="shared" si="1"/>
        <v>0.14862599883063737</v>
      </c>
      <c r="R61" s="15">
        <v>40</v>
      </c>
      <c r="S61">
        <v>5</v>
      </c>
      <c r="T61" t="s">
        <v>45</v>
      </c>
      <c r="U61" t="s">
        <v>75</v>
      </c>
      <c r="V61" s="5"/>
      <c r="W61">
        <v>5960</v>
      </c>
      <c r="X61" s="13">
        <f t="shared" si="2"/>
        <v>0.26704697986577186</v>
      </c>
      <c r="Y61" s="15">
        <f t="shared" si="8"/>
        <v>149</v>
      </c>
      <c r="Z61" s="12">
        <f>W61/M61</f>
        <v>1.1615669460144222</v>
      </c>
      <c r="AA61">
        <v>4368.3999999999996</v>
      </c>
      <c r="AB61" s="11">
        <v>4376</v>
      </c>
      <c r="AC61" s="12">
        <f>AA61/K61</f>
        <v>1.1682712879760375</v>
      </c>
      <c r="AG61" s="1"/>
      <c r="AH61" s="1"/>
      <c r="AL61" s="2"/>
      <c r="AM61" s="2"/>
      <c r="AQ61" s="3"/>
      <c r="AR61" s="3"/>
      <c r="AS61">
        <v>989</v>
      </c>
      <c r="AT61" t="s">
        <v>73</v>
      </c>
    </row>
    <row r="62" spans="1:46" x14ac:dyDescent="0.4">
      <c r="A62" t="s">
        <v>117</v>
      </c>
      <c r="B62" s="7">
        <v>210422</v>
      </c>
      <c r="C62" s="7">
        <v>210422</v>
      </c>
      <c r="D62">
        <v>4582130779415</v>
      </c>
      <c r="E62">
        <v>1000000479</v>
      </c>
      <c r="F62" t="s">
        <v>14</v>
      </c>
      <c r="G62" t="s">
        <v>55</v>
      </c>
      <c r="H62" t="s">
        <v>56</v>
      </c>
      <c r="I62">
        <v>0</v>
      </c>
      <c r="J62">
        <v>145</v>
      </c>
      <c r="K62">
        <v>93.48</v>
      </c>
      <c r="L62" s="12">
        <f t="shared" si="0"/>
        <v>0.35531034482758617</v>
      </c>
      <c r="M62">
        <v>145</v>
      </c>
      <c r="N62">
        <v>109.21</v>
      </c>
      <c r="O62">
        <v>4368.3999999999996</v>
      </c>
      <c r="P62" s="12">
        <f t="shared" si="1"/>
        <v>0.2468275862068966</v>
      </c>
      <c r="R62" s="15">
        <v>1</v>
      </c>
      <c r="S62">
        <v>5</v>
      </c>
      <c r="T62" t="s">
        <v>35</v>
      </c>
      <c r="U62" t="s">
        <v>75</v>
      </c>
      <c r="V62" s="5">
        <f>ROUND(J62*AC62,0)</f>
        <v>169</v>
      </c>
      <c r="W62">
        <v>168</v>
      </c>
      <c r="X62" s="13">
        <f t="shared" si="2"/>
        <v>0.34994047619047625</v>
      </c>
      <c r="Y62" s="15">
        <f t="shared" si="8"/>
        <v>168</v>
      </c>
      <c r="Z62" s="12">
        <f>W62/M62</f>
        <v>1.1586206896551725</v>
      </c>
      <c r="AA62">
        <v>109.21</v>
      </c>
      <c r="AB62" s="11">
        <v>109.4</v>
      </c>
      <c r="AC62" s="12">
        <f>AA62/K62</f>
        <v>1.1682712879760375</v>
      </c>
      <c r="AD62">
        <v>8470729</v>
      </c>
      <c r="AE62">
        <v>141</v>
      </c>
      <c r="AF62">
        <v>141</v>
      </c>
      <c r="AG62" s="1">
        <f>AE62</f>
        <v>141</v>
      </c>
      <c r="AH62" s="1">
        <f>AF62</f>
        <v>141</v>
      </c>
      <c r="AI62">
        <v>2192284</v>
      </c>
      <c r="AJ62">
        <v>141</v>
      </c>
      <c r="AK62">
        <v>141</v>
      </c>
      <c r="AL62" s="2">
        <f>AJ62</f>
        <v>141</v>
      </c>
      <c r="AM62" s="2">
        <f>AK62</f>
        <v>141</v>
      </c>
      <c r="AN62" t="s">
        <v>86</v>
      </c>
      <c r="AO62" t="s">
        <v>86</v>
      </c>
      <c r="AP62" t="s">
        <v>92</v>
      </c>
      <c r="AQ62" s="3" t="str">
        <f>AO62</f>
        <v>-</v>
      </c>
      <c r="AR62" s="3" t="str">
        <f>AP62</f>
        <v>-</v>
      </c>
      <c r="AS62">
        <v>989</v>
      </c>
      <c r="AT62" t="s">
        <v>73</v>
      </c>
    </row>
    <row r="63" spans="1:46" x14ac:dyDescent="0.4">
      <c r="A63" t="s">
        <v>117</v>
      </c>
      <c r="B63">
        <v>210422</v>
      </c>
      <c r="C63">
        <v>210422</v>
      </c>
      <c r="D63">
        <v>4582130779415</v>
      </c>
      <c r="E63">
        <v>1000000479</v>
      </c>
      <c r="F63" t="s">
        <v>14</v>
      </c>
      <c r="G63" t="s">
        <v>55</v>
      </c>
      <c r="H63" t="s">
        <v>56</v>
      </c>
      <c r="I63">
        <v>0</v>
      </c>
      <c r="J63">
        <v>145</v>
      </c>
      <c r="K63">
        <v>93.48</v>
      </c>
      <c r="L63" s="12">
        <f t="shared" si="0"/>
        <v>0.35531034482758617</v>
      </c>
      <c r="M63">
        <v>145</v>
      </c>
      <c r="N63">
        <v>109.21</v>
      </c>
      <c r="O63">
        <v>4368.3999999999996</v>
      </c>
      <c r="P63" s="12">
        <f t="shared" si="1"/>
        <v>0.2468275862068966</v>
      </c>
      <c r="R63" s="15">
        <v>1</v>
      </c>
      <c r="S63">
        <v>5</v>
      </c>
      <c r="T63" t="s">
        <v>35</v>
      </c>
      <c r="U63" t="s">
        <v>75</v>
      </c>
      <c r="V63" s="5"/>
      <c r="W63">
        <v>168</v>
      </c>
      <c r="X63" s="13">
        <f t="shared" si="2"/>
        <v>0.34994047619047625</v>
      </c>
      <c r="Y63" s="15">
        <f t="shared" si="8"/>
        <v>168</v>
      </c>
      <c r="Z63" s="12">
        <f>W63/M63</f>
        <v>1.1586206896551725</v>
      </c>
      <c r="AA63">
        <v>109.21</v>
      </c>
      <c r="AB63" s="11">
        <v>109.4</v>
      </c>
      <c r="AC63" s="12">
        <f>AA63/K63</f>
        <v>1.1682712879760375</v>
      </c>
      <c r="AG63" s="1"/>
      <c r="AH63" s="1"/>
      <c r="AL63" s="2"/>
      <c r="AM63" s="2"/>
      <c r="AQ63" s="3"/>
      <c r="AR63" s="3"/>
      <c r="AS63">
        <v>989</v>
      </c>
      <c r="AT63" t="s">
        <v>73</v>
      </c>
    </row>
    <row r="64" spans="1:46" x14ac:dyDescent="0.4">
      <c r="A64" t="s">
        <v>118</v>
      </c>
      <c r="B64" s="7">
        <v>210460</v>
      </c>
      <c r="C64" s="7">
        <v>210422</v>
      </c>
      <c r="D64">
        <v>4582130779415</v>
      </c>
      <c r="E64">
        <v>1000000479</v>
      </c>
      <c r="F64" t="s">
        <v>14</v>
      </c>
      <c r="G64" t="s">
        <v>57</v>
      </c>
      <c r="H64" t="s">
        <v>56</v>
      </c>
      <c r="I64">
        <v>0</v>
      </c>
      <c r="J64">
        <v>1333</v>
      </c>
      <c r="K64">
        <v>934.8</v>
      </c>
      <c r="L64" s="12">
        <f t="shared" si="0"/>
        <v>0.29872468117029261</v>
      </c>
      <c r="M64">
        <v>1333</v>
      </c>
      <c r="N64">
        <v>1092.0999999999999</v>
      </c>
      <c r="O64">
        <v>4368.3999999999996</v>
      </c>
      <c r="P64" s="12">
        <f t="shared" si="1"/>
        <v>0.18072018004501131</v>
      </c>
      <c r="R64" s="15">
        <v>10</v>
      </c>
      <c r="S64">
        <v>8</v>
      </c>
      <c r="T64" t="s">
        <v>21</v>
      </c>
      <c r="U64" t="s">
        <v>75</v>
      </c>
      <c r="V64" s="5">
        <f>ROUND(J64*AC64,0)</f>
        <v>1557</v>
      </c>
      <c r="W64">
        <v>1560</v>
      </c>
      <c r="X64" s="13">
        <f t="shared" si="2"/>
        <v>0.29993589743589749</v>
      </c>
      <c r="Y64" s="15">
        <f t="shared" si="8"/>
        <v>156</v>
      </c>
      <c r="Z64" s="12">
        <f>W64/M64</f>
        <v>1.1702925731432858</v>
      </c>
      <c r="AA64">
        <v>1092.0999999999999</v>
      </c>
      <c r="AB64" s="11">
        <v>1094</v>
      </c>
      <c r="AC64" s="12">
        <f>AA64/K64</f>
        <v>1.1682712879760375</v>
      </c>
      <c r="AD64">
        <v>8213392</v>
      </c>
      <c r="AE64">
        <v>1330</v>
      </c>
      <c r="AF64">
        <v>1330</v>
      </c>
      <c r="AG64" s="1">
        <f>AE64</f>
        <v>1330</v>
      </c>
      <c r="AH64" s="1">
        <f>AF64</f>
        <v>1330</v>
      </c>
      <c r="AI64">
        <v>7104060</v>
      </c>
      <c r="AJ64">
        <v>1320</v>
      </c>
      <c r="AK64">
        <v>1320</v>
      </c>
      <c r="AL64" s="2">
        <f>AJ64</f>
        <v>1320</v>
      </c>
      <c r="AM64" s="2">
        <f>AK64</f>
        <v>1320</v>
      </c>
      <c r="AN64">
        <v>41165355</v>
      </c>
      <c r="AO64">
        <v>2014</v>
      </c>
      <c r="AP64">
        <v>2014</v>
      </c>
      <c r="AQ64" s="3">
        <f>AO64</f>
        <v>2014</v>
      </c>
      <c r="AR64" s="3">
        <f>AP64</f>
        <v>2014</v>
      </c>
      <c r="AS64">
        <v>989</v>
      </c>
      <c r="AT64" t="s">
        <v>73</v>
      </c>
    </row>
    <row r="65" spans="1:46" x14ac:dyDescent="0.4">
      <c r="A65" t="s">
        <v>118</v>
      </c>
      <c r="B65">
        <v>210460</v>
      </c>
      <c r="C65">
        <v>210422</v>
      </c>
      <c r="D65">
        <v>4582130779415</v>
      </c>
      <c r="E65">
        <v>1000000479</v>
      </c>
      <c r="F65" t="s">
        <v>14</v>
      </c>
      <c r="G65" t="s">
        <v>57</v>
      </c>
      <c r="H65" t="s">
        <v>56</v>
      </c>
      <c r="I65">
        <v>0</v>
      </c>
      <c r="J65">
        <v>1333</v>
      </c>
      <c r="K65">
        <v>934.8</v>
      </c>
      <c r="L65" s="12">
        <f t="shared" si="0"/>
        <v>0.29872468117029261</v>
      </c>
      <c r="M65">
        <v>1333</v>
      </c>
      <c r="N65">
        <v>1092.0999999999999</v>
      </c>
      <c r="O65">
        <v>4368.3999999999996</v>
      </c>
      <c r="P65" s="12">
        <f t="shared" si="1"/>
        <v>0.18072018004501131</v>
      </c>
      <c r="R65" s="15">
        <v>10</v>
      </c>
      <c r="S65">
        <v>8</v>
      </c>
      <c r="T65" t="s">
        <v>21</v>
      </c>
      <c r="U65" t="s">
        <v>75</v>
      </c>
      <c r="V65" s="5"/>
      <c r="W65">
        <v>1560</v>
      </c>
      <c r="X65" s="13">
        <f t="shared" si="2"/>
        <v>0.29993589743589749</v>
      </c>
      <c r="Y65" s="15">
        <f t="shared" si="8"/>
        <v>156</v>
      </c>
      <c r="Z65" s="12">
        <f>W65/M65</f>
        <v>1.1702925731432858</v>
      </c>
      <c r="AA65">
        <v>1092.0999999999999</v>
      </c>
      <c r="AB65" s="11">
        <v>1094</v>
      </c>
      <c r="AC65" s="12">
        <f>AA65/K65</f>
        <v>1.1682712879760375</v>
      </c>
      <c r="AG65" s="1"/>
      <c r="AH65" s="1"/>
      <c r="AL65" s="2"/>
      <c r="AM65" s="2"/>
      <c r="AQ65" s="3"/>
      <c r="AR65" s="3"/>
      <c r="AS65">
        <v>989</v>
      </c>
      <c r="AT65" t="s">
        <v>73</v>
      </c>
    </row>
    <row r="66" spans="1:46" x14ac:dyDescent="0.4">
      <c r="A66" t="s">
        <v>119</v>
      </c>
      <c r="B66" s="7">
        <v>210461</v>
      </c>
      <c r="C66" s="7">
        <v>210461</v>
      </c>
      <c r="D66">
        <v>4582130779569</v>
      </c>
      <c r="E66">
        <v>1000000479</v>
      </c>
      <c r="F66" t="s">
        <v>14</v>
      </c>
      <c r="G66" t="s">
        <v>61</v>
      </c>
      <c r="H66" t="s">
        <v>56</v>
      </c>
      <c r="I66">
        <v>0</v>
      </c>
      <c r="J66">
        <v>5079</v>
      </c>
      <c r="K66">
        <v>3739.2</v>
      </c>
      <c r="L66" s="12">
        <f t="shared" si="0"/>
        <v>0.26379208505611346</v>
      </c>
      <c r="M66">
        <v>5079</v>
      </c>
      <c r="N66">
        <v>4368.3999999999996</v>
      </c>
      <c r="O66">
        <v>4368.3999999999996</v>
      </c>
      <c r="P66" s="12">
        <f t="shared" si="1"/>
        <v>0.1399094309903525</v>
      </c>
      <c r="R66" s="15">
        <v>40</v>
      </c>
      <c r="S66">
        <v>5</v>
      </c>
      <c r="T66" t="s">
        <v>45</v>
      </c>
      <c r="U66" t="s">
        <v>75</v>
      </c>
      <c r="V66" s="5">
        <f>ROUND(J66*AC66,0)</f>
        <v>5934</v>
      </c>
      <c r="W66">
        <v>5960</v>
      </c>
      <c r="X66" s="13">
        <f t="shared" si="2"/>
        <v>0.26704697986577186</v>
      </c>
      <c r="Y66" s="15">
        <f t="shared" si="8"/>
        <v>149</v>
      </c>
      <c r="Z66" s="12">
        <f>W66/M66</f>
        <v>1.1734593423902342</v>
      </c>
      <c r="AA66">
        <v>4368.3999999999996</v>
      </c>
      <c r="AB66" s="11">
        <v>4376</v>
      </c>
      <c r="AC66" s="12">
        <f>AA66/K66</f>
        <v>1.1682712879760375</v>
      </c>
      <c r="AD66">
        <v>8231908</v>
      </c>
      <c r="AE66">
        <v>2618</v>
      </c>
      <c r="AF66">
        <v>2618</v>
      </c>
      <c r="AG66" s="1">
        <f>AE66/20*40</f>
        <v>5236</v>
      </c>
      <c r="AH66" s="1">
        <f>AF66/20*40</f>
        <v>5236</v>
      </c>
      <c r="AI66">
        <v>9115370</v>
      </c>
      <c r="AJ66">
        <v>10160</v>
      </c>
      <c r="AK66">
        <v>10160</v>
      </c>
      <c r="AL66" s="2">
        <f>AJ66/80*40</f>
        <v>5080</v>
      </c>
      <c r="AM66" s="2">
        <f>AK66/80*40</f>
        <v>5080</v>
      </c>
      <c r="AN66">
        <v>41403976</v>
      </c>
      <c r="AO66">
        <v>5923</v>
      </c>
      <c r="AP66">
        <v>5923</v>
      </c>
      <c r="AQ66" s="3">
        <f>AO66/30*40</f>
        <v>7897.3333333333339</v>
      </c>
      <c r="AR66" s="3">
        <f>AP66/30*40</f>
        <v>7897.3333333333339</v>
      </c>
      <c r="AS66">
        <v>989</v>
      </c>
      <c r="AT66" t="s">
        <v>73</v>
      </c>
    </row>
    <row r="67" spans="1:46" x14ac:dyDescent="0.4">
      <c r="A67" t="s">
        <v>119</v>
      </c>
      <c r="B67">
        <v>210461</v>
      </c>
      <c r="C67">
        <v>210461</v>
      </c>
      <c r="D67">
        <v>4582130779569</v>
      </c>
      <c r="E67">
        <v>1000000479</v>
      </c>
      <c r="F67" t="s">
        <v>14</v>
      </c>
      <c r="G67" t="s">
        <v>61</v>
      </c>
      <c r="H67" t="s">
        <v>56</v>
      </c>
      <c r="I67">
        <v>0</v>
      </c>
      <c r="J67">
        <v>5079</v>
      </c>
      <c r="K67">
        <v>3739.2</v>
      </c>
      <c r="L67" s="12">
        <f t="shared" si="0"/>
        <v>0.26379208505611346</v>
      </c>
      <c r="M67">
        <v>5079</v>
      </c>
      <c r="N67">
        <v>4368.3999999999996</v>
      </c>
      <c r="O67">
        <v>4368.3999999999996</v>
      </c>
      <c r="P67" s="12">
        <f t="shared" si="1"/>
        <v>0.1399094309903525</v>
      </c>
      <c r="R67" s="15">
        <v>40</v>
      </c>
      <c r="S67">
        <v>5</v>
      </c>
      <c r="T67" t="s">
        <v>45</v>
      </c>
      <c r="U67" t="s">
        <v>75</v>
      </c>
      <c r="V67" s="5"/>
      <c r="W67">
        <v>5960</v>
      </c>
      <c r="X67" s="13">
        <f t="shared" si="2"/>
        <v>0.26704697986577186</v>
      </c>
      <c r="Y67" s="15">
        <f t="shared" si="8"/>
        <v>149</v>
      </c>
      <c r="Z67" s="12">
        <f>W67/M67</f>
        <v>1.1734593423902342</v>
      </c>
      <c r="AA67">
        <v>4368.3999999999996</v>
      </c>
      <c r="AB67" s="11">
        <v>4376</v>
      </c>
      <c r="AC67" s="12">
        <f>AA67/K67</f>
        <v>1.1682712879760375</v>
      </c>
      <c r="AG67" s="1"/>
      <c r="AH67" s="1"/>
      <c r="AL67" s="2"/>
      <c r="AM67" s="2"/>
      <c r="AQ67" s="3"/>
      <c r="AR67" s="3"/>
      <c r="AS67">
        <v>989</v>
      </c>
      <c r="AT67" t="s">
        <v>73</v>
      </c>
    </row>
    <row r="68" spans="1:46" x14ac:dyDescent="0.4">
      <c r="A68" t="s">
        <v>120</v>
      </c>
      <c r="B68" s="7">
        <v>210529</v>
      </c>
      <c r="C68" s="7">
        <v>210529</v>
      </c>
      <c r="D68">
        <v>4582130779514</v>
      </c>
      <c r="E68">
        <v>1000000479</v>
      </c>
      <c r="F68" t="s">
        <v>14</v>
      </c>
      <c r="G68" t="s">
        <v>41</v>
      </c>
      <c r="H68" t="s">
        <v>42</v>
      </c>
      <c r="I68">
        <v>0</v>
      </c>
      <c r="J68">
        <v>317</v>
      </c>
      <c r="K68">
        <v>135.97</v>
      </c>
      <c r="L68" s="12">
        <f t="shared" ref="L68:L85" si="9">(J68-K68)/J68</f>
        <v>0.57107255520504729</v>
      </c>
      <c r="M68">
        <v>317</v>
      </c>
      <c r="N68">
        <v>158.35</v>
      </c>
      <c r="O68">
        <v>4750.5</v>
      </c>
      <c r="P68" s="12">
        <f t="shared" ref="P68:P85" si="10">(M68-N68)/M68</f>
        <v>0.50047318611987379</v>
      </c>
      <c r="R68" s="15">
        <v>1</v>
      </c>
      <c r="S68">
        <v>5</v>
      </c>
      <c r="T68" t="s">
        <v>35</v>
      </c>
      <c r="U68" t="s">
        <v>75</v>
      </c>
      <c r="V68" s="5">
        <f>ROUND(J68*AC68,0)</f>
        <v>369</v>
      </c>
      <c r="W68">
        <v>380</v>
      </c>
      <c r="X68" s="13">
        <f t="shared" ref="X68:X85" si="11">(W68-AA68)/W68</f>
        <v>0.58328947368421058</v>
      </c>
      <c r="Y68" s="15">
        <f t="shared" si="8"/>
        <v>380</v>
      </c>
      <c r="Z68" s="12">
        <f>W68/M68</f>
        <v>1.1987381703470033</v>
      </c>
      <c r="AA68">
        <v>158.35</v>
      </c>
      <c r="AB68" s="11">
        <v>159.1</v>
      </c>
      <c r="AC68" s="12">
        <f>AA68/K68</f>
        <v>1.1645951312789586</v>
      </c>
      <c r="AD68" t="s">
        <v>86</v>
      </c>
      <c r="AE68" t="s">
        <v>86</v>
      </c>
      <c r="AF68" t="s">
        <v>92</v>
      </c>
      <c r="AG68" s="1" t="str">
        <f>AE68</f>
        <v>-</v>
      </c>
      <c r="AH68" s="1" t="str">
        <f>AF68</f>
        <v>-</v>
      </c>
      <c r="AI68">
        <v>2140179</v>
      </c>
      <c r="AJ68">
        <v>406</v>
      </c>
      <c r="AK68">
        <v>406</v>
      </c>
      <c r="AL68" s="2">
        <f>AJ68</f>
        <v>406</v>
      </c>
      <c r="AM68" s="2">
        <f>AK68</f>
        <v>406</v>
      </c>
      <c r="AN68" t="s">
        <v>86</v>
      </c>
      <c r="AO68" t="s">
        <v>86</v>
      </c>
      <c r="AP68" t="s">
        <v>92</v>
      </c>
      <c r="AQ68" s="3" t="str">
        <f>AO68</f>
        <v>-</v>
      </c>
      <c r="AR68" s="3" t="str">
        <f>AP68</f>
        <v>-</v>
      </c>
      <c r="AS68">
        <v>989</v>
      </c>
      <c r="AT68" t="s">
        <v>73</v>
      </c>
    </row>
    <row r="69" spans="1:46" x14ac:dyDescent="0.4">
      <c r="A69" t="s">
        <v>120</v>
      </c>
      <c r="B69">
        <v>210529</v>
      </c>
      <c r="C69">
        <v>210529</v>
      </c>
      <c r="D69">
        <v>4582130779514</v>
      </c>
      <c r="E69">
        <v>1000000479</v>
      </c>
      <c r="F69" t="s">
        <v>14</v>
      </c>
      <c r="G69" t="s">
        <v>41</v>
      </c>
      <c r="H69" t="s">
        <v>42</v>
      </c>
      <c r="I69">
        <v>0</v>
      </c>
      <c r="J69">
        <v>317</v>
      </c>
      <c r="K69">
        <v>135.97</v>
      </c>
      <c r="L69" s="12">
        <f t="shared" si="9"/>
        <v>0.57107255520504729</v>
      </c>
      <c r="M69">
        <v>317</v>
      </c>
      <c r="N69">
        <v>158.35</v>
      </c>
      <c r="O69">
        <v>4750.5</v>
      </c>
      <c r="P69" s="12">
        <f t="shared" si="10"/>
        <v>0.50047318611987379</v>
      </c>
      <c r="R69" s="15">
        <v>1</v>
      </c>
      <c r="S69">
        <v>5</v>
      </c>
      <c r="T69" t="s">
        <v>35</v>
      </c>
      <c r="U69" t="s">
        <v>75</v>
      </c>
      <c r="V69" s="5"/>
      <c r="W69">
        <v>380</v>
      </c>
      <c r="X69" s="13">
        <f t="shared" si="11"/>
        <v>0.58328947368421058</v>
      </c>
      <c r="Y69" s="15">
        <f t="shared" si="8"/>
        <v>380</v>
      </c>
      <c r="Z69" s="12">
        <f>W69/M69</f>
        <v>1.1987381703470033</v>
      </c>
      <c r="AA69">
        <v>158.35</v>
      </c>
      <c r="AB69" s="11">
        <v>159.1</v>
      </c>
      <c r="AC69" s="12">
        <f>AA69/K69</f>
        <v>1.1645951312789586</v>
      </c>
      <c r="AG69" s="1"/>
      <c r="AH69" s="1"/>
      <c r="AL69" s="2"/>
      <c r="AM69" s="2"/>
      <c r="AQ69" s="3"/>
      <c r="AR69" s="3"/>
      <c r="AS69">
        <v>989</v>
      </c>
      <c r="AT69" t="s">
        <v>73</v>
      </c>
    </row>
    <row r="70" spans="1:46" x14ac:dyDescent="0.4">
      <c r="A70" t="s">
        <v>121</v>
      </c>
      <c r="B70" s="7">
        <v>210534</v>
      </c>
      <c r="C70" s="7">
        <v>210529</v>
      </c>
      <c r="D70">
        <v>4582130779514</v>
      </c>
      <c r="E70">
        <v>1000000479</v>
      </c>
      <c r="F70" t="s">
        <v>14</v>
      </c>
      <c r="G70" t="s">
        <v>43</v>
      </c>
      <c r="H70" t="s">
        <v>42</v>
      </c>
      <c r="I70">
        <v>0</v>
      </c>
      <c r="J70">
        <v>2955</v>
      </c>
      <c r="K70">
        <v>1359.7</v>
      </c>
      <c r="L70" s="12">
        <f t="shared" si="9"/>
        <v>0.53986463620981384</v>
      </c>
      <c r="M70">
        <v>2955</v>
      </c>
      <c r="N70">
        <v>1583.5</v>
      </c>
      <c r="O70">
        <v>4750.5</v>
      </c>
      <c r="P70" s="12">
        <f t="shared" si="10"/>
        <v>0.46412859560067682</v>
      </c>
      <c r="R70" s="15">
        <v>10</v>
      </c>
      <c r="S70">
        <v>8</v>
      </c>
      <c r="T70" t="s">
        <v>21</v>
      </c>
      <c r="U70" t="s">
        <v>75</v>
      </c>
      <c r="V70" s="5">
        <f>ROUND(J70*AC70,0)</f>
        <v>3441</v>
      </c>
      <c r="W70">
        <v>3500</v>
      </c>
      <c r="X70" s="13">
        <f t="shared" si="11"/>
        <v>0.5475714285714286</v>
      </c>
      <c r="Y70" s="15">
        <f t="shared" si="8"/>
        <v>350</v>
      </c>
      <c r="Z70" s="12">
        <f>W70/M70</f>
        <v>1.1844331641285957</v>
      </c>
      <c r="AA70">
        <v>1583.5</v>
      </c>
      <c r="AB70" s="11">
        <v>1591</v>
      </c>
      <c r="AC70" s="12">
        <f>AA70/K70</f>
        <v>1.1645951312789586</v>
      </c>
      <c r="AD70" t="s">
        <v>86</v>
      </c>
      <c r="AE70" t="s">
        <v>86</v>
      </c>
      <c r="AF70" t="s">
        <v>92</v>
      </c>
      <c r="AG70" s="1" t="str">
        <f>AE70</f>
        <v>-</v>
      </c>
      <c r="AH70" s="1" t="str">
        <f>AF70</f>
        <v>-</v>
      </c>
      <c r="AI70" t="s">
        <v>86</v>
      </c>
      <c r="AJ70" t="s">
        <v>86</v>
      </c>
      <c r="AK70" t="s">
        <v>92</v>
      </c>
      <c r="AL70" s="2" t="str">
        <f>AJ70</f>
        <v>-</v>
      </c>
      <c r="AM70" s="2" t="str">
        <f>AK70</f>
        <v>-</v>
      </c>
      <c r="AN70" t="s">
        <v>86</v>
      </c>
      <c r="AO70" t="s">
        <v>86</v>
      </c>
      <c r="AP70" t="s">
        <v>92</v>
      </c>
      <c r="AQ70" s="3" t="str">
        <f>AO70</f>
        <v>-</v>
      </c>
      <c r="AR70" s="3" t="str">
        <f>AP70</f>
        <v>-</v>
      </c>
      <c r="AS70">
        <v>989</v>
      </c>
      <c r="AT70" t="s">
        <v>73</v>
      </c>
    </row>
    <row r="71" spans="1:46" x14ac:dyDescent="0.4">
      <c r="A71" t="s">
        <v>121</v>
      </c>
      <c r="B71">
        <v>210534</v>
      </c>
      <c r="C71">
        <v>210529</v>
      </c>
      <c r="D71">
        <v>4582130779514</v>
      </c>
      <c r="E71">
        <v>1000000479</v>
      </c>
      <c r="F71" t="s">
        <v>14</v>
      </c>
      <c r="G71" t="s">
        <v>43</v>
      </c>
      <c r="H71" t="s">
        <v>42</v>
      </c>
      <c r="I71">
        <v>0</v>
      </c>
      <c r="J71">
        <v>2955</v>
      </c>
      <c r="K71">
        <v>1359.7</v>
      </c>
      <c r="L71" s="12">
        <f t="shared" si="9"/>
        <v>0.53986463620981384</v>
      </c>
      <c r="M71">
        <v>2955</v>
      </c>
      <c r="N71">
        <v>1583.5</v>
      </c>
      <c r="O71">
        <v>4750.5</v>
      </c>
      <c r="P71" s="12">
        <f t="shared" si="10"/>
        <v>0.46412859560067682</v>
      </c>
      <c r="R71" s="15">
        <v>10</v>
      </c>
      <c r="S71">
        <v>8</v>
      </c>
      <c r="T71" t="s">
        <v>21</v>
      </c>
      <c r="U71" t="s">
        <v>75</v>
      </c>
      <c r="V71" s="5"/>
      <c r="W71">
        <v>3500</v>
      </c>
      <c r="X71" s="13">
        <f t="shared" si="11"/>
        <v>0.5475714285714286</v>
      </c>
      <c r="Y71" s="15">
        <f t="shared" si="8"/>
        <v>350</v>
      </c>
      <c r="Z71" s="12">
        <f>W71/M71</f>
        <v>1.1844331641285957</v>
      </c>
      <c r="AA71">
        <v>1583.5</v>
      </c>
      <c r="AB71" s="11">
        <v>1591</v>
      </c>
      <c r="AC71" s="12">
        <f>AA71/K71</f>
        <v>1.1645951312789586</v>
      </c>
      <c r="AG71" s="1"/>
      <c r="AH71" s="1"/>
      <c r="AL71" s="2"/>
      <c r="AM71" s="2"/>
      <c r="AQ71" s="3"/>
      <c r="AR71" s="3"/>
      <c r="AS71">
        <v>989</v>
      </c>
      <c r="AT71" t="s">
        <v>73</v>
      </c>
    </row>
    <row r="72" spans="1:46" x14ac:dyDescent="0.4">
      <c r="A72" t="s">
        <v>122</v>
      </c>
      <c r="B72" s="7">
        <v>210556</v>
      </c>
      <c r="C72" s="7">
        <v>210556</v>
      </c>
      <c r="D72">
        <v>4582130779613</v>
      </c>
      <c r="E72">
        <v>1000000479</v>
      </c>
      <c r="F72" t="s">
        <v>14</v>
      </c>
      <c r="G72" t="s">
        <v>60</v>
      </c>
      <c r="H72" t="s">
        <v>42</v>
      </c>
      <c r="I72">
        <v>0</v>
      </c>
      <c r="J72">
        <v>8735</v>
      </c>
      <c r="K72">
        <v>4079.1</v>
      </c>
      <c r="L72" s="12">
        <f t="shared" si="9"/>
        <v>0.53301659988551797</v>
      </c>
      <c r="M72">
        <v>8735</v>
      </c>
      <c r="N72">
        <v>4750.5</v>
      </c>
      <c r="O72">
        <v>4750.5</v>
      </c>
      <c r="P72" s="12">
        <f t="shared" si="10"/>
        <v>0.45615340583858044</v>
      </c>
      <c r="R72" s="15">
        <v>30</v>
      </c>
      <c r="S72">
        <v>5</v>
      </c>
      <c r="T72" t="s">
        <v>45</v>
      </c>
      <c r="U72" t="s">
        <v>75</v>
      </c>
      <c r="V72" s="5">
        <f>ROUND(J72*AC72,0)</f>
        <v>10173</v>
      </c>
      <c r="W72">
        <v>9980</v>
      </c>
      <c r="X72" s="13">
        <f t="shared" si="11"/>
        <v>0.52399799599198393</v>
      </c>
      <c r="Y72" s="15">
        <f t="shared" si="8"/>
        <v>332.66666666666669</v>
      </c>
      <c r="Z72" s="12">
        <f>W72/M72</f>
        <v>1.1425300515168861</v>
      </c>
      <c r="AA72">
        <v>4750.5</v>
      </c>
      <c r="AB72" s="11">
        <v>4773</v>
      </c>
      <c r="AC72" s="12">
        <f>AA72/K72</f>
        <v>1.1645951312789586</v>
      </c>
      <c r="AD72" t="s">
        <v>86</v>
      </c>
      <c r="AE72" t="s">
        <v>86</v>
      </c>
      <c r="AF72" t="s">
        <v>92</v>
      </c>
      <c r="AG72" s="1" t="str">
        <f>AE72</f>
        <v>-</v>
      </c>
      <c r="AH72" s="1" t="str">
        <f>AF72</f>
        <v>-</v>
      </c>
      <c r="AI72" t="s">
        <v>86</v>
      </c>
      <c r="AJ72" t="s">
        <v>86</v>
      </c>
      <c r="AK72" t="s">
        <v>92</v>
      </c>
      <c r="AL72" s="2" t="str">
        <f>AJ72</f>
        <v>-</v>
      </c>
      <c r="AM72" s="2" t="str">
        <f>AK72</f>
        <v>-</v>
      </c>
      <c r="AN72" t="s">
        <v>86</v>
      </c>
      <c r="AO72" t="s">
        <v>86</v>
      </c>
      <c r="AP72" t="s">
        <v>92</v>
      </c>
      <c r="AQ72" s="3" t="str">
        <f>AO72</f>
        <v>-</v>
      </c>
      <c r="AR72" s="3" t="str">
        <f>AP72</f>
        <v>-</v>
      </c>
      <c r="AS72">
        <v>989</v>
      </c>
      <c r="AT72" t="s">
        <v>73</v>
      </c>
    </row>
    <row r="73" spans="1:46" x14ac:dyDescent="0.4">
      <c r="A73" t="s">
        <v>122</v>
      </c>
      <c r="B73">
        <v>210556</v>
      </c>
      <c r="C73">
        <v>210556</v>
      </c>
      <c r="D73">
        <v>4582130779613</v>
      </c>
      <c r="E73">
        <v>1000000479</v>
      </c>
      <c r="F73" t="s">
        <v>14</v>
      </c>
      <c r="G73" t="s">
        <v>60</v>
      </c>
      <c r="H73" t="s">
        <v>42</v>
      </c>
      <c r="I73">
        <v>0</v>
      </c>
      <c r="J73">
        <v>8735</v>
      </c>
      <c r="K73">
        <v>4079.1</v>
      </c>
      <c r="L73" s="12">
        <f t="shared" si="9"/>
        <v>0.53301659988551797</v>
      </c>
      <c r="M73">
        <v>8735</v>
      </c>
      <c r="N73">
        <v>4750.5</v>
      </c>
      <c r="O73">
        <v>4750.5</v>
      </c>
      <c r="P73" s="12">
        <f t="shared" si="10"/>
        <v>0.45615340583858044</v>
      </c>
      <c r="R73" s="15">
        <v>30</v>
      </c>
      <c r="S73">
        <v>5</v>
      </c>
      <c r="T73" t="s">
        <v>45</v>
      </c>
      <c r="U73" t="s">
        <v>75</v>
      </c>
      <c r="V73" s="5"/>
      <c r="W73">
        <v>9980</v>
      </c>
      <c r="X73" s="13">
        <f t="shared" si="11"/>
        <v>0.52399799599198393</v>
      </c>
      <c r="Y73" s="15">
        <f t="shared" si="8"/>
        <v>332.66666666666669</v>
      </c>
      <c r="Z73" s="12">
        <f>W73/M73</f>
        <v>1.1425300515168861</v>
      </c>
      <c r="AA73">
        <v>4750.5</v>
      </c>
      <c r="AB73" s="11">
        <v>4773</v>
      </c>
      <c r="AC73" s="12">
        <f>AA73/K73</f>
        <v>1.1645951312789586</v>
      </c>
      <c r="AG73" s="1"/>
      <c r="AH73" s="1"/>
      <c r="AL73" s="2"/>
      <c r="AM73" s="2"/>
      <c r="AQ73" s="3"/>
      <c r="AR73" s="3"/>
      <c r="AS73">
        <v>989</v>
      </c>
      <c r="AT73" t="s">
        <v>73</v>
      </c>
    </row>
    <row r="74" spans="1:46" x14ac:dyDescent="0.4">
      <c r="A74" t="s">
        <v>123</v>
      </c>
      <c r="B74" s="7">
        <v>210517</v>
      </c>
      <c r="C74" s="7">
        <v>210517</v>
      </c>
      <c r="D74">
        <v>4582130779491</v>
      </c>
      <c r="E74">
        <v>1000000479</v>
      </c>
      <c r="F74" t="s">
        <v>14</v>
      </c>
      <c r="G74" t="s">
        <v>70</v>
      </c>
      <c r="H74" t="s">
        <v>65</v>
      </c>
      <c r="I74">
        <v>0</v>
      </c>
      <c r="J74">
        <v>317</v>
      </c>
      <c r="K74">
        <v>135.97</v>
      </c>
      <c r="L74" s="12">
        <f t="shared" si="9"/>
        <v>0.57107255520504729</v>
      </c>
      <c r="M74">
        <v>317</v>
      </c>
      <c r="N74">
        <v>158.35</v>
      </c>
      <c r="O74">
        <v>4750.5</v>
      </c>
      <c r="P74" s="12">
        <f t="shared" si="10"/>
        <v>0.50047318611987379</v>
      </c>
      <c r="R74" s="15">
        <v>1</v>
      </c>
      <c r="S74">
        <v>5</v>
      </c>
      <c r="T74" t="s">
        <v>35</v>
      </c>
      <c r="U74" t="s">
        <v>75</v>
      </c>
      <c r="V74" s="5">
        <f>ROUND(J74*AC74,0)</f>
        <v>369</v>
      </c>
      <c r="W74">
        <v>380</v>
      </c>
      <c r="X74" s="13">
        <f t="shared" si="11"/>
        <v>0.58328947368421058</v>
      </c>
      <c r="Y74" s="15">
        <f t="shared" si="8"/>
        <v>380</v>
      </c>
      <c r="Z74" s="12">
        <f>W74/M74</f>
        <v>1.1987381703470033</v>
      </c>
      <c r="AA74">
        <v>158.35</v>
      </c>
      <c r="AB74" s="11">
        <v>159.1</v>
      </c>
      <c r="AC74" s="12">
        <f>AA74/K74</f>
        <v>1.1645951312789586</v>
      </c>
      <c r="AD74">
        <v>3570740</v>
      </c>
      <c r="AE74">
        <v>288</v>
      </c>
      <c r="AF74">
        <v>288</v>
      </c>
      <c r="AG74" s="1">
        <f>AE74</f>
        <v>288</v>
      </c>
      <c r="AH74" s="1">
        <f>AF74</f>
        <v>288</v>
      </c>
      <c r="AI74">
        <v>2140162</v>
      </c>
      <c r="AJ74">
        <v>406</v>
      </c>
      <c r="AK74">
        <v>406</v>
      </c>
      <c r="AL74" s="2">
        <f>AJ74</f>
        <v>406</v>
      </c>
      <c r="AM74" s="2">
        <f>AK74</f>
        <v>406</v>
      </c>
      <c r="AN74">
        <v>42112273</v>
      </c>
      <c r="AO74">
        <v>2561</v>
      </c>
      <c r="AP74">
        <v>2561</v>
      </c>
      <c r="AQ74" s="3">
        <f>AO74/5*1</f>
        <v>512.20000000000005</v>
      </c>
      <c r="AR74" s="3">
        <f>AP74/5*1</f>
        <v>512.20000000000005</v>
      </c>
      <c r="AS74">
        <v>989</v>
      </c>
      <c r="AT74" t="s">
        <v>73</v>
      </c>
    </row>
    <row r="75" spans="1:46" x14ac:dyDescent="0.4">
      <c r="A75" t="s">
        <v>123</v>
      </c>
      <c r="B75">
        <v>210517</v>
      </c>
      <c r="C75">
        <v>210517</v>
      </c>
      <c r="D75">
        <v>4582130779491</v>
      </c>
      <c r="E75">
        <v>1000000479</v>
      </c>
      <c r="F75" t="s">
        <v>14</v>
      </c>
      <c r="G75" t="s">
        <v>70</v>
      </c>
      <c r="H75" t="s">
        <v>65</v>
      </c>
      <c r="I75">
        <v>0</v>
      </c>
      <c r="J75">
        <v>317</v>
      </c>
      <c r="K75">
        <v>135.97</v>
      </c>
      <c r="L75" s="12">
        <f t="shared" si="9"/>
        <v>0.57107255520504729</v>
      </c>
      <c r="M75">
        <v>317</v>
      </c>
      <c r="N75">
        <v>158.35</v>
      </c>
      <c r="O75">
        <v>4750.5</v>
      </c>
      <c r="P75" s="12">
        <f t="shared" si="10"/>
        <v>0.50047318611987379</v>
      </c>
      <c r="R75" s="15">
        <v>1</v>
      </c>
      <c r="S75">
        <v>5</v>
      </c>
      <c r="T75" t="s">
        <v>35</v>
      </c>
      <c r="U75" t="s">
        <v>75</v>
      </c>
      <c r="V75" s="5"/>
      <c r="W75">
        <v>380</v>
      </c>
      <c r="X75" s="13">
        <f t="shared" si="11"/>
        <v>0.58328947368421058</v>
      </c>
      <c r="Y75" s="15">
        <f t="shared" si="8"/>
        <v>380</v>
      </c>
      <c r="Z75" s="12">
        <f>W75/M75</f>
        <v>1.1987381703470033</v>
      </c>
      <c r="AA75">
        <v>158.35</v>
      </c>
      <c r="AB75" s="11">
        <v>159.1</v>
      </c>
      <c r="AC75" s="12">
        <f>AA75/K75</f>
        <v>1.1645951312789586</v>
      </c>
      <c r="AG75" s="1"/>
      <c r="AH75" s="1"/>
      <c r="AL75" s="2"/>
      <c r="AM75" s="2"/>
      <c r="AQ75" s="3"/>
      <c r="AR75" s="3"/>
      <c r="AS75">
        <v>989</v>
      </c>
      <c r="AT75" t="s">
        <v>73</v>
      </c>
    </row>
    <row r="76" spans="1:46" x14ac:dyDescent="0.4">
      <c r="A76" t="s">
        <v>124</v>
      </c>
      <c r="B76" s="7">
        <v>210518</v>
      </c>
      <c r="C76" s="7">
        <v>210517</v>
      </c>
      <c r="D76">
        <v>4582130779491</v>
      </c>
      <c r="E76">
        <v>1000000479</v>
      </c>
      <c r="F76" t="s">
        <v>14</v>
      </c>
      <c r="G76" t="s">
        <v>71</v>
      </c>
      <c r="H76" t="s">
        <v>65</v>
      </c>
      <c r="I76">
        <v>0</v>
      </c>
      <c r="J76">
        <v>2680</v>
      </c>
      <c r="K76">
        <v>1359.7</v>
      </c>
      <c r="L76" s="12">
        <f t="shared" si="9"/>
        <v>0.49264925373134327</v>
      </c>
      <c r="M76">
        <v>2955</v>
      </c>
      <c r="N76">
        <v>1583.5</v>
      </c>
      <c r="O76">
        <v>4750.5</v>
      </c>
      <c r="P76" s="12">
        <f t="shared" si="10"/>
        <v>0.46412859560067682</v>
      </c>
      <c r="R76" s="15">
        <v>10</v>
      </c>
      <c r="S76">
        <v>8</v>
      </c>
      <c r="T76" t="s">
        <v>21</v>
      </c>
      <c r="U76" t="s">
        <v>75</v>
      </c>
      <c r="V76" s="5">
        <f>ROUND(J76*AC76,0)</f>
        <v>3121</v>
      </c>
      <c r="W76">
        <v>3500</v>
      </c>
      <c r="X76" s="13">
        <f t="shared" si="11"/>
        <v>0.5475714285714286</v>
      </c>
      <c r="Y76" s="15">
        <f t="shared" si="8"/>
        <v>350</v>
      </c>
      <c r="Z76" s="12">
        <f>W76/M76</f>
        <v>1.1844331641285957</v>
      </c>
      <c r="AA76">
        <v>1583.5</v>
      </c>
      <c r="AB76" s="11">
        <v>1591</v>
      </c>
      <c r="AC76" s="12">
        <f>AA76/K76</f>
        <v>1.1645951312789586</v>
      </c>
      <c r="AD76">
        <v>4019341</v>
      </c>
      <c r="AE76">
        <v>2728</v>
      </c>
      <c r="AF76">
        <v>2728</v>
      </c>
      <c r="AG76" s="1">
        <f>AE76</f>
        <v>2728</v>
      </c>
      <c r="AH76" s="1">
        <f>AF76</f>
        <v>2728</v>
      </c>
      <c r="AI76" t="s">
        <v>86</v>
      </c>
      <c r="AJ76" t="s">
        <v>86</v>
      </c>
      <c r="AK76" t="s">
        <v>92</v>
      </c>
      <c r="AL76" s="2" t="str">
        <f>AJ76</f>
        <v>-</v>
      </c>
      <c r="AM76" s="2" t="str">
        <f>AK76</f>
        <v>-</v>
      </c>
      <c r="AN76">
        <v>42120865</v>
      </c>
      <c r="AO76">
        <v>4833</v>
      </c>
      <c r="AP76">
        <v>4833</v>
      </c>
      <c r="AQ76" s="3">
        <f>AO76</f>
        <v>4833</v>
      </c>
      <c r="AR76" s="3">
        <f>AP76</f>
        <v>4833</v>
      </c>
      <c r="AS76">
        <v>989</v>
      </c>
      <c r="AT76" t="s">
        <v>73</v>
      </c>
    </row>
    <row r="77" spans="1:46" x14ac:dyDescent="0.4">
      <c r="A77" t="s">
        <v>124</v>
      </c>
      <c r="B77">
        <v>210518</v>
      </c>
      <c r="C77">
        <v>210517</v>
      </c>
      <c r="D77">
        <v>4582130779491</v>
      </c>
      <c r="E77">
        <v>1000000479</v>
      </c>
      <c r="F77" t="s">
        <v>14</v>
      </c>
      <c r="G77" t="s">
        <v>71</v>
      </c>
      <c r="H77" t="s">
        <v>65</v>
      </c>
      <c r="I77">
        <v>0</v>
      </c>
      <c r="J77">
        <v>2680</v>
      </c>
      <c r="K77">
        <v>1359.7</v>
      </c>
      <c r="L77" s="12">
        <f t="shared" si="9"/>
        <v>0.49264925373134327</v>
      </c>
      <c r="M77">
        <v>2955</v>
      </c>
      <c r="N77">
        <v>1583.5</v>
      </c>
      <c r="O77">
        <v>4750.5</v>
      </c>
      <c r="P77" s="12">
        <f t="shared" si="10"/>
        <v>0.46412859560067682</v>
      </c>
      <c r="R77" s="15">
        <v>10</v>
      </c>
      <c r="S77">
        <v>8</v>
      </c>
      <c r="T77" t="s">
        <v>21</v>
      </c>
      <c r="U77" t="s">
        <v>75</v>
      </c>
      <c r="V77" s="5"/>
      <c r="W77">
        <v>3500</v>
      </c>
      <c r="X77" s="13">
        <f t="shared" si="11"/>
        <v>0.5475714285714286</v>
      </c>
      <c r="Y77" s="15">
        <f t="shared" si="8"/>
        <v>350</v>
      </c>
      <c r="Z77" s="12">
        <f>W77/M77</f>
        <v>1.1844331641285957</v>
      </c>
      <c r="AA77">
        <v>1583.5</v>
      </c>
      <c r="AB77" s="11">
        <v>1591</v>
      </c>
      <c r="AC77" s="12">
        <f>AA77/K77</f>
        <v>1.1645951312789586</v>
      </c>
      <c r="AG77" s="1"/>
      <c r="AH77" s="1"/>
      <c r="AL77" s="2"/>
      <c r="AM77" s="2"/>
      <c r="AQ77" s="3"/>
      <c r="AR77" s="3"/>
      <c r="AS77">
        <v>989</v>
      </c>
      <c r="AT77" t="s">
        <v>73</v>
      </c>
    </row>
    <row r="78" spans="1:46" x14ac:dyDescent="0.4">
      <c r="A78" t="s">
        <v>125</v>
      </c>
      <c r="B78" s="7">
        <v>210520</v>
      </c>
      <c r="C78" s="7">
        <v>210520</v>
      </c>
      <c r="D78">
        <v>4582130779606</v>
      </c>
      <c r="E78">
        <v>1000000479</v>
      </c>
      <c r="F78" t="s">
        <v>14</v>
      </c>
      <c r="G78" t="s">
        <v>64</v>
      </c>
      <c r="H78" t="s">
        <v>65</v>
      </c>
      <c r="I78">
        <v>0</v>
      </c>
      <c r="J78">
        <v>5796</v>
      </c>
      <c r="K78">
        <v>4079.1</v>
      </c>
      <c r="L78" s="12">
        <f t="shared" si="9"/>
        <v>0.29622153209109731</v>
      </c>
      <c r="M78">
        <v>5796</v>
      </c>
      <c r="N78">
        <v>4750.5</v>
      </c>
      <c r="O78">
        <v>4750.5</v>
      </c>
      <c r="P78" s="12">
        <f t="shared" si="10"/>
        <v>0.18038302277432713</v>
      </c>
      <c r="R78" s="15">
        <v>30</v>
      </c>
      <c r="S78">
        <v>5</v>
      </c>
      <c r="T78" t="s">
        <v>45</v>
      </c>
      <c r="U78" t="s">
        <v>75</v>
      </c>
      <c r="V78" s="5">
        <f>ROUND(J78*AC78,0)</f>
        <v>6750</v>
      </c>
      <c r="W78">
        <v>9980</v>
      </c>
      <c r="X78" s="13">
        <f t="shared" si="11"/>
        <v>0.52399799599198393</v>
      </c>
      <c r="Y78" s="15">
        <f t="shared" si="8"/>
        <v>332.66666666666669</v>
      </c>
      <c r="Z78" s="12">
        <f>W78/M78</f>
        <v>1.7218771566597653</v>
      </c>
      <c r="AA78">
        <v>4750.5</v>
      </c>
      <c r="AB78" s="11">
        <v>4773</v>
      </c>
      <c r="AC78" s="12">
        <f>AA78/K78</f>
        <v>1.1645951312789586</v>
      </c>
      <c r="AD78">
        <v>4019360</v>
      </c>
      <c r="AE78">
        <v>5455</v>
      </c>
      <c r="AF78">
        <v>5455</v>
      </c>
      <c r="AG78" s="1">
        <f>AE78/20*30</f>
        <v>8182.5</v>
      </c>
      <c r="AH78" s="1">
        <f>AF78/20*30</f>
        <v>8182.5</v>
      </c>
      <c r="AI78" t="s">
        <v>86</v>
      </c>
      <c r="AJ78" t="s">
        <v>86</v>
      </c>
      <c r="AK78" t="s">
        <v>92</v>
      </c>
      <c r="AL78" s="2" t="str">
        <f>AJ78</f>
        <v>-</v>
      </c>
      <c r="AM78" s="2" t="str">
        <f>AK78</f>
        <v>-</v>
      </c>
      <c r="AN78">
        <v>42120889</v>
      </c>
      <c r="AO78">
        <v>13340</v>
      </c>
      <c r="AP78">
        <v>13340</v>
      </c>
      <c r="AQ78" s="3">
        <f>AO78</f>
        <v>13340</v>
      </c>
      <c r="AR78" s="3">
        <f>AP78</f>
        <v>13340</v>
      </c>
      <c r="AS78">
        <v>989</v>
      </c>
      <c r="AT78" t="s">
        <v>73</v>
      </c>
    </row>
    <row r="79" spans="1:46" x14ac:dyDescent="0.4">
      <c r="A79" t="s">
        <v>125</v>
      </c>
      <c r="B79">
        <v>210520</v>
      </c>
      <c r="C79">
        <v>210520</v>
      </c>
      <c r="D79">
        <v>4582130779606</v>
      </c>
      <c r="E79">
        <v>1000000479</v>
      </c>
      <c r="F79" t="s">
        <v>14</v>
      </c>
      <c r="G79" t="s">
        <v>64</v>
      </c>
      <c r="H79" t="s">
        <v>65</v>
      </c>
      <c r="I79">
        <v>0</v>
      </c>
      <c r="J79">
        <v>5796</v>
      </c>
      <c r="K79">
        <v>4079.1</v>
      </c>
      <c r="L79" s="12">
        <f t="shared" si="9"/>
        <v>0.29622153209109731</v>
      </c>
      <c r="M79">
        <v>5796</v>
      </c>
      <c r="N79">
        <v>4750.5</v>
      </c>
      <c r="O79">
        <v>4750.5</v>
      </c>
      <c r="P79" s="12">
        <f t="shared" si="10"/>
        <v>0.18038302277432713</v>
      </c>
      <c r="R79" s="15">
        <v>30</v>
      </c>
      <c r="S79">
        <v>5</v>
      </c>
      <c r="T79" t="s">
        <v>45</v>
      </c>
      <c r="U79" t="s">
        <v>75</v>
      </c>
      <c r="V79" s="5"/>
      <c r="W79">
        <v>9980</v>
      </c>
      <c r="X79" s="13">
        <f t="shared" si="11"/>
        <v>0.52399799599198393</v>
      </c>
      <c r="Y79" s="15">
        <f t="shared" si="8"/>
        <v>332.66666666666669</v>
      </c>
      <c r="Z79" s="12">
        <f>W79/M79</f>
        <v>1.7218771566597653</v>
      </c>
      <c r="AA79">
        <v>4750.5</v>
      </c>
      <c r="AB79" s="11">
        <v>4773</v>
      </c>
      <c r="AC79" s="12">
        <f>AA79/K79</f>
        <v>1.1645951312789586</v>
      </c>
      <c r="AG79" s="1"/>
      <c r="AH79" s="1"/>
      <c r="AL79" s="2"/>
      <c r="AM79" s="2"/>
      <c r="AQ79" s="3"/>
      <c r="AR79" s="3"/>
      <c r="AS79">
        <v>989</v>
      </c>
      <c r="AT79" t="s">
        <v>73</v>
      </c>
    </row>
    <row r="80" spans="1:46" x14ac:dyDescent="0.4">
      <c r="A80" t="s">
        <v>126</v>
      </c>
      <c r="B80" s="7">
        <v>210514</v>
      </c>
      <c r="C80" s="7">
        <v>210514</v>
      </c>
      <c r="D80">
        <v>4582130779477</v>
      </c>
      <c r="E80">
        <v>1000000479</v>
      </c>
      <c r="F80" t="s">
        <v>14</v>
      </c>
      <c r="G80" t="s">
        <v>68</v>
      </c>
      <c r="H80" t="s">
        <v>63</v>
      </c>
      <c r="I80">
        <v>0</v>
      </c>
      <c r="J80">
        <v>317</v>
      </c>
      <c r="K80">
        <v>135.97</v>
      </c>
      <c r="L80" s="12">
        <f t="shared" si="9"/>
        <v>0.57107255520504729</v>
      </c>
      <c r="M80">
        <v>317</v>
      </c>
      <c r="N80">
        <v>158.35</v>
      </c>
      <c r="O80">
        <v>4750.5</v>
      </c>
      <c r="P80" s="12">
        <f t="shared" si="10"/>
        <v>0.50047318611987379</v>
      </c>
      <c r="R80" s="15">
        <v>1</v>
      </c>
      <c r="S80">
        <v>5</v>
      </c>
      <c r="T80" t="s">
        <v>35</v>
      </c>
      <c r="U80" t="s">
        <v>75</v>
      </c>
      <c r="V80" s="5">
        <f>ROUND(J80*AC80,0)</f>
        <v>369</v>
      </c>
      <c r="W80">
        <v>380</v>
      </c>
      <c r="X80" s="13">
        <f t="shared" si="11"/>
        <v>0.58328947368421058</v>
      </c>
      <c r="Y80" s="15">
        <f t="shared" si="8"/>
        <v>380</v>
      </c>
      <c r="Z80" s="12">
        <f>W80/M80</f>
        <v>1.1987381703470033</v>
      </c>
      <c r="AA80">
        <v>158.35</v>
      </c>
      <c r="AB80" s="11">
        <v>159.1</v>
      </c>
      <c r="AC80" s="12">
        <f>AA80/K80</f>
        <v>1.1645951312789586</v>
      </c>
      <c r="AD80" t="s">
        <v>86</v>
      </c>
      <c r="AE80" t="s">
        <v>86</v>
      </c>
      <c r="AF80" t="s">
        <v>92</v>
      </c>
      <c r="AG80" s="1" t="str">
        <f>AE80</f>
        <v>-</v>
      </c>
      <c r="AH80" s="1" t="str">
        <f>AF80</f>
        <v>-</v>
      </c>
      <c r="AI80">
        <v>2140148</v>
      </c>
      <c r="AJ80">
        <v>406</v>
      </c>
      <c r="AK80">
        <v>406</v>
      </c>
      <c r="AL80" s="2">
        <f>AJ80</f>
        <v>406</v>
      </c>
      <c r="AM80" s="2">
        <f>AK80</f>
        <v>406</v>
      </c>
      <c r="AN80" t="s">
        <v>86</v>
      </c>
      <c r="AO80" t="s">
        <v>86</v>
      </c>
      <c r="AP80" t="s">
        <v>92</v>
      </c>
      <c r="AQ80" s="3" t="str">
        <f>AO80</f>
        <v>-</v>
      </c>
      <c r="AR80" s="3" t="str">
        <f>AP80</f>
        <v>-</v>
      </c>
      <c r="AS80">
        <v>989</v>
      </c>
      <c r="AT80" t="s">
        <v>73</v>
      </c>
    </row>
    <row r="81" spans="1:46" x14ac:dyDescent="0.4">
      <c r="A81" t="s">
        <v>126</v>
      </c>
      <c r="B81">
        <v>210514</v>
      </c>
      <c r="C81">
        <v>210514</v>
      </c>
      <c r="D81">
        <v>4582130779477</v>
      </c>
      <c r="E81">
        <v>1000000479</v>
      </c>
      <c r="F81" t="s">
        <v>14</v>
      </c>
      <c r="G81" t="s">
        <v>68</v>
      </c>
      <c r="H81" t="s">
        <v>63</v>
      </c>
      <c r="I81">
        <v>0</v>
      </c>
      <c r="J81">
        <v>317</v>
      </c>
      <c r="K81">
        <v>135.97</v>
      </c>
      <c r="L81" s="12">
        <f t="shared" si="9"/>
        <v>0.57107255520504729</v>
      </c>
      <c r="M81">
        <v>317</v>
      </c>
      <c r="N81">
        <v>158.35</v>
      </c>
      <c r="O81">
        <v>4750.5</v>
      </c>
      <c r="P81" s="12">
        <f t="shared" si="10"/>
        <v>0.50047318611987379</v>
      </c>
      <c r="R81" s="15">
        <v>1</v>
      </c>
      <c r="S81">
        <v>5</v>
      </c>
      <c r="T81" t="s">
        <v>35</v>
      </c>
      <c r="U81" t="s">
        <v>75</v>
      </c>
      <c r="V81" s="5"/>
      <c r="W81">
        <v>380</v>
      </c>
      <c r="X81" s="13">
        <f t="shared" si="11"/>
        <v>0.58328947368421058</v>
      </c>
      <c r="Y81" s="15">
        <f t="shared" si="8"/>
        <v>380</v>
      </c>
      <c r="Z81" s="12">
        <f>W81/M81</f>
        <v>1.1987381703470033</v>
      </c>
      <c r="AA81">
        <v>158.35</v>
      </c>
      <c r="AB81" s="11">
        <v>159.1</v>
      </c>
      <c r="AC81" s="12">
        <f>AA81/K81</f>
        <v>1.1645951312789586</v>
      </c>
      <c r="AG81" s="1"/>
      <c r="AH81" s="1"/>
      <c r="AL81" s="2"/>
      <c r="AM81" s="2"/>
      <c r="AQ81" s="3"/>
      <c r="AR81" s="3"/>
      <c r="AS81">
        <v>989</v>
      </c>
      <c r="AT81" t="s">
        <v>73</v>
      </c>
    </row>
    <row r="82" spans="1:46" x14ac:dyDescent="0.4">
      <c r="A82" t="s">
        <v>127</v>
      </c>
      <c r="B82" s="7">
        <v>210515</v>
      </c>
      <c r="C82" s="7">
        <v>210514</v>
      </c>
      <c r="D82">
        <v>4582130779477</v>
      </c>
      <c r="E82">
        <v>1000000479</v>
      </c>
      <c r="F82" t="s">
        <v>14</v>
      </c>
      <c r="G82" t="s">
        <v>69</v>
      </c>
      <c r="H82" t="s">
        <v>63</v>
      </c>
      <c r="I82">
        <v>0</v>
      </c>
      <c r="J82">
        <v>2680</v>
      </c>
      <c r="K82">
        <v>1359.7</v>
      </c>
      <c r="L82" s="12">
        <f t="shared" si="9"/>
        <v>0.49264925373134327</v>
      </c>
      <c r="M82">
        <v>2955</v>
      </c>
      <c r="N82">
        <v>1583.5</v>
      </c>
      <c r="O82">
        <v>4750.5</v>
      </c>
      <c r="P82" s="12">
        <f t="shared" si="10"/>
        <v>0.46412859560067682</v>
      </c>
      <c r="R82" s="15">
        <v>10</v>
      </c>
      <c r="S82">
        <v>8</v>
      </c>
      <c r="T82" t="s">
        <v>21</v>
      </c>
      <c r="U82" t="s">
        <v>75</v>
      </c>
      <c r="V82" s="5">
        <f>ROUND(J82*AC82,0)</f>
        <v>3121</v>
      </c>
      <c r="W82">
        <v>3500</v>
      </c>
      <c r="X82" s="13">
        <f t="shared" si="11"/>
        <v>0.5475714285714286</v>
      </c>
      <c r="Y82" s="15">
        <f t="shared" si="8"/>
        <v>350</v>
      </c>
      <c r="Z82" s="12">
        <f>W82/M82</f>
        <v>1.1844331641285957</v>
      </c>
      <c r="AA82">
        <v>1583.5</v>
      </c>
      <c r="AB82" s="11">
        <v>1591</v>
      </c>
      <c r="AC82" s="12">
        <f>AA82/K82</f>
        <v>1.1645951312789586</v>
      </c>
      <c r="AD82" t="s">
        <v>86</v>
      </c>
      <c r="AE82" t="s">
        <v>86</v>
      </c>
      <c r="AF82" t="s">
        <v>92</v>
      </c>
      <c r="AG82" s="1" t="str">
        <f>AE82</f>
        <v>-</v>
      </c>
      <c r="AH82" s="1" t="str">
        <f>AF82</f>
        <v>-</v>
      </c>
      <c r="AI82" t="s">
        <v>86</v>
      </c>
      <c r="AJ82" t="s">
        <v>86</v>
      </c>
      <c r="AK82" t="s">
        <v>92</v>
      </c>
      <c r="AL82" s="2" t="str">
        <f>AJ82</f>
        <v>-</v>
      </c>
      <c r="AM82" s="2" t="str">
        <f>AK82</f>
        <v>-</v>
      </c>
      <c r="AN82" t="s">
        <v>86</v>
      </c>
      <c r="AO82" t="s">
        <v>86</v>
      </c>
      <c r="AP82" t="s">
        <v>92</v>
      </c>
      <c r="AQ82" s="3" t="str">
        <f>AO82</f>
        <v>-</v>
      </c>
      <c r="AR82" s="3" t="str">
        <f>AP82</f>
        <v>-</v>
      </c>
      <c r="AS82">
        <v>989</v>
      </c>
      <c r="AT82" t="s">
        <v>73</v>
      </c>
    </row>
    <row r="83" spans="1:46" x14ac:dyDescent="0.4">
      <c r="A83" t="s">
        <v>127</v>
      </c>
      <c r="B83">
        <v>210515</v>
      </c>
      <c r="C83">
        <v>210514</v>
      </c>
      <c r="D83">
        <v>4582130779477</v>
      </c>
      <c r="E83">
        <v>1000000479</v>
      </c>
      <c r="F83" t="s">
        <v>14</v>
      </c>
      <c r="G83" t="s">
        <v>69</v>
      </c>
      <c r="H83" t="s">
        <v>63</v>
      </c>
      <c r="I83">
        <v>0</v>
      </c>
      <c r="J83">
        <v>2680</v>
      </c>
      <c r="K83">
        <v>1359.7</v>
      </c>
      <c r="L83" s="12">
        <f t="shared" si="9"/>
        <v>0.49264925373134327</v>
      </c>
      <c r="M83">
        <v>2955</v>
      </c>
      <c r="N83">
        <v>1583.5</v>
      </c>
      <c r="O83">
        <v>4750.5</v>
      </c>
      <c r="P83" s="12">
        <f t="shared" si="10"/>
        <v>0.46412859560067682</v>
      </c>
      <c r="R83" s="15">
        <v>10</v>
      </c>
      <c r="S83">
        <v>8</v>
      </c>
      <c r="T83" t="s">
        <v>21</v>
      </c>
      <c r="U83" t="s">
        <v>75</v>
      </c>
      <c r="V83" s="5"/>
      <c r="W83">
        <v>3500</v>
      </c>
      <c r="X83" s="13">
        <f t="shared" si="11"/>
        <v>0.5475714285714286</v>
      </c>
      <c r="Y83" s="15">
        <f t="shared" si="8"/>
        <v>350</v>
      </c>
      <c r="Z83" s="12">
        <f>W83/M83</f>
        <v>1.1844331641285957</v>
      </c>
      <c r="AA83">
        <v>1583.5</v>
      </c>
      <c r="AB83" s="11">
        <v>1591</v>
      </c>
      <c r="AC83" s="12">
        <f>AA83/K83</f>
        <v>1.1645951312789586</v>
      </c>
      <c r="AG83" s="1"/>
      <c r="AH83" s="1"/>
      <c r="AL83" s="2"/>
      <c r="AM83" s="2"/>
      <c r="AQ83" s="3"/>
      <c r="AR83" s="3"/>
      <c r="AS83">
        <v>989</v>
      </c>
      <c r="AT83" t="s">
        <v>73</v>
      </c>
    </row>
    <row r="84" spans="1:46" x14ac:dyDescent="0.4">
      <c r="A84" t="s">
        <v>128</v>
      </c>
      <c r="B84" s="7">
        <v>210516</v>
      </c>
      <c r="C84" s="7">
        <v>210516</v>
      </c>
      <c r="D84">
        <v>4582130779590</v>
      </c>
      <c r="E84">
        <v>1000000479</v>
      </c>
      <c r="F84" t="s">
        <v>14</v>
      </c>
      <c r="G84" t="s">
        <v>62</v>
      </c>
      <c r="H84" t="s">
        <v>63</v>
      </c>
      <c r="I84">
        <v>0</v>
      </c>
      <c r="J84">
        <v>6024</v>
      </c>
      <c r="K84">
        <v>4079.1</v>
      </c>
      <c r="L84" s="12">
        <f t="shared" si="9"/>
        <v>0.32285856573705179</v>
      </c>
      <c r="M84">
        <v>6024</v>
      </c>
      <c r="N84">
        <v>4750.5</v>
      </c>
      <c r="O84">
        <v>4750.5</v>
      </c>
      <c r="P84" s="12">
        <f t="shared" si="10"/>
        <v>0.21140438247011953</v>
      </c>
      <c r="R84" s="15">
        <v>30</v>
      </c>
      <c r="S84">
        <v>5</v>
      </c>
      <c r="T84" t="s">
        <v>45</v>
      </c>
      <c r="U84" t="s">
        <v>75</v>
      </c>
      <c r="V84" s="5">
        <f>ROUND(J84*AC84,0)</f>
        <v>7016</v>
      </c>
      <c r="W84">
        <v>9980</v>
      </c>
      <c r="X84" s="13">
        <f t="shared" si="11"/>
        <v>0.52399799599198393</v>
      </c>
      <c r="Y84" s="15">
        <f t="shared" si="8"/>
        <v>332.66666666666669</v>
      </c>
      <c r="Z84" s="12">
        <f>W84/M84</f>
        <v>1.6567065073041169</v>
      </c>
      <c r="AA84">
        <v>4750.5</v>
      </c>
      <c r="AB84" s="11">
        <v>4773</v>
      </c>
      <c r="AC84" s="12">
        <f>AA84/K84</f>
        <v>1.1645951312789586</v>
      </c>
      <c r="AD84" t="s">
        <v>86</v>
      </c>
      <c r="AE84" t="s">
        <v>86</v>
      </c>
      <c r="AF84" t="s">
        <v>92</v>
      </c>
      <c r="AG84" s="1" t="str">
        <f>AE84</f>
        <v>-</v>
      </c>
      <c r="AH84" s="1" t="str">
        <f>AF84</f>
        <v>-</v>
      </c>
      <c r="AI84" t="s">
        <v>86</v>
      </c>
      <c r="AJ84" t="s">
        <v>86</v>
      </c>
      <c r="AK84" t="s">
        <v>92</v>
      </c>
      <c r="AL84" s="2" t="str">
        <f>AJ84</f>
        <v>-</v>
      </c>
      <c r="AM84" s="2" t="str">
        <f>AK84</f>
        <v>-</v>
      </c>
      <c r="AN84" t="s">
        <v>86</v>
      </c>
      <c r="AO84" t="s">
        <v>86</v>
      </c>
      <c r="AP84" t="s">
        <v>92</v>
      </c>
      <c r="AQ84" s="3" t="str">
        <f>AO84</f>
        <v>-</v>
      </c>
      <c r="AR84" s="3" t="str">
        <f>AP84</f>
        <v>-</v>
      </c>
      <c r="AS84">
        <v>989</v>
      </c>
      <c r="AT84" t="s">
        <v>73</v>
      </c>
    </row>
    <row r="85" spans="1:46" x14ac:dyDescent="0.4">
      <c r="A85" t="s">
        <v>128</v>
      </c>
      <c r="B85">
        <v>210516</v>
      </c>
      <c r="C85">
        <v>210516</v>
      </c>
      <c r="D85">
        <v>4582130779590</v>
      </c>
      <c r="E85">
        <v>1000000479</v>
      </c>
      <c r="F85" t="s">
        <v>14</v>
      </c>
      <c r="G85" t="s">
        <v>62</v>
      </c>
      <c r="H85" t="s">
        <v>63</v>
      </c>
      <c r="I85">
        <v>0</v>
      </c>
      <c r="J85">
        <v>6024</v>
      </c>
      <c r="K85">
        <v>4079.1</v>
      </c>
      <c r="L85" s="12">
        <f t="shared" si="9"/>
        <v>0.32285856573705179</v>
      </c>
      <c r="M85">
        <v>6024</v>
      </c>
      <c r="N85">
        <v>4750.5</v>
      </c>
      <c r="O85">
        <v>4750.5</v>
      </c>
      <c r="P85" s="12">
        <f t="shared" si="10"/>
        <v>0.21140438247011953</v>
      </c>
      <c r="R85" s="15">
        <v>30</v>
      </c>
      <c r="S85">
        <v>5</v>
      </c>
      <c r="T85" t="s">
        <v>45</v>
      </c>
      <c r="U85" t="s">
        <v>75</v>
      </c>
      <c r="V85" s="5"/>
      <c r="W85">
        <v>9980</v>
      </c>
      <c r="X85" s="13">
        <f t="shared" si="11"/>
        <v>0.52399799599198393</v>
      </c>
      <c r="Y85" s="15">
        <f t="shared" si="8"/>
        <v>332.66666666666669</v>
      </c>
      <c r="Z85" s="12">
        <f>W85/M85</f>
        <v>1.6567065073041169</v>
      </c>
      <c r="AA85">
        <v>4750.5</v>
      </c>
      <c r="AB85" s="11">
        <v>4773</v>
      </c>
      <c r="AC85" s="12">
        <f>AA85/K85</f>
        <v>1.1645951312789586</v>
      </c>
      <c r="AG85" s="1"/>
      <c r="AH85" s="1"/>
      <c r="AL85" s="2"/>
      <c r="AM85" s="2"/>
      <c r="AQ85" s="3"/>
      <c r="AR85" s="3"/>
      <c r="AS85">
        <v>989</v>
      </c>
      <c r="AT85" t="s">
        <v>73</v>
      </c>
    </row>
  </sheetData>
  <sortState xmlns:xlrd2="http://schemas.microsoft.com/office/spreadsheetml/2017/richdata2" ref="B3:AT86">
    <sortCondition ref="G3:G86"/>
  </sortState>
  <phoneticPr fontId="1"/>
  <conditionalFormatting sqref="AF3:AF84">
    <cfRule type="cellIs" dxfId="2" priority="3" operator="notEqual">
      <formula>$AE3</formula>
    </cfRule>
  </conditionalFormatting>
  <conditionalFormatting sqref="AK3:AK84">
    <cfRule type="cellIs" dxfId="1" priority="2" operator="notEqual">
      <formula>$AJ3</formula>
    </cfRule>
  </conditionalFormatting>
  <conditionalFormatting sqref="AP3:AP84">
    <cfRule type="cellIs" dxfId="0" priority="1" operator="notEqual">
      <formula>$AO3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鶴巻 幸宏</dc:creator>
  <cp:lastModifiedBy>須永 英里子</cp:lastModifiedBy>
  <dcterms:created xsi:type="dcterms:W3CDTF">2026-05-28T01:19:02Z</dcterms:created>
  <dcterms:modified xsi:type="dcterms:W3CDTF">2026-06-15T06:36:46Z</dcterms:modified>
</cp:coreProperties>
</file>