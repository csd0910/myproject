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ﾌ_富士工業_108\価格改定\20260430_4月末セキスイ\"/>
    </mc:Choice>
  </mc:AlternateContent>
  <xr:revisionPtr revIDLastSave="0" documentId="13_ncr:1_{5755DB09-8819-4C27-9B2A-C27548487A28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5" i="1" l="1"/>
  <c r="AC6" i="1"/>
  <c r="AC7" i="1"/>
  <c r="AC4" i="1"/>
  <c r="AO5" i="1"/>
  <c r="AP5" i="1"/>
  <c r="AQ5" i="1"/>
  <c r="AR5" i="1"/>
  <c r="AS5" i="1"/>
  <c r="AT5" i="1"/>
  <c r="AO6" i="1"/>
  <c r="AP6" i="1"/>
  <c r="AQ6" i="1"/>
  <c r="AR6" i="1"/>
  <c r="AS6" i="1"/>
  <c r="AT6" i="1"/>
  <c r="AO7" i="1"/>
  <c r="AP7" i="1"/>
  <c r="AQ7" i="1"/>
  <c r="AR7" i="1"/>
  <c r="AS7" i="1"/>
  <c r="AT7" i="1"/>
  <c r="AT4" i="1"/>
  <c r="AS4" i="1"/>
  <c r="AR4" i="1"/>
  <c r="AO4" i="1" l="1"/>
  <c r="AQ4" i="1"/>
  <c r="AP4" i="1"/>
  <c r="BB5" i="1" l="1"/>
  <c r="AB5" i="1" s="1"/>
  <c r="BB6" i="1"/>
  <c r="AB6" i="1" s="1"/>
  <c r="BB7" i="1"/>
  <c r="AB7" i="1" s="1"/>
  <c r="BB4" i="1"/>
  <c r="AB4" i="1" s="1"/>
  <c r="X5" i="1"/>
  <c r="AG5" i="1" s="1"/>
  <c r="X6" i="1"/>
  <c r="AN6" i="1" s="1"/>
  <c r="X7" i="1"/>
  <c r="AH7" i="1" s="1"/>
  <c r="V5" i="1"/>
  <c r="AL5" i="1" s="1"/>
  <c r="V6" i="1"/>
  <c r="AL6" i="1" s="1"/>
  <c r="V7" i="1"/>
  <c r="AL7" i="1" s="1"/>
  <c r="C5" i="1"/>
  <c r="C6" i="1"/>
  <c r="C7" i="1"/>
  <c r="C4" i="1"/>
  <c r="X4" i="1"/>
  <c r="AG4" i="1" s="1"/>
  <c r="V4" i="1"/>
  <c r="AL4" i="1" s="1"/>
  <c r="AM4" i="1"/>
  <c r="AM7" i="1"/>
  <c r="N7" i="1"/>
  <c r="AM6" i="1"/>
  <c r="N6" i="1"/>
  <c r="AM5" i="1"/>
  <c r="N5" i="1"/>
  <c r="N4" i="1"/>
  <c r="AN5" i="1" l="1"/>
  <c r="AE5" i="1" s="1"/>
  <c r="Z6" i="1"/>
  <c r="AA6" i="1" s="1"/>
  <c r="AE6" i="1"/>
  <c r="AH6" i="1"/>
  <c r="AG7" i="1"/>
  <c r="AH5" i="1"/>
  <c r="AN7" i="1"/>
  <c r="AG6" i="1"/>
  <c r="AJ4" i="1"/>
  <c r="AK4" i="1"/>
  <c r="AH4" i="1"/>
  <c r="AN4" i="1"/>
  <c r="Z5" i="1" l="1"/>
  <c r="AA5" i="1" s="1"/>
  <c r="Z7" i="1"/>
  <c r="AA7" i="1" s="1"/>
  <c r="AE7" i="1"/>
  <c r="Z4" i="1"/>
  <c r="AA4" i="1" s="1"/>
  <c r="AE4" i="1"/>
</calcChain>
</file>

<file path=xl/sharedStrings.xml><?xml version="1.0" encoding="utf-8"?>
<sst xmlns="http://schemas.openxmlformats.org/spreadsheetml/2006/main" count="90" uniqueCount="73">
  <si>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</si>
  <si>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</si>
  <si>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</si>
  <si>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</si>
  <si>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</si>
  <si>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</si>
  <si>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</si>
  <si>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</si>
  <si>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</si>
  <si>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</si>
  <si>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</si>
  <si>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</si>
  <si>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</si>
  <si>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</si>
  <si>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</si>
  <si>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</si>
  <si>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</si>
  <si>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</si>
  <si>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</si>
  <si>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</si>
  <si>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</si>
  <si>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</si>
  <si>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</si>
  <si>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</si>
  <si>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</si>
  <si>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</si>
  <si>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</si>
  <si>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</si>
  <si>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</si>
  <si>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</si>
  <si>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</si>
  <si>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</si>
  <si>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</si>
  <si>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</si>
  <si>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</si>
  <si>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</si>
  <si>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</si>
  <si>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</si>
  <si>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</si>
  <si>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</si>
  <si>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</si>
  <si>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</si>
  <si>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</si>
  <si>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</si>
  <si>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</si>
  <si>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</si>
  <si>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</si>
  <si>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</si>
  <si>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</si>
  <si>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</si>
  <si>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</si>
  <si>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</si>
  <si>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</si>
  <si>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</si>
  <si>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</si>
  <si>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</si>
  <si>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</si>
  <si>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</si>
  <si>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</si>
  <si>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</si>
  <si>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</si>
  <si>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34/155</t>
  </si>
  <si>
    <t>G)ｾｷｽｲ/ｾﾛﾃｰﾌﾟ NO.252 幅15mm×50m 10巻/C252×03</t>
  </si>
  <si>
    <t>G)ｾｷｽｲ/ｾﾛﾃｰﾌﾟ NO.252 幅15mm×70m 10巻/C252×13</t>
  </si>
  <si>
    <t>G)ｾｷｽｲ/ｾﾛﾃｰﾌﾟ NO.252 幅18mm×50m 10巻/C252×04</t>
  </si>
  <si>
    <t>G)ｾｷｽｲ/ｾﾛﾃｰﾌﾟ NO.252 幅18mm×70m 10巻/C252×14</t>
  </si>
  <si>
    <t>1パック（10巻入）</t>
  </si>
  <si>
    <t>積水化学工業　セロテープ（R）　15mm×50m　C252X03　1パック（10巻入）</t>
  </si>
  <si>
    <t>-</t>
    <phoneticPr fontId="2"/>
  </si>
  <si>
    <t>積水化学工業　セロテープ（R）　15mm×70m　C252X13　1パック（10巻入）</t>
  </si>
  <si>
    <t>積水化学工業　セロテープ（R）　18mm×50m　C252X04　1パック（10巻入）</t>
  </si>
  <si>
    <t>積水化学工業　セロテープ（R）　18mm×70m　C252X14　1パック（10巻入）</t>
  </si>
  <si>
    <t>5月売価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</si>
</sst>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H7"/>
  <sheetViews>
    <sheetView tabSelected="1" zoomScale="90" zoomScaleNormal="90" workbookViewId="0">
      <pane xSplit="6" ySplit="5" topLeftCell="U6" activePane="bottomRight" state="frozen"/>
      <selection pane="topRight" activeCell="G1" sqref="G1"/>
      <selection pane="bottomLeft" activeCell="A5" sqref="A5"/>
      <selection pane="bottomRight" activeCell="AR7" sqref="AR7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0" width="7.625" hidden="1" customWidth="1" outlineLevel="1"/>
    <col min="21" max="21" width="7.625" customWidth="1" collapsed="1"/>
    <col min="22" max="24" width="7.625" customWidth="1"/>
    <col min="25" max="25" width="4.375" customWidth="1" collapsed="1"/>
    <col min="26" max="29" width="7.625" customWidth="1"/>
    <col min="30" max="31" width="7.625" style="30" customWidth="1"/>
    <col min="32" max="34" width="7.625" customWidth="1"/>
    <col min="35" max="37" width="7.625" hidden="1" customWidth="1" outlineLevel="1"/>
    <col min="38" max="38" width="7.625" customWidth="1" collapsed="1"/>
    <col min="39" max="40" width="7.625" customWidth="1"/>
    <col min="41" max="46" width="7.625" customWidth="1" outlineLevel="1"/>
    <col min="47" max="59" width="7.625" customWidth="1"/>
  </cols>
  <sheetData>
    <row r="1" spans="1:60" x14ac:dyDescent="0.4">
      <c r="B1" s="29" t="s">
        <v>46</v>
      </c>
      <c r="U1" s="42" t="s">
        <v>43</v>
      </c>
      <c r="V1" s="43"/>
      <c r="W1" s="43"/>
      <c r="X1" s="44"/>
    </row>
    <row r="2" spans="1:60" x14ac:dyDescent="0.4">
      <c r="B2" s="8" t="s">
        <v>30</v>
      </c>
      <c r="C2" s="9" t="s">
        <v>31</v>
      </c>
      <c r="D2" s="9" t="s">
        <v>32</v>
      </c>
      <c r="E2" s="10"/>
      <c r="F2" s="10"/>
      <c r="G2" s="37"/>
      <c r="H2" s="37"/>
      <c r="I2" s="39" t="s">
        <v>33</v>
      </c>
      <c r="J2" s="41"/>
      <c r="K2" s="39" t="s">
        <v>2</v>
      </c>
      <c r="L2" s="40"/>
      <c r="M2" s="40"/>
      <c r="N2" s="41"/>
      <c r="O2" s="11"/>
      <c r="P2" s="36"/>
      <c r="Q2" s="36"/>
      <c r="R2" s="36"/>
      <c r="S2" s="36"/>
      <c r="T2" s="36"/>
      <c r="U2" s="23"/>
      <c r="V2" s="24" t="s">
        <v>36</v>
      </c>
      <c r="W2" s="24"/>
      <c r="X2" s="25" t="s">
        <v>36</v>
      </c>
      <c r="Y2" s="10"/>
      <c r="Z2" s="9" t="s">
        <v>41</v>
      </c>
      <c r="AA2" s="11"/>
      <c r="AB2" s="11"/>
      <c r="AC2" s="11"/>
      <c r="AD2" s="31"/>
      <c r="AE2" s="31"/>
      <c r="AF2" s="22" t="s">
        <v>44</v>
      </c>
      <c r="AG2" s="11"/>
      <c r="AH2" s="11"/>
      <c r="AI2" s="27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>
        <v>51</v>
      </c>
      <c r="BC2">
        <v>14</v>
      </c>
      <c r="BD2">
        <v>28</v>
      </c>
    </row>
    <row r="3" spans="1:60" ht="75" x14ac:dyDescent="0.4">
      <c r="A3" s="1" t="s">
        <v>55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58</v>
      </c>
      <c r="H3" s="12" t="s">
        <v>59</v>
      </c>
      <c r="I3" s="12" t="s">
        <v>27</v>
      </c>
      <c r="J3" s="12" t="s">
        <v>28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52</v>
      </c>
      <c r="P3" s="12" t="s">
        <v>20</v>
      </c>
      <c r="Q3" s="12" t="s">
        <v>21</v>
      </c>
      <c r="R3" s="12" t="s">
        <v>53</v>
      </c>
      <c r="S3" s="12" t="s">
        <v>23</v>
      </c>
      <c r="T3" s="12" t="s">
        <v>24</v>
      </c>
      <c r="U3" s="12" t="s">
        <v>3</v>
      </c>
      <c r="V3" s="12" t="s">
        <v>25</v>
      </c>
      <c r="W3" s="2" t="s">
        <v>5</v>
      </c>
      <c r="X3" s="12" t="s">
        <v>26</v>
      </c>
      <c r="Y3" s="14" t="s">
        <v>6</v>
      </c>
      <c r="Z3" s="20" t="s">
        <v>17</v>
      </c>
      <c r="AA3" s="2" t="s">
        <v>16</v>
      </c>
      <c r="AB3" s="12" t="s">
        <v>42</v>
      </c>
      <c r="AC3" s="2" t="s">
        <v>16</v>
      </c>
      <c r="AD3" s="32" t="s">
        <v>47</v>
      </c>
      <c r="AE3" s="38" t="s">
        <v>60</v>
      </c>
      <c r="AF3" s="13" t="s">
        <v>34</v>
      </c>
      <c r="AG3" s="2" t="s">
        <v>16</v>
      </c>
      <c r="AH3" s="2" t="s">
        <v>35</v>
      </c>
      <c r="AI3" s="26" t="s">
        <v>37</v>
      </c>
      <c r="AJ3" s="12" t="s">
        <v>38</v>
      </c>
      <c r="AK3" s="12" t="s">
        <v>39</v>
      </c>
      <c r="AL3" s="12" t="s">
        <v>29</v>
      </c>
      <c r="AM3" s="12" t="s">
        <v>40</v>
      </c>
      <c r="AN3" s="12" t="s">
        <v>18</v>
      </c>
      <c r="AO3" s="12" t="s">
        <v>19</v>
      </c>
      <c r="AP3" s="12" t="s">
        <v>20</v>
      </c>
      <c r="AQ3" s="12" t="s">
        <v>21</v>
      </c>
      <c r="AR3" s="12" t="s">
        <v>22</v>
      </c>
      <c r="AS3" s="12" t="s">
        <v>23</v>
      </c>
      <c r="AT3" s="12" t="s">
        <v>24</v>
      </c>
      <c r="AU3" s="2" t="s">
        <v>11</v>
      </c>
      <c r="AV3" s="2" t="s">
        <v>12</v>
      </c>
      <c r="AW3" s="2" t="s">
        <v>13</v>
      </c>
      <c r="AX3" s="2" t="s">
        <v>14</v>
      </c>
      <c r="AY3" s="12" t="s">
        <v>45</v>
      </c>
      <c r="AZ3" s="12" t="s">
        <v>57</v>
      </c>
      <c r="BA3" s="2" t="s">
        <v>72</v>
      </c>
      <c r="BB3" s="2" t="s">
        <v>15</v>
      </c>
      <c r="BC3" s="18" t="s">
        <v>48</v>
      </c>
      <c r="BD3" s="18" t="s">
        <v>49</v>
      </c>
      <c r="BE3" s="15" t="s">
        <v>56</v>
      </c>
      <c r="BF3" s="34" t="s">
        <v>50</v>
      </c>
      <c r="BG3" s="35" t="s">
        <v>51</v>
      </c>
      <c r="BH3" s="35" t="s">
        <v>54</v>
      </c>
    </row>
    <row r="4" spans="1:60" x14ac:dyDescent="0.4">
      <c r="A4" s="3">
        <v>1</v>
      </c>
      <c r="B4" s="4">
        <v>672753</v>
      </c>
      <c r="C4" s="4" t="str">
        <f>TEXT(B4,"000000")</f>
        <v>672753</v>
      </c>
      <c r="D4" s="4">
        <v>672753</v>
      </c>
      <c r="E4" s="4" t="s">
        <v>62</v>
      </c>
      <c r="F4" s="5">
        <v>4901860102827</v>
      </c>
      <c r="G4" s="5"/>
      <c r="H4" s="5"/>
      <c r="I4" s="5">
        <v>1</v>
      </c>
      <c r="J4" s="5">
        <v>1</v>
      </c>
      <c r="K4" s="4">
        <v>0</v>
      </c>
      <c r="L4" s="4">
        <v>1379</v>
      </c>
      <c r="M4" s="4">
        <v>892.9</v>
      </c>
      <c r="N4" s="6">
        <f t="shared" ref="N4:N7" si="0">1-M4/L4</f>
        <v>0.35250181290790428</v>
      </c>
      <c r="O4" s="4">
        <v>1337</v>
      </c>
      <c r="P4" s="4">
        <v>5</v>
      </c>
      <c r="Q4" s="4">
        <v>9</v>
      </c>
      <c r="R4" s="4">
        <v>1310</v>
      </c>
      <c r="S4" s="4">
        <v>10</v>
      </c>
      <c r="T4" s="4">
        <v>99999</v>
      </c>
      <c r="U4" s="4">
        <v>0</v>
      </c>
      <c r="V4" s="4">
        <f>IF(Y4="",U4,U4*Y4)</f>
        <v>0</v>
      </c>
      <c r="W4" s="4">
        <v>1250</v>
      </c>
      <c r="X4" s="4">
        <f>IF(Y4="",W4,W4*Y4)</f>
        <v>1250</v>
      </c>
      <c r="Y4" s="4"/>
      <c r="Z4" s="21">
        <f>ROUND(L4*AN4,0)</f>
        <v>1931</v>
      </c>
      <c r="AA4" s="6">
        <f t="shared" ref="AA4" si="1">1-X4/Z4</f>
        <v>0.35266701191092698</v>
      </c>
      <c r="AB4" s="4">
        <f>BB4</f>
        <v>1379</v>
      </c>
      <c r="AC4" s="6">
        <f>1-X4/AE4</f>
        <v>0.35250181290790428</v>
      </c>
      <c r="AD4" s="33">
        <v>73.75</v>
      </c>
      <c r="AE4" s="33">
        <f>AB4*AN4</f>
        <v>1930.507335647889</v>
      </c>
      <c r="AF4" s="7">
        <v>1930</v>
      </c>
      <c r="AG4" s="6">
        <f>1-X4/AF4</f>
        <v>0.35233160621761661</v>
      </c>
      <c r="AH4" s="4">
        <f>AF4-X4</f>
        <v>680</v>
      </c>
      <c r="AI4" s="28"/>
      <c r="AJ4" s="6" t="e">
        <f>1-X4/AI4</f>
        <v>#DIV/0!</v>
      </c>
      <c r="AK4" s="4">
        <f>AI4-X4</f>
        <v>-1250</v>
      </c>
      <c r="AL4" s="6" t="e">
        <f>V4/K4</f>
        <v>#DIV/0!</v>
      </c>
      <c r="AM4" s="6">
        <f>AF4/L4</f>
        <v>1.3995649021029732</v>
      </c>
      <c r="AN4" s="6">
        <f>X4/M4</f>
        <v>1.3999328032254452</v>
      </c>
      <c r="AO4" s="4">
        <f>IFERROR(ROUND($AF4*O4/$L4,0),"-")</f>
        <v>1871</v>
      </c>
      <c r="AP4" s="4">
        <f>IF(P4="","-",P4)</f>
        <v>5</v>
      </c>
      <c r="AQ4" s="4">
        <f>IF(Q4="","-",Q4)</f>
        <v>9</v>
      </c>
      <c r="AR4" s="4">
        <f>IFERROR(ROUND($AF4*R4/$L4,0),"-")</f>
        <v>1833</v>
      </c>
      <c r="AS4" s="4">
        <f>IF(S4="","-",S4)</f>
        <v>10</v>
      </c>
      <c r="AT4" s="4">
        <f>IF(T4="","-",T4)</f>
        <v>99999</v>
      </c>
      <c r="AU4" s="4" t="s">
        <v>61</v>
      </c>
      <c r="AV4" s="4">
        <v>657811</v>
      </c>
      <c r="AW4" s="4"/>
      <c r="AX4" s="4"/>
      <c r="AY4" s="4" t="s">
        <v>66</v>
      </c>
      <c r="AZ4" s="4">
        <v>1379</v>
      </c>
      <c r="BA4" s="4">
        <v>1379</v>
      </c>
      <c r="BB4" s="4">
        <f t="shared" ref="BB4:BB5" si="2">IF(AW4="",BA4,AW4/AX4*BA4)</f>
        <v>1379</v>
      </c>
      <c r="BC4" s="19">
        <v>4</v>
      </c>
      <c r="BD4" s="19">
        <v>1</v>
      </c>
      <c r="BE4" s="16">
        <v>6</v>
      </c>
      <c r="BF4" s="34">
        <v>1246</v>
      </c>
      <c r="BG4" s="35">
        <v>1207</v>
      </c>
      <c r="BH4" t="s">
        <v>67</v>
      </c>
    </row>
    <row r="5" spans="1:60" x14ac:dyDescent="0.4">
      <c r="A5" s="3">
        <v>2</v>
      </c>
      <c r="B5" s="4">
        <v>672754</v>
      </c>
      <c r="C5" s="4" t="str">
        <f t="shared" ref="C5:C7" si="3">TEXT(B5,"000000")</f>
        <v>672754</v>
      </c>
      <c r="D5" s="4">
        <v>672754</v>
      </c>
      <c r="E5" s="4" t="s">
        <v>63</v>
      </c>
      <c r="F5" s="5">
        <v>4901860102834</v>
      </c>
      <c r="G5" s="5"/>
      <c r="H5" s="5"/>
      <c r="I5" s="5">
        <v>1</v>
      </c>
      <c r="J5" s="5">
        <v>1</v>
      </c>
      <c r="K5" s="4">
        <v>0</v>
      </c>
      <c r="L5" s="4">
        <v>1838</v>
      </c>
      <c r="M5" s="4">
        <v>1250</v>
      </c>
      <c r="N5" s="6">
        <f t="shared" si="0"/>
        <v>0.3199129488574538</v>
      </c>
      <c r="O5" s="4">
        <v>1739</v>
      </c>
      <c r="P5" s="4">
        <v>5</v>
      </c>
      <c r="Q5" s="4">
        <v>9</v>
      </c>
      <c r="R5" s="4">
        <v>1665</v>
      </c>
      <c r="S5" s="4">
        <v>10</v>
      </c>
      <c r="T5" s="4">
        <v>99999</v>
      </c>
      <c r="U5" s="4">
        <v>0</v>
      </c>
      <c r="V5" s="4">
        <f t="shared" ref="V5:V7" si="4">IF(Y5="",U5,U5*Y5)</f>
        <v>0</v>
      </c>
      <c r="W5" s="4">
        <v>1750</v>
      </c>
      <c r="X5" s="4">
        <f t="shared" ref="X5:X7" si="5">IF(Y5="",W5,W5*Y5)</f>
        <v>1750</v>
      </c>
      <c r="Y5" s="4"/>
      <c r="Z5" s="21">
        <f>ROUND(L5*AN5,0)</f>
        <v>2573</v>
      </c>
      <c r="AA5" s="6">
        <f t="shared" ref="AA5" si="6">1-X5/Z5</f>
        <v>0.31986008550330358</v>
      </c>
      <c r="AB5" s="4">
        <f>BB5</f>
        <v>1839</v>
      </c>
      <c r="AC5" s="6">
        <f t="shared" ref="AC5:AC7" si="7">1-X5/AE5</f>
        <v>0.32028276237085374</v>
      </c>
      <c r="AD5" s="33">
        <v>78.25</v>
      </c>
      <c r="AE5" s="33">
        <f t="shared" ref="AE5:AE7" si="8">AB5*AN5</f>
        <v>2574.6</v>
      </c>
      <c r="AF5" s="7">
        <v>2573</v>
      </c>
      <c r="AG5" s="6">
        <f t="shared" ref="AG5:AG7" si="9">1-X5/AF5</f>
        <v>0.31986008550330358</v>
      </c>
      <c r="AH5" s="4">
        <f t="shared" ref="AH5:AH7" si="10">AF5-X5</f>
        <v>823</v>
      </c>
      <c r="AI5" s="28"/>
      <c r="AJ5" s="6"/>
      <c r="AK5" s="6"/>
      <c r="AL5" s="6" t="e">
        <f>V5/K5</f>
        <v>#DIV/0!</v>
      </c>
      <c r="AM5" s="6">
        <f>AF5/L5</f>
        <v>1.3998911860718173</v>
      </c>
      <c r="AN5" s="6">
        <f>X5/M5</f>
        <v>1.4</v>
      </c>
      <c r="AO5" s="4">
        <f t="shared" ref="AO5:AO7" si="11">IFERROR(ROUND($AF5*O5/$L5,0),"-")</f>
        <v>2434</v>
      </c>
      <c r="AP5" s="4">
        <f t="shared" ref="AP5:AP7" si="12">IF(P5="","-",P5)</f>
        <v>5</v>
      </c>
      <c r="AQ5" s="4">
        <f t="shared" ref="AQ5:AQ7" si="13">IF(Q5="","-",Q5)</f>
        <v>9</v>
      </c>
      <c r="AR5" s="4">
        <f t="shared" ref="AR5:AR7" si="14">IFERROR(ROUND($AF5*R5/$L5,0),"-")</f>
        <v>2331</v>
      </c>
      <c r="AS5" s="4">
        <f t="shared" ref="AS5:AS7" si="15">IF(S5="","-",S5)</f>
        <v>10</v>
      </c>
      <c r="AT5" s="4">
        <f t="shared" ref="AT5:AT7" si="16">IF(T5="","-",T5)</f>
        <v>99999</v>
      </c>
      <c r="AU5" s="4" t="s">
        <v>61</v>
      </c>
      <c r="AV5" s="4">
        <v>657839</v>
      </c>
      <c r="AW5" s="4"/>
      <c r="AX5" s="4"/>
      <c r="AY5" s="4" t="s">
        <v>66</v>
      </c>
      <c r="AZ5" s="4">
        <v>1839</v>
      </c>
      <c r="BA5" s="4">
        <v>1839</v>
      </c>
      <c r="BB5" s="4">
        <f t="shared" si="2"/>
        <v>1839</v>
      </c>
      <c r="BC5" s="19">
        <v>4</v>
      </c>
      <c r="BD5" s="19">
        <v>1</v>
      </c>
      <c r="BE5" s="16">
        <v>6</v>
      </c>
      <c r="BF5" s="34">
        <v>1671</v>
      </c>
      <c r="BG5" t="s">
        <v>68</v>
      </c>
      <c r="BH5" t="s">
        <v>69</v>
      </c>
    </row>
    <row r="6" spans="1:60" x14ac:dyDescent="0.4">
      <c r="A6" s="3">
        <v>3</v>
      </c>
      <c r="B6" s="17">
        <v>672755</v>
      </c>
      <c r="C6" s="4" t="str">
        <f t="shared" si="3"/>
        <v>672755</v>
      </c>
      <c r="D6" s="4">
        <v>672755</v>
      </c>
      <c r="E6" s="4" t="s">
        <v>64</v>
      </c>
      <c r="F6" s="5">
        <v>4901860190794</v>
      </c>
      <c r="G6" s="5"/>
      <c r="H6" s="5"/>
      <c r="I6" s="5">
        <v>1</v>
      </c>
      <c r="J6" s="5">
        <v>1</v>
      </c>
      <c r="K6" s="4">
        <v>0</v>
      </c>
      <c r="L6" s="4">
        <v>1589</v>
      </c>
      <c r="M6" s="4">
        <v>1071.4000000000001</v>
      </c>
      <c r="N6" s="6">
        <f t="shared" si="0"/>
        <v>0.32573945877910626</v>
      </c>
      <c r="O6" s="4">
        <v>1556</v>
      </c>
      <c r="P6" s="4">
        <v>5</v>
      </c>
      <c r="Q6" s="4">
        <v>9</v>
      </c>
      <c r="R6" s="4">
        <v>1540</v>
      </c>
      <c r="S6" s="4">
        <v>10</v>
      </c>
      <c r="T6" s="4">
        <v>99999</v>
      </c>
      <c r="U6" s="4">
        <v>0</v>
      </c>
      <c r="V6" s="4">
        <f t="shared" si="4"/>
        <v>0</v>
      </c>
      <c r="W6" s="4">
        <v>1500</v>
      </c>
      <c r="X6" s="4">
        <f t="shared" si="5"/>
        <v>1500</v>
      </c>
      <c r="Y6" s="4"/>
      <c r="Z6" s="21">
        <f>ROUND(L6*AN6,0)</f>
        <v>2225</v>
      </c>
      <c r="AA6" s="6">
        <f t="shared" ref="AA6:AA7" si="17">1-X6/Z6</f>
        <v>0.3258426966292135</v>
      </c>
      <c r="AB6" s="4">
        <f>BB6</f>
        <v>1590</v>
      </c>
      <c r="AC6" s="6">
        <f t="shared" si="7"/>
        <v>0.3261635220125787</v>
      </c>
      <c r="AD6" s="33">
        <v>138.25</v>
      </c>
      <c r="AE6" s="33">
        <f t="shared" si="8"/>
        <v>2226.0593615829757</v>
      </c>
      <c r="AF6" s="7">
        <v>2225</v>
      </c>
      <c r="AG6" s="6">
        <f t="shared" si="9"/>
        <v>0.3258426966292135</v>
      </c>
      <c r="AH6" s="4">
        <f t="shared" si="10"/>
        <v>725</v>
      </c>
      <c r="AI6" s="28"/>
      <c r="AJ6" s="6"/>
      <c r="AK6" s="6"/>
      <c r="AL6" s="6" t="e">
        <f>V6/K6</f>
        <v>#DIV/0!</v>
      </c>
      <c r="AM6" s="6">
        <f>AF6/L6</f>
        <v>1.4002517306482065</v>
      </c>
      <c r="AN6" s="6">
        <f>X6/M6</f>
        <v>1.4000373343289154</v>
      </c>
      <c r="AO6" s="4">
        <f t="shared" si="11"/>
        <v>2179</v>
      </c>
      <c r="AP6" s="4">
        <f t="shared" si="12"/>
        <v>5</v>
      </c>
      <c r="AQ6" s="4">
        <f t="shared" si="13"/>
        <v>9</v>
      </c>
      <c r="AR6" s="4">
        <f t="shared" si="14"/>
        <v>2156</v>
      </c>
      <c r="AS6" s="4">
        <f t="shared" si="15"/>
        <v>10</v>
      </c>
      <c r="AT6" s="4">
        <f t="shared" si="16"/>
        <v>99999</v>
      </c>
      <c r="AU6" s="4" t="s">
        <v>61</v>
      </c>
      <c r="AV6" s="4">
        <v>657820</v>
      </c>
      <c r="AW6" s="4"/>
      <c r="AX6" s="4"/>
      <c r="AY6" s="4" t="s">
        <v>66</v>
      </c>
      <c r="AZ6" s="4">
        <v>1590</v>
      </c>
      <c r="BA6" s="4">
        <v>1590</v>
      </c>
      <c r="BB6" s="4">
        <f t="shared" ref="BB6:BB7" si="18">IF(AW6="",BA6,AW6/AX6*BA6)</f>
        <v>1590</v>
      </c>
      <c r="BC6" s="19">
        <v>4</v>
      </c>
      <c r="BD6" s="19">
        <v>1</v>
      </c>
      <c r="BE6" s="16">
        <v>6</v>
      </c>
      <c r="BF6" s="34">
        <v>1594</v>
      </c>
      <c r="BG6" t="s">
        <v>68</v>
      </c>
      <c r="BH6" t="s">
        <v>70</v>
      </c>
    </row>
    <row r="7" spans="1:60" x14ac:dyDescent="0.4">
      <c r="A7" s="3">
        <v>4</v>
      </c>
      <c r="B7" s="17">
        <v>672756</v>
      </c>
      <c r="C7" s="4" t="str">
        <f t="shared" si="3"/>
        <v>672756</v>
      </c>
      <c r="D7" s="4">
        <v>672756</v>
      </c>
      <c r="E7" s="4" t="s">
        <v>65</v>
      </c>
      <c r="F7" s="5">
        <v>4901860102865</v>
      </c>
      <c r="G7" s="5"/>
      <c r="H7" s="5"/>
      <c r="I7" s="5">
        <v>1</v>
      </c>
      <c r="J7" s="5">
        <v>1</v>
      </c>
      <c r="K7" s="4">
        <v>0</v>
      </c>
      <c r="L7" s="4">
        <v>2068</v>
      </c>
      <c r="M7" s="4">
        <v>1500</v>
      </c>
      <c r="N7" s="6">
        <f t="shared" si="0"/>
        <v>0.27466150870406192</v>
      </c>
      <c r="O7" s="4">
        <v>2027</v>
      </c>
      <c r="P7" s="4">
        <v>5</v>
      </c>
      <c r="Q7" s="4">
        <v>9</v>
      </c>
      <c r="R7" s="4">
        <v>1990</v>
      </c>
      <c r="S7" s="4">
        <v>10</v>
      </c>
      <c r="T7" s="4">
        <v>99999</v>
      </c>
      <c r="U7" s="4">
        <v>0</v>
      </c>
      <c r="V7" s="4">
        <f t="shared" si="4"/>
        <v>0</v>
      </c>
      <c r="W7" s="4">
        <v>2100</v>
      </c>
      <c r="X7" s="4">
        <f t="shared" si="5"/>
        <v>2100</v>
      </c>
      <c r="Y7" s="4"/>
      <c r="Z7" s="21">
        <f>ROUND(L7*AN7,0)</f>
        <v>2895</v>
      </c>
      <c r="AA7" s="6">
        <f t="shared" si="17"/>
        <v>0.27461139896373055</v>
      </c>
      <c r="AB7" s="4">
        <f>BB7</f>
        <v>2069</v>
      </c>
      <c r="AC7" s="6">
        <f t="shared" si="7"/>
        <v>0.2750120831319478</v>
      </c>
      <c r="AD7" s="33">
        <v>68.75</v>
      </c>
      <c r="AE7" s="33">
        <f t="shared" si="8"/>
        <v>2896.6</v>
      </c>
      <c r="AF7" s="7">
        <v>2980</v>
      </c>
      <c r="AG7" s="6">
        <f t="shared" si="9"/>
        <v>0.29530201342281881</v>
      </c>
      <c r="AH7" s="4">
        <f t="shared" si="10"/>
        <v>880</v>
      </c>
      <c r="AI7" s="28"/>
      <c r="AJ7" s="6"/>
      <c r="AK7" s="6"/>
      <c r="AL7" s="6" t="e">
        <f>V7/K7</f>
        <v>#DIV/0!</v>
      </c>
      <c r="AM7" s="6">
        <f>AF7/L7</f>
        <v>1.4410058027079304</v>
      </c>
      <c r="AN7" s="6">
        <f>X7/M7</f>
        <v>1.4</v>
      </c>
      <c r="AO7" s="4">
        <f t="shared" si="11"/>
        <v>2921</v>
      </c>
      <c r="AP7" s="4">
        <f t="shared" si="12"/>
        <v>5</v>
      </c>
      <c r="AQ7" s="4">
        <f t="shared" si="13"/>
        <v>9</v>
      </c>
      <c r="AR7" s="4">
        <f t="shared" si="14"/>
        <v>2868</v>
      </c>
      <c r="AS7" s="4">
        <f t="shared" si="15"/>
        <v>10</v>
      </c>
      <c r="AT7" s="4">
        <f t="shared" si="16"/>
        <v>99999</v>
      </c>
      <c r="AU7" s="4" t="s">
        <v>61</v>
      </c>
      <c r="AV7" s="4">
        <v>657848</v>
      </c>
      <c r="AW7" s="4"/>
      <c r="AX7" s="4"/>
      <c r="AY7" s="4" t="s">
        <v>66</v>
      </c>
      <c r="AZ7" s="4">
        <v>2069</v>
      </c>
      <c r="BA7" s="4">
        <v>2069</v>
      </c>
      <c r="BB7" s="4">
        <f t="shared" si="18"/>
        <v>2069</v>
      </c>
      <c r="BC7" s="19">
        <v>4</v>
      </c>
      <c r="BD7" s="19">
        <v>1</v>
      </c>
      <c r="BE7" s="16">
        <v>6</v>
      </c>
      <c r="BF7" s="34">
        <v>1965</v>
      </c>
      <c r="BG7" t="s">
        <v>68</v>
      </c>
      <c r="BH7" t="s">
        <v>71</v>
      </c>
    </row>
  </sheetData>
  <autoFilter ref="A3:BH3" xr:uid="{7A1660CF-9003-4B2D-B659-7F339ED5B476}"/>
  <mergeCells count="3">
    <mergeCell ref="K2:N2"/>
    <mergeCell ref="I2:J2"/>
    <mergeCell ref="U1:X1"/>
  </mergeCells>
  <phoneticPr fontId="2"/>
  <conditionalFormatting sqref="AB4:AB7">
    <cfRule type="cellIs" dxfId="1" priority="2" operator="lessThan">
      <formula>$Z4</formula>
    </cfRule>
  </conditionalFormatting>
  <conditionalFormatting sqref="AF4:AF7">
    <cfRule type="cellIs" dxfId="0" priority="1" operator="greaterThan">
      <formula>$V4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2026-05-01T01:49:16Z</dcterms:modified>
</cp:coreProperties>
</file>