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0B97D2DF-93E6-4D66-B88B-B23E2846CFB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Sheet1!$A$3:$BZ$67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20" i="1" l="1"/>
  <c r="AK20" i="1" s="1"/>
  <c r="BP19" i="1"/>
  <c r="AK19" i="1" s="1"/>
  <c r="BP27" i="1"/>
  <c r="AK27" i="1" s="1"/>
  <c r="BP35" i="1"/>
  <c r="AK35" i="1" s="1"/>
  <c r="BP40" i="1"/>
  <c r="AK40" i="1" s="1"/>
  <c r="BP43" i="1"/>
  <c r="AK43" i="1" s="1"/>
  <c r="BP48" i="1"/>
  <c r="AK48" i="1" s="1"/>
  <c r="BP51" i="1"/>
  <c r="AK51" i="1" s="1"/>
  <c r="BP52" i="1"/>
  <c r="AK52" i="1" s="1"/>
  <c r="BP54" i="1"/>
  <c r="AK54" i="1" s="1"/>
  <c r="BP59" i="1"/>
  <c r="AK59" i="1" s="1"/>
  <c r="BP60" i="1"/>
  <c r="AK60" i="1" s="1"/>
  <c r="BP61" i="1"/>
  <c r="AK61" i="1" s="1"/>
  <c r="BP64" i="1"/>
  <c r="AK64" i="1" s="1"/>
  <c r="BP65" i="1"/>
  <c r="AK65" i="1" s="1"/>
  <c r="BP67" i="1"/>
  <c r="AK67" i="1" s="1"/>
  <c r="AW19" i="1"/>
  <c r="AW27" i="1"/>
  <c r="AW29" i="1"/>
  <c r="AW35" i="1"/>
  <c r="AW37" i="1"/>
  <c r="AW43" i="1"/>
  <c r="AW53" i="1"/>
  <c r="AW61" i="1"/>
  <c r="AW65" i="1"/>
  <c r="AW66" i="1"/>
  <c r="AW11" i="1"/>
  <c r="AW64" i="1"/>
  <c r="AZ45" i="1"/>
  <c r="P46" i="1"/>
  <c r="AZ47" i="1"/>
  <c r="AW48" i="1"/>
  <c r="P48" i="1"/>
  <c r="AZ49" i="1"/>
  <c r="AW50" i="1"/>
  <c r="AZ51" i="1"/>
  <c r="AW52" i="1"/>
  <c r="AZ53" i="1"/>
  <c r="AZ55" i="1"/>
  <c r="AW56" i="1"/>
  <c r="AZ57" i="1"/>
  <c r="AW58" i="1"/>
  <c r="AZ59" i="1"/>
  <c r="AW60" i="1"/>
  <c r="AZ61" i="1"/>
  <c r="AZ63" i="1"/>
  <c r="P63" i="1"/>
  <c r="P64" i="1"/>
  <c r="AZ65" i="1"/>
  <c r="AZ67" i="1"/>
  <c r="BF4" i="1"/>
  <c r="BP45" i="1"/>
  <c r="AK45" i="1" s="1"/>
  <c r="BP46" i="1"/>
  <c r="AK46" i="1" s="1"/>
  <c r="BP49" i="1"/>
  <c r="AK49" i="1" s="1"/>
  <c r="BP50" i="1"/>
  <c r="AK50" i="1" s="1"/>
  <c r="BP53" i="1"/>
  <c r="AK53" i="1" s="1"/>
  <c r="BP56" i="1"/>
  <c r="AK56" i="1" s="1"/>
  <c r="BP57" i="1"/>
  <c r="AK57" i="1" s="1"/>
  <c r="BP62" i="1"/>
  <c r="AK62" i="1" s="1"/>
  <c r="BP66" i="1"/>
  <c r="AK66" i="1" s="1"/>
  <c r="AW5" i="1"/>
  <c r="AX5" i="1"/>
  <c r="AY5" i="1"/>
  <c r="AZ5" i="1"/>
  <c r="BA5" i="1"/>
  <c r="BB5" i="1"/>
  <c r="BC5" i="1"/>
  <c r="BD5" i="1"/>
  <c r="BE5" i="1"/>
  <c r="BF5" i="1"/>
  <c r="BG5" i="1"/>
  <c r="BH5" i="1"/>
  <c r="AW6" i="1"/>
  <c r="AX6" i="1"/>
  <c r="AY6" i="1"/>
  <c r="AZ6" i="1"/>
  <c r="BA6" i="1"/>
  <c r="BB6" i="1"/>
  <c r="BC6" i="1"/>
  <c r="BD6" i="1"/>
  <c r="BE6" i="1"/>
  <c r="BF6" i="1"/>
  <c r="BG6" i="1"/>
  <c r="BH6" i="1"/>
  <c r="AW7" i="1"/>
  <c r="AX7" i="1"/>
  <c r="AY7" i="1"/>
  <c r="AZ7" i="1"/>
  <c r="BA7" i="1"/>
  <c r="BB7" i="1"/>
  <c r="BC7" i="1"/>
  <c r="BD7" i="1"/>
  <c r="BE7" i="1"/>
  <c r="BF7" i="1"/>
  <c r="BG7" i="1"/>
  <c r="BH7" i="1"/>
  <c r="AW8" i="1"/>
  <c r="AX8" i="1"/>
  <c r="AY8" i="1"/>
  <c r="AZ8" i="1"/>
  <c r="BA8" i="1"/>
  <c r="BB8" i="1"/>
  <c r="BC8" i="1"/>
  <c r="BD8" i="1"/>
  <c r="BE8" i="1"/>
  <c r="BF8" i="1"/>
  <c r="BG8" i="1"/>
  <c r="BH8" i="1"/>
  <c r="AW9" i="1"/>
  <c r="AX9" i="1"/>
  <c r="AY9" i="1"/>
  <c r="AZ9" i="1"/>
  <c r="BA9" i="1"/>
  <c r="BB9" i="1"/>
  <c r="BC9" i="1"/>
  <c r="BD9" i="1"/>
  <c r="BE9" i="1"/>
  <c r="BF9" i="1"/>
  <c r="BG9" i="1"/>
  <c r="BH9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AX11" i="1"/>
  <c r="AY11" i="1"/>
  <c r="AZ11" i="1"/>
  <c r="BA11" i="1"/>
  <c r="BB11" i="1"/>
  <c r="BC11" i="1"/>
  <c r="BD11" i="1"/>
  <c r="BE11" i="1"/>
  <c r="BF11" i="1"/>
  <c r="BG11" i="1"/>
  <c r="BH11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AX19" i="1"/>
  <c r="AY19" i="1"/>
  <c r="AZ19" i="1"/>
  <c r="BA19" i="1"/>
  <c r="BB19" i="1"/>
  <c r="BC19" i="1"/>
  <c r="BD19" i="1"/>
  <c r="BE19" i="1"/>
  <c r="BF19" i="1"/>
  <c r="BG19" i="1"/>
  <c r="BH19" i="1"/>
  <c r="AX20" i="1"/>
  <c r="AY20" i="1"/>
  <c r="BA20" i="1"/>
  <c r="BB20" i="1"/>
  <c r="BD20" i="1"/>
  <c r="BE20" i="1"/>
  <c r="BG20" i="1"/>
  <c r="BH20" i="1"/>
  <c r="AX21" i="1"/>
  <c r="AY21" i="1"/>
  <c r="BA21" i="1"/>
  <c r="BB21" i="1"/>
  <c r="BD21" i="1"/>
  <c r="BE21" i="1"/>
  <c r="BG21" i="1"/>
  <c r="BH21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AX27" i="1"/>
  <c r="AY27" i="1"/>
  <c r="AZ27" i="1"/>
  <c r="BA27" i="1"/>
  <c r="BB27" i="1"/>
  <c r="BC27" i="1"/>
  <c r="BD27" i="1"/>
  <c r="BE27" i="1"/>
  <c r="BF27" i="1"/>
  <c r="BG27" i="1"/>
  <c r="BH27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AX29" i="1"/>
  <c r="AY29" i="1"/>
  <c r="AZ29" i="1"/>
  <c r="BA29" i="1"/>
  <c r="BB29" i="1"/>
  <c r="BC29" i="1"/>
  <c r="BD29" i="1"/>
  <c r="BE29" i="1"/>
  <c r="BF29" i="1"/>
  <c r="BG29" i="1"/>
  <c r="BH29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AX35" i="1"/>
  <c r="AY35" i="1"/>
  <c r="AZ35" i="1"/>
  <c r="BA35" i="1"/>
  <c r="BB35" i="1"/>
  <c r="BC35" i="1"/>
  <c r="BD35" i="1"/>
  <c r="BE35" i="1"/>
  <c r="BF35" i="1"/>
  <c r="BG35" i="1"/>
  <c r="BH35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AX37" i="1"/>
  <c r="AY37" i="1"/>
  <c r="AZ37" i="1"/>
  <c r="BA37" i="1"/>
  <c r="BB37" i="1"/>
  <c r="BC37" i="1"/>
  <c r="BD37" i="1"/>
  <c r="BE37" i="1"/>
  <c r="BF37" i="1"/>
  <c r="BG37" i="1"/>
  <c r="BH37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AX43" i="1"/>
  <c r="AY43" i="1"/>
  <c r="AZ43" i="1"/>
  <c r="BA43" i="1"/>
  <c r="BB43" i="1"/>
  <c r="BC43" i="1"/>
  <c r="BD43" i="1"/>
  <c r="BE43" i="1"/>
  <c r="BF43" i="1"/>
  <c r="BG43" i="1"/>
  <c r="BH43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AX45" i="1"/>
  <c r="AY45" i="1"/>
  <c r="BA45" i="1"/>
  <c r="BB45" i="1"/>
  <c r="BD45" i="1"/>
  <c r="BE45" i="1"/>
  <c r="BG45" i="1"/>
  <c r="BH45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AX47" i="1"/>
  <c r="AY47" i="1"/>
  <c r="BA47" i="1"/>
  <c r="BB47" i="1"/>
  <c r="BD47" i="1"/>
  <c r="BE47" i="1"/>
  <c r="BG47" i="1"/>
  <c r="BH47" i="1"/>
  <c r="AX48" i="1"/>
  <c r="AY48" i="1"/>
  <c r="BA48" i="1"/>
  <c r="BB48" i="1"/>
  <c r="BC48" i="1"/>
  <c r="BD48" i="1"/>
  <c r="BE48" i="1"/>
  <c r="BG48" i="1"/>
  <c r="BH48" i="1"/>
  <c r="AW49" i="1"/>
  <c r="AX49" i="1"/>
  <c r="AY49" i="1"/>
  <c r="BA49" i="1"/>
  <c r="BB49" i="1"/>
  <c r="BC49" i="1"/>
  <c r="BD49" i="1"/>
  <c r="BE49" i="1"/>
  <c r="BF49" i="1"/>
  <c r="BG49" i="1"/>
  <c r="BH49" i="1"/>
  <c r="AX50" i="1"/>
  <c r="AY50" i="1"/>
  <c r="AZ50" i="1"/>
  <c r="BA50" i="1"/>
  <c r="BB50" i="1"/>
  <c r="BC50" i="1"/>
  <c r="BD50" i="1"/>
  <c r="BE50" i="1"/>
  <c r="BG50" i="1"/>
  <c r="BH50" i="1"/>
  <c r="AX51" i="1"/>
  <c r="AY51" i="1"/>
  <c r="BA51" i="1"/>
  <c r="BB51" i="1"/>
  <c r="BD51" i="1"/>
  <c r="BE51" i="1"/>
  <c r="BG51" i="1"/>
  <c r="BH51" i="1"/>
  <c r="AX52" i="1"/>
  <c r="AY52" i="1"/>
  <c r="AZ52" i="1"/>
  <c r="BA52" i="1"/>
  <c r="BB52" i="1"/>
  <c r="BC52" i="1"/>
  <c r="BD52" i="1"/>
  <c r="BE52" i="1"/>
  <c r="BF52" i="1"/>
  <c r="BG52" i="1"/>
  <c r="BH52" i="1"/>
  <c r="AX53" i="1"/>
  <c r="AY53" i="1"/>
  <c r="BA53" i="1"/>
  <c r="BB53" i="1"/>
  <c r="BD53" i="1"/>
  <c r="BE53" i="1"/>
  <c r="BF53" i="1"/>
  <c r="BG53" i="1"/>
  <c r="BH53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AW55" i="1"/>
  <c r="AX55" i="1"/>
  <c r="AY55" i="1"/>
  <c r="BA55" i="1"/>
  <c r="BB55" i="1"/>
  <c r="BC55" i="1"/>
  <c r="BD55" i="1"/>
  <c r="BE55" i="1"/>
  <c r="BF55" i="1"/>
  <c r="BG55" i="1"/>
  <c r="BH55" i="1"/>
  <c r="AX56" i="1"/>
  <c r="AY56" i="1"/>
  <c r="BA56" i="1"/>
  <c r="BB56" i="1"/>
  <c r="BC56" i="1"/>
  <c r="BD56" i="1"/>
  <c r="BE56" i="1"/>
  <c r="BG56" i="1"/>
  <c r="BH56" i="1"/>
  <c r="AW57" i="1"/>
  <c r="AX57" i="1"/>
  <c r="AY57" i="1"/>
  <c r="BA57" i="1"/>
  <c r="BB57" i="1"/>
  <c r="BC57" i="1"/>
  <c r="BD57" i="1"/>
  <c r="BE57" i="1"/>
  <c r="BF57" i="1"/>
  <c r="BG57" i="1"/>
  <c r="BH57" i="1"/>
  <c r="AX58" i="1"/>
  <c r="AY58" i="1"/>
  <c r="AZ58" i="1"/>
  <c r="BA58" i="1"/>
  <c r="BB58" i="1"/>
  <c r="BC58" i="1"/>
  <c r="BD58" i="1"/>
  <c r="BE58" i="1"/>
  <c r="BG58" i="1"/>
  <c r="BH58" i="1"/>
  <c r="AX59" i="1"/>
  <c r="AY59" i="1"/>
  <c r="BA59" i="1"/>
  <c r="BB59" i="1"/>
  <c r="BD59" i="1"/>
  <c r="BE59" i="1"/>
  <c r="BG59" i="1"/>
  <c r="BH59" i="1"/>
  <c r="AX60" i="1"/>
  <c r="AY60" i="1"/>
  <c r="AZ60" i="1"/>
  <c r="BA60" i="1"/>
  <c r="BB60" i="1"/>
  <c r="BC60" i="1"/>
  <c r="BD60" i="1"/>
  <c r="BE60" i="1"/>
  <c r="BF60" i="1"/>
  <c r="BG60" i="1"/>
  <c r="BH60" i="1"/>
  <c r="AX61" i="1"/>
  <c r="AY61" i="1"/>
  <c r="BA61" i="1"/>
  <c r="BB61" i="1"/>
  <c r="BD61" i="1"/>
  <c r="BE61" i="1"/>
  <c r="BF61" i="1"/>
  <c r="BG61" i="1"/>
  <c r="BH61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AW63" i="1"/>
  <c r="AX63" i="1"/>
  <c r="AY63" i="1"/>
  <c r="BA63" i="1"/>
  <c r="BB63" i="1"/>
  <c r="BC63" i="1"/>
  <c r="BD63" i="1"/>
  <c r="BE63" i="1"/>
  <c r="BF63" i="1"/>
  <c r="BG63" i="1"/>
  <c r="BH63" i="1"/>
  <c r="AX64" i="1"/>
  <c r="AY64" i="1"/>
  <c r="BA64" i="1"/>
  <c r="BB64" i="1"/>
  <c r="BC64" i="1"/>
  <c r="BD64" i="1"/>
  <c r="BE64" i="1"/>
  <c r="BG64" i="1"/>
  <c r="BH64" i="1"/>
  <c r="AX65" i="1"/>
  <c r="AY65" i="1"/>
  <c r="BA65" i="1"/>
  <c r="BB65" i="1"/>
  <c r="BC65" i="1"/>
  <c r="BD65" i="1"/>
  <c r="BE65" i="1"/>
  <c r="BF65" i="1"/>
  <c r="BG65" i="1"/>
  <c r="BH65" i="1"/>
  <c r="AX66" i="1"/>
  <c r="AY66" i="1"/>
  <c r="AZ66" i="1"/>
  <c r="BA66" i="1"/>
  <c r="BB66" i="1"/>
  <c r="BC66" i="1"/>
  <c r="BD66" i="1"/>
  <c r="BE66" i="1"/>
  <c r="BG66" i="1"/>
  <c r="BH66" i="1"/>
  <c r="AX67" i="1"/>
  <c r="AY67" i="1"/>
  <c r="BA67" i="1"/>
  <c r="BB67" i="1"/>
  <c r="BD67" i="1"/>
  <c r="BE67" i="1"/>
  <c r="BG67" i="1"/>
  <c r="BH67" i="1"/>
  <c r="BE4" i="1"/>
  <c r="BD4" i="1"/>
  <c r="BH4" i="1"/>
  <c r="BG4" i="1"/>
  <c r="BB4" i="1"/>
  <c r="BA4" i="1"/>
  <c r="AY4" i="1"/>
  <c r="AX4" i="1"/>
  <c r="AU29" i="1"/>
  <c r="AU32" i="1"/>
  <c r="P32" i="1"/>
  <c r="AU37" i="1"/>
  <c r="P38" i="1"/>
  <c r="P40" i="1"/>
  <c r="P41" i="1"/>
  <c r="AU42" i="1"/>
  <c r="P52" i="1"/>
  <c r="AU53" i="1"/>
  <c r="AU54" i="1"/>
  <c r="P54" i="1"/>
  <c r="P62" i="1"/>
  <c r="P65" i="1"/>
  <c r="AF67" i="1"/>
  <c r="AP67" i="1" s="1"/>
  <c r="AD67" i="1"/>
  <c r="AT67" i="1" s="1"/>
  <c r="P67" i="1"/>
  <c r="D67" i="1"/>
  <c r="F67" i="1" s="1"/>
  <c r="AF66" i="1"/>
  <c r="AP66" i="1" s="1"/>
  <c r="AD66" i="1"/>
  <c r="D66" i="1"/>
  <c r="F66" i="1" s="1"/>
  <c r="AU65" i="1"/>
  <c r="AF65" i="1"/>
  <c r="AP65" i="1" s="1"/>
  <c r="AD65" i="1"/>
  <c r="AT65" i="1" s="1"/>
  <c r="D65" i="1"/>
  <c r="F65" i="1" s="1"/>
  <c r="AF64" i="1"/>
  <c r="AP64" i="1" s="1"/>
  <c r="AD64" i="1"/>
  <c r="D64" i="1"/>
  <c r="F64" i="1" s="1"/>
  <c r="BP63" i="1"/>
  <c r="AK63" i="1" s="1"/>
  <c r="AU63" i="1"/>
  <c r="AF63" i="1"/>
  <c r="AP63" i="1" s="1"/>
  <c r="AD63" i="1"/>
  <c r="D63" i="1"/>
  <c r="F63" i="1" s="1"/>
  <c r="AU62" i="1"/>
  <c r="AF62" i="1"/>
  <c r="AP62" i="1" s="1"/>
  <c r="AD62" i="1"/>
  <c r="D62" i="1"/>
  <c r="F62" i="1" s="1"/>
  <c r="AF61" i="1"/>
  <c r="AP61" i="1" s="1"/>
  <c r="AD61" i="1"/>
  <c r="D61" i="1"/>
  <c r="F61" i="1" s="1"/>
  <c r="AU60" i="1"/>
  <c r="AF60" i="1"/>
  <c r="AP60" i="1" s="1"/>
  <c r="AD60" i="1"/>
  <c r="AT60" i="1" s="1"/>
  <c r="P60" i="1"/>
  <c r="D60" i="1"/>
  <c r="F60" i="1" s="1"/>
  <c r="AU59" i="1"/>
  <c r="AF59" i="1"/>
  <c r="AP59" i="1" s="1"/>
  <c r="AD59" i="1"/>
  <c r="D59" i="1"/>
  <c r="F59" i="1" s="1"/>
  <c r="BP58" i="1"/>
  <c r="AK58" i="1" s="1"/>
  <c r="AF58" i="1"/>
  <c r="AP58" i="1" s="1"/>
  <c r="AD58" i="1"/>
  <c r="D58" i="1"/>
  <c r="F58" i="1" s="1"/>
  <c r="AF57" i="1"/>
  <c r="AD57" i="1"/>
  <c r="AT57" i="1" s="1"/>
  <c r="D57" i="1"/>
  <c r="F57" i="1" s="1"/>
  <c r="AF56" i="1"/>
  <c r="AD56" i="1"/>
  <c r="AT56" i="1" s="1"/>
  <c r="D56" i="1"/>
  <c r="F56" i="1" s="1"/>
  <c r="BP55" i="1"/>
  <c r="AK55" i="1" s="1"/>
  <c r="AF55" i="1"/>
  <c r="AO55" i="1" s="1"/>
  <c r="AD55" i="1"/>
  <c r="P55" i="1"/>
  <c r="D55" i="1"/>
  <c r="F55" i="1" s="1"/>
  <c r="AF54" i="1"/>
  <c r="AP54" i="1" s="1"/>
  <c r="AD54" i="1"/>
  <c r="D54" i="1"/>
  <c r="F54" i="1" s="1"/>
  <c r="AF53" i="1"/>
  <c r="AP53" i="1" s="1"/>
  <c r="AD53" i="1"/>
  <c r="D53" i="1"/>
  <c r="F53" i="1" s="1"/>
  <c r="AU52" i="1"/>
  <c r="AF52" i="1"/>
  <c r="AP52" i="1" s="1"/>
  <c r="AD52" i="1"/>
  <c r="D52" i="1"/>
  <c r="F52" i="1" s="1"/>
  <c r="AF51" i="1"/>
  <c r="AP51" i="1" s="1"/>
  <c r="AD51" i="1"/>
  <c r="D51" i="1"/>
  <c r="F51" i="1" s="1"/>
  <c r="AF50" i="1"/>
  <c r="AP50" i="1" s="1"/>
  <c r="AD50" i="1"/>
  <c r="D50" i="1"/>
  <c r="F50" i="1" s="1"/>
  <c r="AU49" i="1"/>
  <c r="AF49" i="1"/>
  <c r="AP49" i="1" s="1"/>
  <c r="AD49" i="1"/>
  <c r="AT49" i="1" s="1"/>
  <c r="P49" i="1"/>
  <c r="D49" i="1"/>
  <c r="F49" i="1" s="1"/>
  <c r="AF48" i="1"/>
  <c r="AP48" i="1" s="1"/>
  <c r="AD48" i="1"/>
  <c r="AT48" i="1" s="1"/>
  <c r="D48" i="1"/>
  <c r="F48" i="1" s="1"/>
  <c r="BP47" i="1"/>
  <c r="AK47" i="1" s="1"/>
  <c r="AF47" i="1"/>
  <c r="AP47" i="1" s="1"/>
  <c r="AD47" i="1"/>
  <c r="D47" i="1"/>
  <c r="F47" i="1" s="1"/>
  <c r="AU46" i="1"/>
  <c r="AF46" i="1"/>
  <c r="AP46" i="1" s="1"/>
  <c r="AD46" i="1"/>
  <c r="D46" i="1"/>
  <c r="F46" i="1" s="1"/>
  <c r="AF45" i="1"/>
  <c r="AP45" i="1" s="1"/>
  <c r="AD45" i="1"/>
  <c r="D45" i="1"/>
  <c r="F45" i="1" s="1"/>
  <c r="BP44" i="1"/>
  <c r="AK44" i="1" s="1"/>
  <c r="AU44" i="1"/>
  <c r="AF44" i="1"/>
  <c r="AP44" i="1" s="1"/>
  <c r="AD44" i="1"/>
  <c r="AT44" i="1" s="1"/>
  <c r="P44" i="1"/>
  <c r="D44" i="1"/>
  <c r="F44" i="1" s="1"/>
  <c r="AU43" i="1"/>
  <c r="AF43" i="1"/>
  <c r="AP43" i="1" s="1"/>
  <c r="AD43" i="1"/>
  <c r="AT43" i="1" s="1"/>
  <c r="P43" i="1"/>
  <c r="D43" i="1"/>
  <c r="F43" i="1" s="1"/>
  <c r="BP42" i="1"/>
  <c r="AK42" i="1" s="1"/>
  <c r="AF42" i="1"/>
  <c r="AP42" i="1" s="1"/>
  <c r="AD42" i="1"/>
  <c r="AT42" i="1" s="1"/>
  <c r="P42" i="1"/>
  <c r="D42" i="1"/>
  <c r="F42" i="1" s="1"/>
  <c r="BP41" i="1"/>
  <c r="AK41" i="1" s="1"/>
  <c r="AU41" i="1"/>
  <c r="AF41" i="1"/>
  <c r="AP41" i="1" s="1"/>
  <c r="AD41" i="1"/>
  <c r="AT41" i="1" s="1"/>
  <c r="D41" i="1"/>
  <c r="F41" i="1" s="1"/>
  <c r="AU40" i="1"/>
  <c r="AF40" i="1"/>
  <c r="AP40" i="1" s="1"/>
  <c r="AD40" i="1"/>
  <c r="AT40" i="1" s="1"/>
  <c r="D40" i="1"/>
  <c r="F40" i="1" s="1"/>
  <c r="BP39" i="1"/>
  <c r="AK39" i="1" s="1"/>
  <c r="AU39" i="1"/>
  <c r="AF39" i="1"/>
  <c r="AP39" i="1" s="1"/>
  <c r="AD39" i="1"/>
  <c r="AT39" i="1" s="1"/>
  <c r="P39" i="1"/>
  <c r="D39" i="1"/>
  <c r="F39" i="1" s="1"/>
  <c r="BP38" i="1"/>
  <c r="AK38" i="1" s="1"/>
  <c r="AU38" i="1"/>
  <c r="AF38" i="1"/>
  <c r="AP38" i="1" s="1"/>
  <c r="AD38" i="1"/>
  <c r="AT38" i="1" s="1"/>
  <c r="D38" i="1"/>
  <c r="F38" i="1" s="1"/>
  <c r="BP37" i="1"/>
  <c r="AK37" i="1" s="1"/>
  <c r="AF37" i="1"/>
  <c r="AP37" i="1" s="1"/>
  <c r="AD37" i="1"/>
  <c r="AT37" i="1" s="1"/>
  <c r="D37" i="1"/>
  <c r="F37" i="1" s="1"/>
  <c r="BP36" i="1"/>
  <c r="AK36" i="1" s="1"/>
  <c r="AU36" i="1"/>
  <c r="AF36" i="1"/>
  <c r="AP36" i="1" s="1"/>
  <c r="AD36" i="1"/>
  <c r="AT36" i="1" s="1"/>
  <c r="P36" i="1"/>
  <c r="D36" i="1"/>
  <c r="F36" i="1" s="1"/>
  <c r="AU35" i="1"/>
  <c r="AF35" i="1"/>
  <c r="AP35" i="1" s="1"/>
  <c r="AD35" i="1"/>
  <c r="AT35" i="1" s="1"/>
  <c r="D35" i="1"/>
  <c r="F35" i="1" s="1"/>
  <c r="BP34" i="1"/>
  <c r="AK34" i="1" s="1"/>
  <c r="AF34" i="1"/>
  <c r="AP34" i="1" s="1"/>
  <c r="AD34" i="1"/>
  <c r="D34" i="1"/>
  <c r="F34" i="1" s="1"/>
  <c r="BP33" i="1"/>
  <c r="AK33" i="1" s="1"/>
  <c r="AU33" i="1"/>
  <c r="AF33" i="1"/>
  <c r="AP33" i="1" s="1"/>
  <c r="AD33" i="1"/>
  <c r="AT33" i="1" s="1"/>
  <c r="P33" i="1"/>
  <c r="D33" i="1"/>
  <c r="F33" i="1" s="1"/>
  <c r="BP32" i="1"/>
  <c r="AK32" i="1" s="1"/>
  <c r="AF32" i="1"/>
  <c r="AP32" i="1" s="1"/>
  <c r="AD32" i="1"/>
  <c r="AT32" i="1" s="1"/>
  <c r="D32" i="1"/>
  <c r="F32" i="1" s="1"/>
  <c r="BP31" i="1"/>
  <c r="AK31" i="1" s="1"/>
  <c r="AU31" i="1"/>
  <c r="AF31" i="1"/>
  <c r="AP31" i="1" s="1"/>
  <c r="AD31" i="1"/>
  <c r="AT31" i="1" s="1"/>
  <c r="P31" i="1"/>
  <c r="D31" i="1"/>
  <c r="F31" i="1" s="1"/>
  <c r="BP30" i="1"/>
  <c r="AK30" i="1" s="1"/>
  <c r="AU30" i="1"/>
  <c r="AF30" i="1"/>
  <c r="AP30" i="1" s="1"/>
  <c r="AD30" i="1"/>
  <c r="AT30" i="1" s="1"/>
  <c r="P30" i="1"/>
  <c r="D30" i="1"/>
  <c r="F30" i="1" s="1"/>
  <c r="BP29" i="1"/>
  <c r="AK29" i="1" s="1"/>
  <c r="AF29" i="1"/>
  <c r="AP29" i="1" s="1"/>
  <c r="AD29" i="1"/>
  <c r="AT29" i="1" s="1"/>
  <c r="D29" i="1"/>
  <c r="F29" i="1" s="1"/>
  <c r="BP28" i="1"/>
  <c r="AK28" i="1" s="1"/>
  <c r="AU28" i="1"/>
  <c r="AF28" i="1"/>
  <c r="AP28" i="1" s="1"/>
  <c r="AD28" i="1"/>
  <c r="AT28" i="1" s="1"/>
  <c r="P28" i="1"/>
  <c r="D28" i="1"/>
  <c r="F28" i="1" s="1"/>
  <c r="AU27" i="1"/>
  <c r="AF27" i="1"/>
  <c r="AP27" i="1" s="1"/>
  <c r="AD27" i="1"/>
  <c r="AT27" i="1" s="1"/>
  <c r="P27" i="1"/>
  <c r="D27" i="1"/>
  <c r="F27" i="1" s="1"/>
  <c r="BP26" i="1"/>
  <c r="AK26" i="1" s="1"/>
  <c r="AU26" i="1"/>
  <c r="AF26" i="1"/>
  <c r="AP26" i="1" s="1"/>
  <c r="AD26" i="1"/>
  <c r="AT26" i="1" s="1"/>
  <c r="P26" i="1"/>
  <c r="D26" i="1"/>
  <c r="F26" i="1" s="1"/>
  <c r="BP25" i="1"/>
  <c r="AK25" i="1" s="1"/>
  <c r="AU25" i="1"/>
  <c r="AF25" i="1"/>
  <c r="AP25" i="1" s="1"/>
  <c r="AD25" i="1"/>
  <c r="AT25" i="1" s="1"/>
  <c r="P25" i="1"/>
  <c r="D25" i="1"/>
  <c r="F25" i="1" s="1"/>
  <c r="BP24" i="1"/>
  <c r="AK24" i="1" s="1"/>
  <c r="AU24" i="1"/>
  <c r="AF24" i="1"/>
  <c r="AP24" i="1" s="1"/>
  <c r="AD24" i="1"/>
  <c r="AT24" i="1" s="1"/>
  <c r="P24" i="1"/>
  <c r="D24" i="1"/>
  <c r="F24" i="1" s="1"/>
  <c r="BP23" i="1"/>
  <c r="AK23" i="1" s="1"/>
  <c r="AU23" i="1"/>
  <c r="AF23" i="1"/>
  <c r="AP23" i="1" s="1"/>
  <c r="AD23" i="1"/>
  <c r="AT23" i="1" s="1"/>
  <c r="P23" i="1"/>
  <c r="D23" i="1"/>
  <c r="F23" i="1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BP22" i="1"/>
  <c r="AK22" i="1" s="1"/>
  <c r="AF22" i="1"/>
  <c r="AD22" i="1"/>
  <c r="AT22" i="1" s="1"/>
  <c r="D22" i="1"/>
  <c r="F22" i="1" s="1"/>
  <c r="BP21" i="1"/>
  <c r="AK21" i="1" s="1"/>
  <c r="AF21" i="1"/>
  <c r="AP21" i="1" s="1"/>
  <c r="AD21" i="1"/>
  <c r="AT21" i="1" s="1"/>
  <c r="D21" i="1"/>
  <c r="F21" i="1" s="1"/>
  <c r="AF20" i="1"/>
  <c r="AV20" i="1" s="1"/>
  <c r="BY20" i="1" s="1"/>
  <c r="AD20" i="1"/>
  <c r="AT20" i="1" s="1"/>
  <c r="D20" i="1"/>
  <c r="F20" i="1" s="1"/>
  <c r="AF19" i="1"/>
  <c r="AP19" i="1" s="1"/>
  <c r="AD19" i="1"/>
  <c r="AT19" i="1" s="1"/>
  <c r="D19" i="1"/>
  <c r="F19" i="1" s="1"/>
  <c r="BP18" i="1"/>
  <c r="AK18" i="1" s="1"/>
  <c r="AF18" i="1"/>
  <c r="AO18" i="1" s="1"/>
  <c r="AD18" i="1"/>
  <c r="AT18" i="1" s="1"/>
  <c r="D18" i="1"/>
  <c r="F18" i="1" s="1"/>
  <c r="BP17" i="1"/>
  <c r="AK17" i="1" s="1"/>
  <c r="AF17" i="1"/>
  <c r="AO17" i="1" s="1"/>
  <c r="AD17" i="1"/>
  <c r="AT17" i="1" s="1"/>
  <c r="D17" i="1"/>
  <c r="F17" i="1" s="1"/>
  <c r="BP16" i="1"/>
  <c r="AK16" i="1" s="1"/>
  <c r="AF16" i="1"/>
  <c r="AP16" i="1" s="1"/>
  <c r="AD16" i="1"/>
  <c r="AT16" i="1" s="1"/>
  <c r="D16" i="1"/>
  <c r="F16" i="1" s="1"/>
  <c r="BP15" i="1"/>
  <c r="AK15" i="1" s="1"/>
  <c r="AF15" i="1"/>
  <c r="AP15" i="1" s="1"/>
  <c r="AD15" i="1"/>
  <c r="AT15" i="1" s="1"/>
  <c r="D15" i="1"/>
  <c r="F15" i="1" s="1"/>
  <c r="BP14" i="1"/>
  <c r="AK14" i="1" s="1"/>
  <c r="AF14" i="1"/>
  <c r="AD14" i="1"/>
  <c r="AT14" i="1" s="1"/>
  <c r="D14" i="1"/>
  <c r="F14" i="1" s="1"/>
  <c r="BF67" i="1" l="1"/>
  <c r="BF59" i="1"/>
  <c r="BF51" i="1"/>
  <c r="BF47" i="1"/>
  <c r="BF45" i="1"/>
  <c r="AT45" i="1"/>
  <c r="P47" i="1"/>
  <c r="AV56" i="1"/>
  <c r="AH56" i="1" s="1"/>
  <c r="AI56" i="1" s="1"/>
  <c r="AW67" i="1"/>
  <c r="AW59" i="1"/>
  <c r="AW51" i="1"/>
  <c r="AW47" i="1"/>
  <c r="AW45" i="1"/>
  <c r="AT47" i="1"/>
  <c r="AU56" i="1"/>
  <c r="AU67" i="1"/>
  <c r="AZ64" i="1"/>
  <c r="AZ56" i="1"/>
  <c r="AZ48" i="1"/>
  <c r="AT53" i="1"/>
  <c r="BC67" i="1"/>
  <c r="BC61" i="1"/>
  <c r="BC59" i="1"/>
  <c r="BC53" i="1"/>
  <c r="BC51" i="1"/>
  <c r="BC47" i="1"/>
  <c r="BC45" i="1"/>
  <c r="AU47" i="1"/>
  <c r="AU51" i="1"/>
  <c r="P59" i="1"/>
  <c r="AU64" i="1"/>
  <c r="AU48" i="1"/>
  <c r="BF66" i="1"/>
  <c r="BF64" i="1"/>
  <c r="BF58" i="1"/>
  <c r="BF56" i="1"/>
  <c r="BF50" i="1"/>
  <c r="BF48" i="1"/>
  <c r="AT46" i="1"/>
  <c r="AU55" i="1"/>
  <c r="AV57" i="1"/>
  <c r="AH57" i="1" s="1"/>
  <c r="AI57" i="1" s="1"/>
  <c r="AT64" i="1"/>
  <c r="AU45" i="1"/>
  <c r="AT52" i="1"/>
  <c r="AT54" i="1"/>
  <c r="AU57" i="1"/>
  <c r="AU61" i="1"/>
  <c r="AZ4" i="1"/>
  <c r="AU4" i="1"/>
  <c r="BC4" i="1"/>
  <c r="BV20" i="1"/>
  <c r="AT34" i="1"/>
  <c r="AV59" i="1"/>
  <c r="AO52" i="1"/>
  <c r="AV49" i="1"/>
  <c r="AL49" i="1" s="1"/>
  <c r="AM49" i="1" s="1"/>
  <c r="AO54" i="1"/>
  <c r="AO38" i="1"/>
  <c r="AO56" i="1"/>
  <c r="AP56" i="1"/>
  <c r="AV60" i="1"/>
  <c r="AV63" i="1"/>
  <c r="AV16" i="1"/>
  <c r="AV64" i="1"/>
  <c r="AO58" i="1"/>
  <c r="AO24" i="1"/>
  <c r="AO57" i="1"/>
  <c r="AV58" i="1"/>
  <c r="AP57" i="1"/>
  <c r="AV44" i="1"/>
  <c r="AO61" i="1"/>
  <c r="AV65" i="1"/>
  <c r="AO34" i="1"/>
  <c r="AV62" i="1"/>
  <c r="AV66" i="1"/>
  <c r="AV55" i="1"/>
  <c r="AV35" i="1"/>
  <c r="AO30" i="1"/>
  <c r="AO59" i="1"/>
  <c r="AO60" i="1"/>
  <c r="AV26" i="1"/>
  <c r="AO27" i="1"/>
  <c r="AO23" i="1"/>
  <c r="AO32" i="1"/>
  <c r="AV47" i="1"/>
  <c r="AO45" i="1"/>
  <c r="AP55" i="1"/>
  <c r="AO53" i="1"/>
  <c r="AV51" i="1"/>
  <c r="AO33" i="1"/>
  <c r="AO28" i="1"/>
  <c r="AO36" i="1"/>
  <c r="AO40" i="1"/>
  <c r="AO51" i="1"/>
  <c r="AL20" i="1"/>
  <c r="AM20" i="1" s="1"/>
  <c r="AO29" i="1"/>
  <c r="AV30" i="1"/>
  <c r="AV34" i="1"/>
  <c r="AO37" i="1"/>
  <c r="AO39" i="1"/>
  <c r="AV42" i="1"/>
  <c r="AO46" i="1"/>
  <c r="AO48" i="1"/>
  <c r="AO49" i="1"/>
  <c r="AO50" i="1"/>
  <c r="AV52" i="1"/>
  <c r="AO65" i="1"/>
  <c r="AV29" i="1"/>
  <c r="AV23" i="1"/>
  <c r="AO25" i="1"/>
  <c r="AV27" i="1"/>
  <c r="AO31" i="1"/>
  <c r="AO35" i="1"/>
  <c r="AO41" i="1"/>
  <c r="AO42" i="1"/>
  <c r="AO43" i="1"/>
  <c r="AV24" i="1"/>
  <c r="AO26" i="1"/>
  <c r="AV31" i="1"/>
  <c r="AV33" i="1"/>
  <c r="AV38" i="1"/>
  <c r="AO44" i="1"/>
  <c r="AO47" i="1"/>
  <c r="AV50" i="1"/>
  <c r="AO62" i="1"/>
  <c r="AO63" i="1"/>
  <c r="AO66" i="1"/>
  <c r="AO67" i="1"/>
  <c r="AV67" i="1"/>
  <c r="AV25" i="1"/>
  <c r="AV28" i="1"/>
  <c r="AV36" i="1"/>
  <c r="AV39" i="1"/>
  <c r="AV43" i="1"/>
  <c r="AV46" i="1"/>
  <c r="AO64" i="1"/>
  <c r="AV61" i="1"/>
  <c r="P61" i="1"/>
  <c r="AU58" i="1"/>
  <c r="P58" i="1"/>
  <c r="AV45" i="1"/>
  <c r="P45" i="1"/>
  <c r="P66" i="1"/>
  <c r="AU66" i="1"/>
  <c r="P50" i="1"/>
  <c r="AU50" i="1"/>
  <c r="P34" i="1"/>
  <c r="AU34" i="1"/>
  <c r="P53" i="1"/>
  <c r="AV53" i="1"/>
  <c r="AV37" i="1"/>
  <c r="P37" i="1"/>
  <c r="P56" i="1"/>
  <c r="AV41" i="1"/>
  <c r="AT50" i="1"/>
  <c r="AT63" i="1"/>
  <c r="AT55" i="1"/>
  <c r="AT58" i="1"/>
  <c r="P51" i="1"/>
  <c r="AT61" i="1"/>
  <c r="AV32" i="1"/>
  <c r="P35" i="1"/>
  <c r="AV48" i="1"/>
  <c r="AT51" i="1"/>
  <c r="AV54" i="1"/>
  <c r="P57" i="1"/>
  <c r="AT66" i="1"/>
  <c r="P29" i="1"/>
  <c r="AT62" i="1"/>
  <c r="AV40" i="1"/>
  <c r="AT59" i="1"/>
  <c r="P4" i="1"/>
  <c r="AW4" i="1"/>
  <c r="AV21" i="1"/>
  <c r="AV18" i="1"/>
  <c r="AV15" i="1"/>
  <c r="AV22" i="1"/>
  <c r="AV17" i="1"/>
  <c r="AV14" i="1"/>
  <c r="AV19" i="1"/>
  <c r="AO21" i="1"/>
  <c r="AO14" i="1"/>
  <c r="AO15" i="1"/>
  <c r="AP14" i="1"/>
  <c r="AO22" i="1"/>
  <c r="AP22" i="1"/>
  <c r="AP18" i="1"/>
  <c r="AO16" i="1"/>
  <c r="AP17" i="1"/>
  <c r="AH20" i="1"/>
  <c r="AI20" i="1" s="1"/>
  <c r="AO20" i="1"/>
  <c r="AO19" i="1"/>
  <c r="AP20" i="1"/>
  <c r="AL57" i="1" l="1"/>
  <c r="AM57" i="1" s="1"/>
  <c r="BV56" i="1"/>
  <c r="BY56" i="1"/>
  <c r="AL56" i="1"/>
  <c r="AM56" i="1" s="1"/>
  <c r="BV57" i="1"/>
  <c r="BY57" i="1"/>
  <c r="AH67" i="1"/>
  <c r="AI67" i="1" s="1"/>
  <c r="BV67" i="1"/>
  <c r="BY67" i="1"/>
  <c r="AH51" i="1"/>
  <c r="AI51" i="1" s="1"/>
  <c r="BY51" i="1"/>
  <c r="BV51" i="1"/>
  <c r="AH33" i="1"/>
  <c r="AI33" i="1" s="1"/>
  <c r="BY33" i="1"/>
  <c r="BV33" i="1"/>
  <c r="AH54" i="1"/>
  <c r="AI54" i="1" s="1"/>
  <c r="BV54" i="1"/>
  <c r="BY54" i="1"/>
  <c r="AH37" i="1"/>
  <c r="AI37" i="1" s="1"/>
  <c r="BY37" i="1"/>
  <c r="BV37" i="1"/>
  <c r="AH46" i="1"/>
  <c r="AI46" i="1" s="1"/>
  <c r="BV46" i="1"/>
  <c r="BY46" i="1"/>
  <c r="AH31" i="1"/>
  <c r="AI31" i="1" s="1"/>
  <c r="BV31" i="1"/>
  <c r="BY31" i="1"/>
  <c r="AL16" i="1"/>
  <c r="AM16" i="1" s="1"/>
  <c r="BY16" i="1"/>
  <c r="BV16" i="1"/>
  <c r="AL14" i="1"/>
  <c r="AM14" i="1" s="1"/>
  <c r="BV14" i="1"/>
  <c r="BY14" i="1"/>
  <c r="AH53" i="1"/>
  <c r="AI53" i="1" s="1"/>
  <c r="BY53" i="1"/>
  <c r="BV53" i="1"/>
  <c r="AH43" i="1"/>
  <c r="AI43" i="1" s="1"/>
  <c r="BY43" i="1"/>
  <c r="BV43" i="1"/>
  <c r="AH44" i="1"/>
  <c r="AI44" i="1" s="1"/>
  <c r="BY44" i="1"/>
  <c r="BV44" i="1"/>
  <c r="AH63" i="1"/>
  <c r="AI63" i="1" s="1"/>
  <c r="BV63" i="1"/>
  <c r="BY63" i="1"/>
  <c r="AH59" i="1"/>
  <c r="AI59" i="1" s="1"/>
  <c r="BV59" i="1"/>
  <c r="BY59" i="1"/>
  <c r="AH61" i="1"/>
  <c r="AI61" i="1" s="1"/>
  <c r="BY61" i="1"/>
  <c r="BV61" i="1"/>
  <c r="AH26" i="1"/>
  <c r="AI26" i="1" s="1"/>
  <c r="BY26" i="1"/>
  <c r="BV26" i="1"/>
  <c r="AH64" i="1"/>
  <c r="AI64" i="1" s="1"/>
  <c r="BV64" i="1"/>
  <c r="BY64" i="1"/>
  <c r="AH27" i="1"/>
  <c r="AI27" i="1" s="1"/>
  <c r="BY27" i="1"/>
  <c r="BV27" i="1"/>
  <c r="AL17" i="1"/>
  <c r="AM17" i="1" s="1"/>
  <c r="BY17" i="1"/>
  <c r="BV17" i="1"/>
  <c r="AH40" i="1"/>
  <c r="AI40" i="1" s="1"/>
  <c r="BV40" i="1"/>
  <c r="BY40" i="1"/>
  <c r="AH48" i="1"/>
  <c r="AI48" i="1" s="1"/>
  <c r="BV48" i="1"/>
  <c r="BY48" i="1"/>
  <c r="AH45" i="1"/>
  <c r="AI45" i="1" s="1"/>
  <c r="BY45" i="1"/>
  <c r="BV45" i="1"/>
  <c r="AH39" i="1"/>
  <c r="AI39" i="1" s="1"/>
  <c r="BV39" i="1"/>
  <c r="BY39" i="1"/>
  <c r="AH24" i="1"/>
  <c r="AI24" i="1" s="1"/>
  <c r="BY24" i="1"/>
  <c r="BV24" i="1"/>
  <c r="AH23" i="1"/>
  <c r="AI23" i="1" s="1"/>
  <c r="BY23" i="1"/>
  <c r="BV23" i="1"/>
  <c r="AL42" i="1"/>
  <c r="AM42" i="1" s="1"/>
  <c r="BY42" i="1"/>
  <c r="BV42" i="1"/>
  <c r="AH47" i="1"/>
  <c r="AI47" i="1" s="1"/>
  <c r="BV47" i="1"/>
  <c r="BY47" i="1"/>
  <c r="AH35" i="1"/>
  <c r="AI35" i="1" s="1"/>
  <c r="BY35" i="1"/>
  <c r="BV35" i="1"/>
  <c r="AH60" i="1"/>
  <c r="AI60" i="1" s="1"/>
  <c r="BY60" i="1"/>
  <c r="BV60" i="1"/>
  <c r="AH38" i="1"/>
  <c r="AI38" i="1" s="1"/>
  <c r="BV38" i="1"/>
  <c r="BY38" i="1"/>
  <c r="AH30" i="1"/>
  <c r="AI30" i="1" s="1"/>
  <c r="BV30" i="1"/>
  <c r="BY30" i="1"/>
  <c r="AH49" i="1"/>
  <c r="AI49" i="1" s="1"/>
  <c r="BY49" i="1"/>
  <c r="BV49" i="1"/>
  <c r="AH36" i="1"/>
  <c r="AI36" i="1" s="1"/>
  <c r="BY36" i="1"/>
  <c r="BV36" i="1"/>
  <c r="AH50" i="1"/>
  <c r="AI50" i="1" s="1"/>
  <c r="BV50" i="1"/>
  <c r="BY50" i="1"/>
  <c r="AH29" i="1"/>
  <c r="AI29" i="1" s="1"/>
  <c r="BY29" i="1"/>
  <c r="BV29" i="1"/>
  <c r="AH55" i="1"/>
  <c r="AI55" i="1" s="1"/>
  <c r="BV55" i="1"/>
  <c r="BY55" i="1"/>
  <c r="AL58" i="1"/>
  <c r="AM58" i="1" s="1"/>
  <c r="BV58" i="1"/>
  <c r="BY58" i="1"/>
  <c r="AH65" i="1"/>
  <c r="AI65" i="1" s="1"/>
  <c r="BV65" i="1"/>
  <c r="BY65" i="1"/>
  <c r="AL19" i="1"/>
  <c r="AM19" i="1" s="1"/>
  <c r="BY19" i="1"/>
  <c r="BV19" i="1"/>
  <c r="AL15" i="1"/>
  <c r="AM15" i="1" s="1"/>
  <c r="BY15" i="1"/>
  <c r="BV15" i="1"/>
  <c r="AH28" i="1"/>
  <c r="AI28" i="1" s="1"/>
  <c r="BY28" i="1"/>
  <c r="BV28" i="1"/>
  <c r="AL21" i="1"/>
  <c r="AM21" i="1" s="1"/>
  <c r="BY21" i="1"/>
  <c r="BV21" i="1"/>
  <c r="AL22" i="1"/>
  <c r="AM22" i="1" s="1"/>
  <c r="BV22" i="1"/>
  <c r="BY22" i="1"/>
  <c r="AH32" i="1"/>
  <c r="AI32" i="1" s="1"/>
  <c r="BY32" i="1"/>
  <c r="BV32" i="1"/>
  <c r="AL66" i="1"/>
  <c r="AM66" i="1" s="1"/>
  <c r="BV66" i="1"/>
  <c r="BY66" i="1"/>
  <c r="AL18" i="1"/>
  <c r="AM18" i="1" s="1"/>
  <c r="BY18" i="1"/>
  <c r="BV18" i="1"/>
  <c r="AH41" i="1"/>
  <c r="AI41" i="1" s="1"/>
  <c r="BY41" i="1"/>
  <c r="BV41" i="1"/>
  <c r="AH25" i="1"/>
  <c r="AI25" i="1" s="1"/>
  <c r="BY25" i="1"/>
  <c r="BV25" i="1"/>
  <c r="AH52" i="1"/>
  <c r="AI52" i="1" s="1"/>
  <c r="BY52" i="1"/>
  <c r="BV52" i="1"/>
  <c r="AL34" i="1"/>
  <c r="AM34" i="1" s="1"/>
  <c r="BY34" i="1"/>
  <c r="BV34" i="1"/>
  <c r="AL62" i="1"/>
  <c r="AM62" i="1" s="1"/>
  <c r="BV62" i="1"/>
  <c r="BY62" i="1"/>
  <c r="AH66" i="1"/>
  <c r="AI66" i="1" s="1"/>
  <c r="AL51" i="1"/>
  <c r="AM51" i="1" s="1"/>
  <c r="AL44" i="1"/>
  <c r="AM44" i="1" s="1"/>
  <c r="AL59" i="1"/>
  <c r="AM59" i="1" s="1"/>
  <c r="AH34" i="1"/>
  <c r="AI34" i="1" s="1"/>
  <c r="AH62" i="1"/>
  <c r="AI62" i="1" s="1"/>
  <c r="AH42" i="1"/>
  <c r="AI42" i="1" s="1"/>
  <c r="AL60" i="1"/>
  <c r="AM60" i="1" s="1"/>
  <c r="AL43" i="1"/>
  <c r="AM43" i="1" s="1"/>
  <c r="AL45" i="1"/>
  <c r="AM45" i="1" s="1"/>
  <c r="AL63" i="1"/>
  <c r="AM63" i="1" s="1"/>
  <c r="AH16" i="1"/>
  <c r="AI16" i="1" s="1"/>
  <c r="AL29" i="1"/>
  <c r="AM29" i="1" s="1"/>
  <c r="AL36" i="1"/>
  <c r="AM36" i="1" s="1"/>
  <c r="AL38" i="1"/>
  <c r="AM38" i="1" s="1"/>
  <c r="AL27" i="1"/>
  <c r="AM27" i="1" s="1"/>
  <c r="AL55" i="1"/>
  <c r="AM55" i="1" s="1"/>
  <c r="AH58" i="1"/>
  <c r="AI58" i="1" s="1"/>
  <c r="AL26" i="1"/>
  <c r="AM26" i="1" s="1"/>
  <c r="AL64" i="1"/>
  <c r="AM64" i="1" s="1"/>
  <c r="AL65" i="1"/>
  <c r="AM65" i="1" s="1"/>
  <c r="AL35" i="1"/>
  <c r="AM35" i="1" s="1"/>
  <c r="AL24" i="1"/>
  <c r="AM24" i="1" s="1"/>
  <c r="AL50" i="1"/>
  <c r="AM50" i="1" s="1"/>
  <c r="AL67" i="1"/>
  <c r="AM67" i="1" s="1"/>
  <c r="AL33" i="1"/>
  <c r="AM33" i="1" s="1"/>
  <c r="AL46" i="1"/>
  <c r="AM46" i="1" s="1"/>
  <c r="AL25" i="1"/>
  <c r="AM25" i="1" s="1"/>
  <c r="AL47" i="1"/>
  <c r="AM47" i="1" s="1"/>
  <c r="AL39" i="1"/>
  <c r="AM39" i="1" s="1"/>
  <c r="AH15" i="1"/>
  <c r="AI15" i="1" s="1"/>
  <c r="AL28" i="1"/>
  <c r="AM28" i="1" s="1"/>
  <c r="AL31" i="1"/>
  <c r="AM31" i="1" s="1"/>
  <c r="AL52" i="1"/>
  <c r="AM52" i="1" s="1"/>
  <c r="AL23" i="1"/>
  <c r="AM23" i="1" s="1"/>
  <c r="AL54" i="1"/>
  <c r="AM54" i="1" s="1"/>
  <c r="AL30" i="1"/>
  <c r="AM30" i="1" s="1"/>
  <c r="AL61" i="1"/>
  <c r="AM61" i="1" s="1"/>
  <c r="AH21" i="1"/>
  <c r="AI21" i="1" s="1"/>
  <c r="AL32" i="1"/>
  <c r="AM32" i="1" s="1"/>
  <c r="AL53" i="1"/>
  <c r="AM53" i="1" s="1"/>
  <c r="AL41" i="1"/>
  <c r="AM41" i="1" s="1"/>
  <c r="AL48" i="1"/>
  <c r="AM48" i="1" s="1"/>
  <c r="AL40" i="1"/>
  <c r="AM40" i="1" s="1"/>
  <c r="AL37" i="1"/>
  <c r="AM37" i="1" s="1"/>
  <c r="AH17" i="1"/>
  <c r="AI17" i="1" s="1"/>
  <c r="AH14" i="1"/>
  <c r="AI14" i="1" s="1"/>
  <c r="AH19" i="1"/>
  <c r="AI19" i="1" s="1"/>
  <c r="AH22" i="1"/>
  <c r="AI22" i="1" s="1"/>
  <c r="AH18" i="1"/>
  <c r="AI18" i="1" s="1"/>
  <c r="BP5" i="1"/>
  <c r="AK5" i="1" s="1"/>
  <c r="BP6" i="1"/>
  <c r="AK6" i="1" s="1"/>
  <c r="BP7" i="1"/>
  <c r="AK7" i="1" s="1"/>
  <c r="BP8" i="1"/>
  <c r="AK8" i="1" s="1"/>
  <c r="BP9" i="1"/>
  <c r="AK9" i="1" s="1"/>
  <c r="BP10" i="1"/>
  <c r="AK10" i="1" s="1"/>
  <c r="BP11" i="1"/>
  <c r="AK11" i="1" s="1"/>
  <c r="BP12" i="1"/>
  <c r="AK12" i="1" s="1"/>
  <c r="BP13" i="1"/>
  <c r="AK13" i="1" s="1"/>
  <c r="BP4" i="1"/>
  <c r="AK4" i="1" s="1"/>
  <c r="AF5" i="1"/>
  <c r="AF6" i="1"/>
  <c r="AF7" i="1"/>
  <c r="AF8" i="1"/>
  <c r="AF9" i="1"/>
  <c r="AF10" i="1"/>
  <c r="AF11" i="1"/>
  <c r="AF12" i="1"/>
  <c r="AF13" i="1"/>
  <c r="AD5" i="1"/>
  <c r="AT5" i="1" s="1"/>
  <c r="AD6" i="1"/>
  <c r="AT6" i="1" s="1"/>
  <c r="AD7" i="1"/>
  <c r="AT7" i="1" s="1"/>
  <c r="AD8" i="1"/>
  <c r="AT8" i="1" s="1"/>
  <c r="AD9" i="1"/>
  <c r="AT9" i="1" s="1"/>
  <c r="AD10" i="1"/>
  <c r="AT10" i="1" s="1"/>
  <c r="AD11" i="1"/>
  <c r="AT11" i="1" s="1"/>
  <c r="AD12" i="1"/>
  <c r="AT12" i="1" s="1"/>
  <c r="AD13" i="1"/>
  <c r="AT13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4" i="1"/>
  <c r="F4" i="1" s="1"/>
  <c r="AF4" i="1"/>
  <c r="AD4" i="1"/>
  <c r="AT4" i="1" s="1"/>
  <c r="AV5" i="1" l="1"/>
  <c r="AV12" i="1"/>
  <c r="AV7" i="1"/>
  <c r="AH7" i="1" s="1"/>
  <c r="AI7" i="1" s="1"/>
  <c r="AV6" i="1"/>
  <c r="AV13" i="1"/>
  <c r="AV11" i="1"/>
  <c r="AV10" i="1"/>
  <c r="AV4" i="1"/>
  <c r="AH4" i="1" s="1"/>
  <c r="AI4" i="1" s="1"/>
  <c r="AV9" i="1"/>
  <c r="AV8" i="1"/>
  <c r="AO13" i="1"/>
  <c r="AO5" i="1"/>
  <c r="AO12" i="1"/>
  <c r="AP10" i="1"/>
  <c r="AO4" i="1"/>
  <c r="AO9" i="1"/>
  <c r="AP8" i="1"/>
  <c r="AP11" i="1"/>
  <c r="AP7" i="1"/>
  <c r="AH6" i="1"/>
  <c r="AI6" i="1" s="1"/>
  <c r="AP6" i="1"/>
  <c r="AO11" i="1"/>
  <c r="AO10" i="1"/>
  <c r="AO8" i="1"/>
  <c r="AP9" i="1"/>
  <c r="AO7" i="1"/>
  <c r="AP13" i="1"/>
  <c r="AP5" i="1"/>
  <c r="AO6" i="1"/>
  <c r="AP12" i="1"/>
  <c r="AR4" i="1"/>
  <c r="AS4" i="1"/>
  <c r="AP4" i="1"/>
  <c r="AL10" i="1" l="1"/>
  <c r="AM10" i="1" s="1"/>
  <c r="BY10" i="1"/>
  <c r="BV10" i="1"/>
  <c r="AL11" i="1"/>
  <c r="AM11" i="1" s="1"/>
  <c r="BY11" i="1"/>
  <c r="BV11" i="1"/>
  <c r="AL6" i="1"/>
  <c r="AM6" i="1" s="1"/>
  <c r="BV6" i="1"/>
  <c r="BY6" i="1"/>
  <c r="AL8" i="1"/>
  <c r="AM8" i="1" s="1"/>
  <c r="BY8" i="1"/>
  <c r="BV8" i="1"/>
  <c r="AL12" i="1"/>
  <c r="AM12" i="1" s="1"/>
  <c r="BV12" i="1"/>
  <c r="BY12" i="1"/>
  <c r="AL13" i="1"/>
  <c r="AM13" i="1" s="1"/>
  <c r="BY13" i="1"/>
  <c r="BV13" i="1"/>
  <c r="AL7" i="1"/>
  <c r="AM7" i="1" s="1"/>
  <c r="BY7" i="1"/>
  <c r="BV7" i="1"/>
  <c r="AL9" i="1"/>
  <c r="AM9" i="1" s="1"/>
  <c r="BY9" i="1"/>
  <c r="BV9" i="1"/>
  <c r="BY5" i="1"/>
  <c r="BV5" i="1"/>
  <c r="AH10" i="1"/>
  <c r="AI10" i="1" s="1"/>
  <c r="AH11" i="1"/>
  <c r="AI11" i="1" s="1"/>
  <c r="AL4" i="1"/>
  <c r="AM4" i="1" s="1"/>
  <c r="BY4" i="1"/>
  <c r="BV4" i="1"/>
  <c r="AL5" i="1"/>
  <c r="AM5" i="1" s="1"/>
  <c r="AH5" i="1"/>
  <c r="AI5" i="1" s="1"/>
  <c r="AH9" i="1"/>
  <c r="AI9" i="1" s="1"/>
  <c r="AH8" i="1"/>
  <c r="AI8" i="1" s="1"/>
  <c r="AH13" i="1"/>
  <c r="AI13" i="1" s="1"/>
  <c r="AH12" i="1"/>
  <c r="AI12" i="1" s="1"/>
</calcChain>
</file>

<file path=xl/sharedStrings.xml><?xml version="1.0" encoding="utf-8"?>
<sst xmlns="http://schemas.openxmlformats.org/spreadsheetml/2006/main" count="1361" uniqueCount="340">
  <si>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</si>
  <si>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</si>
  <si>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</si>
  <si>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</si>
  <si>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</si>
  <si>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</si>
  <si>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</si>
  <si>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</si>
  <si>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</si>
  <si>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</si>
  <si>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</si>
  <si>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</si>
  <si>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</si>
  <si>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</si>
  <si>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</si>
  <si>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</si>
  <si>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</si>
  <si>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</si>
  <si>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</si>
  <si>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</si>
  <si>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</si>
  <si>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</si>
  <si>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</si>
  <si>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</si>
  <si>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</si>
  <si>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</si>
  <si>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</si>
  <si>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</si>
  <si>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</si>
  <si>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</si>
  <si>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</si>
  <si>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</si>
  <si>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</si>
  <si>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</si>
  <si>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</si>
  <si>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</si>
  <si>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</si>
  <si>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</si>
  <si>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</si>
  <si>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</si>
  <si>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</si>
  <si>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</si>
  <si>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</si>
  <si>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</si>
  <si>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</si>
  <si>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</si>
  <si>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</si>
  <si>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</si>
  <si>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</si>
  <si>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</si>
  <si>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</si>
  <si>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</si>
  <si>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</si>
  <si>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</si>
  <si>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</si>
  <si>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</si>
  <si>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</si>
  <si>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</si>
  <si>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</si>
  <si>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</si>
  <si>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</si>
  <si>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</si>
  <si>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</si>
  <si>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</si>
  <si>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</si>
  <si>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</si>
  <si>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J41844</t>
  </si>
  <si>
    <t>J78439</t>
  </si>
  <si>
    <t>J78440</t>
  </si>
  <si>
    <t>J78441</t>
  </si>
  <si>
    <t>J78442</t>
  </si>
  <si>
    <t>J78443</t>
  </si>
  <si>
    <t>J41681</t>
  </si>
  <si>
    <t>J41696</t>
  </si>
  <si>
    <t>J41717</t>
  </si>
  <si>
    <t>J41708</t>
  </si>
  <si>
    <t>J41677</t>
  </si>
  <si>
    <t>J41680</t>
  </si>
  <si>
    <t>J2949R</t>
  </si>
  <si>
    <t>J41701</t>
  </si>
  <si>
    <t>J41690</t>
  </si>
  <si>
    <t>J41685</t>
  </si>
  <si>
    <t>J42009</t>
  </si>
  <si>
    <t>J42007</t>
  </si>
  <si>
    <t>J42519</t>
  </si>
  <si>
    <t>J42518</t>
  </si>
  <si>
    <t>J42520</t>
  </si>
  <si>
    <t>J42517</t>
  </si>
  <si>
    <t>J42819</t>
  </si>
  <si>
    <t>J42811</t>
  </si>
  <si>
    <t>J42812</t>
  </si>
  <si>
    <t>J42813</t>
  </si>
  <si>
    <t>J42814</t>
  </si>
  <si>
    <t>J42815</t>
  </si>
  <si>
    <t>J42816</t>
  </si>
  <si>
    <t>J42817</t>
  </si>
  <si>
    <t>J42824</t>
  </si>
  <si>
    <t>J42820</t>
  </si>
  <si>
    <t>J42821</t>
  </si>
  <si>
    <t>J42822</t>
  </si>
  <si>
    <t>J42823</t>
  </si>
  <si>
    <t>J7030P</t>
  </si>
  <si>
    <t>J7031P</t>
  </si>
  <si>
    <t>J6366P</t>
  </si>
  <si>
    <t>J6367P</t>
  </si>
  <si>
    <t>J6368P</t>
  </si>
  <si>
    <t>J6369P</t>
  </si>
  <si>
    <t>J6370P</t>
  </si>
  <si>
    <t>J6371P</t>
  </si>
  <si>
    <t>J6372P</t>
  </si>
  <si>
    <t>J6373P</t>
  </si>
  <si>
    <t>J6374P</t>
  </si>
  <si>
    <t>J6375P</t>
  </si>
  <si>
    <t>J6376P</t>
  </si>
  <si>
    <t>J6377P</t>
  </si>
  <si>
    <t>J2942R</t>
  </si>
  <si>
    <t>J2943R</t>
  </si>
  <si>
    <t>J2944R</t>
  </si>
  <si>
    <t>J2945R</t>
  </si>
  <si>
    <t>J2946R</t>
  </si>
  <si>
    <t>J2947R</t>
  </si>
  <si>
    <t>J3063R</t>
  </si>
  <si>
    <t>J3064R</t>
  </si>
  <si>
    <t>J3065R</t>
  </si>
  <si>
    <t>J3066R</t>
  </si>
  <si>
    <t>J3067R</t>
  </si>
  <si>
    <t>J3068R</t>
  </si>
  <si>
    <t>J3069R</t>
  </si>
  <si>
    <t>J2948R</t>
  </si>
  <si>
    <t>G)ｼﾞｮｲﾝﾃｯｸｽ/ﾒﾝﾃﾞｨﾝｸﾞﾃｰﾌﾟ 12mm×50m/B255J</t>
  </si>
  <si>
    <t>ｸﾗﾌﾄﾏﾝ/ﾚｼﾞ袋 乳白 箱入 8号(360×160×100mm) 400枚</t>
  </si>
  <si>
    <t>ｸﾗﾌﾄﾏﾝ/ﾚｼﾞ袋 乳白 箱入 12号(410×180×120mm) 400枚</t>
  </si>
  <si>
    <t>ｸﾗﾌﾄﾏﾝ/ﾚｼﾞ袋 乳白 箱入 20号(460×210×130mm) 400枚</t>
  </si>
  <si>
    <t>ｸﾗﾌﾄﾏﾝ/ﾚｼﾞ袋 乳白 箱入 30号(480×260×130mm) 300枚</t>
  </si>
  <si>
    <t>ｸﾗﾌﾄﾏﾝ/ﾚｼﾞ袋 乳白 箱入 45号(530×300×140mm) 300枚</t>
  </si>
  <si>
    <t>G)ｼﾞｮｲﾝﾃｯｸｽ/ふせん 75×14mm 黄/P301J-Y-10P</t>
  </si>
  <si>
    <t>G)ｼﾞｮｲﾝﾃｯｸｽ/ふせん 75×25mm 黄/P302J-Y-10P</t>
  </si>
  <si>
    <t>G)ｼﾞｮｲﾝﾃｯｸｽ/ふせん 75×50mm 黄/P303J-Y-10P</t>
  </si>
  <si>
    <t>G)ｼﾞｮｲﾝﾃｯｸｽ/ふせん 75×75mm 黄/P304J-Y-10P</t>
  </si>
  <si>
    <t>G)ｼﾞｮｲﾝﾃｯｸｽ/ふせん 50×15mm 色帯/P300J-R10P</t>
  </si>
  <si>
    <t>G)ｼﾞｮｲﾝﾃｯｸｽ/ふせん 75×14mm 色帯/P301J-R10P</t>
  </si>
  <si>
    <t>G)ｽﾏｰﾄﾊﾞﾘｭｰ/ふせんBOX 75×50mm 黄 10冊/P403J-Y-10</t>
  </si>
  <si>
    <t>G)ｼﾞｮｲﾝﾃｯｸｽ/ふせんBOX 75×25mm 黄/P402J-Y-20</t>
  </si>
  <si>
    <t>G)ｼﾞｮｲﾝﾃｯｸｽ/ふせんBOX 75×12.5mm 色帯/P401J-R-40</t>
  </si>
  <si>
    <t>G)ｼﾞｮｲﾝﾃｯｸｽ/ふせんBOX 50×15mm 色帯/P400J-R-50</t>
  </si>
  <si>
    <t>G)ｽﾏｰﾄﾊﾞﾘｭｰ/ｲﾍﾞﾝﾄ用吊下げ名札 正方形 50枚/B235J-50</t>
  </si>
  <si>
    <t>G)ｽﾏｰﾄﾊﾞﾘｭｰ/ｲﾍﾞﾝﾄ用吊下げ名札 名刺型 50枚/B234J-50</t>
  </si>
  <si>
    <t>G)ｽﾏｰﾄﾊﾞﾘｭｰ/ｶﾗｰつづりひも ｾﾙ先 20本 赤/B339J-R</t>
  </si>
  <si>
    <t>G)ｽﾏｰﾄﾊﾞﾘｭｰ/ｶﾗｰつづりひも ｾﾙ先 20本 青/B339J-B</t>
  </si>
  <si>
    <t>G)ｽﾏｰﾄﾊﾞﾘｭｰ/ｶﾗｰつづりひも ｾﾙ先 20本 緑/B339J-G</t>
  </si>
  <si>
    <t>G)ｽﾏｰﾄﾊﾞﾘｭｰ/ｶﾗｰつづりひも ｾﾙ先 20本 黄/B339J-Y</t>
  </si>
  <si>
    <t>ｽﾏｰﾄﾊﾞﾘｭｰ/ﾚｼﾞ袋 8号 100枚/B908J</t>
  </si>
  <si>
    <t>ｽﾏｰﾄﾊﾞﾘｭｰ/ﾚｼﾞ袋 12号 100枚/B912J</t>
  </si>
  <si>
    <t>ｽﾏｰﾄﾊﾞﾘｭｰ/ﾚｼﾞ袋 16号 100枚/B916J</t>
  </si>
  <si>
    <t>ｽﾏｰﾄﾊﾞﾘｭｰ/ﾚｼﾞ袋 20号 100枚/B920J</t>
  </si>
  <si>
    <t>ｽﾏｰﾄﾊﾞﾘｭｰ/ﾚｼﾞ袋 25号 100枚/B925J</t>
  </si>
  <si>
    <t>ｽﾏｰﾄﾊﾞﾘｭｰ/ﾚｼﾞ袋 30号 100枚/B930J</t>
  </si>
  <si>
    <t>ｽﾏｰﾄﾊﾞﾘｭｰ/ﾚｼﾞ袋 35号 100枚/B935J</t>
  </si>
  <si>
    <t>ｽﾏｰﾄﾊﾞﾘｭｰ/ﾚｼﾞ袋 45号 100枚/B945J</t>
  </si>
  <si>
    <t>ｽﾏｰﾄﾊﾞﾘｭｰ/ﾚｼﾞ袋〈省資源ﾀｲﾌﾟ〉No.8 100枚/B708J</t>
  </si>
  <si>
    <t>ｽﾏｰﾄﾊﾞﾘｭｰ/ﾚｼﾞ袋〈省資源ﾀｲﾌﾟ〉No.12 100枚/B712J</t>
  </si>
  <si>
    <t>ｽﾏｰﾄﾊﾞﾘｭｰ/ﾚｼﾞ袋〈省資源ﾀｲﾌﾟ〉No.20 100枚/B720J</t>
  </si>
  <si>
    <t>ｽﾏｰﾄﾊﾞﾘｭｰ/ﾚｼﾞ袋〈省資源ﾀｲﾌﾟ〉No.30 100枚/B730J</t>
  </si>
  <si>
    <t>ｽﾏｰﾄﾊﾞﾘｭｰ/ﾚｼﾞ袋〈省資源ﾀｲﾌﾟ〉No.45 100枚/B745J</t>
  </si>
  <si>
    <t>G)ｼﾞｮｲﾝﾃｯｸｽ/ﾒﾝﾃﾞｨﾝｸﾞﾃｰﾌﾟ 18mm×50m/B232J</t>
  </si>
  <si>
    <t>ｼﾞｮｲﾝﾃｯｸｽ/ﾒﾝﾃﾞｨﾝｸﾞﾃｰﾌﾟ 18mm×30m/B233J</t>
  </si>
  <si>
    <t>ｽﾏｰﾄﾊﾞﾘｭｰ/ﾎﾟﾘ袋ﾁｬｯｸ付 50×70 100枚/B800J</t>
  </si>
  <si>
    <t>ｽﾏｰﾄﾊﾞﾘｭｰ/ﾎﾟﾘ袋ﾁｬｯｸ付 60×85 100枚/B801J</t>
  </si>
  <si>
    <t>ｽﾏｰﾄﾊﾞﾘｭｰ/ﾎﾟﾘ袋ﾁｬｯｸ付 70×100 100枚/B802J</t>
  </si>
  <si>
    <t>ｽﾏｰﾄﾊﾞﾘｭｰ/ﾎﾟﾘ袋ﾁｬｯｸ付 85×120 100枚/B803J</t>
  </si>
  <si>
    <t>ｽﾏｰﾄﾊﾞﾘｭｰ/ﾎﾟﾘ袋ﾁｬｯｸ付 100×140 100枚/B804J</t>
  </si>
  <si>
    <t>ｽﾏｰﾄﾊﾞﾘｭｰ/ﾎﾟﾘ袋ﾁｬｯｸ付 120×170 100枚/B805J</t>
  </si>
  <si>
    <t>ｽﾏｰﾄﾊﾞﾘｭｰ/ﾎﾟﾘ袋ﾁｬｯｸ付 140×200 100枚/B806J</t>
  </si>
  <si>
    <t>ｽﾏｰﾄﾊﾞﾘｭｰ/ﾎﾟﾘ袋ﾁｬｯｸ付 170×240 100枚/B807J</t>
  </si>
  <si>
    <t>ｽﾏｰﾄﾊﾞﾘｭｰ/ﾎﾟﾘ袋ﾁｬｯｸ付 200×280 100枚/B808J</t>
  </si>
  <si>
    <t>ｽﾏｰﾄﾊﾞﾘｭｰ/ﾎﾟﾘ袋ﾁｬｯｸ付 240×340 100枚/B809J</t>
  </si>
  <si>
    <t>ｽﾏｰﾄﾊﾞﾘｭｰ/ﾎﾟﾘ袋ﾁｬｯｸ付 280×400 100枚/B810J</t>
  </si>
  <si>
    <t>ｽﾏｰﾄﾊﾞﾘｭｰ/ﾎﾟﾘ袋ﾁｬｯｸ付 340×480 100枚/B811J</t>
  </si>
  <si>
    <t>G)ｽﾏｰﾄﾊﾞﾘｭｰ/ふせんBOX 75×75mm 桃 10冊/P434J-P-10</t>
  </si>
  <si>
    <t>G)ｽﾏｰﾄﾊﾞﾘｭｰ/ふせんBOX 75×75mm混色 10冊/P434J-M-10</t>
  </si>
  <si>
    <t>G)ｽﾏｰﾄﾊﾞﾘｭｰ/ふせんBOX 75×50mm 桃 10冊/P433J-P-10</t>
  </si>
  <si>
    <t>G)ｽﾏｰﾄﾊﾞﾘｭｰ/ふせんBOX 75×50mm混色 10冊/P433J-M-10</t>
  </si>
  <si>
    <t>G)ｽﾏｰﾄﾊﾞﾘｭｰ/ふせんBOX 75×25mm 桃 20冊/P432J-P-20</t>
  </si>
  <si>
    <t>G)ｽﾏｰﾄﾊﾞﾘｭｰ/ふせんBOX 75×25mm混色 20冊/P432J-M-20</t>
  </si>
  <si>
    <t>G)ｽﾏｰﾄﾊﾞﾘｭｰ/ふせん 75×75mm桃/P314J-P-10</t>
  </si>
  <si>
    <t>G)ｽﾏｰﾄﾊﾞﾘｭｰ/ふせん 75×75mm混色/P314J-M-10</t>
  </si>
  <si>
    <t>G)ｽﾏｰﾄﾊﾞﾘｭｰ/ふせん 75×50mm混色/P313J-M-10</t>
  </si>
  <si>
    <t>G)ｽﾏｰﾄﾊﾞﾘｭｰ/ふせん 75×25mm桃/P312J-P-20</t>
  </si>
  <si>
    <t>G)ｽﾏｰﾄﾊﾞﾘｭｰ/ふせん 75×25mm混色/P312J-M-20</t>
  </si>
  <si>
    <t>G)ｽﾏｰﾄﾊﾞﾘｭｰ/ふせん 75×14mm混色/P311J-M-40</t>
  </si>
  <si>
    <t>G)ｽﾏｰﾄﾊﾞﾘｭｰ/ふせん 50×15mm混色/P310J-M-50</t>
  </si>
  <si>
    <t>G)ｽﾏｰﾄﾊﾞﾘｭｰ/ふせんBOX 75×75mm 黄 10冊/P404J-Y-10</t>
  </si>
  <si>
    <t>ｽﾏｰﾄﾊﾞﾘｭｰ/ﾚｼﾞ袋 60号 100枚/B960J</t>
  </si>
  <si>
    <t>VD5</t>
    <phoneticPr fontId="2"/>
  </si>
  <si>
    <t>VD5始</t>
    <rPh sb="3" eb="4">
      <t>ハジ</t>
    </rPh>
    <phoneticPr fontId="2"/>
  </si>
  <si>
    <t>VD5終</t>
    <rPh sb="3" eb="4">
      <t>オワリ</t>
    </rPh>
    <phoneticPr fontId="2"/>
  </si>
  <si>
    <t>-</t>
  </si>
  <si>
    <t>6月
たの</t>
    <rPh sb="1" eb="2">
      <t>ガツ</t>
    </rPh>
    <phoneticPr fontId="2"/>
  </si>
  <si>
    <t>6月
カウ</t>
    <rPh sb="1" eb="2">
      <t>ガツ</t>
    </rPh>
    <phoneticPr fontId="2"/>
  </si>
  <si>
    <t>-</t>
    <phoneticPr fontId="2"/>
  </si>
  <si>
    <t>ジョインテックス メンディングテープ12mm×50m B255J 1巻</t>
  </si>
  <si>
    <t>クラフトマン レジ袋 乳白 箱入 8号 400枚 CF-B08（直送品）</t>
  </si>
  <si>
    <t>クラフトマン レジ袋 乳白 箱入 12号 400枚 CF-B12 1箱（直送品）</t>
  </si>
  <si>
    <t>クラフトマン レジ袋 乳白 箱入 20号 400枚 CF-B20（直送品）</t>
  </si>
  <si>
    <t>クラフトマン レジ袋 乳白 箱入 30号 300枚 CF-B30（直送品）</t>
  </si>
  <si>
    <t>クラフトマン レジ袋 乳白 箱入 45号 300枚 CF-B45（直送品）</t>
  </si>
  <si>
    <t>ジョインテックス ふせん 75×14mm黄 P301J-Y-10P 1パック（直送品）</t>
  </si>
  <si>
    <t>ジョインテックス ふせん 75×25mm黄 P302J-Y-10P 1パック（直送品）</t>
  </si>
  <si>
    <t>ジョインテックス ふせん 75×50mm黄 P303J-Y-10P 1パック（直送品）</t>
  </si>
  <si>
    <t>ジョインテックス ふせん 75×75mm黄 P304J-Y-10P 1パック（直送品）</t>
  </si>
  <si>
    <t>ジョインテックス ふせん 50×15mm色帯 P300J-R10P 1パック</t>
  </si>
  <si>
    <t>ジョインテックス ふせん 75×14mm色帯 P301J-R10P 1パック</t>
  </si>
  <si>
    <t>ジョインテックス ふせんBOX 75×25mm黄 P402J-Y-20 1箱</t>
  </si>
  <si>
    <t>ジョインテックス ふせんBOX 75×12.5mm色帯 P401J-R-40 1箱（直送品）</t>
  </si>
  <si>
    <t>ジョインテックス ふせんBOX 50×15mm色帯 P400J-R-50 1箱（直送品）</t>
  </si>
  <si>
    <t>ジョインテックス イベント用吊下げ名札 正方形50枚 B235J-50 1箱</t>
  </si>
  <si>
    <t>ジョインテックス イベント吊下げ名札 名刺型50枚 B234J-50 1箱(50枚)</t>
  </si>
  <si>
    <t>ジョインテックス カラーつづりひもセル先20本赤 B339J-R 1セット(30パック)（直送品）</t>
  </si>
  <si>
    <t>ジョインテックス カラーつづりひもセル先20本青 B339J-B 1セット(30パック)（直送品）</t>
  </si>
  <si>
    <t>ジョインテックス カラーつづりひもセル先20本緑 B339J-G 1セット(30パック)（直送品）</t>
  </si>
  <si>
    <t>ジョインテックス カラーつづりひもセル先20本黄 B339J-Y 1セット(30パック)（直送品）</t>
  </si>
  <si>
    <t>ジョインテックス レジ袋 8号 100枚 B908J 1パック</t>
  </si>
  <si>
    <t>ジョインテックス レジ袋 12号 100枚 B912J 1パック</t>
  </si>
  <si>
    <t>ジョインテックス レジ袋 16号 100枚 B916J 1パック</t>
  </si>
  <si>
    <t>ジョインテックス レジ袋 20号 100枚 B920J 1パック</t>
  </si>
  <si>
    <t>ジョインテックス レジ袋 25号 100枚 B925J 1パック</t>
  </si>
  <si>
    <t>ジョインテックス レジ袋 30号 100枚 B930J 1パック</t>
  </si>
  <si>
    <t>ジョインテックス レジ袋 35号 100枚 B935J 1パック（直送品）</t>
  </si>
  <si>
    <t>ジョインテックス レジ袋 45号 100枚 B945J 1パック</t>
  </si>
  <si>
    <t>ジョインテックス レジ袋 60号 100枚 B960J 1パック（直送品）</t>
  </si>
  <si>
    <t>ジョインテックス レジ袋&lt;省資源タイプ&gt;No.8 100枚 B708J 1セット(50パック)（直送品）</t>
  </si>
  <si>
    <t>ジョインテックス レジ袋&lt;省資源タイプ&gt;No.12 100枚 B712J 1セット(50パック)（直送品）</t>
  </si>
  <si>
    <t>ジョインテックス レジ袋&lt;省資源タイプ&gt;No.20 100枚 B720J 1セット(50パック)（直送品）</t>
  </si>
  <si>
    <t>ジョインテックス レジ袋&lt;省資源タイプ&gt;No.30 100枚 B730J 1セット(20パック)（直送品）</t>
  </si>
  <si>
    <t>ジョインテックス レジ袋&lt;省資源タイプ&gt;No.45 100枚 B745J 1セット(20パック)（直送品）</t>
  </si>
  <si>
    <t>ジョインテックス ポリ袋チャック付 50X70 100枚 B800J 1セット(50パック)（直送品）</t>
  </si>
  <si>
    <t>ジョインテックス ポリ袋チャック付 60X85 100枚 B801J 1セット(50パック)（直送品）</t>
  </si>
  <si>
    <t>ジョインテックス ポリ袋チャック付 70X100 100枚 B802J 1セット(50パック)（直送品）</t>
  </si>
  <si>
    <t>ジョインテックス ポリ袋チャック付 85X120 100枚 B803J 1パック</t>
  </si>
  <si>
    <t>ジョインテックス ポリ袋チャック付 100X140 100枚 B804J 1セット(30パック)（直送品）</t>
  </si>
  <si>
    <t>ジョインテックス ポリ袋チャック付 120X170 100枚 B805J 1セット(30パック)（直送品）</t>
  </si>
  <si>
    <t>ジョインテックス ポリ袋チャック付 140X200 100枚 B806J　30パック（直送品）</t>
  </si>
  <si>
    <t>ジョインテックス ポリ袋チャック付 170X240 100枚 B807J 1パック</t>
  </si>
  <si>
    <t>ジョインテックス ポリ袋チャック付 200X280 100枚 B808J 1セット(10パック)（直送品）</t>
  </si>
  <si>
    <t>ジョインテックス ポリ袋チャック付 240X340 100枚 B809J 1セット(10パック)（直送品）</t>
  </si>
  <si>
    <t>ジョインテックス ポリ袋チャック付 280X400 100枚 B810J 1セット(10パック)（直送品）</t>
  </si>
  <si>
    <t>ジョインテックス ポリ袋チャック付 340X480 100枚 B811J 1セット(10パック)（直送品）</t>
  </si>
  <si>
    <t>ジョインテックス ふせんBOX 75×75mm桃 P434J-P-10 1セット(10箱)（直送品）</t>
  </si>
  <si>
    <t>ジョインテックス ふせんBOX 75×75mm混色 P434J-M-10 1セット(10箱)（直送品）</t>
  </si>
  <si>
    <t>ジョインテックス ふせんBOX 75×50mm桃 P433J-P-10 1セット(10箱)（直送品）</t>
  </si>
  <si>
    <t>ジョインテックス ふせんBOX 75×50mm混色 P433J-M-10 1セット(10箱)（直送品）</t>
  </si>
  <si>
    <t>ジョインテックス ふせんBOX 75×25mm桃 P432J-P-20 1セット(5箱)（直送品）</t>
  </si>
  <si>
    <t>ジョインテックス ふせんBOX 75×25mm混色 P432J-M-20 1セット(5箱)（直送品）</t>
  </si>
  <si>
    <t>ジョインテックス ふせん 75×75mm桃 P314J-P-10 1セット(10パック)（直送品）</t>
  </si>
  <si>
    <t>ジョインテックス ふせん 75×75mm混色 P314J-M-10 1セット(10パック)（直送品）</t>
  </si>
  <si>
    <t>ジョインテックス ふせん 75×50mm混色 P313J-M-10 1セット(10パック)（直送品）</t>
  </si>
  <si>
    <t>ジョインテックス ふせん 75×25mm桃 P312J-P-20 1セット(10パック)（直送品）</t>
  </si>
  <si>
    <t>ジョインテックス ふせん 75×25mm混色 P312J-M-20 1セット(10パック)（直送品）</t>
  </si>
  <si>
    <t>ジョインテックス ふせん 75×14mm混色 P311J-M-40 1セット(5パック)（直送品）</t>
  </si>
  <si>
    <t>ジョインテックス ふせん 50×15mm混色 P310J-M-50　5パック（直送品）</t>
  </si>
  <si>
    <t>ジョインテックス ふせんBOX 75×75mm黄 P404J-Y-10 1箱</t>
  </si>
  <si>
    <t>AX33252</t>
  </si>
  <si>
    <t>1巻</t>
  </si>
  <si>
    <t>P827129</t>
  </si>
  <si>
    <t>1箱</t>
  </si>
  <si>
    <t>AK04745</t>
  </si>
  <si>
    <t>P827126</t>
  </si>
  <si>
    <t>P827127</t>
  </si>
  <si>
    <t>P827124</t>
  </si>
  <si>
    <t>AX33420</t>
  </si>
  <si>
    <t>1パック</t>
  </si>
  <si>
    <t>AX33423</t>
  </si>
  <si>
    <t>AX33427</t>
  </si>
  <si>
    <t>AX33429</t>
  </si>
  <si>
    <t>AX33416</t>
  </si>
  <si>
    <t>AX33421</t>
  </si>
  <si>
    <t>AX33448</t>
  </si>
  <si>
    <t>AX33441</t>
  </si>
  <si>
    <t>AX33435</t>
  </si>
  <si>
    <t>UK76409</t>
  </si>
  <si>
    <t>RN55754</t>
  </si>
  <si>
    <t>1箱（50枚）</t>
  </si>
  <si>
    <t>KK93065</t>
  </si>
  <si>
    <t>1セット(30パック)</t>
  </si>
  <si>
    <t>KK93054</t>
  </si>
  <si>
    <t>KK93051</t>
  </si>
  <si>
    <t>KK93061</t>
  </si>
  <si>
    <t>U338336</t>
  </si>
  <si>
    <t>U338337</t>
  </si>
  <si>
    <t>U338338</t>
  </si>
  <si>
    <t>U338339</t>
  </si>
  <si>
    <t>U338340</t>
  </si>
  <si>
    <t>U338342</t>
  </si>
  <si>
    <t>U338341</t>
  </si>
  <si>
    <t>U338343</t>
  </si>
  <si>
    <t>U338344</t>
  </si>
  <si>
    <t>KK93279</t>
  </si>
  <si>
    <t>1セット(50パック)</t>
  </si>
  <si>
    <t>KK93278</t>
  </si>
  <si>
    <t>KK93285</t>
  </si>
  <si>
    <t>KK93282</t>
  </si>
  <si>
    <t>1セット(20パック)</t>
  </si>
  <si>
    <t>KK93283</t>
  </si>
  <si>
    <t>KK93316</t>
  </si>
  <si>
    <t>KK93314</t>
  </si>
  <si>
    <t>KK93319</t>
  </si>
  <si>
    <t>UH32867</t>
  </si>
  <si>
    <t>KK93320</t>
  </si>
  <si>
    <t>KK93322</t>
  </si>
  <si>
    <t>KK93321</t>
  </si>
  <si>
    <t>UK25279</t>
  </si>
  <si>
    <t>KK93327</t>
  </si>
  <si>
    <t>1セット(10パック)</t>
  </si>
  <si>
    <t>KK93323</t>
  </si>
  <si>
    <t>KK93326</t>
  </si>
  <si>
    <t>KK93328</t>
  </si>
  <si>
    <t>HK54057</t>
  </si>
  <si>
    <t>1セット(10箱)</t>
  </si>
  <si>
    <t>HK54056</t>
  </si>
  <si>
    <t>HK54051</t>
  </si>
  <si>
    <t>HK54053</t>
  </si>
  <si>
    <t>HK54046</t>
  </si>
  <si>
    <t>1セット(5箱)</t>
  </si>
  <si>
    <t>HK54041</t>
  </si>
  <si>
    <t>HK54045</t>
  </si>
  <si>
    <t>HK54035</t>
  </si>
  <si>
    <t>HK54037</t>
  </si>
  <si>
    <t>HK54047</t>
  </si>
  <si>
    <t>HK54042</t>
  </si>
  <si>
    <t>HK54050</t>
  </si>
  <si>
    <t>1セット(5パック)</t>
  </si>
  <si>
    <t>HK54039</t>
  </si>
  <si>
    <t>AX33459</t>
  </si>
  <si>
    <t>品目+
FW荷姿</t>
    <rPh sb="0" eb="2">
      <t>ヒンモク</t>
    </rPh>
    <rPh sb="6" eb="8">
      <t>ニスガタ</t>
    </rPh>
    <phoneticPr fontId="2"/>
  </si>
  <si>
    <t>箱バラなし</t>
    <rPh sb="0" eb="1">
      <t>ハコ</t>
    </rPh>
    <phoneticPr fontId="2"/>
  </si>
  <si>
    <t>VDあり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</si>
  <si>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</si>
  <si>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</si>
  <si>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</si>
  <si>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J41690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</si>
</sst>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176" fontId="0" fillId="4" borderId="4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Z67"/>
  <sheetViews>
    <sheetView tabSelected="1" zoomScale="90" zoomScaleNormal="90" workbookViewId="0">
      <pane xSplit="8" ySplit="5" topLeftCell="AH6" activePane="bottomRight" state="frozen"/>
      <selection pane="topRight" activeCell="G1" sqref="G1"/>
      <selection pane="bottomLeft" activeCell="A5" sqref="A5"/>
      <selection pane="bottomRight" activeCell="AH20" sqref="AH20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8" width="7.625" customWidth="1" outlineLevel="1"/>
    <col min="29" max="29" width="7.5" customWidth="1"/>
    <col min="30" max="32" width="7.625" customWidth="1"/>
    <col min="33" max="33" width="4.375" customWidth="1" collapsed="1"/>
    <col min="34" max="35" width="7.625" customWidth="1"/>
    <col min="36" max="36" width="6.125" customWidth="1"/>
    <col min="37" max="42" width="7.625" customWidth="1"/>
    <col min="43" max="45" width="7.625" hidden="1" customWidth="1" outlineLevel="1"/>
    <col min="46" max="46" width="7.625" customWidth="1" collapsed="1"/>
    <col min="47" max="48" width="7.625" customWidth="1"/>
    <col min="49" max="60" width="7.625" customWidth="1" outlineLevel="1"/>
    <col min="61" max="64" width="7.625" customWidth="1"/>
    <col min="65" max="66" width="7.875" customWidth="1"/>
    <col min="67" max="71" width="7.625" customWidth="1"/>
    <col min="72" max="72" width="7.625" hidden="1" customWidth="1" outlineLevel="1"/>
    <col min="73" max="73" width="7.625" customWidth="1" collapsed="1"/>
    <col min="74" max="74" width="7.625" customWidth="1"/>
    <col min="75" max="75" width="7.625" hidden="1" customWidth="1" outlineLevel="1"/>
    <col min="76" max="76" width="7.625" customWidth="1" collapsed="1"/>
    <col min="77" max="77" width="7.625" customWidth="1"/>
  </cols>
  <sheetData>
    <row r="1" spans="1:78" x14ac:dyDescent="0.4">
      <c r="C1" s="29" t="s">
        <v>43</v>
      </c>
      <c r="F1" t="s">
        <v>334</v>
      </c>
      <c r="AC1" s="41" t="s">
        <v>40</v>
      </c>
      <c r="AD1" s="42"/>
      <c r="AE1" s="42"/>
      <c r="AF1" s="43"/>
      <c r="AV1" s="36" t="s">
        <v>335</v>
      </c>
    </row>
    <row r="2" spans="1:78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1"/>
      <c r="J2" s="31"/>
      <c r="K2" s="38" t="s">
        <v>31</v>
      </c>
      <c r="L2" s="40"/>
      <c r="M2" s="38" t="s">
        <v>1</v>
      </c>
      <c r="N2" s="39"/>
      <c r="O2" s="39"/>
      <c r="P2" s="40"/>
      <c r="Q2" s="1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23"/>
      <c r="AD2" s="24" t="s">
        <v>34</v>
      </c>
      <c r="AE2" s="24"/>
      <c r="AF2" s="25" t="s">
        <v>34</v>
      </c>
      <c r="AG2" s="10"/>
      <c r="AH2" s="9" t="s">
        <v>39</v>
      </c>
      <c r="AI2" s="11"/>
      <c r="AJ2" s="11"/>
      <c r="AK2" s="11"/>
      <c r="AL2" s="11"/>
      <c r="AM2" s="11"/>
      <c r="AN2" s="22" t="s">
        <v>41</v>
      </c>
      <c r="AO2" s="11"/>
      <c r="AP2" s="11"/>
      <c r="AQ2" s="27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35"/>
      <c r="BG2" s="35"/>
      <c r="BH2" s="35"/>
      <c r="BI2">
        <v>51</v>
      </c>
      <c r="BQ2">
        <v>14</v>
      </c>
      <c r="BR2">
        <v>28</v>
      </c>
    </row>
    <row r="3" spans="1:7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7" t="s">
        <v>333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193</v>
      </c>
      <c r="AA3" s="12" t="s">
        <v>194</v>
      </c>
      <c r="AB3" s="12" t="s">
        <v>195</v>
      </c>
      <c r="AC3" s="12" t="s">
        <v>60</v>
      </c>
      <c r="AD3" s="12" t="s">
        <v>61</v>
      </c>
      <c r="AE3" s="2" t="s">
        <v>62</v>
      </c>
      <c r="AF3" s="12" t="s">
        <v>63</v>
      </c>
      <c r="AG3" s="14" t="s">
        <v>3</v>
      </c>
      <c r="AH3" s="20" t="s">
        <v>14</v>
      </c>
      <c r="AI3" s="2" t="s">
        <v>13</v>
      </c>
      <c r="AJ3" s="2" t="s">
        <v>44</v>
      </c>
      <c r="AK3" s="12" t="s">
        <v>65</v>
      </c>
      <c r="AL3" s="12" t="s">
        <v>55</v>
      </c>
      <c r="AM3" s="2" t="s">
        <v>13</v>
      </c>
      <c r="AN3" s="13" t="s">
        <v>32</v>
      </c>
      <c r="AO3" s="2" t="s">
        <v>13</v>
      </c>
      <c r="AP3" s="2" t="s">
        <v>33</v>
      </c>
      <c r="AQ3" s="26" t="s">
        <v>35</v>
      </c>
      <c r="AR3" s="12" t="s">
        <v>36</v>
      </c>
      <c r="AS3" s="12" t="s">
        <v>37</v>
      </c>
      <c r="AT3" s="12" t="s">
        <v>27</v>
      </c>
      <c r="AU3" s="12" t="s">
        <v>38</v>
      </c>
      <c r="AV3" s="12" t="s">
        <v>15</v>
      </c>
      <c r="AW3" s="12" t="s">
        <v>16</v>
      </c>
      <c r="AX3" s="12" t="s">
        <v>17</v>
      </c>
      <c r="AY3" s="12" t="s">
        <v>18</v>
      </c>
      <c r="AZ3" s="12" t="s">
        <v>19</v>
      </c>
      <c r="BA3" s="12" t="s">
        <v>20</v>
      </c>
      <c r="BB3" s="12" t="s">
        <v>21</v>
      </c>
      <c r="BC3" s="12" t="s">
        <v>22</v>
      </c>
      <c r="BD3" s="12" t="s">
        <v>23</v>
      </c>
      <c r="BE3" s="12" t="s">
        <v>24</v>
      </c>
      <c r="BF3" s="12" t="s">
        <v>193</v>
      </c>
      <c r="BG3" s="12" t="s">
        <v>194</v>
      </c>
      <c r="BH3" s="12" t="s">
        <v>195</v>
      </c>
      <c r="BI3" s="2" t="s">
        <v>8</v>
      </c>
      <c r="BJ3" s="2" t="s">
        <v>9</v>
      </c>
      <c r="BK3" s="2" t="s">
        <v>10</v>
      </c>
      <c r="BL3" s="2" t="s">
        <v>11</v>
      </c>
      <c r="BM3" s="12" t="s">
        <v>42</v>
      </c>
      <c r="BN3" s="12" t="s">
        <v>57</v>
      </c>
      <c r="BO3" s="2" t="s">
        <v>336</v>
      </c>
      <c r="BP3" s="2" t="s">
        <v>12</v>
      </c>
      <c r="BQ3" s="18" t="s">
        <v>45</v>
      </c>
      <c r="BR3" s="18" t="s">
        <v>46</v>
      </c>
      <c r="BS3" s="15" t="s">
        <v>52</v>
      </c>
      <c r="BT3" s="32" t="s">
        <v>197</v>
      </c>
      <c r="BU3" s="32" t="s">
        <v>337</v>
      </c>
      <c r="BV3" s="33" t="s">
        <v>58</v>
      </c>
      <c r="BW3" s="33" t="s">
        <v>198</v>
      </c>
      <c r="BX3" s="33" t="s">
        <v>338</v>
      </c>
      <c r="BY3" s="33" t="s">
        <v>59</v>
      </c>
      <c r="BZ3" t="s">
        <v>50</v>
      </c>
    </row>
    <row r="4" spans="1:78" x14ac:dyDescent="0.4">
      <c r="A4" s="3">
        <v>1</v>
      </c>
      <c r="B4" s="3">
        <v>1</v>
      </c>
      <c r="C4" s="4" t="s">
        <v>66</v>
      </c>
      <c r="D4" s="4" t="str">
        <f>TEXT(C4,"000000")</f>
        <v>J41844</v>
      </c>
      <c r="E4" s="4" t="s">
        <v>66</v>
      </c>
      <c r="F4" s="4" t="str">
        <f>D4&amp;I4</f>
        <v>J418445</v>
      </c>
      <c r="G4" s="4" t="s">
        <v>129</v>
      </c>
      <c r="H4" s="5">
        <v>4547345021483</v>
      </c>
      <c r="I4" s="5">
        <v>5</v>
      </c>
      <c r="J4" s="5"/>
      <c r="K4" s="5">
        <v>1</v>
      </c>
      <c r="L4" s="5">
        <v>1</v>
      </c>
      <c r="M4" s="4">
        <v>0</v>
      </c>
      <c r="N4" s="4">
        <v>521</v>
      </c>
      <c r="O4" s="4">
        <v>367</v>
      </c>
      <c r="P4" s="6">
        <f>IFERROR(1-O4/N4,"-")</f>
        <v>0.29558541266794625</v>
      </c>
      <c r="Q4" s="4" t="s">
        <v>196</v>
      </c>
      <c r="R4" s="4" t="s">
        <v>196</v>
      </c>
      <c r="S4" s="4" t="s">
        <v>196</v>
      </c>
      <c r="T4" s="4" t="s">
        <v>196</v>
      </c>
      <c r="U4" s="4" t="s">
        <v>196</v>
      </c>
      <c r="V4" s="4" t="s">
        <v>196</v>
      </c>
      <c r="W4" s="4" t="s">
        <v>196</v>
      </c>
      <c r="X4" s="4" t="s">
        <v>196</v>
      </c>
      <c r="Y4" s="4" t="s">
        <v>196</v>
      </c>
      <c r="Z4" s="4" t="s">
        <v>196</v>
      </c>
      <c r="AA4" s="4" t="s">
        <v>196</v>
      </c>
      <c r="AB4" s="4" t="s">
        <v>196</v>
      </c>
      <c r="AC4" s="4">
        <v>0</v>
      </c>
      <c r="AD4" s="4">
        <f>IF(AG4="",AC4,AC4*AG4)</f>
        <v>0</v>
      </c>
      <c r="AE4" s="4">
        <v>382</v>
      </c>
      <c r="AF4" s="4">
        <f>IF(AG4="",AE4,AE4*AG4)</f>
        <v>382</v>
      </c>
      <c r="AG4" s="4"/>
      <c r="AH4" s="21">
        <f t="shared" ref="AH4:AH22" si="0">ROUND(N4*AV4,0)</f>
        <v>542</v>
      </c>
      <c r="AI4" s="6">
        <f>IFERROR(1-AF4/AH4,"-")</f>
        <v>0.29520295202952029</v>
      </c>
      <c r="AJ4" s="4">
        <v>7.2499999999999991</v>
      </c>
      <c r="AK4" s="4">
        <f>BP4</f>
        <v>507</v>
      </c>
      <c r="AL4" s="4">
        <f>IFERROR(AK4*AV4,"-")</f>
        <v>527.72207084468664</v>
      </c>
      <c r="AM4" s="6">
        <f>IFERROR(1-AF4/AL4,"-")</f>
        <v>0.27613412228796841</v>
      </c>
      <c r="AN4" s="7">
        <v>550</v>
      </c>
      <c r="AO4" s="6">
        <f t="shared" ref="AO4:AO22" si="1">1-AF4/AN4</f>
        <v>0.30545454545454542</v>
      </c>
      <c r="AP4" s="4">
        <f t="shared" ref="AP4:AP22" si="2">AN4-AF4</f>
        <v>168</v>
      </c>
      <c r="AQ4" s="28"/>
      <c r="AR4" s="6" t="e">
        <f>1-AF4/AQ4</f>
        <v>#DIV/0!</v>
      </c>
      <c r="AS4" s="4">
        <f>AQ4-AF4</f>
        <v>-382</v>
      </c>
      <c r="AT4" s="6" t="str">
        <f>IFERROR(AD4/M4,"-")</f>
        <v>-</v>
      </c>
      <c r="AU4" s="6">
        <f>IFERROR(AN4/N4,"-")</f>
        <v>1.0556621880998081</v>
      </c>
      <c r="AV4" s="6">
        <f>IFERROR(AF4/O4,"-")</f>
        <v>1.0408719346049047</v>
      </c>
      <c r="AW4" s="4" t="str">
        <f>IFERROR(ROUND($AN4*Q4/$N4,0),"-")</f>
        <v>-</v>
      </c>
      <c r="AX4" s="4" t="str">
        <f>IF(R4="","-",R4)</f>
        <v>-</v>
      </c>
      <c r="AY4" s="4" t="str">
        <f>IF(S4="","-",S4)</f>
        <v>-</v>
      </c>
      <c r="AZ4" s="4" t="str">
        <f>IFERROR(ROUND($AN4*T4/$N4,0),"-")</f>
        <v>-</v>
      </c>
      <c r="BA4" s="4" t="str">
        <f>IF(U4="","-",U4)</f>
        <v>-</v>
      </c>
      <c r="BB4" s="4" t="str">
        <f>IF(V4="","-",V4)</f>
        <v>-</v>
      </c>
      <c r="BC4" s="4" t="str">
        <f>IFERROR(ROUND($AN4*W4/$N4,0),"-")</f>
        <v>-</v>
      </c>
      <c r="BD4" s="4" t="str">
        <f>IF(X4="","-",X4)</f>
        <v>-</v>
      </c>
      <c r="BE4" s="4" t="str">
        <f>IF(Y4="","-",Y4)</f>
        <v>-</v>
      </c>
      <c r="BF4" s="4" t="str">
        <f>IFERROR(ROUND($AN4*Z4/$N4,0),"-")</f>
        <v>-</v>
      </c>
      <c r="BG4" s="4" t="str">
        <f>IF(AA4="","-",AA4)</f>
        <v>-</v>
      </c>
      <c r="BH4" s="4" t="str">
        <f>IF(AB4="","-",AB4)</f>
        <v>-</v>
      </c>
      <c r="BI4" s="4">
        <v>0</v>
      </c>
      <c r="BJ4" s="4" t="s">
        <v>261</v>
      </c>
      <c r="BK4" s="4"/>
      <c r="BL4" s="4"/>
      <c r="BM4" s="4" t="s">
        <v>262</v>
      </c>
      <c r="BN4" s="4">
        <v>507</v>
      </c>
      <c r="BO4" s="4">
        <v>507</v>
      </c>
      <c r="BP4" s="4">
        <f t="shared" ref="BP4:BP5" si="3">IF(BK4="",BO4,BK4/BL4*BO4)</f>
        <v>507</v>
      </c>
      <c r="BQ4" s="19">
        <v>4</v>
      </c>
      <c r="BR4" s="19">
        <v>1</v>
      </c>
      <c r="BS4" s="16">
        <v>6</v>
      </c>
      <c r="BT4" t="s">
        <v>199</v>
      </c>
      <c r="BU4" t="s">
        <v>196</v>
      </c>
      <c r="BV4" t="str">
        <f>IFERROR(BU4*AV4,"-")</f>
        <v>-</v>
      </c>
      <c r="BW4">
        <v>507</v>
      </c>
      <c r="BX4">
        <v>507</v>
      </c>
      <c r="BY4">
        <f>IFERROR(BX4*AV4,"-")</f>
        <v>527.72207084468664</v>
      </c>
      <c r="BZ4" t="s">
        <v>200</v>
      </c>
    </row>
    <row r="5" spans="1:78" x14ac:dyDescent="0.4">
      <c r="A5" s="3">
        <v>2</v>
      </c>
      <c r="B5" s="3">
        <v>2</v>
      </c>
      <c r="C5" s="4" t="s">
        <v>67</v>
      </c>
      <c r="D5" s="4" t="str">
        <f t="shared" ref="D5:D13" si="4">TEXT(C5,"000000")</f>
        <v>J78439</v>
      </c>
      <c r="E5" s="4" t="s">
        <v>67</v>
      </c>
      <c r="F5" s="4" t="str">
        <f t="shared" ref="F5:F67" si="5">D5&amp;I5</f>
        <v>J784395</v>
      </c>
      <c r="G5" s="4" t="s">
        <v>130</v>
      </c>
      <c r="H5" s="5">
        <v>4560314965236</v>
      </c>
      <c r="I5" s="5">
        <v>5</v>
      </c>
      <c r="J5" s="5"/>
      <c r="K5" s="5">
        <v>1</v>
      </c>
      <c r="L5" s="5">
        <v>1</v>
      </c>
      <c r="M5" s="4">
        <v>0</v>
      </c>
      <c r="N5" s="4">
        <v>701</v>
      </c>
      <c r="O5" s="4">
        <v>530</v>
      </c>
      <c r="P5" s="6">
        <f t="shared" ref="P5:P22" si="6">IFERROR(1-O5/N5,"-")</f>
        <v>0.24393723252496435</v>
      </c>
      <c r="Q5" s="4" t="s">
        <v>196</v>
      </c>
      <c r="R5" s="4" t="s">
        <v>196</v>
      </c>
      <c r="S5" s="4" t="s">
        <v>196</v>
      </c>
      <c r="T5" s="4" t="s">
        <v>196</v>
      </c>
      <c r="U5" s="4" t="s">
        <v>196</v>
      </c>
      <c r="V5" s="4" t="s">
        <v>196</v>
      </c>
      <c r="W5" s="4" t="s">
        <v>196</v>
      </c>
      <c r="X5" s="4" t="s">
        <v>196</v>
      </c>
      <c r="Y5" s="4" t="s">
        <v>196</v>
      </c>
      <c r="Z5" s="4" t="s">
        <v>196</v>
      </c>
      <c r="AA5" s="4" t="s">
        <v>196</v>
      </c>
      <c r="AB5" s="4" t="s">
        <v>196</v>
      </c>
      <c r="AC5" s="4">
        <v>0</v>
      </c>
      <c r="AD5" s="4">
        <f t="shared" ref="AD5:AD13" si="7">IF(AG5="",AC5,AC5*AG5)</f>
        <v>0</v>
      </c>
      <c r="AE5" s="4">
        <v>760</v>
      </c>
      <c r="AF5" s="4">
        <f t="shared" ref="AF5:AF13" si="8">IF(AG5="",AE5,AE5*AG5)</f>
        <v>760</v>
      </c>
      <c r="AG5" s="4"/>
      <c r="AH5" s="21">
        <f t="shared" si="0"/>
        <v>1005</v>
      </c>
      <c r="AI5" s="6">
        <f t="shared" ref="AI5:AI22" si="9">IFERROR(1-AF5/AH5,"-")</f>
        <v>0.24378109452736318</v>
      </c>
      <c r="AJ5" s="4">
        <v>0.25</v>
      </c>
      <c r="AK5" s="4">
        <f t="shared" ref="AK5:AK13" si="10">BP5</f>
        <v>1517</v>
      </c>
      <c r="AL5" s="4">
        <f t="shared" ref="AL5:AL22" si="11">IFERROR(AK5*AV5,"-")</f>
        <v>2175.3207547169809</v>
      </c>
      <c r="AM5" s="6">
        <f t="shared" ref="AM5:AM22" si="12">IFERROR(1-AF5/AL5,"-")</f>
        <v>0.65062623599208957</v>
      </c>
      <c r="AN5" s="7">
        <v>1100</v>
      </c>
      <c r="AO5" s="6">
        <f t="shared" si="1"/>
        <v>0.30909090909090908</v>
      </c>
      <c r="AP5" s="4">
        <f t="shared" si="2"/>
        <v>340</v>
      </c>
      <c r="AQ5" s="28"/>
      <c r="AR5" s="6"/>
      <c r="AS5" s="6"/>
      <c r="AT5" s="6" t="str">
        <f t="shared" ref="AT5:AT22" si="13">IFERROR(AD5/M5,"-")</f>
        <v>-</v>
      </c>
      <c r="AU5" s="6">
        <f t="shared" ref="AU5:AU22" si="14">IFERROR(AN5/N5,"-")</f>
        <v>1.5691868758915835</v>
      </c>
      <c r="AV5" s="6">
        <f t="shared" ref="AV5:AV22" si="15">IFERROR(AF5/O5,"-")</f>
        <v>1.4339622641509433</v>
      </c>
      <c r="AW5" s="4" t="str">
        <f t="shared" ref="AW5:AW67" si="16">IFERROR(ROUND($AN5*Q5/$N5,0),"-")</f>
        <v>-</v>
      </c>
      <c r="AX5" s="4" t="str">
        <f t="shared" ref="AX5:AX67" si="17">IF(R5="","-",R5)</f>
        <v>-</v>
      </c>
      <c r="AY5" s="4" t="str">
        <f t="shared" ref="AY5:AY67" si="18">IF(S5="","-",S5)</f>
        <v>-</v>
      </c>
      <c r="AZ5" s="4" t="str">
        <f t="shared" ref="AZ5:AZ67" si="19">IFERROR(ROUND($AN5*T5/$N5,0),"-")</f>
        <v>-</v>
      </c>
      <c r="BA5" s="4" t="str">
        <f t="shared" ref="BA5:BA67" si="20">IF(U5="","-",U5)</f>
        <v>-</v>
      </c>
      <c r="BB5" s="4" t="str">
        <f t="shared" ref="BB5:BB67" si="21">IF(V5="","-",V5)</f>
        <v>-</v>
      </c>
      <c r="BC5" s="4" t="str">
        <f t="shared" ref="BC5:BC67" si="22">IFERROR(ROUND($AN5*W5/$N5,0),"-")</f>
        <v>-</v>
      </c>
      <c r="BD5" s="4" t="str">
        <f t="shared" ref="BD5:BD67" si="23">IF(X5="","-",X5)</f>
        <v>-</v>
      </c>
      <c r="BE5" s="4" t="str">
        <f t="shared" ref="BE5:BE67" si="24">IF(Y5="","-",Y5)</f>
        <v>-</v>
      </c>
      <c r="BF5" s="4" t="str">
        <f t="shared" ref="BF5:BF67" si="25">IFERROR(ROUND($AN5*Z5/$N5,0),"-")</f>
        <v>-</v>
      </c>
      <c r="BG5" s="4" t="str">
        <f t="shared" ref="BG5:BG67" si="26">IF(AA5="","-",AA5)</f>
        <v>-</v>
      </c>
      <c r="BH5" s="4" t="str">
        <f t="shared" ref="BH5:BH67" si="27">IF(AB5="","-",AB5)</f>
        <v>-</v>
      </c>
      <c r="BI5" s="4">
        <v>0</v>
      </c>
      <c r="BJ5" s="4" t="s">
        <v>263</v>
      </c>
      <c r="BK5" s="4"/>
      <c r="BL5" s="4"/>
      <c r="BM5" s="4" t="s">
        <v>264</v>
      </c>
      <c r="BN5" s="4">
        <v>1060</v>
      </c>
      <c r="BO5" s="4">
        <v>1517</v>
      </c>
      <c r="BP5" s="4">
        <f t="shared" si="3"/>
        <v>1517</v>
      </c>
      <c r="BQ5" s="19">
        <v>4</v>
      </c>
      <c r="BR5" s="19">
        <v>8</v>
      </c>
      <c r="BS5" s="16">
        <v>18</v>
      </c>
      <c r="BT5" t="s">
        <v>199</v>
      </c>
      <c r="BU5" t="s">
        <v>196</v>
      </c>
      <c r="BV5" t="str">
        <f t="shared" ref="BV5:BV67" si="28">IFERROR(BU5*AV5,"-")</f>
        <v>-</v>
      </c>
      <c r="BW5" t="s">
        <v>196</v>
      </c>
      <c r="BX5" t="s">
        <v>196</v>
      </c>
      <c r="BY5" t="str">
        <f t="shared" ref="BY5:BY67" si="29">IFERROR(BX5*AV5,"-")</f>
        <v>-</v>
      </c>
      <c r="BZ5" t="s">
        <v>201</v>
      </c>
    </row>
    <row r="6" spans="1:78" x14ac:dyDescent="0.4">
      <c r="A6" s="3">
        <v>3</v>
      </c>
      <c r="B6" s="3">
        <v>3</v>
      </c>
      <c r="C6" s="17" t="s">
        <v>68</v>
      </c>
      <c r="D6" s="4" t="str">
        <f t="shared" si="4"/>
        <v>J78440</v>
      </c>
      <c r="E6" s="4" t="s">
        <v>68</v>
      </c>
      <c r="F6" s="4" t="str">
        <f t="shared" si="5"/>
        <v>J784405</v>
      </c>
      <c r="G6" s="4" t="s">
        <v>131</v>
      </c>
      <c r="H6" s="5">
        <v>4560314965243</v>
      </c>
      <c r="I6" s="5">
        <v>5</v>
      </c>
      <c r="J6" s="5"/>
      <c r="K6" s="5">
        <v>1</v>
      </c>
      <c r="L6" s="5">
        <v>1</v>
      </c>
      <c r="M6" s="4">
        <v>0</v>
      </c>
      <c r="N6" s="4">
        <v>1174</v>
      </c>
      <c r="O6" s="4">
        <v>810</v>
      </c>
      <c r="P6" s="6">
        <f t="shared" si="6"/>
        <v>0.31005110732538332</v>
      </c>
      <c r="Q6" s="4" t="s">
        <v>196</v>
      </c>
      <c r="R6" s="4" t="s">
        <v>196</v>
      </c>
      <c r="S6" s="4" t="s">
        <v>196</v>
      </c>
      <c r="T6" s="4" t="s">
        <v>196</v>
      </c>
      <c r="U6" s="4" t="s">
        <v>196</v>
      </c>
      <c r="V6" s="4" t="s">
        <v>196</v>
      </c>
      <c r="W6" s="4" t="s">
        <v>196</v>
      </c>
      <c r="X6" s="4" t="s">
        <v>196</v>
      </c>
      <c r="Y6" s="4" t="s">
        <v>196</v>
      </c>
      <c r="Z6" s="4" t="s">
        <v>196</v>
      </c>
      <c r="AA6" s="4" t="s">
        <v>196</v>
      </c>
      <c r="AB6" s="4" t="s">
        <v>196</v>
      </c>
      <c r="AC6" s="4">
        <v>0</v>
      </c>
      <c r="AD6" s="4">
        <f t="shared" si="7"/>
        <v>0</v>
      </c>
      <c r="AE6" s="4">
        <v>1160</v>
      </c>
      <c r="AF6" s="4">
        <f t="shared" si="8"/>
        <v>1160</v>
      </c>
      <c r="AG6" s="4"/>
      <c r="AH6" s="21">
        <f t="shared" si="0"/>
        <v>1681</v>
      </c>
      <c r="AI6" s="6">
        <f t="shared" si="9"/>
        <v>0.30993456276026177</v>
      </c>
      <c r="AJ6" s="4">
        <v>0.25</v>
      </c>
      <c r="AK6" s="4">
        <f t="shared" si="10"/>
        <v>2319</v>
      </c>
      <c r="AL6" s="4">
        <f t="shared" si="11"/>
        <v>3321.037037037037</v>
      </c>
      <c r="AM6" s="6">
        <f t="shared" si="12"/>
        <v>0.65071151358344115</v>
      </c>
      <c r="AN6" s="7">
        <v>1700</v>
      </c>
      <c r="AO6" s="6">
        <f t="shared" si="1"/>
        <v>0.31764705882352939</v>
      </c>
      <c r="AP6" s="4">
        <f t="shared" si="2"/>
        <v>540</v>
      </c>
      <c r="AQ6" s="28"/>
      <c r="AR6" s="6"/>
      <c r="AS6" s="6"/>
      <c r="AT6" s="6" t="str">
        <f t="shared" si="13"/>
        <v>-</v>
      </c>
      <c r="AU6" s="6">
        <f t="shared" si="14"/>
        <v>1.4480408858603067</v>
      </c>
      <c r="AV6" s="6">
        <f t="shared" si="15"/>
        <v>1.4320987654320987</v>
      </c>
      <c r="AW6" s="4" t="str">
        <f t="shared" si="16"/>
        <v>-</v>
      </c>
      <c r="AX6" s="4" t="str">
        <f t="shared" si="17"/>
        <v>-</v>
      </c>
      <c r="AY6" s="4" t="str">
        <f t="shared" si="18"/>
        <v>-</v>
      </c>
      <c r="AZ6" s="4" t="str">
        <f t="shared" si="19"/>
        <v>-</v>
      </c>
      <c r="BA6" s="4" t="str">
        <f t="shared" si="20"/>
        <v>-</v>
      </c>
      <c r="BB6" s="4" t="str">
        <f t="shared" si="21"/>
        <v>-</v>
      </c>
      <c r="BC6" s="4" t="str">
        <f t="shared" si="22"/>
        <v>-</v>
      </c>
      <c r="BD6" s="4" t="str">
        <f t="shared" si="23"/>
        <v>-</v>
      </c>
      <c r="BE6" s="4" t="str">
        <f t="shared" si="24"/>
        <v>-</v>
      </c>
      <c r="BF6" s="4" t="str">
        <f t="shared" si="25"/>
        <v>-</v>
      </c>
      <c r="BG6" s="4" t="str">
        <f t="shared" si="26"/>
        <v>-</v>
      </c>
      <c r="BH6" s="4" t="str">
        <f t="shared" si="27"/>
        <v>-</v>
      </c>
      <c r="BI6" s="4">
        <v>0</v>
      </c>
      <c r="BJ6" s="4" t="s">
        <v>265</v>
      </c>
      <c r="BK6" s="4"/>
      <c r="BL6" s="4"/>
      <c r="BM6" s="4" t="s">
        <v>264</v>
      </c>
      <c r="BN6" s="4">
        <v>1620</v>
      </c>
      <c r="BO6" s="4">
        <v>2319</v>
      </c>
      <c r="BP6" s="4">
        <f t="shared" ref="BP6:BP13" si="30">IF(BK6="",BO6,BK6/BL6*BO6)</f>
        <v>2319</v>
      </c>
      <c r="BQ6" s="19">
        <v>4</v>
      </c>
      <c r="BR6" s="19">
        <v>8</v>
      </c>
      <c r="BS6" s="16">
        <v>18</v>
      </c>
      <c r="BT6" t="s">
        <v>199</v>
      </c>
      <c r="BU6" t="s">
        <v>196</v>
      </c>
      <c r="BV6" t="str">
        <f t="shared" si="28"/>
        <v>-</v>
      </c>
      <c r="BW6" t="s">
        <v>196</v>
      </c>
      <c r="BX6" t="s">
        <v>196</v>
      </c>
      <c r="BY6" t="str">
        <f t="shared" si="29"/>
        <v>-</v>
      </c>
      <c r="BZ6" t="s">
        <v>202</v>
      </c>
    </row>
    <row r="7" spans="1:78" x14ac:dyDescent="0.4">
      <c r="A7" s="3">
        <v>4</v>
      </c>
      <c r="B7" s="3">
        <v>4</v>
      </c>
      <c r="C7" s="17" t="s">
        <v>69</v>
      </c>
      <c r="D7" s="4" t="str">
        <f t="shared" si="4"/>
        <v>J78441</v>
      </c>
      <c r="E7" s="4" t="s">
        <v>69</v>
      </c>
      <c r="F7" s="4" t="str">
        <f t="shared" si="5"/>
        <v>J784415</v>
      </c>
      <c r="G7" s="4" t="s">
        <v>132</v>
      </c>
      <c r="H7" s="5">
        <v>4560314965250</v>
      </c>
      <c r="I7" s="5">
        <v>5</v>
      </c>
      <c r="J7" s="5"/>
      <c r="K7" s="5">
        <v>1</v>
      </c>
      <c r="L7" s="5">
        <v>1</v>
      </c>
      <c r="M7" s="4">
        <v>0</v>
      </c>
      <c r="N7" s="4">
        <v>1625</v>
      </c>
      <c r="O7" s="4">
        <v>1140</v>
      </c>
      <c r="P7" s="6">
        <f t="shared" si="6"/>
        <v>0.29846153846153844</v>
      </c>
      <c r="Q7" s="4" t="s">
        <v>196</v>
      </c>
      <c r="R7" s="4" t="s">
        <v>196</v>
      </c>
      <c r="S7" s="4" t="s">
        <v>196</v>
      </c>
      <c r="T7" s="4" t="s">
        <v>196</v>
      </c>
      <c r="U7" s="4" t="s">
        <v>196</v>
      </c>
      <c r="V7" s="4" t="s">
        <v>196</v>
      </c>
      <c r="W7" s="4" t="s">
        <v>196</v>
      </c>
      <c r="X7" s="4" t="s">
        <v>196</v>
      </c>
      <c r="Y7" s="4" t="s">
        <v>196</v>
      </c>
      <c r="Z7" s="4" t="s">
        <v>196</v>
      </c>
      <c r="AA7" s="4" t="s">
        <v>196</v>
      </c>
      <c r="AB7" s="4" t="s">
        <v>196</v>
      </c>
      <c r="AC7" s="4">
        <v>0</v>
      </c>
      <c r="AD7" s="4">
        <f t="shared" si="7"/>
        <v>0</v>
      </c>
      <c r="AE7" s="4">
        <v>1633</v>
      </c>
      <c r="AF7" s="4">
        <f t="shared" si="8"/>
        <v>1633</v>
      </c>
      <c r="AG7" s="4"/>
      <c r="AH7" s="21">
        <f t="shared" si="0"/>
        <v>2328</v>
      </c>
      <c r="AI7" s="6">
        <f t="shared" si="9"/>
        <v>0.29853951890034369</v>
      </c>
      <c r="AJ7" s="4">
        <v>0.5</v>
      </c>
      <c r="AK7" s="4">
        <f t="shared" si="10"/>
        <v>3264</v>
      </c>
      <c r="AL7" s="4">
        <f t="shared" si="11"/>
        <v>4675.5368421052626</v>
      </c>
      <c r="AM7" s="6">
        <f t="shared" si="12"/>
        <v>0.65073529411764697</v>
      </c>
      <c r="AN7" s="7">
        <v>2400</v>
      </c>
      <c r="AO7" s="6">
        <f t="shared" si="1"/>
        <v>0.31958333333333333</v>
      </c>
      <c r="AP7" s="4">
        <f t="shared" si="2"/>
        <v>767</v>
      </c>
      <c r="AQ7" s="28"/>
      <c r="AR7" s="6"/>
      <c r="AS7" s="6"/>
      <c r="AT7" s="6" t="str">
        <f t="shared" si="13"/>
        <v>-</v>
      </c>
      <c r="AU7" s="6">
        <f t="shared" si="14"/>
        <v>1.476923076923077</v>
      </c>
      <c r="AV7" s="6">
        <f t="shared" si="15"/>
        <v>1.4324561403508771</v>
      </c>
      <c r="AW7" s="4" t="str">
        <f t="shared" si="16"/>
        <v>-</v>
      </c>
      <c r="AX7" s="4" t="str">
        <f t="shared" si="17"/>
        <v>-</v>
      </c>
      <c r="AY7" s="4" t="str">
        <f t="shared" si="18"/>
        <v>-</v>
      </c>
      <c r="AZ7" s="4" t="str">
        <f t="shared" si="19"/>
        <v>-</v>
      </c>
      <c r="BA7" s="4" t="str">
        <f t="shared" si="20"/>
        <v>-</v>
      </c>
      <c r="BB7" s="4" t="str">
        <f t="shared" si="21"/>
        <v>-</v>
      </c>
      <c r="BC7" s="4" t="str">
        <f t="shared" si="22"/>
        <v>-</v>
      </c>
      <c r="BD7" s="4" t="str">
        <f t="shared" si="23"/>
        <v>-</v>
      </c>
      <c r="BE7" s="4" t="str">
        <f t="shared" si="24"/>
        <v>-</v>
      </c>
      <c r="BF7" s="4" t="str">
        <f t="shared" si="25"/>
        <v>-</v>
      </c>
      <c r="BG7" s="4" t="str">
        <f t="shared" si="26"/>
        <v>-</v>
      </c>
      <c r="BH7" s="4" t="str">
        <f t="shared" si="27"/>
        <v>-</v>
      </c>
      <c r="BI7" s="4">
        <v>0</v>
      </c>
      <c r="BJ7" s="4" t="s">
        <v>266</v>
      </c>
      <c r="BK7" s="4"/>
      <c r="BL7" s="4"/>
      <c r="BM7" s="4" t="s">
        <v>264</v>
      </c>
      <c r="BN7" s="4">
        <v>2280</v>
      </c>
      <c r="BO7" s="4">
        <v>3264</v>
      </c>
      <c r="BP7" s="4">
        <f t="shared" si="30"/>
        <v>3264</v>
      </c>
      <c r="BQ7" s="19">
        <v>4</v>
      </c>
      <c r="BR7" s="19">
        <v>8</v>
      </c>
      <c r="BS7" s="16">
        <v>18</v>
      </c>
      <c r="BT7" t="s">
        <v>199</v>
      </c>
      <c r="BU7" t="s">
        <v>196</v>
      </c>
      <c r="BV7" t="str">
        <f t="shared" si="28"/>
        <v>-</v>
      </c>
      <c r="BW7" t="s">
        <v>196</v>
      </c>
      <c r="BX7" t="s">
        <v>196</v>
      </c>
      <c r="BY7" t="str">
        <f t="shared" si="29"/>
        <v>-</v>
      </c>
      <c r="BZ7" t="s">
        <v>203</v>
      </c>
    </row>
    <row r="8" spans="1:78" x14ac:dyDescent="0.4">
      <c r="A8" s="3">
        <v>5</v>
      </c>
      <c r="B8" s="3">
        <v>5</v>
      </c>
      <c r="C8" s="17" t="s">
        <v>70</v>
      </c>
      <c r="D8" s="4" t="str">
        <f t="shared" si="4"/>
        <v>J78442</v>
      </c>
      <c r="E8" s="4" t="s">
        <v>70</v>
      </c>
      <c r="F8" s="4" t="str">
        <f t="shared" si="5"/>
        <v>J784425</v>
      </c>
      <c r="G8" s="4" t="s">
        <v>133</v>
      </c>
      <c r="H8" s="5">
        <v>4560314965267</v>
      </c>
      <c r="I8" s="5">
        <v>5</v>
      </c>
      <c r="J8" s="5"/>
      <c r="K8" s="5">
        <v>1</v>
      </c>
      <c r="L8" s="5">
        <v>1</v>
      </c>
      <c r="M8" s="4">
        <v>0</v>
      </c>
      <c r="N8" s="4">
        <v>1658</v>
      </c>
      <c r="O8" s="4">
        <v>1088</v>
      </c>
      <c r="P8" s="6">
        <f t="shared" si="6"/>
        <v>0.34378769601930037</v>
      </c>
      <c r="Q8" s="4" t="s">
        <v>196</v>
      </c>
      <c r="R8" s="4" t="s">
        <v>196</v>
      </c>
      <c r="S8" s="4" t="s">
        <v>196</v>
      </c>
      <c r="T8" s="4" t="s">
        <v>196</v>
      </c>
      <c r="U8" s="4" t="s">
        <v>196</v>
      </c>
      <c r="V8" s="4" t="s">
        <v>196</v>
      </c>
      <c r="W8" s="4" t="s">
        <v>196</v>
      </c>
      <c r="X8" s="4" t="s">
        <v>196</v>
      </c>
      <c r="Y8" s="4" t="s">
        <v>196</v>
      </c>
      <c r="Z8" s="4" t="s">
        <v>196</v>
      </c>
      <c r="AA8" s="4" t="s">
        <v>196</v>
      </c>
      <c r="AB8" s="4" t="s">
        <v>196</v>
      </c>
      <c r="AC8" s="4">
        <v>0</v>
      </c>
      <c r="AD8" s="4">
        <f t="shared" si="7"/>
        <v>0</v>
      </c>
      <c r="AE8" s="4">
        <v>1559</v>
      </c>
      <c r="AF8" s="4">
        <f t="shared" si="8"/>
        <v>1559</v>
      </c>
      <c r="AG8" s="4"/>
      <c r="AH8" s="21">
        <f t="shared" si="0"/>
        <v>2376</v>
      </c>
      <c r="AI8" s="6">
        <f t="shared" si="9"/>
        <v>0.34385521885521886</v>
      </c>
      <c r="AJ8" s="4">
        <v>1.5</v>
      </c>
      <c r="AK8" s="4">
        <f t="shared" si="10"/>
        <v>3114</v>
      </c>
      <c r="AL8" s="4">
        <f t="shared" si="11"/>
        <v>4462.0643382352937</v>
      </c>
      <c r="AM8" s="6">
        <f t="shared" si="12"/>
        <v>0.65061014771997427</v>
      </c>
      <c r="AN8" s="7">
        <v>2400</v>
      </c>
      <c r="AO8" s="6">
        <f t="shared" si="1"/>
        <v>0.35041666666666671</v>
      </c>
      <c r="AP8" s="4">
        <f t="shared" si="2"/>
        <v>841</v>
      </c>
      <c r="AQ8" s="28"/>
      <c r="AR8" s="6"/>
      <c r="AS8" s="6"/>
      <c r="AT8" s="6" t="str">
        <f t="shared" si="13"/>
        <v>-</v>
      </c>
      <c r="AU8" s="6">
        <f t="shared" si="14"/>
        <v>1.4475271411338964</v>
      </c>
      <c r="AV8" s="6">
        <f t="shared" si="15"/>
        <v>1.4329044117647058</v>
      </c>
      <c r="AW8" s="4" t="str">
        <f t="shared" si="16"/>
        <v>-</v>
      </c>
      <c r="AX8" s="4" t="str">
        <f t="shared" si="17"/>
        <v>-</v>
      </c>
      <c r="AY8" s="4" t="str">
        <f t="shared" si="18"/>
        <v>-</v>
      </c>
      <c r="AZ8" s="4" t="str">
        <f t="shared" si="19"/>
        <v>-</v>
      </c>
      <c r="BA8" s="4" t="str">
        <f t="shared" si="20"/>
        <v>-</v>
      </c>
      <c r="BB8" s="4" t="str">
        <f t="shared" si="21"/>
        <v>-</v>
      </c>
      <c r="BC8" s="4" t="str">
        <f t="shared" si="22"/>
        <v>-</v>
      </c>
      <c r="BD8" s="4" t="str">
        <f t="shared" si="23"/>
        <v>-</v>
      </c>
      <c r="BE8" s="4" t="str">
        <f t="shared" si="24"/>
        <v>-</v>
      </c>
      <c r="BF8" s="4" t="str">
        <f t="shared" si="25"/>
        <v>-</v>
      </c>
      <c r="BG8" s="4" t="str">
        <f t="shared" si="26"/>
        <v>-</v>
      </c>
      <c r="BH8" s="4" t="str">
        <f t="shared" si="27"/>
        <v>-</v>
      </c>
      <c r="BI8" s="4">
        <v>0</v>
      </c>
      <c r="BJ8" s="4" t="s">
        <v>267</v>
      </c>
      <c r="BK8" s="4"/>
      <c r="BL8" s="4"/>
      <c r="BM8" s="4" t="s">
        <v>264</v>
      </c>
      <c r="BN8" s="4">
        <v>2176</v>
      </c>
      <c r="BO8" s="4">
        <v>3114</v>
      </c>
      <c r="BP8" s="4">
        <f t="shared" si="30"/>
        <v>3114</v>
      </c>
      <c r="BQ8" s="19">
        <v>4</v>
      </c>
      <c r="BR8" s="19">
        <v>8</v>
      </c>
      <c r="BS8" s="16">
        <v>18</v>
      </c>
      <c r="BT8" t="s">
        <v>199</v>
      </c>
      <c r="BU8" t="s">
        <v>196</v>
      </c>
      <c r="BV8" t="str">
        <f t="shared" si="28"/>
        <v>-</v>
      </c>
      <c r="BW8" t="s">
        <v>196</v>
      </c>
      <c r="BX8" t="s">
        <v>196</v>
      </c>
      <c r="BY8" t="str">
        <f t="shared" si="29"/>
        <v>-</v>
      </c>
      <c r="BZ8" t="s">
        <v>204</v>
      </c>
    </row>
    <row r="9" spans="1:78" x14ac:dyDescent="0.4">
      <c r="A9" s="3">
        <v>6</v>
      </c>
      <c r="B9" s="3">
        <v>6</v>
      </c>
      <c r="C9" s="17" t="s">
        <v>71</v>
      </c>
      <c r="D9" s="4" t="str">
        <f t="shared" si="4"/>
        <v>J78443</v>
      </c>
      <c r="E9" s="4" t="s">
        <v>71</v>
      </c>
      <c r="F9" s="4" t="str">
        <f t="shared" si="5"/>
        <v>J784435</v>
      </c>
      <c r="G9" s="4" t="s">
        <v>134</v>
      </c>
      <c r="H9" s="5">
        <v>4560314965274</v>
      </c>
      <c r="I9" s="5">
        <v>5</v>
      </c>
      <c r="J9" s="5"/>
      <c r="K9" s="34">
        <v>2</v>
      </c>
      <c r="L9" s="5">
        <v>1</v>
      </c>
      <c r="M9" s="4">
        <v>0</v>
      </c>
      <c r="N9" s="4">
        <v>2534</v>
      </c>
      <c r="O9" s="4">
        <v>1728</v>
      </c>
      <c r="P9" s="6">
        <f t="shared" si="6"/>
        <v>0.31807419100236778</v>
      </c>
      <c r="Q9" s="4" t="s">
        <v>196</v>
      </c>
      <c r="R9" s="4" t="s">
        <v>196</v>
      </c>
      <c r="S9" s="4" t="s">
        <v>196</v>
      </c>
      <c r="T9" s="4" t="s">
        <v>196</v>
      </c>
      <c r="U9" s="4" t="s">
        <v>196</v>
      </c>
      <c r="V9" s="4" t="s">
        <v>196</v>
      </c>
      <c r="W9" s="4" t="s">
        <v>196</v>
      </c>
      <c r="X9" s="4" t="s">
        <v>196</v>
      </c>
      <c r="Y9" s="4" t="s">
        <v>196</v>
      </c>
      <c r="Z9" s="4" t="s">
        <v>196</v>
      </c>
      <c r="AA9" s="4" t="s">
        <v>196</v>
      </c>
      <c r="AB9" s="4" t="s">
        <v>196</v>
      </c>
      <c r="AC9" s="4">
        <v>0</v>
      </c>
      <c r="AD9" s="4">
        <f t="shared" si="7"/>
        <v>0</v>
      </c>
      <c r="AE9" s="4">
        <v>2476</v>
      </c>
      <c r="AF9" s="4">
        <f t="shared" si="8"/>
        <v>2476</v>
      </c>
      <c r="AG9" s="4"/>
      <c r="AH9" s="21">
        <f t="shared" si="0"/>
        <v>3631</v>
      </c>
      <c r="AI9" s="6">
        <f t="shared" si="9"/>
        <v>0.31809418892866981</v>
      </c>
      <c r="AJ9" s="4">
        <v>3</v>
      </c>
      <c r="AK9" s="4">
        <f t="shared" si="10"/>
        <v>4947</v>
      </c>
      <c r="AL9" s="4">
        <f t="shared" si="11"/>
        <v>7088.4097222222226</v>
      </c>
      <c r="AM9" s="6">
        <f t="shared" si="12"/>
        <v>0.65069739235900548</v>
      </c>
      <c r="AN9" s="7">
        <v>3700</v>
      </c>
      <c r="AO9" s="6">
        <f t="shared" si="1"/>
        <v>0.33081081081081076</v>
      </c>
      <c r="AP9" s="4">
        <f t="shared" si="2"/>
        <v>1224</v>
      </c>
      <c r="AQ9" s="28"/>
      <c r="AR9" s="6"/>
      <c r="AS9" s="6"/>
      <c r="AT9" s="6" t="str">
        <f t="shared" si="13"/>
        <v>-</v>
      </c>
      <c r="AU9" s="6">
        <f t="shared" si="14"/>
        <v>1.4601420678768746</v>
      </c>
      <c r="AV9" s="6">
        <f t="shared" si="15"/>
        <v>1.4328703703703705</v>
      </c>
      <c r="AW9" s="4" t="str">
        <f t="shared" si="16"/>
        <v>-</v>
      </c>
      <c r="AX9" s="4" t="str">
        <f t="shared" si="17"/>
        <v>-</v>
      </c>
      <c r="AY9" s="4" t="str">
        <f t="shared" si="18"/>
        <v>-</v>
      </c>
      <c r="AZ9" s="4" t="str">
        <f t="shared" si="19"/>
        <v>-</v>
      </c>
      <c r="BA9" s="4" t="str">
        <f t="shared" si="20"/>
        <v>-</v>
      </c>
      <c r="BB9" s="4" t="str">
        <f t="shared" si="21"/>
        <v>-</v>
      </c>
      <c r="BC9" s="4" t="str">
        <f t="shared" si="22"/>
        <v>-</v>
      </c>
      <c r="BD9" s="4" t="str">
        <f t="shared" si="23"/>
        <v>-</v>
      </c>
      <c r="BE9" s="4" t="str">
        <f t="shared" si="24"/>
        <v>-</v>
      </c>
      <c r="BF9" s="4" t="str">
        <f t="shared" si="25"/>
        <v>-</v>
      </c>
      <c r="BG9" s="4" t="str">
        <f t="shared" si="26"/>
        <v>-</v>
      </c>
      <c r="BH9" s="4" t="str">
        <f t="shared" si="27"/>
        <v>-</v>
      </c>
      <c r="BI9" s="4">
        <v>0</v>
      </c>
      <c r="BJ9" s="4" t="s">
        <v>268</v>
      </c>
      <c r="BK9" s="4"/>
      <c r="BL9" s="4"/>
      <c r="BM9" s="4" t="s">
        <v>264</v>
      </c>
      <c r="BN9" s="4">
        <v>3456</v>
      </c>
      <c r="BO9" s="4">
        <v>4947</v>
      </c>
      <c r="BP9" s="4">
        <f t="shared" si="30"/>
        <v>4947</v>
      </c>
      <c r="BQ9" s="19">
        <v>4</v>
      </c>
      <c r="BR9" s="19">
        <v>1</v>
      </c>
      <c r="BS9" s="16">
        <v>18</v>
      </c>
      <c r="BT9" t="s">
        <v>199</v>
      </c>
      <c r="BU9" t="s">
        <v>196</v>
      </c>
      <c r="BV9" t="str">
        <f t="shared" si="28"/>
        <v>-</v>
      </c>
      <c r="BW9" t="s">
        <v>196</v>
      </c>
      <c r="BX9" t="s">
        <v>196</v>
      </c>
      <c r="BY9" t="str">
        <f t="shared" si="29"/>
        <v>-</v>
      </c>
      <c r="BZ9" t="s">
        <v>205</v>
      </c>
    </row>
    <row r="10" spans="1:78" x14ac:dyDescent="0.4">
      <c r="A10" s="3">
        <v>7</v>
      </c>
      <c r="B10" s="3">
        <v>7</v>
      </c>
      <c r="C10" s="4" t="s">
        <v>72</v>
      </c>
      <c r="D10" s="4" t="str">
        <f t="shared" si="4"/>
        <v>J41681</v>
      </c>
      <c r="E10" s="4" t="s">
        <v>72</v>
      </c>
      <c r="F10" s="4" t="str">
        <f t="shared" si="5"/>
        <v>J416815</v>
      </c>
      <c r="G10" s="4" t="s">
        <v>135</v>
      </c>
      <c r="H10" s="5">
        <v>4547345003472</v>
      </c>
      <c r="I10" s="5">
        <v>5</v>
      </c>
      <c r="J10" s="5"/>
      <c r="K10" s="5">
        <v>1</v>
      </c>
      <c r="L10" s="5">
        <v>1</v>
      </c>
      <c r="M10" s="4">
        <v>0</v>
      </c>
      <c r="N10" s="4">
        <v>1672</v>
      </c>
      <c r="O10" s="4">
        <v>1300</v>
      </c>
      <c r="P10" s="6">
        <f t="shared" si="6"/>
        <v>0.22248803827751196</v>
      </c>
      <c r="Q10" s="4" t="s">
        <v>196</v>
      </c>
      <c r="R10" s="4" t="s">
        <v>196</v>
      </c>
      <c r="S10" s="4" t="s">
        <v>196</v>
      </c>
      <c r="T10" s="4" t="s">
        <v>196</v>
      </c>
      <c r="U10" s="4" t="s">
        <v>196</v>
      </c>
      <c r="V10" s="4" t="s">
        <v>196</v>
      </c>
      <c r="W10" s="4" t="s">
        <v>196</v>
      </c>
      <c r="X10" s="4" t="s">
        <v>196</v>
      </c>
      <c r="Y10" s="4" t="s">
        <v>196</v>
      </c>
      <c r="Z10" s="4" t="s">
        <v>196</v>
      </c>
      <c r="AA10" s="4" t="s">
        <v>196</v>
      </c>
      <c r="AB10" s="4" t="s">
        <v>196</v>
      </c>
      <c r="AC10" s="4">
        <v>0</v>
      </c>
      <c r="AD10" s="4">
        <f t="shared" si="7"/>
        <v>0</v>
      </c>
      <c r="AE10" s="4">
        <v>1360</v>
      </c>
      <c r="AF10" s="4">
        <f t="shared" si="8"/>
        <v>1360</v>
      </c>
      <c r="AG10" s="4"/>
      <c r="AH10" s="21">
        <f t="shared" si="0"/>
        <v>1749</v>
      </c>
      <c r="AI10" s="6">
        <f t="shared" si="9"/>
        <v>0.22241280731846769</v>
      </c>
      <c r="AJ10" s="4">
        <v>0</v>
      </c>
      <c r="AK10" s="4">
        <f t="shared" si="10"/>
        <v>1945</v>
      </c>
      <c r="AL10" s="4">
        <f t="shared" si="11"/>
        <v>2034.7692307692309</v>
      </c>
      <c r="AM10" s="6">
        <f t="shared" si="12"/>
        <v>0.33161953727506432</v>
      </c>
      <c r="AN10" s="7">
        <v>1944</v>
      </c>
      <c r="AO10" s="6">
        <f t="shared" si="1"/>
        <v>0.30041152263374482</v>
      </c>
      <c r="AP10" s="4">
        <f t="shared" si="2"/>
        <v>584</v>
      </c>
      <c r="AQ10" s="28"/>
      <c r="AR10" s="6"/>
      <c r="AS10" s="6"/>
      <c r="AT10" s="6" t="str">
        <f t="shared" si="13"/>
        <v>-</v>
      </c>
      <c r="AU10" s="6">
        <f t="shared" si="14"/>
        <v>1.1626794258373205</v>
      </c>
      <c r="AV10" s="6">
        <f t="shared" si="15"/>
        <v>1.0461538461538462</v>
      </c>
      <c r="AW10" s="4" t="str">
        <f t="shared" si="16"/>
        <v>-</v>
      </c>
      <c r="AX10" s="4" t="str">
        <f t="shared" si="17"/>
        <v>-</v>
      </c>
      <c r="AY10" s="4" t="str">
        <f t="shared" si="18"/>
        <v>-</v>
      </c>
      <c r="AZ10" s="4" t="str">
        <f t="shared" si="19"/>
        <v>-</v>
      </c>
      <c r="BA10" s="4" t="str">
        <f t="shared" si="20"/>
        <v>-</v>
      </c>
      <c r="BB10" s="4" t="str">
        <f t="shared" si="21"/>
        <v>-</v>
      </c>
      <c r="BC10" s="4" t="str">
        <f t="shared" si="22"/>
        <v>-</v>
      </c>
      <c r="BD10" s="4" t="str">
        <f t="shared" si="23"/>
        <v>-</v>
      </c>
      <c r="BE10" s="4" t="str">
        <f t="shared" si="24"/>
        <v>-</v>
      </c>
      <c r="BF10" s="4" t="str">
        <f t="shared" si="25"/>
        <v>-</v>
      </c>
      <c r="BG10" s="4" t="str">
        <f t="shared" si="26"/>
        <v>-</v>
      </c>
      <c r="BH10" s="4" t="str">
        <f t="shared" si="27"/>
        <v>-</v>
      </c>
      <c r="BI10" s="4">
        <v>0</v>
      </c>
      <c r="BJ10" s="4" t="s">
        <v>269</v>
      </c>
      <c r="BK10" s="4"/>
      <c r="BL10" s="4"/>
      <c r="BM10" s="4" t="s">
        <v>270</v>
      </c>
      <c r="BN10" s="4">
        <v>1860</v>
      </c>
      <c r="BO10" s="4">
        <v>1945</v>
      </c>
      <c r="BP10" s="4">
        <f t="shared" si="30"/>
        <v>1945</v>
      </c>
      <c r="BQ10" s="19">
        <v>4</v>
      </c>
      <c r="BR10" s="19">
        <v>8</v>
      </c>
      <c r="BS10" s="16">
        <v>4</v>
      </c>
      <c r="BT10" t="s">
        <v>199</v>
      </c>
      <c r="BU10" t="s">
        <v>196</v>
      </c>
      <c r="BV10" t="str">
        <f t="shared" si="28"/>
        <v>-</v>
      </c>
      <c r="BW10">
        <v>1859</v>
      </c>
      <c r="BX10">
        <v>1859</v>
      </c>
      <c r="BY10">
        <f t="shared" si="29"/>
        <v>1944.8000000000002</v>
      </c>
      <c r="BZ10" t="s">
        <v>206</v>
      </c>
    </row>
    <row r="11" spans="1:78" x14ac:dyDescent="0.4">
      <c r="A11" s="3">
        <v>8</v>
      </c>
      <c r="B11" s="3">
        <v>8</v>
      </c>
      <c r="C11" s="4" t="s">
        <v>73</v>
      </c>
      <c r="D11" s="4" t="str">
        <f t="shared" si="4"/>
        <v>J41696</v>
      </c>
      <c r="E11" s="4" t="s">
        <v>73</v>
      </c>
      <c r="F11" s="4" t="str">
        <f t="shared" si="5"/>
        <v>J416965</v>
      </c>
      <c r="G11" s="4" t="s">
        <v>136</v>
      </c>
      <c r="H11" s="5">
        <v>4547345003489</v>
      </c>
      <c r="I11" s="5">
        <v>5</v>
      </c>
      <c r="J11" s="5"/>
      <c r="K11" s="5">
        <v>1</v>
      </c>
      <c r="L11" s="5">
        <v>1</v>
      </c>
      <c r="M11" s="4">
        <v>0</v>
      </c>
      <c r="N11" s="4">
        <v>1185</v>
      </c>
      <c r="O11" s="4">
        <v>918</v>
      </c>
      <c r="P11" s="6">
        <f t="shared" si="6"/>
        <v>0.22531645569620251</v>
      </c>
      <c r="Q11" s="4" t="s">
        <v>196</v>
      </c>
      <c r="R11" s="4" t="s">
        <v>196</v>
      </c>
      <c r="S11" s="4" t="s">
        <v>196</v>
      </c>
      <c r="T11" s="4" t="s">
        <v>196</v>
      </c>
      <c r="U11" s="4" t="s">
        <v>196</v>
      </c>
      <c r="V11" s="4" t="s">
        <v>196</v>
      </c>
      <c r="W11" s="4" t="s">
        <v>196</v>
      </c>
      <c r="X11" s="4" t="s">
        <v>196</v>
      </c>
      <c r="Y11" s="4" t="s">
        <v>196</v>
      </c>
      <c r="Z11" s="4" t="s">
        <v>196</v>
      </c>
      <c r="AA11" s="4" t="s">
        <v>196</v>
      </c>
      <c r="AB11" s="4" t="s">
        <v>196</v>
      </c>
      <c r="AC11" s="4">
        <v>0</v>
      </c>
      <c r="AD11" s="4">
        <f t="shared" si="7"/>
        <v>0</v>
      </c>
      <c r="AE11" s="4">
        <v>961</v>
      </c>
      <c r="AF11" s="4">
        <f t="shared" si="8"/>
        <v>961</v>
      </c>
      <c r="AG11" s="4"/>
      <c r="AH11" s="21">
        <f t="shared" si="0"/>
        <v>1241</v>
      </c>
      <c r="AI11" s="6">
        <f t="shared" si="9"/>
        <v>0.22562449637389204</v>
      </c>
      <c r="AJ11" s="4">
        <v>0</v>
      </c>
      <c r="AK11" s="4">
        <f t="shared" si="10"/>
        <v>1375</v>
      </c>
      <c r="AL11" s="4">
        <f t="shared" si="11"/>
        <v>1439.4063180827886</v>
      </c>
      <c r="AM11" s="6">
        <f t="shared" si="12"/>
        <v>0.33236363636363631</v>
      </c>
      <c r="AN11" s="7">
        <v>1374</v>
      </c>
      <c r="AO11" s="6">
        <f t="shared" si="1"/>
        <v>0.30058224163027658</v>
      </c>
      <c r="AP11" s="4">
        <f t="shared" si="2"/>
        <v>413</v>
      </c>
      <c r="AQ11" s="28"/>
      <c r="AR11" s="6"/>
      <c r="AS11" s="6"/>
      <c r="AT11" s="6" t="str">
        <f t="shared" si="13"/>
        <v>-</v>
      </c>
      <c r="AU11" s="6">
        <f t="shared" si="14"/>
        <v>1.1594936708860759</v>
      </c>
      <c r="AV11" s="6">
        <f t="shared" si="15"/>
        <v>1.0468409586056644</v>
      </c>
      <c r="AW11" s="4" t="str">
        <f t="shared" si="16"/>
        <v>-</v>
      </c>
      <c r="AX11" s="4" t="str">
        <f t="shared" si="17"/>
        <v>-</v>
      </c>
      <c r="AY11" s="4" t="str">
        <f t="shared" si="18"/>
        <v>-</v>
      </c>
      <c r="AZ11" s="4" t="str">
        <f t="shared" si="19"/>
        <v>-</v>
      </c>
      <c r="BA11" s="4" t="str">
        <f t="shared" si="20"/>
        <v>-</v>
      </c>
      <c r="BB11" s="4" t="str">
        <f t="shared" si="21"/>
        <v>-</v>
      </c>
      <c r="BC11" s="4" t="str">
        <f t="shared" si="22"/>
        <v>-</v>
      </c>
      <c r="BD11" s="4" t="str">
        <f t="shared" si="23"/>
        <v>-</v>
      </c>
      <c r="BE11" s="4" t="str">
        <f t="shared" si="24"/>
        <v>-</v>
      </c>
      <c r="BF11" s="4" t="str">
        <f t="shared" si="25"/>
        <v>-</v>
      </c>
      <c r="BG11" s="4" t="str">
        <f t="shared" si="26"/>
        <v>-</v>
      </c>
      <c r="BH11" s="4" t="str">
        <f t="shared" si="27"/>
        <v>-</v>
      </c>
      <c r="BI11" s="4">
        <v>0</v>
      </c>
      <c r="BJ11" s="4" t="s">
        <v>271</v>
      </c>
      <c r="BK11" s="4"/>
      <c r="BL11" s="4"/>
      <c r="BM11" s="4" t="s">
        <v>270</v>
      </c>
      <c r="BN11" s="4">
        <v>1314</v>
      </c>
      <c r="BO11" s="4">
        <v>1375</v>
      </c>
      <c r="BP11" s="4">
        <f t="shared" si="30"/>
        <v>1375</v>
      </c>
      <c r="BQ11" s="19">
        <v>4</v>
      </c>
      <c r="BR11" s="19">
        <v>8</v>
      </c>
      <c r="BS11" s="16">
        <v>4</v>
      </c>
      <c r="BT11" t="s">
        <v>199</v>
      </c>
      <c r="BU11" t="s">
        <v>196</v>
      </c>
      <c r="BV11" t="str">
        <f t="shared" si="28"/>
        <v>-</v>
      </c>
      <c r="BW11">
        <v>1254</v>
      </c>
      <c r="BX11">
        <v>1254</v>
      </c>
      <c r="BY11">
        <f t="shared" si="29"/>
        <v>1312.7385620915031</v>
      </c>
      <c r="BZ11" t="s">
        <v>207</v>
      </c>
    </row>
    <row r="12" spans="1:78" x14ac:dyDescent="0.4">
      <c r="A12" s="3">
        <v>9</v>
      </c>
      <c r="B12" s="3">
        <v>9</v>
      </c>
      <c r="C12" s="4" t="s">
        <v>74</v>
      </c>
      <c r="D12" s="4" t="str">
        <f t="shared" si="4"/>
        <v>J41717</v>
      </c>
      <c r="E12" s="4" t="s">
        <v>74</v>
      </c>
      <c r="F12" s="4" t="str">
        <f t="shared" si="5"/>
        <v>J417175</v>
      </c>
      <c r="G12" s="4" t="s">
        <v>137</v>
      </c>
      <c r="H12" s="5">
        <v>4547345003496</v>
      </c>
      <c r="I12" s="5">
        <v>5</v>
      </c>
      <c r="J12" s="5"/>
      <c r="K12" s="5">
        <v>1</v>
      </c>
      <c r="L12" s="5">
        <v>1</v>
      </c>
      <c r="M12" s="4">
        <v>0</v>
      </c>
      <c r="N12" s="4">
        <v>1328</v>
      </c>
      <c r="O12" s="4">
        <v>902</v>
      </c>
      <c r="P12" s="6">
        <f t="shared" si="6"/>
        <v>0.32078313253012047</v>
      </c>
      <c r="Q12" s="4" t="s">
        <v>196</v>
      </c>
      <c r="R12" s="4" t="s">
        <v>196</v>
      </c>
      <c r="S12" s="4" t="s">
        <v>196</v>
      </c>
      <c r="T12" s="4" t="s">
        <v>196</v>
      </c>
      <c r="U12" s="4" t="s">
        <v>196</v>
      </c>
      <c r="V12" s="4" t="s">
        <v>196</v>
      </c>
      <c r="W12" s="4" t="s">
        <v>196</v>
      </c>
      <c r="X12" s="4" t="s">
        <v>196</v>
      </c>
      <c r="Y12" s="4" t="s">
        <v>196</v>
      </c>
      <c r="Z12" s="4" t="s">
        <v>196</v>
      </c>
      <c r="AA12" s="4" t="s">
        <v>196</v>
      </c>
      <c r="AB12" s="4" t="s">
        <v>196</v>
      </c>
      <c r="AC12" s="4">
        <v>0</v>
      </c>
      <c r="AD12" s="4">
        <f t="shared" si="7"/>
        <v>0</v>
      </c>
      <c r="AE12" s="4">
        <v>943</v>
      </c>
      <c r="AF12" s="4">
        <f t="shared" si="8"/>
        <v>943</v>
      </c>
      <c r="AG12" s="4"/>
      <c r="AH12" s="21">
        <f t="shared" si="0"/>
        <v>1388</v>
      </c>
      <c r="AI12" s="6">
        <f t="shared" si="9"/>
        <v>0.32060518731988474</v>
      </c>
      <c r="AJ12" s="4">
        <v>0.25</v>
      </c>
      <c r="AK12" s="4">
        <f t="shared" si="10"/>
        <v>1349</v>
      </c>
      <c r="AL12" s="4">
        <f t="shared" si="11"/>
        <v>1410.3181818181818</v>
      </c>
      <c r="AM12" s="6">
        <f t="shared" si="12"/>
        <v>0.33135656041512229</v>
      </c>
      <c r="AN12" s="7">
        <v>1347</v>
      </c>
      <c r="AO12" s="6">
        <f t="shared" si="1"/>
        <v>0.2999257609502598</v>
      </c>
      <c r="AP12" s="4">
        <f t="shared" si="2"/>
        <v>404</v>
      </c>
      <c r="AQ12" s="28"/>
      <c r="AR12" s="6"/>
      <c r="AS12" s="6"/>
      <c r="AT12" s="6" t="str">
        <f t="shared" si="13"/>
        <v>-</v>
      </c>
      <c r="AU12" s="6">
        <f t="shared" si="14"/>
        <v>1.0143072289156627</v>
      </c>
      <c r="AV12" s="6">
        <f t="shared" si="15"/>
        <v>1.0454545454545454</v>
      </c>
      <c r="AW12" s="4" t="str">
        <f t="shared" si="16"/>
        <v>-</v>
      </c>
      <c r="AX12" s="4" t="str">
        <f t="shared" si="17"/>
        <v>-</v>
      </c>
      <c r="AY12" s="4" t="str">
        <f t="shared" si="18"/>
        <v>-</v>
      </c>
      <c r="AZ12" s="4" t="str">
        <f t="shared" si="19"/>
        <v>-</v>
      </c>
      <c r="BA12" s="4" t="str">
        <f t="shared" si="20"/>
        <v>-</v>
      </c>
      <c r="BB12" s="4" t="str">
        <f t="shared" si="21"/>
        <v>-</v>
      </c>
      <c r="BC12" s="4" t="str">
        <f t="shared" si="22"/>
        <v>-</v>
      </c>
      <c r="BD12" s="4" t="str">
        <f t="shared" si="23"/>
        <v>-</v>
      </c>
      <c r="BE12" s="4" t="str">
        <f t="shared" si="24"/>
        <v>-</v>
      </c>
      <c r="BF12" s="4" t="str">
        <f t="shared" si="25"/>
        <v>-</v>
      </c>
      <c r="BG12" s="4" t="str">
        <f t="shared" si="26"/>
        <v>-</v>
      </c>
      <c r="BH12" s="4" t="str">
        <f t="shared" si="27"/>
        <v>-</v>
      </c>
      <c r="BI12" s="4">
        <v>0</v>
      </c>
      <c r="BJ12" s="4" t="s">
        <v>272</v>
      </c>
      <c r="BK12" s="4"/>
      <c r="BL12" s="4"/>
      <c r="BM12" s="4" t="s">
        <v>270</v>
      </c>
      <c r="BN12" s="4">
        <v>1290</v>
      </c>
      <c r="BO12" s="4">
        <v>1349</v>
      </c>
      <c r="BP12" s="4">
        <f t="shared" si="30"/>
        <v>1349</v>
      </c>
      <c r="BQ12" s="19">
        <v>4</v>
      </c>
      <c r="BR12" s="19">
        <v>8</v>
      </c>
      <c r="BS12" s="16">
        <v>4</v>
      </c>
      <c r="BT12" t="s">
        <v>199</v>
      </c>
      <c r="BU12" t="s">
        <v>196</v>
      </c>
      <c r="BV12" t="str">
        <f t="shared" si="28"/>
        <v>-</v>
      </c>
      <c r="BW12">
        <v>1289</v>
      </c>
      <c r="BX12">
        <v>1289</v>
      </c>
      <c r="BY12">
        <f t="shared" si="29"/>
        <v>1347.590909090909</v>
      </c>
      <c r="BZ12" t="s">
        <v>208</v>
      </c>
    </row>
    <row r="13" spans="1:78" x14ac:dyDescent="0.4">
      <c r="A13" s="3">
        <v>10</v>
      </c>
      <c r="B13" s="3">
        <v>10</v>
      </c>
      <c r="C13" s="4" t="s">
        <v>75</v>
      </c>
      <c r="D13" s="4" t="str">
        <f t="shared" si="4"/>
        <v>J41708</v>
      </c>
      <c r="E13" s="4" t="s">
        <v>75</v>
      </c>
      <c r="F13" s="4" t="str">
        <f t="shared" si="5"/>
        <v>J417085</v>
      </c>
      <c r="G13" s="4" t="s">
        <v>138</v>
      </c>
      <c r="H13" s="5">
        <v>4547345003502</v>
      </c>
      <c r="I13" s="5">
        <v>5</v>
      </c>
      <c r="J13" s="5"/>
      <c r="K13" s="5">
        <v>1</v>
      </c>
      <c r="L13" s="5">
        <v>1</v>
      </c>
      <c r="M13" s="4">
        <v>0</v>
      </c>
      <c r="N13" s="4">
        <v>1431</v>
      </c>
      <c r="O13" s="4">
        <v>982</v>
      </c>
      <c r="P13" s="6">
        <f t="shared" si="6"/>
        <v>0.3137665967854647</v>
      </c>
      <c r="Q13" s="4" t="s">
        <v>196</v>
      </c>
      <c r="R13" s="4" t="s">
        <v>196</v>
      </c>
      <c r="S13" s="4" t="s">
        <v>196</v>
      </c>
      <c r="T13" s="4" t="s">
        <v>196</v>
      </c>
      <c r="U13" s="4" t="s">
        <v>196</v>
      </c>
      <c r="V13" s="4" t="s">
        <v>196</v>
      </c>
      <c r="W13" s="4" t="s">
        <v>196</v>
      </c>
      <c r="X13" s="4" t="s">
        <v>196</v>
      </c>
      <c r="Y13" s="4" t="s">
        <v>196</v>
      </c>
      <c r="Z13" s="4" t="s">
        <v>196</v>
      </c>
      <c r="AA13" s="4" t="s">
        <v>196</v>
      </c>
      <c r="AB13" s="4" t="s">
        <v>196</v>
      </c>
      <c r="AC13" s="4">
        <v>0</v>
      </c>
      <c r="AD13" s="4">
        <f t="shared" si="7"/>
        <v>0</v>
      </c>
      <c r="AE13" s="4">
        <v>1028</v>
      </c>
      <c r="AF13" s="4">
        <f t="shared" si="8"/>
        <v>1028</v>
      </c>
      <c r="AG13" s="4"/>
      <c r="AH13" s="21">
        <f t="shared" si="0"/>
        <v>1498</v>
      </c>
      <c r="AI13" s="6">
        <f t="shared" si="9"/>
        <v>0.31375166889185579</v>
      </c>
      <c r="AJ13" s="4">
        <v>0.25</v>
      </c>
      <c r="AK13" s="4">
        <f t="shared" si="10"/>
        <v>1470</v>
      </c>
      <c r="AL13" s="4">
        <f t="shared" si="11"/>
        <v>1538.8594704684317</v>
      </c>
      <c r="AM13" s="6">
        <f t="shared" si="12"/>
        <v>0.33197278911564621</v>
      </c>
      <c r="AN13" s="7">
        <v>1470</v>
      </c>
      <c r="AO13" s="6">
        <f t="shared" si="1"/>
        <v>0.30068027210884352</v>
      </c>
      <c r="AP13" s="4">
        <f t="shared" si="2"/>
        <v>442</v>
      </c>
      <c r="AQ13" s="28"/>
      <c r="AR13" s="6"/>
      <c r="AS13" s="6"/>
      <c r="AT13" s="6" t="str">
        <f t="shared" si="13"/>
        <v>-</v>
      </c>
      <c r="AU13" s="6">
        <f t="shared" si="14"/>
        <v>1.0272536687631026</v>
      </c>
      <c r="AV13" s="6">
        <f t="shared" si="15"/>
        <v>1.0468431771894093</v>
      </c>
      <c r="AW13" s="4" t="str">
        <f t="shared" si="16"/>
        <v>-</v>
      </c>
      <c r="AX13" s="4" t="str">
        <f t="shared" si="17"/>
        <v>-</v>
      </c>
      <c r="AY13" s="4" t="str">
        <f t="shared" si="18"/>
        <v>-</v>
      </c>
      <c r="AZ13" s="4" t="str">
        <f t="shared" si="19"/>
        <v>-</v>
      </c>
      <c r="BA13" s="4" t="str">
        <f t="shared" si="20"/>
        <v>-</v>
      </c>
      <c r="BB13" s="4" t="str">
        <f t="shared" si="21"/>
        <v>-</v>
      </c>
      <c r="BC13" s="4" t="str">
        <f t="shared" si="22"/>
        <v>-</v>
      </c>
      <c r="BD13" s="4" t="str">
        <f t="shared" si="23"/>
        <v>-</v>
      </c>
      <c r="BE13" s="4" t="str">
        <f t="shared" si="24"/>
        <v>-</v>
      </c>
      <c r="BF13" s="4" t="str">
        <f t="shared" si="25"/>
        <v>-</v>
      </c>
      <c r="BG13" s="4" t="str">
        <f t="shared" si="26"/>
        <v>-</v>
      </c>
      <c r="BH13" s="4" t="str">
        <f t="shared" si="27"/>
        <v>-</v>
      </c>
      <c r="BI13" s="4">
        <v>0</v>
      </c>
      <c r="BJ13" s="4" t="s">
        <v>273</v>
      </c>
      <c r="BK13" s="4"/>
      <c r="BL13" s="4"/>
      <c r="BM13" s="4" t="s">
        <v>270</v>
      </c>
      <c r="BN13" s="4">
        <v>1407</v>
      </c>
      <c r="BO13" s="4">
        <v>1470</v>
      </c>
      <c r="BP13" s="4">
        <f t="shared" si="30"/>
        <v>1470</v>
      </c>
      <c r="BQ13" s="19">
        <v>4</v>
      </c>
      <c r="BR13" s="19">
        <v>1</v>
      </c>
      <c r="BS13" s="16">
        <v>4</v>
      </c>
      <c r="BT13" t="s">
        <v>199</v>
      </c>
      <c r="BU13" t="s">
        <v>196</v>
      </c>
      <c r="BV13" t="str">
        <f t="shared" si="28"/>
        <v>-</v>
      </c>
      <c r="BW13">
        <v>1340</v>
      </c>
      <c r="BX13">
        <v>1340</v>
      </c>
      <c r="BY13">
        <f t="shared" si="29"/>
        <v>1402.7698574338085</v>
      </c>
      <c r="BZ13" t="s">
        <v>209</v>
      </c>
    </row>
    <row r="14" spans="1:78" x14ac:dyDescent="0.4">
      <c r="A14" s="3">
        <v>11</v>
      </c>
      <c r="B14" s="3">
        <v>11</v>
      </c>
      <c r="C14" s="4" t="s">
        <v>76</v>
      </c>
      <c r="D14" s="4" t="str">
        <f t="shared" ref="D14:D22" si="31">TEXT(C14,"000000")</f>
        <v>J41677</v>
      </c>
      <c r="E14" s="4" t="s">
        <v>76</v>
      </c>
      <c r="F14" s="4" t="str">
        <f t="shared" si="5"/>
        <v>J416775</v>
      </c>
      <c r="G14" s="4" t="s">
        <v>139</v>
      </c>
      <c r="H14" s="5">
        <v>4547345006824</v>
      </c>
      <c r="I14" s="5">
        <v>5</v>
      </c>
      <c r="J14" s="5"/>
      <c r="K14" s="5">
        <v>1</v>
      </c>
      <c r="L14" s="5">
        <v>1</v>
      </c>
      <c r="M14" s="4">
        <v>0</v>
      </c>
      <c r="N14" s="4">
        <v>2082</v>
      </c>
      <c r="O14" s="4">
        <v>1618</v>
      </c>
      <c r="P14" s="6">
        <f t="shared" si="6"/>
        <v>0.22286263208453405</v>
      </c>
      <c r="Q14" s="4" t="s">
        <v>196</v>
      </c>
      <c r="R14" s="4" t="s">
        <v>196</v>
      </c>
      <c r="S14" s="4" t="s">
        <v>196</v>
      </c>
      <c r="T14" s="4" t="s">
        <v>196</v>
      </c>
      <c r="U14" s="4" t="s">
        <v>196</v>
      </c>
      <c r="V14" s="4" t="s">
        <v>196</v>
      </c>
      <c r="W14" s="4" t="s">
        <v>196</v>
      </c>
      <c r="X14" s="4" t="s">
        <v>196</v>
      </c>
      <c r="Y14" s="4" t="s">
        <v>196</v>
      </c>
      <c r="Z14" s="4" t="s">
        <v>196</v>
      </c>
      <c r="AA14" s="4" t="s">
        <v>196</v>
      </c>
      <c r="AB14" s="4" t="s">
        <v>196</v>
      </c>
      <c r="AC14" s="4">
        <v>0</v>
      </c>
      <c r="AD14" s="4">
        <f t="shared" ref="AD14:AD22" si="32">IF(AG14="",AC14,AC14*AG14)</f>
        <v>0</v>
      </c>
      <c r="AE14" s="4">
        <v>1693</v>
      </c>
      <c r="AF14" s="4">
        <f t="shared" ref="AF14:AF22" si="33">IF(AG14="",AE14,AE14*AG14)</f>
        <v>1693</v>
      </c>
      <c r="AG14" s="4"/>
      <c r="AH14" s="21">
        <f t="shared" si="0"/>
        <v>2179</v>
      </c>
      <c r="AI14" s="6">
        <f t="shared" si="9"/>
        <v>0.22303809086737036</v>
      </c>
      <c r="AJ14" s="4">
        <v>0.25</v>
      </c>
      <c r="AK14" s="4">
        <f t="shared" ref="AK14:AK22" si="34">BP14</f>
        <v>2315</v>
      </c>
      <c r="AL14" s="4">
        <f t="shared" si="11"/>
        <v>2422.3084054388132</v>
      </c>
      <c r="AM14" s="6">
        <f t="shared" si="12"/>
        <v>0.30107991360691144</v>
      </c>
      <c r="AN14" s="7">
        <v>2420</v>
      </c>
      <c r="AO14" s="6">
        <f t="shared" si="1"/>
        <v>0.3004132231404959</v>
      </c>
      <c r="AP14" s="4">
        <f t="shared" si="2"/>
        <v>727</v>
      </c>
      <c r="AQ14" s="28"/>
      <c r="AR14" s="6"/>
      <c r="AS14" s="6"/>
      <c r="AT14" s="6" t="str">
        <f t="shared" si="13"/>
        <v>-</v>
      </c>
      <c r="AU14" s="6">
        <f t="shared" si="14"/>
        <v>1.1623439000960616</v>
      </c>
      <c r="AV14" s="6">
        <f t="shared" si="15"/>
        <v>1.0463535228677379</v>
      </c>
      <c r="AW14" s="4" t="str">
        <f t="shared" si="16"/>
        <v>-</v>
      </c>
      <c r="AX14" s="4" t="str">
        <f t="shared" si="17"/>
        <v>-</v>
      </c>
      <c r="AY14" s="4" t="str">
        <f t="shared" si="18"/>
        <v>-</v>
      </c>
      <c r="AZ14" s="4" t="str">
        <f t="shared" si="19"/>
        <v>-</v>
      </c>
      <c r="BA14" s="4" t="str">
        <f t="shared" si="20"/>
        <v>-</v>
      </c>
      <c r="BB14" s="4" t="str">
        <f t="shared" si="21"/>
        <v>-</v>
      </c>
      <c r="BC14" s="4" t="str">
        <f t="shared" si="22"/>
        <v>-</v>
      </c>
      <c r="BD14" s="4" t="str">
        <f t="shared" si="23"/>
        <v>-</v>
      </c>
      <c r="BE14" s="4" t="str">
        <f t="shared" si="24"/>
        <v>-</v>
      </c>
      <c r="BF14" s="4" t="str">
        <f t="shared" si="25"/>
        <v>-</v>
      </c>
      <c r="BG14" s="4" t="str">
        <f t="shared" si="26"/>
        <v>-</v>
      </c>
      <c r="BH14" s="4" t="str">
        <f t="shared" si="27"/>
        <v>-</v>
      </c>
      <c r="BI14" s="4">
        <v>0</v>
      </c>
      <c r="BJ14" s="4" t="s">
        <v>274</v>
      </c>
      <c r="BK14" s="4"/>
      <c r="BL14" s="4"/>
      <c r="BM14" s="4" t="s">
        <v>270</v>
      </c>
      <c r="BN14" s="4">
        <v>2315</v>
      </c>
      <c r="BO14" s="4">
        <v>2315</v>
      </c>
      <c r="BP14" s="4">
        <f t="shared" ref="BP14:BP22" si="35">IF(BK14="",BO14,BK14/BL14*BO14)</f>
        <v>2315</v>
      </c>
      <c r="BQ14" s="19">
        <v>4</v>
      </c>
      <c r="BR14" s="19">
        <v>8</v>
      </c>
      <c r="BS14" s="16">
        <v>4</v>
      </c>
      <c r="BT14" t="s">
        <v>199</v>
      </c>
      <c r="BU14" t="s">
        <v>196</v>
      </c>
      <c r="BV14" t="str">
        <f t="shared" si="28"/>
        <v>-</v>
      </c>
      <c r="BW14">
        <v>2313</v>
      </c>
      <c r="BX14">
        <v>2313</v>
      </c>
      <c r="BY14">
        <f t="shared" si="29"/>
        <v>2420.2156983930777</v>
      </c>
      <c r="BZ14" t="s">
        <v>210</v>
      </c>
    </row>
    <row r="15" spans="1:78" x14ac:dyDescent="0.4">
      <c r="A15" s="3">
        <v>12</v>
      </c>
      <c r="B15" s="3">
        <v>12</v>
      </c>
      <c r="C15" s="4" t="s">
        <v>77</v>
      </c>
      <c r="D15" s="4" t="str">
        <f t="shared" si="31"/>
        <v>J41680</v>
      </c>
      <c r="E15" s="4" t="s">
        <v>77</v>
      </c>
      <c r="F15" s="4" t="str">
        <f t="shared" si="5"/>
        <v>J416805</v>
      </c>
      <c r="G15" s="4" t="s">
        <v>140</v>
      </c>
      <c r="H15" s="5">
        <v>4547345006831</v>
      </c>
      <c r="I15" s="5">
        <v>5</v>
      </c>
      <c r="J15" s="5"/>
      <c r="K15" s="5">
        <v>1</v>
      </c>
      <c r="L15" s="5">
        <v>1</v>
      </c>
      <c r="M15" s="4">
        <v>0</v>
      </c>
      <c r="N15" s="4">
        <v>1624</v>
      </c>
      <c r="O15" s="4">
        <v>1300</v>
      </c>
      <c r="P15" s="6">
        <f t="shared" si="6"/>
        <v>0.19950738916256161</v>
      </c>
      <c r="Q15" s="4" t="s">
        <v>196</v>
      </c>
      <c r="R15" s="4" t="s">
        <v>196</v>
      </c>
      <c r="S15" s="4" t="s">
        <v>196</v>
      </c>
      <c r="T15" s="4" t="s">
        <v>196</v>
      </c>
      <c r="U15" s="4" t="s">
        <v>196</v>
      </c>
      <c r="V15" s="4" t="s">
        <v>196</v>
      </c>
      <c r="W15" s="4" t="s">
        <v>196</v>
      </c>
      <c r="X15" s="4" t="s">
        <v>196</v>
      </c>
      <c r="Y15" s="4" t="s">
        <v>196</v>
      </c>
      <c r="Z15" s="4" t="s">
        <v>196</v>
      </c>
      <c r="AA15" s="4" t="s">
        <v>196</v>
      </c>
      <c r="AB15" s="4" t="s">
        <v>196</v>
      </c>
      <c r="AC15" s="4">
        <v>0</v>
      </c>
      <c r="AD15" s="4">
        <f t="shared" si="32"/>
        <v>0</v>
      </c>
      <c r="AE15" s="4">
        <v>1360</v>
      </c>
      <c r="AF15" s="4">
        <f t="shared" si="33"/>
        <v>1360</v>
      </c>
      <c r="AG15" s="4"/>
      <c r="AH15" s="21">
        <f t="shared" si="0"/>
        <v>1699</v>
      </c>
      <c r="AI15" s="6">
        <f t="shared" si="9"/>
        <v>0.19952913478516776</v>
      </c>
      <c r="AJ15" s="4">
        <v>0.25</v>
      </c>
      <c r="AK15" s="4">
        <f t="shared" si="34"/>
        <v>1859</v>
      </c>
      <c r="AL15" s="4">
        <f t="shared" si="11"/>
        <v>1944.8000000000002</v>
      </c>
      <c r="AM15" s="6">
        <f t="shared" si="12"/>
        <v>0.30069930069930073</v>
      </c>
      <c r="AN15" s="7">
        <v>1943</v>
      </c>
      <c r="AO15" s="6">
        <f t="shared" si="1"/>
        <v>0.30005146680391148</v>
      </c>
      <c r="AP15" s="4">
        <f t="shared" si="2"/>
        <v>583</v>
      </c>
      <c r="AQ15" s="28"/>
      <c r="AR15" s="6"/>
      <c r="AS15" s="6"/>
      <c r="AT15" s="6" t="str">
        <f t="shared" si="13"/>
        <v>-</v>
      </c>
      <c r="AU15" s="6">
        <f t="shared" si="14"/>
        <v>1.1964285714285714</v>
      </c>
      <c r="AV15" s="6">
        <f t="shared" si="15"/>
        <v>1.0461538461538462</v>
      </c>
      <c r="AW15" s="4" t="str">
        <f t="shared" si="16"/>
        <v>-</v>
      </c>
      <c r="AX15" s="4" t="str">
        <f t="shared" si="17"/>
        <v>-</v>
      </c>
      <c r="AY15" s="4" t="str">
        <f t="shared" si="18"/>
        <v>-</v>
      </c>
      <c r="AZ15" s="4" t="str">
        <f t="shared" si="19"/>
        <v>-</v>
      </c>
      <c r="BA15" s="4" t="str">
        <f t="shared" si="20"/>
        <v>-</v>
      </c>
      <c r="BB15" s="4" t="str">
        <f t="shared" si="21"/>
        <v>-</v>
      </c>
      <c r="BC15" s="4" t="str">
        <f t="shared" si="22"/>
        <v>-</v>
      </c>
      <c r="BD15" s="4" t="str">
        <f t="shared" si="23"/>
        <v>-</v>
      </c>
      <c r="BE15" s="4" t="str">
        <f t="shared" si="24"/>
        <v>-</v>
      </c>
      <c r="BF15" s="4" t="str">
        <f t="shared" si="25"/>
        <v>-</v>
      </c>
      <c r="BG15" s="4" t="str">
        <f t="shared" si="26"/>
        <v>-</v>
      </c>
      <c r="BH15" s="4" t="str">
        <f t="shared" si="27"/>
        <v>-</v>
      </c>
      <c r="BI15" s="4">
        <v>0</v>
      </c>
      <c r="BJ15" s="4" t="s">
        <v>275</v>
      </c>
      <c r="BK15" s="4"/>
      <c r="BL15" s="4"/>
      <c r="BM15" s="4" t="s">
        <v>270</v>
      </c>
      <c r="BN15" s="4">
        <v>1859</v>
      </c>
      <c r="BO15" s="4">
        <v>1859</v>
      </c>
      <c r="BP15" s="4">
        <f t="shared" si="35"/>
        <v>1859</v>
      </c>
      <c r="BQ15" s="19">
        <v>4</v>
      </c>
      <c r="BR15" s="19">
        <v>8</v>
      </c>
      <c r="BS15" s="16">
        <v>4</v>
      </c>
      <c r="BT15" t="s">
        <v>199</v>
      </c>
      <c r="BU15" t="s">
        <v>196</v>
      </c>
      <c r="BV15" t="str">
        <f t="shared" si="28"/>
        <v>-</v>
      </c>
      <c r="BW15">
        <v>1859</v>
      </c>
      <c r="BX15">
        <v>1859</v>
      </c>
      <c r="BY15">
        <f t="shared" si="29"/>
        <v>1944.8000000000002</v>
      </c>
      <c r="BZ15" t="s">
        <v>211</v>
      </c>
    </row>
    <row r="16" spans="1:78" x14ac:dyDescent="0.4">
      <c r="A16" s="3">
        <v>13</v>
      </c>
      <c r="B16" s="3">
        <v>13</v>
      </c>
      <c r="C16" s="4" t="s">
        <v>78</v>
      </c>
      <c r="D16" s="4" t="str">
        <f t="shared" si="31"/>
        <v>J2949R</v>
      </c>
      <c r="E16" s="4" t="s">
        <v>78</v>
      </c>
      <c r="F16" s="4" t="str">
        <f t="shared" si="5"/>
        <v>J2949R5</v>
      </c>
      <c r="G16" s="4" t="s">
        <v>141</v>
      </c>
      <c r="H16" s="5">
        <v>4547345013136</v>
      </c>
      <c r="I16" s="5">
        <v>5</v>
      </c>
      <c r="J16" s="5"/>
      <c r="K16" s="5">
        <v>1</v>
      </c>
      <c r="L16" s="5">
        <v>1</v>
      </c>
      <c r="M16" s="4">
        <v>0</v>
      </c>
      <c r="N16" s="4">
        <v>1318</v>
      </c>
      <c r="O16" s="4">
        <v>853</v>
      </c>
      <c r="P16" s="6">
        <f t="shared" si="6"/>
        <v>0.35280728376327775</v>
      </c>
      <c r="Q16" s="4" t="s">
        <v>196</v>
      </c>
      <c r="R16" s="4" t="s">
        <v>196</v>
      </c>
      <c r="S16" s="4" t="s">
        <v>196</v>
      </c>
      <c r="T16" s="4" t="s">
        <v>196</v>
      </c>
      <c r="U16" s="4" t="s">
        <v>196</v>
      </c>
      <c r="V16" s="4" t="s">
        <v>196</v>
      </c>
      <c r="W16" s="4" t="s">
        <v>196</v>
      </c>
      <c r="X16" s="4" t="s">
        <v>196</v>
      </c>
      <c r="Y16" s="4" t="s">
        <v>196</v>
      </c>
      <c r="Z16" s="4" t="s">
        <v>196</v>
      </c>
      <c r="AA16" s="4" t="s">
        <v>196</v>
      </c>
      <c r="AB16" s="4" t="s">
        <v>196</v>
      </c>
      <c r="AC16" s="4">
        <v>0</v>
      </c>
      <c r="AD16" s="4">
        <f t="shared" si="32"/>
        <v>0</v>
      </c>
      <c r="AE16" s="4">
        <v>893</v>
      </c>
      <c r="AF16" s="4">
        <f t="shared" si="33"/>
        <v>893</v>
      </c>
      <c r="AG16" s="4"/>
      <c r="AH16" s="21">
        <f t="shared" si="0"/>
        <v>1380</v>
      </c>
      <c r="AI16" s="6">
        <f t="shared" si="9"/>
        <v>0.35289855072463772</v>
      </c>
      <c r="AJ16" s="4">
        <v>1.25</v>
      </c>
      <c r="AK16" s="4" t="str">
        <f t="shared" si="34"/>
        <v>-</v>
      </c>
      <c r="AL16" s="4" t="str">
        <f t="shared" si="11"/>
        <v>-</v>
      </c>
      <c r="AM16" s="6" t="str">
        <f t="shared" si="12"/>
        <v>-</v>
      </c>
      <c r="AN16" s="7">
        <v>1318</v>
      </c>
      <c r="AO16" s="6">
        <f t="shared" si="1"/>
        <v>0.32245827010622152</v>
      </c>
      <c r="AP16" s="4">
        <f t="shared" si="2"/>
        <v>425</v>
      </c>
      <c r="AQ16" s="28"/>
      <c r="AR16" s="6"/>
      <c r="AS16" s="6"/>
      <c r="AT16" s="6" t="str">
        <f t="shared" si="13"/>
        <v>-</v>
      </c>
      <c r="AU16" s="6">
        <f t="shared" si="14"/>
        <v>1</v>
      </c>
      <c r="AV16" s="6">
        <f t="shared" si="15"/>
        <v>1.0468933177022275</v>
      </c>
      <c r="AW16" s="4" t="str">
        <f t="shared" si="16"/>
        <v>-</v>
      </c>
      <c r="AX16" s="4" t="str">
        <f t="shared" si="17"/>
        <v>-</v>
      </c>
      <c r="AY16" s="4" t="str">
        <f t="shared" si="18"/>
        <v>-</v>
      </c>
      <c r="AZ16" s="4" t="str">
        <f t="shared" si="19"/>
        <v>-</v>
      </c>
      <c r="BA16" s="4" t="str">
        <f t="shared" si="20"/>
        <v>-</v>
      </c>
      <c r="BB16" s="4" t="str">
        <f t="shared" si="21"/>
        <v>-</v>
      </c>
      <c r="BC16" s="4" t="str">
        <f t="shared" si="22"/>
        <v>-</v>
      </c>
      <c r="BD16" s="4" t="str">
        <f t="shared" si="23"/>
        <v>-</v>
      </c>
      <c r="BE16" s="4" t="str">
        <f t="shared" si="24"/>
        <v>-</v>
      </c>
      <c r="BF16" s="4" t="str">
        <f t="shared" si="25"/>
        <v>-</v>
      </c>
      <c r="BG16" s="4" t="str">
        <f t="shared" si="26"/>
        <v>-</v>
      </c>
      <c r="BH16" s="4" t="str">
        <f t="shared" si="27"/>
        <v>-</v>
      </c>
      <c r="BI16" s="4">
        <v>0</v>
      </c>
      <c r="BJ16" s="4" t="s">
        <v>196</v>
      </c>
      <c r="BK16" s="4"/>
      <c r="BL16" s="4"/>
      <c r="BM16" s="4" t="s">
        <v>196</v>
      </c>
      <c r="BN16" s="4" t="s">
        <v>196</v>
      </c>
      <c r="BO16" s="4" t="s">
        <v>196</v>
      </c>
      <c r="BP16" s="4" t="str">
        <f t="shared" si="35"/>
        <v>-</v>
      </c>
      <c r="BQ16" s="19">
        <v>4</v>
      </c>
      <c r="BR16" s="19">
        <v>1</v>
      </c>
      <c r="BS16" s="16">
        <v>4</v>
      </c>
      <c r="BT16" t="s">
        <v>199</v>
      </c>
      <c r="BU16" t="s">
        <v>196</v>
      </c>
      <c r="BV16" t="str">
        <f t="shared" si="28"/>
        <v>-</v>
      </c>
      <c r="BW16">
        <v>1221</v>
      </c>
      <c r="BX16">
        <v>1221</v>
      </c>
      <c r="BY16">
        <f t="shared" si="29"/>
        <v>1278.2567409144197</v>
      </c>
      <c r="BZ16" t="s">
        <v>196</v>
      </c>
    </row>
    <row r="17" spans="1:78" x14ac:dyDescent="0.4">
      <c r="A17" s="3">
        <v>14</v>
      </c>
      <c r="B17" s="3">
        <v>14</v>
      </c>
      <c r="C17" s="4" t="s">
        <v>79</v>
      </c>
      <c r="D17" s="4" t="str">
        <f t="shared" si="31"/>
        <v>J41701</v>
      </c>
      <c r="E17" s="4" t="s">
        <v>79</v>
      </c>
      <c r="F17" s="4" t="str">
        <f t="shared" si="5"/>
        <v>J417015</v>
      </c>
      <c r="G17" s="4" t="s">
        <v>142</v>
      </c>
      <c r="H17" s="5">
        <v>4547345013181</v>
      </c>
      <c r="I17" s="5">
        <v>5</v>
      </c>
      <c r="J17" s="5"/>
      <c r="K17" s="5">
        <v>1</v>
      </c>
      <c r="L17" s="5">
        <v>1</v>
      </c>
      <c r="M17" s="4">
        <v>0</v>
      </c>
      <c r="N17" s="4">
        <v>1263</v>
      </c>
      <c r="O17" s="4">
        <v>797</v>
      </c>
      <c r="P17" s="6">
        <f t="shared" si="6"/>
        <v>0.36896278701504359</v>
      </c>
      <c r="Q17" s="4" t="s">
        <v>196</v>
      </c>
      <c r="R17" s="4" t="s">
        <v>196</v>
      </c>
      <c r="S17" s="4" t="s">
        <v>196</v>
      </c>
      <c r="T17" s="4" t="s">
        <v>196</v>
      </c>
      <c r="U17" s="4" t="s">
        <v>196</v>
      </c>
      <c r="V17" s="4" t="s">
        <v>196</v>
      </c>
      <c r="W17" s="4" t="s">
        <v>196</v>
      </c>
      <c r="X17" s="4" t="s">
        <v>196</v>
      </c>
      <c r="Y17" s="4" t="s">
        <v>196</v>
      </c>
      <c r="Z17" s="4" t="s">
        <v>196</v>
      </c>
      <c r="AA17" s="4" t="s">
        <v>196</v>
      </c>
      <c r="AB17" s="4" t="s">
        <v>196</v>
      </c>
      <c r="AC17" s="4">
        <v>0</v>
      </c>
      <c r="AD17" s="4">
        <f t="shared" si="32"/>
        <v>0</v>
      </c>
      <c r="AE17" s="4">
        <v>833</v>
      </c>
      <c r="AF17" s="4">
        <f t="shared" si="33"/>
        <v>833</v>
      </c>
      <c r="AG17" s="4"/>
      <c r="AH17" s="21">
        <f t="shared" si="0"/>
        <v>1320</v>
      </c>
      <c r="AI17" s="6">
        <f t="shared" si="9"/>
        <v>0.3689393939393939</v>
      </c>
      <c r="AJ17" s="4">
        <v>1.25</v>
      </c>
      <c r="AK17" s="4">
        <f t="shared" si="34"/>
        <v>1437</v>
      </c>
      <c r="AL17" s="4">
        <f t="shared" si="11"/>
        <v>1501.9084065244667</v>
      </c>
      <c r="AM17" s="6">
        <f t="shared" si="12"/>
        <v>0.44537230340988165</v>
      </c>
      <c r="AN17" s="7">
        <v>1280</v>
      </c>
      <c r="AO17" s="6">
        <f t="shared" si="1"/>
        <v>0.34921875000000002</v>
      </c>
      <c r="AP17" s="4">
        <f t="shared" si="2"/>
        <v>447</v>
      </c>
      <c r="AQ17" s="28"/>
      <c r="AR17" s="6"/>
      <c r="AS17" s="6"/>
      <c r="AT17" s="6" t="str">
        <f t="shared" si="13"/>
        <v>-</v>
      </c>
      <c r="AU17" s="6">
        <f t="shared" si="14"/>
        <v>1.0134600158353126</v>
      </c>
      <c r="AV17" s="6">
        <f t="shared" si="15"/>
        <v>1.0451693851944792</v>
      </c>
      <c r="AW17" s="4" t="str">
        <f t="shared" si="16"/>
        <v>-</v>
      </c>
      <c r="AX17" s="4" t="str">
        <f t="shared" si="17"/>
        <v>-</v>
      </c>
      <c r="AY17" s="4" t="str">
        <f t="shared" si="18"/>
        <v>-</v>
      </c>
      <c r="AZ17" s="4" t="str">
        <f t="shared" si="19"/>
        <v>-</v>
      </c>
      <c r="BA17" s="4" t="str">
        <f t="shared" si="20"/>
        <v>-</v>
      </c>
      <c r="BB17" s="4" t="str">
        <f t="shared" si="21"/>
        <v>-</v>
      </c>
      <c r="BC17" s="4" t="str">
        <f t="shared" si="22"/>
        <v>-</v>
      </c>
      <c r="BD17" s="4" t="str">
        <f t="shared" si="23"/>
        <v>-</v>
      </c>
      <c r="BE17" s="4" t="str">
        <f t="shared" si="24"/>
        <v>-</v>
      </c>
      <c r="BF17" s="4" t="str">
        <f t="shared" si="25"/>
        <v>-</v>
      </c>
      <c r="BG17" s="4" t="str">
        <f t="shared" si="26"/>
        <v>-</v>
      </c>
      <c r="BH17" s="4" t="str">
        <f t="shared" si="27"/>
        <v>-</v>
      </c>
      <c r="BI17" s="4">
        <v>0</v>
      </c>
      <c r="BJ17" s="4" t="s">
        <v>276</v>
      </c>
      <c r="BK17" s="4"/>
      <c r="BL17" s="4"/>
      <c r="BM17" s="4" t="s">
        <v>264</v>
      </c>
      <c r="BN17" s="4">
        <v>1437</v>
      </c>
      <c r="BO17" s="4">
        <v>1437</v>
      </c>
      <c r="BP17" s="4">
        <f t="shared" si="35"/>
        <v>1437</v>
      </c>
      <c r="BQ17" s="19">
        <v>4</v>
      </c>
      <c r="BR17" s="19">
        <v>1</v>
      </c>
      <c r="BS17" s="16">
        <v>4</v>
      </c>
      <c r="BT17" t="s">
        <v>199</v>
      </c>
      <c r="BU17" t="s">
        <v>196</v>
      </c>
      <c r="BV17" t="str">
        <f t="shared" si="28"/>
        <v>-</v>
      </c>
      <c r="BW17">
        <v>1169</v>
      </c>
      <c r="BX17">
        <v>1169</v>
      </c>
      <c r="BY17">
        <f t="shared" si="29"/>
        <v>1221.8030112923461</v>
      </c>
      <c r="BZ17" t="s">
        <v>212</v>
      </c>
    </row>
    <row r="18" spans="1:78" x14ac:dyDescent="0.4">
      <c r="A18" s="3">
        <v>15</v>
      </c>
      <c r="B18" s="3">
        <v>15</v>
      </c>
      <c r="C18" s="4" t="s">
        <v>80</v>
      </c>
      <c r="D18" s="4" t="str">
        <f t="shared" si="31"/>
        <v>J41690</v>
      </c>
      <c r="E18" s="4" t="s">
        <v>339</v>
      </c>
      <c r="F18" s="4" t="str">
        <f t="shared" si="5"/>
        <v>J416905</v>
      </c>
      <c r="G18" s="4" t="s">
        <v>143</v>
      </c>
      <c r="H18" s="5">
        <v>4547345013242</v>
      </c>
      <c r="I18" s="5">
        <v>5</v>
      </c>
      <c r="J18" s="5"/>
      <c r="K18" s="5">
        <v>1</v>
      </c>
      <c r="L18" s="5">
        <v>1</v>
      </c>
      <c r="M18" s="4">
        <v>0</v>
      </c>
      <c r="N18" s="4">
        <v>1546</v>
      </c>
      <c r="O18" s="4">
        <v>1237</v>
      </c>
      <c r="P18" s="6">
        <f t="shared" si="6"/>
        <v>0.19987063389391979</v>
      </c>
      <c r="Q18" s="4" t="s">
        <v>196</v>
      </c>
      <c r="R18" s="4" t="s">
        <v>196</v>
      </c>
      <c r="S18" s="4" t="s">
        <v>196</v>
      </c>
      <c r="T18" s="4" t="s">
        <v>196</v>
      </c>
      <c r="U18" s="4" t="s">
        <v>196</v>
      </c>
      <c r="V18" s="4" t="s">
        <v>196</v>
      </c>
      <c r="W18" s="4" t="s">
        <v>196</v>
      </c>
      <c r="X18" s="4" t="s">
        <v>196</v>
      </c>
      <c r="Y18" s="4" t="s">
        <v>196</v>
      </c>
      <c r="Z18" s="4" t="s">
        <v>196</v>
      </c>
      <c r="AA18" s="4" t="s">
        <v>196</v>
      </c>
      <c r="AB18" s="4" t="s">
        <v>196</v>
      </c>
      <c r="AC18" s="4">
        <v>0</v>
      </c>
      <c r="AD18" s="4">
        <f t="shared" si="32"/>
        <v>0</v>
      </c>
      <c r="AE18" s="4">
        <v>1295</v>
      </c>
      <c r="AF18" s="4">
        <f t="shared" si="33"/>
        <v>1295</v>
      </c>
      <c r="AG18" s="4"/>
      <c r="AH18" s="21">
        <f t="shared" si="0"/>
        <v>1618</v>
      </c>
      <c r="AI18" s="6">
        <f t="shared" si="9"/>
        <v>0.19962917181705808</v>
      </c>
      <c r="AJ18" s="4">
        <v>0</v>
      </c>
      <c r="AK18" s="4">
        <f t="shared" si="34"/>
        <v>1852</v>
      </c>
      <c r="AL18" s="4">
        <f t="shared" si="11"/>
        <v>1938.8358932902183</v>
      </c>
      <c r="AM18" s="6">
        <f t="shared" si="12"/>
        <v>0.33207343412527002</v>
      </c>
      <c r="AN18" s="7">
        <v>1851</v>
      </c>
      <c r="AO18" s="6">
        <f t="shared" si="1"/>
        <v>0.30037817396002164</v>
      </c>
      <c r="AP18" s="4">
        <f t="shared" si="2"/>
        <v>556</v>
      </c>
      <c r="AQ18" s="28"/>
      <c r="AR18" s="6"/>
      <c r="AS18" s="6"/>
      <c r="AT18" s="6" t="str">
        <f t="shared" si="13"/>
        <v>-</v>
      </c>
      <c r="AU18" s="6">
        <f t="shared" si="14"/>
        <v>1.1972833117723156</v>
      </c>
      <c r="AV18" s="6">
        <f t="shared" si="15"/>
        <v>1.0468876313662085</v>
      </c>
      <c r="AW18" s="4" t="str">
        <f t="shared" si="16"/>
        <v>-</v>
      </c>
      <c r="AX18" s="4" t="str">
        <f t="shared" si="17"/>
        <v>-</v>
      </c>
      <c r="AY18" s="4" t="str">
        <f t="shared" si="18"/>
        <v>-</v>
      </c>
      <c r="AZ18" s="4" t="str">
        <f t="shared" si="19"/>
        <v>-</v>
      </c>
      <c r="BA18" s="4" t="str">
        <f t="shared" si="20"/>
        <v>-</v>
      </c>
      <c r="BB18" s="4" t="str">
        <f t="shared" si="21"/>
        <v>-</v>
      </c>
      <c r="BC18" s="4" t="str">
        <f t="shared" si="22"/>
        <v>-</v>
      </c>
      <c r="BD18" s="4" t="str">
        <f t="shared" si="23"/>
        <v>-</v>
      </c>
      <c r="BE18" s="4" t="str">
        <f t="shared" si="24"/>
        <v>-</v>
      </c>
      <c r="BF18" s="4" t="str">
        <f t="shared" si="25"/>
        <v>-</v>
      </c>
      <c r="BG18" s="4" t="str">
        <f t="shared" si="26"/>
        <v>-</v>
      </c>
      <c r="BH18" s="4" t="str">
        <f t="shared" si="27"/>
        <v>-</v>
      </c>
      <c r="BI18" s="4">
        <v>0</v>
      </c>
      <c r="BJ18" s="4" t="s">
        <v>277</v>
      </c>
      <c r="BK18" s="4"/>
      <c r="BL18" s="4"/>
      <c r="BM18" s="4" t="s">
        <v>264</v>
      </c>
      <c r="BN18" s="4">
        <v>1770</v>
      </c>
      <c r="BO18" s="4">
        <v>1852</v>
      </c>
      <c r="BP18" s="4">
        <f t="shared" si="35"/>
        <v>1852</v>
      </c>
      <c r="BQ18" s="19">
        <v>4</v>
      </c>
      <c r="BR18" s="19">
        <v>8</v>
      </c>
      <c r="BS18" s="16">
        <v>4</v>
      </c>
      <c r="BT18" t="s">
        <v>199</v>
      </c>
      <c r="BU18" t="s">
        <v>196</v>
      </c>
      <c r="BV18" t="str">
        <f t="shared" si="28"/>
        <v>-</v>
      </c>
      <c r="BW18">
        <v>1769</v>
      </c>
      <c r="BX18">
        <v>1769</v>
      </c>
      <c r="BY18">
        <f t="shared" si="29"/>
        <v>1851.944219886823</v>
      </c>
      <c r="BZ18" t="s">
        <v>213</v>
      </c>
    </row>
    <row r="19" spans="1:78" x14ac:dyDescent="0.4">
      <c r="A19" s="3">
        <v>16</v>
      </c>
      <c r="B19" s="3">
        <v>16</v>
      </c>
      <c r="C19" s="4" t="s">
        <v>81</v>
      </c>
      <c r="D19" s="4" t="str">
        <f t="shared" si="31"/>
        <v>J41685</v>
      </c>
      <c r="E19" s="4" t="s">
        <v>81</v>
      </c>
      <c r="F19" s="4" t="str">
        <f t="shared" si="5"/>
        <v>J416855</v>
      </c>
      <c r="G19" s="4" t="s">
        <v>144</v>
      </c>
      <c r="H19" s="5">
        <v>4547345013259</v>
      </c>
      <c r="I19" s="5">
        <v>5</v>
      </c>
      <c r="J19" s="5"/>
      <c r="K19" s="5">
        <v>1</v>
      </c>
      <c r="L19" s="5">
        <v>1</v>
      </c>
      <c r="M19" s="4">
        <v>0</v>
      </c>
      <c r="N19" s="4">
        <v>1957</v>
      </c>
      <c r="O19" s="4">
        <v>1531</v>
      </c>
      <c r="P19" s="6">
        <f t="shared" si="6"/>
        <v>0.21768012263668879</v>
      </c>
      <c r="Q19" s="4" t="s">
        <v>196</v>
      </c>
      <c r="R19" s="4" t="s">
        <v>196</v>
      </c>
      <c r="S19" s="4" t="s">
        <v>196</v>
      </c>
      <c r="T19" s="4" t="s">
        <v>196</v>
      </c>
      <c r="U19" s="4" t="s">
        <v>196</v>
      </c>
      <c r="V19" s="4" t="s">
        <v>196</v>
      </c>
      <c r="W19" s="4" t="s">
        <v>196</v>
      </c>
      <c r="X19" s="4" t="s">
        <v>196</v>
      </c>
      <c r="Y19" s="4" t="s">
        <v>196</v>
      </c>
      <c r="Z19" s="4" t="s">
        <v>196</v>
      </c>
      <c r="AA19" s="4" t="s">
        <v>196</v>
      </c>
      <c r="AB19" s="4" t="s">
        <v>196</v>
      </c>
      <c r="AC19" s="4">
        <v>0</v>
      </c>
      <c r="AD19" s="4">
        <f t="shared" si="32"/>
        <v>0</v>
      </c>
      <c r="AE19" s="4">
        <v>1602</v>
      </c>
      <c r="AF19" s="4">
        <f t="shared" si="33"/>
        <v>1602</v>
      </c>
      <c r="AG19" s="4"/>
      <c r="AH19" s="21">
        <f t="shared" si="0"/>
        <v>2048</v>
      </c>
      <c r="AI19" s="6">
        <f t="shared" si="9"/>
        <v>0.2177734375</v>
      </c>
      <c r="AJ19" s="4">
        <v>3.25</v>
      </c>
      <c r="AK19" s="4">
        <f t="shared" si="34"/>
        <v>2294</v>
      </c>
      <c r="AL19" s="4">
        <f t="shared" si="11"/>
        <v>2400.384062704115</v>
      </c>
      <c r="AM19" s="6">
        <f t="shared" si="12"/>
        <v>0.3326068003487358</v>
      </c>
      <c r="AN19" s="7">
        <v>2290</v>
      </c>
      <c r="AO19" s="6">
        <f t="shared" si="1"/>
        <v>0.30043668122270739</v>
      </c>
      <c r="AP19" s="4">
        <f t="shared" si="2"/>
        <v>688</v>
      </c>
      <c r="AQ19" s="28"/>
      <c r="AR19" s="6"/>
      <c r="AS19" s="6"/>
      <c r="AT19" s="6" t="str">
        <f t="shared" si="13"/>
        <v>-</v>
      </c>
      <c r="AU19" s="6">
        <f t="shared" si="14"/>
        <v>1.1701584057230454</v>
      </c>
      <c r="AV19" s="6">
        <f t="shared" si="15"/>
        <v>1.046374918354017</v>
      </c>
      <c r="AW19" s="4" t="str">
        <f t="shared" si="16"/>
        <v>-</v>
      </c>
      <c r="AX19" s="4" t="str">
        <f t="shared" si="17"/>
        <v>-</v>
      </c>
      <c r="AY19" s="4" t="str">
        <f t="shared" si="18"/>
        <v>-</v>
      </c>
      <c r="AZ19" s="4" t="str">
        <f t="shared" si="19"/>
        <v>-</v>
      </c>
      <c r="BA19" s="4" t="str">
        <f t="shared" si="20"/>
        <v>-</v>
      </c>
      <c r="BB19" s="4" t="str">
        <f t="shared" si="21"/>
        <v>-</v>
      </c>
      <c r="BC19" s="4" t="str">
        <f t="shared" si="22"/>
        <v>-</v>
      </c>
      <c r="BD19" s="4" t="str">
        <f t="shared" si="23"/>
        <v>-</v>
      </c>
      <c r="BE19" s="4" t="str">
        <f t="shared" si="24"/>
        <v>-</v>
      </c>
      <c r="BF19" s="4" t="str">
        <f t="shared" si="25"/>
        <v>-</v>
      </c>
      <c r="BG19" s="4" t="str">
        <f t="shared" si="26"/>
        <v>-</v>
      </c>
      <c r="BH19" s="4" t="str">
        <f t="shared" si="27"/>
        <v>-</v>
      </c>
      <c r="BI19" s="4">
        <v>0</v>
      </c>
      <c r="BJ19" s="4" t="s">
        <v>278</v>
      </c>
      <c r="BK19" s="4"/>
      <c r="BL19" s="4"/>
      <c r="BM19" s="4" t="s">
        <v>264</v>
      </c>
      <c r="BN19" s="4">
        <v>2192</v>
      </c>
      <c r="BO19" s="4">
        <v>2294</v>
      </c>
      <c r="BP19" s="4">
        <f t="shared" si="35"/>
        <v>2294</v>
      </c>
      <c r="BQ19" s="19">
        <v>4</v>
      </c>
      <c r="BR19" s="19">
        <v>1</v>
      </c>
      <c r="BS19" s="16">
        <v>4</v>
      </c>
      <c r="BT19" t="s">
        <v>199</v>
      </c>
      <c r="BU19" t="s">
        <v>196</v>
      </c>
      <c r="BV19" t="str">
        <f t="shared" si="28"/>
        <v>-</v>
      </c>
      <c r="BW19">
        <v>2190</v>
      </c>
      <c r="BX19">
        <v>2190</v>
      </c>
      <c r="BY19">
        <f t="shared" si="29"/>
        <v>2291.5610711952972</v>
      </c>
      <c r="BZ19" t="s">
        <v>214</v>
      </c>
    </row>
    <row r="20" spans="1:78" x14ac:dyDescent="0.4">
      <c r="A20" s="3">
        <v>17</v>
      </c>
      <c r="B20" s="3">
        <v>17</v>
      </c>
      <c r="C20" s="4" t="s">
        <v>82</v>
      </c>
      <c r="D20" s="4" t="str">
        <f t="shared" si="31"/>
        <v>J42009</v>
      </c>
      <c r="E20" s="4" t="s">
        <v>82</v>
      </c>
      <c r="F20" s="4" t="str">
        <f t="shared" si="5"/>
        <v>J420095</v>
      </c>
      <c r="G20" s="4" t="s">
        <v>145</v>
      </c>
      <c r="H20" s="5">
        <v>4547345017653</v>
      </c>
      <c r="I20" s="5">
        <v>5</v>
      </c>
      <c r="J20" s="5"/>
      <c r="K20" s="5">
        <v>1</v>
      </c>
      <c r="L20" s="5">
        <v>1</v>
      </c>
      <c r="M20" s="4">
        <v>0</v>
      </c>
      <c r="N20" s="4">
        <v>2980</v>
      </c>
      <c r="O20" s="4">
        <v>1984</v>
      </c>
      <c r="P20" s="6">
        <f t="shared" si="6"/>
        <v>0.33422818791946307</v>
      </c>
      <c r="Q20" s="4">
        <v>2580</v>
      </c>
      <c r="R20" s="4">
        <v>2</v>
      </c>
      <c r="S20" s="4">
        <v>9</v>
      </c>
      <c r="T20" s="4">
        <v>2560</v>
      </c>
      <c r="U20" s="4">
        <v>10</v>
      </c>
      <c r="V20" s="4">
        <v>29</v>
      </c>
      <c r="W20" s="4">
        <v>2540</v>
      </c>
      <c r="X20" s="4">
        <v>30</v>
      </c>
      <c r="Y20" s="4">
        <v>99</v>
      </c>
      <c r="Z20" s="4">
        <v>2280</v>
      </c>
      <c r="AA20" s="4">
        <v>100</v>
      </c>
      <c r="AB20" s="4">
        <v>99999</v>
      </c>
      <c r="AC20" s="4">
        <v>0</v>
      </c>
      <c r="AD20" s="4">
        <f t="shared" si="32"/>
        <v>0</v>
      </c>
      <c r="AE20" s="4">
        <v>2504</v>
      </c>
      <c r="AF20" s="4">
        <f t="shared" si="33"/>
        <v>2504</v>
      </c>
      <c r="AG20" s="4"/>
      <c r="AH20" s="21">
        <f t="shared" si="0"/>
        <v>3761</v>
      </c>
      <c r="AI20" s="6">
        <f t="shared" si="9"/>
        <v>0.33421962244084025</v>
      </c>
      <c r="AJ20" s="4">
        <v>0</v>
      </c>
      <c r="AK20" s="4">
        <f t="shared" si="34"/>
        <v>2982</v>
      </c>
      <c r="AL20" s="4">
        <f t="shared" si="11"/>
        <v>3763.5725806451615</v>
      </c>
      <c r="AM20" s="6">
        <f t="shared" si="12"/>
        <v>0.33467471495640511</v>
      </c>
      <c r="AN20" s="7">
        <v>3760</v>
      </c>
      <c r="AO20" s="6">
        <f t="shared" si="1"/>
        <v>0.33404255319148934</v>
      </c>
      <c r="AP20" s="4">
        <f t="shared" si="2"/>
        <v>1256</v>
      </c>
      <c r="AQ20" s="28"/>
      <c r="AR20" s="6"/>
      <c r="AS20" s="6"/>
      <c r="AT20" s="6" t="str">
        <f t="shared" si="13"/>
        <v>-</v>
      </c>
      <c r="AU20" s="6">
        <f t="shared" si="14"/>
        <v>1.261744966442953</v>
      </c>
      <c r="AV20" s="6">
        <f t="shared" si="15"/>
        <v>1.2620967741935485</v>
      </c>
      <c r="AW20" s="4">
        <v>3255</v>
      </c>
      <c r="AX20" s="4">
        <f t="shared" si="17"/>
        <v>2</v>
      </c>
      <c r="AY20" s="4">
        <f t="shared" si="18"/>
        <v>9</v>
      </c>
      <c r="AZ20" s="4">
        <v>3230</v>
      </c>
      <c r="BA20" s="4">
        <f t="shared" si="20"/>
        <v>10</v>
      </c>
      <c r="BB20" s="4">
        <f t="shared" si="21"/>
        <v>29</v>
      </c>
      <c r="BC20" s="4">
        <v>3200</v>
      </c>
      <c r="BD20" s="4">
        <f t="shared" si="23"/>
        <v>30</v>
      </c>
      <c r="BE20" s="4">
        <f t="shared" si="24"/>
        <v>99</v>
      </c>
      <c r="BF20" s="4">
        <v>2880</v>
      </c>
      <c r="BG20" s="4">
        <f t="shared" si="26"/>
        <v>100</v>
      </c>
      <c r="BH20" s="4">
        <f t="shared" si="27"/>
        <v>99999</v>
      </c>
      <c r="BI20" s="4">
        <v>0</v>
      </c>
      <c r="BJ20" s="4" t="s">
        <v>279</v>
      </c>
      <c r="BK20" s="4"/>
      <c r="BL20" s="4"/>
      <c r="BM20" s="4" t="s">
        <v>264</v>
      </c>
      <c r="BN20" s="4">
        <v>2982</v>
      </c>
      <c r="BO20" s="4">
        <v>2982</v>
      </c>
      <c r="BP20" s="4">
        <f t="shared" si="35"/>
        <v>2982</v>
      </c>
      <c r="BQ20" s="19">
        <v>4</v>
      </c>
      <c r="BR20" s="19">
        <v>8</v>
      </c>
      <c r="BS20" s="16">
        <v>6</v>
      </c>
      <c r="BT20" t="s">
        <v>199</v>
      </c>
      <c r="BU20" t="s">
        <v>196</v>
      </c>
      <c r="BV20" t="str">
        <f t="shared" si="28"/>
        <v>-</v>
      </c>
      <c r="BW20">
        <v>2885</v>
      </c>
      <c r="BX20">
        <v>2885</v>
      </c>
      <c r="BY20">
        <f t="shared" si="29"/>
        <v>3641.1491935483873</v>
      </c>
      <c r="BZ20" t="s">
        <v>215</v>
      </c>
    </row>
    <row r="21" spans="1:78" x14ac:dyDescent="0.4">
      <c r="A21" s="3">
        <v>18</v>
      </c>
      <c r="B21" s="3">
        <v>18</v>
      </c>
      <c r="C21" s="4" t="s">
        <v>83</v>
      </c>
      <c r="D21" s="4" t="str">
        <f t="shared" si="31"/>
        <v>J42007</v>
      </c>
      <c r="E21" s="4" t="s">
        <v>83</v>
      </c>
      <c r="F21" s="4" t="str">
        <f t="shared" si="5"/>
        <v>J420075</v>
      </c>
      <c r="G21" s="4" t="s">
        <v>146</v>
      </c>
      <c r="H21" s="5">
        <v>4547345017677</v>
      </c>
      <c r="I21" s="5">
        <v>5</v>
      </c>
      <c r="J21" s="5"/>
      <c r="K21" s="5">
        <v>1</v>
      </c>
      <c r="L21" s="5">
        <v>1</v>
      </c>
      <c r="M21" s="4">
        <v>0</v>
      </c>
      <c r="N21" s="4">
        <v>2480</v>
      </c>
      <c r="O21" s="4">
        <v>1649</v>
      </c>
      <c r="P21" s="6">
        <f t="shared" si="6"/>
        <v>0.33508064516129032</v>
      </c>
      <c r="Q21" s="4">
        <v>1980</v>
      </c>
      <c r="R21" s="4">
        <v>2</v>
      </c>
      <c r="S21" s="4">
        <v>9</v>
      </c>
      <c r="T21" s="4">
        <v>1960</v>
      </c>
      <c r="U21" s="4">
        <v>10</v>
      </c>
      <c r="V21" s="4">
        <v>29</v>
      </c>
      <c r="W21" s="4">
        <v>1940</v>
      </c>
      <c r="X21" s="4">
        <v>30</v>
      </c>
      <c r="Y21" s="4">
        <v>99</v>
      </c>
      <c r="Z21" s="4">
        <v>1880</v>
      </c>
      <c r="AA21" s="4">
        <v>100</v>
      </c>
      <c r="AB21" s="4">
        <v>99999</v>
      </c>
      <c r="AC21" s="4">
        <v>0</v>
      </c>
      <c r="AD21" s="4">
        <f t="shared" si="32"/>
        <v>0</v>
      </c>
      <c r="AE21" s="4">
        <v>2077</v>
      </c>
      <c r="AF21" s="4">
        <f t="shared" si="33"/>
        <v>2077</v>
      </c>
      <c r="AG21" s="4"/>
      <c r="AH21" s="21">
        <f t="shared" si="0"/>
        <v>3124</v>
      </c>
      <c r="AI21" s="6">
        <f t="shared" si="9"/>
        <v>0.33514724711907806</v>
      </c>
      <c r="AJ21" s="4">
        <v>0.75</v>
      </c>
      <c r="AK21" s="4">
        <f t="shared" si="34"/>
        <v>2826</v>
      </c>
      <c r="AL21" s="4">
        <f t="shared" si="11"/>
        <v>3559.4918132201333</v>
      </c>
      <c r="AM21" s="6">
        <f t="shared" si="12"/>
        <v>0.41648973814578905</v>
      </c>
      <c r="AN21" s="7">
        <v>3120</v>
      </c>
      <c r="AO21" s="6">
        <f t="shared" si="1"/>
        <v>0.33429487179487183</v>
      </c>
      <c r="AP21" s="4">
        <f t="shared" si="2"/>
        <v>1043</v>
      </c>
      <c r="AQ21" s="28"/>
      <c r="AR21" s="6"/>
      <c r="AS21" s="6"/>
      <c r="AT21" s="6" t="str">
        <f t="shared" si="13"/>
        <v>-</v>
      </c>
      <c r="AU21" s="6">
        <f t="shared" si="14"/>
        <v>1.2580645161290323</v>
      </c>
      <c r="AV21" s="6">
        <f t="shared" si="15"/>
        <v>1.2595512431776834</v>
      </c>
      <c r="AW21" s="4">
        <v>2680</v>
      </c>
      <c r="AX21" s="4">
        <f t="shared" si="17"/>
        <v>2</v>
      </c>
      <c r="AY21" s="4">
        <f t="shared" si="18"/>
        <v>9</v>
      </c>
      <c r="AZ21" s="4">
        <v>2650</v>
      </c>
      <c r="BA21" s="4">
        <f t="shared" si="20"/>
        <v>10</v>
      </c>
      <c r="BB21" s="4">
        <f t="shared" si="21"/>
        <v>29</v>
      </c>
      <c r="BC21" s="4">
        <v>2620</v>
      </c>
      <c r="BD21" s="4">
        <f t="shared" si="23"/>
        <v>30</v>
      </c>
      <c r="BE21" s="4">
        <f t="shared" si="24"/>
        <v>99</v>
      </c>
      <c r="BF21" s="4">
        <v>2380</v>
      </c>
      <c r="BG21" s="4">
        <f t="shared" si="26"/>
        <v>100</v>
      </c>
      <c r="BH21" s="4">
        <f t="shared" si="27"/>
        <v>99999</v>
      </c>
      <c r="BI21" s="4">
        <v>0</v>
      </c>
      <c r="BJ21" s="4" t="s">
        <v>280</v>
      </c>
      <c r="BK21" s="4"/>
      <c r="BL21" s="4"/>
      <c r="BM21" s="4" t="s">
        <v>281</v>
      </c>
      <c r="BN21" s="4">
        <v>2826</v>
      </c>
      <c r="BO21" s="4">
        <v>2826</v>
      </c>
      <c r="BP21" s="4">
        <f t="shared" si="35"/>
        <v>2826</v>
      </c>
      <c r="BQ21" s="19">
        <v>4</v>
      </c>
      <c r="BR21" s="19">
        <v>1</v>
      </c>
      <c r="BS21" s="16">
        <v>6</v>
      </c>
      <c r="BT21" t="s">
        <v>199</v>
      </c>
      <c r="BU21" t="s">
        <v>196</v>
      </c>
      <c r="BV21" t="str">
        <f t="shared" si="28"/>
        <v>-</v>
      </c>
      <c r="BW21">
        <v>2401</v>
      </c>
      <c r="BX21">
        <v>2401</v>
      </c>
      <c r="BY21">
        <f t="shared" si="29"/>
        <v>3024.1825348696179</v>
      </c>
      <c r="BZ21" t="s">
        <v>216</v>
      </c>
    </row>
    <row r="22" spans="1:78" x14ac:dyDescent="0.4">
      <c r="A22" s="3">
        <v>19</v>
      </c>
      <c r="B22" s="3">
        <v>19</v>
      </c>
      <c r="C22" s="4" t="s">
        <v>84</v>
      </c>
      <c r="D22" s="4" t="str">
        <f t="shared" si="31"/>
        <v>J42519</v>
      </c>
      <c r="E22" s="4" t="s">
        <v>84</v>
      </c>
      <c r="F22" s="4" t="str">
        <f t="shared" si="5"/>
        <v>J425195</v>
      </c>
      <c r="G22" s="4" t="s">
        <v>147</v>
      </c>
      <c r="H22" s="5">
        <v>4547345030515</v>
      </c>
      <c r="I22" s="5">
        <v>5</v>
      </c>
      <c r="J22" s="5"/>
      <c r="K22" s="5">
        <v>1</v>
      </c>
      <c r="L22" s="5">
        <v>1</v>
      </c>
      <c r="M22" s="4">
        <v>0</v>
      </c>
      <c r="N22" s="4">
        <v>348</v>
      </c>
      <c r="O22" s="4">
        <v>233</v>
      </c>
      <c r="P22" s="6">
        <f t="shared" si="6"/>
        <v>0.33045977011494254</v>
      </c>
      <c r="Q22" s="4" t="s">
        <v>196</v>
      </c>
      <c r="R22" s="4" t="s">
        <v>196</v>
      </c>
      <c r="S22" s="4" t="s">
        <v>196</v>
      </c>
      <c r="T22" s="4" t="s">
        <v>196</v>
      </c>
      <c r="U22" s="4" t="s">
        <v>196</v>
      </c>
      <c r="V22" s="4" t="s">
        <v>196</v>
      </c>
      <c r="W22" s="4" t="s">
        <v>196</v>
      </c>
      <c r="X22" s="4" t="s">
        <v>196</v>
      </c>
      <c r="Y22" s="4" t="s">
        <v>196</v>
      </c>
      <c r="Z22" s="4" t="s">
        <v>196</v>
      </c>
      <c r="AA22" s="4" t="s">
        <v>196</v>
      </c>
      <c r="AB22" s="4" t="s">
        <v>196</v>
      </c>
      <c r="AC22" s="4">
        <v>0</v>
      </c>
      <c r="AD22" s="4">
        <f t="shared" si="32"/>
        <v>0</v>
      </c>
      <c r="AE22" s="4">
        <v>294</v>
      </c>
      <c r="AF22" s="4">
        <f t="shared" si="33"/>
        <v>294</v>
      </c>
      <c r="AG22" s="4"/>
      <c r="AH22" s="21">
        <f t="shared" si="0"/>
        <v>439</v>
      </c>
      <c r="AI22" s="6">
        <f t="shared" si="9"/>
        <v>0.33029612756264237</v>
      </c>
      <c r="AJ22" s="4">
        <v>0</v>
      </c>
      <c r="AK22" s="4">
        <f t="shared" si="34"/>
        <v>436.0333333333333</v>
      </c>
      <c r="AL22" s="4">
        <f t="shared" si="11"/>
        <v>550.18798283261799</v>
      </c>
      <c r="AM22" s="6">
        <f t="shared" si="12"/>
        <v>0.46563718370155183</v>
      </c>
      <c r="AN22" s="7">
        <v>430</v>
      </c>
      <c r="AO22" s="6">
        <f t="shared" si="1"/>
        <v>0.31627906976744191</v>
      </c>
      <c r="AP22" s="4">
        <f t="shared" si="2"/>
        <v>136</v>
      </c>
      <c r="AQ22" s="28"/>
      <c r="AR22" s="6"/>
      <c r="AS22" s="6"/>
      <c r="AT22" s="6" t="str">
        <f t="shared" si="13"/>
        <v>-</v>
      </c>
      <c r="AU22" s="6">
        <f t="shared" si="14"/>
        <v>1.235632183908046</v>
      </c>
      <c r="AV22" s="6">
        <f t="shared" si="15"/>
        <v>1.2618025751072961</v>
      </c>
      <c r="AW22" s="4" t="str">
        <f t="shared" si="16"/>
        <v>-</v>
      </c>
      <c r="AX22" s="4" t="str">
        <f t="shared" si="17"/>
        <v>-</v>
      </c>
      <c r="AY22" s="4" t="str">
        <f t="shared" si="18"/>
        <v>-</v>
      </c>
      <c r="AZ22" s="4" t="str">
        <f t="shared" si="19"/>
        <v>-</v>
      </c>
      <c r="BA22" s="4" t="str">
        <f t="shared" si="20"/>
        <v>-</v>
      </c>
      <c r="BB22" s="4" t="str">
        <f t="shared" si="21"/>
        <v>-</v>
      </c>
      <c r="BC22" s="4" t="str">
        <f t="shared" si="22"/>
        <v>-</v>
      </c>
      <c r="BD22" s="4" t="str">
        <f t="shared" si="23"/>
        <v>-</v>
      </c>
      <c r="BE22" s="4" t="str">
        <f t="shared" si="24"/>
        <v>-</v>
      </c>
      <c r="BF22" s="4" t="str">
        <f t="shared" si="25"/>
        <v>-</v>
      </c>
      <c r="BG22" s="4" t="str">
        <f t="shared" si="26"/>
        <v>-</v>
      </c>
      <c r="BH22" s="4" t="str">
        <f t="shared" si="27"/>
        <v>-</v>
      </c>
      <c r="BI22" s="4">
        <v>0</v>
      </c>
      <c r="BJ22" s="4" t="s">
        <v>282</v>
      </c>
      <c r="BK22" s="4">
        <v>1</v>
      </c>
      <c r="BL22" s="4">
        <v>30</v>
      </c>
      <c r="BM22" s="4" t="s">
        <v>283</v>
      </c>
      <c r="BN22" s="4">
        <v>10380</v>
      </c>
      <c r="BO22" s="4">
        <v>13081</v>
      </c>
      <c r="BP22" s="4">
        <f t="shared" si="35"/>
        <v>436.0333333333333</v>
      </c>
      <c r="BQ22" s="19">
        <v>4</v>
      </c>
      <c r="BR22" s="19">
        <v>8</v>
      </c>
      <c r="BS22" s="16">
        <v>6</v>
      </c>
      <c r="BT22" t="s">
        <v>199</v>
      </c>
      <c r="BU22" t="s">
        <v>196</v>
      </c>
      <c r="BV22" t="str">
        <f t="shared" si="28"/>
        <v>-</v>
      </c>
      <c r="BW22">
        <v>346</v>
      </c>
      <c r="BX22">
        <v>346</v>
      </c>
      <c r="BY22">
        <f t="shared" si="29"/>
        <v>436.58369098712444</v>
      </c>
      <c r="BZ22" t="s">
        <v>217</v>
      </c>
    </row>
    <row r="23" spans="1:78" x14ac:dyDescent="0.4">
      <c r="A23" s="3">
        <v>20</v>
      </c>
      <c r="B23" s="3">
        <v>20</v>
      </c>
      <c r="C23" s="4" t="s">
        <v>85</v>
      </c>
      <c r="D23" s="4" t="str">
        <f t="shared" ref="D23:D67" si="36">TEXT(C23,"000000")</f>
        <v>J42518</v>
      </c>
      <c r="E23" s="4" t="s">
        <v>85</v>
      </c>
      <c r="F23" s="4" t="str">
        <f t="shared" si="5"/>
        <v>J425185</v>
      </c>
      <c r="G23" s="4" t="s">
        <v>148</v>
      </c>
      <c r="H23" s="5">
        <v>4547345030522</v>
      </c>
      <c r="I23" s="5">
        <v>5</v>
      </c>
      <c r="J23" s="5"/>
      <c r="K23" s="5">
        <v>1</v>
      </c>
      <c r="L23" s="5">
        <v>1</v>
      </c>
      <c r="M23" s="4">
        <v>0</v>
      </c>
      <c r="N23" s="4">
        <v>306</v>
      </c>
      <c r="O23" s="4">
        <v>233</v>
      </c>
      <c r="P23" s="6">
        <f t="shared" ref="P23:P67" si="37">IFERROR(1-O23/N23,"-")</f>
        <v>0.23856209150326801</v>
      </c>
      <c r="Q23" s="4" t="s">
        <v>196</v>
      </c>
      <c r="R23" s="4" t="s">
        <v>196</v>
      </c>
      <c r="S23" s="4" t="s">
        <v>196</v>
      </c>
      <c r="T23" s="4" t="s">
        <v>196</v>
      </c>
      <c r="U23" s="4" t="s">
        <v>196</v>
      </c>
      <c r="V23" s="4" t="s">
        <v>196</v>
      </c>
      <c r="W23" s="4" t="s">
        <v>196</v>
      </c>
      <c r="X23" s="4" t="s">
        <v>196</v>
      </c>
      <c r="Y23" s="4" t="s">
        <v>196</v>
      </c>
      <c r="Z23" s="4" t="s">
        <v>196</v>
      </c>
      <c r="AA23" s="4" t="s">
        <v>196</v>
      </c>
      <c r="AB23" s="4" t="s">
        <v>196</v>
      </c>
      <c r="AC23" s="4">
        <v>0</v>
      </c>
      <c r="AD23" s="4">
        <f t="shared" ref="AD23:AD67" si="38">IF(AG23="",AC23,AC23*AG23)</f>
        <v>0</v>
      </c>
      <c r="AE23" s="4">
        <v>294</v>
      </c>
      <c r="AF23" s="4">
        <f t="shared" ref="AF23:AF67" si="39">IF(AG23="",AE23,AE23*AG23)</f>
        <v>294</v>
      </c>
      <c r="AG23" s="4"/>
      <c r="AH23" s="21">
        <f t="shared" ref="AH23:AH67" si="40">ROUND(N23*AV23,0)</f>
        <v>386</v>
      </c>
      <c r="AI23" s="6">
        <f t="shared" ref="AI23:AI67" si="41">IFERROR(1-AF23/AH23,"-")</f>
        <v>0.23834196891191706</v>
      </c>
      <c r="AJ23" s="4">
        <v>0</v>
      </c>
      <c r="AK23" s="4">
        <f t="shared" ref="AK23:AK67" si="42">BP23</f>
        <v>436.0333333333333</v>
      </c>
      <c r="AL23" s="4">
        <f t="shared" ref="AL23:AL67" si="43">IFERROR(AK23*AV23,"-")</f>
        <v>550.18798283261799</v>
      </c>
      <c r="AM23" s="6">
        <f t="shared" ref="AM23:AM67" si="44">IFERROR(1-AF23/AL23,"-")</f>
        <v>0.46563718370155183</v>
      </c>
      <c r="AN23" s="7">
        <v>430</v>
      </c>
      <c r="AO23" s="6">
        <f t="shared" ref="AO23:AO67" si="45">1-AF23/AN23</f>
        <v>0.31627906976744191</v>
      </c>
      <c r="AP23" s="4">
        <f t="shared" ref="AP23:AP67" si="46">AN23-AF23</f>
        <v>136</v>
      </c>
      <c r="AQ23" s="28"/>
      <c r="AR23" s="6"/>
      <c r="AS23" s="6"/>
      <c r="AT23" s="6" t="str">
        <f t="shared" ref="AT23:AT67" si="47">IFERROR(AD23/M23,"-")</f>
        <v>-</v>
      </c>
      <c r="AU23" s="6">
        <f t="shared" ref="AU23:AU67" si="48">IFERROR(AN23/N23,"-")</f>
        <v>1.4052287581699345</v>
      </c>
      <c r="AV23" s="6">
        <f t="shared" ref="AV23:AV67" si="49">IFERROR(AF23/O23,"-")</f>
        <v>1.2618025751072961</v>
      </c>
      <c r="AW23" s="4" t="str">
        <f t="shared" si="16"/>
        <v>-</v>
      </c>
      <c r="AX23" s="4" t="str">
        <f t="shared" si="17"/>
        <v>-</v>
      </c>
      <c r="AY23" s="4" t="str">
        <f t="shared" si="18"/>
        <v>-</v>
      </c>
      <c r="AZ23" s="4" t="str">
        <f t="shared" si="19"/>
        <v>-</v>
      </c>
      <c r="BA23" s="4" t="str">
        <f t="shared" si="20"/>
        <v>-</v>
      </c>
      <c r="BB23" s="4" t="str">
        <f t="shared" si="21"/>
        <v>-</v>
      </c>
      <c r="BC23" s="4" t="str">
        <f t="shared" si="22"/>
        <v>-</v>
      </c>
      <c r="BD23" s="4" t="str">
        <f t="shared" si="23"/>
        <v>-</v>
      </c>
      <c r="BE23" s="4" t="str">
        <f t="shared" si="24"/>
        <v>-</v>
      </c>
      <c r="BF23" s="4" t="str">
        <f t="shared" si="25"/>
        <v>-</v>
      </c>
      <c r="BG23" s="4" t="str">
        <f t="shared" si="26"/>
        <v>-</v>
      </c>
      <c r="BH23" s="4" t="str">
        <f t="shared" si="27"/>
        <v>-</v>
      </c>
      <c r="BI23" s="4">
        <v>0</v>
      </c>
      <c r="BJ23" s="4" t="s">
        <v>284</v>
      </c>
      <c r="BK23" s="4">
        <v>1</v>
      </c>
      <c r="BL23" s="4">
        <v>30</v>
      </c>
      <c r="BM23" s="4" t="s">
        <v>283</v>
      </c>
      <c r="BN23" s="4">
        <v>10380</v>
      </c>
      <c r="BO23" s="4">
        <v>13081</v>
      </c>
      <c r="BP23" s="4">
        <f t="shared" ref="BP23:BP67" si="50">IF(BK23="",BO23,BK23/BL23*BO23)</f>
        <v>436.0333333333333</v>
      </c>
      <c r="BQ23" s="19">
        <v>4</v>
      </c>
      <c r="BR23" s="19">
        <v>8</v>
      </c>
      <c r="BS23" s="16">
        <v>6</v>
      </c>
      <c r="BT23" t="s">
        <v>199</v>
      </c>
      <c r="BU23" t="s">
        <v>196</v>
      </c>
      <c r="BV23" t="str">
        <f t="shared" si="28"/>
        <v>-</v>
      </c>
      <c r="BW23">
        <v>346</v>
      </c>
      <c r="BX23">
        <v>346</v>
      </c>
      <c r="BY23">
        <f t="shared" si="29"/>
        <v>436.58369098712444</v>
      </c>
      <c r="BZ23" t="s">
        <v>218</v>
      </c>
    </row>
    <row r="24" spans="1:78" x14ac:dyDescent="0.4">
      <c r="A24" s="3">
        <v>21</v>
      </c>
      <c r="B24" s="3">
        <v>21</v>
      </c>
      <c r="C24" s="4" t="s">
        <v>86</v>
      </c>
      <c r="D24" s="4" t="str">
        <f t="shared" si="36"/>
        <v>J42520</v>
      </c>
      <c r="E24" s="4" t="s">
        <v>86</v>
      </c>
      <c r="F24" s="4" t="str">
        <f t="shared" si="5"/>
        <v>J425205</v>
      </c>
      <c r="G24" s="4" t="s">
        <v>149</v>
      </c>
      <c r="H24" s="5">
        <v>4547345030539</v>
      </c>
      <c r="I24" s="5">
        <v>5</v>
      </c>
      <c r="J24" s="5"/>
      <c r="K24" s="5">
        <v>1</v>
      </c>
      <c r="L24" s="5">
        <v>1</v>
      </c>
      <c r="M24" s="4">
        <v>0</v>
      </c>
      <c r="N24" s="4">
        <v>309</v>
      </c>
      <c r="O24" s="4">
        <v>233</v>
      </c>
      <c r="P24" s="6">
        <f t="shared" si="37"/>
        <v>0.24595469255663427</v>
      </c>
      <c r="Q24" s="4" t="s">
        <v>196</v>
      </c>
      <c r="R24" s="4" t="s">
        <v>196</v>
      </c>
      <c r="S24" s="4" t="s">
        <v>196</v>
      </c>
      <c r="T24" s="4" t="s">
        <v>196</v>
      </c>
      <c r="U24" s="4" t="s">
        <v>196</v>
      </c>
      <c r="V24" s="4" t="s">
        <v>196</v>
      </c>
      <c r="W24" s="4" t="s">
        <v>196</v>
      </c>
      <c r="X24" s="4" t="s">
        <v>196</v>
      </c>
      <c r="Y24" s="4" t="s">
        <v>196</v>
      </c>
      <c r="Z24" s="4" t="s">
        <v>196</v>
      </c>
      <c r="AA24" s="4" t="s">
        <v>196</v>
      </c>
      <c r="AB24" s="4" t="s">
        <v>196</v>
      </c>
      <c r="AC24" s="4">
        <v>0</v>
      </c>
      <c r="AD24" s="4">
        <f t="shared" si="38"/>
        <v>0</v>
      </c>
      <c r="AE24" s="4">
        <v>294</v>
      </c>
      <c r="AF24" s="4">
        <f t="shared" si="39"/>
        <v>294</v>
      </c>
      <c r="AG24" s="4"/>
      <c r="AH24" s="21">
        <f t="shared" si="40"/>
        <v>390</v>
      </c>
      <c r="AI24" s="6">
        <f t="shared" si="41"/>
        <v>0.24615384615384617</v>
      </c>
      <c r="AJ24" s="4">
        <v>0.25</v>
      </c>
      <c r="AK24" s="4">
        <f t="shared" si="42"/>
        <v>436.0333333333333</v>
      </c>
      <c r="AL24" s="4">
        <f t="shared" si="43"/>
        <v>550.18798283261799</v>
      </c>
      <c r="AM24" s="6">
        <f t="shared" si="44"/>
        <v>0.46563718370155183</v>
      </c>
      <c r="AN24" s="7">
        <v>430</v>
      </c>
      <c r="AO24" s="6">
        <f t="shared" si="45"/>
        <v>0.31627906976744191</v>
      </c>
      <c r="AP24" s="4">
        <f t="shared" si="46"/>
        <v>136</v>
      </c>
      <c r="AQ24" s="28"/>
      <c r="AR24" s="6"/>
      <c r="AS24" s="6"/>
      <c r="AT24" s="6" t="str">
        <f t="shared" si="47"/>
        <v>-</v>
      </c>
      <c r="AU24" s="6">
        <f t="shared" si="48"/>
        <v>1.3915857605177993</v>
      </c>
      <c r="AV24" s="6">
        <f t="shared" si="49"/>
        <v>1.2618025751072961</v>
      </c>
      <c r="AW24" s="4" t="str">
        <f t="shared" si="16"/>
        <v>-</v>
      </c>
      <c r="AX24" s="4" t="str">
        <f t="shared" si="17"/>
        <v>-</v>
      </c>
      <c r="AY24" s="4" t="str">
        <f t="shared" si="18"/>
        <v>-</v>
      </c>
      <c r="AZ24" s="4" t="str">
        <f t="shared" si="19"/>
        <v>-</v>
      </c>
      <c r="BA24" s="4" t="str">
        <f t="shared" si="20"/>
        <v>-</v>
      </c>
      <c r="BB24" s="4" t="str">
        <f t="shared" si="21"/>
        <v>-</v>
      </c>
      <c r="BC24" s="4" t="str">
        <f t="shared" si="22"/>
        <v>-</v>
      </c>
      <c r="BD24" s="4" t="str">
        <f t="shared" si="23"/>
        <v>-</v>
      </c>
      <c r="BE24" s="4" t="str">
        <f t="shared" si="24"/>
        <v>-</v>
      </c>
      <c r="BF24" s="4" t="str">
        <f t="shared" si="25"/>
        <v>-</v>
      </c>
      <c r="BG24" s="4" t="str">
        <f t="shared" si="26"/>
        <v>-</v>
      </c>
      <c r="BH24" s="4" t="str">
        <f t="shared" si="27"/>
        <v>-</v>
      </c>
      <c r="BI24" s="4">
        <v>0</v>
      </c>
      <c r="BJ24" s="4" t="s">
        <v>285</v>
      </c>
      <c r="BK24" s="4">
        <v>1</v>
      </c>
      <c r="BL24" s="4">
        <v>30</v>
      </c>
      <c r="BM24" s="4" t="s">
        <v>283</v>
      </c>
      <c r="BN24" s="4">
        <v>10380</v>
      </c>
      <c r="BO24" s="4">
        <v>13081</v>
      </c>
      <c r="BP24" s="4">
        <f t="shared" si="50"/>
        <v>436.0333333333333</v>
      </c>
      <c r="BQ24" s="19">
        <v>4</v>
      </c>
      <c r="BR24" s="19">
        <v>8</v>
      </c>
      <c r="BS24" s="16">
        <v>6</v>
      </c>
      <c r="BT24" t="s">
        <v>199</v>
      </c>
      <c r="BU24" t="s">
        <v>196</v>
      </c>
      <c r="BV24" t="str">
        <f t="shared" si="28"/>
        <v>-</v>
      </c>
      <c r="BW24">
        <v>346</v>
      </c>
      <c r="BX24">
        <v>346</v>
      </c>
      <c r="BY24">
        <f t="shared" si="29"/>
        <v>436.58369098712444</v>
      </c>
      <c r="BZ24" t="s">
        <v>219</v>
      </c>
    </row>
    <row r="25" spans="1:78" x14ac:dyDescent="0.4">
      <c r="A25" s="3">
        <v>22</v>
      </c>
      <c r="B25" s="3">
        <v>22</v>
      </c>
      <c r="C25" s="4" t="s">
        <v>87</v>
      </c>
      <c r="D25" s="4" t="str">
        <f t="shared" si="36"/>
        <v>J42517</v>
      </c>
      <c r="E25" s="4" t="s">
        <v>87</v>
      </c>
      <c r="F25" s="4" t="str">
        <f t="shared" si="5"/>
        <v>J425175</v>
      </c>
      <c r="G25" s="4" t="s">
        <v>150</v>
      </c>
      <c r="H25" s="5">
        <v>4547345030546</v>
      </c>
      <c r="I25" s="5">
        <v>5</v>
      </c>
      <c r="J25" s="5"/>
      <c r="K25" s="5">
        <v>1</v>
      </c>
      <c r="L25" s="5">
        <v>1</v>
      </c>
      <c r="M25" s="4">
        <v>0</v>
      </c>
      <c r="N25" s="4">
        <v>309</v>
      </c>
      <c r="O25" s="4">
        <v>233</v>
      </c>
      <c r="P25" s="6">
        <f t="shared" si="37"/>
        <v>0.24595469255663427</v>
      </c>
      <c r="Q25" s="4" t="s">
        <v>196</v>
      </c>
      <c r="R25" s="4" t="s">
        <v>196</v>
      </c>
      <c r="S25" s="4" t="s">
        <v>196</v>
      </c>
      <c r="T25" s="4" t="s">
        <v>196</v>
      </c>
      <c r="U25" s="4" t="s">
        <v>196</v>
      </c>
      <c r="V25" s="4" t="s">
        <v>196</v>
      </c>
      <c r="W25" s="4" t="s">
        <v>196</v>
      </c>
      <c r="X25" s="4" t="s">
        <v>196</v>
      </c>
      <c r="Y25" s="4" t="s">
        <v>196</v>
      </c>
      <c r="Z25" s="4" t="s">
        <v>196</v>
      </c>
      <c r="AA25" s="4" t="s">
        <v>196</v>
      </c>
      <c r="AB25" s="4" t="s">
        <v>196</v>
      </c>
      <c r="AC25" s="4">
        <v>0</v>
      </c>
      <c r="AD25" s="4">
        <f t="shared" si="38"/>
        <v>0</v>
      </c>
      <c r="AE25" s="4">
        <v>294</v>
      </c>
      <c r="AF25" s="4">
        <f t="shared" si="39"/>
        <v>294</v>
      </c>
      <c r="AG25" s="4"/>
      <c r="AH25" s="21">
        <f t="shared" si="40"/>
        <v>390</v>
      </c>
      <c r="AI25" s="6">
        <f t="shared" si="41"/>
        <v>0.24615384615384617</v>
      </c>
      <c r="AJ25" s="4">
        <v>0</v>
      </c>
      <c r="AK25" s="4">
        <f t="shared" si="42"/>
        <v>436.0333333333333</v>
      </c>
      <c r="AL25" s="4">
        <f t="shared" si="43"/>
        <v>550.18798283261799</v>
      </c>
      <c r="AM25" s="6">
        <f t="shared" si="44"/>
        <v>0.46563718370155183</v>
      </c>
      <c r="AN25" s="7">
        <v>430</v>
      </c>
      <c r="AO25" s="6">
        <f t="shared" si="45"/>
        <v>0.31627906976744191</v>
      </c>
      <c r="AP25" s="4">
        <f t="shared" si="46"/>
        <v>136</v>
      </c>
      <c r="AQ25" s="28"/>
      <c r="AR25" s="6"/>
      <c r="AS25" s="6"/>
      <c r="AT25" s="6" t="str">
        <f t="shared" si="47"/>
        <v>-</v>
      </c>
      <c r="AU25" s="6">
        <f t="shared" si="48"/>
        <v>1.3915857605177993</v>
      </c>
      <c r="AV25" s="6">
        <f t="shared" si="49"/>
        <v>1.2618025751072961</v>
      </c>
      <c r="AW25" s="4" t="str">
        <f t="shared" si="16"/>
        <v>-</v>
      </c>
      <c r="AX25" s="4" t="str">
        <f t="shared" si="17"/>
        <v>-</v>
      </c>
      <c r="AY25" s="4" t="str">
        <f t="shared" si="18"/>
        <v>-</v>
      </c>
      <c r="AZ25" s="4" t="str">
        <f t="shared" si="19"/>
        <v>-</v>
      </c>
      <c r="BA25" s="4" t="str">
        <f t="shared" si="20"/>
        <v>-</v>
      </c>
      <c r="BB25" s="4" t="str">
        <f t="shared" si="21"/>
        <v>-</v>
      </c>
      <c r="BC25" s="4" t="str">
        <f t="shared" si="22"/>
        <v>-</v>
      </c>
      <c r="BD25" s="4" t="str">
        <f t="shared" si="23"/>
        <v>-</v>
      </c>
      <c r="BE25" s="4" t="str">
        <f t="shared" si="24"/>
        <v>-</v>
      </c>
      <c r="BF25" s="4" t="str">
        <f t="shared" si="25"/>
        <v>-</v>
      </c>
      <c r="BG25" s="4" t="str">
        <f t="shared" si="26"/>
        <v>-</v>
      </c>
      <c r="BH25" s="4" t="str">
        <f t="shared" si="27"/>
        <v>-</v>
      </c>
      <c r="BI25" s="4">
        <v>0</v>
      </c>
      <c r="BJ25" s="4" t="s">
        <v>286</v>
      </c>
      <c r="BK25" s="4">
        <v>1</v>
      </c>
      <c r="BL25" s="4">
        <v>30</v>
      </c>
      <c r="BM25" s="4" t="s">
        <v>283</v>
      </c>
      <c r="BN25" s="4">
        <v>10380</v>
      </c>
      <c r="BO25" s="4">
        <v>13081</v>
      </c>
      <c r="BP25" s="4">
        <f t="shared" si="50"/>
        <v>436.0333333333333</v>
      </c>
      <c r="BQ25" s="19">
        <v>4</v>
      </c>
      <c r="BR25" s="19">
        <v>8</v>
      </c>
      <c r="BS25" s="16">
        <v>6</v>
      </c>
      <c r="BT25" t="s">
        <v>199</v>
      </c>
      <c r="BU25" t="s">
        <v>196</v>
      </c>
      <c r="BV25" t="str">
        <f t="shared" si="28"/>
        <v>-</v>
      </c>
      <c r="BW25">
        <v>333</v>
      </c>
      <c r="BX25">
        <v>333</v>
      </c>
      <c r="BY25">
        <f t="shared" si="29"/>
        <v>420.18025751072958</v>
      </c>
      <c r="BZ25" t="s">
        <v>220</v>
      </c>
    </row>
    <row r="26" spans="1:78" x14ac:dyDescent="0.4">
      <c r="A26" s="3">
        <v>23</v>
      </c>
      <c r="B26" s="3">
        <v>23</v>
      </c>
      <c r="C26" s="4" t="s">
        <v>88</v>
      </c>
      <c r="D26" s="4" t="str">
        <f t="shared" si="36"/>
        <v>J42819</v>
      </c>
      <c r="E26" s="4" t="s">
        <v>88</v>
      </c>
      <c r="F26" s="4" t="str">
        <f t="shared" si="5"/>
        <v>J428195</v>
      </c>
      <c r="G26" s="4" t="s">
        <v>151</v>
      </c>
      <c r="H26" s="5">
        <v>4547345051589</v>
      </c>
      <c r="I26" s="5">
        <v>5</v>
      </c>
      <c r="J26" s="5"/>
      <c r="K26" s="5">
        <v>1</v>
      </c>
      <c r="L26" s="5">
        <v>1</v>
      </c>
      <c r="M26" s="4">
        <v>0</v>
      </c>
      <c r="N26" s="4">
        <v>273</v>
      </c>
      <c r="O26" s="4">
        <v>164</v>
      </c>
      <c r="P26" s="6">
        <f t="shared" si="37"/>
        <v>0.39926739926739929</v>
      </c>
      <c r="Q26" s="4" t="s">
        <v>196</v>
      </c>
      <c r="R26" s="4" t="s">
        <v>196</v>
      </c>
      <c r="S26" s="4" t="s">
        <v>196</v>
      </c>
      <c r="T26" s="4" t="s">
        <v>196</v>
      </c>
      <c r="U26" s="4" t="s">
        <v>196</v>
      </c>
      <c r="V26" s="4" t="s">
        <v>196</v>
      </c>
      <c r="W26" s="4" t="s">
        <v>196</v>
      </c>
      <c r="X26" s="4" t="s">
        <v>196</v>
      </c>
      <c r="Y26" s="4" t="s">
        <v>196</v>
      </c>
      <c r="Z26" s="4" t="s">
        <v>196</v>
      </c>
      <c r="AA26" s="4" t="s">
        <v>196</v>
      </c>
      <c r="AB26" s="4" t="s">
        <v>196</v>
      </c>
      <c r="AC26" s="4">
        <v>0</v>
      </c>
      <c r="AD26" s="4">
        <f t="shared" si="38"/>
        <v>0</v>
      </c>
      <c r="AE26" s="4">
        <v>235</v>
      </c>
      <c r="AF26" s="4">
        <f t="shared" si="39"/>
        <v>235</v>
      </c>
      <c r="AG26" s="4"/>
      <c r="AH26" s="21">
        <f t="shared" si="40"/>
        <v>391</v>
      </c>
      <c r="AI26" s="6">
        <f t="shared" si="41"/>
        <v>0.39897698209718668</v>
      </c>
      <c r="AJ26" s="4">
        <v>2</v>
      </c>
      <c r="AK26" s="4">
        <f t="shared" si="42"/>
        <v>269</v>
      </c>
      <c r="AL26" s="4">
        <f t="shared" si="43"/>
        <v>385.45731707317071</v>
      </c>
      <c r="AM26" s="6">
        <f t="shared" si="44"/>
        <v>0.39033457249070624</v>
      </c>
      <c r="AN26" s="7">
        <v>380</v>
      </c>
      <c r="AO26" s="6">
        <f t="shared" si="45"/>
        <v>0.38157894736842102</v>
      </c>
      <c r="AP26" s="4">
        <f t="shared" si="46"/>
        <v>145</v>
      </c>
      <c r="AQ26" s="28"/>
      <c r="AR26" s="6"/>
      <c r="AS26" s="6"/>
      <c r="AT26" s="6" t="str">
        <f t="shared" si="47"/>
        <v>-</v>
      </c>
      <c r="AU26" s="6">
        <f t="shared" si="48"/>
        <v>1.3919413919413919</v>
      </c>
      <c r="AV26" s="6">
        <f t="shared" si="49"/>
        <v>1.4329268292682926</v>
      </c>
      <c r="AW26" s="4" t="str">
        <f t="shared" si="16"/>
        <v>-</v>
      </c>
      <c r="AX26" s="4" t="str">
        <f t="shared" si="17"/>
        <v>-</v>
      </c>
      <c r="AY26" s="4" t="str">
        <f t="shared" si="18"/>
        <v>-</v>
      </c>
      <c r="AZ26" s="4" t="str">
        <f t="shared" si="19"/>
        <v>-</v>
      </c>
      <c r="BA26" s="4" t="str">
        <f t="shared" si="20"/>
        <v>-</v>
      </c>
      <c r="BB26" s="4" t="str">
        <f t="shared" si="21"/>
        <v>-</v>
      </c>
      <c r="BC26" s="4" t="str">
        <f t="shared" si="22"/>
        <v>-</v>
      </c>
      <c r="BD26" s="4" t="str">
        <f t="shared" si="23"/>
        <v>-</v>
      </c>
      <c r="BE26" s="4" t="str">
        <f t="shared" si="24"/>
        <v>-</v>
      </c>
      <c r="BF26" s="4" t="str">
        <f t="shared" si="25"/>
        <v>-</v>
      </c>
      <c r="BG26" s="4" t="str">
        <f t="shared" si="26"/>
        <v>-</v>
      </c>
      <c r="BH26" s="4" t="str">
        <f t="shared" si="27"/>
        <v>-</v>
      </c>
      <c r="BI26" s="4">
        <v>0</v>
      </c>
      <c r="BJ26" s="4" t="s">
        <v>287</v>
      </c>
      <c r="BK26" s="4"/>
      <c r="BL26" s="4"/>
      <c r="BM26" s="4" t="s">
        <v>270</v>
      </c>
      <c r="BN26" s="4">
        <v>269</v>
      </c>
      <c r="BO26" s="4">
        <v>269</v>
      </c>
      <c r="BP26" s="4">
        <f t="shared" si="50"/>
        <v>269</v>
      </c>
      <c r="BQ26" s="19">
        <v>4</v>
      </c>
      <c r="BR26" s="19">
        <v>1</v>
      </c>
      <c r="BS26" s="16">
        <v>18</v>
      </c>
      <c r="BT26" t="s">
        <v>199</v>
      </c>
      <c r="BU26" t="s">
        <v>196</v>
      </c>
      <c r="BV26" t="str">
        <f t="shared" si="28"/>
        <v>-</v>
      </c>
      <c r="BW26">
        <v>266</v>
      </c>
      <c r="BX26">
        <v>266</v>
      </c>
      <c r="BY26">
        <f t="shared" si="29"/>
        <v>381.15853658536582</v>
      </c>
      <c r="BZ26" t="s">
        <v>221</v>
      </c>
    </row>
    <row r="27" spans="1:78" x14ac:dyDescent="0.4">
      <c r="A27" s="3">
        <v>24</v>
      </c>
      <c r="B27" s="3">
        <v>24</v>
      </c>
      <c r="C27" s="4" t="s">
        <v>89</v>
      </c>
      <c r="D27" s="4" t="str">
        <f t="shared" si="36"/>
        <v>J42811</v>
      </c>
      <c r="E27" s="4" t="s">
        <v>89</v>
      </c>
      <c r="F27" s="4" t="str">
        <f t="shared" si="5"/>
        <v>J428115</v>
      </c>
      <c r="G27" s="4" t="s">
        <v>152</v>
      </c>
      <c r="H27" s="5">
        <v>4547345051596</v>
      </c>
      <c r="I27" s="5">
        <v>5</v>
      </c>
      <c r="J27" s="5"/>
      <c r="K27" s="5">
        <v>1</v>
      </c>
      <c r="L27" s="5">
        <v>1</v>
      </c>
      <c r="M27" s="4">
        <v>0</v>
      </c>
      <c r="N27" s="4">
        <v>385</v>
      </c>
      <c r="O27" s="4">
        <v>256</v>
      </c>
      <c r="P27" s="6">
        <f t="shared" si="37"/>
        <v>0.33506493506493507</v>
      </c>
      <c r="Q27" s="4" t="s">
        <v>196</v>
      </c>
      <c r="R27" s="4" t="s">
        <v>196</v>
      </c>
      <c r="S27" s="4" t="s">
        <v>196</v>
      </c>
      <c r="T27" s="4" t="s">
        <v>196</v>
      </c>
      <c r="U27" s="4" t="s">
        <v>196</v>
      </c>
      <c r="V27" s="4" t="s">
        <v>196</v>
      </c>
      <c r="W27" s="4" t="s">
        <v>196</v>
      </c>
      <c r="X27" s="4" t="s">
        <v>196</v>
      </c>
      <c r="Y27" s="4" t="s">
        <v>196</v>
      </c>
      <c r="Z27" s="4" t="s">
        <v>196</v>
      </c>
      <c r="AA27" s="4" t="s">
        <v>196</v>
      </c>
      <c r="AB27" s="4" t="s">
        <v>196</v>
      </c>
      <c r="AC27" s="4">
        <v>0</v>
      </c>
      <c r="AD27" s="4">
        <f t="shared" si="38"/>
        <v>0</v>
      </c>
      <c r="AE27" s="4">
        <v>365</v>
      </c>
      <c r="AF27" s="4">
        <f t="shared" si="39"/>
        <v>365</v>
      </c>
      <c r="AG27" s="4"/>
      <c r="AH27" s="21">
        <f t="shared" si="40"/>
        <v>549</v>
      </c>
      <c r="AI27" s="6">
        <f t="shared" si="41"/>
        <v>0.33515482695810561</v>
      </c>
      <c r="AJ27" s="4">
        <v>0.75</v>
      </c>
      <c r="AK27" s="4">
        <f t="shared" si="42"/>
        <v>376</v>
      </c>
      <c r="AL27" s="4">
        <f t="shared" si="43"/>
        <v>536.09375</v>
      </c>
      <c r="AM27" s="6">
        <f t="shared" si="44"/>
        <v>0.31914893617021278</v>
      </c>
      <c r="AN27" s="7">
        <v>530</v>
      </c>
      <c r="AO27" s="6">
        <f t="shared" si="45"/>
        <v>0.31132075471698117</v>
      </c>
      <c r="AP27" s="4">
        <f t="shared" si="46"/>
        <v>165</v>
      </c>
      <c r="AQ27" s="28"/>
      <c r="AR27" s="6"/>
      <c r="AS27" s="6"/>
      <c r="AT27" s="6" t="str">
        <f t="shared" si="47"/>
        <v>-</v>
      </c>
      <c r="AU27" s="6">
        <f t="shared" si="48"/>
        <v>1.3766233766233766</v>
      </c>
      <c r="AV27" s="6">
        <f t="shared" si="49"/>
        <v>1.42578125</v>
      </c>
      <c r="AW27" s="4" t="str">
        <f t="shared" si="16"/>
        <v>-</v>
      </c>
      <c r="AX27" s="4" t="str">
        <f t="shared" si="17"/>
        <v>-</v>
      </c>
      <c r="AY27" s="4" t="str">
        <f t="shared" si="18"/>
        <v>-</v>
      </c>
      <c r="AZ27" s="4" t="str">
        <f t="shared" si="19"/>
        <v>-</v>
      </c>
      <c r="BA27" s="4" t="str">
        <f t="shared" si="20"/>
        <v>-</v>
      </c>
      <c r="BB27" s="4" t="str">
        <f t="shared" si="21"/>
        <v>-</v>
      </c>
      <c r="BC27" s="4" t="str">
        <f t="shared" si="22"/>
        <v>-</v>
      </c>
      <c r="BD27" s="4" t="str">
        <f t="shared" si="23"/>
        <v>-</v>
      </c>
      <c r="BE27" s="4" t="str">
        <f t="shared" si="24"/>
        <v>-</v>
      </c>
      <c r="BF27" s="4" t="str">
        <f t="shared" si="25"/>
        <v>-</v>
      </c>
      <c r="BG27" s="4" t="str">
        <f t="shared" si="26"/>
        <v>-</v>
      </c>
      <c r="BH27" s="4" t="str">
        <f t="shared" si="27"/>
        <v>-</v>
      </c>
      <c r="BI27" s="4">
        <v>0</v>
      </c>
      <c r="BJ27" s="4" t="s">
        <v>288</v>
      </c>
      <c r="BK27" s="4"/>
      <c r="BL27" s="4"/>
      <c r="BM27" s="4" t="s">
        <v>270</v>
      </c>
      <c r="BN27" s="4">
        <v>376</v>
      </c>
      <c r="BO27" s="4">
        <v>376</v>
      </c>
      <c r="BP27" s="4">
        <f t="shared" si="50"/>
        <v>376</v>
      </c>
      <c r="BQ27" s="19">
        <v>4</v>
      </c>
      <c r="BR27" s="19">
        <v>8</v>
      </c>
      <c r="BS27" s="16">
        <v>18</v>
      </c>
      <c r="BT27" t="s">
        <v>199</v>
      </c>
      <c r="BU27" t="s">
        <v>196</v>
      </c>
      <c r="BV27" t="str">
        <f t="shared" si="28"/>
        <v>-</v>
      </c>
      <c r="BW27">
        <v>376</v>
      </c>
      <c r="BX27">
        <v>376</v>
      </c>
      <c r="BY27">
        <f t="shared" si="29"/>
        <v>536.09375</v>
      </c>
      <c r="BZ27" t="s">
        <v>222</v>
      </c>
    </row>
    <row r="28" spans="1:78" x14ac:dyDescent="0.4">
      <c r="A28" s="3">
        <v>25</v>
      </c>
      <c r="B28" s="3">
        <v>25</v>
      </c>
      <c r="C28" s="4" t="s">
        <v>90</v>
      </c>
      <c r="D28" s="4" t="str">
        <f t="shared" si="36"/>
        <v>J42812</v>
      </c>
      <c r="E28" s="4" t="s">
        <v>90</v>
      </c>
      <c r="F28" s="4" t="str">
        <f t="shared" si="5"/>
        <v>J428125</v>
      </c>
      <c r="G28" s="4" t="s">
        <v>153</v>
      </c>
      <c r="H28" s="5">
        <v>4547345051602</v>
      </c>
      <c r="I28" s="5">
        <v>5</v>
      </c>
      <c r="J28" s="5"/>
      <c r="K28" s="5">
        <v>1</v>
      </c>
      <c r="L28" s="5">
        <v>1</v>
      </c>
      <c r="M28" s="4">
        <v>0</v>
      </c>
      <c r="N28" s="4">
        <v>479</v>
      </c>
      <c r="O28" s="4">
        <v>279</v>
      </c>
      <c r="P28" s="6">
        <f t="shared" si="37"/>
        <v>0.41753653444676408</v>
      </c>
      <c r="Q28" s="4" t="s">
        <v>196</v>
      </c>
      <c r="R28" s="4" t="s">
        <v>196</v>
      </c>
      <c r="S28" s="4" t="s">
        <v>196</v>
      </c>
      <c r="T28" s="4" t="s">
        <v>196</v>
      </c>
      <c r="U28" s="4" t="s">
        <v>196</v>
      </c>
      <c r="V28" s="4" t="s">
        <v>196</v>
      </c>
      <c r="W28" s="4" t="s">
        <v>196</v>
      </c>
      <c r="X28" s="4" t="s">
        <v>196</v>
      </c>
      <c r="Y28" s="4" t="s">
        <v>196</v>
      </c>
      <c r="Z28" s="4" t="s">
        <v>196</v>
      </c>
      <c r="AA28" s="4" t="s">
        <v>196</v>
      </c>
      <c r="AB28" s="4" t="s">
        <v>196</v>
      </c>
      <c r="AC28" s="4">
        <v>0</v>
      </c>
      <c r="AD28" s="4">
        <f t="shared" si="38"/>
        <v>0</v>
      </c>
      <c r="AE28" s="4">
        <v>399</v>
      </c>
      <c r="AF28" s="4">
        <f t="shared" si="39"/>
        <v>399</v>
      </c>
      <c r="AG28" s="4"/>
      <c r="AH28" s="21">
        <f t="shared" si="40"/>
        <v>685</v>
      </c>
      <c r="AI28" s="6">
        <f t="shared" si="41"/>
        <v>0.41751824817518246</v>
      </c>
      <c r="AJ28" s="4">
        <v>0.75</v>
      </c>
      <c r="AK28" s="4">
        <f t="shared" si="42"/>
        <v>466</v>
      </c>
      <c r="AL28" s="4">
        <f t="shared" si="43"/>
        <v>666.43010752688178</v>
      </c>
      <c r="AM28" s="6">
        <f t="shared" si="44"/>
        <v>0.40128755364806867</v>
      </c>
      <c r="AN28" s="7">
        <v>660</v>
      </c>
      <c r="AO28" s="6">
        <f t="shared" si="45"/>
        <v>0.3954545454545455</v>
      </c>
      <c r="AP28" s="4">
        <f t="shared" si="46"/>
        <v>261</v>
      </c>
      <c r="AQ28" s="28"/>
      <c r="AR28" s="6"/>
      <c r="AS28" s="6"/>
      <c r="AT28" s="6" t="str">
        <f t="shared" si="47"/>
        <v>-</v>
      </c>
      <c r="AU28" s="6">
        <f t="shared" si="48"/>
        <v>1.3778705636743216</v>
      </c>
      <c r="AV28" s="6">
        <f t="shared" si="49"/>
        <v>1.4301075268817205</v>
      </c>
      <c r="AW28" s="4" t="str">
        <f t="shared" si="16"/>
        <v>-</v>
      </c>
      <c r="AX28" s="4" t="str">
        <f t="shared" si="17"/>
        <v>-</v>
      </c>
      <c r="AY28" s="4" t="str">
        <f t="shared" si="18"/>
        <v>-</v>
      </c>
      <c r="AZ28" s="4" t="str">
        <f t="shared" si="19"/>
        <v>-</v>
      </c>
      <c r="BA28" s="4" t="str">
        <f t="shared" si="20"/>
        <v>-</v>
      </c>
      <c r="BB28" s="4" t="str">
        <f t="shared" si="21"/>
        <v>-</v>
      </c>
      <c r="BC28" s="4" t="str">
        <f t="shared" si="22"/>
        <v>-</v>
      </c>
      <c r="BD28" s="4" t="str">
        <f t="shared" si="23"/>
        <v>-</v>
      </c>
      <c r="BE28" s="4" t="str">
        <f t="shared" si="24"/>
        <v>-</v>
      </c>
      <c r="BF28" s="4" t="str">
        <f t="shared" si="25"/>
        <v>-</v>
      </c>
      <c r="BG28" s="4" t="str">
        <f t="shared" si="26"/>
        <v>-</v>
      </c>
      <c r="BH28" s="4" t="str">
        <f t="shared" si="27"/>
        <v>-</v>
      </c>
      <c r="BI28" s="4">
        <v>0</v>
      </c>
      <c r="BJ28" s="4" t="s">
        <v>289</v>
      </c>
      <c r="BK28" s="4"/>
      <c r="BL28" s="4"/>
      <c r="BM28" s="4" t="s">
        <v>270</v>
      </c>
      <c r="BN28" s="4">
        <v>466</v>
      </c>
      <c r="BO28" s="4">
        <v>466</v>
      </c>
      <c r="BP28" s="4">
        <f t="shared" si="50"/>
        <v>466</v>
      </c>
      <c r="BQ28" s="19">
        <v>4</v>
      </c>
      <c r="BR28" s="19">
        <v>1</v>
      </c>
      <c r="BS28" s="16">
        <v>18</v>
      </c>
      <c r="BT28" t="s">
        <v>199</v>
      </c>
      <c r="BU28" t="s">
        <v>196</v>
      </c>
      <c r="BV28" t="str">
        <f t="shared" si="28"/>
        <v>-</v>
      </c>
      <c r="BW28">
        <v>466</v>
      </c>
      <c r="BX28">
        <v>466</v>
      </c>
      <c r="BY28">
        <f t="shared" si="29"/>
        <v>666.43010752688178</v>
      </c>
      <c r="BZ28" t="s">
        <v>223</v>
      </c>
    </row>
    <row r="29" spans="1:78" x14ac:dyDescent="0.4">
      <c r="A29" s="3">
        <v>26</v>
      </c>
      <c r="B29" s="3">
        <v>26</v>
      </c>
      <c r="C29" s="4" t="s">
        <v>91</v>
      </c>
      <c r="D29" s="4" t="str">
        <f t="shared" si="36"/>
        <v>J42813</v>
      </c>
      <c r="E29" s="4" t="s">
        <v>91</v>
      </c>
      <c r="F29" s="4" t="str">
        <f t="shared" si="5"/>
        <v>J428135</v>
      </c>
      <c r="G29" s="4" t="s">
        <v>154</v>
      </c>
      <c r="H29" s="5">
        <v>4547345051619</v>
      </c>
      <c r="I29" s="5">
        <v>5</v>
      </c>
      <c r="J29" s="5"/>
      <c r="K29" s="5">
        <v>1</v>
      </c>
      <c r="L29" s="5">
        <v>1</v>
      </c>
      <c r="M29" s="4">
        <v>0</v>
      </c>
      <c r="N29" s="4">
        <v>581</v>
      </c>
      <c r="O29" s="4">
        <v>370</v>
      </c>
      <c r="P29" s="6">
        <f t="shared" si="37"/>
        <v>0.36316695352839934</v>
      </c>
      <c r="Q29" s="4" t="s">
        <v>196</v>
      </c>
      <c r="R29" s="4" t="s">
        <v>196</v>
      </c>
      <c r="S29" s="4" t="s">
        <v>196</v>
      </c>
      <c r="T29" s="4" t="s">
        <v>196</v>
      </c>
      <c r="U29" s="4" t="s">
        <v>196</v>
      </c>
      <c r="V29" s="4" t="s">
        <v>196</v>
      </c>
      <c r="W29" s="4" t="s">
        <v>196</v>
      </c>
      <c r="X29" s="4" t="s">
        <v>196</v>
      </c>
      <c r="Y29" s="4" t="s">
        <v>196</v>
      </c>
      <c r="Z29" s="4" t="s">
        <v>196</v>
      </c>
      <c r="AA29" s="4" t="s">
        <v>196</v>
      </c>
      <c r="AB29" s="4" t="s">
        <v>196</v>
      </c>
      <c r="AC29" s="4">
        <v>0</v>
      </c>
      <c r="AD29" s="4">
        <f t="shared" si="38"/>
        <v>0</v>
      </c>
      <c r="AE29" s="4">
        <v>531</v>
      </c>
      <c r="AF29" s="4">
        <f t="shared" si="39"/>
        <v>531</v>
      </c>
      <c r="AG29" s="4"/>
      <c r="AH29" s="21">
        <f t="shared" si="40"/>
        <v>834</v>
      </c>
      <c r="AI29" s="6">
        <f t="shared" si="41"/>
        <v>0.36330935251798557</v>
      </c>
      <c r="AJ29" s="4">
        <v>3.5000000000000004</v>
      </c>
      <c r="AK29" s="4">
        <f t="shared" si="42"/>
        <v>568</v>
      </c>
      <c r="AL29" s="4">
        <f t="shared" si="43"/>
        <v>815.15675675675675</v>
      </c>
      <c r="AM29" s="6">
        <f t="shared" si="44"/>
        <v>0.34859154929577463</v>
      </c>
      <c r="AN29" s="7">
        <v>800</v>
      </c>
      <c r="AO29" s="6">
        <f t="shared" si="45"/>
        <v>0.33625000000000005</v>
      </c>
      <c r="AP29" s="4">
        <f t="shared" si="46"/>
        <v>269</v>
      </c>
      <c r="AQ29" s="28"/>
      <c r="AR29" s="6"/>
      <c r="AS29" s="6"/>
      <c r="AT29" s="6" t="str">
        <f t="shared" si="47"/>
        <v>-</v>
      </c>
      <c r="AU29" s="6">
        <f t="shared" si="48"/>
        <v>1.3769363166953528</v>
      </c>
      <c r="AV29" s="6">
        <f t="shared" si="49"/>
        <v>1.4351351351351351</v>
      </c>
      <c r="AW29" s="4" t="str">
        <f t="shared" si="16"/>
        <v>-</v>
      </c>
      <c r="AX29" s="4" t="str">
        <f t="shared" si="17"/>
        <v>-</v>
      </c>
      <c r="AY29" s="4" t="str">
        <f t="shared" si="18"/>
        <v>-</v>
      </c>
      <c r="AZ29" s="4" t="str">
        <f t="shared" si="19"/>
        <v>-</v>
      </c>
      <c r="BA29" s="4" t="str">
        <f t="shared" si="20"/>
        <v>-</v>
      </c>
      <c r="BB29" s="4" t="str">
        <f t="shared" si="21"/>
        <v>-</v>
      </c>
      <c r="BC29" s="4" t="str">
        <f t="shared" si="22"/>
        <v>-</v>
      </c>
      <c r="BD29" s="4" t="str">
        <f t="shared" si="23"/>
        <v>-</v>
      </c>
      <c r="BE29" s="4" t="str">
        <f t="shared" si="24"/>
        <v>-</v>
      </c>
      <c r="BF29" s="4" t="str">
        <f t="shared" si="25"/>
        <v>-</v>
      </c>
      <c r="BG29" s="4" t="str">
        <f t="shared" si="26"/>
        <v>-</v>
      </c>
      <c r="BH29" s="4" t="str">
        <f t="shared" si="27"/>
        <v>-</v>
      </c>
      <c r="BI29" s="4">
        <v>0</v>
      </c>
      <c r="BJ29" s="4" t="s">
        <v>290</v>
      </c>
      <c r="BK29" s="4"/>
      <c r="BL29" s="4"/>
      <c r="BM29" s="4" t="s">
        <v>270</v>
      </c>
      <c r="BN29" s="4">
        <v>568</v>
      </c>
      <c r="BO29" s="4">
        <v>568</v>
      </c>
      <c r="BP29" s="4">
        <f t="shared" si="50"/>
        <v>568</v>
      </c>
      <c r="BQ29" s="19">
        <v>4</v>
      </c>
      <c r="BR29" s="19">
        <v>1</v>
      </c>
      <c r="BS29" s="16">
        <v>18</v>
      </c>
      <c r="BT29" t="s">
        <v>199</v>
      </c>
      <c r="BU29" t="s">
        <v>196</v>
      </c>
      <c r="BV29" t="str">
        <f t="shared" si="28"/>
        <v>-</v>
      </c>
      <c r="BW29">
        <v>564</v>
      </c>
      <c r="BX29">
        <v>564</v>
      </c>
      <c r="BY29">
        <f t="shared" si="29"/>
        <v>809.41621621621618</v>
      </c>
      <c r="BZ29" t="s">
        <v>224</v>
      </c>
    </row>
    <row r="30" spans="1:78" x14ac:dyDescent="0.4">
      <c r="A30" s="3">
        <v>27</v>
      </c>
      <c r="B30" s="3">
        <v>27</v>
      </c>
      <c r="C30" s="4" t="s">
        <v>92</v>
      </c>
      <c r="D30" s="4" t="str">
        <f t="shared" si="36"/>
        <v>J42814</v>
      </c>
      <c r="E30" s="4" t="s">
        <v>92</v>
      </c>
      <c r="F30" s="4" t="str">
        <f t="shared" si="5"/>
        <v>J428145</v>
      </c>
      <c r="G30" s="4" t="s">
        <v>155</v>
      </c>
      <c r="H30" s="5">
        <v>4547345051626</v>
      </c>
      <c r="I30" s="5">
        <v>5</v>
      </c>
      <c r="J30" s="5"/>
      <c r="K30" s="5">
        <v>1</v>
      </c>
      <c r="L30" s="5">
        <v>1</v>
      </c>
      <c r="M30" s="4">
        <v>0</v>
      </c>
      <c r="N30" s="4">
        <v>604</v>
      </c>
      <c r="O30" s="4">
        <v>380</v>
      </c>
      <c r="P30" s="6">
        <f t="shared" si="37"/>
        <v>0.37086092715231789</v>
      </c>
      <c r="Q30" s="4" t="s">
        <v>196</v>
      </c>
      <c r="R30" s="4" t="s">
        <v>196</v>
      </c>
      <c r="S30" s="4" t="s">
        <v>196</v>
      </c>
      <c r="T30" s="4" t="s">
        <v>196</v>
      </c>
      <c r="U30" s="4" t="s">
        <v>196</v>
      </c>
      <c r="V30" s="4" t="s">
        <v>196</v>
      </c>
      <c r="W30" s="4" t="s">
        <v>196</v>
      </c>
      <c r="X30" s="4" t="s">
        <v>196</v>
      </c>
      <c r="Y30" s="4" t="s">
        <v>196</v>
      </c>
      <c r="Z30" s="4" t="s">
        <v>196</v>
      </c>
      <c r="AA30" s="4" t="s">
        <v>196</v>
      </c>
      <c r="AB30" s="4" t="s">
        <v>196</v>
      </c>
      <c r="AC30" s="4">
        <v>0</v>
      </c>
      <c r="AD30" s="4">
        <f t="shared" si="38"/>
        <v>0</v>
      </c>
      <c r="AE30" s="4">
        <v>543</v>
      </c>
      <c r="AF30" s="4">
        <f t="shared" si="39"/>
        <v>543</v>
      </c>
      <c r="AG30" s="4"/>
      <c r="AH30" s="21">
        <f t="shared" si="40"/>
        <v>863</v>
      </c>
      <c r="AI30" s="6">
        <f t="shared" si="41"/>
        <v>0.3707995365005794</v>
      </c>
      <c r="AJ30" s="4">
        <v>0.5</v>
      </c>
      <c r="AK30" s="4">
        <f t="shared" si="42"/>
        <v>590</v>
      </c>
      <c r="AL30" s="4">
        <f t="shared" si="43"/>
        <v>843.07894736842104</v>
      </c>
      <c r="AM30" s="6">
        <f t="shared" si="44"/>
        <v>0.35593220338983045</v>
      </c>
      <c r="AN30" s="7">
        <v>840</v>
      </c>
      <c r="AO30" s="6">
        <f t="shared" si="45"/>
        <v>0.35357142857142854</v>
      </c>
      <c r="AP30" s="4">
        <f t="shared" si="46"/>
        <v>297</v>
      </c>
      <c r="AQ30" s="28"/>
      <c r="AR30" s="6"/>
      <c r="AS30" s="6"/>
      <c r="AT30" s="6" t="str">
        <f t="shared" si="47"/>
        <v>-</v>
      </c>
      <c r="AU30" s="6">
        <f t="shared" si="48"/>
        <v>1.3907284768211921</v>
      </c>
      <c r="AV30" s="6">
        <f t="shared" si="49"/>
        <v>1.4289473684210525</v>
      </c>
      <c r="AW30" s="4" t="str">
        <f t="shared" si="16"/>
        <v>-</v>
      </c>
      <c r="AX30" s="4" t="str">
        <f t="shared" si="17"/>
        <v>-</v>
      </c>
      <c r="AY30" s="4" t="str">
        <f t="shared" si="18"/>
        <v>-</v>
      </c>
      <c r="AZ30" s="4" t="str">
        <f t="shared" si="19"/>
        <v>-</v>
      </c>
      <c r="BA30" s="4" t="str">
        <f t="shared" si="20"/>
        <v>-</v>
      </c>
      <c r="BB30" s="4" t="str">
        <f t="shared" si="21"/>
        <v>-</v>
      </c>
      <c r="BC30" s="4" t="str">
        <f t="shared" si="22"/>
        <v>-</v>
      </c>
      <c r="BD30" s="4" t="str">
        <f t="shared" si="23"/>
        <v>-</v>
      </c>
      <c r="BE30" s="4" t="str">
        <f t="shared" si="24"/>
        <v>-</v>
      </c>
      <c r="BF30" s="4" t="str">
        <f t="shared" si="25"/>
        <v>-</v>
      </c>
      <c r="BG30" s="4" t="str">
        <f t="shared" si="26"/>
        <v>-</v>
      </c>
      <c r="BH30" s="4" t="str">
        <f t="shared" si="27"/>
        <v>-</v>
      </c>
      <c r="BI30" s="4">
        <v>0</v>
      </c>
      <c r="BJ30" s="4" t="s">
        <v>291</v>
      </c>
      <c r="BK30" s="4"/>
      <c r="BL30" s="4"/>
      <c r="BM30" s="4" t="s">
        <v>270</v>
      </c>
      <c r="BN30" s="4">
        <v>590</v>
      </c>
      <c r="BO30" s="4">
        <v>590</v>
      </c>
      <c r="BP30" s="4">
        <f t="shared" si="50"/>
        <v>590</v>
      </c>
      <c r="BQ30" s="19">
        <v>4</v>
      </c>
      <c r="BR30" s="19">
        <v>1</v>
      </c>
      <c r="BS30" s="16">
        <v>18</v>
      </c>
      <c r="BT30" t="s">
        <v>199</v>
      </c>
      <c r="BU30" t="s">
        <v>196</v>
      </c>
      <c r="BV30" t="str">
        <f t="shared" si="28"/>
        <v>-</v>
      </c>
      <c r="BW30">
        <v>589</v>
      </c>
      <c r="BX30">
        <v>589</v>
      </c>
      <c r="BY30">
        <f t="shared" si="29"/>
        <v>841.65</v>
      </c>
      <c r="BZ30" t="s">
        <v>225</v>
      </c>
    </row>
    <row r="31" spans="1:78" x14ac:dyDescent="0.4">
      <c r="A31" s="3">
        <v>28</v>
      </c>
      <c r="B31" s="3">
        <v>28</v>
      </c>
      <c r="C31" s="4" t="s">
        <v>93</v>
      </c>
      <c r="D31" s="4" t="str">
        <f t="shared" si="36"/>
        <v>J42815</v>
      </c>
      <c r="E31" s="4" t="s">
        <v>93</v>
      </c>
      <c r="F31" s="4" t="str">
        <f t="shared" si="5"/>
        <v>J428155</v>
      </c>
      <c r="G31" s="4" t="s">
        <v>156</v>
      </c>
      <c r="H31" s="5">
        <v>4547345051633</v>
      </c>
      <c r="I31" s="5">
        <v>5</v>
      </c>
      <c r="J31" s="5"/>
      <c r="K31" s="5">
        <v>1</v>
      </c>
      <c r="L31" s="5">
        <v>1</v>
      </c>
      <c r="M31" s="4">
        <v>0</v>
      </c>
      <c r="N31" s="4">
        <v>720</v>
      </c>
      <c r="O31" s="4">
        <v>445</v>
      </c>
      <c r="P31" s="6">
        <f t="shared" si="37"/>
        <v>0.38194444444444442</v>
      </c>
      <c r="Q31" s="4" t="s">
        <v>196</v>
      </c>
      <c r="R31" s="4" t="s">
        <v>196</v>
      </c>
      <c r="S31" s="4" t="s">
        <v>196</v>
      </c>
      <c r="T31" s="4" t="s">
        <v>196</v>
      </c>
      <c r="U31" s="4" t="s">
        <v>196</v>
      </c>
      <c r="V31" s="4" t="s">
        <v>196</v>
      </c>
      <c r="W31" s="4" t="s">
        <v>196</v>
      </c>
      <c r="X31" s="4" t="s">
        <v>196</v>
      </c>
      <c r="Y31" s="4" t="s">
        <v>196</v>
      </c>
      <c r="Z31" s="4" t="s">
        <v>196</v>
      </c>
      <c r="AA31" s="4" t="s">
        <v>196</v>
      </c>
      <c r="AB31" s="4" t="s">
        <v>196</v>
      </c>
      <c r="AC31" s="4">
        <v>0</v>
      </c>
      <c r="AD31" s="4">
        <f t="shared" si="38"/>
        <v>0</v>
      </c>
      <c r="AE31" s="4">
        <v>635</v>
      </c>
      <c r="AF31" s="4">
        <f t="shared" si="39"/>
        <v>635</v>
      </c>
      <c r="AG31" s="4"/>
      <c r="AH31" s="21">
        <f t="shared" si="40"/>
        <v>1027</v>
      </c>
      <c r="AI31" s="6">
        <f t="shared" si="41"/>
        <v>0.38169425511197663</v>
      </c>
      <c r="AJ31" s="4">
        <v>2</v>
      </c>
      <c r="AK31" s="4">
        <f t="shared" si="42"/>
        <v>702</v>
      </c>
      <c r="AL31" s="4">
        <f t="shared" si="43"/>
        <v>1001.7303370786516</v>
      </c>
      <c r="AM31" s="6">
        <f t="shared" si="44"/>
        <v>0.36609686609686598</v>
      </c>
      <c r="AN31" s="7">
        <v>1000</v>
      </c>
      <c r="AO31" s="6">
        <f t="shared" si="45"/>
        <v>0.36499999999999999</v>
      </c>
      <c r="AP31" s="4">
        <f t="shared" si="46"/>
        <v>365</v>
      </c>
      <c r="AQ31" s="28"/>
      <c r="AR31" s="6"/>
      <c r="AS31" s="6"/>
      <c r="AT31" s="6" t="str">
        <f t="shared" si="47"/>
        <v>-</v>
      </c>
      <c r="AU31" s="6">
        <f t="shared" si="48"/>
        <v>1.3888888888888888</v>
      </c>
      <c r="AV31" s="6">
        <f t="shared" si="49"/>
        <v>1.4269662921348314</v>
      </c>
      <c r="AW31" s="4" t="str">
        <f t="shared" si="16"/>
        <v>-</v>
      </c>
      <c r="AX31" s="4" t="str">
        <f t="shared" si="17"/>
        <v>-</v>
      </c>
      <c r="AY31" s="4" t="str">
        <f t="shared" si="18"/>
        <v>-</v>
      </c>
      <c r="AZ31" s="4" t="str">
        <f t="shared" si="19"/>
        <v>-</v>
      </c>
      <c r="BA31" s="4" t="str">
        <f t="shared" si="20"/>
        <v>-</v>
      </c>
      <c r="BB31" s="4" t="str">
        <f t="shared" si="21"/>
        <v>-</v>
      </c>
      <c r="BC31" s="4" t="str">
        <f t="shared" si="22"/>
        <v>-</v>
      </c>
      <c r="BD31" s="4" t="str">
        <f t="shared" si="23"/>
        <v>-</v>
      </c>
      <c r="BE31" s="4" t="str">
        <f t="shared" si="24"/>
        <v>-</v>
      </c>
      <c r="BF31" s="4" t="str">
        <f t="shared" si="25"/>
        <v>-</v>
      </c>
      <c r="BG31" s="4" t="str">
        <f t="shared" si="26"/>
        <v>-</v>
      </c>
      <c r="BH31" s="4" t="str">
        <f t="shared" si="27"/>
        <v>-</v>
      </c>
      <c r="BI31" s="4">
        <v>0</v>
      </c>
      <c r="BJ31" s="4" t="s">
        <v>292</v>
      </c>
      <c r="BK31" s="4"/>
      <c r="BL31" s="4"/>
      <c r="BM31" s="4" t="s">
        <v>270</v>
      </c>
      <c r="BN31" s="4">
        <v>702</v>
      </c>
      <c r="BO31" s="4">
        <v>702</v>
      </c>
      <c r="BP31" s="4">
        <f t="shared" si="50"/>
        <v>702</v>
      </c>
      <c r="BQ31" s="19">
        <v>4</v>
      </c>
      <c r="BR31" s="19">
        <v>1</v>
      </c>
      <c r="BS31" s="16">
        <v>18</v>
      </c>
      <c r="BT31" t="s">
        <v>199</v>
      </c>
      <c r="BU31" t="s">
        <v>196</v>
      </c>
      <c r="BV31" t="str">
        <f t="shared" si="28"/>
        <v>-</v>
      </c>
      <c r="BW31">
        <v>701</v>
      </c>
      <c r="BX31">
        <v>701</v>
      </c>
      <c r="BY31">
        <f t="shared" si="29"/>
        <v>1000.3033707865168</v>
      </c>
      <c r="BZ31" t="s">
        <v>226</v>
      </c>
    </row>
    <row r="32" spans="1:78" x14ac:dyDescent="0.4">
      <c r="A32" s="3">
        <v>29</v>
      </c>
      <c r="B32" s="3">
        <v>29</v>
      </c>
      <c r="C32" s="4" t="s">
        <v>94</v>
      </c>
      <c r="D32" s="4" t="str">
        <f t="shared" si="36"/>
        <v>J42816</v>
      </c>
      <c r="E32" s="4" t="s">
        <v>94</v>
      </c>
      <c r="F32" s="4" t="str">
        <f t="shared" si="5"/>
        <v>J428165</v>
      </c>
      <c r="G32" s="4" t="s">
        <v>157</v>
      </c>
      <c r="H32" s="5">
        <v>4547345051640</v>
      </c>
      <c r="I32" s="5">
        <v>5</v>
      </c>
      <c r="J32" s="5"/>
      <c r="K32" s="5">
        <v>1</v>
      </c>
      <c r="L32" s="5">
        <v>1</v>
      </c>
      <c r="M32" s="4">
        <v>0</v>
      </c>
      <c r="N32" s="4">
        <v>811</v>
      </c>
      <c r="O32" s="4">
        <v>540</v>
      </c>
      <c r="P32" s="6">
        <f t="shared" si="37"/>
        <v>0.33415536374845867</v>
      </c>
      <c r="Q32" s="4" t="s">
        <v>196</v>
      </c>
      <c r="R32" s="4" t="s">
        <v>196</v>
      </c>
      <c r="S32" s="4" t="s">
        <v>196</v>
      </c>
      <c r="T32" s="4" t="s">
        <v>196</v>
      </c>
      <c r="U32" s="4" t="s">
        <v>196</v>
      </c>
      <c r="V32" s="4" t="s">
        <v>196</v>
      </c>
      <c r="W32" s="4" t="s">
        <v>196</v>
      </c>
      <c r="X32" s="4" t="s">
        <v>196</v>
      </c>
      <c r="Y32" s="4" t="s">
        <v>196</v>
      </c>
      <c r="Z32" s="4" t="s">
        <v>196</v>
      </c>
      <c r="AA32" s="4" t="s">
        <v>196</v>
      </c>
      <c r="AB32" s="4" t="s">
        <v>196</v>
      </c>
      <c r="AC32" s="4">
        <v>0</v>
      </c>
      <c r="AD32" s="4">
        <f t="shared" si="38"/>
        <v>0</v>
      </c>
      <c r="AE32" s="4">
        <v>776</v>
      </c>
      <c r="AF32" s="4">
        <f t="shared" si="39"/>
        <v>776</v>
      </c>
      <c r="AG32" s="4"/>
      <c r="AH32" s="21">
        <f t="shared" si="40"/>
        <v>1165</v>
      </c>
      <c r="AI32" s="6">
        <f t="shared" si="41"/>
        <v>0.33390557939914167</v>
      </c>
      <c r="AJ32" s="4">
        <v>0.5</v>
      </c>
      <c r="AK32" s="4">
        <f t="shared" si="42"/>
        <v>1145</v>
      </c>
      <c r="AL32" s="4">
        <f t="shared" si="43"/>
        <v>1645.4074074074074</v>
      </c>
      <c r="AM32" s="6">
        <f t="shared" si="44"/>
        <v>0.52838427947598254</v>
      </c>
      <c r="AN32" s="7">
        <v>1140</v>
      </c>
      <c r="AO32" s="6">
        <f t="shared" si="45"/>
        <v>0.31929824561403508</v>
      </c>
      <c r="AP32" s="4">
        <f t="shared" si="46"/>
        <v>364</v>
      </c>
      <c r="AQ32" s="28"/>
      <c r="AR32" s="6"/>
      <c r="AS32" s="6"/>
      <c r="AT32" s="6" t="str">
        <f t="shared" si="47"/>
        <v>-</v>
      </c>
      <c r="AU32" s="6">
        <f t="shared" si="48"/>
        <v>1.4056720098643649</v>
      </c>
      <c r="AV32" s="6">
        <f t="shared" si="49"/>
        <v>1.4370370370370371</v>
      </c>
      <c r="AW32" s="4" t="str">
        <f t="shared" si="16"/>
        <v>-</v>
      </c>
      <c r="AX32" s="4" t="str">
        <f t="shared" si="17"/>
        <v>-</v>
      </c>
      <c r="AY32" s="4" t="str">
        <f t="shared" si="18"/>
        <v>-</v>
      </c>
      <c r="AZ32" s="4" t="str">
        <f t="shared" si="19"/>
        <v>-</v>
      </c>
      <c r="BA32" s="4" t="str">
        <f t="shared" si="20"/>
        <v>-</v>
      </c>
      <c r="BB32" s="4" t="str">
        <f t="shared" si="21"/>
        <v>-</v>
      </c>
      <c r="BC32" s="4" t="str">
        <f t="shared" si="22"/>
        <v>-</v>
      </c>
      <c r="BD32" s="4" t="str">
        <f t="shared" si="23"/>
        <v>-</v>
      </c>
      <c r="BE32" s="4" t="str">
        <f t="shared" si="24"/>
        <v>-</v>
      </c>
      <c r="BF32" s="4" t="str">
        <f t="shared" si="25"/>
        <v>-</v>
      </c>
      <c r="BG32" s="4" t="str">
        <f t="shared" si="26"/>
        <v>-</v>
      </c>
      <c r="BH32" s="4" t="str">
        <f t="shared" si="27"/>
        <v>-</v>
      </c>
      <c r="BI32" s="4">
        <v>0</v>
      </c>
      <c r="BJ32" s="4" t="s">
        <v>293</v>
      </c>
      <c r="BK32" s="4"/>
      <c r="BL32" s="4"/>
      <c r="BM32" s="4" t="s">
        <v>270</v>
      </c>
      <c r="BN32" s="4">
        <v>799</v>
      </c>
      <c r="BO32" s="4">
        <v>1145</v>
      </c>
      <c r="BP32" s="4">
        <f t="shared" si="50"/>
        <v>1145</v>
      </c>
      <c r="BQ32" s="19">
        <v>4</v>
      </c>
      <c r="BR32" s="19">
        <v>8</v>
      </c>
      <c r="BS32" s="16">
        <v>18</v>
      </c>
      <c r="BT32" t="s">
        <v>199</v>
      </c>
      <c r="BU32" t="s">
        <v>196</v>
      </c>
      <c r="BV32" t="str">
        <f t="shared" si="28"/>
        <v>-</v>
      </c>
      <c r="BW32">
        <v>799</v>
      </c>
      <c r="BX32">
        <v>799</v>
      </c>
      <c r="BY32">
        <f t="shared" si="29"/>
        <v>1148.1925925925927</v>
      </c>
      <c r="BZ32" t="s">
        <v>227</v>
      </c>
    </row>
    <row r="33" spans="1:78" x14ac:dyDescent="0.4">
      <c r="A33" s="3">
        <v>30</v>
      </c>
      <c r="B33" s="3">
        <v>30</v>
      </c>
      <c r="C33" s="4" t="s">
        <v>95</v>
      </c>
      <c r="D33" s="4" t="str">
        <f t="shared" si="36"/>
        <v>J42817</v>
      </c>
      <c r="E33" s="4" t="s">
        <v>95</v>
      </c>
      <c r="F33" s="4" t="str">
        <f t="shared" si="5"/>
        <v>J428175</v>
      </c>
      <c r="G33" s="4" t="s">
        <v>158</v>
      </c>
      <c r="H33" s="5">
        <v>4547345051657</v>
      </c>
      <c r="I33" s="5">
        <v>5</v>
      </c>
      <c r="J33" s="5"/>
      <c r="K33" s="5">
        <v>1</v>
      </c>
      <c r="L33" s="5">
        <v>1</v>
      </c>
      <c r="M33" s="4">
        <v>0</v>
      </c>
      <c r="N33" s="4">
        <v>1165</v>
      </c>
      <c r="O33" s="4">
        <v>767</v>
      </c>
      <c r="P33" s="6">
        <f t="shared" si="37"/>
        <v>0.34163090128755369</v>
      </c>
      <c r="Q33" s="4" t="s">
        <v>196</v>
      </c>
      <c r="R33" s="4" t="s">
        <v>196</v>
      </c>
      <c r="S33" s="4" t="s">
        <v>196</v>
      </c>
      <c r="T33" s="4" t="s">
        <v>196</v>
      </c>
      <c r="U33" s="4" t="s">
        <v>196</v>
      </c>
      <c r="V33" s="4" t="s">
        <v>196</v>
      </c>
      <c r="W33" s="4" t="s">
        <v>196</v>
      </c>
      <c r="X33" s="4" t="s">
        <v>196</v>
      </c>
      <c r="Y33" s="4" t="s">
        <v>196</v>
      </c>
      <c r="Z33" s="4" t="s">
        <v>196</v>
      </c>
      <c r="AA33" s="4" t="s">
        <v>196</v>
      </c>
      <c r="AB33" s="4" t="s">
        <v>196</v>
      </c>
      <c r="AC33" s="4">
        <v>0</v>
      </c>
      <c r="AD33" s="4">
        <f t="shared" si="38"/>
        <v>0</v>
      </c>
      <c r="AE33" s="4">
        <v>1098</v>
      </c>
      <c r="AF33" s="4">
        <f t="shared" si="39"/>
        <v>1098</v>
      </c>
      <c r="AG33" s="4"/>
      <c r="AH33" s="21">
        <f t="shared" si="40"/>
        <v>1668</v>
      </c>
      <c r="AI33" s="6">
        <f t="shared" si="41"/>
        <v>0.34172661870503596</v>
      </c>
      <c r="AJ33" s="4">
        <v>7.0000000000000009</v>
      </c>
      <c r="AK33" s="4">
        <f t="shared" si="42"/>
        <v>1133</v>
      </c>
      <c r="AL33" s="4">
        <f t="shared" si="43"/>
        <v>1621.9478487614081</v>
      </c>
      <c r="AM33" s="6">
        <f t="shared" si="44"/>
        <v>0.32303618711385707</v>
      </c>
      <c r="AN33" s="7">
        <v>1600</v>
      </c>
      <c r="AO33" s="6">
        <f t="shared" si="45"/>
        <v>0.31374999999999997</v>
      </c>
      <c r="AP33" s="4">
        <f t="shared" si="46"/>
        <v>502</v>
      </c>
      <c r="AQ33" s="28"/>
      <c r="AR33" s="6"/>
      <c r="AS33" s="6"/>
      <c r="AT33" s="6" t="str">
        <f t="shared" si="47"/>
        <v>-</v>
      </c>
      <c r="AU33" s="6">
        <f t="shared" si="48"/>
        <v>1.3733905579399142</v>
      </c>
      <c r="AV33" s="6">
        <f t="shared" si="49"/>
        <v>1.4315514993481095</v>
      </c>
      <c r="AW33" s="4" t="str">
        <f t="shared" si="16"/>
        <v>-</v>
      </c>
      <c r="AX33" s="4" t="str">
        <f t="shared" si="17"/>
        <v>-</v>
      </c>
      <c r="AY33" s="4" t="str">
        <f t="shared" si="18"/>
        <v>-</v>
      </c>
      <c r="AZ33" s="4" t="str">
        <f t="shared" si="19"/>
        <v>-</v>
      </c>
      <c r="BA33" s="4" t="str">
        <f t="shared" si="20"/>
        <v>-</v>
      </c>
      <c r="BB33" s="4" t="str">
        <f t="shared" si="21"/>
        <v>-</v>
      </c>
      <c r="BC33" s="4" t="str">
        <f t="shared" si="22"/>
        <v>-</v>
      </c>
      <c r="BD33" s="4" t="str">
        <f t="shared" si="23"/>
        <v>-</v>
      </c>
      <c r="BE33" s="4" t="str">
        <f t="shared" si="24"/>
        <v>-</v>
      </c>
      <c r="BF33" s="4" t="str">
        <f t="shared" si="25"/>
        <v>-</v>
      </c>
      <c r="BG33" s="4" t="str">
        <f t="shared" si="26"/>
        <v>-</v>
      </c>
      <c r="BH33" s="4" t="str">
        <f t="shared" si="27"/>
        <v>-</v>
      </c>
      <c r="BI33" s="4">
        <v>0</v>
      </c>
      <c r="BJ33" s="4" t="s">
        <v>294</v>
      </c>
      <c r="BK33" s="4"/>
      <c r="BL33" s="4"/>
      <c r="BM33" s="4" t="s">
        <v>270</v>
      </c>
      <c r="BN33" s="4">
        <v>1133</v>
      </c>
      <c r="BO33" s="4">
        <v>1133</v>
      </c>
      <c r="BP33" s="4">
        <f t="shared" si="50"/>
        <v>1133</v>
      </c>
      <c r="BQ33" s="19">
        <v>4</v>
      </c>
      <c r="BR33" s="19">
        <v>1</v>
      </c>
      <c r="BS33" s="16">
        <v>18</v>
      </c>
      <c r="BT33" t="s">
        <v>199</v>
      </c>
      <c r="BU33" t="s">
        <v>196</v>
      </c>
      <c r="BV33" t="str">
        <f t="shared" si="28"/>
        <v>-</v>
      </c>
      <c r="BW33">
        <v>1083</v>
      </c>
      <c r="BX33">
        <v>1083</v>
      </c>
      <c r="BY33">
        <f t="shared" si="29"/>
        <v>1550.3702737940027</v>
      </c>
      <c r="BZ33" t="s">
        <v>228</v>
      </c>
    </row>
    <row r="34" spans="1:78" x14ac:dyDescent="0.4">
      <c r="A34" s="3">
        <v>31</v>
      </c>
      <c r="B34" s="3">
        <v>31</v>
      </c>
      <c r="C34" s="4">
        <v>168430</v>
      </c>
      <c r="D34" s="4" t="str">
        <f t="shared" si="36"/>
        <v>168430</v>
      </c>
      <c r="E34" s="4">
        <v>168430</v>
      </c>
      <c r="F34" s="4" t="str">
        <f t="shared" si="5"/>
        <v>1684305</v>
      </c>
      <c r="G34" s="4" t="s">
        <v>192</v>
      </c>
      <c r="H34" s="5">
        <v>4547345051664</v>
      </c>
      <c r="I34" s="5">
        <v>5</v>
      </c>
      <c r="J34" s="5"/>
      <c r="K34" s="5">
        <v>0</v>
      </c>
      <c r="L34" s="5">
        <v>1</v>
      </c>
      <c r="M34" s="4">
        <v>0</v>
      </c>
      <c r="N34" s="4">
        <v>1936</v>
      </c>
      <c r="O34" s="4">
        <v>1296</v>
      </c>
      <c r="P34" s="6">
        <f t="shared" si="37"/>
        <v>0.33057851239669422</v>
      </c>
      <c r="Q34" s="4" t="s">
        <v>196</v>
      </c>
      <c r="R34" s="4" t="s">
        <v>196</v>
      </c>
      <c r="S34" s="4" t="s">
        <v>196</v>
      </c>
      <c r="T34" s="4" t="s">
        <v>196</v>
      </c>
      <c r="U34" s="4" t="s">
        <v>196</v>
      </c>
      <c r="V34" s="4" t="s">
        <v>196</v>
      </c>
      <c r="W34" s="4" t="s">
        <v>196</v>
      </c>
      <c r="X34" s="4" t="s">
        <v>196</v>
      </c>
      <c r="Y34" s="4" t="s">
        <v>196</v>
      </c>
      <c r="Z34" s="4" t="s">
        <v>196</v>
      </c>
      <c r="AA34" s="4" t="s">
        <v>196</v>
      </c>
      <c r="AB34" s="4" t="s">
        <v>196</v>
      </c>
      <c r="AC34" s="4">
        <v>0</v>
      </c>
      <c r="AD34" s="4">
        <f t="shared" si="38"/>
        <v>0</v>
      </c>
      <c r="AE34" s="4">
        <v>1856</v>
      </c>
      <c r="AF34" s="4">
        <f t="shared" si="39"/>
        <v>1856</v>
      </c>
      <c r="AG34" s="4"/>
      <c r="AH34" s="21">
        <f t="shared" si="40"/>
        <v>2773</v>
      </c>
      <c r="AI34" s="6">
        <f t="shared" si="41"/>
        <v>0.33068878470970064</v>
      </c>
      <c r="AJ34" s="4">
        <v>4.25</v>
      </c>
      <c r="AK34" s="4">
        <f t="shared" si="42"/>
        <v>2694</v>
      </c>
      <c r="AL34" s="4">
        <f t="shared" si="43"/>
        <v>3858.0740740740739</v>
      </c>
      <c r="AM34" s="6">
        <f t="shared" si="44"/>
        <v>0.51893095768374164</v>
      </c>
      <c r="AN34" s="7">
        <v>2690</v>
      </c>
      <c r="AO34" s="6">
        <f t="shared" si="45"/>
        <v>0.31003717472118963</v>
      </c>
      <c r="AP34" s="4">
        <f t="shared" si="46"/>
        <v>834</v>
      </c>
      <c r="AQ34" s="28"/>
      <c r="AR34" s="6"/>
      <c r="AS34" s="6"/>
      <c r="AT34" s="6" t="str">
        <f t="shared" si="47"/>
        <v>-</v>
      </c>
      <c r="AU34" s="6">
        <f t="shared" si="48"/>
        <v>1.3894628099173554</v>
      </c>
      <c r="AV34" s="6">
        <f t="shared" si="49"/>
        <v>1.4320987654320987</v>
      </c>
      <c r="AW34" s="4" t="str">
        <f t="shared" si="16"/>
        <v>-</v>
      </c>
      <c r="AX34" s="4" t="str">
        <f t="shared" si="17"/>
        <v>-</v>
      </c>
      <c r="AY34" s="4" t="str">
        <f t="shared" si="18"/>
        <v>-</v>
      </c>
      <c r="AZ34" s="4" t="str">
        <f t="shared" si="19"/>
        <v>-</v>
      </c>
      <c r="BA34" s="4" t="str">
        <f t="shared" si="20"/>
        <v>-</v>
      </c>
      <c r="BB34" s="4" t="str">
        <f t="shared" si="21"/>
        <v>-</v>
      </c>
      <c r="BC34" s="4" t="str">
        <f t="shared" si="22"/>
        <v>-</v>
      </c>
      <c r="BD34" s="4" t="str">
        <f t="shared" si="23"/>
        <v>-</v>
      </c>
      <c r="BE34" s="4" t="str">
        <f t="shared" si="24"/>
        <v>-</v>
      </c>
      <c r="BF34" s="4" t="str">
        <f t="shared" si="25"/>
        <v>-</v>
      </c>
      <c r="BG34" s="4" t="str">
        <f t="shared" si="26"/>
        <v>-</v>
      </c>
      <c r="BH34" s="4" t="str">
        <f t="shared" si="27"/>
        <v>-</v>
      </c>
      <c r="BI34" s="4">
        <v>0</v>
      </c>
      <c r="BJ34" s="4" t="s">
        <v>295</v>
      </c>
      <c r="BK34" s="4"/>
      <c r="BL34" s="4"/>
      <c r="BM34" s="4" t="s">
        <v>270</v>
      </c>
      <c r="BN34" s="4">
        <v>1885</v>
      </c>
      <c r="BO34" s="4">
        <v>2694</v>
      </c>
      <c r="BP34" s="4">
        <f t="shared" si="50"/>
        <v>2694</v>
      </c>
      <c r="BQ34" s="19">
        <v>4</v>
      </c>
      <c r="BR34" s="19">
        <v>1</v>
      </c>
      <c r="BS34" s="16">
        <v>18</v>
      </c>
      <c r="BT34" t="s">
        <v>199</v>
      </c>
      <c r="BU34" t="s">
        <v>196</v>
      </c>
      <c r="BV34" t="str">
        <f t="shared" si="28"/>
        <v>-</v>
      </c>
      <c r="BW34">
        <v>1796</v>
      </c>
      <c r="BX34">
        <v>1796</v>
      </c>
      <c r="BY34">
        <f t="shared" si="29"/>
        <v>2572.0493827160494</v>
      </c>
      <c r="BZ34" t="s">
        <v>229</v>
      </c>
    </row>
    <row r="35" spans="1:78" x14ac:dyDescent="0.4">
      <c r="A35" s="3">
        <v>32</v>
      </c>
      <c r="B35" s="3">
        <v>32</v>
      </c>
      <c r="C35" s="4" t="s">
        <v>96</v>
      </c>
      <c r="D35" s="4" t="str">
        <f t="shared" si="36"/>
        <v>J42824</v>
      </c>
      <c r="E35" s="4" t="s">
        <v>96</v>
      </c>
      <c r="F35" s="4" t="str">
        <f t="shared" si="5"/>
        <v>J428245</v>
      </c>
      <c r="G35" s="4" t="s">
        <v>159</v>
      </c>
      <c r="H35" s="5">
        <v>4547345037200</v>
      </c>
      <c r="I35" s="5">
        <v>5</v>
      </c>
      <c r="J35" s="5"/>
      <c r="K35" s="5">
        <v>1</v>
      </c>
      <c r="L35" s="5">
        <v>1</v>
      </c>
      <c r="M35" s="4">
        <v>0</v>
      </c>
      <c r="N35" s="4">
        <v>182</v>
      </c>
      <c r="O35" s="4">
        <v>122</v>
      </c>
      <c r="P35" s="6">
        <f t="shared" si="37"/>
        <v>0.32967032967032972</v>
      </c>
      <c r="Q35" s="4" t="s">
        <v>196</v>
      </c>
      <c r="R35" s="4" t="s">
        <v>196</v>
      </c>
      <c r="S35" s="4" t="s">
        <v>196</v>
      </c>
      <c r="T35" s="4" t="s">
        <v>196</v>
      </c>
      <c r="U35" s="4" t="s">
        <v>196</v>
      </c>
      <c r="V35" s="4" t="s">
        <v>196</v>
      </c>
      <c r="W35" s="4" t="s">
        <v>196</v>
      </c>
      <c r="X35" s="4" t="s">
        <v>196</v>
      </c>
      <c r="Y35" s="4" t="s">
        <v>196</v>
      </c>
      <c r="Z35" s="4" t="s">
        <v>196</v>
      </c>
      <c r="AA35" s="4" t="s">
        <v>196</v>
      </c>
      <c r="AB35" s="4" t="s">
        <v>196</v>
      </c>
      <c r="AC35" s="4">
        <v>0</v>
      </c>
      <c r="AD35" s="4">
        <f t="shared" si="38"/>
        <v>0</v>
      </c>
      <c r="AE35" s="4">
        <v>175</v>
      </c>
      <c r="AF35" s="4">
        <f t="shared" si="39"/>
        <v>175</v>
      </c>
      <c r="AG35" s="4"/>
      <c r="AH35" s="21">
        <f t="shared" si="40"/>
        <v>261</v>
      </c>
      <c r="AI35" s="6">
        <f t="shared" si="41"/>
        <v>0.32950191570881227</v>
      </c>
      <c r="AJ35" s="4">
        <v>0.75</v>
      </c>
      <c r="AK35" s="4">
        <f t="shared" si="42"/>
        <v>258.14</v>
      </c>
      <c r="AL35" s="4">
        <f t="shared" si="43"/>
        <v>370.28278688524586</v>
      </c>
      <c r="AM35" s="6">
        <f t="shared" si="44"/>
        <v>0.52738823894010989</v>
      </c>
      <c r="AN35" s="7">
        <v>255</v>
      </c>
      <c r="AO35" s="6">
        <f t="shared" si="45"/>
        <v>0.31372549019607843</v>
      </c>
      <c r="AP35" s="4">
        <f t="shared" si="46"/>
        <v>80</v>
      </c>
      <c r="AQ35" s="28"/>
      <c r="AR35" s="6"/>
      <c r="AS35" s="6"/>
      <c r="AT35" s="6" t="str">
        <f t="shared" si="47"/>
        <v>-</v>
      </c>
      <c r="AU35" s="6">
        <f t="shared" si="48"/>
        <v>1.401098901098901</v>
      </c>
      <c r="AV35" s="6">
        <f t="shared" si="49"/>
        <v>1.4344262295081966</v>
      </c>
      <c r="AW35" s="4" t="str">
        <f t="shared" si="16"/>
        <v>-</v>
      </c>
      <c r="AX35" s="4" t="str">
        <f t="shared" si="17"/>
        <v>-</v>
      </c>
      <c r="AY35" s="4" t="str">
        <f t="shared" si="18"/>
        <v>-</v>
      </c>
      <c r="AZ35" s="4" t="str">
        <f t="shared" si="19"/>
        <v>-</v>
      </c>
      <c r="BA35" s="4" t="str">
        <f t="shared" si="20"/>
        <v>-</v>
      </c>
      <c r="BB35" s="4" t="str">
        <f t="shared" si="21"/>
        <v>-</v>
      </c>
      <c r="BC35" s="4" t="str">
        <f t="shared" si="22"/>
        <v>-</v>
      </c>
      <c r="BD35" s="4" t="str">
        <f t="shared" si="23"/>
        <v>-</v>
      </c>
      <c r="BE35" s="4" t="str">
        <f t="shared" si="24"/>
        <v>-</v>
      </c>
      <c r="BF35" s="4" t="str">
        <f t="shared" si="25"/>
        <v>-</v>
      </c>
      <c r="BG35" s="4" t="str">
        <f t="shared" si="26"/>
        <v>-</v>
      </c>
      <c r="BH35" s="4" t="str">
        <f t="shared" si="27"/>
        <v>-</v>
      </c>
      <c r="BI35" s="4">
        <v>0</v>
      </c>
      <c r="BJ35" s="4" t="s">
        <v>296</v>
      </c>
      <c r="BK35" s="4">
        <v>1</v>
      </c>
      <c r="BL35" s="4">
        <v>50</v>
      </c>
      <c r="BM35" s="4" t="s">
        <v>297</v>
      </c>
      <c r="BN35" s="4">
        <v>9000</v>
      </c>
      <c r="BO35" s="4">
        <v>12907</v>
      </c>
      <c r="BP35" s="4">
        <f t="shared" si="50"/>
        <v>258.14</v>
      </c>
      <c r="BQ35" s="19">
        <v>4</v>
      </c>
      <c r="BR35" s="19">
        <v>8</v>
      </c>
      <c r="BS35" s="16">
        <v>18</v>
      </c>
      <c r="BT35" t="s">
        <v>199</v>
      </c>
      <c r="BU35" t="s">
        <v>196</v>
      </c>
      <c r="BV35" t="str">
        <f t="shared" si="28"/>
        <v>-</v>
      </c>
      <c r="BW35">
        <v>179</v>
      </c>
      <c r="BX35">
        <v>179</v>
      </c>
      <c r="BY35">
        <f t="shared" si="29"/>
        <v>256.76229508196718</v>
      </c>
      <c r="BZ35" t="s">
        <v>230</v>
      </c>
    </row>
    <row r="36" spans="1:78" x14ac:dyDescent="0.4">
      <c r="A36" s="3">
        <v>33</v>
      </c>
      <c r="B36" s="3">
        <v>33</v>
      </c>
      <c r="C36" s="4" t="s">
        <v>97</v>
      </c>
      <c r="D36" s="4" t="str">
        <f t="shared" si="36"/>
        <v>J42820</v>
      </c>
      <c r="E36" s="4" t="s">
        <v>97</v>
      </c>
      <c r="F36" s="4" t="str">
        <f t="shared" si="5"/>
        <v>J428205</v>
      </c>
      <c r="G36" s="4" t="s">
        <v>160</v>
      </c>
      <c r="H36" s="5">
        <v>4547345037217</v>
      </c>
      <c r="I36" s="5">
        <v>5</v>
      </c>
      <c r="J36" s="5"/>
      <c r="K36" s="5">
        <v>1</v>
      </c>
      <c r="L36" s="5">
        <v>1</v>
      </c>
      <c r="M36" s="4">
        <v>0</v>
      </c>
      <c r="N36" s="4">
        <v>226</v>
      </c>
      <c r="O36" s="4">
        <v>170</v>
      </c>
      <c r="P36" s="6">
        <f t="shared" si="37"/>
        <v>0.24778761061946908</v>
      </c>
      <c r="Q36" s="4" t="s">
        <v>196</v>
      </c>
      <c r="R36" s="4" t="s">
        <v>196</v>
      </c>
      <c r="S36" s="4" t="s">
        <v>196</v>
      </c>
      <c r="T36" s="4" t="s">
        <v>196</v>
      </c>
      <c r="U36" s="4" t="s">
        <v>196</v>
      </c>
      <c r="V36" s="4" t="s">
        <v>196</v>
      </c>
      <c r="W36" s="4" t="s">
        <v>196</v>
      </c>
      <c r="X36" s="4" t="s">
        <v>196</v>
      </c>
      <c r="Y36" s="4" t="s">
        <v>196</v>
      </c>
      <c r="Z36" s="4" t="s">
        <v>196</v>
      </c>
      <c r="AA36" s="4" t="s">
        <v>196</v>
      </c>
      <c r="AB36" s="4" t="s">
        <v>196</v>
      </c>
      <c r="AC36" s="4">
        <v>0</v>
      </c>
      <c r="AD36" s="4">
        <f t="shared" si="38"/>
        <v>0</v>
      </c>
      <c r="AE36" s="4">
        <v>243</v>
      </c>
      <c r="AF36" s="4">
        <f t="shared" si="39"/>
        <v>243</v>
      </c>
      <c r="AG36" s="4"/>
      <c r="AH36" s="21">
        <f t="shared" si="40"/>
        <v>323</v>
      </c>
      <c r="AI36" s="6">
        <f t="shared" si="41"/>
        <v>0.24767801857585137</v>
      </c>
      <c r="AJ36" s="4">
        <v>0.5</v>
      </c>
      <c r="AK36" s="4">
        <f t="shared" si="42"/>
        <v>354.06</v>
      </c>
      <c r="AL36" s="4">
        <f t="shared" si="43"/>
        <v>506.0975294117647</v>
      </c>
      <c r="AM36" s="6">
        <f t="shared" si="44"/>
        <v>0.51985539174151274</v>
      </c>
      <c r="AN36" s="7">
        <v>348</v>
      </c>
      <c r="AO36" s="6">
        <f t="shared" si="45"/>
        <v>0.30172413793103448</v>
      </c>
      <c r="AP36" s="4">
        <f t="shared" si="46"/>
        <v>105</v>
      </c>
      <c r="AQ36" s="28"/>
      <c r="AR36" s="6"/>
      <c r="AS36" s="6"/>
      <c r="AT36" s="6" t="str">
        <f t="shared" si="47"/>
        <v>-</v>
      </c>
      <c r="AU36" s="6">
        <f t="shared" si="48"/>
        <v>1.5398230088495575</v>
      </c>
      <c r="AV36" s="6">
        <f t="shared" si="49"/>
        <v>1.4294117647058824</v>
      </c>
      <c r="AW36" s="4" t="str">
        <f t="shared" si="16"/>
        <v>-</v>
      </c>
      <c r="AX36" s="4" t="str">
        <f t="shared" si="17"/>
        <v>-</v>
      </c>
      <c r="AY36" s="4" t="str">
        <f t="shared" si="18"/>
        <v>-</v>
      </c>
      <c r="AZ36" s="4" t="str">
        <f t="shared" si="19"/>
        <v>-</v>
      </c>
      <c r="BA36" s="4" t="str">
        <f t="shared" si="20"/>
        <v>-</v>
      </c>
      <c r="BB36" s="4" t="str">
        <f t="shared" si="21"/>
        <v>-</v>
      </c>
      <c r="BC36" s="4" t="str">
        <f t="shared" si="22"/>
        <v>-</v>
      </c>
      <c r="BD36" s="4" t="str">
        <f t="shared" si="23"/>
        <v>-</v>
      </c>
      <c r="BE36" s="4" t="str">
        <f t="shared" si="24"/>
        <v>-</v>
      </c>
      <c r="BF36" s="4" t="str">
        <f t="shared" si="25"/>
        <v>-</v>
      </c>
      <c r="BG36" s="4" t="str">
        <f t="shared" si="26"/>
        <v>-</v>
      </c>
      <c r="BH36" s="4" t="str">
        <f t="shared" si="27"/>
        <v>-</v>
      </c>
      <c r="BI36" s="4">
        <v>0</v>
      </c>
      <c r="BJ36" s="4" t="s">
        <v>298</v>
      </c>
      <c r="BK36" s="4">
        <v>1</v>
      </c>
      <c r="BL36" s="4">
        <v>50</v>
      </c>
      <c r="BM36" s="4" t="s">
        <v>297</v>
      </c>
      <c r="BN36" s="4">
        <v>12400</v>
      </c>
      <c r="BO36" s="4">
        <v>17703</v>
      </c>
      <c r="BP36" s="4">
        <f t="shared" si="50"/>
        <v>354.06</v>
      </c>
      <c r="BQ36" s="19">
        <v>4</v>
      </c>
      <c r="BR36" s="19">
        <v>8</v>
      </c>
      <c r="BS36" s="16">
        <v>18</v>
      </c>
      <c r="BT36" t="s">
        <v>199</v>
      </c>
      <c r="BU36" t="s">
        <v>196</v>
      </c>
      <c r="BV36" t="str">
        <f t="shared" si="28"/>
        <v>-</v>
      </c>
      <c r="BW36">
        <v>245</v>
      </c>
      <c r="BX36">
        <v>245</v>
      </c>
      <c r="BY36">
        <f t="shared" si="29"/>
        <v>350.20588235294116</v>
      </c>
      <c r="BZ36" t="s">
        <v>231</v>
      </c>
    </row>
    <row r="37" spans="1:78" x14ac:dyDescent="0.4">
      <c r="A37" s="3">
        <v>34</v>
      </c>
      <c r="B37" s="3">
        <v>34</v>
      </c>
      <c r="C37" s="4" t="s">
        <v>98</v>
      </c>
      <c r="D37" s="4" t="str">
        <f t="shared" si="36"/>
        <v>J42821</v>
      </c>
      <c r="E37" s="4" t="s">
        <v>98</v>
      </c>
      <c r="F37" s="4" t="str">
        <f t="shared" si="5"/>
        <v>J428215</v>
      </c>
      <c r="G37" s="4" t="s">
        <v>161</v>
      </c>
      <c r="H37" s="5">
        <v>4547345037224</v>
      </c>
      <c r="I37" s="5">
        <v>5</v>
      </c>
      <c r="J37" s="5"/>
      <c r="K37" s="5">
        <v>1</v>
      </c>
      <c r="L37" s="5">
        <v>1</v>
      </c>
      <c r="M37" s="4">
        <v>0</v>
      </c>
      <c r="N37" s="4">
        <v>350</v>
      </c>
      <c r="O37" s="4">
        <v>255</v>
      </c>
      <c r="P37" s="6">
        <f t="shared" si="37"/>
        <v>0.27142857142857146</v>
      </c>
      <c r="Q37" s="4" t="s">
        <v>196</v>
      </c>
      <c r="R37" s="4" t="s">
        <v>196</v>
      </c>
      <c r="S37" s="4" t="s">
        <v>196</v>
      </c>
      <c r="T37" s="4" t="s">
        <v>196</v>
      </c>
      <c r="U37" s="4" t="s">
        <v>196</v>
      </c>
      <c r="V37" s="4" t="s">
        <v>196</v>
      </c>
      <c r="W37" s="4" t="s">
        <v>196</v>
      </c>
      <c r="X37" s="4" t="s">
        <v>196</v>
      </c>
      <c r="Y37" s="4" t="s">
        <v>196</v>
      </c>
      <c r="Z37" s="4" t="s">
        <v>196</v>
      </c>
      <c r="AA37" s="4" t="s">
        <v>196</v>
      </c>
      <c r="AB37" s="4" t="s">
        <v>196</v>
      </c>
      <c r="AC37" s="4">
        <v>0</v>
      </c>
      <c r="AD37" s="4">
        <f t="shared" si="38"/>
        <v>0</v>
      </c>
      <c r="AE37" s="4">
        <v>366</v>
      </c>
      <c r="AF37" s="4">
        <f t="shared" si="39"/>
        <v>366</v>
      </c>
      <c r="AG37" s="4"/>
      <c r="AH37" s="21">
        <f t="shared" si="40"/>
        <v>502</v>
      </c>
      <c r="AI37" s="6">
        <f t="shared" si="41"/>
        <v>0.27091633466135456</v>
      </c>
      <c r="AJ37" s="4">
        <v>0.25</v>
      </c>
      <c r="AK37" s="4">
        <f t="shared" si="42"/>
        <v>529.72</v>
      </c>
      <c r="AL37" s="4">
        <f t="shared" si="43"/>
        <v>760.30400000000009</v>
      </c>
      <c r="AM37" s="6">
        <f t="shared" si="44"/>
        <v>0.51861360718870353</v>
      </c>
      <c r="AN37" s="7">
        <v>528</v>
      </c>
      <c r="AO37" s="6">
        <f t="shared" si="45"/>
        <v>0.30681818181818177</v>
      </c>
      <c r="AP37" s="4">
        <f t="shared" si="46"/>
        <v>162</v>
      </c>
      <c r="AQ37" s="28"/>
      <c r="AR37" s="6"/>
      <c r="AS37" s="6"/>
      <c r="AT37" s="6" t="str">
        <f t="shared" si="47"/>
        <v>-</v>
      </c>
      <c r="AU37" s="6">
        <f t="shared" si="48"/>
        <v>1.5085714285714287</v>
      </c>
      <c r="AV37" s="6">
        <f t="shared" si="49"/>
        <v>1.4352941176470588</v>
      </c>
      <c r="AW37" s="4" t="str">
        <f t="shared" si="16"/>
        <v>-</v>
      </c>
      <c r="AX37" s="4" t="str">
        <f t="shared" si="17"/>
        <v>-</v>
      </c>
      <c r="AY37" s="4" t="str">
        <f t="shared" si="18"/>
        <v>-</v>
      </c>
      <c r="AZ37" s="4" t="str">
        <f t="shared" si="19"/>
        <v>-</v>
      </c>
      <c r="BA37" s="4" t="str">
        <f t="shared" si="20"/>
        <v>-</v>
      </c>
      <c r="BB37" s="4" t="str">
        <f t="shared" si="21"/>
        <v>-</v>
      </c>
      <c r="BC37" s="4" t="str">
        <f t="shared" si="22"/>
        <v>-</v>
      </c>
      <c r="BD37" s="4" t="str">
        <f t="shared" si="23"/>
        <v>-</v>
      </c>
      <c r="BE37" s="4" t="str">
        <f t="shared" si="24"/>
        <v>-</v>
      </c>
      <c r="BF37" s="4" t="str">
        <f t="shared" si="25"/>
        <v>-</v>
      </c>
      <c r="BG37" s="4" t="str">
        <f t="shared" si="26"/>
        <v>-</v>
      </c>
      <c r="BH37" s="4" t="str">
        <f t="shared" si="27"/>
        <v>-</v>
      </c>
      <c r="BI37" s="4">
        <v>0</v>
      </c>
      <c r="BJ37" s="4" t="s">
        <v>299</v>
      </c>
      <c r="BK37" s="4">
        <v>1</v>
      </c>
      <c r="BL37" s="4">
        <v>50</v>
      </c>
      <c r="BM37" s="4" t="s">
        <v>297</v>
      </c>
      <c r="BN37" s="4">
        <v>18506</v>
      </c>
      <c r="BO37" s="4">
        <v>26486</v>
      </c>
      <c r="BP37" s="4">
        <f t="shared" si="50"/>
        <v>529.72</v>
      </c>
      <c r="BQ37" s="19">
        <v>4</v>
      </c>
      <c r="BR37" s="19">
        <v>8</v>
      </c>
      <c r="BS37" s="16">
        <v>18</v>
      </c>
      <c r="BT37" t="s">
        <v>199</v>
      </c>
      <c r="BU37" t="s">
        <v>196</v>
      </c>
      <c r="BV37" t="str">
        <f t="shared" si="28"/>
        <v>-</v>
      </c>
      <c r="BW37">
        <v>369</v>
      </c>
      <c r="BX37">
        <v>369</v>
      </c>
      <c r="BY37">
        <f t="shared" si="29"/>
        <v>529.62352941176471</v>
      </c>
      <c r="BZ37" t="s">
        <v>232</v>
      </c>
    </row>
    <row r="38" spans="1:78" x14ac:dyDescent="0.4">
      <c r="A38" s="3">
        <v>35</v>
      </c>
      <c r="B38" s="3">
        <v>35</v>
      </c>
      <c r="C38" s="4" t="s">
        <v>99</v>
      </c>
      <c r="D38" s="4" t="str">
        <f t="shared" si="36"/>
        <v>J42822</v>
      </c>
      <c r="E38" s="4" t="s">
        <v>99</v>
      </c>
      <c r="F38" s="4" t="str">
        <f t="shared" si="5"/>
        <v>J428225</v>
      </c>
      <c r="G38" s="4" t="s">
        <v>162</v>
      </c>
      <c r="H38" s="5">
        <v>4547345037231</v>
      </c>
      <c r="I38" s="5">
        <v>5</v>
      </c>
      <c r="J38" s="5"/>
      <c r="K38" s="5">
        <v>1</v>
      </c>
      <c r="L38" s="5">
        <v>1</v>
      </c>
      <c r="M38" s="4">
        <v>0</v>
      </c>
      <c r="N38" s="4">
        <v>438</v>
      </c>
      <c r="O38" s="4">
        <v>321</v>
      </c>
      <c r="P38" s="6">
        <f t="shared" si="37"/>
        <v>0.26712328767123283</v>
      </c>
      <c r="Q38" s="4" t="s">
        <v>196</v>
      </c>
      <c r="R38" s="4" t="s">
        <v>196</v>
      </c>
      <c r="S38" s="4" t="s">
        <v>196</v>
      </c>
      <c r="T38" s="4" t="s">
        <v>196</v>
      </c>
      <c r="U38" s="4" t="s">
        <v>196</v>
      </c>
      <c r="V38" s="4" t="s">
        <v>196</v>
      </c>
      <c r="W38" s="4" t="s">
        <v>196</v>
      </c>
      <c r="X38" s="4" t="s">
        <v>196</v>
      </c>
      <c r="Y38" s="4" t="s">
        <v>196</v>
      </c>
      <c r="Z38" s="4" t="s">
        <v>196</v>
      </c>
      <c r="AA38" s="4" t="s">
        <v>196</v>
      </c>
      <c r="AB38" s="4" t="s">
        <v>196</v>
      </c>
      <c r="AC38" s="4">
        <v>0</v>
      </c>
      <c r="AD38" s="4">
        <f t="shared" si="38"/>
        <v>0</v>
      </c>
      <c r="AE38" s="4">
        <v>460</v>
      </c>
      <c r="AF38" s="4">
        <f t="shared" si="39"/>
        <v>460</v>
      </c>
      <c r="AG38" s="4"/>
      <c r="AH38" s="21">
        <f t="shared" si="40"/>
        <v>628</v>
      </c>
      <c r="AI38" s="6">
        <f t="shared" si="41"/>
        <v>0.26751592356687903</v>
      </c>
      <c r="AJ38" s="4">
        <v>0.25</v>
      </c>
      <c r="AK38" s="4">
        <f t="shared" si="42"/>
        <v>665.05000000000007</v>
      </c>
      <c r="AL38" s="4">
        <f t="shared" si="43"/>
        <v>953.03115264797509</v>
      </c>
      <c r="AM38" s="6">
        <f t="shared" si="44"/>
        <v>0.51732952409593258</v>
      </c>
      <c r="AN38" s="7">
        <v>660</v>
      </c>
      <c r="AO38" s="6">
        <f t="shared" si="45"/>
        <v>0.30303030303030298</v>
      </c>
      <c r="AP38" s="4">
        <f t="shared" si="46"/>
        <v>200</v>
      </c>
      <c r="AQ38" s="28"/>
      <c r="AR38" s="6"/>
      <c r="AS38" s="6"/>
      <c r="AT38" s="6" t="str">
        <f t="shared" si="47"/>
        <v>-</v>
      </c>
      <c r="AU38" s="6">
        <f t="shared" si="48"/>
        <v>1.5068493150684932</v>
      </c>
      <c r="AV38" s="6">
        <f t="shared" si="49"/>
        <v>1.4330218068535825</v>
      </c>
      <c r="AW38" s="4" t="str">
        <f t="shared" si="16"/>
        <v>-</v>
      </c>
      <c r="AX38" s="4" t="str">
        <f t="shared" si="17"/>
        <v>-</v>
      </c>
      <c r="AY38" s="4" t="str">
        <f t="shared" si="18"/>
        <v>-</v>
      </c>
      <c r="AZ38" s="4" t="str">
        <f t="shared" si="19"/>
        <v>-</v>
      </c>
      <c r="BA38" s="4" t="str">
        <f t="shared" si="20"/>
        <v>-</v>
      </c>
      <c r="BB38" s="4" t="str">
        <f t="shared" si="21"/>
        <v>-</v>
      </c>
      <c r="BC38" s="4" t="str">
        <f t="shared" si="22"/>
        <v>-</v>
      </c>
      <c r="BD38" s="4" t="str">
        <f t="shared" si="23"/>
        <v>-</v>
      </c>
      <c r="BE38" s="4" t="str">
        <f t="shared" si="24"/>
        <v>-</v>
      </c>
      <c r="BF38" s="4" t="str">
        <f t="shared" si="25"/>
        <v>-</v>
      </c>
      <c r="BG38" s="4" t="str">
        <f t="shared" si="26"/>
        <v>-</v>
      </c>
      <c r="BH38" s="4" t="str">
        <f t="shared" si="27"/>
        <v>-</v>
      </c>
      <c r="BI38" s="4">
        <v>0</v>
      </c>
      <c r="BJ38" s="4" t="s">
        <v>300</v>
      </c>
      <c r="BK38" s="4">
        <v>1</v>
      </c>
      <c r="BL38" s="4">
        <v>20</v>
      </c>
      <c r="BM38" s="4" t="s">
        <v>301</v>
      </c>
      <c r="BN38" s="4">
        <v>9307</v>
      </c>
      <c r="BO38" s="4">
        <v>13301</v>
      </c>
      <c r="BP38" s="4">
        <f t="shared" si="50"/>
        <v>665.05000000000007</v>
      </c>
      <c r="BQ38" s="19">
        <v>4</v>
      </c>
      <c r="BR38" s="19">
        <v>8</v>
      </c>
      <c r="BS38" s="16">
        <v>18</v>
      </c>
      <c r="BT38" t="s">
        <v>199</v>
      </c>
      <c r="BU38" t="s">
        <v>196</v>
      </c>
      <c r="BV38" t="str">
        <f t="shared" si="28"/>
        <v>-</v>
      </c>
      <c r="BW38">
        <v>464</v>
      </c>
      <c r="BX38">
        <v>464</v>
      </c>
      <c r="BY38">
        <f t="shared" si="29"/>
        <v>664.92211838006233</v>
      </c>
      <c r="BZ38" t="s">
        <v>233</v>
      </c>
    </row>
    <row r="39" spans="1:78" x14ac:dyDescent="0.4">
      <c r="A39" s="3">
        <v>36</v>
      </c>
      <c r="B39" s="3">
        <v>36</v>
      </c>
      <c r="C39" s="4" t="s">
        <v>100</v>
      </c>
      <c r="D39" s="4" t="str">
        <f t="shared" si="36"/>
        <v>J42823</v>
      </c>
      <c r="E39" s="4" t="s">
        <v>100</v>
      </c>
      <c r="F39" s="4" t="str">
        <f t="shared" si="5"/>
        <v>J428235</v>
      </c>
      <c r="G39" s="4" t="s">
        <v>163</v>
      </c>
      <c r="H39" s="5">
        <v>4547345037248</v>
      </c>
      <c r="I39" s="5">
        <v>5</v>
      </c>
      <c r="J39" s="5"/>
      <c r="K39" s="5">
        <v>1</v>
      </c>
      <c r="L39" s="5">
        <v>1</v>
      </c>
      <c r="M39" s="4">
        <v>0</v>
      </c>
      <c r="N39" s="4">
        <v>730</v>
      </c>
      <c r="O39" s="4">
        <v>499</v>
      </c>
      <c r="P39" s="6">
        <f t="shared" si="37"/>
        <v>0.31643835616438354</v>
      </c>
      <c r="Q39" s="4" t="s">
        <v>196</v>
      </c>
      <c r="R39" s="4" t="s">
        <v>196</v>
      </c>
      <c r="S39" s="4" t="s">
        <v>196</v>
      </c>
      <c r="T39" s="4" t="s">
        <v>196</v>
      </c>
      <c r="U39" s="4" t="s">
        <v>196</v>
      </c>
      <c r="V39" s="4" t="s">
        <v>196</v>
      </c>
      <c r="W39" s="4" t="s">
        <v>196</v>
      </c>
      <c r="X39" s="4" t="s">
        <v>196</v>
      </c>
      <c r="Y39" s="4" t="s">
        <v>196</v>
      </c>
      <c r="Z39" s="4" t="s">
        <v>196</v>
      </c>
      <c r="AA39" s="4" t="s">
        <v>196</v>
      </c>
      <c r="AB39" s="4" t="s">
        <v>196</v>
      </c>
      <c r="AC39" s="4">
        <v>0</v>
      </c>
      <c r="AD39" s="4">
        <f t="shared" si="38"/>
        <v>0</v>
      </c>
      <c r="AE39" s="4">
        <v>714</v>
      </c>
      <c r="AF39" s="4">
        <f t="shared" si="39"/>
        <v>714</v>
      </c>
      <c r="AG39" s="4"/>
      <c r="AH39" s="21">
        <f t="shared" si="40"/>
        <v>1045</v>
      </c>
      <c r="AI39" s="6">
        <f t="shared" si="41"/>
        <v>0.31674641148325355</v>
      </c>
      <c r="AJ39" s="4">
        <v>0.5</v>
      </c>
      <c r="AK39" s="4">
        <f t="shared" si="42"/>
        <v>1028</v>
      </c>
      <c r="AL39" s="4">
        <f t="shared" si="43"/>
        <v>1470.9258517034068</v>
      </c>
      <c r="AM39" s="6">
        <f t="shared" si="44"/>
        <v>0.5145914396887159</v>
      </c>
      <c r="AN39" s="7">
        <v>1028</v>
      </c>
      <c r="AO39" s="6">
        <f t="shared" si="45"/>
        <v>0.30544747081712065</v>
      </c>
      <c r="AP39" s="4">
        <f t="shared" si="46"/>
        <v>314</v>
      </c>
      <c r="AQ39" s="28"/>
      <c r="AR39" s="6"/>
      <c r="AS39" s="6"/>
      <c r="AT39" s="6" t="str">
        <f t="shared" si="47"/>
        <v>-</v>
      </c>
      <c r="AU39" s="6">
        <f t="shared" si="48"/>
        <v>1.4082191780821918</v>
      </c>
      <c r="AV39" s="6">
        <f t="shared" si="49"/>
        <v>1.4308617234468939</v>
      </c>
      <c r="AW39" s="4" t="str">
        <f t="shared" si="16"/>
        <v>-</v>
      </c>
      <c r="AX39" s="4" t="str">
        <f t="shared" si="17"/>
        <v>-</v>
      </c>
      <c r="AY39" s="4" t="str">
        <f t="shared" si="18"/>
        <v>-</v>
      </c>
      <c r="AZ39" s="4" t="str">
        <f t="shared" si="19"/>
        <v>-</v>
      </c>
      <c r="BA39" s="4" t="str">
        <f t="shared" si="20"/>
        <v>-</v>
      </c>
      <c r="BB39" s="4" t="str">
        <f t="shared" si="21"/>
        <v>-</v>
      </c>
      <c r="BC39" s="4" t="str">
        <f t="shared" si="22"/>
        <v>-</v>
      </c>
      <c r="BD39" s="4" t="str">
        <f t="shared" si="23"/>
        <v>-</v>
      </c>
      <c r="BE39" s="4" t="str">
        <f t="shared" si="24"/>
        <v>-</v>
      </c>
      <c r="BF39" s="4" t="str">
        <f t="shared" si="25"/>
        <v>-</v>
      </c>
      <c r="BG39" s="4" t="str">
        <f t="shared" si="26"/>
        <v>-</v>
      </c>
      <c r="BH39" s="4" t="str">
        <f t="shared" si="27"/>
        <v>-</v>
      </c>
      <c r="BI39" s="4">
        <v>0</v>
      </c>
      <c r="BJ39" s="4" t="s">
        <v>302</v>
      </c>
      <c r="BK39" s="4">
        <v>1</v>
      </c>
      <c r="BL39" s="4">
        <v>20</v>
      </c>
      <c r="BM39" s="4" t="s">
        <v>301</v>
      </c>
      <c r="BN39" s="4">
        <v>14393</v>
      </c>
      <c r="BO39" s="4">
        <v>20560</v>
      </c>
      <c r="BP39" s="4">
        <f t="shared" si="50"/>
        <v>1028</v>
      </c>
      <c r="BQ39" s="19">
        <v>4</v>
      </c>
      <c r="BR39" s="19">
        <v>8</v>
      </c>
      <c r="BS39" s="16">
        <v>18</v>
      </c>
      <c r="BT39" t="s">
        <v>199</v>
      </c>
      <c r="BU39" t="s">
        <v>196</v>
      </c>
      <c r="BV39" t="str">
        <f t="shared" si="28"/>
        <v>-</v>
      </c>
      <c r="BW39">
        <v>718</v>
      </c>
      <c r="BX39">
        <v>718</v>
      </c>
      <c r="BY39">
        <f t="shared" si="29"/>
        <v>1027.3587174348697</v>
      </c>
      <c r="BZ39" t="s">
        <v>234</v>
      </c>
    </row>
    <row r="40" spans="1:78" x14ac:dyDescent="0.4">
      <c r="A40" s="3">
        <v>37</v>
      </c>
      <c r="B40" s="3">
        <v>37</v>
      </c>
      <c r="C40" s="4" t="s">
        <v>101</v>
      </c>
      <c r="D40" s="4" t="str">
        <f t="shared" si="36"/>
        <v>J7030P</v>
      </c>
      <c r="E40" s="4" t="s">
        <v>101</v>
      </c>
      <c r="F40" s="4" t="str">
        <f t="shared" si="5"/>
        <v>J7030P5</v>
      </c>
      <c r="G40" s="4" t="s">
        <v>164</v>
      </c>
      <c r="H40" s="5">
        <v>4547345017615</v>
      </c>
      <c r="I40" s="5">
        <v>5</v>
      </c>
      <c r="J40" s="5"/>
      <c r="K40" s="5">
        <v>1</v>
      </c>
      <c r="L40" s="5">
        <v>1</v>
      </c>
      <c r="M40" s="4">
        <v>0</v>
      </c>
      <c r="N40" s="4">
        <v>726</v>
      </c>
      <c r="O40" s="4">
        <v>497</v>
      </c>
      <c r="P40" s="6">
        <f t="shared" si="37"/>
        <v>0.31542699724517909</v>
      </c>
      <c r="Q40" s="4" t="s">
        <v>196</v>
      </c>
      <c r="R40" s="4" t="s">
        <v>196</v>
      </c>
      <c r="S40" s="4" t="s">
        <v>196</v>
      </c>
      <c r="T40" s="4" t="s">
        <v>196</v>
      </c>
      <c r="U40" s="4" t="s">
        <v>196</v>
      </c>
      <c r="V40" s="4" t="s">
        <v>196</v>
      </c>
      <c r="W40" s="4" t="s">
        <v>196</v>
      </c>
      <c r="X40" s="4" t="s">
        <v>196</v>
      </c>
      <c r="Y40" s="4" t="s">
        <v>196</v>
      </c>
      <c r="Z40" s="4" t="s">
        <v>196</v>
      </c>
      <c r="AA40" s="4" t="s">
        <v>196</v>
      </c>
      <c r="AB40" s="4" t="s">
        <v>196</v>
      </c>
      <c r="AC40" s="4">
        <v>0</v>
      </c>
      <c r="AD40" s="4">
        <f t="shared" si="38"/>
        <v>0</v>
      </c>
      <c r="AE40" s="4">
        <v>517</v>
      </c>
      <c r="AF40" s="4">
        <f t="shared" si="39"/>
        <v>517</v>
      </c>
      <c r="AG40" s="4"/>
      <c r="AH40" s="21">
        <f t="shared" si="40"/>
        <v>755</v>
      </c>
      <c r="AI40" s="6">
        <f t="shared" si="41"/>
        <v>0.31523178807947017</v>
      </c>
      <c r="AJ40" s="4">
        <v>3.5000000000000004</v>
      </c>
      <c r="AK40" s="4" t="str">
        <f t="shared" si="42"/>
        <v>-</v>
      </c>
      <c r="AL40" s="4" t="str">
        <f t="shared" si="43"/>
        <v>-</v>
      </c>
      <c r="AM40" s="6" t="str">
        <f t="shared" si="44"/>
        <v>-</v>
      </c>
      <c r="AN40" s="7">
        <v>740</v>
      </c>
      <c r="AO40" s="6">
        <f t="shared" si="45"/>
        <v>0.30135135135135138</v>
      </c>
      <c r="AP40" s="4">
        <f t="shared" si="46"/>
        <v>223</v>
      </c>
      <c r="AQ40" s="28"/>
      <c r="AR40" s="6"/>
      <c r="AS40" s="6"/>
      <c r="AT40" s="6" t="str">
        <f t="shared" si="47"/>
        <v>-</v>
      </c>
      <c r="AU40" s="6">
        <f t="shared" si="48"/>
        <v>1.0192837465564739</v>
      </c>
      <c r="AV40" s="6">
        <f t="shared" si="49"/>
        <v>1.040241448692153</v>
      </c>
      <c r="AW40" s="4" t="str">
        <f t="shared" si="16"/>
        <v>-</v>
      </c>
      <c r="AX40" s="4" t="str">
        <f t="shared" si="17"/>
        <v>-</v>
      </c>
      <c r="AY40" s="4" t="str">
        <f t="shared" si="18"/>
        <v>-</v>
      </c>
      <c r="AZ40" s="4" t="str">
        <f t="shared" si="19"/>
        <v>-</v>
      </c>
      <c r="BA40" s="4" t="str">
        <f t="shared" si="20"/>
        <v>-</v>
      </c>
      <c r="BB40" s="4" t="str">
        <f t="shared" si="21"/>
        <v>-</v>
      </c>
      <c r="BC40" s="4" t="str">
        <f t="shared" si="22"/>
        <v>-</v>
      </c>
      <c r="BD40" s="4" t="str">
        <f t="shared" si="23"/>
        <v>-</v>
      </c>
      <c r="BE40" s="4" t="str">
        <f t="shared" si="24"/>
        <v>-</v>
      </c>
      <c r="BF40" s="4" t="str">
        <f t="shared" si="25"/>
        <v>-</v>
      </c>
      <c r="BG40" s="4" t="str">
        <f t="shared" si="26"/>
        <v>-</v>
      </c>
      <c r="BH40" s="4" t="str">
        <f t="shared" si="27"/>
        <v>-</v>
      </c>
      <c r="BI40" s="4">
        <v>0</v>
      </c>
      <c r="BJ40" s="4" t="s">
        <v>196</v>
      </c>
      <c r="BK40" s="4"/>
      <c r="BL40" s="4"/>
      <c r="BM40" s="4" t="s">
        <v>196</v>
      </c>
      <c r="BN40" s="4" t="s">
        <v>196</v>
      </c>
      <c r="BO40" s="4" t="s">
        <v>196</v>
      </c>
      <c r="BP40" s="4" t="str">
        <f t="shared" si="50"/>
        <v>-</v>
      </c>
      <c r="BQ40" s="19">
        <v>4</v>
      </c>
      <c r="BR40" s="19">
        <v>8</v>
      </c>
      <c r="BS40" s="16">
        <v>6</v>
      </c>
      <c r="BT40" t="s">
        <v>199</v>
      </c>
      <c r="BU40" t="s">
        <v>196</v>
      </c>
      <c r="BV40" t="str">
        <f t="shared" si="28"/>
        <v>-</v>
      </c>
      <c r="BW40">
        <v>683</v>
      </c>
      <c r="BX40">
        <v>683</v>
      </c>
      <c r="BY40">
        <f t="shared" si="29"/>
        <v>710.48490945674052</v>
      </c>
      <c r="BZ40" t="s">
        <v>196</v>
      </c>
    </row>
    <row r="41" spans="1:78" x14ac:dyDescent="0.4">
      <c r="A41" s="3">
        <v>38</v>
      </c>
      <c r="B41" s="3">
        <v>38</v>
      </c>
      <c r="C41" s="4" t="s">
        <v>102</v>
      </c>
      <c r="D41" s="4" t="str">
        <f t="shared" si="36"/>
        <v>J7031P</v>
      </c>
      <c r="E41" s="4" t="s">
        <v>102</v>
      </c>
      <c r="F41" s="4" t="str">
        <f t="shared" si="5"/>
        <v>J7031P5</v>
      </c>
      <c r="G41" s="4" t="s">
        <v>165</v>
      </c>
      <c r="H41" s="5">
        <v>4547345017622</v>
      </c>
      <c r="I41" s="5">
        <v>5</v>
      </c>
      <c r="J41" s="5"/>
      <c r="K41" s="5">
        <v>1</v>
      </c>
      <c r="L41" s="5">
        <v>1</v>
      </c>
      <c r="M41" s="4">
        <v>0</v>
      </c>
      <c r="N41" s="4">
        <v>471</v>
      </c>
      <c r="O41" s="4">
        <v>310</v>
      </c>
      <c r="P41" s="6">
        <f t="shared" si="37"/>
        <v>0.34182590233545651</v>
      </c>
      <c r="Q41" s="4" t="s">
        <v>196</v>
      </c>
      <c r="R41" s="4" t="s">
        <v>196</v>
      </c>
      <c r="S41" s="4" t="s">
        <v>196</v>
      </c>
      <c r="T41" s="4" t="s">
        <v>196</v>
      </c>
      <c r="U41" s="4" t="s">
        <v>196</v>
      </c>
      <c r="V41" s="4" t="s">
        <v>196</v>
      </c>
      <c r="W41" s="4" t="s">
        <v>196</v>
      </c>
      <c r="X41" s="4" t="s">
        <v>196</v>
      </c>
      <c r="Y41" s="4" t="s">
        <v>196</v>
      </c>
      <c r="Z41" s="4" t="s">
        <v>196</v>
      </c>
      <c r="AA41" s="4" t="s">
        <v>196</v>
      </c>
      <c r="AB41" s="4" t="s">
        <v>196</v>
      </c>
      <c r="AC41" s="4">
        <v>0</v>
      </c>
      <c r="AD41" s="4">
        <f t="shared" si="38"/>
        <v>0</v>
      </c>
      <c r="AE41" s="4">
        <v>323</v>
      </c>
      <c r="AF41" s="4">
        <f t="shared" si="39"/>
        <v>323</v>
      </c>
      <c r="AG41" s="4"/>
      <c r="AH41" s="21">
        <f t="shared" si="40"/>
        <v>491</v>
      </c>
      <c r="AI41" s="6">
        <f t="shared" si="41"/>
        <v>0.34215885947046842</v>
      </c>
      <c r="AJ41" s="4">
        <v>0</v>
      </c>
      <c r="AK41" s="4" t="str">
        <f t="shared" si="42"/>
        <v>-</v>
      </c>
      <c r="AL41" s="4" t="str">
        <f t="shared" si="43"/>
        <v>-</v>
      </c>
      <c r="AM41" s="6" t="str">
        <f t="shared" si="44"/>
        <v>-</v>
      </c>
      <c r="AN41" s="7">
        <v>480</v>
      </c>
      <c r="AO41" s="6">
        <f t="shared" si="45"/>
        <v>0.32708333333333328</v>
      </c>
      <c r="AP41" s="4">
        <f t="shared" si="46"/>
        <v>157</v>
      </c>
      <c r="AQ41" s="28"/>
      <c r="AR41" s="6"/>
      <c r="AS41" s="6"/>
      <c r="AT41" s="6" t="str">
        <f t="shared" si="47"/>
        <v>-</v>
      </c>
      <c r="AU41" s="6">
        <f t="shared" si="48"/>
        <v>1.0191082802547771</v>
      </c>
      <c r="AV41" s="6">
        <f t="shared" si="49"/>
        <v>1.0419354838709678</v>
      </c>
      <c r="AW41" s="4" t="str">
        <f t="shared" si="16"/>
        <v>-</v>
      </c>
      <c r="AX41" s="4" t="str">
        <f t="shared" si="17"/>
        <v>-</v>
      </c>
      <c r="AY41" s="4" t="str">
        <f t="shared" si="18"/>
        <v>-</v>
      </c>
      <c r="AZ41" s="4" t="str">
        <f t="shared" si="19"/>
        <v>-</v>
      </c>
      <c r="BA41" s="4" t="str">
        <f t="shared" si="20"/>
        <v>-</v>
      </c>
      <c r="BB41" s="4" t="str">
        <f t="shared" si="21"/>
        <v>-</v>
      </c>
      <c r="BC41" s="4" t="str">
        <f t="shared" si="22"/>
        <v>-</v>
      </c>
      <c r="BD41" s="4" t="str">
        <f t="shared" si="23"/>
        <v>-</v>
      </c>
      <c r="BE41" s="4" t="str">
        <f t="shared" si="24"/>
        <v>-</v>
      </c>
      <c r="BF41" s="4" t="str">
        <f t="shared" si="25"/>
        <v>-</v>
      </c>
      <c r="BG41" s="4" t="str">
        <f t="shared" si="26"/>
        <v>-</v>
      </c>
      <c r="BH41" s="4" t="str">
        <f t="shared" si="27"/>
        <v>-</v>
      </c>
      <c r="BI41" s="4">
        <v>0</v>
      </c>
      <c r="BJ41" s="4" t="s">
        <v>196</v>
      </c>
      <c r="BK41" s="4"/>
      <c r="BL41" s="4"/>
      <c r="BM41" s="4" t="s">
        <v>196</v>
      </c>
      <c r="BN41" s="4" t="s">
        <v>196</v>
      </c>
      <c r="BO41" s="4" t="s">
        <v>196</v>
      </c>
      <c r="BP41" s="4" t="str">
        <f t="shared" si="50"/>
        <v>-</v>
      </c>
      <c r="BQ41" s="19">
        <v>4</v>
      </c>
      <c r="BR41" s="19">
        <v>8</v>
      </c>
      <c r="BS41" s="16">
        <v>6</v>
      </c>
      <c r="BT41" t="s">
        <v>199</v>
      </c>
      <c r="BU41" t="s">
        <v>196</v>
      </c>
      <c r="BV41" t="str">
        <f t="shared" si="28"/>
        <v>-</v>
      </c>
      <c r="BW41">
        <v>418</v>
      </c>
      <c r="BX41">
        <v>418</v>
      </c>
      <c r="BY41">
        <f t="shared" si="29"/>
        <v>435.52903225806455</v>
      </c>
      <c r="BZ41" t="s">
        <v>196</v>
      </c>
    </row>
    <row r="42" spans="1:78" x14ac:dyDescent="0.4">
      <c r="A42" s="3">
        <v>39</v>
      </c>
      <c r="B42" s="3">
        <v>39</v>
      </c>
      <c r="C42" s="4" t="s">
        <v>103</v>
      </c>
      <c r="D42" s="4" t="str">
        <f t="shared" si="36"/>
        <v>J6366P</v>
      </c>
      <c r="E42" s="4" t="s">
        <v>103</v>
      </c>
      <c r="F42" s="4" t="str">
        <f t="shared" si="5"/>
        <v>J6366P5</v>
      </c>
      <c r="G42" s="4" t="s">
        <v>166</v>
      </c>
      <c r="H42" s="5">
        <v>4547345055099</v>
      </c>
      <c r="I42" s="5">
        <v>5</v>
      </c>
      <c r="J42" s="5"/>
      <c r="K42" s="5">
        <v>1</v>
      </c>
      <c r="L42" s="5">
        <v>1</v>
      </c>
      <c r="M42" s="4">
        <v>0</v>
      </c>
      <c r="N42" s="4">
        <v>111</v>
      </c>
      <c r="O42" s="4">
        <v>80</v>
      </c>
      <c r="P42" s="6">
        <f t="shared" si="37"/>
        <v>0.27927927927927931</v>
      </c>
      <c r="Q42" s="4" t="s">
        <v>196</v>
      </c>
      <c r="R42" s="4" t="s">
        <v>196</v>
      </c>
      <c r="S42" s="4" t="s">
        <v>196</v>
      </c>
      <c r="T42" s="4" t="s">
        <v>196</v>
      </c>
      <c r="U42" s="4" t="s">
        <v>196</v>
      </c>
      <c r="V42" s="4" t="s">
        <v>196</v>
      </c>
      <c r="W42" s="4" t="s">
        <v>196</v>
      </c>
      <c r="X42" s="4" t="s">
        <v>196</v>
      </c>
      <c r="Y42" s="4" t="s">
        <v>196</v>
      </c>
      <c r="Z42" s="4" t="s">
        <v>196</v>
      </c>
      <c r="AA42" s="4" t="s">
        <v>196</v>
      </c>
      <c r="AB42" s="4" t="s">
        <v>196</v>
      </c>
      <c r="AC42" s="4">
        <v>0</v>
      </c>
      <c r="AD42" s="4">
        <f t="shared" si="38"/>
        <v>0</v>
      </c>
      <c r="AE42" s="4">
        <v>105</v>
      </c>
      <c r="AF42" s="4">
        <f t="shared" si="39"/>
        <v>105</v>
      </c>
      <c r="AG42" s="4"/>
      <c r="AH42" s="21">
        <f t="shared" si="40"/>
        <v>146</v>
      </c>
      <c r="AI42" s="6">
        <f t="shared" si="41"/>
        <v>0.28082191780821919</v>
      </c>
      <c r="AJ42" s="4">
        <v>0.75</v>
      </c>
      <c r="AK42" s="4">
        <f t="shared" si="42"/>
        <v>154.68</v>
      </c>
      <c r="AL42" s="4">
        <f t="shared" si="43"/>
        <v>203.01750000000001</v>
      </c>
      <c r="AM42" s="6">
        <f t="shared" si="44"/>
        <v>0.482803206620119</v>
      </c>
      <c r="AN42" s="7">
        <v>154</v>
      </c>
      <c r="AO42" s="6">
        <f t="shared" si="45"/>
        <v>0.31818181818181823</v>
      </c>
      <c r="AP42" s="4">
        <f t="shared" si="46"/>
        <v>49</v>
      </c>
      <c r="AQ42" s="28"/>
      <c r="AR42" s="6"/>
      <c r="AS42" s="6"/>
      <c r="AT42" s="6" t="str">
        <f t="shared" si="47"/>
        <v>-</v>
      </c>
      <c r="AU42" s="6">
        <f t="shared" si="48"/>
        <v>1.3873873873873874</v>
      </c>
      <c r="AV42" s="6">
        <f t="shared" si="49"/>
        <v>1.3125</v>
      </c>
      <c r="AW42" s="4" t="str">
        <f t="shared" si="16"/>
        <v>-</v>
      </c>
      <c r="AX42" s="4" t="str">
        <f t="shared" si="17"/>
        <v>-</v>
      </c>
      <c r="AY42" s="4" t="str">
        <f t="shared" si="18"/>
        <v>-</v>
      </c>
      <c r="AZ42" s="4" t="str">
        <f t="shared" si="19"/>
        <v>-</v>
      </c>
      <c r="BA42" s="4" t="str">
        <f t="shared" si="20"/>
        <v>-</v>
      </c>
      <c r="BB42" s="4" t="str">
        <f t="shared" si="21"/>
        <v>-</v>
      </c>
      <c r="BC42" s="4" t="str">
        <f t="shared" si="22"/>
        <v>-</v>
      </c>
      <c r="BD42" s="4" t="str">
        <f t="shared" si="23"/>
        <v>-</v>
      </c>
      <c r="BE42" s="4" t="str">
        <f t="shared" si="24"/>
        <v>-</v>
      </c>
      <c r="BF42" s="4" t="str">
        <f t="shared" si="25"/>
        <v>-</v>
      </c>
      <c r="BG42" s="4" t="str">
        <f t="shared" si="26"/>
        <v>-</v>
      </c>
      <c r="BH42" s="4" t="str">
        <f t="shared" si="27"/>
        <v>-</v>
      </c>
      <c r="BI42" s="4">
        <v>0</v>
      </c>
      <c r="BJ42" s="4" t="s">
        <v>303</v>
      </c>
      <c r="BK42" s="4">
        <v>1</v>
      </c>
      <c r="BL42" s="4">
        <v>50</v>
      </c>
      <c r="BM42" s="4" t="s">
        <v>297</v>
      </c>
      <c r="BN42" s="4">
        <v>5950</v>
      </c>
      <c r="BO42" s="4">
        <v>7734</v>
      </c>
      <c r="BP42" s="4">
        <f t="shared" si="50"/>
        <v>154.68</v>
      </c>
      <c r="BQ42" s="19">
        <v>4</v>
      </c>
      <c r="BR42" s="19">
        <v>1</v>
      </c>
      <c r="BS42" s="16">
        <v>18</v>
      </c>
      <c r="BT42" t="s">
        <v>199</v>
      </c>
      <c r="BU42" t="s">
        <v>196</v>
      </c>
      <c r="BV42" t="str">
        <f t="shared" si="28"/>
        <v>-</v>
      </c>
      <c r="BW42">
        <v>119</v>
      </c>
      <c r="BX42">
        <v>119</v>
      </c>
      <c r="BY42">
        <f t="shared" si="29"/>
        <v>156.1875</v>
      </c>
      <c r="BZ42" t="s">
        <v>235</v>
      </c>
    </row>
    <row r="43" spans="1:78" x14ac:dyDescent="0.4">
      <c r="A43" s="3">
        <v>40</v>
      </c>
      <c r="B43" s="3">
        <v>40</v>
      </c>
      <c r="C43" s="4" t="s">
        <v>104</v>
      </c>
      <c r="D43" s="4" t="str">
        <f t="shared" si="36"/>
        <v>J6367P</v>
      </c>
      <c r="E43" s="4" t="s">
        <v>104</v>
      </c>
      <c r="F43" s="4" t="str">
        <f t="shared" si="5"/>
        <v>J6367P5</v>
      </c>
      <c r="G43" s="4" t="s">
        <v>167</v>
      </c>
      <c r="H43" s="5">
        <v>4547345055112</v>
      </c>
      <c r="I43" s="5">
        <v>5</v>
      </c>
      <c r="J43" s="5"/>
      <c r="K43" s="5">
        <v>1</v>
      </c>
      <c r="L43" s="5">
        <v>1</v>
      </c>
      <c r="M43" s="4">
        <v>0</v>
      </c>
      <c r="N43" s="4">
        <v>178</v>
      </c>
      <c r="O43" s="4">
        <v>125</v>
      </c>
      <c r="P43" s="6">
        <f t="shared" si="37"/>
        <v>0.297752808988764</v>
      </c>
      <c r="Q43" s="4" t="s">
        <v>196</v>
      </c>
      <c r="R43" s="4" t="s">
        <v>196</v>
      </c>
      <c r="S43" s="4" t="s">
        <v>196</v>
      </c>
      <c r="T43" s="4" t="s">
        <v>196</v>
      </c>
      <c r="U43" s="4" t="s">
        <v>196</v>
      </c>
      <c r="V43" s="4" t="s">
        <v>196</v>
      </c>
      <c r="W43" s="4" t="s">
        <v>196</v>
      </c>
      <c r="X43" s="4" t="s">
        <v>196</v>
      </c>
      <c r="Y43" s="4" t="s">
        <v>196</v>
      </c>
      <c r="Z43" s="4" t="s">
        <v>196</v>
      </c>
      <c r="AA43" s="4" t="s">
        <v>196</v>
      </c>
      <c r="AB43" s="4" t="s">
        <v>196</v>
      </c>
      <c r="AC43" s="4">
        <v>0</v>
      </c>
      <c r="AD43" s="4">
        <f t="shared" si="38"/>
        <v>0</v>
      </c>
      <c r="AE43" s="4">
        <v>163</v>
      </c>
      <c r="AF43" s="4">
        <f t="shared" si="39"/>
        <v>163</v>
      </c>
      <c r="AG43" s="4"/>
      <c r="AH43" s="21">
        <f t="shared" si="40"/>
        <v>232</v>
      </c>
      <c r="AI43" s="6">
        <f t="shared" si="41"/>
        <v>0.29741379310344829</v>
      </c>
      <c r="AJ43" s="4">
        <v>0</v>
      </c>
      <c r="AK43" s="4">
        <f t="shared" si="42"/>
        <v>240.94</v>
      </c>
      <c r="AL43" s="4">
        <f t="shared" si="43"/>
        <v>314.18576000000002</v>
      </c>
      <c r="AM43" s="6">
        <f t="shared" si="44"/>
        <v>0.48119863866522783</v>
      </c>
      <c r="AN43" s="7">
        <v>235</v>
      </c>
      <c r="AO43" s="6">
        <f t="shared" si="45"/>
        <v>0.30638297872340425</v>
      </c>
      <c r="AP43" s="4">
        <f t="shared" si="46"/>
        <v>72</v>
      </c>
      <c r="AQ43" s="28"/>
      <c r="AR43" s="6"/>
      <c r="AS43" s="6"/>
      <c r="AT43" s="6" t="str">
        <f t="shared" si="47"/>
        <v>-</v>
      </c>
      <c r="AU43" s="6">
        <f t="shared" si="48"/>
        <v>1.3202247191011236</v>
      </c>
      <c r="AV43" s="6">
        <f t="shared" si="49"/>
        <v>1.304</v>
      </c>
      <c r="AW43" s="4" t="str">
        <f t="shared" si="16"/>
        <v>-</v>
      </c>
      <c r="AX43" s="4" t="str">
        <f t="shared" si="17"/>
        <v>-</v>
      </c>
      <c r="AY43" s="4" t="str">
        <f t="shared" si="18"/>
        <v>-</v>
      </c>
      <c r="AZ43" s="4" t="str">
        <f t="shared" si="19"/>
        <v>-</v>
      </c>
      <c r="BA43" s="4" t="str">
        <f t="shared" si="20"/>
        <v>-</v>
      </c>
      <c r="BB43" s="4" t="str">
        <f t="shared" si="21"/>
        <v>-</v>
      </c>
      <c r="BC43" s="4" t="str">
        <f t="shared" si="22"/>
        <v>-</v>
      </c>
      <c r="BD43" s="4" t="str">
        <f t="shared" si="23"/>
        <v>-</v>
      </c>
      <c r="BE43" s="4" t="str">
        <f t="shared" si="24"/>
        <v>-</v>
      </c>
      <c r="BF43" s="4" t="str">
        <f t="shared" si="25"/>
        <v>-</v>
      </c>
      <c r="BG43" s="4" t="str">
        <f t="shared" si="26"/>
        <v>-</v>
      </c>
      <c r="BH43" s="4" t="str">
        <f t="shared" si="27"/>
        <v>-</v>
      </c>
      <c r="BI43" s="4">
        <v>0</v>
      </c>
      <c r="BJ43" s="4" t="s">
        <v>304</v>
      </c>
      <c r="BK43" s="4">
        <v>1</v>
      </c>
      <c r="BL43" s="4">
        <v>50</v>
      </c>
      <c r="BM43" s="4" t="s">
        <v>297</v>
      </c>
      <c r="BN43" s="4">
        <v>9300</v>
      </c>
      <c r="BO43" s="4">
        <v>12047</v>
      </c>
      <c r="BP43" s="4">
        <f t="shared" si="50"/>
        <v>240.94</v>
      </c>
      <c r="BQ43" s="19">
        <v>4</v>
      </c>
      <c r="BR43" s="19">
        <v>8</v>
      </c>
      <c r="BS43" s="16">
        <v>18</v>
      </c>
      <c r="BT43" t="s">
        <v>199</v>
      </c>
      <c r="BU43" t="s">
        <v>196</v>
      </c>
      <c r="BV43" t="str">
        <f t="shared" si="28"/>
        <v>-</v>
      </c>
      <c r="BW43">
        <v>181</v>
      </c>
      <c r="BX43">
        <v>181</v>
      </c>
      <c r="BY43">
        <f t="shared" si="29"/>
        <v>236.024</v>
      </c>
      <c r="BZ43" t="s">
        <v>236</v>
      </c>
    </row>
    <row r="44" spans="1:78" x14ac:dyDescent="0.4">
      <c r="A44" s="3">
        <v>41</v>
      </c>
      <c r="B44" s="3">
        <v>41</v>
      </c>
      <c r="C44" s="4" t="s">
        <v>105</v>
      </c>
      <c r="D44" s="4" t="str">
        <f t="shared" si="36"/>
        <v>J6368P</v>
      </c>
      <c r="E44" s="4" t="s">
        <v>105</v>
      </c>
      <c r="F44" s="4" t="str">
        <f t="shared" si="5"/>
        <v>J6368P5</v>
      </c>
      <c r="G44" s="4" t="s">
        <v>168</v>
      </c>
      <c r="H44" s="5">
        <v>4547345055136</v>
      </c>
      <c r="I44" s="5">
        <v>5</v>
      </c>
      <c r="J44" s="5"/>
      <c r="K44" s="5">
        <v>1</v>
      </c>
      <c r="L44" s="5">
        <v>1</v>
      </c>
      <c r="M44" s="4">
        <v>0</v>
      </c>
      <c r="N44" s="4">
        <v>190</v>
      </c>
      <c r="O44" s="4">
        <v>128</v>
      </c>
      <c r="P44" s="6">
        <f t="shared" si="37"/>
        <v>0.32631578947368423</v>
      </c>
      <c r="Q44" s="4" t="s">
        <v>196</v>
      </c>
      <c r="R44" s="4" t="s">
        <v>196</v>
      </c>
      <c r="S44" s="4" t="s">
        <v>196</v>
      </c>
      <c r="T44" s="4" t="s">
        <v>196</v>
      </c>
      <c r="U44" s="4" t="s">
        <v>196</v>
      </c>
      <c r="V44" s="4" t="s">
        <v>196</v>
      </c>
      <c r="W44" s="4" t="s">
        <v>196</v>
      </c>
      <c r="X44" s="4" t="s">
        <v>196</v>
      </c>
      <c r="Y44" s="4" t="s">
        <v>196</v>
      </c>
      <c r="Z44" s="4" t="s">
        <v>196</v>
      </c>
      <c r="AA44" s="4" t="s">
        <v>196</v>
      </c>
      <c r="AB44" s="4" t="s">
        <v>196</v>
      </c>
      <c r="AC44" s="4">
        <v>0</v>
      </c>
      <c r="AD44" s="4">
        <f t="shared" si="38"/>
        <v>0</v>
      </c>
      <c r="AE44" s="4">
        <v>164</v>
      </c>
      <c r="AF44" s="4">
        <f t="shared" si="39"/>
        <v>164</v>
      </c>
      <c r="AG44" s="4"/>
      <c r="AH44" s="21">
        <f t="shared" si="40"/>
        <v>243</v>
      </c>
      <c r="AI44" s="6">
        <f t="shared" si="41"/>
        <v>0.32510288065843618</v>
      </c>
      <c r="AJ44" s="4">
        <v>0.5</v>
      </c>
      <c r="AK44" s="4">
        <f t="shared" si="42"/>
        <v>245.96</v>
      </c>
      <c r="AL44" s="4">
        <f t="shared" si="43"/>
        <v>315.13625000000002</v>
      </c>
      <c r="AM44" s="6">
        <f t="shared" si="44"/>
        <v>0.47959017726459585</v>
      </c>
      <c r="AN44" s="7">
        <v>243</v>
      </c>
      <c r="AO44" s="6">
        <f t="shared" si="45"/>
        <v>0.32510288065843618</v>
      </c>
      <c r="AP44" s="4">
        <f t="shared" si="46"/>
        <v>79</v>
      </c>
      <c r="AQ44" s="28"/>
      <c r="AR44" s="6"/>
      <c r="AS44" s="6"/>
      <c r="AT44" s="6" t="str">
        <f t="shared" si="47"/>
        <v>-</v>
      </c>
      <c r="AU44" s="6">
        <f t="shared" si="48"/>
        <v>1.2789473684210526</v>
      </c>
      <c r="AV44" s="6">
        <f t="shared" si="49"/>
        <v>1.28125</v>
      </c>
      <c r="AW44" s="4" t="str">
        <f t="shared" si="16"/>
        <v>-</v>
      </c>
      <c r="AX44" s="4" t="str">
        <f t="shared" si="17"/>
        <v>-</v>
      </c>
      <c r="AY44" s="4" t="str">
        <f t="shared" si="18"/>
        <v>-</v>
      </c>
      <c r="AZ44" s="4" t="str">
        <f t="shared" si="19"/>
        <v>-</v>
      </c>
      <c r="BA44" s="4" t="str">
        <f t="shared" si="20"/>
        <v>-</v>
      </c>
      <c r="BB44" s="4" t="str">
        <f t="shared" si="21"/>
        <v>-</v>
      </c>
      <c r="BC44" s="4" t="str">
        <f t="shared" si="22"/>
        <v>-</v>
      </c>
      <c r="BD44" s="4" t="str">
        <f t="shared" si="23"/>
        <v>-</v>
      </c>
      <c r="BE44" s="4" t="str">
        <f t="shared" si="24"/>
        <v>-</v>
      </c>
      <c r="BF44" s="4" t="str">
        <f t="shared" si="25"/>
        <v>-</v>
      </c>
      <c r="BG44" s="4" t="str">
        <f t="shared" si="26"/>
        <v>-</v>
      </c>
      <c r="BH44" s="4" t="str">
        <f t="shared" si="27"/>
        <v>-</v>
      </c>
      <c r="BI44" s="4">
        <v>0</v>
      </c>
      <c r="BJ44" s="4" t="s">
        <v>305</v>
      </c>
      <c r="BK44" s="4">
        <v>1</v>
      </c>
      <c r="BL44" s="4">
        <v>50</v>
      </c>
      <c r="BM44" s="4" t="s">
        <v>297</v>
      </c>
      <c r="BN44" s="4">
        <v>9600</v>
      </c>
      <c r="BO44" s="4">
        <v>12298</v>
      </c>
      <c r="BP44" s="4">
        <f t="shared" si="50"/>
        <v>245.96</v>
      </c>
      <c r="BQ44" s="19">
        <v>4</v>
      </c>
      <c r="BR44" s="19">
        <v>8</v>
      </c>
      <c r="BS44" s="16">
        <v>18</v>
      </c>
      <c r="BT44" t="s">
        <v>199</v>
      </c>
      <c r="BU44" t="s">
        <v>196</v>
      </c>
      <c r="BV44" t="str">
        <f t="shared" si="28"/>
        <v>-</v>
      </c>
      <c r="BW44">
        <v>190</v>
      </c>
      <c r="BX44">
        <v>190</v>
      </c>
      <c r="BY44">
        <f t="shared" si="29"/>
        <v>243.4375</v>
      </c>
      <c r="BZ44" t="s">
        <v>237</v>
      </c>
    </row>
    <row r="45" spans="1:78" x14ac:dyDescent="0.4">
      <c r="A45" s="3">
        <v>42</v>
      </c>
      <c r="B45" s="3">
        <v>42</v>
      </c>
      <c r="C45" s="4" t="s">
        <v>106</v>
      </c>
      <c r="D45" s="4" t="str">
        <f t="shared" si="36"/>
        <v>J6369P</v>
      </c>
      <c r="E45" s="4" t="s">
        <v>106</v>
      </c>
      <c r="F45" s="4" t="str">
        <f t="shared" si="5"/>
        <v>J6369P5</v>
      </c>
      <c r="G45" s="4" t="s">
        <v>169</v>
      </c>
      <c r="H45" s="5">
        <v>4547345055150</v>
      </c>
      <c r="I45" s="5">
        <v>5</v>
      </c>
      <c r="J45" s="5"/>
      <c r="K45" s="5">
        <v>1</v>
      </c>
      <c r="L45" s="5">
        <v>1</v>
      </c>
      <c r="M45" s="4">
        <v>0</v>
      </c>
      <c r="N45" s="4">
        <v>256</v>
      </c>
      <c r="O45" s="4">
        <v>176</v>
      </c>
      <c r="P45" s="6">
        <f t="shared" si="37"/>
        <v>0.3125</v>
      </c>
      <c r="Q45" s="4" t="s">
        <v>196</v>
      </c>
      <c r="R45" s="4" t="s">
        <v>196</v>
      </c>
      <c r="S45" s="4" t="s">
        <v>196</v>
      </c>
      <c r="T45" s="4" t="s">
        <v>196</v>
      </c>
      <c r="U45" s="4" t="s">
        <v>196</v>
      </c>
      <c r="V45" s="4" t="s">
        <v>196</v>
      </c>
      <c r="W45" s="4" t="s">
        <v>196</v>
      </c>
      <c r="X45" s="4" t="s">
        <v>196</v>
      </c>
      <c r="Y45" s="4" t="s">
        <v>196</v>
      </c>
      <c r="Z45" s="4" t="s">
        <v>196</v>
      </c>
      <c r="AA45" s="4" t="s">
        <v>196</v>
      </c>
      <c r="AB45" s="4" t="s">
        <v>196</v>
      </c>
      <c r="AC45" s="4">
        <v>0</v>
      </c>
      <c r="AD45" s="4">
        <f t="shared" si="38"/>
        <v>0</v>
      </c>
      <c r="AE45" s="4">
        <v>228</v>
      </c>
      <c r="AF45" s="4">
        <f t="shared" si="39"/>
        <v>228</v>
      </c>
      <c r="AG45" s="4"/>
      <c r="AH45" s="21">
        <f t="shared" si="40"/>
        <v>332</v>
      </c>
      <c r="AI45" s="6">
        <f t="shared" si="41"/>
        <v>0.31325301204819278</v>
      </c>
      <c r="AJ45" s="4">
        <v>0.5</v>
      </c>
      <c r="AK45" s="4">
        <f t="shared" si="42"/>
        <v>310</v>
      </c>
      <c r="AL45" s="4">
        <f t="shared" si="43"/>
        <v>401.59090909090907</v>
      </c>
      <c r="AM45" s="6">
        <f t="shared" si="44"/>
        <v>0.43225806451612903</v>
      </c>
      <c r="AN45" s="7">
        <v>335</v>
      </c>
      <c r="AO45" s="6">
        <f t="shared" si="45"/>
        <v>0.31940298507462683</v>
      </c>
      <c r="AP45" s="4">
        <f t="shared" si="46"/>
        <v>107</v>
      </c>
      <c r="AQ45" s="28"/>
      <c r="AR45" s="6"/>
      <c r="AS45" s="6"/>
      <c r="AT45" s="6" t="str">
        <f t="shared" si="47"/>
        <v>-</v>
      </c>
      <c r="AU45" s="6">
        <f t="shared" si="48"/>
        <v>1.30859375</v>
      </c>
      <c r="AV45" s="6">
        <f t="shared" si="49"/>
        <v>1.2954545454545454</v>
      </c>
      <c r="AW45" s="4" t="str">
        <f t="shared" si="16"/>
        <v>-</v>
      </c>
      <c r="AX45" s="4" t="str">
        <f t="shared" si="17"/>
        <v>-</v>
      </c>
      <c r="AY45" s="4" t="str">
        <f t="shared" si="18"/>
        <v>-</v>
      </c>
      <c r="AZ45" s="4" t="str">
        <f t="shared" si="19"/>
        <v>-</v>
      </c>
      <c r="BA45" s="4" t="str">
        <f t="shared" si="20"/>
        <v>-</v>
      </c>
      <c r="BB45" s="4" t="str">
        <f t="shared" si="21"/>
        <v>-</v>
      </c>
      <c r="BC45" s="4" t="str">
        <f t="shared" si="22"/>
        <v>-</v>
      </c>
      <c r="BD45" s="4" t="str">
        <f t="shared" si="23"/>
        <v>-</v>
      </c>
      <c r="BE45" s="4" t="str">
        <f t="shared" si="24"/>
        <v>-</v>
      </c>
      <c r="BF45" s="4" t="str">
        <f t="shared" si="25"/>
        <v>-</v>
      </c>
      <c r="BG45" s="4" t="str">
        <f t="shared" si="26"/>
        <v>-</v>
      </c>
      <c r="BH45" s="4" t="str">
        <f t="shared" si="27"/>
        <v>-</v>
      </c>
      <c r="BI45" s="4">
        <v>0</v>
      </c>
      <c r="BJ45" s="4" t="s">
        <v>306</v>
      </c>
      <c r="BK45" s="4"/>
      <c r="BL45" s="4"/>
      <c r="BM45" s="4" t="s">
        <v>270</v>
      </c>
      <c r="BN45" s="4">
        <v>310</v>
      </c>
      <c r="BO45" s="4">
        <v>310</v>
      </c>
      <c r="BP45" s="4">
        <f t="shared" si="50"/>
        <v>310</v>
      </c>
      <c r="BQ45" s="19">
        <v>4</v>
      </c>
      <c r="BR45" s="19">
        <v>1</v>
      </c>
      <c r="BS45" s="16">
        <v>18</v>
      </c>
      <c r="BT45" t="s">
        <v>199</v>
      </c>
      <c r="BU45" t="s">
        <v>196</v>
      </c>
      <c r="BV45" t="str">
        <f t="shared" si="28"/>
        <v>-</v>
      </c>
      <c r="BW45">
        <v>261</v>
      </c>
      <c r="BX45">
        <v>261</v>
      </c>
      <c r="BY45">
        <f t="shared" si="29"/>
        <v>338.11363636363637</v>
      </c>
      <c r="BZ45" t="s">
        <v>238</v>
      </c>
    </row>
    <row r="46" spans="1:78" x14ac:dyDescent="0.4">
      <c r="A46" s="3">
        <v>43</v>
      </c>
      <c r="B46" s="3">
        <v>43</v>
      </c>
      <c r="C46" s="4" t="s">
        <v>107</v>
      </c>
      <c r="D46" s="4" t="str">
        <f t="shared" si="36"/>
        <v>J6370P</v>
      </c>
      <c r="E46" s="4" t="s">
        <v>107</v>
      </c>
      <c r="F46" s="4" t="str">
        <f t="shared" si="5"/>
        <v>J6370P5</v>
      </c>
      <c r="G46" s="4" t="s">
        <v>170</v>
      </c>
      <c r="H46" s="5">
        <v>4547345055174</v>
      </c>
      <c r="I46" s="5">
        <v>5</v>
      </c>
      <c r="J46" s="5"/>
      <c r="K46" s="5">
        <v>1</v>
      </c>
      <c r="L46" s="5">
        <v>1</v>
      </c>
      <c r="M46" s="4">
        <v>0</v>
      </c>
      <c r="N46" s="4">
        <v>280</v>
      </c>
      <c r="O46" s="4">
        <v>190</v>
      </c>
      <c r="P46" s="6">
        <f t="shared" si="37"/>
        <v>0.3214285714285714</v>
      </c>
      <c r="Q46" s="4" t="s">
        <v>196</v>
      </c>
      <c r="R46" s="4" t="s">
        <v>196</v>
      </c>
      <c r="S46" s="4" t="s">
        <v>196</v>
      </c>
      <c r="T46" s="4" t="s">
        <v>196</v>
      </c>
      <c r="U46" s="4" t="s">
        <v>196</v>
      </c>
      <c r="V46" s="4" t="s">
        <v>196</v>
      </c>
      <c r="W46" s="4" t="s">
        <v>196</v>
      </c>
      <c r="X46" s="4" t="s">
        <v>196</v>
      </c>
      <c r="Y46" s="4" t="s">
        <v>196</v>
      </c>
      <c r="Z46" s="4" t="s">
        <v>196</v>
      </c>
      <c r="AA46" s="4" t="s">
        <v>196</v>
      </c>
      <c r="AB46" s="4" t="s">
        <v>196</v>
      </c>
      <c r="AC46" s="4">
        <v>0</v>
      </c>
      <c r="AD46" s="4">
        <f t="shared" si="38"/>
        <v>0</v>
      </c>
      <c r="AE46" s="4">
        <v>246</v>
      </c>
      <c r="AF46" s="4">
        <f t="shared" si="39"/>
        <v>246</v>
      </c>
      <c r="AG46" s="4"/>
      <c r="AH46" s="21">
        <f t="shared" si="40"/>
        <v>363</v>
      </c>
      <c r="AI46" s="6">
        <f t="shared" si="41"/>
        <v>0.3223140495867769</v>
      </c>
      <c r="AJ46" s="4">
        <v>0.25</v>
      </c>
      <c r="AK46" s="4">
        <f t="shared" si="42"/>
        <v>364.86666666666667</v>
      </c>
      <c r="AL46" s="4">
        <f t="shared" si="43"/>
        <v>472.40631578947369</v>
      </c>
      <c r="AM46" s="6">
        <f t="shared" si="44"/>
        <v>0.47926183080577378</v>
      </c>
      <c r="AN46" s="7">
        <v>355</v>
      </c>
      <c r="AO46" s="6">
        <f t="shared" si="45"/>
        <v>0.3070422535211268</v>
      </c>
      <c r="AP46" s="4">
        <f t="shared" si="46"/>
        <v>109</v>
      </c>
      <c r="AQ46" s="28"/>
      <c r="AR46" s="6"/>
      <c r="AS46" s="6"/>
      <c r="AT46" s="6" t="str">
        <f t="shared" si="47"/>
        <v>-</v>
      </c>
      <c r="AU46" s="6">
        <f t="shared" si="48"/>
        <v>1.2678571428571428</v>
      </c>
      <c r="AV46" s="6">
        <f t="shared" si="49"/>
        <v>1.2947368421052632</v>
      </c>
      <c r="AW46" s="4" t="str">
        <f t="shared" si="16"/>
        <v>-</v>
      </c>
      <c r="AX46" s="4" t="str">
        <f t="shared" si="17"/>
        <v>-</v>
      </c>
      <c r="AY46" s="4" t="str">
        <f t="shared" si="18"/>
        <v>-</v>
      </c>
      <c r="AZ46" s="4" t="str">
        <f t="shared" si="19"/>
        <v>-</v>
      </c>
      <c r="BA46" s="4" t="str">
        <f t="shared" si="20"/>
        <v>-</v>
      </c>
      <c r="BB46" s="4" t="str">
        <f t="shared" si="21"/>
        <v>-</v>
      </c>
      <c r="BC46" s="4" t="str">
        <f t="shared" si="22"/>
        <v>-</v>
      </c>
      <c r="BD46" s="4" t="str">
        <f t="shared" si="23"/>
        <v>-</v>
      </c>
      <c r="BE46" s="4" t="str">
        <f t="shared" si="24"/>
        <v>-</v>
      </c>
      <c r="BF46" s="4" t="str">
        <f t="shared" si="25"/>
        <v>-</v>
      </c>
      <c r="BG46" s="4" t="str">
        <f t="shared" si="26"/>
        <v>-</v>
      </c>
      <c r="BH46" s="4" t="str">
        <f t="shared" si="27"/>
        <v>-</v>
      </c>
      <c r="BI46" s="4">
        <v>0</v>
      </c>
      <c r="BJ46" s="4" t="s">
        <v>307</v>
      </c>
      <c r="BK46" s="4">
        <v>1</v>
      </c>
      <c r="BL46" s="4">
        <v>30</v>
      </c>
      <c r="BM46" s="4" t="s">
        <v>283</v>
      </c>
      <c r="BN46" s="4">
        <v>8460</v>
      </c>
      <c r="BO46" s="4">
        <v>10946</v>
      </c>
      <c r="BP46" s="4">
        <f t="shared" si="50"/>
        <v>364.86666666666667</v>
      </c>
      <c r="BQ46" s="19">
        <v>4</v>
      </c>
      <c r="BR46" s="19">
        <v>8</v>
      </c>
      <c r="BS46" s="16">
        <v>18</v>
      </c>
      <c r="BT46" t="s">
        <v>199</v>
      </c>
      <c r="BU46" t="s">
        <v>196</v>
      </c>
      <c r="BV46" t="str">
        <f t="shared" si="28"/>
        <v>-</v>
      </c>
      <c r="BW46">
        <v>276</v>
      </c>
      <c r="BX46">
        <v>276</v>
      </c>
      <c r="BY46">
        <f t="shared" si="29"/>
        <v>357.34736842105264</v>
      </c>
      <c r="BZ46" t="s">
        <v>239</v>
      </c>
    </row>
    <row r="47" spans="1:78" x14ac:dyDescent="0.4">
      <c r="A47" s="3">
        <v>44</v>
      </c>
      <c r="B47" s="3">
        <v>44</v>
      </c>
      <c r="C47" s="4" t="s">
        <v>108</v>
      </c>
      <c r="D47" s="4" t="str">
        <f t="shared" si="36"/>
        <v>J6371P</v>
      </c>
      <c r="E47" s="4" t="s">
        <v>108</v>
      </c>
      <c r="F47" s="4" t="str">
        <f t="shared" si="5"/>
        <v>J6371P5</v>
      </c>
      <c r="G47" s="4" t="s">
        <v>171</v>
      </c>
      <c r="H47" s="5">
        <v>4547345055198</v>
      </c>
      <c r="I47" s="5">
        <v>5</v>
      </c>
      <c r="J47" s="5"/>
      <c r="K47" s="5">
        <v>1</v>
      </c>
      <c r="L47" s="5">
        <v>1</v>
      </c>
      <c r="M47" s="4">
        <v>0</v>
      </c>
      <c r="N47" s="4">
        <v>469</v>
      </c>
      <c r="O47" s="4">
        <v>318</v>
      </c>
      <c r="P47" s="6">
        <f t="shared" si="37"/>
        <v>0.32196162046908317</v>
      </c>
      <c r="Q47" s="4" t="s">
        <v>196</v>
      </c>
      <c r="R47" s="4" t="s">
        <v>196</v>
      </c>
      <c r="S47" s="4" t="s">
        <v>196</v>
      </c>
      <c r="T47" s="4" t="s">
        <v>196</v>
      </c>
      <c r="U47" s="4" t="s">
        <v>196</v>
      </c>
      <c r="V47" s="4" t="s">
        <v>196</v>
      </c>
      <c r="W47" s="4" t="s">
        <v>196</v>
      </c>
      <c r="X47" s="4" t="s">
        <v>196</v>
      </c>
      <c r="Y47" s="4" t="s">
        <v>196</v>
      </c>
      <c r="Z47" s="4" t="s">
        <v>196</v>
      </c>
      <c r="AA47" s="4" t="s">
        <v>196</v>
      </c>
      <c r="AB47" s="4" t="s">
        <v>196</v>
      </c>
      <c r="AC47" s="4">
        <v>0</v>
      </c>
      <c r="AD47" s="4">
        <f t="shared" si="38"/>
        <v>0</v>
      </c>
      <c r="AE47" s="4">
        <v>412</v>
      </c>
      <c r="AF47" s="4">
        <f t="shared" si="39"/>
        <v>412</v>
      </c>
      <c r="AG47" s="4"/>
      <c r="AH47" s="21">
        <f t="shared" si="40"/>
        <v>608</v>
      </c>
      <c r="AI47" s="6">
        <f t="shared" si="41"/>
        <v>0.32236842105263153</v>
      </c>
      <c r="AJ47" s="4">
        <v>4.25</v>
      </c>
      <c r="AK47" s="4">
        <f t="shared" si="42"/>
        <v>603.23333333333335</v>
      </c>
      <c r="AL47" s="4">
        <f t="shared" si="43"/>
        <v>781.54758909853251</v>
      </c>
      <c r="AM47" s="6">
        <f t="shared" si="44"/>
        <v>0.4728408023429298</v>
      </c>
      <c r="AN47" s="7">
        <v>600</v>
      </c>
      <c r="AO47" s="6">
        <f t="shared" si="45"/>
        <v>0.31333333333333335</v>
      </c>
      <c r="AP47" s="4">
        <f t="shared" si="46"/>
        <v>188</v>
      </c>
      <c r="AQ47" s="28"/>
      <c r="AR47" s="6"/>
      <c r="AS47" s="6"/>
      <c r="AT47" s="6" t="str">
        <f t="shared" si="47"/>
        <v>-</v>
      </c>
      <c r="AU47" s="6">
        <f t="shared" si="48"/>
        <v>1.279317697228145</v>
      </c>
      <c r="AV47" s="6">
        <f t="shared" si="49"/>
        <v>1.2955974842767295</v>
      </c>
      <c r="AW47" s="4" t="str">
        <f t="shared" si="16"/>
        <v>-</v>
      </c>
      <c r="AX47" s="4" t="str">
        <f t="shared" si="17"/>
        <v>-</v>
      </c>
      <c r="AY47" s="4" t="str">
        <f t="shared" si="18"/>
        <v>-</v>
      </c>
      <c r="AZ47" s="4" t="str">
        <f t="shared" si="19"/>
        <v>-</v>
      </c>
      <c r="BA47" s="4" t="str">
        <f t="shared" si="20"/>
        <v>-</v>
      </c>
      <c r="BB47" s="4" t="str">
        <f t="shared" si="21"/>
        <v>-</v>
      </c>
      <c r="BC47" s="4" t="str">
        <f t="shared" si="22"/>
        <v>-</v>
      </c>
      <c r="BD47" s="4" t="str">
        <f t="shared" si="23"/>
        <v>-</v>
      </c>
      <c r="BE47" s="4" t="str">
        <f t="shared" si="24"/>
        <v>-</v>
      </c>
      <c r="BF47" s="4" t="str">
        <f t="shared" si="25"/>
        <v>-</v>
      </c>
      <c r="BG47" s="4" t="str">
        <f t="shared" si="26"/>
        <v>-</v>
      </c>
      <c r="BH47" s="4" t="str">
        <f t="shared" si="27"/>
        <v>-</v>
      </c>
      <c r="BI47" s="4">
        <v>0</v>
      </c>
      <c r="BJ47" s="4" t="s">
        <v>308</v>
      </c>
      <c r="BK47" s="4">
        <v>1</v>
      </c>
      <c r="BL47" s="4">
        <v>30</v>
      </c>
      <c r="BM47" s="4" t="s">
        <v>283</v>
      </c>
      <c r="BN47" s="4">
        <v>13990</v>
      </c>
      <c r="BO47" s="4">
        <v>18097</v>
      </c>
      <c r="BP47" s="4">
        <f t="shared" si="50"/>
        <v>603.23333333333335</v>
      </c>
      <c r="BQ47" s="19">
        <v>4</v>
      </c>
      <c r="BR47" s="19">
        <v>1</v>
      </c>
      <c r="BS47" s="16">
        <v>18</v>
      </c>
      <c r="BT47" t="s">
        <v>199</v>
      </c>
      <c r="BU47" t="s">
        <v>196</v>
      </c>
      <c r="BV47" t="str">
        <f t="shared" si="28"/>
        <v>-</v>
      </c>
      <c r="BW47">
        <v>466</v>
      </c>
      <c r="BX47">
        <v>466</v>
      </c>
      <c r="BY47">
        <f t="shared" si="29"/>
        <v>603.74842767295593</v>
      </c>
      <c r="BZ47" t="s">
        <v>240</v>
      </c>
    </row>
    <row r="48" spans="1:78" x14ac:dyDescent="0.4">
      <c r="A48" s="3">
        <v>45</v>
      </c>
      <c r="B48" s="3">
        <v>45</v>
      </c>
      <c r="C48" s="4" t="s">
        <v>109</v>
      </c>
      <c r="D48" s="4" t="str">
        <f t="shared" si="36"/>
        <v>J6372P</v>
      </c>
      <c r="E48" s="4" t="s">
        <v>109</v>
      </c>
      <c r="F48" s="4" t="str">
        <f t="shared" si="5"/>
        <v>J6372P5</v>
      </c>
      <c r="G48" s="4" t="s">
        <v>172</v>
      </c>
      <c r="H48" s="5">
        <v>4547345055211</v>
      </c>
      <c r="I48" s="5">
        <v>5</v>
      </c>
      <c r="J48" s="5"/>
      <c r="K48" s="5">
        <v>1</v>
      </c>
      <c r="L48" s="5">
        <v>1</v>
      </c>
      <c r="M48" s="4">
        <v>0</v>
      </c>
      <c r="N48" s="4">
        <v>497</v>
      </c>
      <c r="O48" s="4">
        <v>360</v>
      </c>
      <c r="P48" s="6">
        <f t="shared" si="37"/>
        <v>0.27565392354124751</v>
      </c>
      <c r="Q48" s="4" t="s">
        <v>196</v>
      </c>
      <c r="R48" s="4" t="s">
        <v>196</v>
      </c>
      <c r="S48" s="4" t="s">
        <v>196</v>
      </c>
      <c r="T48" s="4" t="s">
        <v>196</v>
      </c>
      <c r="U48" s="4" t="s">
        <v>196</v>
      </c>
      <c r="V48" s="4" t="s">
        <v>196</v>
      </c>
      <c r="W48" s="4" t="s">
        <v>196</v>
      </c>
      <c r="X48" s="4" t="s">
        <v>196</v>
      </c>
      <c r="Y48" s="4" t="s">
        <v>196</v>
      </c>
      <c r="Z48" s="4" t="s">
        <v>196</v>
      </c>
      <c r="AA48" s="4" t="s">
        <v>196</v>
      </c>
      <c r="AB48" s="4" t="s">
        <v>196</v>
      </c>
      <c r="AC48" s="4">
        <v>0</v>
      </c>
      <c r="AD48" s="4">
        <f t="shared" si="38"/>
        <v>0</v>
      </c>
      <c r="AE48" s="4">
        <v>465</v>
      </c>
      <c r="AF48" s="4">
        <f t="shared" si="39"/>
        <v>465</v>
      </c>
      <c r="AG48" s="4"/>
      <c r="AH48" s="21">
        <f t="shared" si="40"/>
        <v>642</v>
      </c>
      <c r="AI48" s="6">
        <f t="shared" si="41"/>
        <v>0.27570093457943923</v>
      </c>
      <c r="AJ48" s="4">
        <v>0.5</v>
      </c>
      <c r="AK48" s="4">
        <f t="shared" si="42"/>
        <v>678.6</v>
      </c>
      <c r="AL48" s="4">
        <f t="shared" si="43"/>
        <v>876.52500000000009</v>
      </c>
      <c r="AM48" s="6">
        <f t="shared" si="44"/>
        <v>0.46949602122015921</v>
      </c>
      <c r="AN48" s="7">
        <v>675</v>
      </c>
      <c r="AO48" s="6">
        <f t="shared" si="45"/>
        <v>0.31111111111111112</v>
      </c>
      <c r="AP48" s="4">
        <f t="shared" si="46"/>
        <v>210</v>
      </c>
      <c r="AQ48" s="28"/>
      <c r="AR48" s="6"/>
      <c r="AS48" s="6"/>
      <c r="AT48" s="6" t="str">
        <f t="shared" si="47"/>
        <v>-</v>
      </c>
      <c r="AU48" s="6">
        <f t="shared" si="48"/>
        <v>1.3581488933601609</v>
      </c>
      <c r="AV48" s="6">
        <f t="shared" si="49"/>
        <v>1.2916666666666667</v>
      </c>
      <c r="AW48" s="4" t="str">
        <f t="shared" si="16"/>
        <v>-</v>
      </c>
      <c r="AX48" s="4" t="str">
        <f t="shared" si="17"/>
        <v>-</v>
      </c>
      <c r="AY48" s="4" t="str">
        <f t="shared" si="18"/>
        <v>-</v>
      </c>
      <c r="AZ48" s="4" t="str">
        <f t="shared" si="19"/>
        <v>-</v>
      </c>
      <c r="BA48" s="4" t="str">
        <f t="shared" si="20"/>
        <v>-</v>
      </c>
      <c r="BB48" s="4" t="str">
        <f t="shared" si="21"/>
        <v>-</v>
      </c>
      <c r="BC48" s="4" t="str">
        <f t="shared" si="22"/>
        <v>-</v>
      </c>
      <c r="BD48" s="4" t="str">
        <f t="shared" si="23"/>
        <v>-</v>
      </c>
      <c r="BE48" s="4" t="str">
        <f t="shared" si="24"/>
        <v>-</v>
      </c>
      <c r="BF48" s="4" t="str">
        <f t="shared" si="25"/>
        <v>-</v>
      </c>
      <c r="BG48" s="4" t="str">
        <f t="shared" si="26"/>
        <v>-</v>
      </c>
      <c r="BH48" s="4" t="str">
        <f t="shared" si="27"/>
        <v>-</v>
      </c>
      <c r="BI48" s="4">
        <v>0</v>
      </c>
      <c r="BJ48" s="4" t="s">
        <v>309</v>
      </c>
      <c r="BK48" s="4">
        <v>1</v>
      </c>
      <c r="BL48" s="4">
        <v>30</v>
      </c>
      <c r="BM48" s="4" t="s">
        <v>283</v>
      </c>
      <c r="BN48" s="4">
        <v>15797</v>
      </c>
      <c r="BO48" s="4">
        <v>20358</v>
      </c>
      <c r="BP48" s="4">
        <f t="shared" si="50"/>
        <v>678.6</v>
      </c>
      <c r="BQ48" s="19">
        <v>4</v>
      </c>
      <c r="BR48" s="19">
        <v>8</v>
      </c>
      <c r="BS48" s="16">
        <v>18</v>
      </c>
      <c r="BT48" t="s">
        <v>199</v>
      </c>
      <c r="BU48" t="s">
        <v>196</v>
      </c>
      <c r="BV48" t="str">
        <f t="shared" si="28"/>
        <v>-</v>
      </c>
      <c r="BW48">
        <v>526</v>
      </c>
      <c r="BX48">
        <v>526</v>
      </c>
      <c r="BY48">
        <f t="shared" si="29"/>
        <v>679.41666666666674</v>
      </c>
      <c r="BZ48" t="s">
        <v>241</v>
      </c>
    </row>
    <row r="49" spans="1:78" x14ac:dyDescent="0.4">
      <c r="A49" s="3">
        <v>46</v>
      </c>
      <c r="B49" s="3">
        <v>46</v>
      </c>
      <c r="C49" s="4" t="s">
        <v>110</v>
      </c>
      <c r="D49" s="4" t="str">
        <f t="shared" si="36"/>
        <v>J6373P</v>
      </c>
      <c r="E49" s="4" t="s">
        <v>110</v>
      </c>
      <c r="F49" s="4" t="str">
        <f t="shared" si="5"/>
        <v>J6373P5</v>
      </c>
      <c r="G49" s="4" t="s">
        <v>173</v>
      </c>
      <c r="H49" s="5">
        <v>4547345055235</v>
      </c>
      <c r="I49" s="5">
        <v>5</v>
      </c>
      <c r="J49" s="5"/>
      <c r="K49" s="5">
        <v>1</v>
      </c>
      <c r="L49" s="5">
        <v>1</v>
      </c>
      <c r="M49" s="4">
        <v>0</v>
      </c>
      <c r="N49" s="4">
        <v>763</v>
      </c>
      <c r="O49" s="4">
        <v>553</v>
      </c>
      <c r="P49" s="6">
        <f t="shared" si="37"/>
        <v>0.27522935779816515</v>
      </c>
      <c r="Q49" s="4" t="s">
        <v>196</v>
      </c>
      <c r="R49" s="4" t="s">
        <v>196</v>
      </c>
      <c r="S49" s="4" t="s">
        <v>196</v>
      </c>
      <c r="T49" s="4" t="s">
        <v>196</v>
      </c>
      <c r="U49" s="4" t="s">
        <v>196</v>
      </c>
      <c r="V49" s="4" t="s">
        <v>196</v>
      </c>
      <c r="W49" s="4" t="s">
        <v>196</v>
      </c>
      <c r="X49" s="4" t="s">
        <v>196</v>
      </c>
      <c r="Y49" s="4" t="s">
        <v>196</v>
      </c>
      <c r="Z49" s="4" t="s">
        <v>196</v>
      </c>
      <c r="AA49" s="4" t="s">
        <v>196</v>
      </c>
      <c r="AB49" s="4" t="s">
        <v>196</v>
      </c>
      <c r="AC49" s="4">
        <v>0</v>
      </c>
      <c r="AD49" s="4">
        <f t="shared" si="38"/>
        <v>0</v>
      </c>
      <c r="AE49" s="4">
        <v>717</v>
      </c>
      <c r="AF49" s="4">
        <f t="shared" si="39"/>
        <v>717</v>
      </c>
      <c r="AG49" s="4"/>
      <c r="AH49" s="21">
        <f t="shared" si="40"/>
        <v>989</v>
      </c>
      <c r="AI49" s="6">
        <f t="shared" si="41"/>
        <v>0.27502527805864507</v>
      </c>
      <c r="AJ49" s="4">
        <v>0.25</v>
      </c>
      <c r="AK49" s="4">
        <f t="shared" si="42"/>
        <v>855</v>
      </c>
      <c r="AL49" s="4">
        <f t="shared" si="43"/>
        <v>1108.5623869801084</v>
      </c>
      <c r="AM49" s="6">
        <f t="shared" si="44"/>
        <v>0.35321637426900576</v>
      </c>
      <c r="AN49" s="7">
        <v>998</v>
      </c>
      <c r="AO49" s="6">
        <f t="shared" si="45"/>
        <v>0.28156312625250501</v>
      </c>
      <c r="AP49" s="4">
        <f t="shared" si="46"/>
        <v>281</v>
      </c>
      <c r="AQ49" s="28"/>
      <c r="AR49" s="6"/>
      <c r="AS49" s="6"/>
      <c r="AT49" s="6" t="str">
        <f t="shared" si="47"/>
        <v>-</v>
      </c>
      <c r="AU49" s="6">
        <f t="shared" si="48"/>
        <v>1.307994757536042</v>
      </c>
      <c r="AV49" s="6">
        <f t="shared" si="49"/>
        <v>1.2965641952983724</v>
      </c>
      <c r="AW49" s="4" t="str">
        <f t="shared" si="16"/>
        <v>-</v>
      </c>
      <c r="AX49" s="4" t="str">
        <f t="shared" si="17"/>
        <v>-</v>
      </c>
      <c r="AY49" s="4" t="str">
        <f t="shared" si="18"/>
        <v>-</v>
      </c>
      <c r="AZ49" s="4" t="str">
        <f t="shared" si="19"/>
        <v>-</v>
      </c>
      <c r="BA49" s="4" t="str">
        <f t="shared" si="20"/>
        <v>-</v>
      </c>
      <c r="BB49" s="4" t="str">
        <f t="shared" si="21"/>
        <v>-</v>
      </c>
      <c r="BC49" s="4" t="str">
        <f t="shared" si="22"/>
        <v>-</v>
      </c>
      <c r="BD49" s="4" t="str">
        <f t="shared" si="23"/>
        <v>-</v>
      </c>
      <c r="BE49" s="4" t="str">
        <f t="shared" si="24"/>
        <v>-</v>
      </c>
      <c r="BF49" s="4" t="str">
        <f t="shared" si="25"/>
        <v>-</v>
      </c>
      <c r="BG49" s="4" t="str">
        <f t="shared" si="26"/>
        <v>-</v>
      </c>
      <c r="BH49" s="4" t="str">
        <f t="shared" si="27"/>
        <v>-</v>
      </c>
      <c r="BI49" s="4">
        <v>0</v>
      </c>
      <c r="BJ49" s="4" t="s">
        <v>310</v>
      </c>
      <c r="BK49" s="4"/>
      <c r="BL49" s="4"/>
      <c r="BM49" s="4" t="s">
        <v>270</v>
      </c>
      <c r="BN49" s="4">
        <v>855</v>
      </c>
      <c r="BO49" s="4">
        <v>855</v>
      </c>
      <c r="BP49" s="4">
        <f t="shared" si="50"/>
        <v>855</v>
      </c>
      <c r="BQ49" s="19">
        <v>4</v>
      </c>
      <c r="BR49" s="19">
        <v>8</v>
      </c>
      <c r="BS49" s="16">
        <v>18</v>
      </c>
      <c r="BT49" t="s">
        <v>199</v>
      </c>
      <c r="BU49" t="s">
        <v>196</v>
      </c>
      <c r="BV49" t="str">
        <f t="shared" si="28"/>
        <v>-</v>
      </c>
      <c r="BW49">
        <v>770</v>
      </c>
      <c r="BX49">
        <v>770</v>
      </c>
      <c r="BY49">
        <f t="shared" si="29"/>
        <v>998.35443037974676</v>
      </c>
      <c r="BZ49" t="s">
        <v>242</v>
      </c>
    </row>
    <row r="50" spans="1:78" x14ac:dyDescent="0.4">
      <c r="A50" s="3">
        <v>47</v>
      </c>
      <c r="B50" s="3">
        <v>47</v>
      </c>
      <c r="C50" s="4" t="s">
        <v>111</v>
      </c>
      <c r="D50" s="4" t="str">
        <f t="shared" si="36"/>
        <v>J6374P</v>
      </c>
      <c r="E50" s="4" t="s">
        <v>111</v>
      </c>
      <c r="F50" s="4" t="str">
        <f t="shared" si="5"/>
        <v>J6374P5</v>
      </c>
      <c r="G50" s="4" t="s">
        <v>174</v>
      </c>
      <c r="H50" s="5">
        <v>4547345055259</v>
      </c>
      <c r="I50" s="5">
        <v>5</v>
      </c>
      <c r="J50" s="5"/>
      <c r="K50" s="5">
        <v>1</v>
      </c>
      <c r="L50" s="5">
        <v>1</v>
      </c>
      <c r="M50" s="4">
        <v>0</v>
      </c>
      <c r="N50" s="4">
        <v>857</v>
      </c>
      <c r="O50" s="4">
        <v>624</v>
      </c>
      <c r="P50" s="6">
        <f t="shared" si="37"/>
        <v>0.27187864644107351</v>
      </c>
      <c r="Q50" s="4" t="s">
        <v>196</v>
      </c>
      <c r="R50" s="4" t="s">
        <v>196</v>
      </c>
      <c r="S50" s="4" t="s">
        <v>196</v>
      </c>
      <c r="T50" s="4" t="s">
        <v>196</v>
      </c>
      <c r="U50" s="4" t="s">
        <v>196</v>
      </c>
      <c r="V50" s="4" t="s">
        <v>196</v>
      </c>
      <c r="W50" s="4" t="s">
        <v>196</v>
      </c>
      <c r="X50" s="4" t="s">
        <v>196</v>
      </c>
      <c r="Y50" s="4" t="s">
        <v>196</v>
      </c>
      <c r="Z50" s="4" t="s">
        <v>196</v>
      </c>
      <c r="AA50" s="4" t="s">
        <v>196</v>
      </c>
      <c r="AB50" s="4" t="s">
        <v>196</v>
      </c>
      <c r="AC50" s="4">
        <v>0</v>
      </c>
      <c r="AD50" s="4">
        <f t="shared" si="38"/>
        <v>0</v>
      </c>
      <c r="AE50" s="4">
        <v>810</v>
      </c>
      <c r="AF50" s="4">
        <f t="shared" si="39"/>
        <v>810</v>
      </c>
      <c r="AG50" s="4"/>
      <c r="AH50" s="21">
        <f t="shared" si="40"/>
        <v>1112</v>
      </c>
      <c r="AI50" s="6">
        <f t="shared" si="41"/>
        <v>0.27158273381294962</v>
      </c>
      <c r="AJ50" s="4">
        <v>0.5</v>
      </c>
      <c r="AK50" s="4">
        <f t="shared" si="42"/>
        <v>1184.6000000000001</v>
      </c>
      <c r="AL50" s="4">
        <f t="shared" si="43"/>
        <v>1537.7019230769233</v>
      </c>
      <c r="AM50" s="6">
        <f t="shared" si="44"/>
        <v>0.47323991220665207</v>
      </c>
      <c r="AN50" s="7">
        <v>1130</v>
      </c>
      <c r="AO50" s="6">
        <f t="shared" si="45"/>
        <v>0.2831858407079646</v>
      </c>
      <c r="AP50" s="4">
        <f t="shared" si="46"/>
        <v>320</v>
      </c>
      <c r="AQ50" s="28"/>
      <c r="AR50" s="6"/>
      <c r="AS50" s="6"/>
      <c r="AT50" s="6" t="str">
        <f t="shared" si="47"/>
        <v>-</v>
      </c>
      <c r="AU50" s="6">
        <f t="shared" si="48"/>
        <v>1.3185530921820303</v>
      </c>
      <c r="AV50" s="6">
        <f t="shared" si="49"/>
        <v>1.2980769230769231</v>
      </c>
      <c r="AW50" s="4" t="str">
        <f t="shared" si="16"/>
        <v>-</v>
      </c>
      <c r="AX50" s="4" t="str">
        <f t="shared" si="17"/>
        <v>-</v>
      </c>
      <c r="AY50" s="4" t="str">
        <f t="shared" si="18"/>
        <v>-</v>
      </c>
      <c r="AZ50" s="4" t="str">
        <f t="shared" si="19"/>
        <v>-</v>
      </c>
      <c r="BA50" s="4" t="str">
        <f t="shared" si="20"/>
        <v>-</v>
      </c>
      <c r="BB50" s="4" t="str">
        <f t="shared" si="21"/>
        <v>-</v>
      </c>
      <c r="BC50" s="4" t="str">
        <f t="shared" si="22"/>
        <v>-</v>
      </c>
      <c r="BD50" s="4" t="str">
        <f t="shared" si="23"/>
        <v>-</v>
      </c>
      <c r="BE50" s="4" t="str">
        <f t="shared" si="24"/>
        <v>-</v>
      </c>
      <c r="BF50" s="4" t="str">
        <f t="shared" si="25"/>
        <v>-</v>
      </c>
      <c r="BG50" s="4" t="str">
        <f t="shared" si="26"/>
        <v>-</v>
      </c>
      <c r="BH50" s="4" t="str">
        <f t="shared" si="27"/>
        <v>-</v>
      </c>
      <c r="BI50" s="4">
        <v>0</v>
      </c>
      <c r="BJ50" s="4" t="s">
        <v>311</v>
      </c>
      <c r="BK50" s="4">
        <v>1</v>
      </c>
      <c r="BL50" s="4">
        <v>10</v>
      </c>
      <c r="BM50" s="4" t="s">
        <v>312</v>
      </c>
      <c r="BN50" s="4">
        <v>9143</v>
      </c>
      <c r="BO50" s="4">
        <v>11846</v>
      </c>
      <c r="BP50" s="4">
        <f t="shared" si="50"/>
        <v>1184.6000000000001</v>
      </c>
      <c r="BQ50" s="19">
        <v>4</v>
      </c>
      <c r="BR50" s="19">
        <v>8</v>
      </c>
      <c r="BS50" s="16">
        <v>18</v>
      </c>
      <c r="BT50" t="s">
        <v>199</v>
      </c>
      <c r="BU50" t="s">
        <v>196</v>
      </c>
      <c r="BV50" t="str">
        <f t="shared" si="28"/>
        <v>-</v>
      </c>
      <c r="BW50">
        <v>874</v>
      </c>
      <c r="BX50">
        <v>874</v>
      </c>
      <c r="BY50">
        <f t="shared" si="29"/>
        <v>1134.5192307692307</v>
      </c>
      <c r="BZ50" t="s">
        <v>243</v>
      </c>
    </row>
    <row r="51" spans="1:78" x14ac:dyDescent="0.4">
      <c r="A51" s="3">
        <v>48</v>
      </c>
      <c r="B51" s="3">
        <v>48</v>
      </c>
      <c r="C51" s="4" t="s">
        <v>112</v>
      </c>
      <c r="D51" s="4" t="str">
        <f t="shared" si="36"/>
        <v>J6375P</v>
      </c>
      <c r="E51" s="4" t="s">
        <v>112</v>
      </c>
      <c r="F51" s="4" t="str">
        <f t="shared" si="5"/>
        <v>J6375P5</v>
      </c>
      <c r="G51" s="4" t="s">
        <v>175</v>
      </c>
      <c r="H51" s="5">
        <v>4547345055273</v>
      </c>
      <c r="I51" s="5">
        <v>5</v>
      </c>
      <c r="J51" s="5"/>
      <c r="K51" s="5">
        <v>1</v>
      </c>
      <c r="L51" s="5">
        <v>1</v>
      </c>
      <c r="M51" s="4">
        <v>0</v>
      </c>
      <c r="N51" s="4">
        <v>1131</v>
      </c>
      <c r="O51" s="4">
        <v>850</v>
      </c>
      <c r="P51" s="6">
        <f t="shared" si="37"/>
        <v>0.24845269672855885</v>
      </c>
      <c r="Q51" s="4" t="s">
        <v>196</v>
      </c>
      <c r="R51" s="4" t="s">
        <v>196</v>
      </c>
      <c r="S51" s="4" t="s">
        <v>196</v>
      </c>
      <c r="T51" s="4" t="s">
        <v>196</v>
      </c>
      <c r="U51" s="4" t="s">
        <v>196</v>
      </c>
      <c r="V51" s="4" t="s">
        <v>196</v>
      </c>
      <c r="W51" s="4" t="s">
        <v>196</v>
      </c>
      <c r="X51" s="4" t="s">
        <v>196</v>
      </c>
      <c r="Y51" s="4" t="s">
        <v>196</v>
      </c>
      <c r="Z51" s="4" t="s">
        <v>196</v>
      </c>
      <c r="AA51" s="4" t="s">
        <v>196</v>
      </c>
      <c r="AB51" s="4" t="s">
        <v>196</v>
      </c>
      <c r="AC51" s="4">
        <v>0</v>
      </c>
      <c r="AD51" s="4">
        <f t="shared" si="38"/>
        <v>0</v>
      </c>
      <c r="AE51" s="4">
        <v>1101</v>
      </c>
      <c r="AF51" s="4">
        <f t="shared" si="39"/>
        <v>1101</v>
      </c>
      <c r="AG51" s="4"/>
      <c r="AH51" s="21">
        <f t="shared" si="40"/>
        <v>1465</v>
      </c>
      <c r="AI51" s="6">
        <f t="shared" si="41"/>
        <v>0.24846416382252556</v>
      </c>
      <c r="AJ51" s="4">
        <v>0</v>
      </c>
      <c r="AK51" s="4">
        <f t="shared" si="42"/>
        <v>1607.9</v>
      </c>
      <c r="AL51" s="4">
        <f t="shared" si="43"/>
        <v>2082.7034117647063</v>
      </c>
      <c r="AM51" s="6">
        <f t="shared" si="44"/>
        <v>0.47136015921388152</v>
      </c>
      <c r="AN51" s="7">
        <v>1530</v>
      </c>
      <c r="AO51" s="6">
        <f t="shared" si="45"/>
        <v>0.2803921568627451</v>
      </c>
      <c r="AP51" s="4">
        <f t="shared" si="46"/>
        <v>429</v>
      </c>
      <c r="AQ51" s="28"/>
      <c r="AR51" s="6"/>
      <c r="AS51" s="6"/>
      <c r="AT51" s="6" t="str">
        <f t="shared" si="47"/>
        <v>-</v>
      </c>
      <c r="AU51" s="6">
        <f t="shared" si="48"/>
        <v>1.3527851458885942</v>
      </c>
      <c r="AV51" s="6">
        <f t="shared" si="49"/>
        <v>1.2952941176470589</v>
      </c>
      <c r="AW51" s="4" t="str">
        <f t="shared" si="16"/>
        <v>-</v>
      </c>
      <c r="AX51" s="4" t="str">
        <f t="shared" si="17"/>
        <v>-</v>
      </c>
      <c r="AY51" s="4" t="str">
        <f t="shared" si="18"/>
        <v>-</v>
      </c>
      <c r="AZ51" s="4" t="str">
        <f t="shared" si="19"/>
        <v>-</v>
      </c>
      <c r="BA51" s="4" t="str">
        <f t="shared" si="20"/>
        <v>-</v>
      </c>
      <c r="BB51" s="4" t="str">
        <f t="shared" si="21"/>
        <v>-</v>
      </c>
      <c r="BC51" s="4" t="str">
        <f t="shared" si="22"/>
        <v>-</v>
      </c>
      <c r="BD51" s="4" t="str">
        <f t="shared" si="23"/>
        <v>-</v>
      </c>
      <c r="BE51" s="4" t="str">
        <f t="shared" si="24"/>
        <v>-</v>
      </c>
      <c r="BF51" s="4" t="str">
        <f t="shared" si="25"/>
        <v>-</v>
      </c>
      <c r="BG51" s="4" t="str">
        <f t="shared" si="26"/>
        <v>-</v>
      </c>
      <c r="BH51" s="4" t="str">
        <f t="shared" si="27"/>
        <v>-</v>
      </c>
      <c r="BI51" s="4">
        <v>0</v>
      </c>
      <c r="BJ51" s="4" t="s">
        <v>313</v>
      </c>
      <c r="BK51" s="4">
        <v>1</v>
      </c>
      <c r="BL51" s="4">
        <v>10</v>
      </c>
      <c r="BM51" s="4" t="s">
        <v>312</v>
      </c>
      <c r="BN51" s="4">
        <v>12412</v>
      </c>
      <c r="BO51" s="4">
        <v>16079</v>
      </c>
      <c r="BP51" s="4">
        <f t="shared" si="50"/>
        <v>1607.9</v>
      </c>
      <c r="BQ51" s="19">
        <v>4</v>
      </c>
      <c r="BR51" s="19">
        <v>8</v>
      </c>
      <c r="BS51" s="16">
        <v>18</v>
      </c>
      <c r="BT51" t="s">
        <v>199</v>
      </c>
      <c r="BU51" t="s">
        <v>196</v>
      </c>
      <c r="BV51" t="str">
        <f t="shared" si="28"/>
        <v>-</v>
      </c>
      <c r="BW51">
        <v>1188</v>
      </c>
      <c r="BX51">
        <v>1188</v>
      </c>
      <c r="BY51">
        <f t="shared" si="29"/>
        <v>1538.8094117647061</v>
      </c>
      <c r="BZ51" t="s">
        <v>244</v>
      </c>
    </row>
    <row r="52" spans="1:78" x14ac:dyDescent="0.4">
      <c r="A52" s="3">
        <v>49</v>
      </c>
      <c r="B52" s="3">
        <v>49</v>
      </c>
      <c r="C52" s="4" t="s">
        <v>113</v>
      </c>
      <c r="D52" s="4" t="str">
        <f t="shared" si="36"/>
        <v>J6376P</v>
      </c>
      <c r="E52" s="4" t="s">
        <v>113</v>
      </c>
      <c r="F52" s="4" t="str">
        <f t="shared" si="5"/>
        <v>J6376P5</v>
      </c>
      <c r="G52" s="4" t="s">
        <v>176</v>
      </c>
      <c r="H52" s="5">
        <v>4547345055297</v>
      </c>
      <c r="I52" s="5">
        <v>5</v>
      </c>
      <c r="J52" s="5"/>
      <c r="K52" s="5">
        <v>1</v>
      </c>
      <c r="L52" s="5">
        <v>1</v>
      </c>
      <c r="M52" s="4">
        <v>0</v>
      </c>
      <c r="N52" s="4">
        <v>1543</v>
      </c>
      <c r="O52" s="4">
        <v>1174</v>
      </c>
      <c r="P52" s="6">
        <f t="shared" si="37"/>
        <v>0.2391445236552171</v>
      </c>
      <c r="Q52" s="4" t="s">
        <v>196</v>
      </c>
      <c r="R52" s="4" t="s">
        <v>196</v>
      </c>
      <c r="S52" s="4" t="s">
        <v>196</v>
      </c>
      <c r="T52" s="4" t="s">
        <v>196</v>
      </c>
      <c r="U52" s="4" t="s">
        <v>196</v>
      </c>
      <c r="V52" s="4" t="s">
        <v>196</v>
      </c>
      <c r="W52" s="4" t="s">
        <v>196</v>
      </c>
      <c r="X52" s="4" t="s">
        <v>196</v>
      </c>
      <c r="Y52" s="4" t="s">
        <v>196</v>
      </c>
      <c r="Z52" s="4" t="s">
        <v>196</v>
      </c>
      <c r="AA52" s="4" t="s">
        <v>196</v>
      </c>
      <c r="AB52" s="4" t="s">
        <v>196</v>
      </c>
      <c r="AC52" s="4">
        <v>0</v>
      </c>
      <c r="AD52" s="4">
        <f t="shared" si="38"/>
        <v>0</v>
      </c>
      <c r="AE52" s="4">
        <v>1520</v>
      </c>
      <c r="AF52" s="4">
        <f t="shared" si="39"/>
        <v>1520</v>
      </c>
      <c r="AG52" s="4"/>
      <c r="AH52" s="21">
        <f t="shared" si="40"/>
        <v>1998</v>
      </c>
      <c r="AI52" s="6">
        <f t="shared" si="41"/>
        <v>0.23923923923923929</v>
      </c>
      <c r="AJ52" s="4">
        <v>0</v>
      </c>
      <c r="AK52" s="4">
        <f t="shared" si="42"/>
        <v>2214.5</v>
      </c>
      <c r="AL52" s="4">
        <f t="shared" si="43"/>
        <v>2867.1550255536627</v>
      </c>
      <c r="AM52" s="6">
        <f t="shared" si="44"/>
        <v>0.46985775570106114</v>
      </c>
      <c r="AN52" s="7">
        <v>2110</v>
      </c>
      <c r="AO52" s="6">
        <f t="shared" si="45"/>
        <v>0.27962085308056872</v>
      </c>
      <c r="AP52" s="4">
        <f t="shared" si="46"/>
        <v>590</v>
      </c>
      <c r="AQ52" s="28"/>
      <c r="AR52" s="6"/>
      <c r="AS52" s="6"/>
      <c r="AT52" s="6" t="str">
        <f t="shared" si="47"/>
        <v>-</v>
      </c>
      <c r="AU52" s="6">
        <f t="shared" si="48"/>
        <v>1.3674659753726506</v>
      </c>
      <c r="AV52" s="6">
        <f t="shared" si="49"/>
        <v>1.2947189097103917</v>
      </c>
      <c r="AW52" s="4" t="str">
        <f t="shared" si="16"/>
        <v>-</v>
      </c>
      <c r="AX52" s="4" t="str">
        <f t="shared" si="17"/>
        <v>-</v>
      </c>
      <c r="AY52" s="4" t="str">
        <f t="shared" si="18"/>
        <v>-</v>
      </c>
      <c r="AZ52" s="4" t="str">
        <f t="shared" si="19"/>
        <v>-</v>
      </c>
      <c r="BA52" s="4" t="str">
        <f t="shared" si="20"/>
        <v>-</v>
      </c>
      <c r="BB52" s="4" t="str">
        <f t="shared" si="21"/>
        <v>-</v>
      </c>
      <c r="BC52" s="4" t="str">
        <f t="shared" si="22"/>
        <v>-</v>
      </c>
      <c r="BD52" s="4" t="str">
        <f t="shared" si="23"/>
        <v>-</v>
      </c>
      <c r="BE52" s="4" t="str">
        <f t="shared" si="24"/>
        <v>-</v>
      </c>
      <c r="BF52" s="4" t="str">
        <f t="shared" si="25"/>
        <v>-</v>
      </c>
      <c r="BG52" s="4" t="str">
        <f t="shared" si="26"/>
        <v>-</v>
      </c>
      <c r="BH52" s="4" t="str">
        <f t="shared" si="27"/>
        <v>-</v>
      </c>
      <c r="BI52" s="4">
        <v>0</v>
      </c>
      <c r="BJ52" s="4" t="s">
        <v>314</v>
      </c>
      <c r="BK52" s="4">
        <v>1</v>
      </c>
      <c r="BL52" s="4">
        <v>10</v>
      </c>
      <c r="BM52" s="4" t="s">
        <v>312</v>
      </c>
      <c r="BN52" s="4">
        <v>17123</v>
      </c>
      <c r="BO52" s="4">
        <v>22145</v>
      </c>
      <c r="BP52" s="4">
        <f t="shared" si="50"/>
        <v>2214.5</v>
      </c>
      <c r="BQ52" s="19">
        <v>4</v>
      </c>
      <c r="BR52" s="19">
        <v>8</v>
      </c>
      <c r="BS52" s="16">
        <v>18</v>
      </c>
      <c r="BT52" t="s">
        <v>199</v>
      </c>
      <c r="BU52" t="s">
        <v>196</v>
      </c>
      <c r="BV52" t="str">
        <f t="shared" si="28"/>
        <v>-</v>
      </c>
      <c r="BW52">
        <v>1634</v>
      </c>
      <c r="BX52">
        <v>1634</v>
      </c>
      <c r="BY52">
        <f t="shared" si="29"/>
        <v>2115.57069846678</v>
      </c>
      <c r="BZ52" t="s">
        <v>245</v>
      </c>
    </row>
    <row r="53" spans="1:78" x14ac:dyDescent="0.4">
      <c r="A53" s="3">
        <v>50</v>
      </c>
      <c r="B53" s="3">
        <v>50</v>
      </c>
      <c r="C53" s="4" t="s">
        <v>114</v>
      </c>
      <c r="D53" s="4" t="str">
        <f t="shared" si="36"/>
        <v>J6377P</v>
      </c>
      <c r="E53" s="4" t="s">
        <v>114</v>
      </c>
      <c r="F53" s="4" t="str">
        <f t="shared" si="5"/>
        <v>J6377P5</v>
      </c>
      <c r="G53" s="4" t="s">
        <v>177</v>
      </c>
      <c r="H53" s="5">
        <v>4547345055310</v>
      </c>
      <c r="I53" s="5">
        <v>5</v>
      </c>
      <c r="J53" s="5"/>
      <c r="K53" s="5">
        <v>1</v>
      </c>
      <c r="L53" s="5">
        <v>1</v>
      </c>
      <c r="M53" s="4">
        <v>0</v>
      </c>
      <c r="N53" s="4">
        <v>2235</v>
      </c>
      <c r="O53" s="4">
        <v>1512</v>
      </c>
      <c r="P53" s="6">
        <f t="shared" si="37"/>
        <v>0.323489932885906</v>
      </c>
      <c r="Q53" s="4" t="s">
        <v>196</v>
      </c>
      <c r="R53" s="4" t="s">
        <v>196</v>
      </c>
      <c r="S53" s="4" t="s">
        <v>196</v>
      </c>
      <c r="T53" s="4" t="s">
        <v>196</v>
      </c>
      <c r="U53" s="4" t="s">
        <v>196</v>
      </c>
      <c r="V53" s="4" t="s">
        <v>196</v>
      </c>
      <c r="W53" s="4" t="s">
        <v>196</v>
      </c>
      <c r="X53" s="4" t="s">
        <v>196</v>
      </c>
      <c r="Y53" s="4" t="s">
        <v>196</v>
      </c>
      <c r="Z53" s="4" t="s">
        <v>196</v>
      </c>
      <c r="AA53" s="4" t="s">
        <v>196</v>
      </c>
      <c r="AB53" s="4" t="s">
        <v>196</v>
      </c>
      <c r="AC53" s="4">
        <v>0</v>
      </c>
      <c r="AD53" s="4">
        <f t="shared" si="38"/>
        <v>0</v>
      </c>
      <c r="AE53" s="4">
        <v>1958</v>
      </c>
      <c r="AF53" s="4">
        <f t="shared" si="39"/>
        <v>1958</v>
      </c>
      <c r="AG53" s="4"/>
      <c r="AH53" s="21">
        <f t="shared" si="40"/>
        <v>2894</v>
      </c>
      <c r="AI53" s="6">
        <f t="shared" si="41"/>
        <v>0.32342778161713892</v>
      </c>
      <c r="AJ53" s="4">
        <v>0.25</v>
      </c>
      <c r="AK53" s="4">
        <f t="shared" si="42"/>
        <v>2847.1000000000004</v>
      </c>
      <c r="AL53" s="4">
        <f t="shared" si="43"/>
        <v>3686.9191798941802</v>
      </c>
      <c r="AM53" s="6">
        <f t="shared" si="44"/>
        <v>0.46893330055143834</v>
      </c>
      <c r="AN53" s="7">
        <v>2800</v>
      </c>
      <c r="AO53" s="6">
        <f t="shared" si="45"/>
        <v>0.30071428571428571</v>
      </c>
      <c r="AP53" s="4">
        <f t="shared" si="46"/>
        <v>842</v>
      </c>
      <c r="AQ53" s="28"/>
      <c r="AR53" s="6"/>
      <c r="AS53" s="6"/>
      <c r="AT53" s="6" t="str">
        <f t="shared" si="47"/>
        <v>-</v>
      </c>
      <c r="AU53" s="6">
        <f t="shared" si="48"/>
        <v>1.2527964205816555</v>
      </c>
      <c r="AV53" s="6">
        <f t="shared" si="49"/>
        <v>1.2949735449735449</v>
      </c>
      <c r="AW53" s="4" t="str">
        <f t="shared" si="16"/>
        <v>-</v>
      </c>
      <c r="AX53" s="4" t="str">
        <f t="shared" si="17"/>
        <v>-</v>
      </c>
      <c r="AY53" s="4" t="str">
        <f t="shared" si="18"/>
        <v>-</v>
      </c>
      <c r="AZ53" s="4" t="str">
        <f t="shared" si="19"/>
        <v>-</v>
      </c>
      <c r="BA53" s="4" t="str">
        <f t="shared" si="20"/>
        <v>-</v>
      </c>
      <c r="BB53" s="4" t="str">
        <f t="shared" si="21"/>
        <v>-</v>
      </c>
      <c r="BC53" s="4" t="str">
        <f t="shared" si="22"/>
        <v>-</v>
      </c>
      <c r="BD53" s="4" t="str">
        <f t="shared" si="23"/>
        <v>-</v>
      </c>
      <c r="BE53" s="4" t="str">
        <f t="shared" si="24"/>
        <v>-</v>
      </c>
      <c r="BF53" s="4" t="str">
        <f t="shared" si="25"/>
        <v>-</v>
      </c>
      <c r="BG53" s="4" t="str">
        <f t="shared" si="26"/>
        <v>-</v>
      </c>
      <c r="BH53" s="4" t="str">
        <f t="shared" si="27"/>
        <v>-</v>
      </c>
      <c r="BI53" s="4">
        <v>0</v>
      </c>
      <c r="BJ53" s="4" t="s">
        <v>315</v>
      </c>
      <c r="BK53" s="4">
        <v>1</v>
      </c>
      <c r="BL53" s="4">
        <v>10</v>
      </c>
      <c r="BM53" s="4" t="s">
        <v>312</v>
      </c>
      <c r="BN53" s="4">
        <v>21990</v>
      </c>
      <c r="BO53" s="4">
        <v>28471</v>
      </c>
      <c r="BP53" s="4">
        <f t="shared" si="50"/>
        <v>2847.1000000000004</v>
      </c>
      <c r="BQ53" s="19">
        <v>4</v>
      </c>
      <c r="BR53" s="19">
        <v>8</v>
      </c>
      <c r="BS53" s="16">
        <v>18</v>
      </c>
      <c r="BT53" t="s">
        <v>199</v>
      </c>
      <c r="BU53" t="s">
        <v>196</v>
      </c>
      <c r="BV53" t="str">
        <f t="shared" si="28"/>
        <v>-</v>
      </c>
      <c r="BW53">
        <v>2090</v>
      </c>
      <c r="BX53">
        <v>2090</v>
      </c>
      <c r="BY53">
        <f t="shared" si="29"/>
        <v>2706.4947089947086</v>
      </c>
      <c r="BZ53" t="s">
        <v>246</v>
      </c>
    </row>
    <row r="54" spans="1:78" x14ac:dyDescent="0.4">
      <c r="A54" s="3">
        <v>51</v>
      </c>
      <c r="B54" s="3">
        <v>51</v>
      </c>
      <c r="C54" s="4" t="s">
        <v>115</v>
      </c>
      <c r="D54" s="4" t="str">
        <f t="shared" si="36"/>
        <v>J2942R</v>
      </c>
      <c r="E54" s="4" t="s">
        <v>115</v>
      </c>
      <c r="F54" s="4" t="str">
        <f t="shared" si="5"/>
        <v>J2942R5</v>
      </c>
      <c r="G54" s="4" t="s">
        <v>178</v>
      </c>
      <c r="H54" s="5">
        <v>4547345055501</v>
      </c>
      <c r="I54" s="5">
        <v>5</v>
      </c>
      <c r="J54" s="5"/>
      <c r="K54" s="5">
        <v>1</v>
      </c>
      <c r="L54" s="5">
        <v>1</v>
      </c>
      <c r="M54" s="4">
        <v>0</v>
      </c>
      <c r="N54" s="4">
        <v>1450</v>
      </c>
      <c r="O54" s="4">
        <v>938</v>
      </c>
      <c r="P54" s="6">
        <f t="shared" si="37"/>
        <v>0.35310344827586204</v>
      </c>
      <c r="Q54" s="4" t="s">
        <v>196</v>
      </c>
      <c r="R54" s="4" t="s">
        <v>196</v>
      </c>
      <c r="S54" s="4" t="s">
        <v>196</v>
      </c>
      <c r="T54" s="4" t="s">
        <v>196</v>
      </c>
      <c r="U54" s="4" t="s">
        <v>196</v>
      </c>
      <c r="V54" s="4" t="s">
        <v>196</v>
      </c>
      <c r="W54" s="4" t="s">
        <v>196</v>
      </c>
      <c r="X54" s="4" t="s">
        <v>196</v>
      </c>
      <c r="Y54" s="4" t="s">
        <v>196</v>
      </c>
      <c r="Z54" s="4" t="s">
        <v>196</v>
      </c>
      <c r="AA54" s="4" t="s">
        <v>196</v>
      </c>
      <c r="AB54" s="4" t="s">
        <v>196</v>
      </c>
      <c r="AC54" s="4">
        <v>0</v>
      </c>
      <c r="AD54" s="4">
        <f t="shared" si="38"/>
        <v>0</v>
      </c>
      <c r="AE54" s="4">
        <v>981</v>
      </c>
      <c r="AF54" s="4">
        <f t="shared" si="39"/>
        <v>981</v>
      </c>
      <c r="AG54" s="4"/>
      <c r="AH54" s="21">
        <f t="shared" si="40"/>
        <v>1516</v>
      </c>
      <c r="AI54" s="6">
        <f t="shared" si="41"/>
        <v>0.3529023746701847</v>
      </c>
      <c r="AJ54" s="4">
        <v>2.5</v>
      </c>
      <c r="AK54" s="4">
        <f t="shared" si="42"/>
        <v>1402.8000000000002</v>
      </c>
      <c r="AL54" s="4">
        <f t="shared" si="43"/>
        <v>1467.1074626865673</v>
      </c>
      <c r="AM54" s="6">
        <f t="shared" si="44"/>
        <v>0.33133732534930149</v>
      </c>
      <c r="AN54" s="7">
        <v>1400</v>
      </c>
      <c r="AO54" s="6">
        <f t="shared" si="45"/>
        <v>0.29928571428571427</v>
      </c>
      <c r="AP54" s="4">
        <f t="shared" si="46"/>
        <v>419</v>
      </c>
      <c r="AQ54" s="28"/>
      <c r="AR54" s="6"/>
      <c r="AS54" s="6"/>
      <c r="AT54" s="6" t="str">
        <f t="shared" si="47"/>
        <v>-</v>
      </c>
      <c r="AU54" s="6">
        <f t="shared" si="48"/>
        <v>0.96551724137931039</v>
      </c>
      <c r="AV54" s="6">
        <f t="shared" si="49"/>
        <v>1.0458422174840085</v>
      </c>
      <c r="AW54" s="4" t="str">
        <f t="shared" si="16"/>
        <v>-</v>
      </c>
      <c r="AX54" s="4" t="str">
        <f t="shared" si="17"/>
        <v>-</v>
      </c>
      <c r="AY54" s="4" t="str">
        <f t="shared" si="18"/>
        <v>-</v>
      </c>
      <c r="AZ54" s="4" t="str">
        <f t="shared" si="19"/>
        <v>-</v>
      </c>
      <c r="BA54" s="4" t="str">
        <f t="shared" si="20"/>
        <v>-</v>
      </c>
      <c r="BB54" s="4" t="str">
        <f t="shared" si="21"/>
        <v>-</v>
      </c>
      <c r="BC54" s="4" t="str">
        <f t="shared" si="22"/>
        <v>-</v>
      </c>
      <c r="BD54" s="4" t="str">
        <f t="shared" si="23"/>
        <v>-</v>
      </c>
      <c r="BE54" s="4" t="str">
        <f t="shared" si="24"/>
        <v>-</v>
      </c>
      <c r="BF54" s="4" t="str">
        <f t="shared" si="25"/>
        <v>-</v>
      </c>
      <c r="BG54" s="4" t="str">
        <f t="shared" si="26"/>
        <v>-</v>
      </c>
      <c r="BH54" s="4" t="str">
        <f t="shared" si="27"/>
        <v>-</v>
      </c>
      <c r="BI54" s="4">
        <v>0</v>
      </c>
      <c r="BJ54" s="4" t="s">
        <v>316</v>
      </c>
      <c r="BK54" s="4">
        <v>1</v>
      </c>
      <c r="BL54" s="4">
        <v>10</v>
      </c>
      <c r="BM54" s="4" t="s">
        <v>317</v>
      </c>
      <c r="BN54" s="4">
        <v>13420</v>
      </c>
      <c r="BO54" s="4">
        <v>14028</v>
      </c>
      <c r="BP54" s="4">
        <f t="shared" si="50"/>
        <v>1402.8000000000002</v>
      </c>
      <c r="BQ54" s="19">
        <v>4</v>
      </c>
      <c r="BR54" s="19">
        <v>1</v>
      </c>
      <c r="BS54" s="16">
        <v>4</v>
      </c>
      <c r="BT54" t="s">
        <v>199</v>
      </c>
      <c r="BU54" t="s">
        <v>196</v>
      </c>
      <c r="BV54" t="str">
        <f t="shared" si="28"/>
        <v>-</v>
      </c>
      <c r="BW54">
        <v>1283</v>
      </c>
      <c r="BX54">
        <v>1283</v>
      </c>
      <c r="BY54">
        <f t="shared" si="29"/>
        <v>1341.8155650319829</v>
      </c>
      <c r="BZ54" t="s">
        <v>247</v>
      </c>
    </row>
    <row r="55" spans="1:78" x14ac:dyDescent="0.4">
      <c r="A55" s="3">
        <v>52</v>
      </c>
      <c r="B55" s="3">
        <v>52</v>
      </c>
      <c r="C55" s="4" t="s">
        <v>116</v>
      </c>
      <c r="D55" s="4" t="str">
        <f t="shared" si="36"/>
        <v>J2943R</v>
      </c>
      <c r="E55" s="4" t="s">
        <v>116</v>
      </c>
      <c r="F55" s="4" t="str">
        <f t="shared" si="5"/>
        <v>J2943R5</v>
      </c>
      <c r="G55" s="4" t="s">
        <v>179</v>
      </c>
      <c r="H55" s="5">
        <v>4547345055518</v>
      </c>
      <c r="I55" s="5">
        <v>5</v>
      </c>
      <c r="J55" s="5"/>
      <c r="K55" s="5">
        <v>1</v>
      </c>
      <c r="L55" s="5">
        <v>1</v>
      </c>
      <c r="M55" s="4">
        <v>0</v>
      </c>
      <c r="N55" s="4">
        <v>1450</v>
      </c>
      <c r="O55" s="4">
        <v>938</v>
      </c>
      <c r="P55" s="6">
        <f t="shared" si="37"/>
        <v>0.35310344827586204</v>
      </c>
      <c r="Q55" s="4" t="s">
        <v>196</v>
      </c>
      <c r="R55" s="4" t="s">
        <v>196</v>
      </c>
      <c r="S55" s="4" t="s">
        <v>196</v>
      </c>
      <c r="T55" s="4" t="s">
        <v>196</v>
      </c>
      <c r="U55" s="4" t="s">
        <v>196</v>
      </c>
      <c r="V55" s="4" t="s">
        <v>196</v>
      </c>
      <c r="W55" s="4" t="s">
        <v>196</v>
      </c>
      <c r="X55" s="4" t="s">
        <v>196</v>
      </c>
      <c r="Y55" s="4" t="s">
        <v>196</v>
      </c>
      <c r="Z55" s="4" t="s">
        <v>196</v>
      </c>
      <c r="AA55" s="4" t="s">
        <v>196</v>
      </c>
      <c r="AB55" s="4" t="s">
        <v>196</v>
      </c>
      <c r="AC55" s="4">
        <v>0</v>
      </c>
      <c r="AD55" s="4">
        <f t="shared" si="38"/>
        <v>0</v>
      </c>
      <c r="AE55" s="4">
        <v>981</v>
      </c>
      <c r="AF55" s="4">
        <f t="shared" si="39"/>
        <v>981</v>
      </c>
      <c r="AG55" s="4"/>
      <c r="AH55" s="21">
        <f t="shared" si="40"/>
        <v>1516</v>
      </c>
      <c r="AI55" s="6">
        <f t="shared" si="41"/>
        <v>0.3529023746701847</v>
      </c>
      <c r="AJ55" s="4">
        <v>16.75</v>
      </c>
      <c r="AK55" s="4">
        <f t="shared" si="42"/>
        <v>1402.8000000000002</v>
      </c>
      <c r="AL55" s="4">
        <f t="shared" si="43"/>
        <v>1467.1074626865673</v>
      </c>
      <c r="AM55" s="6">
        <f t="shared" si="44"/>
        <v>0.33133732534930149</v>
      </c>
      <c r="AN55" s="7">
        <v>1400</v>
      </c>
      <c r="AO55" s="6">
        <f t="shared" si="45"/>
        <v>0.29928571428571427</v>
      </c>
      <c r="AP55" s="4">
        <f t="shared" si="46"/>
        <v>419</v>
      </c>
      <c r="AQ55" s="28"/>
      <c r="AR55" s="6"/>
      <c r="AS55" s="6"/>
      <c r="AT55" s="6" t="str">
        <f t="shared" si="47"/>
        <v>-</v>
      </c>
      <c r="AU55" s="6">
        <f t="shared" si="48"/>
        <v>0.96551724137931039</v>
      </c>
      <c r="AV55" s="6">
        <f t="shared" si="49"/>
        <v>1.0458422174840085</v>
      </c>
      <c r="AW55" s="4" t="str">
        <f t="shared" si="16"/>
        <v>-</v>
      </c>
      <c r="AX55" s="4" t="str">
        <f t="shared" si="17"/>
        <v>-</v>
      </c>
      <c r="AY55" s="4" t="str">
        <f t="shared" si="18"/>
        <v>-</v>
      </c>
      <c r="AZ55" s="4" t="str">
        <f t="shared" si="19"/>
        <v>-</v>
      </c>
      <c r="BA55" s="4" t="str">
        <f t="shared" si="20"/>
        <v>-</v>
      </c>
      <c r="BB55" s="4" t="str">
        <f t="shared" si="21"/>
        <v>-</v>
      </c>
      <c r="BC55" s="4" t="str">
        <f t="shared" si="22"/>
        <v>-</v>
      </c>
      <c r="BD55" s="4" t="str">
        <f t="shared" si="23"/>
        <v>-</v>
      </c>
      <c r="BE55" s="4" t="str">
        <f t="shared" si="24"/>
        <v>-</v>
      </c>
      <c r="BF55" s="4" t="str">
        <f t="shared" si="25"/>
        <v>-</v>
      </c>
      <c r="BG55" s="4" t="str">
        <f t="shared" si="26"/>
        <v>-</v>
      </c>
      <c r="BH55" s="4" t="str">
        <f t="shared" si="27"/>
        <v>-</v>
      </c>
      <c r="BI55" s="4">
        <v>0</v>
      </c>
      <c r="BJ55" s="4" t="s">
        <v>318</v>
      </c>
      <c r="BK55" s="4">
        <v>1</v>
      </c>
      <c r="BL55" s="4">
        <v>10</v>
      </c>
      <c r="BM55" s="4" t="s">
        <v>317</v>
      </c>
      <c r="BN55" s="4">
        <v>13420</v>
      </c>
      <c r="BO55" s="4">
        <v>14028</v>
      </c>
      <c r="BP55" s="4">
        <f t="shared" si="50"/>
        <v>1402.8000000000002</v>
      </c>
      <c r="BQ55" s="19">
        <v>4</v>
      </c>
      <c r="BR55" s="19">
        <v>1</v>
      </c>
      <c r="BS55" s="16">
        <v>4</v>
      </c>
      <c r="BT55" t="s">
        <v>199</v>
      </c>
      <c r="BU55" t="s">
        <v>196</v>
      </c>
      <c r="BV55" t="str">
        <f t="shared" si="28"/>
        <v>-</v>
      </c>
      <c r="BW55">
        <v>1283</v>
      </c>
      <c r="BX55">
        <v>1283</v>
      </c>
      <c r="BY55">
        <f t="shared" si="29"/>
        <v>1341.8155650319829</v>
      </c>
      <c r="BZ55" t="s">
        <v>248</v>
      </c>
    </row>
    <row r="56" spans="1:78" x14ac:dyDescent="0.4">
      <c r="A56" s="3">
        <v>53</v>
      </c>
      <c r="B56" s="3">
        <v>53</v>
      </c>
      <c r="C56" s="4" t="s">
        <v>117</v>
      </c>
      <c r="D56" s="4" t="str">
        <f t="shared" si="36"/>
        <v>J2944R</v>
      </c>
      <c r="E56" s="4" t="s">
        <v>117</v>
      </c>
      <c r="F56" s="4" t="str">
        <f t="shared" si="5"/>
        <v>J2944R5</v>
      </c>
      <c r="G56" s="4" t="s">
        <v>180</v>
      </c>
      <c r="H56" s="5">
        <v>4547345055525</v>
      </c>
      <c r="I56" s="5">
        <v>5</v>
      </c>
      <c r="J56" s="5"/>
      <c r="K56" s="5">
        <v>1</v>
      </c>
      <c r="L56" s="5">
        <v>1</v>
      </c>
      <c r="M56" s="4">
        <v>0</v>
      </c>
      <c r="N56" s="4">
        <v>1318</v>
      </c>
      <c r="O56" s="4">
        <v>853</v>
      </c>
      <c r="P56" s="6">
        <f t="shared" si="37"/>
        <v>0.35280728376327775</v>
      </c>
      <c r="Q56" s="4" t="s">
        <v>196</v>
      </c>
      <c r="R56" s="4" t="s">
        <v>196</v>
      </c>
      <c r="S56" s="4" t="s">
        <v>196</v>
      </c>
      <c r="T56" s="4" t="s">
        <v>196</v>
      </c>
      <c r="U56" s="4" t="s">
        <v>196</v>
      </c>
      <c r="V56" s="4" t="s">
        <v>196</v>
      </c>
      <c r="W56" s="4" t="s">
        <v>196</v>
      </c>
      <c r="X56" s="4" t="s">
        <v>196</v>
      </c>
      <c r="Y56" s="4" t="s">
        <v>196</v>
      </c>
      <c r="Z56" s="4" t="s">
        <v>196</v>
      </c>
      <c r="AA56" s="4" t="s">
        <v>196</v>
      </c>
      <c r="AB56" s="4" t="s">
        <v>196</v>
      </c>
      <c r="AC56" s="4">
        <v>0</v>
      </c>
      <c r="AD56" s="4">
        <f t="shared" si="38"/>
        <v>0</v>
      </c>
      <c r="AE56" s="4">
        <v>893</v>
      </c>
      <c r="AF56" s="4">
        <f t="shared" si="39"/>
        <v>893</v>
      </c>
      <c r="AG56" s="4"/>
      <c r="AH56" s="21">
        <f t="shared" si="40"/>
        <v>1380</v>
      </c>
      <c r="AI56" s="6">
        <f t="shared" si="41"/>
        <v>0.35289855072463772</v>
      </c>
      <c r="AJ56" s="4">
        <v>0.75</v>
      </c>
      <c r="AK56" s="4">
        <f t="shared" si="42"/>
        <v>1278.9000000000001</v>
      </c>
      <c r="AL56" s="4">
        <f t="shared" si="43"/>
        <v>1338.8718640093789</v>
      </c>
      <c r="AM56" s="6">
        <f t="shared" si="44"/>
        <v>0.33302056454765827</v>
      </c>
      <c r="AN56" s="7">
        <v>1280</v>
      </c>
      <c r="AO56" s="6">
        <f t="shared" si="45"/>
        <v>0.30234375000000002</v>
      </c>
      <c r="AP56" s="4">
        <f t="shared" si="46"/>
        <v>387</v>
      </c>
      <c r="AQ56" s="28"/>
      <c r="AR56" s="6"/>
      <c r="AS56" s="6"/>
      <c r="AT56" s="6" t="str">
        <f t="shared" si="47"/>
        <v>-</v>
      </c>
      <c r="AU56" s="6">
        <f t="shared" si="48"/>
        <v>0.97116843702579669</v>
      </c>
      <c r="AV56" s="6">
        <f t="shared" si="49"/>
        <v>1.0468933177022275</v>
      </c>
      <c r="AW56" s="4" t="str">
        <f t="shared" si="16"/>
        <v>-</v>
      </c>
      <c r="AX56" s="4" t="str">
        <f t="shared" si="17"/>
        <v>-</v>
      </c>
      <c r="AY56" s="4" t="str">
        <f t="shared" si="18"/>
        <v>-</v>
      </c>
      <c r="AZ56" s="4" t="str">
        <f t="shared" si="19"/>
        <v>-</v>
      </c>
      <c r="BA56" s="4" t="str">
        <f t="shared" si="20"/>
        <v>-</v>
      </c>
      <c r="BB56" s="4" t="str">
        <f t="shared" si="21"/>
        <v>-</v>
      </c>
      <c r="BC56" s="4" t="str">
        <f t="shared" si="22"/>
        <v>-</v>
      </c>
      <c r="BD56" s="4" t="str">
        <f t="shared" si="23"/>
        <v>-</v>
      </c>
      <c r="BE56" s="4" t="str">
        <f t="shared" si="24"/>
        <v>-</v>
      </c>
      <c r="BF56" s="4" t="str">
        <f t="shared" si="25"/>
        <v>-</v>
      </c>
      <c r="BG56" s="4" t="str">
        <f t="shared" si="26"/>
        <v>-</v>
      </c>
      <c r="BH56" s="4" t="str">
        <f t="shared" si="27"/>
        <v>-</v>
      </c>
      <c r="BI56" s="4">
        <v>0</v>
      </c>
      <c r="BJ56" s="4" t="s">
        <v>319</v>
      </c>
      <c r="BK56" s="4">
        <v>1</v>
      </c>
      <c r="BL56" s="4">
        <v>10</v>
      </c>
      <c r="BM56" s="4" t="s">
        <v>317</v>
      </c>
      <c r="BN56" s="4">
        <v>12240</v>
      </c>
      <c r="BO56" s="4">
        <v>12789</v>
      </c>
      <c r="BP56" s="4">
        <f t="shared" si="50"/>
        <v>1278.9000000000001</v>
      </c>
      <c r="BQ56" s="19">
        <v>4</v>
      </c>
      <c r="BR56" s="19">
        <v>8</v>
      </c>
      <c r="BS56" s="16">
        <v>4</v>
      </c>
      <c r="BT56" t="s">
        <v>199</v>
      </c>
      <c r="BU56" t="s">
        <v>196</v>
      </c>
      <c r="BV56" t="str">
        <f t="shared" si="28"/>
        <v>-</v>
      </c>
      <c r="BW56">
        <v>1169</v>
      </c>
      <c r="BX56">
        <v>1169</v>
      </c>
      <c r="BY56">
        <f t="shared" si="29"/>
        <v>1223.8182883939039</v>
      </c>
      <c r="BZ56" t="s">
        <v>249</v>
      </c>
    </row>
    <row r="57" spans="1:78" x14ac:dyDescent="0.4">
      <c r="A57" s="3">
        <v>54</v>
      </c>
      <c r="B57" s="3">
        <v>54</v>
      </c>
      <c r="C57" s="4" t="s">
        <v>118</v>
      </c>
      <c r="D57" s="4" t="str">
        <f t="shared" si="36"/>
        <v>J2945R</v>
      </c>
      <c r="E57" s="4" t="s">
        <v>118</v>
      </c>
      <c r="F57" s="4" t="str">
        <f t="shared" si="5"/>
        <v>J2945R5</v>
      </c>
      <c r="G57" s="4" t="s">
        <v>181</v>
      </c>
      <c r="H57" s="5">
        <v>4547345055532</v>
      </c>
      <c r="I57" s="5">
        <v>5</v>
      </c>
      <c r="J57" s="5"/>
      <c r="K57" s="5">
        <v>1</v>
      </c>
      <c r="L57" s="5">
        <v>1</v>
      </c>
      <c r="M57" s="4">
        <v>0</v>
      </c>
      <c r="N57" s="4">
        <v>1318</v>
      </c>
      <c r="O57" s="4">
        <v>853</v>
      </c>
      <c r="P57" s="6">
        <f t="shared" si="37"/>
        <v>0.35280728376327775</v>
      </c>
      <c r="Q57" s="4" t="s">
        <v>196</v>
      </c>
      <c r="R57" s="4" t="s">
        <v>196</v>
      </c>
      <c r="S57" s="4" t="s">
        <v>196</v>
      </c>
      <c r="T57" s="4" t="s">
        <v>196</v>
      </c>
      <c r="U57" s="4" t="s">
        <v>196</v>
      </c>
      <c r="V57" s="4" t="s">
        <v>196</v>
      </c>
      <c r="W57" s="4" t="s">
        <v>196</v>
      </c>
      <c r="X57" s="4" t="s">
        <v>196</v>
      </c>
      <c r="Y57" s="4" t="s">
        <v>196</v>
      </c>
      <c r="Z57" s="4" t="s">
        <v>196</v>
      </c>
      <c r="AA57" s="4" t="s">
        <v>196</v>
      </c>
      <c r="AB57" s="4" t="s">
        <v>196</v>
      </c>
      <c r="AC57" s="4">
        <v>0</v>
      </c>
      <c r="AD57" s="4">
        <f t="shared" si="38"/>
        <v>0</v>
      </c>
      <c r="AE57" s="4">
        <v>893</v>
      </c>
      <c r="AF57" s="4">
        <f t="shared" si="39"/>
        <v>893</v>
      </c>
      <c r="AG57" s="4"/>
      <c r="AH57" s="21">
        <f t="shared" si="40"/>
        <v>1380</v>
      </c>
      <c r="AI57" s="6">
        <f t="shared" si="41"/>
        <v>0.35289855072463772</v>
      </c>
      <c r="AJ57" s="4">
        <v>5.5</v>
      </c>
      <c r="AK57" s="4">
        <f t="shared" si="42"/>
        <v>1278.9000000000001</v>
      </c>
      <c r="AL57" s="4">
        <f t="shared" si="43"/>
        <v>1338.8718640093789</v>
      </c>
      <c r="AM57" s="6">
        <f t="shared" si="44"/>
        <v>0.33302056454765827</v>
      </c>
      <c r="AN57" s="7">
        <v>1280</v>
      </c>
      <c r="AO57" s="6">
        <f t="shared" si="45"/>
        <v>0.30234375000000002</v>
      </c>
      <c r="AP57" s="4">
        <f t="shared" si="46"/>
        <v>387</v>
      </c>
      <c r="AQ57" s="28"/>
      <c r="AR57" s="6"/>
      <c r="AS57" s="6"/>
      <c r="AT57" s="6" t="str">
        <f t="shared" si="47"/>
        <v>-</v>
      </c>
      <c r="AU57" s="6">
        <f t="shared" si="48"/>
        <v>0.97116843702579669</v>
      </c>
      <c r="AV57" s="6">
        <f t="shared" si="49"/>
        <v>1.0468933177022275</v>
      </c>
      <c r="AW57" s="4" t="str">
        <f t="shared" si="16"/>
        <v>-</v>
      </c>
      <c r="AX57" s="4" t="str">
        <f t="shared" si="17"/>
        <v>-</v>
      </c>
      <c r="AY57" s="4" t="str">
        <f t="shared" si="18"/>
        <v>-</v>
      </c>
      <c r="AZ57" s="4" t="str">
        <f t="shared" si="19"/>
        <v>-</v>
      </c>
      <c r="BA57" s="4" t="str">
        <f t="shared" si="20"/>
        <v>-</v>
      </c>
      <c r="BB57" s="4" t="str">
        <f t="shared" si="21"/>
        <v>-</v>
      </c>
      <c r="BC57" s="4" t="str">
        <f t="shared" si="22"/>
        <v>-</v>
      </c>
      <c r="BD57" s="4" t="str">
        <f t="shared" si="23"/>
        <v>-</v>
      </c>
      <c r="BE57" s="4" t="str">
        <f t="shared" si="24"/>
        <v>-</v>
      </c>
      <c r="BF57" s="4" t="str">
        <f t="shared" si="25"/>
        <v>-</v>
      </c>
      <c r="BG57" s="4" t="str">
        <f t="shared" si="26"/>
        <v>-</v>
      </c>
      <c r="BH57" s="4" t="str">
        <f t="shared" si="27"/>
        <v>-</v>
      </c>
      <c r="BI57" s="4">
        <v>0</v>
      </c>
      <c r="BJ57" s="4" t="s">
        <v>320</v>
      </c>
      <c r="BK57" s="4">
        <v>1</v>
      </c>
      <c r="BL57" s="4">
        <v>10</v>
      </c>
      <c r="BM57" s="4" t="s">
        <v>317</v>
      </c>
      <c r="BN57" s="4">
        <v>12240</v>
      </c>
      <c r="BO57" s="4">
        <v>12789</v>
      </c>
      <c r="BP57" s="4">
        <f t="shared" si="50"/>
        <v>1278.9000000000001</v>
      </c>
      <c r="BQ57" s="19">
        <v>4</v>
      </c>
      <c r="BR57" s="19">
        <v>1</v>
      </c>
      <c r="BS57" s="16">
        <v>4</v>
      </c>
      <c r="BT57" t="s">
        <v>199</v>
      </c>
      <c r="BU57" t="s">
        <v>196</v>
      </c>
      <c r="BV57" t="str">
        <f t="shared" si="28"/>
        <v>-</v>
      </c>
      <c r="BW57">
        <v>1169</v>
      </c>
      <c r="BX57">
        <v>1169</v>
      </c>
      <c r="BY57">
        <f t="shared" si="29"/>
        <v>1223.8182883939039</v>
      </c>
      <c r="BZ57" t="s">
        <v>250</v>
      </c>
    </row>
    <row r="58" spans="1:78" x14ac:dyDescent="0.4">
      <c r="A58" s="3">
        <v>55</v>
      </c>
      <c r="B58" s="3">
        <v>55</v>
      </c>
      <c r="C58" s="4" t="s">
        <v>119</v>
      </c>
      <c r="D58" s="4" t="str">
        <f t="shared" si="36"/>
        <v>J2946R</v>
      </c>
      <c r="E58" s="4" t="s">
        <v>119</v>
      </c>
      <c r="F58" s="4" t="str">
        <f t="shared" si="5"/>
        <v>J2946R5</v>
      </c>
      <c r="G58" s="4" t="s">
        <v>182</v>
      </c>
      <c r="H58" s="5">
        <v>4547345055600</v>
      </c>
      <c r="I58" s="5">
        <v>5</v>
      </c>
      <c r="J58" s="5"/>
      <c r="K58" s="5">
        <v>1</v>
      </c>
      <c r="L58" s="5">
        <v>1</v>
      </c>
      <c r="M58" s="4">
        <v>0</v>
      </c>
      <c r="N58" s="4">
        <v>1232</v>
      </c>
      <c r="O58" s="4">
        <v>797</v>
      </c>
      <c r="P58" s="6">
        <f t="shared" si="37"/>
        <v>0.35308441558441561</v>
      </c>
      <c r="Q58" s="4" t="s">
        <v>196</v>
      </c>
      <c r="R58" s="4" t="s">
        <v>196</v>
      </c>
      <c r="S58" s="4" t="s">
        <v>196</v>
      </c>
      <c r="T58" s="4" t="s">
        <v>196</v>
      </c>
      <c r="U58" s="4" t="s">
        <v>196</v>
      </c>
      <c r="V58" s="4" t="s">
        <v>196</v>
      </c>
      <c r="W58" s="4" t="s">
        <v>196</v>
      </c>
      <c r="X58" s="4" t="s">
        <v>196</v>
      </c>
      <c r="Y58" s="4" t="s">
        <v>196</v>
      </c>
      <c r="Z58" s="4" t="s">
        <v>196</v>
      </c>
      <c r="AA58" s="4" t="s">
        <v>196</v>
      </c>
      <c r="AB58" s="4" t="s">
        <v>196</v>
      </c>
      <c r="AC58" s="4">
        <v>0</v>
      </c>
      <c r="AD58" s="4">
        <f t="shared" si="38"/>
        <v>0</v>
      </c>
      <c r="AE58" s="4">
        <v>834</v>
      </c>
      <c r="AF58" s="4">
        <f t="shared" si="39"/>
        <v>834</v>
      </c>
      <c r="AG58" s="4"/>
      <c r="AH58" s="21">
        <f t="shared" si="40"/>
        <v>1289</v>
      </c>
      <c r="AI58" s="6">
        <f t="shared" si="41"/>
        <v>0.3529868114817688</v>
      </c>
      <c r="AJ58" s="4">
        <v>1.5</v>
      </c>
      <c r="AK58" s="4">
        <f t="shared" si="42"/>
        <v>1283.4000000000001</v>
      </c>
      <c r="AL58" s="4">
        <f t="shared" si="43"/>
        <v>1342.9806775407781</v>
      </c>
      <c r="AM58" s="6">
        <f t="shared" si="44"/>
        <v>0.37899329904940005</v>
      </c>
      <c r="AN58" s="7">
        <v>1240</v>
      </c>
      <c r="AO58" s="6">
        <f t="shared" si="45"/>
        <v>0.32741935483870965</v>
      </c>
      <c r="AP58" s="4">
        <f t="shared" si="46"/>
        <v>406</v>
      </c>
      <c r="AQ58" s="28"/>
      <c r="AR58" s="6"/>
      <c r="AS58" s="6"/>
      <c r="AT58" s="6" t="str">
        <f t="shared" si="47"/>
        <v>-</v>
      </c>
      <c r="AU58" s="6">
        <f t="shared" si="48"/>
        <v>1.0064935064935066</v>
      </c>
      <c r="AV58" s="6">
        <f t="shared" si="49"/>
        <v>1.0464240903387705</v>
      </c>
      <c r="AW58" s="4" t="str">
        <f t="shared" si="16"/>
        <v>-</v>
      </c>
      <c r="AX58" s="4" t="str">
        <f t="shared" si="17"/>
        <v>-</v>
      </c>
      <c r="AY58" s="4" t="str">
        <f t="shared" si="18"/>
        <v>-</v>
      </c>
      <c r="AZ58" s="4" t="str">
        <f t="shared" si="19"/>
        <v>-</v>
      </c>
      <c r="BA58" s="4" t="str">
        <f t="shared" si="20"/>
        <v>-</v>
      </c>
      <c r="BB58" s="4" t="str">
        <f t="shared" si="21"/>
        <v>-</v>
      </c>
      <c r="BC58" s="4" t="str">
        <f t="shared" si="22"/>
        <v>-</v>
      </c>
      <c r="BD58" s="4" t="str">
        <f t="shared" si="23"/>
        <v>-</v>
      </c>
      <c r="BE58" s="4" t="str">
        <f t="shared" si="24"/>
        <v>-</v>
      </c>
      <c r="BF58" s="4" t="str">
        <f t="shared" si="25"/>
        <v>-</v>
      </c>
      <c r="BG58" s="4" t="str">
        <f t="shared" si="26"/>
        <v>-</v>
      </c>
      <c r="BH58" s="4" t="str">
        <f t="shared" si="27"/>
        <v>-</v>
      </c>
      <c r="BI58" s="4">
        <v>0</v>
      </c>
      <c r="BJ58" s="4" t="s">
        <v>321</v>
      </c>
      <c r="BK58" s="4">
        <v>1</v>
      </c>
      <c r="BL58" s="4">
        <v>5</v>
      </c>
      <c r="BM58" s="4" t="s">
        <v>322</v>
      </c>
      <c r="BN58" s="4">
        <v>6145</v>
      </c>
      <c r="BO58" s="4">
        <v>6417</v>
      </c>
      <c r="BP58" s="4">
        <f t="shared" si="50"/>
        <v>1283.4000000000001</v>
      </c>
      <c r="BQ58" s="19">
        <v>4</v>
      </c>
      <c r="BR58" s="19">
        <v>8</v>
      </c>
      <c r="BS58" s="16">
        <v>4</v>
      </c>
      <c r="BT58" t="s">
        <v>199</v>
      </c>
      <c r="BU58" t="s">
        <v>196</v>
      </c>
      <c r="BV58" t="str">
        <f t="shared" si="28"/>
        <v>-</v>
      </c>
      <c r="BW58">
        <v>1169</v>
      </c>
      <c r="BX58">
        <v>1169</v>
      </c>
      <c r="BY58">
        <f t="shared" si="29"/>
        <v>1223.2697616060227</v>
      </c>
      <c r="BZ58" t="s">
        <v>251</v>
      </c>
    </row>
    <row r="59" spans="1:78" x14ac:dyDescent="0.4">
      <c r="A59" s="3">
        <v>56</v>
      </c>
      <c r="B59" s="3">
        <v>56</v>
      </c>
      <c r="C59" s="4" t="s">
        <v>120</v>
      </c>
      <c r="D59" s="4" t="str">
        <f t="shared" si="36"/>
        <v>J2947R</v>
      </c>
      <c r="E59" s="4" t="s">
        <v>120</v>
      </c>
      <c r="F59" s="4" t="str">
        <f t="shared" si="5"/>
        <v>J2947R5</v>
      </c>
      <c r="G59" s="4" t="s">
        <v>183</v>
      </c>
      <c r="H59" s="5">
        <v>4547345055617</v>
      </c>
      <c r="I59" s="5">
        <v>5</v>
      </c>
      <c r="J59" s="5"/>
      <c r="K59" s="5">
        <v>1</v>
      </c>
      <c r="L59" s="5">
        <v>1</v>
      </c>
      <c r="M59" s="4">
        <v>0</v>
      </c>
      <c r="N59" s="4">
        <v>1232</v>
      </c>
      <c r="O59" s="4">
        <v>797</v>
      </c>
      <c r="P59" s="6">
        <f t="shared" si="37"/>
        <v>0.35308441558441561</v>
      </c>
      <c r="Q59" s="4" t="s">
        <v>196</v>
      </c>
      <c r="R59" s="4" t="s">
        <v>196</v>
      </c>
      <c r="S59" s="4" t="s">
        <v>196</v>
      </c>
      <c r="T59" s="4" t="s">
        <v>196</v>
      </c>
      <c r="U59" s="4" t="s">
        <v>196</v>
      </c>
      <c r="V59" s="4" t="s">
        <v>196</v>
      </c>
      <c r="W59" s="4" t="s">
        <v>196</v>
      </c>
      <c r="X59" s="4" t="s">
        <v>196</v>
      </c>
      <c r="Y59" s="4" t="s">
        <v>196</v>
      </c>
      <c r="Z59" s="4" t="s">
        <v>196</v>
      </c>
      <c r="AA59" s="4" t="s">
        <v>196</v>
      </c>
      <c r="AB59" s="4" t="s">
        <v>196</v>
      </c>
      <c r="AC59" s="4">
        <v>0</v>
      </c>
      <c r="AD59" s="4">
        <f t="shared" si="38"/>
        <v>0</v>
      </c>
      <c r="AE59" s="4">
        <v>833</v>
      </c>
      <c r="AF59" s="4">
        <f t="shared" si="39"/>
        <v>833</v>
      </c>
      <c r="AG59" s="4"/>
      <c r="AH59" s="21">
        <f t="shared" si="40"/>
        <v>1288</v>
      </c>
      <c r="AI59" s="6">
        <f t="shared" si="41"/>
        <v>0.35326086956521741</v>
      </c>
      <c r="AJ59" s="4">
        <v>2.5</v>
      </c>
      <c r="AK59" s="4">
        <f t="shared" si="42"/>
        <v>1283.4000000000001</v>
      </c>
      <c r="AL59" s="4">
        <f t="shared" si="43"/>
        <v>1341.3703889585947</v>
      </c>
      <c r="AM59" s="6">
        <f t="shared" si="44"/>
        <v>0.37899329904940005</v>
      </c>
      <c r="AN59" s="7">
        <v>1240</v>
      </c>
      <c r="AO59" s="6">
        <f t="shared" si="45"/>
        <v>0.32822580645161292</v>
      </c>
      <c r="AP59" s="4">
        <f t="shared" si="46"/>
        <v>407</v>
      </c>
      <c r="AQ59" s="28"/>
      <c r="AR59" s="6"/>
      <c r="AS59" s="6"/>
      <c r="AT59" s="6" t="str">
        <f t="shared" si="47"/>
        <v>-</v>
      </c>
      <c r="AU59" s="6">
        <f t="shared" si="48"/>
        <v>1.0064935064935066</v>
      </c>
      <c r="AV59" s="6">
        <f t="shared" si="49"/>
        <v>1.0451693851944792</v>
      </c>
      <c r="AW59" s="4" t="str">
        <f t="shared" si="16"/>
        <v>-</v>
      </c>
      <c r="AX59" s="4" t="str">
        <f t="shared" si="17"/>
        <v>-</v>
      </c>
      <c r="AY59" s="4" t="str">
        <f t="shared" si="18"/>
        <v>-</v>
      </c>
      <c r="AZ59" s="4" t="str">
        <f t="shared" si="19"/>
        <v>-</v>
      </c>
      <c r="BA59" s="4" t="str">
        <f t="shared" si="20"/>
        <v>-</v>
      </c>
      <c r="BB59" s="4" t="str">
        <f t="shared" si="21"/>
        <v>-</v>
      </c>
      <c r="BC59" s="4" t="str">
        <f t="shared" si="22"/>
        <v>-</v>
      </c>
      <c r="BD59" s="4" t="str">
        <f t="shared" si="23"/>
        <v>-</v>
      </c>
      <c r="BE59" s="4" t="str">
        <f t="shared" si="24"/>
        <v>-</v>
      </c>
      <c r="BF59" s="4" t="str">
        <f t="shared" si="25"/>
        <v>-</v>
      </c>
      <c r="BG59" s="4" t="str">
        <f t="shared" si="26"/>
        <v>-</v>
      </c>
      <c r="BH59" s="4" t="str">
        <f t="shared" si="27"/>
        <v>-</v>
      </c>
      <c r="BI59" s="4">
        <v>0</v>
      </c>
      <c r="BJ59" s="4" t="s">
        <v>323</v>
      </c>
      <c r="BK59" s="4">
        <v>1</v>
      </c>
      <c r="BL59" s="4">
        <v>5</v>
      </c>
      <c r="BM59" s="4" t="s">
        <v>322</v>
      </c>
      <c r="BN59" s="4">
        <v>6145</v>
      </c>
      <c r="BO59" s="4">
        <v>6417</v>
      </c>
      <c r="BP59" s="4">
        <f t="shared" si="50"/>
        <v>1283.4000000000001</v>
      </c>
      <c r="BQ59" s="19">
        <v>4</v>
      </c>
      <c r="BR59" s="19">
        <v>1</v>
      </c>
      <c r="BS59" s="16">
        <v>4</v>
      </c>
      <c r="BT59" t="s">
        <v>199</v>
      </c>
      <c r="BU59" t="s">
        <v>196</v>
      </c>
      <c r="BV59" t="str">
        <f t="shared" si="28"/>
        <v>-</v>
      </c>
      <c r="BW59">
        <v>1169</v>
      </c>
      <c r="BX59">
        <v>1169</v>
      </c>
      <c r="BY59">
        <f t="shared" si="29"/>
        <v>1221.8030112923461</v>
      </c>
      <c r="BZ59" t="s">
        <v>252</v>
      </c>
    </row>
    <row r="60" spans="1:78" x14ac:dyDescent="0.4">
      <c r="A60" s="3">
        <v>57</v>
      </c>
      <c r="B60" s="3">
        <v>57</v>
      </c>
      <c r="C60" s="4" t="s">
        <v>121</v>
      </c>
      <c r="D60" s="4" t="str">
        <f t="shared" si="36"/>
        <v>J3063R</v>
      </c>
      <c r="E60" s="4" t="s">
        <v>121</v>
      </c>
      <c r="F60" s="4" t="str">
        <f t="shared" si="5"/>
        <v>J3063R5</v>
      </c>
      <c r="G60" s="4" t="s">
        <v>184</v>
      </c>
      <c r="H60" s="5">
        <v>4547345055716</v>
      </c>
      <c r="I60" s="5">
        <v>5</v>
      </c>
      <c r="J60" s="5"/>
      <c r="K60" s="5">
        <v>1</v>
      </c>
      <c r="L60" s="5">
        <v>1</v>
      </c>
      <c r="M60" s="4">
        <v>0</v>
      </c>
      <c r="N60" s="4">
        <v>1487</v>
      </c>
      <c r="O60" s="4">
        <v>982</v>
      </c>
      <c r="P60" s="6">
        <f t="shared" si="37"/>
        <v>0.33960995292535301</v>
      </c>
      <c r="Q60" s="4" t="s">
        <v>196</v>
      </c>
      <c r="R60" s="4" t="s">
        <v>196</v>
      </c>
      <c r="S60" s="4" t="s">
        <v>196</v>
      </c>
      <c r="T60" s="4" t="s">
        <v>196</v>
      </c>
      <c r="U60" s="4" t="s">
        <v>196</v>
      </c>
      <c r="V60" s="4" t="s">
        <v>196</v>
      </c>
      <c r="W60" s="4" t="s">
        <v>196</v>
      </c>
      <c r="X60" s="4" t="s">
        <v>196</v>
      </c>
      <c r="Y60" s="4" t="s">
        <v>196</v>
      </c>
      <c r="Z60" s="4" t="s">
        <v>196</v>
      </c>
      <c r="AA60" s="4" t="s">
        <v>196</v>
      </c>
      <c r="AB60" s="4" t="s">
        <v>196</v>
      </c>
      <c r="AC60" s="4">
        <v>0</v>
      </c>
      <c r="AD60" s="4">
        <f t="shared" si="38"/>
        <v>0</v>
      </c>
      <c r="AE60" s="4">
        <v>1027</v>
      </c>
      <c r="AF60" s="4">
        <f t="shared" si="39"/>
        <v>1027</v>
      </c>
      <c r="AG60" s="4"/>
      <c r="AH60" s="21">
        <f t="shared" si="40"/>
        <v>1555</v>
      </c>
      <c r="AI60" s="6">
        <f t="shared" si="41"/>
        <v>0.33954983922829585</v>
      </c>
      <c r="AJ60" s="4">
        <v>0</v>
      </c>
      <c r="AK60" s="4">
        <f t="shared" si="42"/>
        <v>1470.5</v>
      </c>
      <c r="AL60" s="4">
        <f t="shared" si="43"/>
        <v>1537.8854378818737</v>
      </c>
      <c r="AM60" s="6">
        <f t="shared" si="44"/>
        <v>0.33219993199591979</v>
      </c>
      <c r="AN60" s="7">
        <v>1470</v>
      </c>
      <c r="AO60" s="6">
        <f t="shared" si="45"/>
        <v>0.3013605442176871</v>
      </c>
      <c r="AP60" s="4">
        <f t="shared" si="46"/>
        <v>443</v>
      </c>
      <c r="AQ60" s="28"/>
      <c r="AR60" s="6"/>
      <c r="AS60" s="6"/>
      <c r="AT60" s="6" t="str">
        <f t="shared" si="47"/>
        <v>-</v>
      </c>
      <c r="AU60" s="6">
        <f t="shared" si="48"/>
        <v>0.98856758574310688</v>
      </c>
      <c r="AV60" s="6">
        <f t="shared" si="49"/>
        <v>1.0458248472505092</v>
      </c>
      <c r="AW60" s="4" t="str">
        <f t="shared" si="16"/>
        <v>-</v>
      </c>
      <c r="AX60" s="4" t="str">
        <f t="shared" si="17"/>
        <v>-</v>
      </c>
      <c r="AY60" s="4" t="str">
        <f t="shared" si="18"/>
        <v>-</v>
      </c>
      <c r="AZ60" s="4" t="str">
        <f t="shared" si="19"/>
        <v>-</v>
      </c>
      <c r="BA60" s="4" t="str">
        <f t="shared" si="20"/>
        <v>-</v>
      </c>
      <c r="BB60" s="4" t="str">
        <f t="shared" si="21"/>
        <v>-</v>
      </c>
      <c r="BC60" s="4" t="str">
        <f t="shared" si="22"/>
        <v>-</v>
      </c>
      <c r="BD60" s="4" t="str">
        <f t="shared" si="23"/>
        <v>-</v>
      </c>
      <c r="BE60" s="4" t="str">
        <f t="shared" si="24"/>
        <v>-</v>
      </c>
      <c r="BF60" s="4" t="str">
        <f t="shared" si="25"/>
        <v>-</v>
      </c>
      <c r="BG60" s="4" t="str">
        <f t="shared" si="26"/>
        <v>-</v>
      </c>
      <c r="BH60" s="4" t="str">
        <f t="shared" si="27"/>
        <v>-</v>
      </c>
      <c r="BI60" s="4">
        <v>0</v>
      </c>
      <c r="BJ60" s="4" t="s">
        <v>324</v>
      </c>
      <c r="BK60" s="4">
        <v>1</v>
      </c>
      <c r="BL60" s="4">
        <v>10</v>
      </c>
      <c r="BM60" s="4" t="s">
        <v>312</v>
      </c>
      <c r="BN60" s="4">
        <v>14070</v>
      </c>
      <c r="BO60" s="4">
        <v>14705</v>
      </c>
      <c r="BP60" s="4">
        <f t="shared" si="50"/>
        <v>1470.5</v>
      </c>
      <c r="BQ60" s="19">
        <v>4</v>
      </c>
      <c r="BR60" s="19">
        <v>8</v>
      </c>
      <c r="BS60" s="16">
        <v>4</v>
      </c>
      <c r="BT60" t="s">
        <v>199</v>
      </c>
      <c r="BU60" t="s">
        <v>196</v>
      </c>
      <c r="BV60" t="str">
        <f t="shared" si="28"/>
        <v>-</v>
      </c>
      <c r="BW60">
        <v>1340</v>
      </c>
      <c r="BX60">
        <v>1340</v>
      </c>
      <c r="BY60">
        <f t="shared" si="29"/>
        <v>1401.4052953156822</v>
      </c>
      <c r="BZ60" t="s">
        <v>253</v>
      </c>
    </row>
    <row r="61" spans="1:78" x14ac:dyDescent="0.4">
      <c r="A61" s="3">
        <v>58</v>
      </c>
      <c r="B61" s="3">
        <v>58</v>
      </c>
      <c r="C61" s="4" t="s">
        <v>122</v>
      </c>
      <c r="D61" s="4" t="str">
        <f t="shared" si="36"/>
        <v>J3064R</v>
      </c>
      <c r="E61" s="4" t="s">
        <v>122</v>
      </c>
      <c r="F61" s="4" t="str">
        <f t="shared" si="5"/>
        <v>J3064R5</v>
      </c>
      <c r="G61" s="4" t="s">
        <v>185</v>
      </c>
      <c r="H61" s="5">
        <v>4547345055723</v>
      </c>
      <c r="I61" s="5">
        <v>5</v>
      </c>
      <c r="J61" s="5"/>
      <c r="K61" s="5">
        <v>1</v>
      </c>
      <c r="L61" s="5">
        <v>1</v>
      </c>
      <c r="M61" s="4">
        <v>0</v>
      </c>
      <c r="N61" s="4">
        <v>1411</v>
      </c>
      <c r="O61" s="4">
        <v>982</v>
      </c>
      <c r="P61" s="6">
        <f t="shared" si="37"/>
        <v>0.30403968816442239</v>
      </c>
      <c r="Q61" s="4" t="s">
        <v>196</v>
      </c>
      <c r="R61" s="4" t="s">
        <v>196</v>
      </c>
      <c r="S61" s="4" t="s">
        <v>196</v>
      </c>
      <c r="T61" s="4" t="s">
        <v>196</v>
      </c>
      <c r="U61" s="4" t="s">
        <v>196</v>
      </c>
      <c r="V61" s="4" t="s">
        <v>196</v>
      </c>
      <c r="W61" s="4" t="s">
        <v>196</v>
      </c>
      <c r="X61" s="4" t="s">
        <v>196</v>
      </c>
      <c r="Y61" s="4" t="s">
        <v>196</v>
      </c>
      <c r="Z61" s="4" t="s">
        <v>196</v>
      </c>
      <c r="AA61" s="4" t="s">
        <v>196</v>
      </c>
      <c r="AB61" s="4" t="s">
        <v>196</v>
      </c>
      <c r="AC61" s="4">
        <v>0</v>
      </c>
      <c r="AD61" s="4">
        <f t="shared" si="38"/>
        <v>0</v>
      </c>
      <c r="AE61" s="4">
        <v>1027</v>
      </c>
      <c r="AF61" s="4">
        <f t="shared" si="39"/>
        <v>1027</v>
      </c>
      <c r="AG61" s="4"/>
      <c r="AH61" s="21">
        <f t="shared" si="40"/>
        <v>1476</v>
      </c>
      <c r="AI61" s="6">
        <f t="shared" si="41"/>
        <v>0.30420054200542002</v>
      </c>
      <c r="AJ61" s="4">
        <v>0.25</v>
      </c>
      <c r="AK61" s="4">
        <f t="shared" si="42"/>
        <v>1470.5</v>
      </c>
      <c r="AL61" s="4">
        <f t="shared" si="43"/>
        <v>1537.8854378818737</v>
      </c>
      <c r="AM61" s="6">
        <f t="shared" si="44"/>
        <v>0.33219993199591979</v>
      </c>
      <c r="AN61" s="7">
        <v>1470</v>
      </c>
      <c r="AO61" s="6">
        <f t="shared" si="45"/>
        <v>0.3013605442176871</v>
      </c>
      <c r="AP61" s="4">
        <f t="shared" si="46"/>
        <v>443</v>
      </c>
      <c r="AQ61" s="28"/>
      <c r="AR61" s="6"/>
      <c r="AS61" s="6"/>
      <c r="AT61" s="6" t="str">
        <f t="shared" si="47"/>
        <v>-</v>
      </c>
      <c r="AU61" s="6">
        <f t="shared" si="48"/>
        <v>1.041814316087881</v>
      </c>
      <c r="AV61" s="6">
        <f t="shared" si="49"/>
        <v>1.0458248472505092</v>
      </c>
      <c r="AW61" s="4" t="str">
        <f t="shared" si="16"/>
        <v>-</v>
      </c>
      <c r="AX61" s="4" t="str">
        <f t="shared" si="17"/>
        <v>-</v>
      </c>
      <c r="AY61" s="4" t="str">
        <f t="shared" si="18"/>
        <v>-</v>
      </c>
      <c r="AZ61" s="4" t="str">
        <f t="shared" si="19"/>
        <v>-</v>
      </c>
      <c r="BA61" s="4" t="str">
        <f t="shared" si="20"/>
        <v>-</v>
      </c>
      <c r="BB61" s="4" t="str">
        <f t="shared" si="21"/>
        <v>-</v>
      </c>
      <c r="BC61" s="4" t="str">
        <f t="shared" si="22"/>
        <v>-</v>
      </c>
      <c r="BD61" s="4" t="str">
        <f t="shared" si="23"/>
        <v>-</v>
      </c>
      <c r="BE61" s="4" t="str">
        <f t="shared" si="24"/>
        <v>-</v>
      </c>
      <c r="BF61" s="4" t="str">
        <f t="shared" si="25"/>
        <v>-</v>
      </c>
      <c r="BG61" s="4" t="str">
        <f t="shared" si="26"/>
        <v>-</v>
      </c>
      <c r="BH61" s="4" t="str">
        <f t="shared" si="27"/>
        <v>-</v>
      </c>
      <c r="BI61" s="4">
        <v>0</v>
      </c>
      <c r="BJ61" s="4" t="s">
        <v>325</v>
      </c>
      <c r="BK61" s="4">
        <v>1</v>
      </c>
      <c r="BL61" s="4">
        <v>10</v>
      </c>
      <c r="BM61" s="4" t="s">
        <v>312</v>
      </c>
      <c r="BN61" s="4">
        <v>14070</v>
      </c>
      <c r="BO61" s="4">
        <v>14705</v>
      </c>
      <c r="BP61" s="4">
        <f t="shared" si="50"/>
        <v>1470.5</v>
      </c>
      <c r="BQ61" s="19">
        <v>4</v>
      </c>
      <c r="BR61" s="19">
        <v>8</v>
      </c>
      <c r="BS61" s="16">
        <v>4</v>
      </c>
      <c r="BT61" t="s">
        <v>199</v>
      </c>
      <c r="BU61" t="s">
        <v>196</v>
      </c>
      <c r="BV61" t="str">
        <f t="shared" si="28"/>
        <v>-</v>
      </c>
      <c r="BW61">
        <v>1340</v>
      </c>
      <c r="BX61">
        <v>1340</v>
      </c>
      <c r="BY61">
        <f t="shared" si="29"/>
        <v>1401.4052953156822</v>
      </c>
      <c r="BZ61" t="s">
        <v>254</v>
      </c>
    </row>
    <row r="62" spans="1:78" x14ac:dyDescent="0.4">
      <c r="A62" s="3">
        <v>59</v>
      </c>
      <c r="B62" s="3">
        <v>59</v>
      </c>
      <c r="C62" s="4" t="s">
        <v>123</v>
      </c>
      <c r="D62" s="4" t="str">
        <f t="shared" si="36"/>
        <v>J3065R</v>
      </c>
      <c r="E62" s="4" t="s">
        <v>123</v>
      </c>
      <c r="F62" s="4" t="str">
        <f t="shared" si="5"/>
        <v>J3065R5</v>
      </c>
      <c r="G62" s="4" t="s">
        <v>186</v>
      </c>
      <c r="H62" s="5">
        <v>4547345055747</v>
      </c>
      <c r="I62" s="5">
        <v>5</v>
      </c>
      <c r="J62" s="5"/>
      <c r="K62" s="5">
        <v>1</v>
      </c>
      <c r="L62" s="5">
        <v>1</v>
      </c>
      <c r="M62" s="4">
        <v>0</v>
      </c>
      <c r="N62" s="4">
        <v>1365</v>
      </c>
      <c r="O62" s="4">
        <v>902</v>
      </c>
      <c r="P62" s="6">
        <f t="shared" si="37"/>
        <v>0.33919413919413921</v>
      </c>
      <c r="Q62" s="4" t="s">
        <v>196</v>
      </c>
      <c r="R62" s="4" t="s">
        <v>196</v>
      </c>
      <c r="S62" s="4" t="s">
        <v>196</v>
      </c>
      <c r="T62" s="4" t="s">
        <v>196</v>
      </c>
      <c r="U62" s="4" t="s">
        <v>196</v>
      </c>
      <c r="V62" s="4" t="s">
        <v>196</v>
      </c>
      <c r="W62" s="4" t="s">
        <v>196</v>
      </c>
      <c r="X62" s="4" t="s">
        <v>196</v>
      </c>
      <c r="Y62" s="4" t="s">
        <v>196</v>
      </c>
      <c r="Z62" s="4" t="s">
        <v>196</v>
      </c>
      <c r="AA62" s="4" t="s">
        <v>196</v>
      </c>
      <c r="AB62" s="4" t="s">
        <v>196</v>
      </c>
      <c r="AC62" s="4">
        <v>0</v>
      </c>
      <c r="AD62" s="4">
        <f t="shared" si="38"/>
        <v>0</v>
      </c>
      <c r="AE62" s="4">
        <v>944</v>
      </c>
      <c r="AF62" s="4">
        <f t="shared" si="39"/>
        <v>944</v>
      </c>
      <c r="AG62" s="4"/>
      <c r="AH62" s="21">
        <f t="shared" si="40"/>
        <v>1429</v>
      </c>
      <c r="AI62" s="6">
        <f t="shared" si="41"/>
        <v>0.33939818054583626</v>
      </c>
      <c r="AJ62" s="4">
        <v>0.25</v>
      </c>
      <c r="AK62" s="4">
        <f t="shared" si="42"/>
        <v>1348.4</v>
      </c>
      <c r="AL62" s="4">
        <f t="shared" si="43"/>
        <v>1411.1858093126389</v>
      </c>
      <c r="AM62" s="6">
        <f t="shared" si="44"/>
        <v>0.33105903292791472</v>
      </c>
      <c r="AN62" s="7">
        <v>1350</v>
      </c>
      <c r="AO62" s="6">
        <f t="shared" si="45"/>
        <v>0.30074074074074075</v>
      </c>
      <c r="AP62" s="4">
        <f t="shared" si="46"/>
        <v>406</v>
      </c>
      <c r="AQ62" s="28"/>
      <c r="AR62" s="6"/>
      <c r="AS62" s="6"/>
      <c r="AT62" s="6" t="str">
        <f t="shared" si="47"/>
        <v>-</v>
      </c>
      <c r="AU62" s="6">
        <f t="shared" si="48"/>
        <v>0.98901098901098905</v>
      </c>
      <c r="AV62" s="6">
        <f t="shared" si="49"/>
        <v>1.0465631929046564</v>
      </c>
      <c r="AW62" s="4" t="str">
        <f t="shared" si="16"/>
        <v>-</v>
      </c>
      <c r="AX62" s="4" t="str">
        <f t="shared" si="17"/>
        <v>-</v>
      </c>
      <c r="AY62" s="4" t="str">
        <f t="shared" si="18"/>
        <v>-</v>
      </c>
      <c r="AZ62" s="4" t="str">
        <f t="shared" si="19"/>
        <v>-</v>
      </c>
      <c r="BA62" s="4" t="str">
        <f t="shared" si="20"/>
        <v>-</v>
      </c>
      <c r="BB62" s="4" t="str">
        <f t="shared" si="21"/>
        <v>-</v>
      </c>
      <c r="BC62" s="4" t="str">
        <f t="shared" si="22"/>
        <v>-</v>
      </c>
      <c r="BD62" s="4" t="str">
        <f t="shared" si="23"/>
        <v>-</v>
      </c>
      <c r="BE62" s="4" t="str">
        <f t="shared" si="24"/>
        <v>-</v>
      </c>
      <c r="BF62" s="4" t="str">
        <f t="shared" si="25"/>
        <v>-</v>
      </c>
      <c r="BG62" s="4" t="str">
        <f t="shared" si="26"/>
        <v>-</v>
      </c>
      <c r="BH62" s="4" t="str">
        <f t="shared" si="27"/>
        <v>-</v>
      </c>
      <c r="BI62" s="4">
        <v>0</v>
      </c>
      <c r="BJ62" s="4" t="s">
        <v>326</v>
      </c>
      <c r="BK62" s="4">
        <v>1</v>
      </c>
      <c r="BL62" s="4">
        <v>10</v>
      </c>
      <c r="BM62" s="4" t="s">
        <v>312</v>
      </c>
      <c r="BN62" s="4">
        <v>12900</v>
      </c>
      <c r="BO62" s="4">
        <v>13484</v>
      </c>
      <c r="BP62" s="4">
        <f t="shared" si="50"/>
        <v>1348.4</v>
      </c>
      <c r="BQ62" s="19">
        <v>4</v>
      </c>
      <c r="BR62" s="19">
        <v>8</v>
      </c>
      <c r="BS62" s="16">
        <v>4</v>
      </c>
      <c r="BT62" t="s">
        <v>199</v>
      </c>
      <c r="BU62" t="s">
        <v>196</v>
      </c>
      <c r="BV62" t="str">
        <f t="shared" si="28"/>
        <v>-</v>
      </c>
      <c r="BW62">
        <v>1226</v>
      </c>
      <c r="BX62">
        <v>1226</v>
      </c>
      <c r="BY62">
        <f t="shared" si="29"/>
        <v>1283.0864745011088</v>
      </c>
      <c r="BZ62" t="s">
        <v>255</v>
      </c>
    </row>
    <row r="63" spans="1:78" x14ac:dyDescent="0.4">
      <c r="A63" s="3">
        <v>60</v>
      </c>
      <c r="B63" s="3">
        <v>60</v>
      </c>
      <c r="C63" s="4" t="s">
        <v>124</v>
      </c>
      <c r="D63" s="4" t="str">
        <f t="shared" si="36"/>
        <v>J3066R</v>
      </c>
      <c r="E63" s="4" t="s">
        <v>124</v>
      </c>
      <c r="F63" s="4" t="str">
        <f t="shared" si="5"/>
        <v>J3066R5</v>
      </c>
      <c r="G63" s="4" t="s">
        <v>187</v>
      </c>
      <c r="H63" s="5">
        <v>4547345055761</v>
      </c>
      <c r="I63" s="5">
        <v>5</v>
      </c>
      <c r="J63" s="5"/>
      <c r="K63" s="5">
        <v>1</v>
      </c>
      <c r="L63" s="5">
        <v>1</v>
      </c>
      <c r="M63" s="4">
        <v>0</v>
      </c>
      <c r="N63" s="4">
        <v>1216</v>
      </c>
      <c r="O63" s="4">
        <v>918</v>
      </c>
      <c r="P63" s="6">
        <f t="shared" si="37"/>
        <v>0.24506578947368418</v>
      </c>
      <c r="Q63" s="4" t="s">
        <v>196</v>
      </c>
      <c r="R63" s="4" t="s">
        <v>196</v>
      </c>
      <c r="S63" s="4" t="s">
        <v>196</v>
      </c>
      <c r="T63" s="4" t="s">
        <v>196</v>
      </c>
      <c r="U63" s="4" t="s">
        <v>196</v>
      </c>
      <c r="V63" s="4" t="s">
        <v>196</v>
      </c>
      <c r="W63" s="4" t="s">
        <v>196</v>
      </c>
      <c r="X63" s="4" t="s">
        <v>196</v>
      </c>
      <c r="Y63" s="4" t="s">
        <v>196</v>
      </c>
      <c r="Z63" s="4" t="s">
        <v>196</v>
      </c>
      <c r="AA63" s="4" t="s">
        <v>196</v>
      </c>
      <c r="AB63" s="4" t="s">
        <v>196</v>
      </c>
      <c r="AC63" s="4">
        <v>0</v>
      </c>
      <c r="AD63" s="4">
        <f t="shared" si="38"/>
        <v>0</v>
      </c>
      <c r="AE63" s="4">
        <v>961</v>
      </c>
      <c r="AF63" s="4">
        <f t="shared" si="39"/>
        <v>961</v>
      </c>
      <c r="AG63" s="4"/>
      <c r="AH63" s="21">
        <f t="shared" si="40"/>
        <v>1273</v>
      </c>
      <c r="AI63" s="6">
        <f t="shared" si="41"/>
        <v>0.24509033778476041</v>
      </c>
      <c r="AJ63" s="4">
        <v>0</v>
      </c>
      <c r="AK63" s="4">
        <f t="shared" si="42"/>
        <v>1374.6000000000001</v>
      </c>
      <c r="AL63" s="4">
        <f t="shared" si="43"/>
        <v>1438.9875816993465</v>
      </c>
      <c r="AM63" s="6">
        <f t="shared" si="44"/>
        <v>0.33216935835879535</v>
      </c>
      <c r="AN63" s="7">
        <v>1375</v>
      </c>
      <c r="AO63" s="6">
        <f t="shared" si="45"/>
        <v>0.30109090909090908</v>
      </c>
      <c r="AP63" s="4">
        <f t="shared" si="46"/>
        <v>414</v>
      </c>
      <c r="AQ63" s="28"/>
      <c r="AR63" s="6"/>
      <c r="AS63" s="6"/>
      <c r="AT63" s="6" t="str">
        <f t="shared" si="47"/>
        <v>-</v>
      </c>
      <c r="AU63" s="6">
        <f t="shared" si="48"/>
        <v>1.1307565789473684</v>
      </c>
      <c r="AV63" s="6">
        <f t="shared" si="49"/>
        <v>1.0468409586056644</v>
      </c>
      <c r="AW63" s="4" t="str">
        <f t="shared" si="16"/>
        <v>-</v>
      </c>
      <c r="AX63" s="4" t="str">
        <f t="shared" si="17"/>
        <v>-</v>
      </c>
      <c r="AY63" s="4" t="str">
        <f t="shared" si="18"/>
        <v>-</v>
      </c>
      <c r="AZ63" s="4" t="str">
        <f t="shared" si="19"/>
        <v>-</v>
      </c>
      <c r="BA63" s="4" t="str">
        <f t="shared" si="20"/>
        <v>-</v>
      </c>
      <c r="BB63" s="4" t="str">
        <f t="shared" si="21"/>
        <v>-</v>
      </c>
      <c r="BC63" s="4" t="str">
        <f t="shared" si="22"/>
        <v>-</v>
      </c>
      <c r="BD63" s="4" t="str">
        <f t="shared" si="23"/>
        <v>-</v>
      </c>
      <c r="BE63" s="4" t="str">
        <f t="shared" si="24"/>
        <v>-</v>
      </c>
      <c r="BF63" s="4" t="str">
        <f t="shared" si="25"/>
        <v>-</v>
      </c>
      <c r="BG63" s="4" t="str">
        <f t="shared" si="26"/>
        <v>-</v>
      </c>
      <c r="BH63" s="4" t="str">
        <f t="shared" si="27"/>
        <v>-</v>
      </c>
      <c r="BI63" s="4">
        <v>0</v>
      </c>
      <c r="BJ63" s="4" t="s">
        <v>327</v>
      </c>
      <c r="BK63" s="4">
        <v>1</v>
      </c>
      <c r="BL63" s="4">
        <v>10</v>
      </c>
      <c r="BM63" s="4" t="s">
        <v>312</v>
      </c>
      <c r="BN63" s="4">
        <v>13146</v>
      </c>
      <c r="BO63" s="4">
        <v>13746</v>
      </c>
      <c r="BP63" s="4">
        <f t="shared" si="50"/>
        <v>1374.6000000000001</v>
      </c>
      <c r="BQ63" s="19">
        <v>4</v>
      </c>
      <c r="BR63" s="19">
        <v>8</v>
      </c>
      <c r="BS63" s="16">
        <v>4</v>
      </c>
      <c r="BT63" t="s">
        <v>199</v>
      </c>
      <c r="BU63" t="s">
        <v>196</v>
      </c>
      <c r="BV63" t="str">
        <f t="shared" si="28"/>
        <v>-</v>
      </c>
      <c r="BW63">
        <v>1254</v>
      </c>
      <c r="BX63">
        <v>1254</v>
      </c>
      <c r="BY63">
        <f t="shared" si="29"/>
        <v>1312.7385620915031</v>
      </c>
      <c r="BZ63" t="s">
        <v>256</v>
      </c>
    </row>
    <row r="64" spans="1:78" x14ac:dyDescent="0.4">
      <c r="A64" s="3">
        <v>61</v>
      </c>
      <c r="B64" s="3">
        <v>61</v>
      </c>
      <c r="C64" s="4" t="s">
        <v>125</v>
      </c>
      <c r="D64" s="4" t="str">
        <f t="shared" si="36"/>
        <v>J3067R</v>
      </c>
      <c r="E64" s="4" t="s">
        <v>125</v>
      </c>
      <c r="F64" s="4" t="str">
        <f t="shared" si="5"/>
        <v>J3067R5</v>
      </c>
      <c r="G64" s="4" t="s">
        <v>188</v>
      </c>
      <c r="H64" s="5">
        <v>4547345055778</v>
      </c>
      <c r="I64" s="5">
        <v>5</v>
      </c>
      <c r="J64" s="5"/>
      <c r="K64" s="5">
        <v>1</v>
      </c>
      <c r="L64" s="5">
        <v>1</v>
      </c>
      <c r="M64" s="4">
        <v>0</v>
      </c>
      <c r="N64" s="4">
        <v>1216</v>
      </c>
      <c r="O64" s="4">
        <v>918</v>
      </c>
      <c r="P64" s="6">
        <f t="shared" si="37"/>
        <v>0.24506578947368418</v>
      </c>
      <c r="Q64" s="4" t="s">
        <v>196</v>
      </c>
      <c r="R64" s="4" t="s">
        <v>196</v>
      </c>
      <c r="S64" s="4" t="s">
        <v>196</v>
      </c>
      <c r="T64" s="4" t="s">
        <v>196</v>
      </c>
      <c r="U64" s="4" t="s">
        <v>196</v>
      </c>
      <c r="V64" s="4" t="s">
        <v>196</v>
      </c>
      <c r="W64" s="4" t="s">
        <v>196</v>
      </c>
      <c r="X64" s="4" t="s">
        <v>196</v>
      </c>
      <c r="Y64" s="4" t="s">
        <v>196</v>
      </c>
      <c r="Z64" s="4" t="s">
        <v>196</v>
      </c>
      <c r="AA64" s="4" t="s">
        <v>196</v>
      </c>
      <c r="AB64" s="4" t="s">
        <v>196</v>
      </c>
      <c r="AC64" s="4">
        <v>0</v>
      </c>
      <c r="AD64" s="4">
        <f t="shared" si="38"/>
        <v>0</v>
      </c>
      <c r="AE64" s="4">
        <v>961</v>
      </c>
      <c r="AF64" s="4">
        <f t="shared" si="39"/>
        <v>961</v>
      </c>
      <c r="AG64" s="4"/>
      <c r="AH64" s="21">
        <f t="shared" si="40"/>
        <v>1273</v>
      </c>
      <c r="AI64" s="6">
        <f t="shared" si="41"/>
        <v>0.24509033778476041</v>
      </c>
      <c r="AJ64" s="4">
        <v>0</v>
      </c>
      <c r="AK64" s="4">
        <f t="shared" si="42"/>
        <v>1374.6000000000001</v>
      </c>
      <c r="AL64" s="4">
        <f t="shared" si="43"/>
        <v>1438.9875816993465</v>
      </c>
      <c r="AM64" s="6">
        <f t="shared" si="44"/>
        <v>0.33216935835879535</v>
      </c>
      <c r="AN64" s="7">
        <v>1375</v>
      </c>
      <c r="AO64" s="6">
        <f t="shared" si="45"/>
        <v>0.30109090909090908</v>
      </c>
      <c r="AP64" s="4">
        <f t="shared" si="46"/>
        <v>414</v>
      </c>
      <c r="AQ64" s="28"/>
      <c r="AR64" s="6"/>
      <c r="AS64" s="6"/>
      <c r="AT64" s="6" t="str">
        <f t="shared" si="47"/>
        <v>-</v>
      </c>
      <c r="AU64" s="6">
        <f t="shared" si="48"/>
        <v>1.1307565789473684</v>
      </c>
      <c r="AV64" s="6">
        <f t="shared" si="49"/>
        <v>1.0468409586056644</v>
      </c>
      <c r="AW64" s="4" t="str">
        <f t="shared" si="16"/>
        <v>-</v>
      </c>
      <c r="AX64" s="4" t="str">
        <f t="shared" si="17"/>
        <v>-</v>
      </c>
      <c r="AY64" s="4" t="str">
        <f t="shared" si="18"/>
        <v>-</v>
      </c>
      <c r="AZ64" s="4" t="str">
        <f t="shared" si="19"/>
        <v>-</v>
      </c>
      <c r="BA64" s="4" t="str">
        <f t="shared" si="20"/>
        <v>-</v>
      </c>
      <c r="BB64" s="4" t="str">
        <f t="shared" si="21"/>
        <v>-</v>
      </c>
      <c r="BC64" s="4" t="str">
        <f t="shared" si="22"/>
        <v>-</v>
      </c>
      <c r="BD64" s="4" t="str">
        <f t="shared" si="23"/>
        <v>-</v>
      </c>
      <c r="BE64" s="4" t="str">
        <f t="shared" si="24"/>
        <v>-</v>
      </c>
      <c r="BF64" s="4" t="str">
        <f t="shared" si="25"/>
        <v>-</v>
      </c>
      <c r="BG64" s="4" t="str">
        <f t="shared" si="26"/>
        <v>-</v>
      </c>
      <c r="BH64" s="4" t="str">
        <f t="shared" si="27"/>
        <v>-</v>
      </c>
      <c r="BI64" s="4">
        <v>0</v>
      </c>
      <c r="BJ64" s="4" t="s">
        <v>328</v>
      </c>
      <c r="BK64" s="4">
        <v>1</v>
      </c>
      <c r="BL64" s="4">
        <v>10</v>
      </c>
      <c r="BM64" s="4" t="s">
        <v>312</v>
      </c>
      <c r="BN64" s="4">
        <v>13146</v>
      </c>
      <c r="BO64" s="4">
        <v>13746</v>
      </c>
      <c r="BP64" s="4">
        <f t="shared" si="50"/>
        <v>1374.6000000000001</v>
      </c>
      <c r="BQ64" s="19">
        <v>4</v>
      </c>
      <c r="BR64" s="19">
        <v>8</v>
      </c>
      <c r="BS64" s="16">
        <v>4</v>
      </c>
      <c r="BT64" t="s">
        <v>199</v>
      </c>
      <c r="BU64" t="s">
        <v>196</v>
      </c>
      <c r="BV64" t="str">
        <f t="shared" si="28"/>
        <v>-</v>
      </c>
      <c r="BW64">
        <v>1254</v>
      </c>
      <c r="BX64">
        <v>1254</v>
      </c>
      <c r="BY64">
        <f t="shared" si="29"/>
        <v>1312.7385620915031</v>
      </c>
      <c r="BZ64" t="s">
        <v>257</v>
      </c>
    </row>
    <row r="65" spans="1:78" x14ac:dyDescent="0.4">
      <c r="A65" s="3">
        <v>62</v>
      </c>
      <c r="B65" s="3">
        <v>62</v>
      </c>
      <c r="C65" s="4" t="s">
        <v>126</v>
      </c>
      <c r="D65" s="4" t="str">
        <f t="shared" si="36"/>
        <v>J3068R</v>
      </c>
      <c r="E65" s="4" t="s">
        <v>126</v>
      </c>
      <c r="F65" s="4" t="str">
        <f t="shared" si="5"/>
        <v>J3068R5</v>
      </c>
      <c r="G65" s="4" t="s">
        <v>189</v>
      </c>
      <c r="H65" s="5">
        <v>4547345055785</v>
      </c>
      <c r="I65" s="5">
        <v>5</v>
      </c>
      <c r="J65" s="5"/>
      <c r="K65" s="5">
        <v>1</v>
      </c>
      <c r="L65" s="5">
        <v>1</v>
      </c>
      <c r="M65" s="4">
        <v>0</v>
      </c>
      <c r="N65" s="4">
        <v>1729</v>
      </c>
      <c r="O65" s="4">
        <v>1300</v>
      </c>
      <c r="P65" s="6">
        <f t="shared" si="37"/>
        <v>0.24812030075187974</v>
      </c>
      <c r="Q65" s="4" t="s">
        <v>196</v>
      </c>
      <c r="R65" s="4" t="s">
        <v>196</v>
      </c>
      <c r="S65" s="4" t="s">
        <v>196</v>
      </c>
      <c r="T65" s="4" t="s">
        <v>196</v>
      </c>
      <c r="U65" s="4" t="s">
        <v>196</v>
      </c>
      <c r="V65" s="4" t="s">
        <v>196</v>
      </c>
      <c r="W65" s="4" t="s">
        <v>196</v>
      </c>
      <c r="X65" s="4" t="s">
        <v>196</v>
      </c>
      <c r="Y65" s="4" t="s">
        <v>196</v>
      </c>
      <c r="Z65" s="4" t="s">
        <v>196</v>
      </c>
      <c r="AA65" s="4" t="s">
        <v>196</v>
      </c>
      <c r="AB65" s="4" t="s">
        <v>196</v>
      </c>
      <c r="AC65" s="4">
        <v>0</v>
      </c>
      <c r="AD65" s="4">
        <f t="shared" si="38"/>
        <v>0</v>
      </c>
      <c r="AE65" s="4">
        <v>1360</v>
      </c>
      <c r="AF65" s="4">
        <f t="shared" si="39"/>
        <v>1360</v>
      </c>
      <c r="AG65" s="4"/>
      <c r="AH65" s="21">
        <f t="shared" si="40"/>
        <v>1809</v>
      </c>
      <c r="AI65" s="6">
        <f t="shared" si="41"/>
        <v>0.2482034273079049</v>
      </c>
      <c r="AJ65" s="4">
        <v>0.25</v>
      </c>
      <c r="AK65" s="4">
        <f t="shared" si="42"/>
        <v>1944.6000000000001</v>
      </c>
      <c r="AL65" s="4">
        <f t="shared" si="43"/>
        <v>2034.3507692307694</v>
      </c>
      <c r="AM65" s="6">
        <f t="shared" si="44"/>
        <v>0.33148205286434229</v>
      </c>
      <c r="AN65" s="7">
        <v>1945</v>
      </c>
      <c r="AO65" s="6">
        <f t="shared" si="45"/>
        <v>0.30077120822622105</v>
      </c>
      <c r="AP65" s="4">
        <f t="shared" si="46"/>
        <v>585</v>
      </c>
      <c r="AQ65" s="28"/>
      <c r="AR65" s="6"/>
      <c r="AS65" s="6"/>
      <c r="AT65" s="6" t="str">
        <f t="shared" si="47"/>
        <v>-</v>
      </c>
      <c r="AU65" s="6">
        <f t="shared" si="48"/>
        <v>1.1249277038750722</v>
      </c>
      <c r="AV65" s="6">
        <f t="shared" si="49"/>
        <v>1.0461538461538462</v>
      </c>
      <c r="AW65" s="4" t="str">
        <f t="shared" si="16"/>
        <v>-</v>
      </c>
      <c r="AX65" s="4" t="str">
        <f t="shared" si="17"/>
        <v>-</v>
      </c>
      <c r="AY65" s="4" t="str">
        <f t="shared" si="18"/>
        <v>-</v>
      </c>
      <c r="AZ65" s="4" t="str">
        <f t="shared" si="19"/>
        <v>-</v>
      </c>
      <c r="BA65" s="4" t="str">
        <f t="shared" si="20"/>
        <v>-</v>
      </c>
      <c r="BB65" s="4" t="str">
        <f t="shared" si="21"/>
        <v>-</v>
      </c>
      <c r="BC65" s="4" t="str">
        <f t="shared" si="22"/>
        <v>-</v>
      </c>
      <c r="BD65" s="4" t="str">
        <f t="shared" si="23"/>
        <v>-</v>
      </c>
      <c r="BE65" s="4" t="str">
        <f t="shared" si="24"/>
        <v>-</v>
      </c>
      <c r="BF65" s="4" t="str">
        <f t="shared" si="25"/>
        <v>-</v>
      </c>
      <c r="BG65" s="4" t="str">
        <f t="shared" si="26"/>
        <v>-</v>
      </c>
      <c r="BH65" s="4" t="str">
        <f t="shared" si="27"/>
        <v>-</v>
      </c>
      <c r="BI65" s="4">
        <v>0</v>
      </c>
      <c r="BJ65" s="4" t="s">
        <v>329</v>
      </c>
      <c r="BK65" s="4">
        <v>1</v>
      </c>
      <c r="BL65" s="4">
        <v>5</v>
      </c>
      <c r="BM65" s="4" t="s">
        <v>330</v>
      </c>
      <c r="BN65" s="4">
        <v>9300</v>
      </c>
      <c r="BO65" s="4">
        <v>9723</v>
      </c>
      <c r="BP65" s="4">
        <f t="shared" si="50"/>
        <v>1944.6000000000001</v>
      </c>
      <c r="BQ65" s="19">
        <v>4</v>
      </c>
      <c r="BR65" s="19">
        <v>8</v>
      </c>
      <c r="BS65" s="16">
        <v>4</v>
      </c>
      <c r="BT65" t="s">
        <v>199</v>
      </c>
      <c r="BU65" t="s">
        <v>196</v>
      </c>
      <c r="BV65" t="str">
        <f t="shared" si="28"/>
        <v>-</v>
      </c>
      <c r="BW65">
        <v>1767</v>
      </c>
      <c r="BX65">
        <v>1767</v>
      </c>
      <c r="BY65">
        <f t="shared" si="29"/>
        <v>1848.5538461538463</v>
      </c>
      <c r="BZ65" t="s">
        <v>258</v>
      </c>
    </row>
    <row r="66" spans="1:78" x14ac:dyDescent="0.4">
      <c r="A66" s="3">
        <v>63</v>
      </c>
      <c r="B66" s="3">
        <v>63</v>
      </c>
      <c r="C66" s="4" t="s">
        <v>127</v>
      </c>
      <c r="D66" s="4" t="str">
        <f t="shared" si="36"/>
        <v>J3069R</v>
      </c>
      <c r="E66" s="4" t="s">
        <v>127</v>
      </c>
      <c r="F66" s="4" t="str">
        <f t="shared" si="5"/>
        <v>J3069R5</v>
      </c>
      <c r="G66" s="4" t="s">
        <v>190</v>
      </c>
      <c r="H66" s="5">
        <v>4547345055792</v>
      </c>
      <c r="I66" s="5">
        <v>5</v>
      </c>
      <c r="J66" s="5"/>
      <c r="K66" s="5">
        <v>1</v>
      </c>
      <c r="L66" s="5">
        <v>1</v>
      </c>
      <c r="M66" s="4">
        <v>0</v>
      </c>
      <c r="N66" s="4">
        <v>2147</v>
      </c>
      <c r="O66" s="4">
        <v>1618</v>
      </c>
      <c r="P66" s="6">
        <f t="shared" si="37"/>
        <v>0.24639031206334416</v>
      </c>
      <c r="Q66" s="4" t="s">
        <v>196</v>
      </c>
      <c r="R66" s="4" t="s">
        <v>196</v>
      </c>
      <c r="S66" s="4" t="s">
        <v>196</v>
      </c>
      <c r="T66" s="4" t="s">
        <v>196</v>
      </c>
      <c r="U66" s="4" t="s">
        <v>196</v>
      </c>
      <c r="V66" s="4" t="s">
        <v>196</v>
      </c>
      <c r="W66" s="4" t="s">
        <v>196</v>
      </c>
      <c r="X66" s="4" t="s">
        <v>196</v>
      </c>
      <c r="Y66" s="4" t="s">
        <v>196</v>
      </c>
      <c r="Z66" s="4" t="s">
        <v>196</v>
      </c>
      <c r="AA66" s="4" t="s">
        <v>196</v>
      </c>
      <c r="AB66" s="4" t="s">
        <v>196</v>
      </c>
      <c r="AC66" s="4">
        <v>0</v>
      </c>
      <c r="AD66" s="4">
        <f t="shared" si="38"/>
        <v>0</v>
      </c>
      <c r="AE66" s="4">
        <v>1693</v>
      </c>
      <c r="AF66" s="4">
        <f t="shared" si="39"/>
        <v>1693</v>
      </c>
      <c r="AG66" s="4"/>
      <c r="AH66" s="21">
        <f t="shared" si="40"/>
        <v>2247</v>
      </c>
      <c r="AI66" s="6">
        <f t="shared" si="41"/>
        <v>0.24655095683133066</v>
      </c>
      <c r="AJ66" s="4">
        <v>0.25</v>
      </c>
      <c r="AK66" s="4">
        <f t="shared" si="42"/>
        <v>2420.8000000000002</v>
      </c>
      <c r="AL66" s="4">
        <f t="shared" si="43"/>
        <v>2533.0126081582198</v>
      </c>
      <c r="AM66" s="6">
        <f t="shared" si="44"/>
        <v>0.33162590879048237</v>
      </c>
      <c r="AN66" s="7">
        <v>2420</v>
      </c>
      <c r="AO66" s="6">
        <f t="shared" si="45"/>
        <v>0.3004132231404959</v>
      </c>
      <c r="AP66" s="4">
        <f t="shared" si="46"/>
        <v>727</v>
      </c>
      <c r="AQ66" s="28"/>
      <c r="AR66" s="6"/>
      <c r="AS66" s="6"/>
      <c r="AT66" s="6" t="str">
        <f t="shared" si="47"/>
        <v>-</v>
      </c>
      <c r="AU66" s="6">
        <f t="shared" si="48"/>
        <v>1.1271541686073592</v>
      </c>
      <c r="AV66" s="6">
        <f t="shared" si="49"/>
        <v>1.0463535228677379</v>
      </c>
      <c r="AW66" s="4" t="str">
        <f t="shared" si="16"/>
        <v>-</v>
      </c>
      <c r="AX66" s="4" t="str">
        <f t="shared" si="17"/>
        <v>-</v>
      </c>
      <c r="AY66" s="4" t="str">
        <f t="shared" si="18"/>
        <v>-</v>
      </c>
      <c r="AZ66" s="4" t="str">
        <f t="shared" si="19"/>
        <v>-</v>
      </c>
      <c r="BA66" s="4" t="str">
        <f t="shared" si="20"/>
        <v>-</v>
      </c>
      <c r="BB66" s="4" t="str">
        <f t="shared" si="21"/>
        <v>-</v>
      </c>
      <c r="BC66" s="4" t="str">
        <f t="shared" si="22"/>
        <v>-</v>
      </c>
      <c r="BD66" s="4" t="str">
        <f t="shared" si="23"/>
        <v>-</v>
      </c>
      <c r="BE66" s="4" t="str">
        <f t="shared" si="24"/>
        <v>-</v>
      </c>
      <c r="BF66" s="4" t="str">
        <f t="shared" si="25"/>
        <v>-</v>
      </c>
      <c r="BG66" s="4" t="str">
        <f t="shared" si="26"/>
        <v>-</v>
      </c>
      <c r="BH66" s="4" t="str">
        <f t="shared" si="27"/>
        <v>-</v>
      </c>
      <c r="BI66" s="4">
        <v>0</v>
      </c>
      <c r="BJ66" s="4" t="s">
        <v>331</v>
      </c>
      <c r="BK66" s="4">
        <v>1</v>
      </c>
      <c r="BL66" s="4">
        <v>5</v>
      </c>
      <c r="BM66" s="4" t="s">
        <v>330</v>
      </c>
      <c r="BN66" s="4">
        <v>11575</v>
      </c>
      <c r="BO66" s="4">
        <v>12104</v>
      </c>
      <c r="BP66" s="4">
        <f t="shared" si="50"/>
        <v>2420.8000000000002</v>
      </c>
      <c r="BQ66" s="19">
        <v>4</v>
      </c>
      <c r="BR66" s="19">
        <v>8</v>
      </c>
      <c r="BS66" s="16">
        <v>4</v>
      </c>
      <c r="BT66" t="s">
        <v>199</v>
      </c>
      <c r="BU66" t="s">
        <v>196</v>
      </c>
      <c r="BV66" t="str">
        <f t="shared" si="28"/>
        <v>-</v>
      </c>
      <c r="BW66">
        <v>2204</v>
      </c>
      <c r="BX66">
        <v>2204</v>
      </c>
      <c r="BY66">
        <f t="shared" si="29"/>
        <v>2306.1631644004942</v>
      </c>
      <c r="BZ66" t="s">
        <v>259</v>
      </c>
    </row>
    <row r="67" spans="1:78" x14ac:dyDescent="0.4">
      <c r="A67" s="3">
        <v>64</v>
      </c>
      <c r="B67" s="3">
        <v>64</v>
      </c>
      <c r="C67" s="4" t="s">
        <v>128</v>
      </c>
      <c r="D67" s="4" t="str">
        <f t="shared" si="36"/>
        <v>J2948R</v>
      </c>
      <c r="E67" s="4" t="s">
        <v>128</v>
      </c>
      <c r="F67" s="4" t="str">
        <f t="shared" si="5"/>
        <v>J2948R5</v>
      </c>
      <c r="G67" s="4" t="s">
        <v>191</v>
      </c>
      <c r="H67" s="5">
        <v>4547345013129</v>
      </c>
      <c r="I67" s="5">
        <v>5</v>
      </c>
      <c r="J67" s="5"/>
      <c r="K67" s="5">
        <v>1</v>
      </c>
      <c r="L67" s="5">
        <v>1</v>
      </c>
      <c r="M67" s="4">
        <v>0</v>
      </c>
      <c r="N67" s="4">
        <v>1450</v>
      </c>
      <c r="O67" s="4">
        <v>938</v>
      </c>
      <c r="P67" s="6">
        <f t="shared" si="37"/>
        <v>0.35310344827586204</v>
      </c>
      <c r="Q67" s="4" t="s">
        <v>196</v>
      </c>
      <c r="R67" s="4" t="s">
        <v>196</v>
      </c>
      <c r="S67" s="4" t="s">
        <v>196</v>
      </c>
      <c r="T67" s="4" t="s">
        <v>196</v>
      </c>
      <c r="U67" s="4" t="s">
        <v>196</v>
      </c>
      <c r="V67" s="4" t="s">
        <v>196</v>
      </c>
      <c r="W67" s="4" t="s">
        <v>196</v>
      </c>
      <c r="X67" s="4" t="s">
        <v>196</v>
      </c>
      <c r="Y67" s="4" t="s">
        <v>196</v>
      </c>
      <c r="Z67" s="4" t="s">
        <v>196</v>
      </c>
      <c r="AA67" s="4" t="s">
        <v>196</v>
      </c>
      <c r="AB67" s="4" t="s">
        <v>196</v>
      </c>
      <c r="AC67" s="4">
        <v>0</v>
      </c>
      <c r="AD67" s="4">
        <f t="shared" si="38"/>
        <v>0</v>
      </c>
      <c r="AE67" s="4">
        <v>981</v>
      </c>
      <c r="AF67" s="4">
        <f t="shared" si="39"/>
        <v>981</v>
      </c>
      <c r="AG67" s="4"/>
      <c r="AH67" s="21">
        <f t="shared" si="40"/>
        <v>1516</v>
      </c>
      <c r="AI67" s="6">
        <f t="shared" si="41"/>
        <v>0.3529023746701847</v>
      </c>
      <c r="AJ67" s="4">
        <v>0.5</v>
      </c>
      <c r="AK67" s="4">
        <f t="shared" si="42"/>
        <v>1670</v>
      </c>
      <c r="AL67" s="4">
        <f t="shared" si="43"/>
        <v>1746.5565031982942</v>
      </c>
      <c r="AM67" s="6">
        <f t="shared" si="44"/>
        <v>0.43832335329341321</v>
      </c>
      <c r="AN67" s="7">
        <v>1500</v>
      </c>
      <c r="AO67" s="6">
        <f t="shared" si="45"/>
        <v>0.34599999999999997</v>
      </c>
      <c r="AP67" s="4">
        <f t="shared" si="46"/>
        <v>519</v>
      </c>
      <c r="AQ67" s="28"/>
      <c r="AR67" s="6"/>
      <c r="AS67" s="6"/>
      <c r="AT67" s="6" t="str">
        <f t="shared" si="47"/>
        <v>-</v>
      </c>
      <c r="AU67" s="6">
        <f t="shared" si="48"/>
        <v>1.0344827586206897</v>
      </c>
      <c r="AV67" s="6">
        <f t="shared" si="49"/>
        <v>1.0458422174840085</v>
      </c>
      <c r="AW67" s="4" t="str">
        <f t="shared" si="16"/>
        <v>-</v>
      </c>
      <c r="AX67" s="4" t="str">
        <f t="shared" si="17"/>
        <v>-</v>
      </c>
      <c r="AY67" s="4" t="str">
        <f t="shared" si="18"/>
        <v>-</v>
      </c>
      <c r="AZ67" s="4" t="str">
        <f t="shared" si="19"/>
        <v>-</v>
      </c>
      <c r="BA67" s="4" t="str">
        <f t="shared" si="20"/>
        <v>-</v>
      </c>
      <c r="BB67" s="4" t="str">
        <f t="shared" si="21"/>
        <v>-</v>
      </c>
      <c r="BC67" s="4" t="str">
        <f t="shared" si="22"/>
        <v>-</v>
      </c>
      <c r="BD67" s="4" t="str">
        <f t="shared" si="23"/>
        <v>-</v>
      </c>
      <c r="BE67" s="4" t="str">
        <f t="shared" si="24"/>
        <v>-</v>
      </c>
      <c r="BF67" s="4" t="str">
        <f t="shared" si="25"/>
        <v>-</v>
      </c>
      <c r="BG67" s="4" t="str">
        <f t="shared" si="26"/>
        <v>-</v>
      </c>
      <c r="BH67" s="4" t="str">
        <f t="shared" si="27"/>
        <v>-</v>
      </c>
      <c r="BI67" s="4">
        <v>0</v>
      </c>
      <c r="BJ67" s="4" t="s">
        <v>332</v>
      </c>
      <c r="BK67" s="4"/>
      <c r="BL67" s="4"/>
      <c r="BM67" s="4" t="s">
        <v>264</v>
      </c>
      <c r="BN67" s="4">
        <v>1670</v>
      </c>
      <c r="BO67" s="4">
        <v>1670</v>
      </c>
      <c r="BP67" s="4">
        <f t="shared" si="50"/>
        <v>1670</v>
      </c>
      <c r="BQ67" s="19">
        <v>4</v>
      </c>
      <c r="BR67" s="19">
        <v>1</v>
      </c>
      <c r="BS67" s="16">
        <v>4</v>
      </c>
      <c r="BT67" t="s">
        <v>199</v>
      </c>
      <c r="BU67" t="s">
        <v>196</v>
      </c>
      <c r="BV67" t="str">
        <f t="shared" si="28"/>
        <v>-</v>
      </c>
      <c r="BW67">
        <v>1340</v>
      </c>
      <c r="BX67">
        <v>1340</v>
      </c>
      <c r="BY67">
        <f t="shared" si="29"/>
        <v>1401.4285714285713</v>
      </c>
      <c r="BZ67" t="s">
        <v>260</v>
      </c>
    </row>
  </sheetData>
  <mergeCells count="3">
    <mergeCell ref="M2:P2"/>
    <mergeCell ref="K2:L2"/>
    <mergeCell ref="AC1:AF1"/>
  </mergeCells>
  <phoneticPr fontId="2"/>
  <conditionalFormatting sqref="AL4:AL67">
    <cfRule type="cellIs" dxfId="5" priority="5" operator="lessThan">
      <formula>$AN4</formula>
    </cfRule>
  </conditionalFormatting>
  <conditionalFormatting sqref="AN4:AN67">
    <cfRule type="cellIs" dxfId="4" priority="7" operator="greaterThan">
      <formula>$AD4</formula>
    </cfRule>
  </conditionalFormatting>
  <conditionalFormatting sqref="AO4:AO67">
    <cfRule type="cellIs" dxfId="3" priority="4" operator="lessThan">
      <formula>0.2</formula>
    </cfRule>
  </conditionalFormatting>
  <conditionalFormatting sqref="BO4:BO67">
    <cfRule type="cellIs" dxfId="2" priority="3" operator="notEqual">
      <formula>$BN4</formula>
    </cfRule>
  </conditionalFormatting>
  <conditionalFormatting sqref="BU4:BU67">
    <cfRule type="cellIs" dxfId="1" priority="2" operator="notEqual">
      <formula>$BT4</formula>
    </cfRule>
  </conditionalFormatting>
  <conditionalFormatting sqref="BX4:BX67">
    <cfRule type="cellIs" dxfId="0" priority="1" operator="notEqual">
      <formula>$BW4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2026-07-15T01:22:02Z</dcterms:modified>
</cp:coreProperties>
</file>