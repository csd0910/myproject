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ﾌ_福井_9323\価格改定\20260708_7月末\"/>
    </mc:Choice>
  </mc:AlternateContent>
  <xr:revisionPtr revIDLastSave="0" documentId="13_ncr:1_{A4EB730B-300B-4C93-8902-437991655EBE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P5" i="1" l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I16" i="1"/>
  <c r="AH16" i="1" s="1"/>
  <c r="BI20" i="1"/>
  <c r="AH20" i="1" s="1"/>
  <c r="BI25" i="1"/>
  <c r="AH25" i="1" s="1"/>
  <c r="AT4" i="1"/>
  <c r="P16" i="1"/>
  <c r="P17" i="1"/>
  <c r="P20" i="1"/>
  <c r="P21" i="1"/>
  <c r="AR22" i="1"/>
  <c r="AR24" i="1"/>
  <c r="P24" i="1"/>
  <c r="AR25" i="1"/>
  <c r="AC25" i="1"/>
  <c r="AM25" i="1" s="1"/>
  <c r="AA25" i="1"/>
  <c r="AQ25" i="1" s="1"/>
  <c r="D25" i="1"/>
  <c r="F25" i="1" s="1"/>
  <c r="BI24" i="1"/>
  <c r="AH24" i="1" s="1"/>
  <c r="AQ24" i="1"/>
  <c r="AC24" i="1"/>
  <c r="AM24" i="1" s="1"/>
  <c r="AA24" i="1"/>
  <c r="D24" i="1"/>
  <c r="F24" i="1" s="1"/>
  <c r="BI23" i="1"/>
  <c r="AH23" i="1" s="1"/>
  <c r="AR23" i="1"/>
  <c r="AC23" i="1"/>
  <c r="AM23" i="1" s="1"/>
  <c r="AA23" i="1"/>
  <c r="AQ23" i="1" s="1"/>
  <c r="P23" i="1"/>
  <c r="D23" i="1"/>
  <c r="F23" i="1" s="1"/>
  <c r="P5" i="1"/>
  <c r="P6" i="1"/>
  <c r="P7" i="1"/>
  <c r="P8" i="1"/>
  <c r="P9" i="1"/>
  <c r="P10" i="1"/>
  <c r="P11" i="1"/>
  <c r="P12" i="1"/>
  <c r="P13" i="1"/>
  <c r="P14" i="1"/>
  <c r="P15" i="1"/>
  <c r="P18" i="1"/>
  <c r="P19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BI22" i="1"/>
  <c r="AH22" i="1" s="1"/>
  <c r="AC22" i="1"/>
  <c r="AA22" i="1"/>
  <c r="AQ22" i="1" s="1"/>
  <c r="D22" i="1"/>
  <c r="F22" i="1" s="1"/>
  <c r="BI21" i="1"/>
  <c r="AH21" i="1" s="1"/>
  <c r="AC21" i="1"/>
  <c r="AM21" i="1" s="1"/>
  <c r="AA21" i="1"/>
  <c r="AQ21" i="1" s="1"/>
  <c r="D21" i="1"/>
  <c r="F21" i="1" s="1"/>
  <c r="AC20" i="1"/>
  <c r="AA20" i="1"/>
  <c r="AQ20" i="1" s="1"/>
  <c r="D20" i="1"/>
  <c r="F20" i="1" s="1"/>
  <c r="BI19" i="1"/>
  <c r="AH19" i="1" s="1"/>
  <c r="AC19" i="1"/>
  <c r="AM19" i="1" s="1"/>
  <c r="AA19" i="1"/>
  <c r="AQ19" i="1" s="1"/>
  <c r="D19" i="1"/>
  <c r="F19" i="1" s="1"/>
  <c r="BI18" i="1"/>
  <c r="AH18" i="1" s="1"/>
  <c r="AC18" i="1"/>
  <c r="AL18" i="1" s="1"/>
  <c r="AA18" i="1"/>
  <c r="AQ18" i="1" s="1"/>
  <c r="D18" i="1"/>
  <c r="F18" i="1" s="1"/>
  <c r="BI17" i="1"/>
  <c r="AH17" i="1" s="1"/>
  <c r="AC17" i="1"/>
  <c r="AL17" i="1" s="1"/>
  <c r="AA17" i="1"/>
  <c r="AQ17" i="1" s="1"/>
  <c r="D17" i="1"/>
  <c r="F17" i="1" s="1"/>
  <c r="AC16" i="1"/>
  <c r="AM16" i="1" s="1"/>
  <c r="AA16" i="1"/>
  <c r="AQ16" i="1" s="1"/>
  <c r="D16" i="1"/>
  <c r="F16" i="1" s="1"/>
  <c r="BI15" i="1"/>
  <c r="AH15" i="1" s="1"/>
  <c r="AC15" i="1"/>
  <c r="AM15" i="1" s="1"/>
  <c r="AA15" i="1"/>
  <c r="AQ15" i="1" s="1"/>
  <c r="D15" i="1"/>
  <c r="F15" i="1" s="1"/>
  <c r="BI14" i="1"/>
  <c r="AH14" i="1" s="1"/>
  <c r="AC14" i="1"/>
  <c r="AA14" i="1"/>
  <c r="AQ14" i="1" s="1"/>
  <c r="D14" i="1"/>
  <c r="F14" i="1" s="1"/>
  <c r="AV4" i="1"/>
  <c r="AU4" i="1"/>
  <c r="AS23" i="1" l="1"/>
  <c r="AE23" i="1" s="1"/>
  <c r="AF23" i="1" s="1"/>
  <c r="AS25" i="1"/>
  <c r="AE25" i="1" s="1"/>
  <c r="AF25" i="1" s="1"/>
  <c r="AS17" i="1"/>
  <c r="AI17" i="1" s="1"/>
  <c r="AJ17" i="1" s="1"/>
  <c r="AS24" i="1"/>
  <c r="AE24" i="1" s="1"/>
  <c r="AF24" i="1" s="1"/>
  <c r="P22" i="1"/>
  <c r="P25" i="1"/>
  <c r="AI24" i="1"/>
  <c r="AJ24" i="1" s="1"/>
  <c r="P4" i="1"/>
  <c r="AR4" i="1"/>
  <c r="AL23" i="1"/>
  <c r="AL24" i="1"/>
  <c r="AL25" i="1"/>
  <c r="AS20" i="1"/>
  <c r="AI20" i="1" s="1"/>
  <c r="AJ20" i="1" s="1"/>
  <c r="AS22" i="1"/>
  <c r="AE22" i="1" s="1"/>
  <c r="AF22" i="1" s="1"/>
  <c r="AS14" i="1"/>
  <c r="AI14" i="1" s="1"/>
  <c r="AJ14" i="1" s="1"/>
  <c r="AS19" i="1"/>
  <c r="AI19" i="1" s="1"/>
  <c r="AJ19" i="1" s="1"/>
  <c r="AS16" i="1"/>
  <c r="AE16" i="1" s="1"/>
  <c r="AF16" i="1" s="1"/>
  <c r="AS21" i="1"/>
  <c r="AI21" i="1" s="1"/>
  <c r="AJ21" i="1" s="1"/>
  <c r="AS18" i="1"/>
  <c r="AI18" i="1" s="1"/>
  <c r="AJ18" i="1" s="1"/>
  <c r="AS15" i="1"/>
  <c r="AI15" i="1" s="1"/>
  <c r="AJ15" i="1" s="1"/>
  <c r="AL21" i="1"/>
  <c r="AL14" i="1"/>
  <c r="AL15" i="1"/>
  <c r="AM14" i="1"/>
  <c r="AL22" i="1"/>
  <c r="AM22" i="1"/>
  <c r="AM18" i="1"/>
  <c r="AL16" i="1"/>
  <c r="AM17" i="1"/>
  <c r="AE18" i="1"/>
  <c r="AF18" i="1" s="1"/>
  <c r="AL20" i="1"/>
  <c r="AE17" i="1"/>
  <c r="AF17" i="1" s="1"/>
  <c r="AL19" i="1"/>
  <c r="AM20" i="1"/>
  <c r="AI23" i="1" l="1"/>
  <c r="AJ23" i="1" s="1"/>
  <c r="AE19" i="1"/>
  <c r="AF19" i="1" s="1"/>
  <c r="AI25" i="1"/>
  <c r="AJ25" i="1" s="1"/>
  <c r="AE20" i="1"/>
  <c r="AF20" i="1" s="1"/>
  <c r="AI22" i="1"/>
  <c r="AJ22" i="1" s="1"/>
  <c r="AE14" i="1"/>
  <c r="AF14" i="1" s="1"/>
  <c r="AI16" i="1"/>
  <c r="AJ16" i="1" s="1"/>
  <c r="AE15" i="1"/>
  <c r="AF15" i="1" s="1"/>
  <c r="AE21" i="1"/>
  <c r="AF21" i="1" s="1"/>
  <c r="BI5" i="1"/>
  <c r="AH5" i="1" s="1"/>
  <c r="BI6" i="1"/>
  <c r="AH6" i="1" s="1"/>
  <c r="BI7" i="1"/>
  <c r="AH7" i="1" s="1"/>
  <c r="BI8" i="1"/>
  <c r="AH8" i="1" s="1"/>
  <c r="BI9" i="1"/>
  <c r="AH9" i="1" s="1"/>
  <c r="BI10" i="1"/>
  <c r="AH10" i="1" s="1"/>
  <c r="BI11" i="1"/>
  <c r="AH11" i="1" s="1"/>
  <c r="BI12" i="1"/>
  <c r="AH12" i="1" s="1"/>
  <c r="BI13" i="1"/>
  <c r="AH13" i="1" s="1"/>
  <c r="BI4" i="1"/>
  <c r="AH4" i="1" s="1"/>
  <c r="AC5" i="1"/>
  <c r="AC6" i="1"/>
  <c r="AC7" i="1"/>
  <c r="AC8" i="1"/>
  <c r="AC9" i="1"/>
  <c r="AC10" i="1"/>
  <c r="AC11" i="1"/>
  <c r="AC12" i="1"/>
  <c r="AC13" i="1"/>
  <c r="AA5" i="1"/>
  <c r="AQ5" i="1" s="1"/>
  <c r="AA6" i="1"/>
  <c r="AQ6" i="1" s="1"/>
  <c r="AA7" i="1"/>
  <c r="AQ7" i="1" s="1"/>
  <c r="AA8" i="1"/>
  <c r="AQ8" i="1" s="1"/>
  <c r="AA9" i="1"/>
  <c r="AQ9" i="1" s="1"/>
  <c r="AA10" i="1"/>
  <c r="AQ10" i="1" s="1"/>
  <c r="AA11" i="1"/>
  <c r="AQ11" i="1" s="1"/>
  <c r="AA12" i="1"/>
  <c r="AQ12" i="1" s="1"/>
  <c r="AA13" i="1"/>
  <c r="AQ13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4" i="1"/>
  <c r="F4" i="1" s="1"/>
  <c r="AC4" i="1"/>
  <c r="AA4" i="1"/>
  <c r="AQ4" i="1" s="1"/>
  <c r="AS7" i="1" l="1"/>
  <c r="AI7" i="1" s="1"/>
  <c r="AJ7" i="1" s="1"/>
  <c r="AS6" i="1"/>
  <c r="AI6" i="1" s="1"/>
  <c r="AJ6" i="1" s="1"/>
  <c r="AS12" i="1"/>
  <c r="AI12" i="1" s="1"/>
  <c r="AJ12" i="1" s="1"/>
  <c r="AS8" i="1"/>
  <c r="AI8" i="1" s="1"/>
  <c r="AJ8" i="1" s="1"/>
  <c r="AS13" i="1"/>
  <c r="AI13" i="1" s="1"/>
  <c r="AJ13" i="1" s="1"/>
  <c r="AS5" i="1"/>
  <c r="AS11" i="1"/>
  <c r="AI11" i="1" s="1"/>
  <c r="AJ11" i="1" s="1"/>
  <c r="AS10" i="1"/>
  <c r="AI10" i="1" s="1"/>
  <c r="AJ10" i="1" s="1"/>
  <c r="AS4" i="1"/>
  <c r="AE4" i="1" s="1"/>
  <c r="AF4" i="1" s="1"/>
  <c r="AS9" i="1"/>
  <c r="AE9" i="1" s="1"/>
  <c r="AF9" i="1" s="1"/>
  <c r="AL13" i="1"/>
  <c r="AL5" i="1"/>
  <c r="AL12" i="1"/>
  <c r="AM10" i="1"/>
  <c r="AL4" i="1"/>
  <c r="AL9" i="1"/>
  <c r="AM8" i="1"/>
  <c r="AM11" i="1"/>
  <c r="AM7" i="1"/>
  <c r="AE6" i="1"/>
  <c r="AF6" i="1" s="1"/>
  <c r="AM6" i="1"/>
  <c r="AL11" i="1"/>
  <c r="AL10" i="1"/>
  <c r="AL8" i="1"/>
  <c r="AM9" i="1"/>
  <c r="AL7" i="1"/>
  <c r="AM13" i="1"/>
  <c r="AM5" i="1"/>
  <c r="AL6" i="1"/>
  <c r="AM12" i="1"/>
  <c r="AO4" i="1"/>
  <c r="AP4" i="1"/>
  <c r="AM4" i="1"/>
  <c r="AE12" i="1" l="1"/>
  <c r="AF12" i="1" s="1"/>
  <c r="AE7" i="1"/>
  <c r="AF7" i="1" s="1"/>
  <c r="AE11" i="1"/>
  <c r="AF11" i="1" s="1"/>
  <c r="AE10" i="1"/>
  <c r="AF10" i="1" s="1"/>
  <c r="AI4" i="1"/>
  <c r="AJ4" i="1" s="1"/>
  <c r="BN4" i="1"/>
  <c r="BP4" i="1"/>
  <c r="AE13" i="1"/>
  <c r="AF13" i="1" s="1"/>
  <c r="AI9" i="1"/>
  <c r="AJ9" i="1" s="1"/>
  <c r="AE8" i="1"/>
  <c r="AF8" i="1" s="1"/>
  <c r="AI5" i="1"/>
  <c r="AJ5" i="1" s="1"/>
  <c r="AE5" i="1"/>
  <c r="AF5" i="1" s="1"/>
</calcChain>
</file>

<file path=xl/sharedStrings.xml><?xml version="1.0" encoding="utf-8"?>
<sst xmlns="http://schemas.openxmlformats.org/spreadsheetml/2006/main" count="255" uniqueCount="165">
  <si>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</si>
  <si>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</si>
  <si>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</si>
  <si>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</si>
  <si>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</si>
  <si>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</si>
  <si>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</si>
  <si>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</si>
  <si>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</si>
  <si>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</si>
  <si>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</si>
  <si>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</si>
  <si>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</si>
  <si>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</si>
  <si>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</si>
  <si>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</si>
  <si>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</si>
  <si>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</si>
  <si>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</si>
  <si>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</si>
  <si>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</si>
  <si>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</si>
  <si>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</si>
  <si>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</si>
  <si>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</si>
  <si>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</si>
  <si>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</si>
  <si>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</si>
  <si>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</si>
  <si>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</si>
  <si>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</si>
  <si>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</si>
  <si>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</si>
  <si>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</si>
  <si>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</si>
  <si>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</si>
  <si>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</si>
  <si>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</si>
  <si>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</si>
  <si>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</si>
  <si>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</si>
  <si>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</si>
  <si>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</si>
  <si>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</si>
  <si>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</si>
  <si>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</si>
  <si>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</si>
  <si>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</si>
  <si>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</si>
  <si>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</si>
  <si>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</si>
  <si>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</si>
  <si>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</si>
  <si>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</si>
  <si>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</si>
  <si>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</si>
  <si>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</si>
  <si>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</si>
  <si>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</si>
  <si>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</si>
  <si>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</si>
  <si>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</si>
  <si>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</si>
  <si>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</si>
  <si>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</si>
  <si>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品目+
FW荷姿</t>
    <rPh sb="0" eb="2">
      <t>ヒンモク</t>
    </rPh>
    <rPh sb="6" eb="8">
      <t>ニスガタ</t>
    </rPh>
    <phoneticPr fontId="2"/>
  </si>
  <si>
    <t>J843RX</t>
  </si>
  <si>
    <t>J842RX</t>
  </si>
  <si>
    <t>J841RX</t>
  </si>
  <si>
    <t>J839RX</t>
  </si>
  <si>
    <t>J840RX</t>
  </si>
  <si>
    <t>J837RX</t>
  </si>
  <si>
    <t>J844RX</t>
  </si>
  <si>
    <t>J845RX</t>
  </si>
  <si>
    <t>J838RX</t>
  </si>
  <si>
    <t>J050WR</t>
  </si>
  <si>
    <t>J051WR</t>
  </si>
  <si>
    <t>J528TC</t>
  </si>
  <si>
    <t>J550TC</t>
  </si>
  <si>
    <t>J530TC</t>
  </si>
  <si>
    <t>J533TC</t>
  </si>
  <si>
    <t>J534TC</t>
  </si>
  <si>
    <t>J272TC</t>
  </si>
  <si>
    <t>J273TC</t>
  </si>
  <si>
    <t>J265TC</t>
  </si>
  <si>
    <t>J266TC</t>
  </si>
  <si>
    <t>J281TC</t>
  </si>
  <si>
    <t>J267TC</t>
  </si>
  <si>
    <t>ｱｻﾋﾍﾟﾝ/油性ﾍﾟｲﾝﾄﾏｰｶｰ 中字 金</t>
  </si>
  <si>
    <t>ｱｻﾋﾍﾟﾝ/油性ﾍﾟｲﾝﾄﾏｰｶｰ 中字 銀</t>
  </si>
  <si>
    <t>ｱｻﾋﾍﾟﾝ/油性ﾍﾟｲﾝﾄﾏｰｶｰ 中字 黒</t>
  </si>
  <si>
    <t>ｱｻﾋﾍﾟﾝ/油性ﾍﾟｲﾝﾄﾏｰｶｰ 中字 赤</t>
  </si>
  <si>
    <t>ｱｻﾋﾍﾟﾝ/油性ﾍﾟｲﾝﾄﾏｰｶｰ 中字 青</t>
  </si>
  <si>
    <t>ｱｻﾋﾍﾟﾝ/油性ﾍﾟｲﾝﾄﾏｰｶｰ 中字 緑</t>
  </si>
  <si>
    <t>ｱｻﾋﾍﾟﾝ/油性ﾍﾟｲﾝﾄﾏｰｶｰ 中字 黄色</t>
  </si>
  <si>
    <t>ｱｻﾋﾍﾟﾝ/油性ﾍﾟｲﾝﾄﾏｰｶｰ 中字 ｵﾚﾝｼﾞ</t>
  </si>
  <si>
    <t>ｱｻﾋﾍﾟﾝ/油性ﾍﾟｲﾝﾄﾏｰｶｰ 中字 白</t>
  </si>
  <si>
    <t>ﾕﾀｶﾒｲｸ/防炎UV静電透明ｼｰﾄ 0.9x1.75m/B-440</t>
  </si>
  <si>
    <t>ﾕﾀｶﾒｲｸ/防炎UV静電透明ｼｰﾄ 1.8x1.75m/B-441</t>
  </si>
  <si>
    <t>NT/ｶｯﾀｰL型 6連発 BP/L-2000P</t>
  </si>
  <si>
    <t>NT/ｶｯﾀｰ替刃ｾｯﾄ BP/SET-AD950P</t>
  </si>
  <si>
    <t>NT/円切りｶｯﾀｰ BP/eC-1500P</t>
  </si>
  <si>
    <t>NT/ｶｯﾀｰ替刃ｾｯﾄ 袋/SET-AM350P-P</t>
  </si>
  <si>
    <t>NT/ｶｯﾀｰ替刃ｾｯﾄ 袋/SET-AM350P-B</t>
  </si>
  <si>
    <t>ASTAGE/ﾌｧｲﾚｯｸｽ ﾚﾀｰｹｰｽ M7 白/#446015</t>
  </si>
  <si>
    <t>ASTAGE/ﾌｧｲﾚｯｸｽ ﾚﾀｰｹｰｽ M7 黒/#446016</t>
  </si>
  <si>
    <t>ASTAGE/ﾌｧｲﾚｯｸｽ ﾚﾀｰｹｰｽ F5 白/#446023</t>
  </si>
  <si>
    <t>ASTAGE/ﾌｧｲﾚｯｸｽ ﾚﾀｰｹｰｽ F5 黒/#446024</t>
  </si>
  <si>
    <t>ASTAGE/ﾅﾝﾃﾞﾓﾄﾚｰ #350 ﾅﾁｭﾗﾙ/#446606</t>
  </si>
  <si>
    <t>ASTAGE/ﾃﾞｽｸｷｬﾋﾞﾈｯﾄ 浅3段/#444888</t>
  </si>
  <si>
    <t>-</t>
  </si>
  <si>
    <t>-</t>
    <phoneticPr fontId="2"/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</si>
  <si>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</si>
  <si>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</si>
  <si>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</si>
  <si>
    <t>アサヒペン 油性ペイントマーカー 中字 金 9010931（直送品）</t>
  </si>
  <si>
    <t>アサヒペン 油性ペイントマーカー 中字 銀 9010930（直送品）</t>
  </si>
  <si>
    <t>アサヒペン 油性ペイントマーカー 中字 黒 9010926 1個</t>
  </si>
  <si>
    <t>アサヒペン 油性ペイントマーカー 中字 赤 9010927（直送品）</t>
  </si>
  <si>
    <t>アサヒペン 油性ペイントマーカー 中字 青 9010924（直送品）</t>
  </si>
  <si>
    <t>アサヒペン 油性ペイントマーカー 中字 緑 9010925（直送品）</t>
  </si>
  <si>
    <t>アサヒペン 油性ペイントマーカー 中字 黄色 9010923（直送品）</t>
  </si>
  <si>
    <t>アサヒペン 油性ペイントマーカー 中字 オレンジ 9010929（直送品）</t>
  </si>
  <si>
    <t>アサヒペン 油性ペイントマーカー 中字 白 9010922（直送品）</t>
  </si>
  <si>
    <t>ユタカメイク 飛沫感染防止シート 0.9×1.75m B-440 1枚 256-7690（直送品）</t>
  </si>
  <si>
    <t>ユタカメイク 飛沫感染防止シート 1.8×1.75m B-441 1枚 256-7689（直送品）</t>
  </si>
  <si>
    <t>エヌティー 6連発・L刃2枚・三角刃折具付・アルミダイキャストボディー L-2000P 1セット(5個)（直送品）</t>
  </si>
  <si>
    <t>エヌティー NT カッター替刃セット BP SET-AD950P 1セット</t>
  </si>
  <si>
    <t>エヌティー 円切り・再生材・DA刃6枚・直径1.8～17cm・センターゲージ付 eC-1500P 1セット（5個）（直送品）</t>
  </si>
  <si>
    <t>エヌティー NT カッター+ミニカッティングマットセット ピンク SET-AM350P-P 1セット(10個) 853-3974（直送品）</t>
  </si>
  <si>
    <t>エヌティー NT カッター+ミニカッティングマットセット ブルー SET-AM350P-B 1セット(10個) 853-3973（直送品）</t>
  </si>
  <si>
    <t>JEJアステージ ファイレックスレターケース M7 7段 ホワイト 1個</t>
  </si>
  <si>
    <t>JEJアステージ ファイレックスレターケース M7 7段 ブラック 1個</t>
  </si>
  <si>
    <t>JEJアステージ ファイレックスレターケース F5 5段 ホワイト 1個</t>
  </si>
  <si>
    <t>JEJアステージ ファイレックスレターケース F5 5段 ブラック 1個</t>
  </si>
  <si>
    <t>JEJアステージ なんでもトレー#350 ナチュラル 1個</t>
  </si>
  <si>
    <t>JEJアステージ デスクキャビネット浅3段 ブラウンアイボリー 1個</t>
  </si>
  <si>
    <t>J475574</t>
  </si>
  <si>
    <t>1個</t>
  </si>
  <si>
    <t>J475573</t>
  </si>
  <si>
    <t>J475569</t>
  </si>
  <si>
    <t>J475570</t>
  </si>
  <si>
    <t>J475567</t>
  </si>
  <si>
    <t>J475568</t>
  </si>
  <si>
    <t>J475566</t>
  </si>
  <si>
    <t>J475571</t>
  </si>
  <si>
    <t>J475565</t>
  </si>
  <si>
    <t>WP50044</t>
  </si>
  <si>
    <t>1枚</t>
  </si>
  <si>
    <t>WK14005</t>
  </si>
  <si>
    <t>A785261</t>
  </si>
  <si>
    <t>1セット（5個）</t>
  </si>
  <si>
    <t>RK91640</t>
  </si>
  <si>
    <t>1セット</t>
  </si>
  <si>
    <t>A785694</t>
  </si>
  <si>
    <t>AW62340</t>
  </si>
  <si>
    <t>1セット(10個)</t>
  </si>
  <si>
    <t>AW62337</t>
  </si>
  <si>
    <t>XH16146</t>
  </si>
  <si>
    <t>XH16145</t>
  </si>
  <si>
    <t>XH16148</t>
  </si>
  <si>
    <t>XH16147</t>
  </si>
  <si>
    <t>XU50915</t>
  </si>
  <si>
    <t>XH16144</t>
  </si>
  <si>
    <t>VDなし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</si>
</sst>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12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6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7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Q25"/>
  <sheetViews>
    <sheetView tabSelected="1" zoomScale="90" zoomScaleNormal="90" workbookViewId="0">
      <pane xSplit="8" ySplit="5" topLeftCell="AL6" activePane="bottomRight" state="frozen"/>
      <selection pane="topRight" activeCell="G1" sqref="G1"/>
      <selection pane="bottomLeft" activeCell="A5" sqref="A5"/>
      <selection pane="bottomRight" activeCell="G1" sqref="G1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5" customWidth="1" collapsed="1"/>
    <col min="27" max="29" width="7.625" customWidth="1"/>
    <col min="30" max="30" width="4.375" customWidth="1" collapsed="1"/>
    <col min="31" max="32" width="7.625" customWidth="1"/>
    <col min="33" max="33" width="6.125" style="28" customWidth="1"/>
    <col min="34" max="34" width="7.625" customWidth="1"/>
    <col min="35" max="35" width="7.625" style="28" customWidth="1"/>
    <col min="36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58" width="7.625" customWidth="1"/>
    <col min="59" max="59" width="5.5" customWidth="1"/>
    <col min="60" max="68" width="7.625" customWidth="1"/>
  </cols>
  <sheetData>
    <row r="1" spans="1:69" x14ac:dyDescent="0.4">
      <c r="C1" s="27" t="s">
        <v>43</v>
      </c>
      <c r="Z1" s="42" t="s">
        <v>40</v>
      </c>
      <c r="AA1" s="43"/>
      <c r="AB1" s="43"/>
      <c r="AC1" s="44"/>
      <c r="AS1" t="s">
        <v>164</v>
      </c>
    </row>
    <row r="2" spans="1:69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4"/>
      <c r="J2" s="34"/>
      <c r="K2" s="39" t="s">
        <v>31</v>
      </c>
      <c r="L2" s="41"/>
      <c r="M2" s="39" t="s">
        <v>1</v>
      </c>
      <c r="N2" s="40"/>
      <c r="O2" s="40"/>
      <c r="P2" s="41"/>
      <c r="Q2" s="11"/>
      <c r="R2" s="33"/>
      <c r="S2" s="33"/>
      <c r="T2" s="33"/>
      <c r="U2" s="33"/>
      <c r="V2" s="33"/>
      <c r="W2" s="33"/>
      <c r="X2" s="33"/>
      <c r="Y2" s="33"/>
      <c r="Z2" s="21"/>
      <c r="AA2" s="22" t="s">
        <v>34</v>
      </c>
      <c r="AB2" s="22"/>
      <c r="AC2" s="23" t="s">
        <v>34</v>
      </c>
      <c r="AD2" s="10"/>
      <c r="AE2" s="9" t="s">
        <v>39</v>
      </c>
      <c r="AF2" s="11"/>
      <c r="AG2" s="29"/>
      <c r="AH2" s="11"/>
      <c r="AI2" s="29"/>
      <c r="AJ2" s="11"/>
      <c r="AK2" s="20" t="s">
        <v>41</v>
      </c>
      <c r="AL2" s="11"/>
      <c r="AM2" s="11"/>
      <c r="AN2" s="25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J2">
        <v>14</v>
      </c>
      <c r="BK2">
        <v>28</v>
      </c>
    </row>
    <row r="3" spans="1:69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38" t="s">
        <v>65</v>
      </c>
      <c r="G3" s="2" t="s">
        <v>0</v>
      </c>
      <c r="H3" s="12" t="s">
        <v>4</v>
      </c>
      <c r="I3" s="12" t="s">
        <v>53</v>
      </c>
      <c r="J3" s="12" t="s">
        <v>54</v>
      </c>
      <c r="K3" s="12" t="s">
        <v>25</v>
      </c>
      <c r="L3" s="12" t="s">
        <v>26</v>
      </c>
      <c r="M3" s="12" t="s">
        <v>63</v>
      </c>
      <c r="N3" s="2" t="s">
        <v>5</v>
      </c>
      <c r="O3" s="2" t="s">
        <v>61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59</v>
      </c>
      <c r="AA3" s="12" t="s">
        <v>60</v>
      </c>
      <c r="AB3" s="2" t="s">
        <v>61</v>
      </c>
      <c r="AC3" s="12" t="s">
        <v>62</v>
      </c>
      <c r="AD3" s="14" t="s">
        <v>3</v>
      </c>
      <c r="AE3" s="18" t="s">
        <v>14</v>
      </c>
      <c r="AF3" s="2" t="s">
        <v>13</v>
      </c>
      <c r="AG3" s="30" t="s">
        <v>44</v>
      </c>
      <c r="AH3" s="12" t="s">
        <v>64</v>
      </c>
      <c r="AI3" s="35" t="s">
        <v>55</v>
      </c>
      <c r="AJ3" s="2" t="s">
        <v>13</v>
      </c>
      <c r="AK3" s="13" t="s">
        <v>32</v>
      </c>
      <c r="AL3" s="2" t="s">
        <v>13</v>
      </c>
      <c r="AM3" s="2" t="s">
        <v>33</v>
      </c>
      <c r="AN3" s="24" t="s">
        <v>35</v>
      </c>
      <c r="AO3" s="12" t="s">
        <v>36</v>
      </c>
      <c r="AP3" s="12" t="s">
        <v>37</v>
      </c>
      <c r="AQ3" s="12" t="s">
        <v>27</v>
      </c>
      <c r="AR3" s="12" t="s">
        <v>38</v>
      </c>
      <c r="AS3" s="12" t="s">
        <v>15</v>
      </c>
      <c r="AT3" s="12" t="s">
        <v>16</v>
      </c>
      <c r="AU3" s="12" t="s">
        <v>17</v>
      </c>
      <c r="AV3" s="12" t="s">
        <v>18</v>
      </c>
      <c r="AW3" s="12" t="s">
        <v>19</v>
      </c>
      <c r="AX3" s="12" t="s">
        <v>20</v>
      </c>
      <c r="AY3" s="12" t="s">
        <v>21</v>
      </c>
      <c r="AZ3" s="12" t="s">
        <v>22</v>
      </c>
      <c r="BA3" s="12" t="s">
        <v>23</v>
      </c>
      <c r="BB3" s="12" t="s">
        <v>24</v>
      </c>
      <c r="BC3" s="2" t="s">
        <v>8</v>
      </c>
      <c r="BD3" s="2" t="s">
        <v>9</v>
      </c>
      <c r="BE3" s="2" t="s">
        <v>10</v>
      </c>
      <c r="BF3" s="2" t="s">
        <v>11</v>
      </c>
      <c r="BG3" s="12" t="s">
        <v>42</v>
      </c>
      <c r="BH3" s="2" t="s">
        <v>112</v>
      </c>
      <c r="BI3" s="2" t="s">
        <v>12</v>
      </c>
      <c r="BJ3" s="17" t="s">
        <v>45</v>
      </c>
      <c r="BK3" s="17" t="s">
        <v>46</v>
      </c>
      <c r="BL3" s="15" t="s">
        <v>52</v>
      </c>
      <c r="BM3" s="36" t="s">
        <v>113</v>
      </c>
      <c r="BN3" s="37" t="s">
        <v>57</v>
      </c>
      <c r="BO3" s="37" t="s">
        <v>114</v>
      </c>
      <c r="BP3" s="37" t="s">
        <v>58</v>
      </c>
      <c r="BQ3" s="32" t="s">
        <v>50</v>
      </c>
    </row>
    <row r="4" spans="1:69" x14ac:dyDescent="0.4">
      <c r="A4" s="3">
        <v>1</v>
      </c>
      <c r="B4" s="3">
        <v>1</v>
      </c>
      <c r="C4" s="4" t="s">
        <v>66</v>
      </c>
      <c r="D4" s="4" t="str">
        <f>TEXT(C4,"000000")</f>
        <v>J843RX</v>
      </c>
      <c r="E4" s="4" t="s">
        <v>66</v>
      </c>
      <c r="F4" s="4" t="str">
        <f>D4&amp;I4</f>
        <v>J843RX5</v>
      </c>
      <c r="G4" s="4" t="s">
        <v>88</v>
      </c>
      <c r="H4" s="5">
        <v>4902505382819</v>
      </c>
      <c r="I4" s="31">
        <v>5</v>
      </c>
      <c r="J4" s="5"/>
      <c r="K4" s="5">
        <v>1</v>
      </c>
      <c r="L4" s="5">
        <v>1</v>
      </c>
      <c r="M4" s="4">
        <v>0</v>
      </c>
      <c r="N4" s="4">
        <v>435</v>
      </c>
      <c r="O4" s="4">
        <v>310</v>
      </c>
      <c r="P4" s="6">
        <f>IFERROR(1-O4/N4,"-")</f>
        <v>0.28735632183908044</v>
      </c>
      <c r="Q4" s="4" t="s">
        <v>111</v>
      </c>
      <c r="R4" s="4"/>
      <c r="S4" s="4"/>
      <c r="T4" s="4"/>
      <c r="U4" s="4"/>
      <c r="V4" s="4"/>
      <c r="W4" s="4"/>
      <c r="X4" s="4"/>
      <c r="Y4" s="4"/>
      <c r="Z4" s="4">
        <v>540</v>
      </c>
      <c r="AA4" s="4">
        <f>IF(AD4="",Z4,Z4*AD4)</f>
        <v>540</v>
      </c>
      <c r="AB4" s="4">
        <v>340</v>
      </c>
      <c r="AC4" s="4">
        <f>IF(AD4="",AB4,AB4*AD4)</f>
        <v>340</v>
      </c>
      <c r="AD4" s="4"/>
      <c r="AE4" s="19">
        <f t="shared" ref="AE4:AE22" si="0">ROUND(N4*AS4,0)</f>
        <v>477</v>
      </c>
      <c r="AF4" s="6">
        <f>IFERROR(1-AC4/AE4,"-")</f>
        <v>0.28721174004192873</v>
      </c>
      <c r="AG4" s="31">
        <v>0.25</v>
      </c>
      <c r="AH4" s="4">
        <f>BI4</f>
        <v>670</v>
      </c>
      <c r="AI4" s="31">
        <f>IFERROR(AH4*AS4,"-")</f>
        <v>734.83870967741927</v>
      </c>
      <c r="AJ4" s="6">
        <f>IFERROR(1-AC4/AI4,"-")</f>
        <v>0.53731343283582089</v>
      </c>
      <c r="AK4" s="7">
        <v>498</v>
      </c>
      <c r="AL4" s="6">
        <f t="shared" ref="AL4:AL22" si="1">1-AC4/AK4</f>
        <v>0.31726907630522083</v>
      </c>
      <c r="AM4" s="4">
        <f t="shared" ref="AM4:AM22" si="2">AK4-AC4</f>
        <v>158</v>
      </c>
      <c r="AN4" s="26"/>
      <c r="AO4" s="6" t="e">
        <f>1-AC4/AN4</f>
        <v>#DIV/0!</v>
      </c>
      <c r="AP4" s="4">
        <f>AN4-AC4</f>
        <v>-340</v>
      </c>
      <c r="AQ4" s="6" t="str">
        <f>IFERROR(AA4/M4,"-")</f>
        <v>-</v>
      </c>
      <c r="AR4" s="6">
        <f>IFERROR(AK4/N4,"-")</f>
        <v>1.1448275862068966</v>
      </c>
      <c r="AS4" s="6">
        <f>IFERROR(AC4/O4,"-")</f>
        <v>1.096774193548387</v>
      </c>
      <c r="AT4" s="4" t="str">
        <f>IFERROR(ROUND($AK4*Q4/$N4,0),"-")</f>
        <v>-</v>
      </c>
      <c r="AU4" s="4" t="str">
        <f>IF(R4="","-",R4)</f>
        <v>-</v>
      </c>
      <c r="AV4" s="4" t="str">
        <f>IF(S4="","-",S4)</f>
        <v>-</v>
      </c>
      <c r="AW4" s="4"/>
      <c r="AX4" s="4"/>
      <c r="AY4" s="4"/>
      <c r="AZ4" s="4"/>
      <c r="BA4" s="4"/>
      <c r="BB4" s="4"/>
      <c r="BC4" s="31">
        <v>0</v>
      </c>
      <c r="BD4" s="4" t="s">
        <v>137</v>
      </c>
      <c r="BE4" s="4"/>
      <c r="BF4" s="4"/>
      <c r="BG4" s="4" t="s">
        <v>138</v>
      </c>
      <c r="BH4" s="4">
        <v>670</v>
      </c>
      <c r="BI4" s="4">
        <f t="shared" ref="BI4:BI5" si="3">IF(BE4="",BH4,BE4/BF4*BH4)</f>
        <v>670</v>
      </c>
      <c r="BJ4" s="31">
        <v>4</v>
      </c>
      <c r="BK4" s="31">
        <v>8</v>
      </c>
      <c r="BL4" s="31">
        <v>5</v>
      </c>
      <c r="BM4" t="s">
        <v>110</v>
      </c>
      <c r="BN4" t="str">
        <f>IFERROR(BM4*AS4,"-")</f>
        <v>-</v>
      </c>
      <c r="BO4">
        <v>387</v>
      </c>
      <c r="BP4">
        <f>IFERROR(BO4*AS4,"-")</f>
        <v>424.45161290322579</v>
      </c>
      <c r="BQ4" t="s">
        <v>115</v>
      </c>
    </row>
    <row r="5" spans="1:69" x14ac:dyDescent="0.4">
      <c r="A5" s="3">
        <v>2</v>
      </c>
      <c r="B5" s="3">
        <v>2</v>
      </c>
      <c r="C5" s="4" t="s">
        <v>67</v>
      </c>
      <c r="D5" s="4" t="str">
        <f t="shared" ref="D5:D13" si="4">TEXT(C5,"000000")</f>
        <v>J842RX</v>
      </c>
      <c r="E5" s="4" t="s">
        <v>67</v>
      </c>
      <c r="F5" s="4" t="str">
        <f t="shared" ref="F5:F25" si="5">D5&amp;I5</f>
        <v>J842RX5</v>
      </c>
      <c r="G5" s="4" t="s">
        <v>89</v>
      </c>
      <c r="H5" s="5">
        <v>4902505382826</v>
      </c>
      <c r="I5" s="31">
        <v>5</v>
      </c>
      <c r="J5" s="5"/>
      <c r="K5" s="5">
        <v>1</v>
      </c>
      <c r="L5" s="5">
        <v>1</v>
      </c>
      <c r="M5" s="4">
        <v>0</v>
      </c>
      <c r="N5" s="4">
        <v>435</v>
      </c>
      <c r="O5" s="4">
        <v>310</v>
      </c>
      <c r="P5" s="6">
        <f t="shared" ref="P5:P22" si="6">IFERROR(1-O5/N5,"-")</f>
        <v>0.28735632183908044</v>
      </c>
      <c r="Q5" s="4" t="s">
        <v>111</v>
      </c>
      <c r="R5" s="4"/>
      <c r="S5" s="4"/>
      <c r="T5" s="4"/>
      <c r="U5" s="4"/>
      <c r="V5" s="4"/>
      <c r="W5" s="4"/>
      <c r="X5" s="4"/>
      <c r="Y5" s="4"/>
      <c r="Z5" s="4">
        <v>540</v>
      </c>
      <c r="AA5" s="4">
        <f t="shared" ref="AA5:AA13" si="7">IF(AD5="",Z5,Z5*AD5)</f>
        <v>540</v>
      </c>
      <c r="AB5" s="4">
        <v>340</v>
      </c>
      <c r="AC5" s="4">
        <f t="shared" ref="AC5:AC13" si="8">IF(AD5="",AB5,AB5*AD5)</f>
        <v>340</v>
      </c>
      <c r="AD5" s="4"/>
      <c r="AE5" s="19">
        <f t="shared" si="0"/>
        <v>477</v>
      </c>
      <c r="AF5" s="6">
        <f t="shared" ref="AF5:AF22" si="9">IFERROR(1-AC5/AE5,"-")</f>
        <v>0.28721174004192873</v>
      </c>
      <c r="AG5" s="31">
        <v>0</v>
      </c>
      <c r="AH5" s="4">
        <f t="shared" ref="AH5:AH13" si="10">BI5</f>
        <v>670</v>
      </c>
      <c r="AI5" s="31">
        <f t="shared" ref="AI5:AI22" si="11">IFERROR(AH5*AS5,"-")</f>
        <v>734.83870967741927</v>
      </c>
      <c r="AJ5" s="6">
        <f t="shared" ref="AJ5:AJ22" si="12">IFERROR(1-AC5/AI5,"-")</f>
        <v>0.53731343283582089</v>
      </c>
      <c r="AK5" s="7">
        <v>498</v>
      </c>
      <c r="AL5" s="6">
        <f t="shared" si="1"/>
        <v>0.31726907630522083</v>
      </c>
      <c r="AM5" s="4">
        <f t="shared" si="2"/>
        <v>158</v>
      </c>
      <c r="AN5" s="26"/>
      <c r="AO5" s="6"/>
      <c r="AP5" s="6"/>
      <c r="AQ5" s="6" t="str">
        <f t="shared" ref="AQ5:AQ22" si="13">IFERROR(AA5/M5,"-")</f>
        <v>-</v>
      </c>
      <c r="AR5" s="6">
        <f t="shared" ref="AR5:AR22" si="14">IFERROR(AK5/N5,"-")</f>
        <v>1.1448275862068966</v>
      </c>
      <c r="AS5" s="6">
        <f t="shared" ref="AS5:AS22" si="15">IFERROR(AC5/O5,"-")</f>
        <v>1.096774193548387</v>
      </c>
      <c r="AT5" s="4"/>
      <c r="AU5" s="4"/>
      <c r="AV5" s="4"/>
      <c r="AW5" s="4"/>
      <c r="AX5" s="4"/>
      <c r="AY5" s="4"/>
      <c r="AZ5" s="4"/>
      <c r="BA5" s="4"/>
      <c r="BB5" s="4"/>
      <c r="BC5" s="31">
        <v>0</v>
      </c>
      <c r="BD5" s="4" t="s">
        <v>139</v>
      </c>
      <c r="BE5" s="4"/>
      <c r="BF5" s="4"/>
      <c r="BG5" s="4" t="s">
        <v>138</v>
      </c>
      <c r="BH5" s="4">
        <v>670</v>
      </c>
      <c r="BI5" s="4">
        <f t="shared" si="3"/>
        <v>670</v>
      </c>
      <c r="BJ5" s="31">
        <v>4</v>
      </c>
      <c r="BK5" s="31">
        <v>8</v>
      </c>
      <c r="BL5" s="31">
        <v>5</v>
      </c>
      <c r="BM5" t="s">
        <v>110</v>
      </c>
      <c r="BN5" t="str">
        <f t="shared" ref="BN5:BN25" si="16">IFERROR(BM5*AS5,"-")</f>
        <v>-</v>
      </c>
      <c r="BO5">
        <v>387</v>
      </c>
      <c r="BP5">
        <f t="shared" ref="BP5:BP25" si="17">IFERROR(BO5*AS5,"-")</f>
        <v>424.45161290322579</v>
      </c>
      <c r="BQ5" t="s">
        <v>116</v>
      </c>
    </row>
    <row r="6" spans="1:69" x14ac:dyDescent="0.4">
      <c r="A6" s="3">
        <v>3</v>
      </c>
      <c r="B6" s="3">
        <v>3</v>
      </c>
      <c r="C6" s="16" t="s">
        <v>68</v>
      </c>
      <c r="D6" s="4" t="str">
        <f t="shared" si="4"/>
        <v>J841RX</v>
      </c>
      <c r="E6" s="4" t="s">
        <v>68</v>
      </c>
      <c r="F6" s="4" t="str">
        <f t="shared" si="5"/>
        <v>J841RX5</v>
      </c>
      <c r="G6" s="4" t="s">
        <v>90</v>
      </c>
      <c r="H6" s="5">
        <v>4902505382833</v>
      </c>
      <c r="I6" s="31">
        <v>5</v>
      </c>
      <c r="J6" s="5"/>
      <c r="K6" s="5">
        <v>1</v>
      </c>
      <c r="L6" s="5">
        <v>1</v>
      </c>
      <c r="M6" s="4">
        <v>0</v>
      </c>
      <c r="N6" s="4">
        <v>435</v>
      </c>
      <c r="O6" s="4">
        <v>310</v>
      </c>
      <c r="P6" s="6">
        <f t="shared" si="6"/>
        <v>0.28735632183908044</v>
      </c>
      <c r="Q6" s="4" t="s">
        <v>111</v>
      </c>
      <c r="R6" s="4"/>
      <c r="S6" s="4"/>
      <c r="T6" s="4"/>
      <c r="U6" s="4"/>
      <c r="V6" s="4"/>
      <c r="W6" s="4"/>
      <c r="X6" s="4"/>
      <c r="Y6" s="4"/>
      <c r="Z6" s="4">
        <v>540</v>
      </c>
      <c r="AA6" s="4">
        <f t="shared" si="7"/>
        <v>540</v>
      </c>
      <c r="AB6" s="4">
        <v>340</v>
      </c>
      <c r="AC6" s="4">
        <f t="shared" si="8"/>
        <v>340</v>
      </c>
      <c r="AD6" s="4"/>
      <c r="AE6" s="19">
        <f t="shared" si="0"/>
        <v>477</v>
      </c>
      <c r="AF6" s="6">
        <f t="shared" si="9"/>
        <v>0.28721174004192873</v>
      </c>
      <c r="AG6" s="31">
        <v>0.25</v>
      </c>
      <c r="AH6" s="4">
        <f t="shared" si="10"/>
        <v>700</v>
      </c>
      <c r="AI6" s="31">
        <f t="shared" si="11"/>
        <v>767.74193548387086</v>
      </c>
      <c r="AJ6" s="6">
        <f t="shared" si="12"/>
        <v>0.55714285714285716</v>
      </c>
      <c r="AK6" s="7">
        <v>498</v>
      </c>
      <c r="AL6" s="6">
        <f t="shared" si="1"/>
        <v>0.31726907630522083</v>
      </c>
      <c r="AM6" s="4">
        <f t="shared" si="2"/>
        <v>158</v>
      </c>
      <c r="AN6" s="26"/>
      <c r="AO6" s="6"/>
      <c r="AP6" s="6"/>
      <c r="AQ6" s="6" t="str">
        <f t="shared" si="13"/>
        <v>-</v>
      </c>
      <c r="AR6" s="6">
        <f t="shared" si="14"/>
        <v>1.1448275862068966</v>
      </c>
      <c r="AS6" s="6">
        <f t="shared" si="15"/>
        <v>1.096774193548387</v>
      </c>
      <c r="AT6" s="4"/>
      <c r="AU6" s="4"/>
      <c r="AV6" s="4"/>
      <c r="AW6" s="4"/>
      <c r="AX6" s="4"/>
      <c r="AY6" s="4"/>
      <c r="AZ6" s="4"/>
      <c r="BA6" s="4"/>
      <c r="BB6" s="4"/>
      <c r="BC6" s="31">
        <v>0</v>
      </c>
      <c r="BD6" s="4" t="s">
        <v>140</v>
      </c>
      <c r="BE6" s="4"/>
      <c r="BF6" s="4"/>
      <c r="BG6" s="4" t="s">
        <v>138</v>
      </c>
      <c r="BH6" s="4">
        <v>700</v>
      </c>
      <c r="BI6" s="4">
        <f t="shared" ref="BI6:BI13" si="18">IF(BE6="",BH6,BE6/BF6*BH6)</f>
        <v>700</v>
      </c>
      <c r="BJ6" s="31">
        <v>4</v>
      </c>
      <c r="BK6" s="31">
        <v>8</v>
      </c>
      <c r="BL6" s="31">
        <v>5</v>
      </c>
      <c r="BM6" t="s">
        <v>110</v>
      </c>
      <c r="BN6" t="str">
        <f t="shared" si="16"/>
        <v>-</v>
      </c>
      <c r="BO6">
        <v>439</v>
      </c>
      <c r="BP6">
        <f t="shared" si="17"/>
        <v>481.48387096774189</v>
      </c>
      <c r="BQ6" t="s">
        <v>117</v>
      </c>
    </row>
    <row r="7" spans="1:69" x14ac:dyDescent="0.4">
      <c r="A7" s="3">
        <v>4</v>
      </c>
      <c r="B7" s="3">
        <v>4</v>
      </c>
      <c r="C7" s="16" t="s">
        <v>69</v>
      </c>
      <c r="D7" s="4" t="str">
        <f t="shared" si="4"/>
        <v>J839RX</v>
      </c>
      <c r="E7" s="4" t="s">
        <v>69</v>
      </c>
      <c r="F7" s="4" t="str">
        <f t="shared" si="5"/>
        <v>J839RX5</v>
      </c>
      <c r="G7" s="4" t="s">
        <v>91</v>
      </c>
      <c r="H7" s="5">
        <v>4902505382840</v>
      </c>
      <c r="I7" s="31">
        <v>5</v>
      </c>
      <c r="J7" s="5"/>
      <c r="K7" s="5">
        <v>1</v>
      </c>
      <c r="L7" s="5">
        <v>1</v>
      </c>
      <c r="M7" s="4">
        <v>0</v>
      </c>
      <c r="N7" s="4">
        <v>467</v>
      </c>
      <c r="O7" s="4">
        <v>310</v>
      </c>
      <c r="P7" s="6">
        <f t="shared" si="6"/>
        <v>0.3361884368308351</v>
      </c>
      <c r="Q7" s="4" t="s">
        <v>111</v>
      </c>
      <c r="R7" s="4"/>
      <c r="S7" s="4"/>
      <c r="T7" s="4"/>
      <c r="U7" s="4"/>
      <c r="V7" s="4"/>
      <c r="W7" s="4"/>
      <c r="X7" s="4"/>
      <c r="Y7" s="4"/>
      <c r="Z7" s="4">
        <v>540</v>
      </c>
      <c r="AA7" s="4">
        <f t="shared" si="7"/>
        <v>540</v>
      </c>
      <c r="AB7" s="4">
        <v>340</v>
      </c>
      <c r="AC7" s="4">
        <f t="shared" si="8"/>
        <v>340</v>
      </c>
      <c r="AD7" s="4"/>
      <c r="AE7" s="19">
        <f t="shared" si="0"/>
        <v>512</v>
      </c>
      <c r="AF7" s="6">
        <f t="shared" si="9"/>
        <v>0.3359375</v>
      </c>
      <c r="AG7" s="31">
        <v>0.5</v>
      </c>
      <c r="AH7" s="4">
        <f t="shared" si="10"/>
        <v>670</v>
      </c>
      <c r="AI7" s="31">
        <f t="shared" si="11"/>
        <v>734.83870967741927</v>
      </c>
      <c r="AJ7" s="6">
        <f t="shared" si="12"/>
        <v>0.53731343283582089</v>
      </c>
      <c r="AK7" s="7">
        <v>498</v>
      </c>
      <c r="AL7" s="6">
        <f t="shared" si="1"/>
        <v>0.31726907630522083</v>
      </c>
      <c r="AM7" s="4">
        <f t="shared" si="2"/>
        <v>158</v>
      </c>
      <c r="AN7" s="26"/>
      <c r="AO7" s="6"/>
      <c r="AP7" s="6"/>
      <c r="AQ7" s="6" t="str">
        <f t="shared" si="13"/>
        <v>-</v>
      </c>
      <c r="AR7" s="6">
        <f t="shared" si="14"/>
        <v>1.0663811563169165</v>
      </c>
      <c r="AS7" s="6">
        <f t="shared" si="15"/>
        <v>1.096774193548387</v>
      </c>
      <c r="AT7" s="4"/>
      <c r="AU7" s="4"/>
      <c r="AV7" s="4"/>
      <c r="AW7" s="4"/>
      <c r="AX7" s="4"/>
      <c r="AY7" s="4"/>
      <c r="AZ7" s="4"/>
      <c r="BA7" s="4"/>
      <c r="BB7" s="4"/>
      <c r="BC7" s="31">
        <v>0</v>
      </c>
      <c r="BD7" s="4" t="s">
        <v>141</v>
      </c>
      <c r="BE7" s="4"/>
      <c r="BF7" s="4"/>
      <c r="BG7" s="4" t="s">
        <v>138</v>
      </c>
      <c r="BH7" s="4">
        <v>670</v>
      </c>
      <c r="BI7" s="4">
        <f t="shared" si="18"/>
        <v>670</v>
      </c>
      <c r="BJ7" s="31">
        <v>4</v>
      </c>
      <c r="BK7" s="31">
        <v>8</v>
      </c>
      <c r="BL7" s="31">
        <v>5</v>
      </c>
      <c r="BM7" t="s">
        <v>110</v>
      </c>
      <c r="BN7" t="str">
        <f t="shared" si="16"/>
        <v>-</v>
      </c>
      <c r="BO7">
        <v>387</v>
      </c>
      <c r="BP7">
        <f t="shared" si="17"/>
        <v>424.45161290322579</v>
      </c>
      <c r="BQ7" t="s">
        <v>118</v>
      </c>
    </row>
    <row r="8" spans="1:69" x14ac:dyDescent="0.4">
      <c r="A8" s="3">
        <v>5</v>
      </c>
      <c r="B8" s="3">
        <v>5</v>
      </c>
      <c r="C8" s="16" t="s">
        <v>70</v>
      </c>
      <c r="D8" s="4" t="str">
        <f t="shared" si="4"/>
        <v>J840RX</v>
      </c>
      <c r="E8" s="4" t="s">
        <v>70</v>
      </c>
      <c r="F8" s="4" t="str">
        <f t="shared" si="5"/>
        <v>J840RX5</v>
      </c>
      <c r="G8" s="4" t="s">
        <v>92</v>
      </c>
      <c r="H8" s="5">
        <v>4902505382857</v>
      </c>
      <c r="I8" s="31">
        <v>5</v>
      </c>
      <c r="J8" s="5"/>
      <c r="K8" s="5">
        <v>1</v>
      </c>
      <c r="L8" s="5">
        <v>1</v>
      </c>
      <c r="M8" s="4">
        <v>0</v>
      </c>
      <c r="N8" s="4">
        <v>394</v>
      </c>
      <c r="O8" s="4">
        <v>310</v>
      </c>
      <c r="P8" s="6">
        <f t="shared" si="6"/>
        <v>0.21319796954314718</v>
      </c>
      <c r="Q8" s="4" t="s">
        <v>111</v>
      </c>
      <c r="R8" s="4"/>
      <c r="S8" s="4"/>
      <c r="T8" s="4"/>
      <c r="U8" s="4"/>
      <c r="V8" s="4"/>
      <c r="W8" s="4"/>
      <c r="X8" s="4"/>
      <c r="Y8" s="4"/>
      <c r="Z8" s="4">
        <v>540</v>
      </c>
      <c r="AA8" s="4">
        <f t="shared" si="7"/>
        <v>540</v>
      </c>
      <c r="AB8" s="4">
        <v>340</v>
      </c>
      <c r="AC8" s="4">
        <f t="shared" si="8"/>
        <v>340</v>
      </c>
      <c r="AD8" s="4"/>
      <c r="AE8" s="19">
        <f t="shared" si="0"/>
        <v>432</v>
      </c>
      <c r="AF8" s="6">
        <f t="shared" si="9"/>
        <v>0.21296296296296291</v>
      </c>
      <c r="AG8" s="31">
        <v>0</v>
      </c>
      <c r="AH8" s="4">
        <f t="shared" si="10"/>
        <v>670</v>
      </c>
      <c r="AI8" s="31">
        <f t="shared" si="11"/>
        <v>734.83870967741927</v>
      </c>
      <c r="AJ8" s="6">
        <f t="shared" si="12"/>
        <v>0.53731343283582089</v>
      </c>
      <c r="AK8" s="7">
        <v>498</v>
      </c>
      <c r="AL8" s="6">
        <f t="shared" si="1"/>
        <v>0.31726907630522083</v>
      </c>
      <c r="AM8" s="4">
        <f t="shared" si="2"/>
        <v>158</v>
      </c>
      <c r="AN8" s="26"/>
      <c r="AO8" s="6"/>
      <c r="AP8" s="6"/>
      <c r="AQ8" s="6" t="str">
        <f t="shared" si="13"/>
        <v>-</v>
      </c>
      <c r="AR8" s="6">
        <f t="shared" si="14"/>
        <v>1.2639593908629441</v>
      </c>
      <c r="AS8" s="6">
        <f t="shared" si="15"/>
        <v>1.096774193548387</v>
      </c>
      <c r="AT8" s="4"/>
      <c r="AU8" s="4"/>
      <c r="AV8" s="4"/>
      <c r="AW8" s="4"/>
      <c r="AX8" s="4"/>
      <c r="AY8" s="4"/>
      <c r="AZ8" s="4"/>
      <c r="BA8" s="4"/>
      <c r="BB8" s="4"/>
      <c r="BC8" s="31">
        <v>0</v>
      </c>
      <c r="BD8" s="4" t="s">
        <v>142</v>
      </c>
      <c r="BE8" s="4"/>
      <c r="BF8" s="4"/>
      <c r="BG8" s="4" t="s">
        <v>138</v>
      </c>
      <c r="BH8" s="4">
        <v>670</v>
      </c>
      <c r="BI8" s="4">
        <f t="shared" si="18"/>
        <v>670</v>
      </c>
      <c r="BJ8" s="31">
        <v>4</v>
      </c>
      <c r="BK8" s="31">
        <v>8</v>
      </c>
      <c r="BL8" s="31">
        <v>5</v>
      </c>
      <c r="BM8" t="s">
        <v>110</v>
      </c>
      <c r="BN8" t="str">
        <f t="shared" si="16"/>
        <v>-</v>
      </c>
      <c r="BO8">
        <v>387</v>
      </c>
      <c r="BP8">
        <f t="shared" si="17"/>
        <v>424.45161290322579</v>
      </c>
      <c r="BQ8" t="s">
        <v>119</v>
      </c>
    </row>
    <row r="9" spans="1:69" x14ac:dyDescent="0.4">
      <c r="A9" s="3">
        <v>6</v>
      </c>
      <c r="B9" s="3">
        <v>6</v>
      </c>
      <c r="C9" s="16" t="s">
        <v>71</v>
      </c>
      <c r="D9" s="4" t="str">
        <f t="shared" si="4"/>
        <v>J837RX</v>
      </c>
      <c r="E9" s="4" t="s">
        <v>71</v>
      </c>
      <c r="F9" s="4" t="str">
        <f t="shared" si="5"/>
        <v>J837RX5</v>
      </c>
      <c r="G9" s="4" t="s">
        <v>93</v>
      </c>
      <c r="H9" s="5">
        <v>4902505382864</v>
      </c>
      <c r="I9" s="31">
        <v>5</v>
      </c>
      <c r="J9" s="5"/>
      <c r="K9" s="5">
        <v>1</v>
      </c>
      <c r="L9" s="5">
        <v>1</v>
      </c>
      <c r="M9" s="4">
        <v>0</v>
      </c>
      <c r="N9" s="4">
        <v>394</v>
      </c>
      <c r="O9" s="4">
        <v>310</v>
      </c>
      <c r="P9" s="6">
        <f t="shared" si="6"/>
        <v>0.21319796954314718</v>
      </c>
      <c r="Q9" s="4" t="s">
        <v>111</v>
      </c>
      <c r="R9" s="4"/>
      <c r="S9" s="4"/>
      <c r="T9" s="4"/>
      <c r="U9" s="4"/>
      <c r="V9" s="4"/>
      <c r="W9" s="4"/>
      <c r="X9" s="4"/>
      <c r="Y9" s="4"/>
      <c r="Z9" s="4">
        <v>540</v>
      </c>
      <c r="AA9" s="4">
        <f t="shared" si="7"/>
        <v>540</v>
      </c>
      <c r="AB9" s="4">
        <v>340</v>
      </c>
      <c r="AC9" s="4">
        <f t="shared" si="8"/>
        <v>340</v>
      </c>
      <c r="AD9" s="4"/>
      <c r="AE9" s="19">
        <f t="shared" si="0"/>
        <v>432</v>
      </c>
      <c r="AF9" s="6">
        <f t="shared" si="9"/>
        <v>0.21296296296296291</v>
      </c>
      <c r="AG9" s="31">
        <v>0</v>
      </c>
      <c r="AH9" s="4">
        <f t="shared" si="10"/>
        <v>670</v>
      </c>
      <c r="AI9" s="31">
        <f t="shared" si="11"/>
        <v>734.83870967741927</v>
      </c>
      <c r="AJ9" s="6">
        <f t="shared" si="12"/>
        <v>0.53731343283582089</v>
      </c>
      <c r="AK9" s="7">
        <v>498</v>
      </c>
      <c r="AL9" s="6">
        <f t="shared" si="1"/>
        <v>0.31726907630522083</v>
      </c>
      <c r="AM9" s="4">
        <f t="shared" si="2"/>
        <v>158</v>
      </c>
      <c r="AN9" s="26"/>
      <c r="AO9" s="6"/>
      <c r="AP9" s="6"/>
      <c r="AQ9" s="6" t="str">
        <f t="shared" si="13"/>
        <v>-</v>
      </c>
      <c r="AR9" s="6">
        <f t="shared" si="14"/>
        <v>1.2639593908629441</v>
      </c>
      <c r="AS9" s="6">
        <f t="shared" si="15"/>
        <v>1.096774193548387</v>
      </c>
      <c r="AT9" s="4"/>
      <c r="AU9" s="4"/>
      <c r="AV9" s="4"/>
      <c r="AW9" s="4"/>
      <c r="AX9" s="4"/>
      <c r="AY9" s="4"/>
      <c r="AZ9" s="4"/>
      <c r="BA9" s="4"/>
      <c r="BB9" s="4"/>
      <c r="BC9" s="31">
        <v>0</v>
      </c>
      <c r="BD9" s="4" t="s">
        <v>143</v>
      </c>
      <c r="BE9" s="4"/>
      <c r="BF9" s="4"/>
      <c r="BG9" s="4" t="s">
        <v>138</v>
      </c>
      <c r="BH9" s="4">
        <v>670</v>
      </c>
      <c r="BI9" s="4">
        <f t="shared" si="18"/>
        <v>670</v>
      </c>
      <c r="BJ9" s="31">
        <v>4</v>
      </c>
      <c r="BK9" s="31">
        <v>8</v>
      </c>
      <c r="BL9" s="31">
        <v>5</v>
      </c>
      <c r="BM9" t="s">
        <v>110</v>
      </c>
      <c r="BN9" t="str">
        <f t="shared" si="16"/>
        <v>-</v>
      </c>
      <c r="BO9">
        <v>387</v>
      </c>
      <c r="BP9">
        <f t="shared" si="17"/>
        <v>424.45161290322579</v>
      </c>
      <c r="BQ9" t="s">
        <v>120</v>
      </c>
    </row>
    <row r="10" spans="1:69" x14ac:dyDescent="0.4">
      <c r="A10" s="3">
        <v>7</v>
      </c>
      <c r="B10" s="3">
        <v>7</v>
      </c>
      <c r="C10" s="4" t="s">
        <v>72</v>
      </c>
      <c r="D10" s="4" t="str">
        <f t="shared" si="4"/>
        <v>J844RX</v>
      </c>
      <c r="E10" s="4" t="s">
        <v>72</v>
      </c>
      <c r="F10" s="4" t="str">
        <f t="shared" si="5"/>
        <v>J844RX5</v>
      </c>
      <c r="G10" s="4" t="s">
        <v>94</v>
      </c>
      <c r="H10" s="5">
        <v>4902505382871</v>
      </c>
      <c r="I10" s="31">
        <v>5</v>
      </c>
      <c r="J10" s="5"/>
      <c r="K10" s="5">
        <v>1</v>
      </c>
      <c r="L10" s="5">
        <v>1</v>
      </c>
      <c r="M10" s="4">
        <v>0</v>
      </c>
      <c r="N10" s="4">
        <v>467</v>
      </c>
      <c r="O10" s="4">
        <v>310</v>
      </c>
      <c r="P10" s="6">
        <f t="shared" si="6"/>
        <v>0.3361884368308351</v>
      </c>
      <c r="Q10" s="4" t="s">
        <v>111</v>
      </c>
      <c r="R10" s="4"/>
      <c r="S10" s="4"/>
      <c r="T10" s="4"/>
      <c r="U10" s="4"/>
      <c r="V10" s="4"/>
      <c r="W10" s="4"/>
      <c r="X10" s="4"/>
      <c r="Y10" s="4"/>
      <c r="Z10" s="4">
        <v>540</v>
      </c>
      <c r="AA10" s="4">
        <f t="shared" si="7"/>
        <v>540</v>
      </c>
      <c r="AB10" s="4">
        <v>340</v>
      </c>
      <c r="AC10" s="4">
        <f t="shared" si="8"/>
        <v>340</v>
      </c>
      <c r="AD10" s="4"/>
      <c r="AE10" s="19">
        <f t="shared" si="0"/>
        <v>512</v>
      </c>
      <c r="AF10" s="6">
        <f t="shared" si="9"/>
        <v>0.3359375</v>
      </c>
      <c r="AG10" s="31">
        <v>0</v>
      </c>
      <c r="AH10" s="4">
        <f t="shared" si="10"/>
        <v>670</v>
      </c>
      <c r="AI10" s="31">
        <f t="shared" si="11"/>
        <v>734.83870967741927</v>
      </c>
      <c r="AJ10" s="6">
        <f t="shared" si="12"/>
        <v>0.53731343283582089</v>
      </c>
      <c r="AK10" s="7">
        <v>498</v>
      </c>
      <c r="AL10" s="6">
        <f t="shared" si="1"/>
        <v>0.31726907630522083</v>
      </c>
      <c r="AM10" s="4">
        <f t="shared" si="2"/>
        <v>158</v>
      </c>
      <c r="AN10" s="26"/>
      <c r="AO10" s="6"/>
      <c r="AP10" s="6"/>
      <c r="AQ10" s="6" t="str">
        <f t="shared" si="13"/>
        <v>-</v>
      </c>
      <c r="AR10" s="6">
        <f t="shared" si="14"/>
        <v>1.0663811563169165</v>
      </c>
      <c r="AS10" s="6">
        <f t="shared" si="15"/>
        <v>1.096774193548387</v>
      </c>
      <c r="AT10" s="4"/>
      <c r="AU10" s="4"/>
      <c r="AV10" s="4"/>
      <c r="AW10" s="4"/>
      <c r="AX10" s="4"/>
      <c r="AY10" s="4"/>
      <c r="AZ10" s="4"/>
      <c r="BA10" s="4"/>
      <c r="BB10" s="4"/>
      <c r="BC10" s="31">
        <v>0</v>
      </c>
      <c r="BD10" s="4" t="s">
        <v>144</v>
      </c>
      <c r="BE10" s="4"/>
      <c r="BF10" s="4"/>
      <c r="BG10" s="4" t="s">
        <v>138</v>
      </c>
      <c r="BH10" s="4">
        <v>670</v>
      </c>
      <c r="BI10" s="4">
        <f t="shared" si="18"/>
        <v>670</v>
      </c>
      <c r="BJ10" s="31">
        <v>4</v>
      </c>
      <c r="BK10" s="31">
        <v>8</v>
      </c>
      <c r="BL10" s="31">
        <v>5</v>
      </c>
      <c r="BM10" t="s">
        <v>110</v>
      </c>
      <c r="BN10" t="str">
        <f t="shared" si="16"/>
        <v>-</v>
      </c>
      <c r="BO10">
        <v>387</v>
      </c>
      <c r="BP10">
        <f t="shared" si="17"/>
        <v>424.45161290322579</v>
      </c>
      <c r="BQ10" t="s">
        <v>121</v>
      </c>
    </row>
    <row r="11" spans="1:69" x14ac:dyDescent="0.4">
      <c r="A11" s="3">
        <v>8</v>
      </c>
      <c r="B11" s="3">
        <v>8</v>
      </c>
      <c r="C11" s="4" t="s">
        <v>73</v>
      </c>
      <c r="D11" s="4" t="str">
        <f t="shared" si="4"/>
        <v>J845RX</v>
      </c>
      <c r="E11" s="4" t="s">
        <v>73</v>
      </c>
      <c r="F11" s="4" t="str">
        <f t="shared" si="5"/>
        <v>J845RX5</v>
      </c>
      <c r="G11" s="4" t="s">
        <v>95</v>
      </c>
      <c r="H11" s="5">
        <v>4902505382888</v>
      </c>
      <c r="I11" s="31">
        <v>5</v>
      </c>
      <c r="J11" s="5"/>
      <c r="K11" s="5">
        <v>1</v>
      </c>
      <c r="L11" s="5">
        <v>1</v>
      </c>
      <c r="M11" s="4">
        <v>0</v>
      </c>
      <c r="N11" s="4">
        <v>394</v>
      </c>
      <c r="O11" s="4">
        <v>310</v>
      </c>
      <c r="P11" s="6">
        <f t="shared" si="6"/>
        <v>0.21319796954314718</v>
      </c>
      <c r="Q11" s="4" t="s">
        <v>111</v>
      </c>
      <c r="R11" s="4"/>
      <c r="S11" s="4"/>
      <c r="T11" s="4"/>
      <c r="U11" s="4"/>
      <c r="V11" s="4"/>
      <c r="W11" s="4"/>
      <c r="X11" s="4"/>
      <c r="Y11" s="4"/>
      <c r="Z11" s="4">
        <v>540</v>
      </c>
      <c r="AA11" s="4">
        <f t="shared" si="7"/>
        <v>540</v>
      </c>
      <c r="AB11" s="4">
        <v>340</v>
      </c>
      <c r="AC11" s="4">
        <f t="shared" si="8"/>
        <v>340</v>
      </c>
      <c r="AD11" s="4"/>
      <c r="AE11" s="19">
        <f t="shared" si="0"/>
        <v>432</v>
      </c>
      <c r="AF11" s="6">
        <f t="shared" si="9"/>
        <v>0.21296296296296291</v>
      </c>
      <c r="AG11" s="31">
        <v>0.25</v>
      </c>
      <c r="AH11" s="4">
        <f t="shared" si="10"/>
        <v>670</v>
      </c>
      <c r="AI11" s="31">
        <f t="shared" si="11"/>
        <v>734.83870967741927</v>
      </c>
      <c r="AJ11" s="6">
        <f t="shared" si="12"/>
        <v>0.53731343283582089</v>
      </c>
      <c r="AK11" s="7">
        <v>498</v>
      </c>
      <c r="AL11" s="6">
        <f t="shared" si="1"/>
        <v>0.31726907630522083</v>
      </c>
      <c r="AM11" s="4">
        <f t="shared" si="2"/>
        <v>158</v>
      </c>
      <c r="AN11" s="26"/>
      <c r="AO11" s="6"/>
      <c r="AP11" s="6"/>
      <c r="AQ11" s="6" t="str">
        <f t="shared" si="13"/>
        <v>-</v>
      </c>
      <c r="AR11" s="6">
        <f t="shared" si="14"/>
        <v>1.2639593908629441</v>
      </c>
      <c r="AS11" s="6">
        <f t="shared" si="15"/>
        <v>1.096774193548387</v>
      </c>
      <c r="AT11" s="4"/>
      <c r="AU11" s="4"/>
      <c r="AV11" s="4"/>
      <c r="AW11" s="4"/>
      <c r="AX11" s="4"/>
      <c r="AY11" s="4"/>
      <c r="AZ11" s="4"/>
      <c r="BA11" s="4"/>
      <c r="BB11" s="4"/>
      <c r="BC11" s="31">
        <v>0</v>
      </c>
      <c r="BD11" s="4" t="s">
        <v>145</v>
      </c>
      <c r="BE11" s="4"/>
      <c r="BF11" s="4"/>
      <c r="BG11" s="4" t="s">
        <v>138</v>
      </c>
      <c r="BH11" s="4">
        <v>670</v>
      </c>
      <c r="BI11" s="4">
        <f t="shared" si="18"/>
        <v>670</v>
      </c>
      <c r="BJ11" s="31">
        <v>4</v>
      </c>
      <c r="BK11" s="31">
        <v>8</v>
      </c>
      <c r="BL11" s="31">
        <v>5</v>
      </c>
      <c r="BM11" t="s">
        <v>110</v>
      </c>
      <c r="BN11" t="str">
        <f t="shared" si="16"/>
        <v>-</v>
      </c>
      <c r="BO11">
        <v>387</v>
      </c>
      <c r="BP11">
        <f t="shared" si="17"/>
        <v>424.45161290322579</v>
      </c>
      <c r="BQ11" t="s">
        <v>122</v>
      </c>
    </row>
    <row r="12" spans="1:69" x14ac:dyDescent="0.4">
      <c r="A12" s="3">
        <v>9</v>
      </c>
      <c r="B12" s="3">
        <v>9</v>
      </c>
      <c r="C12" s="4" t="s">
        <v>74</v>
      </c>
      <c r="D12" s="4" t="str">
        <f t="shared" si="4"/>
        <v>J838RX</v>
      </c>
      <c r="E12" s="4" t="s">
        <v>74</v>
      </c>
      <c r="F12" s="4" t="str">
        <f t="shared" si="5"/>
        <v>J838RX5</v>
      </c>
      <c r="G12" s="4" t="s">
        <v>96</v>
      </c>
      <c r="H12" s="5">
        <v>4902505382901</v>
      </c>
      <c r="I12" s="31">
        <v>5</v>
      </c>
      <c r="J12" s="5"/>
      <c r="K12" s="5">
        <v>1</v>
      </c>
      <c r="L12" s="5">
        <v>1</v>
      </c>
      <c r="M12" s="4">
        <v>0</v>
      </c>
      <c r="N12" s="4">
        <v>472</v>
      </c>
      <c r="O12" s="4">
        <v>310</v>
      </c>
      <c r="P12" s="6">
        <f t="shared" si="6"/>
        <v>0.34322033898305082</v>
      </c>
      <c r="Q12" s="4" t="s">
        <v>111</v>
      </c>
      <c r="R12" s="4"/>
      <c r="S12" s="4"/>
      <c r="T12" s="4"/>
      <c r="U12" s="4"/>
      <c r="V12" s="4"/>
      <c r="W12" s="4"/>
      <c r="X12" s="4"/>
      <c r="Y12" s="4"/>
      <c r="Z12" s="4">
        <v>540</v>
      </c>
      <c r="AA12" s="4">
        <f t="shared" si="7"/>
        <v>540</v>
      </c>
      <c r="AB12" s="4">
        <v>340</v>
      </c>
      <c r="AC12" s="4">
        <f t="shared" si="8"/>
        <v>340</v>
      </c>
      <c r="AD12" s="4"/>
      <c r="AE12" s="19">
        <f t="shared" si="0"/>
        <v>518</v>
      </c>
      <c r="AF12" s="6">
        <f t="shared" si="9"/>
        <v>0.34362934362934361</v>
      </c>
      <c r="AG12" s="31">
        <v>0.25</v>
      </c>
      <c r="AH12" s="4">
        <f t="shared" si="10"/>
        <v>670</v>
      </c>
      <c r="AI12" s="31">
        <f t="shared" si="11"/>
        <v>734.83870967741927</v>
      </c>
      <c r="AJ12" s="6">
        <f t="shared" si="12"/>
        <v>0.53731343283582089</v>
      </c>
      <c r="AK12" s="7">
        <v>498</v>
      </c>
      <c r="AL12" s="6">
        <f t="shared" si="1"/>
        <v>0.31726907630522083</v>
      </c>
      <c r="AM12" s="4">
        <f t="shared" si="2"/>
        <v>158</v>
      </c>
      <c r="AN12" s="26"/>
      <c r="AO12" s="6"/>
      <c r="AP12" s="6"/>
      <c r="AQ12" s="6" t="str">
        <f t="shared" si="13"/>
        <v>-</v>
      </c>
      <c r="AR12" s="6">
        <f t="shared" si="14"/>
        <v>1.0550847457627119</v>
      </c>
      <c r="AS12" s="6">
        <f t="shared" si="15"/>
        <v>1.096774193548387</v>
      </c>
      <c r="AT12" s="4"/>
      <c r="AU12" s="4"/>
      <c r="AV12" s="4"/>
      <c r="AW12" s="4"/>
      <c r="AX12" s="4"/>
      <c r="AY12" s="4"/>
      <c r="AZ12" s="4"/>
      <c r="BA12" s="4"/>
      <c r="BB12" s="4"/>
      <c r="BC12" s="31">
        <v>0</v>
      </c>
      <c r="BD12" s="4" t="s">
        <v>146</v>
      </c>
      <c r="BE12" s="4"/>
      <c r="BF12" s="4"/>
      <c r="BG12" s="4" t="s">
        <v>138</v>
      </c>
      <c r="BH12" s="4">
        <v>670</v>
      </c>
      <c r="BI12" s="4">
        <f t="shared" si="18"/>
        <v>670</v>
      </c>
      <c r="BJ12" s="31">
        <v>4</v>
      </c>
      <c r="BK12" s="31">
        <v>8</v>
      </c>
      <c r="BL12" s="31">
        <v>5</v>
      </c>
      <c r="BM12" t="s">
        <v>110</v>
      </c>
      <c r="BN12" t="str">
        <f t="shared" si="16"/>
        <v>-</v>
      </c>
      <c r="BO12">
        <v>439</v>
      </c>
      <c r="BP12">
        <f t="shared" si="17"/>
        <v>481.48387096774189</v>
      </c>
      <c r="BQ12" t="s">
        <v>123</v>
      </c>
    </row>
    <row r="13" spans="1:69" x14ac:dyDescent="0.4">
      <c r="A13" s="3">
        <v>10</v>
      </c>
      <c r="B13" s="3">
        <v>10</v>
      </c>
      <c r="C13" s="4" t="s">
        <v>75</v>
      </c>
      <c r="D13" s="4" t="str">
        <f t="shared" si="4"/>
        <v>J050WR</v>
      </c>
      <c r="E13" s="4" t="s">
        <v>75</v>
      </c>
      <c r="F13" s="4" t="str">
        <f t="shared" si="5"/>
        <v>J050WR5</v>
      </c>
      <c r="G13" s="4" t="s">
        <v>97</v>
      </c>
      <c r="H13" s="5">
        <v>4903599085648</v>
      </c>
      <c r="I13" s="31">
        <v>5</v>
      </c>
      <c r="J13" s="5"/>
      <c r="K13" s="5">
        <v>1</v>
      </c>
      <c r="L13" s="5">
        <v>1</v>
      </c>
      <c r="M13" s="4">
        <v>0</v>
      </c>
      <c r="N13" s="4">
        <v>2529</v>
      </c>
      <c r="O13" s="4">
        <v>1770</v>
      </c>
      <c r="P13" s="6">
        <f t="shared" si="6"/>
        <v>0.30011862396204037</v>
      </c>
      <c r="Q13" s="4" t="s">
        <v>111</v>
      </c>
      <c r="R13" s="4"/>
      <c r="S13" s="4"/>
      <c r="T13" s="4"/>
      <c r="U13" s="4"/>
      <c r="V13" s="4"/>
      <c r="W13" s="4"/>
      <c r="X13" s="4"/>
      <c r="Y13" s="4"/>
      <c r="Z13" s="4">
        <v>0</v>
      </c>
      <c r="AA13" s="4">
        <f t="shared" si="7"/>
        <v>0</v>
      </c>
      <c r="AB13" s="4">
        <v>2080</v>
      </c>
      <c r="AC13" s="4">
        <f t="shared" si="8"/>
        <v>2080</v>
      </c>
      <c r="AD13" s="4"/>
      <c r="AE13" s="19">
        <f t="shared" si="0"/>
        <v>2972</v>
      </c>
      <c r="AF13" s="6">
        <f t="shared" si="9"/>
        <v>0.30013458950201888</v>
      </c>
      <c r="AG13" s="31">
        <v>0</v>
      </c>
      <c r="AH13" s="4">
        <f t="shared" si="10"/>
        <v>3168</v>
      </c>
      <c r="AI13" s="31">
        <f t="shared" si="11"/>
        <v>3722.8474576271187</v>
      </c>
      <c r="AJ13" s="6">
        <f t="shared" si="12"/>
        <v>0.44128787878787878</v>
      </c>
      <c r="AK13" s="7">
        <v>3180</v>
      </c>
      <c r="AL13" s="6">
        <f t="shared" si="1"/>
        <v>0.34591194968553463</v>
      </c>
      <c r="AM13" s="4">
        <f t="shared" si="2"/>
        <v>1100</v>
      </c>
      <c r="AN13" s="26"/>
      <c r="AO13" s="6"/>
      <c r="AP13" s="6"/>
      <c r="AQ13" s="6" t="str">
        <f t="shared" si="13"/>
        <v>-</v>
      </c>
      <c r="AR13" s="6">
        <f t="shared" si="14"/>
        <v>1.2574139976275207</v>
      </c>
      <c r="AS13" s="6">
        <f t="shared" si="15"/>
        <v>1.1751412429378532</v>
      </c>
      <c r="AT13" s="4"/>
      <c r="AU13" s="4"/>
      <c r="AV13" s="4"/>
      <c r="AW13" s="4"/>
      <c r="AX13" s="4"/>
      <c r="AY13" s="4"/>
      <c r="AZ13" s="4"/>
      <c r="BA13" s="4"/>
      <c r="BB13" s="4"/>
      <c r="BC13" s="31">
        <v>0</v>
      </c>
      <c r="BD13" s="4" t="s">
        <v>147</v>
      </c>
      <c r="BE13" s="4"/>
      <c r="BF13" s="4"/>
      <c r="BG13" s="4" t="s">
        <v>148</v>
      </c>
      <c r="BH13" s="4">
        <v>3168</v>
      </c>
      <c r="BI13" s="4">
        <f t="shared" si="18"/>
        <v>3168</v>
      </c>
      <c r="BJ13" s="31">
        <v>4</v>
      </c>
      <c r="BK13" s="31">
        <v>8</v>
      </c>
      <c r="BL13" s="31">
        <v>19</v>
      </c>
      <c r="BM13" t="s">
        <v>110</v>
      </c>
      <c r="BN13" t="str">
        <f t="shared" si="16"/>
        <v>-</v>
      </c>
      <c r="BO13">
        <v>2800</v>
      </c>
      <c r="BP13">
        <f t="shared" si="17"/>
        <v>3290.3954802259886</v>
      </c>
      <c r="BQ13" t="s">
        <v>124</v>
      </c>
    </row>
    <row r="14" spans="1:69" x14ac:dyDescent="0.4">
      <c r="A14" s="3">
        <v>11</v>
      </c>
      <c r="B14" s="3">
        <v>11</v>
      </c>
      <c r="C14" s="4" t="s">
        <v>76</v>
      </c>
      <c r="D14" s="4" t="str">
        <f t="shared" ref="D14:D22" si="19">TEXT(C14,"000000")</f>
        <v>J051WR</v>
      </c>
      <c r="E14" s="4" t="s">
        <v>76</v>
      </c>
      <c r="F14" s="4" t="str">
        <f t="shared" si="5"/>
        <v>J051WR5</v>
      </c>
      <c r="G14" s="4" t="s">
        <v>98</v>
      </c>
      <c r="H14" s="5">
        <v>4903599085655</v>
      </c>
      <c r="I14" s="31">
        <v>5</v>
      </c>
      <c r="J14" s="5"/>
      <c r="K14" s="5">
        <v>1</v>
      </c>
      <c r="L14" s="5">
        <v>1</v>
      </c>
      <c r="M14" s="4">
        <v>0</v>
      </c>
      <c r="N14" s="4">
        <v>4043</v>
      </c>
      <c r="O14" s="4">
        <v>2830</v>
      </c>
      <c r="P14" s="6">
        <f t="shared" si="6"/>
        <v>0.30002473410833541</v>
      </c>
      <c r="Q14" s="4" t="s">
        <v>111</v>
      </c>
      <c r="R14" s="4"/>
      <c r="S14" s="4"/>
      <c r="T14" s="4"/>
      <c r="U14" s="4"/>
      <c r="V14" s="4"/>
      <c r="W14" s="4"/>
      <c r="X14" s="4"/>
      <c r="Y14" s="4"/>
      <c r="Z14" s="4">
        <v>0</v>
      </c>
      <c r="AA14" s="4">
        <f t="shared" ref="AA14:AA22" si="20">IF(AD14="",Z14,Z14*AD14)</f>
        <v>0</v>
      </c>
      <c r="AB14" s="4">
        <v>3380</v>
      </c>
      <c r="AC14" s="4">
        <f t="shared" ref="AC14:AC22" si="21">IF(AD14="",AB14,AB14*AD14)</f>
        <v>3380</v>
      </c>
      <c r="AD14" s="4"/>
      <c r="AE14" s="19">
        <f t="shared" si="0"/>
        <v>4829</v>
      </c>
      <c r="AF14" s="6">
        <f t="shared" si="9"/>
        <v>0.30006212466349136</v>
      </c>
      <c r="AG14" s="31">
        <v>0</v>
      </c>
      <c r="AH14" s="4">
        <f t="shared" ref="AH14:AH22" si="22">BI14</f>
        <v>5049</v>
      </c>
      <c r="AI14" s="31">
        <f t="shared" si="11"/>
        <v>6030.254416961131</v>
      </c>
      <c r="AJ14" s="6">
        <f t="shared" si="12"/>
        <v>0.43949296890473366</v>
      </c>
      <c r="AK14" s="7">
        <v>4980</v>
      </c>
      <c r="AL14" s="6">
        <f t="shared" si="1"/>
        <v>0.32128514056224899</v>
      </c>
      <c r="AM14" s="4">
        <f t="shared" si="2"/>
        <v>1600</v>
      </c>
      <c r="AN14" s="26"/>
      <c r="AO14" s="6"/>
      <c r="AP14" s="6"/>
      <c r="AQ14" s="6" t="str">
        <f t="shared" si="13"/>
        <v>-</v>
      </c>
      <c r="AR14" s="6">
        <f t="shared" si="14"/>
        <v>1.2317585951026466</v>
      </c>
      <c r="AS14" s="6">
        <f t="shared" si="15"/>
        <v>1.1943462897526502</v>
      </c>
      <c r="AT14" s="4"/>
      <c r="AU14" s="4"/>
      <c r="AV14" s="4"/>
      <c r="AW14" s="4"/>
      <c r="AX14" s="4"/>
      <c r="AY14" s="4"/>
      <c r="AZ14" s="4"/>
      <c r="BA14" s="4"/>
      <c r="BB14" s="4"/>
      <c r="BC14" s="31">
        <v>0</v>
      </c>
      <c r="BD14" s="4" t="s">
        <v>149</v>
      </c>
      <c r="BE14" s="4"/>
      <c r="BF14" s="4"/>
      <c r="BG14" s="4" t="s">
        <v>148</v>
      </c>
      <c r="BH14" s="4">
        <v>5049</v>
      </c>
      <c r="BI14" s="4">
        <f t="shared" ref="BI14:BI22" si="23">IF(BE14="",BH14,BE14/BF14*BH14)</f>
        <v>5049</v>
      </c>
      <c r="BJ14" s="31">
        <v>4</v>
      </c>
      <c r="BK14" s="31">
        <v>8</v>
      </c>
      <c r="BL14" s="31">
        <v>19</v>
      </c>
      <c r="BM14" t="s">
        <v>110</v>
      </c>
      <c r="BN14" t="str">
        <f t="shared" si="16"/>
        <v>-</v>
      </c>
      <c r="BO14">
        <v>4450</v>
      </c>
      <c r="BP14">
        <f t="shared" si="17"/>
        <v>5314.8409893992939</v>
      </c>
      <c r="BQ14" t="s">
        <v>125</v>
      </c>
    </row>
    <row r="15" spans="1:69" x14ac:dyDescent="0.4">
      <c r="A15" s="3">
        <v>12</v>
      </c>
      <c r="B15" s="3">
        <v>12</v>
      </c>
      <c r="C15" s="4" t="s">
        <v>77</v>
      </c>
      <c r="D15" s="4" t="str">
        <f t="shared" si="19"/>
        <v>J528TC</v>
      </c>
      <c r="E15" s="4" t="s">
        <v>77</v>
      </c>
      <c r="F15" s="4" t="str">
        <f t="shared" si="5"/>
        <v>J528TC5</v>
      </c>
      <c r="G15" s="4" t="s">
        <v>99</v>
      </c>
      <c r="H15" s="5">
        <v>4904011010354</v>
      </c>
      <c r="I15" s="31">
        <v>5</v>
      </c>
      <c r="J15" s="5"/>
      <c r="K15" s="5">
        <v>1</v>
      </c>
      <c r="L15" s="5">
        <v>1</v>
      </c>
      <c r="M15" s="4">
        <v>2400</v>
      </c>
      <c r="N15" s="4">
        <v>1926</v>
      </c>
      <c r="O15" s="4">
        <v>1310</v>
      </c>
      <c r="P15" s="6">
        <f t="shared" si="6"/>
        <v>0.31983385254413288</v>
      </c>
      <c r="Q15" s="4" t="s">
        <v>111</v>
      </c>
      <c r="R15" s="4"/>
      <c r="S15" s="4"/>
      <c r="T15" s="4"/>
      <c r="U15" s="4"/>
      <c r="V15" s="4"/>
      <c r="W15" s="4"/>
      <c r="X15" s="4"/>
      <c r="Y15" s="4"/>
      <c r="Z15" s="4">
        <v>2580</v>
      </c>
      <c r="AA15" s="4">
        <f t="shared" si="20"/>
        <v>2580</v>
      </c>
      <c r="AB15" s="4">
        <v>1390</v>
      </c>
      <c r="AC15" s="4">
        <f t="shared" si="21"/>
        <v>1390</v>
      </c>
      <c r="AD15" s="4"/>
      <c r="AE15" s="19">
        <f t="shared" si="0"/>
        <v>2044</v>
      </c>
      <c r="AF15" s="6">
        <f t="shared" si="9"/>
        <v>0.31996086105675148</v>
      </c>
      <c r="AG15" s="31">
        <v>0.25</v>
      </c>
      <c r="AH15" s="4">
        <f t="shared" si="22"/>
        <v>1655.8000000000002</v>
      </c>
      <c r="AI15" s="31">
        <f t="shared" si="11"/>
        <v>1756.9175572519086</v>
      </c>
      <c r="AJ15" s="6">
        <f t="shared" si="12"/>
        <v>0.20884164754197376</v>
      </c>
      <c r="AK15" s="7">
        <v>2080</v>
      </c>
      <c r="AL15" s="6">
        <f t="shared" si="1"/>
        <v>0.33173076923076927</v>
      </c>
      <c r="AM15" s="4">
        <f t="shared" si="2"/>
        <v>690</v>
      </c>
      <c r="AN15" s="26"/>
      <c r="AO15" s="6"/>
      <c r="AP15" s="6"/>
      <c r="AQ15" s="6">
        <f t="shared" si="13"/>
        <v>1.075</v>
      </c>
      <c r="AR15" s="6">
        <f t="shared" si="14"/>
        <v>1.0799584631360333</v>
      </c>
      <c r="AS15" s="6">
        <f t="shared" si="15"/>
        <v>1.0610687022900764</v>
      </c>
      <c r="AT15" s="4"/>
      <c r="AU15" s="4"/>
      <c r="AV15" s="4"/>
      <c r="AW15" s="4"/>
      <c r="AX15" s="4"/>
      <c r="AY15" s="4"/>
      <c r="AZ15" s="4"/>
      <c r="BA15" s="4"/>
      <c r="BB15" s="4"/>
      <c r="BC15" s="31">
        <v>0</v>
      </c>
      <c r="BD15" s="4" t="s">
        <v>150</v>
      </c>
      <c r="BE15" s="4">
        <v>1</v>
      </c>
      <c r="BF15" s="4">
        <v>5</v>
      </c>
      <c r="BG15" s="4" t="s">
        <v>151</v>
      </c>
      <c r="BH15" s="4">
        <v>8279</v>
      </c>
      <c r="BI15" s="4">
        <f t="shared" si="23"/>
        <v>1655.8000000000002</v>
      </c>
      <c r="BJ15" s="31">
        <v>4</v>
      </c>
      <c r="BK15" s="31">
        <v>8</v>
      </c>
      <c r="BL15" s="31">
        <v>6</v>
      </c>
      <c r="BM15">
        <v>1968</v>
      </c>
      <c r="BN15">
        <f t="shared" si="16"/>
        <v>2088.1832061068703</v>
      </c>
      <c r="BO15">
        <v>2112</v>
      </c>
      <c r="BP15">
        <f t="shared" si="17"/>
        <v>2240.9770992366416</v>
      </c>
      <c r="BQ15" t="s">
        <v>126</v>
      </c>
    </row>
    <row r="16" spans="1:69" x14ac:dyDescent="0.4">
      <c r="A16" s="3">
        <v>13</v>
      </c>
      <c r="B16" s="3">
        <v>13</v>
      </c>
      <c r="C16" s="4" t="s">
        <v>78</v>
      </c>
      <c r="D16" s="4" t="str">
        <f t="shared" si="19"/>
        <v>J550TC</v>
      </c>
      <c r="E16" s="4" t="s">
        <v>78</v>
      </c>
      <c r="F16" s="4" t="str">
        <f t="shared" si="5"/>
        <v>J550TC5</v>
      </c>
      <c r="G16" s="4" t="s">
        <v>100</v>
      </c>
      <c r="H16" s="5">
        <v>4904011010934</v>
      </c>
      <c r="I16" s="31">
        <v>5</v>
      </c>
      <c r="J16" s="5"/>
      <c r="K16" s="5">
        <v>1</v>
      </c>
      <c r="L16" s="5">
        <v>1</v>
      </c>
      <c r="M16" s="4">
        <v>1065</v>
      </c>
      <c r="N16" s="4">
        <v>854</v>
      </c>
      <c r="O16" s="4">
        <v>580</v>
      </c>
      <c r="P16" s="6">
        <f t="shared" si="6"/>
        <v>0.32084309133489464</v>
      </c>
      <c r="Q16" s="4" t="s">
        <v>111</v>
      </c>
      <c r="R16" s="4"/>
      <c r="S16" s="4"/>
      <c r="T16" s="4"/>
      <c r="U16" s="4"/>
      <c r="V16" s="4"/>
      <c r="W16" s="4"/>
      <c r="X16" s="4"/>
      <c r="Y16" s="4"/>
      <c r="Z16" s="4">
        <v>1105</v>
      </c>
      <c r="AA16" s="4">
        <f t="shared" si="20"/>
        <v>1105</v>
      </c>
      <c r="AB16" s="4">
        <v>600</v>
      </c>
      <c r="AC16" s="4">
        <f t="shared" si="21"/>
        <v>600</v>
      </c>
      <c r="AD16" s="4"/>
      <c r="AE16" s="19">
        <f t="shared" si="0"/>
        <v>883</v>
      </c>
      <c r="AF16" s="6">
        <f t="shared" si="9"/>
        <v>0.32049830124575307</v>
      </c>
      <c r="AG16" s="31">
        <v>0</v>
      </c>
      <c r="AH16" s="4">
        <f t="shared" si="22"/>
        <v>812</v>
      </c>
      <c r="AI16" s="31">
        <f t="shared" si="11"/>
        <v>840</v>
      </c>
      <c r="AJ16" s="6">
        <f t="shared" si="12"/>
        <v>0.2857142857142857</v>
      </c>
      <c r="AK16" s="7">
        <v>900</v>
      </c>
      <c r="AL16" s="6">
        <f t="shared" si="1"/>
        <v>0.33333333333333337</v>
      </c>
      <c r="AM16" s="4">
        <f t="shared" si="2"/>
        <v>300</v>
      </c>
      <c r="AN16" s="26"/>
      <c r="AO16" s="6"/>
      <c r="AP16" s="6"/>
      <c r="AQ16" s="6">
        <f t="shared" si="13"/>
        <v>1.0375586854460095</v>
      </c>
      <c r="AR16" s="6">
        <f t="shared" si="14"/>
        <v>1.053864168618267</v>
      </c>
      <c r="AS16" s="6">
        <f t="shared" si="15"/>
        <v>1.0344827586206897</v>
      </c>
      <c r="AT16" s="4"/>
      <c r="AU16" s="4"/>
      <c r="AV16" s="4"/>
      <c r="AW16" s="4"/>
      <c r="AX16" s="4"/>
      <c r="AY16" s="4"/>
      <c r="AZ16" s="4"/>
      <c r="BA16" s="4"/>
      <c r="BB16" s="4"/>
      <c r="BC16" s="31">
        <v>0</v>
      </c>
      <c r="BD16" s="4" t="s">
        <v>152</v>
      </c>
      <c r="BE16" s="4"/>
      <c r="BF16" s="4"/>
      <c r="BG16" s="4" t="s">
        <v>153</v>
      </c>
      <c r="BH16" s="4">
        <v>812</v>
      </c>
      <c r="BI16" s="4">
        <f t="shared" si="23"/>
        <v>812</v>
      </c>
      <c r="BJ16" s="31">
        <v>4</v>
      </c>
      <c r="BK16" s="31">
        <v>8</v>
      </c>
      <c r="BL16" s="31">
        <v>6</v>
      </c>
      <c r="BM16" t="s">
        <v>110</v>
      </c>
      <c r="BN16" t="str">
        <f t="shared" si="16"/>
        <v>-</v>
      </c>
      <c r="BO16">
        <v>968</v>
      </c>
      <c r="BP16">
        <f t="shared" si="17"/>
        <v>1001.3793103448277</v>
      </c>
      <c r="BQ16" t="s">
        <v>127</v>
      </c>
    </row>
    <row r="17" spans="1:69" x14ac:dyDescent="0.4">
      <c r="A17" s="3">
        <v>14</v>
      </c>
      <c r="B17" s="3">
        <v>14</v>
      </c>
      <c r="C17" s="4" t="s">
        <v>79</v>
      </c>
      <c r="D17" s="4" t="str">
        <f t="shared" si="19"/>
        <v>J530TC</v>
      </c>
      <c r="E17" s="4" t="s">
        <v>79</v>
      </c>
      <c r="F17" s="4" t="str">
        <f t="shared" si="5"/>
        <v>J530TC5</v>
      </c>
      <c r="G17" s="4" t="s">
        <v>101</v>
      </c>
      <c r="H17" s="5">
        <v>4904011011474</v>
      </c>
      <c r="I17" s="31">
        <v>5</v>
      </c>
      <c r="J17" s="5"/>
      <c r="K17" s="5">
        <v>1</v>
      </c>
      <c r="L17" s="5">
        <v>1</v>
      </c>
      <c r="M17" s="4">
        <v>1996</v>
      </c>
      <c r="N17" s="4">
        <v>1482</v>
      </c>
      <c r="O17" s="4">
        <v>1090</v>
      </c>
      <c r="P17" s="6">
        <f t="shared" si="6"/>
        <v>0.2645074224021593</v>
      </c>
      <c r="Q17" s="4" t="s">
        <v>111</v>
      </c>
      <c r="R17" s="4"/>
      <c r="S17" s="4"/>
      <c r="T17" s="4"/>
      <c r="U17" s="4"/>
      <c r="V17" s="4"/>
      <c r="W17" s="4"/>
      <c r="X17" s="4"/>
      <c r="Y17" s="4"/>
      <c r="Z17" s="4">
        <v>2150</v>
      </c>
      <c r="AA17" s="4">
        <f t="shared" si="20"/>
        <v>2150</v>
      </c>
      <c r="AB17" s="4">
        <v>1160</v>
      </c>
      <c r="AC17" s="4">
        <f t="shared" si="21"/>
        <v>1160</v>
      </c>
      <c r="AD17" s="4"/>
      <c r="AE17" s="19">
        <f t="shared" si="0"/>
        <v>1577</v>
      </c>
      <c r="AF17" s="6">
        <f t="shared" si="9"/>
        <v>0.26442612555485101</v>
      </c>
      <c r="AG17" s="31">
        <v>0.25</v>
      </c>
      <c r="AH17" s="4">
        <f t="shared" si="22"/>
        <v>1386.8000000000002</v>
      </c>
      <c r="AI17" s="31">
        <f t="shared" si="11"/>
        <v>1475.8605504587158</v>
      </c>
      <c r="AJ17" s="6">
        <f t="shared" si="12"/>
        <v>0.21401788289587553</v>
      </c>
      <c r="AK17" s="7">
        <v>1780</v>
      </c>
      <c r="AL17" s="6">
        <f t="shared" si="1"/>
        <v>0.348314606741573</v>
      </c>
      <c r="AM17" s="4">
        <f t="shared" si="2"/>
        <v>620</v>
      </c>
      <c r="AN17" s="26"/>
      <c r="AO17" s="6"/>
      <c r="AP17" s="6"/>
      <c r="AQ17" s="6">
        <f t="shared" si="13"/>
        <v>1.0771543086172344</v>
      </c>
      <c r="AR17" s="6">
        <f t="shared" si="14"/>
        <v>1.2010796221322537</v>
      </c>
      <c r="AS17" s="6">
        <f t="shared" si="15"/>
        <v>1.0642201834862386</v>
      </c>
      <c r="AT17" s="4"/>
      <c r="AU17" s="4"/>
      <c r="AV17" s="4"/>
      <c r="AW17" s="4"/>
      <c r="AX17" s="4"/>
      <c r="AY17" s="4"/>
      <c r="AZ17" s="4"/>
      <c r="BA17" s="4"/>
      <c r="BB17" s="4"/>
      <c r="BC17" s="31">
        <v>0</v>
      </c>
      <c r="BD17" s="4" t="s">
        <v>154</v>
      </c>
      <c r="BE17" s="4">
        <v>1</v>
      </c>
      <c r="BF17" s="4">
        <v>5</v>
      </c>
      <c r="BG17" s="4" t="s">
        <v>151</v>
      </c>
      <c r="BH17" s="4">
        <v>6934</v>
      </c>
      <c r="BI17" s="4">
        <f t="shared" si="23"/>
        <v>1386.8000000000002</v>
      </c>
      <c r="BJ17" s="31">
        <v>4</v>
      </c>
      <c r="BK17" s="31">
        <v>8</v>
      </c>
      <c r="BL17" s="31">
        <v>6</v>
      </c>
      <c r="BM17" t="s">
        <v>110</v>
      </c>
      <c r="BN17" t="str">
        <f t="shared" si="16"/>
        <v>-</v>
      </c>
      <c r="BO17">
        <v>1760</v>
      </c>
      <c r="BP17">
        <f t="shared" si="17"/>
        <v>1873.0275229357799</v>
      </c>
      <c r="BQ17" t="s">
        <v>128</v>
      </c>
    </row>
    <row r="18" spans="1:69" x14ac:dyDescent="0.4">
      <c r="A18" s="3">
        <v>15</v>
      </c>
      <c r="B18" s="3">
        <v>15</v>
      </c>
      <c r="C18" s="4" t="s">
        <v>80</v>
      </c>
      <c r="D18" s="4" t="str">
        <f t="shared" si="19"/>
        <v>J533TC</v>
      </c>
      <c r="E18" s="4" t="s">
        <v>80</v>
      </c>
      <c r="F18" s="4" t="str">
        <f t="shared" si="5"/>
        <v>J533TC5</v>
      </c>
      <c r="G18" s="4" t="s">
        <v>102</v>
      </c>
      <c r="H18" s="5">
        <v>4904011014833</v>
      </c>
      <c r="I18" s="31">
        <v>5</v>
      </c>
      <c r="J18" s="5"/>
      <c r="K18" s="5">
        <v>1</v>
      </c>
      <c r="L18" s="5">
        <v>1</v>
      </c>
      <c r="M18" s="4">
        <v>555</v>
      </c>
      <c r="N18" s="4">
        <v>401</v>
      </c>
      <c r="O18" s="4">
        <v>295</v>
      </c>
      <c r="P18" s="6">
        <f t="shared" si="6"/>
        <v>0.26433915211970072</v>
      </c>
      <c r="Q18" s="4" t="s">
        <v>111</v>
      </c>
      <c r="R18" s="4"/>
      <c r="S18" s="4"/>
      <c r="T18" s="4"/>
      <c r="U18" s="4"/>
      <c r="V18" s="4"/>
      <c r="W18" s="4"/>
      <c r="X18" s="4"/>
      <c r="Y18" s="4"/>
      <c r="Z18" s="4">
        <v>590</v>
      </c>
      <c r="AA18" s="4">
        <f t="shared" si="20"/>
        <v>590</v>
      </c>
      <c r="AB18" s="4">
        <v>320</v>
      </c>
      <c r="AC18" s="4">
        <f t="shared" si="21"/>
        <v>320</v>
      </c>
      <c r="AD18" s="4"/>
      <c r="AE18" s="19">
        <f t="shared" si="0"/>
        <v>435</v>
      </c>
      <c r="AF18" s="6">
        <f t="shared" si="9"/>
        <v>0.26436781609195403</v>
      </c>
      <c r="AG18" s="31">
        <v>0</v>
      </c>
      <c r="AH18" s="4">
        <f t="shared" si="22"/>
        <v>456.40000000000003</v>
      </c>
      <c r="AI18" s="31">
        <f t="shared" si="11"/>
        <v>495.07796610169493</v>
      </c>
      <c r="AJ18" s="6">
        <f t="shared" si="12"/>
        <v>0.35363716038562665</v>
      </c>
      <c r="AK18" s="7">
        <v>480</v>
      </c>
      <c r="AL18" s="6">
        <f t="shared" si="1"/>
        <v>0.33333333333333337</v>
      </c>
      <c r="AM18" s="4">
        <f t="shared" si="2"/>
        <v>160</v>
      </c>
      <c r="AN18" s="26"/>
      <c r="AO18" s="6"/>
      <c r="AP18" s="6"/>
      <c r="AQ18" s="6">
        <f t="shared" si="13"/>
        <v>1.0630630630630631</v>
      </c>
      <c r="AR18" s="6">
        <f t="shared" si="14"/>
        <v>1.1970074812967582</v>
      </c>
      <c r="AS18" s="6">
        <f t="shared" si="15"/>
        <v>1.0847457627118644</v>
      </c>
      <c r="AT18" s="4"/>
      <c r="AU18" s="4"/>
      <c r="AV18" s="4"/>
      <c r="AW18" s="4"/>
      <c r="AX18" s="4"/>
      <c r="AY18" s="4"/>
      <c r="AZ18" s="4"/>
      <c r="BA18" s="4"/>
      <c r="BB18" s="4"/>
      <c r="BC18" s="31">
        <v>0</v>
      </c>
      <c r="BD18" s="4" t="s">
        <v>155</v>
      </c>
      <c r="BE18" s="4">
        <v>1</v>
      </c>
      <c r="BF18" s="4">
        <v>10</v>
      </c>
      <c r="BG18" s="4" t="s">
        <v>156</v>
      </c>
      <c r="BH18" s="4">
        <v>4564</v>
      </c>
      <c r="BI18" s="4">
        <f t="shared" si="23"/>
        <v>456.40000000000003</v>
      </c>
      <c r="BJ18" s="31">
        <v>4</v>
      </c>
      <c r="BK18" s="31">
        <v>8</v>
      </c>
      <c r="BL18" s="31">
        <v>6</v>
      </c>
      <c r="BM18" t="s">
        <v>110</v>
      </c>
      <c r="BN18" t="str">
        <f t="shared" si="16"/>
        <v>-</v>
      </c>
      <c r="BO18">
        <v>527</v>
      </c>
      <c r="BP18">
        <f t="shared" si="17"/>
        <v>571.66101694915255</v>
      </c>
      <c r="BQ18" t="s">
        <v>129</v>
      </c>
    </row>
    <row r="19" spans="1:69" x14ac:dyDescent="0.4">
      <c r="A19" s="3">
        <v>16</v>
      </c>
      <c r="B19" s="3">
        <v>16</v>
      </c>
      <c r="C19" s="4" t="s">
        <v>81</v>
      </c>
      <c r="D19" s="4" t="str">
        <f t="shared" si="19"/>
        <v>J534TC</v>
      </c>
      <c r="E19" s="4" t="s">
        <v>81</v>
      </c>
      <c r="F19" s="4" t="str">
        <f t="shared" si="5"/>
        <v>J534TC5</v>
      </c>
      <c r="G19" s="4" t="s">
        <v>103</v>
      </c>
      <c r="H19" s="5">
        <v>4904011014840</v>
      </c>
      <c r="I19" s="31">
        <v>5</v>
      </c>
      <c r="J19" s="5"/>
      <c r="K19" s="5">
        <v>1</v>
      </c>
      <c r="L19" s="5">
        <v>1</v>
      </c>
      <c r="M19" s="4">
        <v>555</v>
      </c>
      <c r="N19" s="4">
        <v>401</v>
      </c>
      <c r="O19" s="4">
        <v>295</v>
      </c>
      <c r="P19" s="6">
        <f t="shared" si="6"/>
        <v>0.26433915211970072</v>
      </c>
      <c r="Q19" s="4" t="s">
        <v>111</v>
      </c>
      <c r="R19" s="4"/>
      <c r="S19" s="4"/>
      <c r="T19" s="4"/>
      <c r="U19" s="4"/>
      <c r="V19" s="4"/>
      <c r="W19" s="4"/>
      <c r="X19" s="4"/>
      <c r="Y19" s="4"/>
      <c r="Z19" s="4">
        <v>590</v>
      </c>
      <c r="AA19" s="4">
        <f t="shared" si="20"/>
        <v>590</v>
      </c>
      <c r="AB19" s="4">
        <v>320</v>
      </c>
      <c r="AC19" s="4">
        <f t="shared" si="21"/>
        <v>320</v>
      </c>
      <c r="AD19" s="4"/>
      <c r="AE19" s="19">
        <f t="shared" si="0"/>
        <v>435</v>
      </c>
      <c r="AF19" s="6">
        <f t="shared" si="9"/>
        <v>0.26436781609195403</v>
      </c>
      <c r="AG19" s="31">
        <v>0</v>
      </c>
      <c r="AH19" s="4">
        <f t="shared" si="22"/>
        <v>456.40000000000003</v>
      </c>
      <c r="AI19" s="31">
        <f t="shared" si="11"/>
        <v>495.07796610169493</v>
      </c>
      <c r="AJ19" s="6">
        <f t="shared" si="12"/>
        <v>0.35363716038562665</v>
      </c>
      <c r="AK19" s="7">
        <v>480</v>
      </c>
      <c r="AL19" s="6">
        <f t="shared" si="1"/>
        <v>0.33333333333333337</v>
      </c>
      <c r="AM19" s="4">
        <f t="shared" si="2"/>
        <v>160</v>
      </c>
      <c r="AN19" s="26"/>
      <c r="AO19" s="6"/>
      <c r="AP19" s="6"/>
      <c r="AQ19" s="6">
        <f t="shared" si="13"/>
        <v>1.0630630630630631</v>
      </c>
      <c r="AR19" s="6">
        <f t="shared" si="14"/>
        <v>1.1970074812967582</v>
      </c>
      <c r="AS19" s="6">
        <f t="shared" si="15"/>
        <v>1.0847457627118644</v>
      </c>
      <c r="AT19" s="4"/>
      <c r="AU19" s="4"/>
      <c r="AV19" s="4"/>
      <c r="AW19" s="4"/>
      <c r="AX19" s="4"/>
      <c r="AY19" s="4"/>
      <c r="AZ19" s="4"/>
      <c r="BA19" s="4"/>
      <c r="BB19" s="4"/>
      <c r="BC19" s="31">
        <v>0</v>
      </c>
      <c r="BD19" s="4" t="s">
        <v>157</v>
      </c>
      <c r="BE19" s="4">
        <v>1</v>
      </c>
      <c r="BF19" s="4">
        <v>10</v>
      </c>
      <c r="BG19" s="4" t="s">
        <v>156</v>
      </c>
      <c r="BH19" s="4">
        <v>4564</v>
      </c>
      <c r="BI19" s="4">
        <f t="shared" si="23"/>
        <v>456.40000000000003</v>
      </c>
      <c r="BJ19" s="31">
        <v>4</v>
      </c>
      <c r="BK19" s="31">
        <v>8</v>
      </c>
      <c r="BL19" s="31">
        <v>6</v>
      </c>
      <c r="BM19" t="s">
        <v>110</v>
      </c>
      <c r="BN19" t="str">
        <f t="shared" si="16"/>
        <v>-</v>
      </c>
      <c r="BO19">
        <v>527</v>
      </c>
      <c r="BP19">
        <f t="shared" si="17"/>
        <v>571.66101694915255</v>
      </c>
      <c r="BQ19" t="s">
        <v>130</v>
      </c>
    </row>
    <row r="20" spans="1:69" x14ac:dyDescent="0.4">
      <c r="A20" s="3">
        <v>17</v>
      </c>
      <c r="B20" s="3">
        <v>17</v>
      </c>
      <c r="C20" s="4" t="s">
        <v>82</v>
      </c>
      <c r="D20" s="4" t="str">
        <f t="shared" si="19"/>
        <v>J272TC</v>
      </c>
      <c r="E20" s="4" t="s">
        <v>82</v>
      </c>
      <c r="F20" s="4" t="str">
        <f t="shared" si="5"/>
        <v>J272TC5</v>
      </c>
      <c r="G20" s="4" t="s">
        <v>104</v>
      </c>
      <c r="H20" s="5">
        <v>4945296001385</v>
      </c>
      <c r="I20" s="31">
        <v>5</v>
      </c>
      <c r="J20" s="5"/>
      <c r="K20" s="5">
        <v>1</v>
      </c>
      <c r="L20" s="5">
        <v>1</v>
      </c>
      <c r="M20" s="4">
        <v>0</v>
      </c>
      <c r="N20" s="4">
        <v>3196</v>
      </c>
      <c r="O20" s="4">
        <v>2380</v>
      </c>
      <c r="P20" s="6">
        <f t="shared" si="6"/>
        <v>0.25531914893617025</v>
      </c>
      <c r="Q20" s="4" t="s">
        <v>111</v>
      </c>
      <c r="R20" s="4"/>
      <c r="S20" s="4"/>
      <c r="T20" s="4"/>
      <c r="U20" s="4"/>
      <c r="V20" s="4"/>
      <c r="W20" s="4"/>
      <c r="X20" s="4"/>
      <c r="Y20" s="4"/>
      <c r="Z20" s="4">
        <v>0</v>
      </c>
      <c r="AA20" s="4">
        <f t="shared" si="20"/>
        <v>0</v>
      </c>
      <c r="AB20" s="4">
        <v>3070</v>
      </c>
      <c r="AC20" s="4">
        <f t="shared" si="21"/>
        <v>3070</v>
      </c>
      <c r="AD20" s="4"/>
      <c r="AE20" s="19">
        <f t="shared" si="0"/>
        <v>4123</v>
      </c>
      <c r="AF20" s="6">
        <f t="shared" si="9"/>
        <v>0.25539655590589372</v>
      </c>
      <c r="AG20" s="31">
        <v>0.5</v>
      </c>
      <c r="AH20" s="4">
        <f t="shared" si="22"/>
        <v>3746</v>
      </c>
      <c r="AI20" s="31">
        <f t="shared" si="11"/>
        <v>4832.0252100840335</v>
      </c>
      <c r="AJ20" s="6">
        <f t="shared" si="12"/>
        <v>0.36465563267485313</v>
      </c>
      <c r="AK20" s="7">
        <v>4580</v>
      </c>
      <c r="AL20" s="6">
        <f t="shared" si="1"/>
        <v>0.32969432314410485</v>
      </c>
      <c r="AM20" s="4">
        <f t="shared" si="2"/>
        <v>1510</v>
      </c>
      <c r="AN20" s="26"/>
      <c r="AO20" s="6"/>
      <c r="AP20" s="6"/>
      <c r="AQ20" s="6" t="str">
        <f t="shared" si="13"/>
        <v>-</v>
      </c>
      <c r="AR20" s="6">
        <f t="shared" si="14"/>
        <v>1.4330413016270338</v>
      </c>
      <c r="AS20" s="6">
        <f t="shared" si="15"/>
        <v>1.2899159663865547</v>
      </c>
      <c r="AT20" s="4"/>
      <c r="AU20" s="4"/>
      <c r="AV20" s="4"/>
      <c r="AW20" s="4"/>
      <c r="AX20" s="4"/>
      <c r="AY20" s="4"/>
      <c r="AZ20" s="4"/>
      <c r="BA20" s="4"/>
      <c r="BB20" s="4"/>
      <c r="BC20" s="31">
        <v>0</v>
      </c>
      <c r="BD20" s="4" t="s">
        <v>158</v>
      </c>
      <c r="BE20" s="4"/>
      <c r="BF20" s="4"/>
      <c r="BG20" s="4" t="s">
        <v>138</v>
      </c>
      <c r="BH20" s="4">
        <v>3746</v>
      </c>
      <c r="BI20" s="4">
        <f t="shared" si="23"/>
        <v>3746</v>
      </c>
      <c r="BJ20" s="31">
        <v>4</v>
      </c>
      <c r="BK20" s="31">
        <v>8</v>
      </c>
      <c r="BL20" s="31">
        <v>6</v>
      </c>
      <c r="BM20" t="s">
        <v>110</v>
      </c>
      <c r="BN20" t="str">
        <f t="shared" si="16"/>
        <v>-</v>
      </c>
      <c r="BO20">
        <v>4268</v>
      </c>
      <c r="BP20">
        <f t="shared" si="17"/>
        <v>5505.3613445378151</v>
      </c>
      <c r="BQ20" t="s">
        <v>131</v>
      </c>
    </row>
    <row r="21" spans="1:69" x14ac:dyDescent="0.4">
      <c r="A21" s="3">
        <v>18</v>
      </c>
      <c r="B21" s="3">
        <v>18</v>
      </c>
      <c r="C21" s="4" t="s">
        <v>83</v>
      </c>
      <c r="D21" s="4" t="str">
        <f t="shared" si="19"/>
        <v>J273TC</v>
      </c>
      <c r="E21" s="4" t="s">
        <v>83</v>
      </c>
      <c r="F21" s="4" t="str">
        <f t="shared" si="5"/>
        <v>J273TC5</v>
      </c>
      <c r="G21" s="4" t="s">
        <v>105</v>
      </c>
      <c r="H21" s="5">
        <v>4945296001392</v>
      </c>
      <c r="I21" s="31">
        <v>5</v>
      </c>
      <c r="J21" s="5"/>
      <c r="K21" s="5">
        <v>1</v>
      </c>
      <c r="L21" s="5">
        <v>1</v>
      </c>
      <c r="M21" s="4">
        <v>0</v>
      </c>
      <c r="N21" s="4">
        <v>3196</v>
      </c>
      <c r="O21" s="4">
        <v>2380</v>
      </c>
      <c r="P21" s="6">
        <f t="shared" si="6"/>
        <v>0.25531914893617025</v>
      </c>
      <c r="Q21" s="4" t="s">
        <v>111</v>
      </c>
      <c r="R21" s="4"/>
      <c r="S21" s="4"/>
      <c r="T21" s="4"/>
      <c r="U21" s="4"/>
      <c r="V21" s="4"/>
      <c r="W21" s="4"/>
      <c r="X21" s="4"/>
      <c r="Y21" s="4"/>
      <c r="Z21" s="4">
        <v>0</v>
      </c>
      <c r="AA21" s="4">
        <f t="shared" si="20"/>
        <v>0</v>
      </c>
      <c r="AB21" s="4">
        <v>3070</v>
      </c>
      <c r="AC21" s="4">
        <f t="shared" si="21"/>
        <v>3070</v>
      </c>
      <c r="AD21" s="4"/>
      <c r="AE21" s="19">
        <f t="shared" si="0"/>
        <v>4123</v>
      </c>
      <c r="AF21" s="6">
        <f t="shared" si="9"/>
        <v>0.25539655590589372</v>
      </c>
      <c r="AG21" s="31">
        <v>0.25</v>
      </c>
      <c r="AH21" s="4">
        <f t="shared" si="22"/>
        <v>3746</v>
      </c>
      <c r="AI21" s="31">
        <f t="shared" si="11"/>
        <v>4832.0252100840335</v>
      </c>
      <c r="AJ21" s="6">
        <f t="shared" si="12"/>
        <v>0.36465563267485313</v>
      </c>
      <c r="AK21" s="7">
        <v>4580</v>
      </c>
      <c r="AL21" s="6">
        <f t="shared" si="1"/>
        <v>0.32969432314410485</v>
      </c>
      <c r="AM21" s="4">
        <f t="shared" si="2"/>
        <v>1510</v>
      </c>
      <c r="AN21" s="26"/>
      <c r="AO21" s="6"/>
      <c r="AP21" s="6"/>
      <c r="AQ21" s="6" t="str">
        <f t="shared" si="13"/>
        <v>-</v>
      </c>
      <c r="AR21" s="6">
        <f t="shared" si="14"/>
        <v>1.4330413016270338</v>
      </c>
      <c r="AS21" s="6">
        <f t="shared" si="15"/>
        <v>1.2899159663865547</v>
      </c>
      <c r="AT21" s="4"/>
      <c r="AU21" s="4"/>
      <c r="AV21" s="4"/>
      <c r="AW21" s="4"/>
      <c r="AX21" s="4"/>
      <c r="AY21" s="4"/>
      <c r="AZ21" s="4"/>
      <c r="BA21" s="4"/>
      <c r="BB21" s="4"/>
      <c r="BC21" s="31">
        <v>0</v>
      </c>
      <c r="BD21" s="4" t="s">
        <v>159</v>
      </c>
      <c r="BE21" s="4"/>
      <c r="BF21" s="4"/>
      <c r="BG21" s="4" t="s">
        <v>138</v>
      </c>
      <c r="BH21" s="4">
        <v>3746</v>
      </c>
      <c r="BI21" s="4">
        <f t="shared" si="23"/>
        <v>3746</v>
      </c>
      <c r="BJ21" s="31">
        <v>4</v>
      </c>
      <c r="BK21" s="31">
        <v>8</v>
      </c>
      <c r="BL21" s="31">
        <v>6</v>
      </c>
      <c r="BM21" t="s">
        <v>110</v>
      </c>
      <c r="BN21" t="str">
        <f t="shared" si="16"/>
        <v>-</v>
      </c>
      <c r="BO21">
        <v>3820</v>
      </c>
      <c r="BP21">
        <f t="shared" si="17"/>
        <v>4927.4789915966394</v>
      </c>
      <c r="BQ21" t="s">
        <v>132</v>
      </c>
    </row>
    <row r="22" spans="1:69" x14ac:dyDescent="0.4">
      <c r="A22" s="3">
        <v>19</v>
      </c>
      <c r="B22" s="3">
        <v>19</v>
      </c>
      <c r="C22" s="4" t="s">
        <v>84</v>
      </c>
      <c r="D22" s="4" t="str">
        <f t="shared" si="19"/>
        <v>J265TC</v>
      </c>
      <c r="E22" s="4" t="s">
        <v>84</v>
      </c>
      <c r="F22" s="4" t="str">
        <f t="shared" si="5"/>
        <v>J265TC5</v>
      </c>
      <c r="G22" s="4" t="s">
        <v>106</v>
      </c>
      <c r="H22" s="5">
        <v>4945296001576</v>
      </c>
      <c r="I22" s="31">
        <v>5</v>
      </c>
      <c r="J22" s="5"/>
      <c r="K22" s="5">
        <v>1</v>
      </c>
      <c r="L22" s="5">
        <v>1</v>
      </c>
      <c r="M22" s="4">
        <v>0</v>
      </c>
      <c r="N22" s="4">
        <v>3196</v>
      </c>
      <c r="O22" s="4">
        <v>2240</v>
      </c>
      <c r="P22" s="6">
        <f t="shared" si="6"/>
        <v>0.29912390488110141</v>
      </c>
      <c r="Q22" s="4" t="s">
        <v>111</v>
      </c>
      <c r="R22" s="4"/>
      <c r="S22" s="4"/>
      <c r="T22" s="4"/>
      <c r="U22" s="4"/>
      <c r="V22" s="4"/>
      <c r="W22" s="4"/>
      <c r="X22" s="4"/>
      <c r="Y22" s="4"/>
      <c r="Z22" s="4">
        <v>0</v>
      </c>
      <c r="AA22" s="4">
        <f t="shared" si="20"/>
        <v>0</v>
      </c>
      <c r="AB22" s="4">
        <v>2890</v>
      </c>
      <c r="AC22" s="4">
        <f t="shared" si="21"/>
        <v>2890</v>
      </c>
      <c r="AD22" s="4"/>
      <c r="AE22" s="19">
        <f t="shared" si="0"/>
        <v>4123</v>
      </c>
      <c r="AF22" s="6">
        <f t="shared" si="9"/>
        <v>0.29905408682997814</v>
      </c>
      <c r="AG22" s="31">
        <v>1</v>
      </c>
      <c r="AH22" s="4">
        <f t="shared" si="22"/>
        <v>3728</v>
      </c>
      <c r="AI22" s="31">
        <f t="shared" si="11"/>
        <v>4809.7857142857138</v>
      </c>
      <c r="AJ22" s="6">
        <f t="shared" si="12"/>
        <v>0.39914163090128751</v>
      </c>
      <c r="AK22" s="7">
        <v>4380</v>
      </c>
      <c r="AL22" s="6">
        <f t="shared" si="1"/>
        <v>0.34018264840182644</v>
      </c>
      <c r="AM22" s="4">
        <f t="shared" si="2"/>
        <v>1490</v>
      </c>
      <c r="AN22" s="26"/>
      <c r="AO22" s="6"/>
      <c r="AP22" s="6"/>
      <c r="AQ22" s="6" t="str">
        <f t="shared" si="13"/>
        <v>-</v>
      </c>
      <c r="AR22" s="6">
        <f t="shared" si="14"/>
        <v>1.3704630788485608</v>
      </c>
      <c r="AS22" s="6">
        <f t="shared" si="15"/>
        <v>1.2901785714285714</v>
      </c>
      <c r="AT22" s="4"/>
      <c r="AU22" s="4"/>
      <c r="AV22" s="4"/>
      <c r="AW22" s="4"/>
      <c r="AX22" s="4"/>
      <c r="AY22" s="4"/>
      <c r="AZ22" s="4"/>
      <c r="BA22" s="4"/>
      <c r="BB22" s="4"/>
      <c r="BC22" s="31">
        <v>0</v>
      </c>
      <c r="BD22" s="4" t="s">
        <v>160</v>
      </c>
      <c r="BE22" s="4"/>
      <c r="BF22" s="4"/>
      <c r="BG22" s="4" t="s">
        <v>138</v>
      </c>
      <c r="BH22" s="4">
        <v>3728</v>
      </c>
      <c r="BI22" s="4">
        <f t="shared" si="23"/>
        <v>3728</v>
      </c>
      <c r="BJ22" s="31">
        <v>4</v>
      </c>
      <c r="BK22" s="31">
        <v>8</v>
      </c>
      <c r="BL22" s="31">
        <v>6</v>
      </c>
      <c r="BM22" t="s">
        <v>110</v>
      </c>
      <c r="BN22" t="str">
        <f t="shared" si="16"/>
        <v>-</v>
      </c>
      <c r="BO22">
        <v>3820</v>
      </c>
      <c r="BP22">
        <f t="shared" si="17"/>
        <v>4928.4821428571431</v>
      </c>
      <c r="BQ22" t="s">
        <v>133</v>
      </c>
    </row>
    <row r="23" spans="1:69" x14ac:dyDescent="0.4">
      <c r="A23" s="3">
        <v>20</v>
      </c>
      <c r="B23" s="3">
        <v>20</v>
      </c>
      <c r="C23" s="4" t="s">
        <v>85</v>
      </c>
      <c r="D23" s="4" t="str">
        <f t="shared" ref="D23:D25" si="24">TEXT(C23,"000000")</f>
        <v>J266TC</v>
      </c>
      <c r="E23" s="4" t="s">
        <v>85</v>
      </c>
      <c r="F23" s="4" t="str">
        <f t="shared" si="5"/>
        <v>J266TC5</v>
      </c>
      <c r="G23" s="4" t="s">
        <v>107</v>
      </c>
      <c r="H23" s="5">
        <v>4945296001583</v>
      </c>
      <c r="I23" s="31">
        <v>5</v>
      </c>
      <c r="J23" s="5"/>
      <c r="K23" s="5">
        <v>1</v>
      </c>
      <c r="L23" s="5">
        <v>1</v>
      </c>
      <c r="M23" s="4">
        <v>0</v>
      </c>
      <c r="N23" s="4">
        <v>3196</v>
      </c>
      <c r="O23" s="4">
        <v>2240</v>
      </c>
      <c r="P23" s="6">
        <f t="shared" ref="P23:P25" si="25">IFERROR(1-O23/N23,"-")</f>
        <v>0.29912390488110141</v>
      </c>
      <c r="Q23" s="4" t="s">
        <v>111</v>
      </c>
      <c r="R23" s="4"/>
      <c r="S23" s="4"/>
      <c r="T23" s="4"/>
      <c r="U23" s="4"/>
      <c r="V23" s="4"/>
      <c r="W23" s="4"/>
      <c r="X23" s="4"/>
      <c r="Y23" s="4"/>
      <c r="Z23" s="4">
        <v>0</v>
      </c>
      <c r="AA23" s="4">
        <f t="shared" ref="AA23:AA25" si="26">IF(AD23="",Z23,Z23*AD23)</f>
        <v>0</v>
      </c>
      <c r="AB23" s="4">
        <v>2890</v>
      </c>
      <c r="AC23" s="4">
        <f t="shared" ref="AC23:AC25" si="27">IF(AD23="",AB23,AB23*AD23)</f>
        <v>2890</v>
      </c>
      <c r="AD23" s="4"/>
      <c r="AE23" s="19">
        <f t="shared" ref="AE23:AE25" si="28">ROUND(N23*AS23,0)</f>
        <v>4123</v>
      </c>
      <c r="AF23" s="6">
        <f t="shared" ref="AF23:AF25" si="29">IFERROR(1-AC23/AE23,"-")</f>
        <v>0.29905408682997814</v>
      </c>
      <c r="AG23" s="31">
        <v>0.5</v>
      </c>
      <c r="AH23" s="4">
        <f t="shared" ref="AH23:AH25" si="30">BI23</f>
        <v>3400</v>
      </c>
      <c r="AI23" s="31">
        <f t="shared" ref="AI23:AI25" si="31">IFERROR(AH23*AS23,"-")</f>
        <v>4386.6071428571431</v>
      </c>
      <c r="AJ23" s="6">
        <f t="shared" ref="AJ23:AJ25" si="32">IFERROR(1-AC23/AI23,"-")</f>
        <v>0.3411764705882353</v>
      </c>
      <c r="AK23" s="7">
        <v>4380</v>
      </c>
      <c r="AL23" s="6">
        <f t="shared" ref="AL23:AL25" si="33">1-AC23/AK23</f>
        <v>0.34018264840182644</v>
      </c>
      <c r="AM23" s="4">
        <f t="shared" ref="AM23:AM25" si="34">AK23-AC23</f>
        <v>1490</v>
      </c>
      <c r="AN23" s="26"/>
      <c r="AO23" s="6"/>
      <c r="AP23" s="6"/>
      <c r="AQ23" s="6" t="str">
        <f t="shared" ref="AQ23:AQ25" si="35">IFERROR(AA23/M23,"-")</f>
        <v>-</v>
      </c>
      <c r="AR23" s="6">
        <f t="shared" ref="AR23:AR25" si="36">IFERROR(AK23/N23,"-")</f>
        <v>1.3704630788485608</v>
      </c>
      <c r="AS23" s="6">
        <f t="shared" ref="AS23:AS25" si="37">IFERROR(AC23/O23,"-")</f>
        <v>1.2901785714285714</v>
      </c>
      <c r="AT23" s="4"/>
      <c r="AU23" s="4"/>
      <c r="AV23" s="4"/>
      <c r="AW23" s="4"/>
      <c r="AX23" s="4"/>
      <c r="AY23" s="4"/>
      <c r="AZ23" s="4"/>
      <c r="BA23" s="4"/>
      <c r="BB23" s="4"/>
      <c r="BC23" s="31">
        <v>0</v>
      </c>
      <c r="BD23" s="4" t="s">
        <v>161</v>
      </c>
      <c r="BE23" s="4"/>
      <c r="BF23" s="4"/>
      <c r="BG23" s="4" t="s">
        <v>138</v>
      </c>
      <c r="BH23" s="4">
        <v>3400</v>
      </c>
      <c r="BI23" s="4">
        <f t="shared" ref="BI23:BI25" si="38">IF(BE23="",BH23,BE23/BF23*BH23)</f>
        <v>3400</v>
      </c>
      <c r="BJ23" s="31">
        <v>4</v>
      </c>
      <c r="BK23" s="31">
        <v>8</v>
      </c>
      <c r="BL23" s="31">
        <v>6</v>
      </c>
      <c r="BM23" t="s">
        <v>110</v>
      </c>
      <c r="BN23" t="str">
        <f t="shared" si="16"/>
        <v>-</v>
      </c>
      <c r="BO23">
        <v>3820</v>
      </c>
      <c r="BP23">
        <f t="shared" si="17"/>
        <v>4928.4821428571431</v>
      </c>
      <c r="BQ23" t="s">
        <v>134</v>
      </c>
    </row>
    <row r="24" spans="1:69" x14ac:dyDescent="0.4">
      <c r="A24" s="3">
        <v>21</v>
      </c>
      <c r="B24" s="3">
        <v>21</v>
      </c>
      <c r="C24" s="4" t="s">
        <v>86</v>
      </c>
      <c r="D24" s="4" t="str">
        <f t="shared" si="24"/>
        <v>J281TC</v>
      </c>
      <c r="E24" s="4" t="s">
        <v>86</v>
      </c>
      <c r="F24" s="4" t="str">
        <f t="shared" si="5"/>
        <v>J281TC5</v>
      </c>
      <c r="G24" s="4" t="s">
        <v>108</v>
      </c>
      <c r="H24" s="5">
        <v>4945296006854</v>
      </c>
      <c r="I24" s="31">
        <v>5</v>
      </c>
      <c r="J24" s="5"/>
      <c r="K24" s="5">
        <v>1</v>
      </c>
      <c r="L24" s="5">
        <v>1</v>
      </c>
      <c r="M24" s="4">
        <v>0</v>
      </c>
      <c r="N24" s="4">
        <v>238</v>
      </c>
      <c r="O24" s="4">
        <v>190</v>
      </c>
      <c r="P24" s="6">
        <f t="shared" si="25"/>
        <v>0.20168067226890751</v>
      </c>
      <c r="Q24" s="4" t="s">
        <v>111</v>
      </c>
      <c r="R24" s="4"/>
      <c r="S24" s="4"/>
      <c r="T24" s="4"/>
      <c r="U24" s="4"/>
      <c r="V24" s="4"/>
      <c r="W24" s="4"/>
      <c r="X24" s="4"/>
      <c r="Y24" s="4"/>
      <c r="Z24" s="4">
        <v>0</v>
      </c>
      <c r="AA24" s="4">
        <f t="shared" si="26"/>
        <v>0</v>
      </c>
      <c r="AB24" s="4">
        <v>240</v>
      </c>
      <c r="AC24" s="4">
        <f t="shared" si="27"/>
        <v>240</v>
      </c>
      <c r="AD24" s="4"/>
      <c r="AE24" s="19">
        <f t="shared" si="28"/>
        <v>301</v>
      </c>
      <c r="AF24" s="6">
        <f t="shared" si="29"/>
        <v>0.20265780730897009</v>
      </c>
      <c r="AG24" s="31">
        <v>1</v>
      </c>
      <c r="AH24" s="4">
        <f t="shared" si="30"/>
        <v>273</v>
      </c>
      <c r="AI24" s="31">
        <f t="shared" si="31"/>
        <v>344.84210526315786</v>
      </c>
      <c r="AJ24" s="6">
        <f t="shared" si="32"/>
        <v>0.30402930402930395</v>
      </c>
      <c r="AK24" s="7">
        <v>344</v>
      </c>
      <c r="AL24" s="6">
        <f t="shared" si="33"/>
        <v>0.30232558139534882</v>
      </c>
      <c r="AM24" s="4">
        <f t="shared" si="34"/>
        <v>104</v>
      </c>
      <c r="AN24" s="26"/>
      <c r="AO24" s="6"/>
      <c r="AP24" s="6"/>
      <c r="AQ24" s="6" t="str">
        <f t="shared" si="35"/>
        <v>-</v>
      </c>
      <c r="AR24" s="6">
        <f t="shared" si="36"/>
        <v>1.4453781512605042</v>
      </c>
      <c r="AS24" s="6">
        <f t="shared" si="37"/>
        <v>1.263157894736842</v>
      </c>
      <c r="AT24" s="4"/>
      <c r="AU24" s="4"/>
      <c r="AV24" s="4"/>
      <c r="AW24" s="4"/>
      <c r="AX24" s="4"/>
      <c r="AY24" s="4"/>
      <c r="AZ24" s="4"/>
      <c r="BA24" s="4"/>
      <c r="BB24" s="4"/>
      <c r="BC24" s="31">
        <v>0</v>
      </c>
      <c r="BD24" s="4" t="s">
        <v>162</v>
      </c>
      <c r="BE24" s="4"/>
      <c r="BF24" s="4"/>
      <c r="BG24" s="4" t="s">
        <v>138</v>
      </c>
      <c r="BH24" s="4">
        <v>273</v>
      </c>
      <c r="BI24" s="4">
        <f t="shared" si="38"/>
        <v>273</v>
      </c>
      <c r="BJ24" s="31">
        <v>4</v>
      </c>
      <c r="BK24" s="31">
        <v>8</v>
      </c>
      <c r="BL24" s="31">
        <v>6</v>
      </c>
      <c r="BM24">
        <v>439</v>
      </c>
      <c r="BN24">
        <f t="shared" si="16"/>
        <v>554.52631578947364</v>
      </c>
      <c r="BO24">
        <v>385</v>
      </c>
      <c r="BP24">
        <f t="shared" si="17"/>
        <v>486.31578947368416</v>
      </c>
      <c r="BQ24" t="s">
        <v>135</v>
      </c>
    </row>
    <row r="25" spans="1:69" x14ac:dyDescent="0.4">
      <c r="A25" s="3">
        <v>22</v>
      </c>
      <c r="B25" s="3">
        <v>22</v>
      </c>
      <c r="C25" s="4" t="s">
        <v>87</v>
      </c>
      <c r="D25" s="4" t="str">
        <f t="shared" si="24"/>
        <v>J267TC</v>
      </c>
      <c r="E25" s="4" t="s">
        <v>87</v>
      </c>
      <c r="F25" s="4" t="str">
        <f t="shared" si="5"/>
        <v>J267TC5</v>
      </c>
      <c r="G25" s="4" t="s">
        <v>109</v>
      </c>
      <c r="H25" s="5">
        <v>4991068151291</v>
      </c>
      <c r="I25" s="31">
        <v>5</v>
      </c>
      <c r="J25" s="5"/>
      <c r="K25" s="5">
        <v>1</v>
      </c>
      <c r="L25" s="5">
        <v>1</v>
      </c>
      <c r="M25" s="4">
        <v>0</v>
      </c>
      <c r="N25" s="4">
        <v>1710</v>
      </c>
      <c r="O25" s="4">
        <v>1450</v>
      </c>
      <c r="P25" s="6">
        <f t="shared" si="25"/>
        <v>0.15204678362573099</v>
      </c>
      <c r="Q25" s="4" t="s">
        <v>111</v>
      </c>
      <c r="R25" s="4"/>
      <c r="S25" s="4"/>
      <c r="T25" s="4"/>
      <c r="U25" s="4"/>
      <c r="V25" s="4"/>
      <c r="W25" s="4"/>
      <c r="X25" s="4"/>
      <c r="Y25" s="4"/>
      <c r="Z25" s="4">
        <v>0</v>
      </c>
      <c r="AA25" s="4">
        <f t="shared" si="26"/>
        <v>0</v>
      </c>
      <c r="AB25" s="4">
        <v>1870</v>
      </c>
      <c r="AC25" s="4">
        <f t="shared" si="27"/>
        <v>1870</v>
      </c>
      <c r="AD25" s="4"/>
      <c r="AE25" s="19">
        <f t="shared" si="28"/>
        <v>2205</v>
      </c>
      <c r="AF25" s="6">
        <f t="shared" si="29"/>
        <v>0.15192743764172334</v>
      </c>
      <c r="AG25" s="31">
        <v>0</v>
      </c>
      <c r="AH25" s="4">
        <f t="shared" si="30"/>
        <v>1964</v>
      </c>
      <c r="AI25" s="31">
        <f t="shared" si="31"/>
        <v>2532.8827586206894</v>
      </c>
      <c r="AJ25" s="6">
        <f t="shared" si="32"/>
        <v>0.26171079429735222</v>
      </c>
      <c r="AK25" s="7">
        <v>2520</v>
      </c>
      <c r="AL25" s="6">
        <f t="shared" si="33"/>
        <v>0.25793650793650791</v>
      </c>
      <c r="AM25" s="4">
        <f t="shared" si="34"/>
        <v>650</v>
      </c>
      <c r="AN25" s="26"/>
      <c r="AO25" s="6"/>
      <c r="AP25" s="6"/>
      <c r="AQ25" s="6" t="str">
        <f t="shared" si="35"/>
        <v>-</v>
      </c>
      <c r="AR25" s="6">
        <f t="shared" si="36"/>
        <v>1.4736842105263157</v>
      </c>
      <c r="AS25" s="6">
        <f t="shared" si="37"/>
        <v>1.289655172413793</v>
      </c>
      <c r="AT25" s="4"/>
      <c r="AU25" s="4"/>
      <c r="AV25" s="4"/>
      <c r="AW25" s="4"/>
      <c r="AX25" s="4"/>
      <c r="AY25" s="4"/>
      <c r="AZ25" s="4"/>
      <c r="BA25" s="4"/>
      <c r="BB25" s="4"/>
      <c r="BC25" s="31">
        <v>0</v>
      </c>
      <c r="BD25" s="4" t="s">
        <v>163</v>
      </c>
      <c r="BE25" s="4"/>
      <c r="BF25" s="4"/>
      <c r="BG25" s="4" t="s">
        <v>138</v>
      </c>
      <c r="BH25" s="4">
        <v>1964</v>
      </c>
      <c r="BI25" s="4">
        <f t="shared" si="38"/>
        <v>1964</v>
      </c>
      <c r="BJ25" s="31">
        <v>4</v>
      </c>
      <c r="BK25" s="31">
        <v>8</v>
      </c>
      <c r="BL25" s="31">
        <v>6</v>
      </c>
      <c r="BM25" t="s">
        <v>110</v>
      </c>
      <c r="BN25" t="str">
        <f t="shared" si="16"/>
        <v>-</v>
      </c>
      <c r="BO25">
        <v>2311</v>
      </c>
      <c r="BP25">
        <f t="shared" si="17"/>
        <v>2980.3931034482757</v>
      </c>
      <c r="BQ25" t="s">
        <v>136</v>
      </c>
    </row>
  </sheetData>
  <autoFilter ref="A3:BQ3" xr:uid="{7A1660CF-9003-4B2D-B659-7F339ED5B476}"/>
  <mergeCells count="3">
    <mergeCell ref="M2:P2"/>
    <mergeCell ref="K2:L2"/>
    <mergeCell ref="Z1:AC1"/>
  </mergeCells>
  <phoneticPr fontId="2"/>
  <conditionalFormatting sqref="AK4:AK25">
    <cfRule type="cellIs" dxfId="2" priority="4" operator="greaterThan">
      <formula>$AA4</formula>
    </cfRule>
  </conditionalFormatting>
  <conditionalFormatting sqref="AI4:AI25">
    <cfRule type="cellIs" dxfId="1" priority="2" operator="lessThan">
      <formula>$AK4</formula>
    </cfRule>
  </conditionalFormatting>
  <conditionalFormatting sqref="AL4:AL25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2026-07-08T01:20:44Z</dcterms:modified>
</cp:coreProperties>
</file>