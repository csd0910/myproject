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ｻ_桜井_037\価格改定\20260618_7月末_漏れ分\"/>
    </mc:Choice>
  </mc:AlternateContent>
  <xr:revisionPtr revIDLastSave="0" documentId="13_ncr:1_{6EAB2BD6-5BF5-430E-9845-14D0FB10B81C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Sheet1!$A$3:$BT$3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5" i="1" l="1"/>
  <c r="AC6" i="1"/>
  <c r="AC7" i="1"/>
  <c r="AC8" i="1"/>
  <c r="AC4" i="1"/>
  <c r="BJ6" i="1" l="1"/>
  <c r="AH6" i="1" s="1"/>
  <c r="BJ7" i="1"/>
  <c r="AH7" i="1" s="1"/>
  <c r="BJ8" i="1"/>
  <c r="AH8" i="1" s="1"/>
  <c r="AR7" i="1"/>
  <c r="P7" i="1"/>
  <c r="AR8" i="1"/>
  <c r="P8" i="1"/>
  <c r="AA8" i="1"/>
  <c r="AQ8" i="1" s="1"/>
  <c r="D8" i="1"/>
  <c r="F8" i="1" s="1"/>
  <c r="AL7" i="1"/>
  <c r="AA7" i="1"/>
  <c r="D7" i="1"/>
  <c r="F7" i="1" s="1"/>
  <c r="AR6" i="1"/>
  <c r="AM6" i="1"/>
  <c r="AA6" i="1"/>
  <c r="AQ6" i="1" s="1"/>
  <c r="P6" i="1"/>
  <c r="D6" i="1"/>
  <c r="F6" i="1" s="1"/>
  <c r="AL6" i="1" l="1"/>
  <c r="AM7" i="1"/>
  <c r="AS7" i="1"/>
  <c r="BS7" i="1" s="1"/>
  <c r="AQ7" i="1"/>
  <c r="AL8" i="1"/>
  <c r="AS6" i="1"/>
  <c r="AI6" i="1" s="1"/>
  <c r="AJ6" i="1" s="1"/>
  <c r="AM8" i="1"/>
  <c r="AS8" i="1"/>
  <c r="BP7" i="1" l="1"/>
  <c r="AI7" i="1"/>
  <c r="AJ7" i="1" s="1"/>
  <c r="AE7" i="1"/>
  <c r="AF7" i="1" s="1"/>
  <c r="BP8" i="1"/>
  <c r="AE8" i="1"/>
  <c r="AF8" i="1" s="1"/>
  <c r="BS8" i="1"/>
  <c r="BS6" i="1"/>
  <c r="BP6" i="1"/>
  <c r="AE6" i="1"/>
  <c r="AF6" i="1" s="1"/>
  <c r="AI8" i="1"/>
  <c r="AJ8" i="1" s="1"/>
  <c r="AR5" i="1" l="1"/>
  <c r="P5" i="1"/>
  <c r="AR4" i="1"/>
  <c r="AV4" i="1"/>
  <c r="AU4" i="1"/>
  <c r="P4" i="1" l="1"/>
  <c r="AT4" i="1"/>
  <c r="BJ5" i="1" l="1"/>
  <c r="AH5" i="1" s="1"/>
  <c r="BJ4" i="1"/>
  <c r="AH4" i="1" s="1"/>
  <c r="AS5" i="1"/>
  <c r="AA5" i="1"/>
  <c r="AQ5" i="1" s="1"/>
  <c r="D5" i="1"/>
  <c r="F5" i="1" s="1"/>
  <c r="D4" i="1"/>
  <c r="F4" i="1" s="1"/>
  <c r="AS4" i="1"/>
  <c r="AA4" i="1"/>
  <c r="AQ4" i="1" s="1"/>
  <c r="AE5" i="1" l="1"/>
  <c r="AF5" i="1" s="1"/>
  <c r="BP5" i="1"/>
  <c r="BS5" i="1"/>
  <c r="AI4" i="1"/>
  <c r="AJ4" i="1" s="1"/>
  <c r="BP4" i="1"/>
  <c r="BS4" i="1"/>
  <c r="AI5" i="1"/>
  <c r="AJ5" i="1" s="1"/>
  <c r="AL5" i="1"/>
  <c r="AL4" i="1"/>
  <c r="AM5" i="1"/>
  <c r="AO4" i="1"/>
  <c r="AP4" i="1"/>
  <c r="AM4" i="1"/>
  <c r="AE4" i="1"/>
  <c r="AF4" i="1" s="1"/>
</calcChain>
</file>

<file path=xl/sharedStrings.xml><?xml version="1.0" encoding="utf-8"?>
<sst xmlns="http://schemas.openxmlformats.org/spreadsheetml/2006/main" count="123" uniqueCount="85">
  <si>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</si>
  <si>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</si>
  <si>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</si>
  <si>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</si>
  <si>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</si>
  <si>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</si>
  <si>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</si>
  <si>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</si>
  <si>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</si>
  <si>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</si>
  <si>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</si>
  <si>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</si>
  <si>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</si>
  <si>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</si>
  <si>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</si>
  <si>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</si>
  <si>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</si>
  <si>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</si>
  <si>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</si>
  <si>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</si>
  <si>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</si>
  <si>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</si>
  <si>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</si>
  <si>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</si>
  <si>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</si>
  <si>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</si>
  <si>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</si>
  <si>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</si>
  <si>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</si>
  <si>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</si>
  <si>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</si>
  <si>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</si>
  <si>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</si>
  <si>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</si>
  <si>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</si>
  <si>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</si>
  <si>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</si>
  <si>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</si>
  <si>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</si>
  <si>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</si>
  <si>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</si>
  <si>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</si>
  <si>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</si>
  <si>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</si>
  <si>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</si>
  <si>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</si>
  <si>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</si>
  <si>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</si>
  <si>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</si>
  <si>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</si>
  <si>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</si>
  <si>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</si>
  <si>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</si>
  <si>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</si>
  <si>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</si>
  <si>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</si>
  <si>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</si>
  <si>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</si>
  <si>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</si>
  <si>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</si>
  <si>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</si>
  <si>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</si>
  <si>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</si>
  <si>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</si>
  <si>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</si>
  <si>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</si>
  <si>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桜井/ｽﾀｰ建築方眼A3 9.1mmﾌﾞﾙｰ方眼 250枚/KA-323</t>
  </si>
  <si>
    <t>桜井/KB423(50枚*10冊)白(方眼入)ｽﾀｰ建築方眼B4 9.1mm</t>
  </si>
  <si>
    <t>-</t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</si>
  <si>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</si>
  <si>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</si>
  <si>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J086395</t>
  </si>
  <si>
    <t>桜井 スター建築方眼紙 A3 50枚 KA323（直送品）</t>
  </si>
  <si>
    <t>1冊</t>
  </si>
  <si>
    <t>AK09541</t>
  </si>
  <si>
    <t>桜井 スター建築方眼紙 KB423 B4 50枚 1冊（直送品）</t>
  </si>
  <si>
    <t>桜井/ｸﾘﾝﾎﾙﾀﾞｰ Uﾀｲﾌﾟ A3 100枚/CHA3</t>
  </si>
  <si>
    <t>桜井/ｸﾘﾝﾎﾙﾀﾞｰ Uﾀｲﾌﾟ A4 100枚/CHA4</t>
  </si>
  <si>
    <t>●桜井/3CF04[200枚入]/ｸﾘｱｰﾌｨﾙﾑA4 CF300</t>
  </si>
  <si>
    <t>品目+
FW荷姿</t>
    <rPh sb="0" eb="2">
      <t>ヒンモク</t>
    </rPh>
    <rPh sb="6" eb="8">
      <t>ニスガタ</t>
    </rPh>
    <phoneticPr fontId="2"/>
  </si>
  <si>
    <t>-</t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</si>
  <si>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</si>
  <si>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</si>
  <si>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</si>
  <si>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VDなし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</si>
</sst>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176" fontId="0" fillId="4" borderId="4" xfId="0" applyNumberFormat="1" applyFill="1" applyBorder="1">
      <alignment vertical="center"/>
    </xf>
    <xf numFmtId="0" fontId="0" fillId="0" borderId="21" xfId="0" applyBorder="1">
      <alignment vertical="center"/>
    </xf>
    <xf numFmtId="0" fontId="0" fillId="0" borderId="18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6" borderId="2" xfId="0" applyFill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8" xfId="0" applyBorder="1" applyAlignment="1">
      <alignment vertical="center" wrapText="1"/>
    </xf>
  </cellXfs>
  <cellStyles count="1">
    <cellStyle name="標準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T8"/>
  <sheetViews>
    <sheetView tabSelected="1" zoomScale="90" zoomScaleNormal="90" workbookViewId="0">
      <pane xSplit="8" ySplit="5" topLeftCell="N6" activePane="bottomRight" state="frozen"/>
      <selection pane="topRight" activeCell="G1" sqref="G1"/>
      <selection pane="bottomLeft" activeCell="A5" sqref="A5"/>
      <selection pane="bottomRight" activeCell="AE1" sqref="AE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29" customWidth="1"/>
    <col min="34" max="34" width="7.625" customWidth="1"/>
    <col min="35" max="35" width="7.625" style="29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5" width="7.625" customWidth="1"/>
    <col min="66" max="66" width="7.625" hidden="1" customWidth="1" outlineLevel="1"/>
    <col min="67" max="67" width="7.625" customWidth="1" collapsed="1"/>
    <col min="68" max="68" width="7.625" customWidth="1"/>
    <col min="69" max="69" width="7.625" hidden="1" customWidth="1" outlineLevel="1"/>
    <col min="70" max="70" width="7.625" customWidth="1" collapsed="1"/>
    <col min="71" max="71" width="7.625" customWidth="1"/>
  </cols>
  <sheetData>
    <row r="1" spans="1:72" x14ac:dyDescent="0.4">
      <c r="C1" s="28" t="s">
        <v>43</v>
      </c>
      <c r="Z1" s="45" t="s">
        <v>40</v>
      </c>
      <c r="AA1" s="46"/>
      <c r="AB1" s="46"/>
      <c r="AC1" s="47"/>
      <c r="AS1" t="s">
        <v>84</v>
      </c>
    </row>
    <row r="2" spans="1:72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5"/>
      <c r="J2" s="35"/>
      <c r="K2" s="42" t="s">
        <v>31</v>
      </c>
      <c r="L2" s="44"/>
      <c r="M2" s="42" t="s">
        <v>1</v>
      </c>
      <c r="N2" s="43"/>
      <c r="O2" s="43"/>
      <c r="P2" s="44"/>
      <c r="Q2" s="11"/>
      <c r="R2" s="34"/>
      <c r="S2" s="34"/>
      <c r="T2" s="34"/>
      <c r="U2" s="34"/>
      <c r="V2" s="34"/>
      <c r="W2" s="34"/>
      <c r="X2" s="34"/>
      <c r="Y2" s="34"/>
      <c r="Z2" s="22"/>
      <c r="AA2" s="23" t="s">
        <v>34</v>
      </c>
      <c r="AB2" s="23"/>
      <c r="AC2" s="24" t="s">
        <v>34</v>
      </c>
      <c r="AD2" s="10"/>
      <c r="AE2" s="9" t="s">
        <v>39</v>
      </c>
      <c r="AF2" s="11"/>
      <c r="AG2" s="30"/>
      <c r="AH2" s="11"/>
      <c r="AI2" s="30"/>
      <c r="AJ2" s="11"/>
      <c r="AK2" s="21" t="s">
        <v>41</v>
      </c>
      <c r="AL2" s="11"/>
      <c r="AM2" s="11"/>
      <c r="AN2" s="26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72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48" t="s">
        <v>79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64</v>
      </c>
      <c r="N3" s="2" t="s">
        <v>5</v>
      </c>
      <c r="O3" s="2" t="s">
        <v>62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60</v>
      </c>
      <c r="AA3" s="12" t="s">
        <v>61</v>
      </c>
      <c r="AB3" s="2" t="s">
        <v>62</v>
      </c>
      <c r="AC3" s="12" t="s">
        <v>63</v>
      </c>
      <c r="AD3" s="14" t="s">
        <v>3</v>
      </c>
      <c r="AE3" s="19" t="s">
        <v>14</v>
      </c>
      <c r="AF3" s="2" t="s">
        <v>13</v>
      </c>
      <c r="AG3" s="31" t="s">
        <v>44</v>
      </c>
      <c r="AH3" s="12" t="s">
        <v>65</v>
      </c>
      <c r="AI3" s="36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5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57</v>
      </c>
      <c r="BI3" s="2" t="s">
        <v>81</v>
      </c>
      <c r="BJ3" s="2" t="s">
        <v>12</v>
      </c>
      <c r="BK3" s="17" t="s">
        <v>45</v>
      </c>
      <c r="BL3" s="17" t="s">
        <v>46</v>
      </c>
      <c r="BM3" s="15" t="s">
        <v>52</v>
      </c>
      <c r="BN3" s="50" t="s">
        <v>69</v>
      </c>
      <c r="BO3" s="37" t="s">
        <v>82</v>
      </c>
      <c r="BP3" s="38" t="s">
        <v>58</v>
      </c>
      <c r="BQ3" s="38" t="s">
        <v>70</v>
      </c>
      <c r="BR3" s="38" t="s">
        <v>83</v>
      </c>
      <c r="BS3" s="38" t="s">
        <v>59</v>
      </c>
      <c r="BT3" s="33" t="s">
        <v>50</v>
      </c>
    </row>
    <row r="4" spans="1:72" x14ac:dyDescent="0.4">
      <c r="A4" s="3">
        <v>1</v>
      </c>
      <c r="B4" s="3">
        <v>1</v>
      </c>
      <c r="C4" s="4">
        <v>607035</v>
      </c>
      <c r="D4" s="4" t="str">
        <f>TEXT(C4,"000000")</f>
        <v>607035</v>
      </c>
      <c r="E4" s="4">
        <v>607035</v>
      </c>
      <c r="F4" s="4" t="str">
        <f>D4&amp;I4</f>
        <v>6070355</v>
      </c>
      <c r="G4" s="4" t="s">
        <v>66</v>
      </c>
      <c r="H4" s="5">
        <v>4955888618204</v>
      </c>
      <c r="I4" s="5">
        <v>5</v>
      </c>
      <c r="J4" s="5"/>
      <c r="K4" s="5">
        <v>1</v>
      </c>
      <c r="L4" s="5">
        <v>1</v>
      </c>
      <c r="M4" s="4">
        <v>11000</v>
      </c>
      <c r="N4" s="4">
        <v>8450</v>
      </c>
      <c r="O4" s="4">
        <v>6600</v>
      </c>
      <c r="P4" s="6">
        <f>IFERROR(1-O4/N4,"-")</f>
        <v>0.21893491124260356</v>
      </c>
      <c r="Q4" s="4" t="s">
        <v>68</v>
      </c>
      <c r="R4" s="4"/>
      <c r="S4" s="4"/>
      <c r="T4" s="4"/>
      <c r="U4" s="4"/>
      <c r="V4" s="4"/>
      <c r="W4" s="4"/>
      <c r="X4" s="4"/>
      <c r="Y4" s="4"/>
      <c r="Z4" s="4">
        <v>2700</v>
      </c>
      <c r="AA4" s="4">
        <f>IF(AD4="",Z4,Z4*AD4)</f>
        <v>13500</v>
      </c>
      <c r="AB4" s="4">
        <v>1620</v>
      </c>
      <c r="AC4" s="4">
        <f>IF(AD4="",AB4,AB4*AD4)</f>
        <v>8100</v>
      </c>
      <c r="AD4" s="4">
        <v>5</v>
      </c>
      <c r="AE4" s="20">
        <f t="shared" ref="AE4:AE8" si="0">ROUND(N4*AS4,0)</f>
        <v>10370</v>
      </c>
      <c r="AF4" s="6">
        <f>IFERROR(1-AC4/AE4,"-")</f>
        <v>0.21890067502410804</v>
      </c>
      <c r="AG4" s="32">
        <v>5</v>
      </c>
      <c r="AH4" s="4">
        <f>BJ4</f>
        <v>13495</v>
      </c>
      <c r="AI4" s="32">
        <f>IFERROR(AH4*AS4,"-")</f>
        <v>16562.045454545456</v>
      </c>
      <c r="AJ4" s="6">
        <f>IFERROR(1-AC4/AI4,"-")</f>
        <v>0.51092997406446838</v>
      </c>
      <c r="AK4" s="7">
        <v>12800</v>
      </c>
      <c r="AL4" s="6">
        <f t="shared" ref="AL4:AL8" si="1">1-AC4/AK4</f>
        <v>0.3671875</v>
      </c>
      <c r="AM4" s="4">
        <f t="shared" ref="AM4:AM8" si="2">AK4-AC4</f>
        <v>4700</v>
      </c>
      <c r="AN4" s="27"/>
      <c r="AO4" s="6" t="e">
        <f>1-AC4/AN4</f>
        <v>#DIV/0!</v>
      </c>
      <c r="AP4" s="4">
        <f>AN4-AC4</f>
        <v>-8100</v>
      </c>
      <c r="AQ4" s="6">
        <f>IFERROR(AA4/M4,"-")</f>
        <v>1.2272727272727273</v>
      </c>
      <c r="AR4" s="6">
        <f>IFERROR(AK4/N4,"-")</f>
        <v>1.514792899408284</v>
      </c>
      <c r="AS4" s="6">
        <f>IFERROR(AC4/O4,"-")</f>
        <v>1.2272727272727273</v>
      </c>
      <c r="AT4" s="4" t="str">
        <f>IFERROR(ROUND($AK4*Q4/$N4,0),"-")</f>
        <v>-</v>
      </c>
      <c r="AU4" s="4" t="str">
        <f>IF(R4="","-",R4)</f>
        <v>-</v>
      </c>
      <c r="AV4" s="4" t="str">
        <f>IF(S4="","-",S4)</f>
        <v>-</v>
      </c>
      <c r="AW4" s="4"/>
      <c r="AX4" s="4"/>
      <c r="AY4" s="4"/>
      <c r="AZ4" s="4"/>
      <c r="BA4" s="4"/>
      <c r="BB4" s="4"/>
      <c r="BC4" s="4">
        <v>0</v>
      </c>
      <c r="BD4" s="4" t="s">
        <v>71</v>
      </c>
      <c r="BE4" s="4">
        <v>5</v>
      </c>
      <c r="BF4" s="4">
        <v>1</v>
      </c>
      <c r="BG4" s="4" t="s">
        <v>73</v>
      </c>
      <c r="BH4" s="4">
        <v>2699</v>
      </c>
      <c r="BI4" s="4">
        <v>2699</v>
      </c>
      <c r="BJ4" s="4">
        <f>IF(BE4="",BI4,BE4/BF4*BI4)</f>
        <v>13495</v>
      </c>
      <c r="BK4" s="18">
        <v>4</v>
      </c>
      <c r="BL4" s="18">
        <v>1</v>
      </c>
      <c r="BM4" s="16">
        <v>6</v>
      </c>
      <c r="BN4" s="49" t="s">
        <v>80</v>
      </c>
      <c r="BO4" t="s">
        <v>80</v>
      </c>
      <c r="BP4" t="str">
        <f>IFERROR(BO4*AS4,"-")</f>
        <v>-</v>
      </c>
      <c r="BQ4">
        <v>10450</v>
      </c>
      <c r="BR4">
        <v>10450</v>
      </c>
      <c r="BS4">
        <f>IFERROR(BR4*AS4,"-")</f>
        <v>12825</v>
      </c>
      <c r="BT4" t="s">
        <v>72</v>
      </c>
    </row>
    <row r="5" spans="1:72" x14ac:dyDescent="0.4">
      <c r="A5" s="3">
        <v>2</v>
      </c>
      <c r="B5" s="3">
        <v>2</v>
      </c>
      <c r="C5" s="4">
        <v>428163</v>
      </c>
      <c r="D5" s="4" t="str">
        <f t="shared" ref="D5" si="3">TEXT(C5,"000000")</f>
        <v>428163</v>
      </c>
      <c r="E5" s="4">
        <v>428163</v>
      </c>
      <c r="F5" s="4" t="str">
        <f t="shared" ref="F5:F8" si="4">D5&amp;I5</f>
        <v>4281635</v>
      </c>
      <c r="G5" s="4" t="s">
        <v>67</v>
      </c>
      <c r="H5" s="5">
        <v>4955888502992</v>
      </c>
      <c r="I5" s="5">
        <v>5</v>
      </c>
      <c r="J5" s="5"/>
      <c r="K5" s="39">
        <v>2</v>
      </c>
      <c r="L5" s="39">
        <v>2</v>
      </c>
      <c r="M5" s="4">
        <v>13000</v>
      </c>
      <c r="N5" s="4">
        <v>10608</v>
      </c>
      <c r="O5" s="4">
        <v>7800</v>
      </c>
      <c r="P5" s="6">
        <f t="shared" ref="P5" si="5">IFERROR(1-O5/N5,"-")</f>
        <v>0.26470588235294112</v>
      </c>
      <c r="Q5" s="4" t="s">
        <v>68</v>
      </c>
      <c r="R5" s="4"/>
      <c r="S5" s="4"/>
      <c r="T5" s="4"/>
      <c r="U5" s="4"/>
      <c r="V5" s="4"/>
      <c r="W5" s="4"/>
      <c r="X5" s="4"/>
      <c r="Y5" s="4"/>
      <c r="Z5" s="4">
        <v>1800</v>
      </c>
      <c r="AA5" s="4">
        <f t="shared" ref="AA5" si="6">IF(AD5="",Z5,Z5*AD5)</f>
        <v>18000</v>
      </c>
      <c r="AB5" s="4">
        <v>1080</v>
      </c>
      <c r="AC5" s="4">
        <f t="shared" ref="AC5:AC8" si="7">IF(AD5="",AB5,AB5*AD5)</f>
        <v>10800</v>
      </c>
      <c r="AD5" s="4">
        <v>10</v>
      </c>
      <c r="AE5" s="20">
        <f t="shared" si="0"/>
        <v>14688</v>
      </c>
      <c r="AF5" s="6">
        <f t="shared" ref="AF5" si="8">IFERROR(1-AC5/AE5,"-")</f>
        <v>0.26470588235294112</v>
      </c>
      <c r="AG5" s="32">
        <v>1.5</v>
      </c>
      <c r="AH5" s="4">
        <f t="shared" ref="AH5" si="9">BJ5</f>
        <v>18000</v>
      </c>
      <c r="AI5" s="32">
        <f t="shared" ref="AI5" si="10">IFERROR(AH5*AS5,"-")</f>
        <v>24923.076923076922</v>
      </c>
      <c r="AJ5" s="6">
        <f t="shared" ref="AJ5" si="11">IFERROR(1-AC5/AI5,"-")</f>
        <v>0.56666666666666665</v>
      </c>
      <c r="AK5" s="7">
        <v>17000</v>
      </c>
      <c r="AL5" s="6">
        <f t="shared" si="1"/>
        <v>0.36470588235294121</v>
      </c>
      <c r="AM5" s="4">
        <f t="shared" si="2"/>
        <v>6200</v>
      </c>
      <c r="AN5" s="27"/>
      <c r="AO5" s="6"/>
      <c r="AP5" s="6"/>
      <c r="AQ5" s="6">
        <f t="shared" ref="AQ5" si="12">IFERROR(AA5/M5,"-")</f>
        <v>1.3846153846153846</v>
      </c>
      <c r="AR5" s="6">
        <f t="shared" ref="AR5" si="13">IFERROR(AK5/N5,"-")</f>
        <v>1.6025641025641026</v>
      </c>
      <c r="AS5" s="6">
        <f t="shared" ref="AS5" si="14">IFERROR(AC5/O5,"-")</f>
        <v>1.3846153846153846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74</v>
      </c>
      <c r="BE5" s="4">
        <v>10</v>
      </c>
      <c r="BF5" s="4">
        <v>1</v>
      </c>
      <c r="BG5" s="4" t="s">
        <v>73</v>
      </c>
      <c r="BH5" s="4">
        <v>1800</v>
      </c>
      <c r="BI5" s="4">
        <v>1800</v>
      </c>
      <c r="BJ5" s="4">
        <f>IF(BE5="",BI5,BE5/BF5*BI5)</f>
        <v>18000</v>
      </c>
      <c r="BK5" s="18">
        <v>4</v>
      </c>
      <c r="BL5" s="18">
        <v>8</v>
      </c>
      <c r="BM5" s="16">
        <v>4</v>
      </c>
      <c r="BN5" s="49" t="s">
        <v>80</v>
      </c>
      <c r="BO5" t="s">
        <v>80</v>
      </c>
      <c r="BP5" t="str">
        <f>IFERROR(BO5*AS5,"-")</f>
        <v>-</v>
      </c>
      <c r="BQ5">
        <v>12350</v>
      </c>
      <c r="BR5">
        <v>12350</v>
      </c>
      <c r="BS5">
        <f>IFERROR(BR5*AS5,"-")</f>
        <v>17100</v>
      </c>
      <c r="BT5" t="s">
        <v>75</v>
      </c>
    </row>
    <row r="6" spans="1:72" x14ac:dyDescent="0.4">
      <c r="A6" s="3">
        <v>2</v>
      </c>
      <c r="B6" s="3">
        <v>2</v>
      </c>
      <c r="C6" s="4">
        <v>21332</v>
      </c>
      <c r="D6" s="4" t="str">
        <f t="shared" ref="D6:D8" si="15">TEXT(C6,"000000")</f>
        <v>021332</v>
      </c>
      <c r="E6" s="4">
        <v>21332</v>
      </c>
      <c r="F6" s="4" t="str">
        <f t="shared" si="4"/>
        <v>0213321</v>
      </c>
      <c r="G6" s="4" t="s">
        <v>76</v>
      </c>
      <c r="H6" s="5">
        <v>4955888531824</v>
      </c>
      <c r="I6" s="5">
        <v>1</v>
      </c>
      <c r="J6" s="5"/>
      <c r="K6" s="39">
        <v>2</v>
      </c>
      <c r="L6" s="39">
        <v>2</v>
      </c>
      <c r="M6" s="4">
        <v>3900</v>
      </c>
      <c r="N6" s="4">
        <v>3900</v>
      </c>
      <c r="O6" s="4">
        <v>2640</v>
      </c>
      <c r="P6" s="6">
        <f t="shared" ref="P6:P8" si="16">IFERROR(1-O6/N6,"-")</f>
        <v>0.32307692307692304</v>
      </c>
      <c r="Q6" s="4" t="s">
        <v>68</v>
      </c>
      <c r="R6" s="4"/>
      <c r="S6" s="4"/>
      <c r="T6" s="4"/>
      <c r="U6" s="4"/>
      <c r="V6" s="4"/>
      <c r="W6" s="4"/>
      <c r="X6" s="4"/>
      <c r="Y6" s="4"/>
      <c r="Z6" s="4">
        <v>5000</v>
      </c>
      <c r="AA6" s="4">
        <f t="shared" ref="AA6:AA8" si="17">IF(AD6="",Z6,Z6*AD6)</f>
        <v>5000</v>
      </c>
      <c r="AB6" s="4">
        <v>3000</v>
      </c>
      <c r="AC6" s="4">
        <f t="shared" si="7"/>
        <v>3000</v>
      </c>
      <c r="AD6" s="4"/>
      <c r="AE6" s="20">
        <f t="shared" si="0"/>
        <v>4432</v>
      </c>
      <c r="AF6" s="6">
        <f t="shared" ref="AF6:AF8" si="18">IFERROR(1-AC6/AE6,"-")</f>
        <v>0.32310469314079426</v>
      </c>
      <c r="AG6" s="4">
        <v>0.5</v>
      </c>
      <c r="AH6" s="4" t="str">
        <f t="shared" ref="AH6:AH8" si="19">BJ6</f>
        <v>-</v>
      </c>
      <c r="AI6" s="4" t="str">
        <f t="shared" ref="AI6:AI8" si="20">IFERROR(AH6*AS6,"-")</f>
        <v>-</v>
      </c>
      <c r="AJ6" s="6" t="str">
        <f t="shared" ref="AJ6:AJ8" si="21">IFERROR(1-AC6/AI6,"-")</f>
        <v>-</v>
      </c>
      <c r="AK6" s="7">
        <v>4500</v>
      </c>
      <c r="AL6" s="6">
        <f t="shared" si="1"/>
        <v>0.33333333333333337</v>
      </c>
      <c r="AM6" s="4">
        <f t="shared" si="2"/>
        <v>1500</v>
      </c>
      <c r="AN6" s="27"/>
      <c r="AO6" s="6"/>
      <c r="AP6" s="6"/>
      <c r="AQ6" s="6">
        <f t="shared" ref="AQ6:AQ8" si="22">IFERROR(AA6/M6,"-")</f>
        <v>1.2820512820512822</v>
      </c>
      <c r="AR6" s="6">
        <f t="shared" ref="AR6:AR8" si="23">IFERROR(AK6/N6,"-")</f>
        <v>1.1538461538461537</v>
      </c>
      <c r="AS6" s="6">
        <f t="shared" ref="AS6:AS8" si="24">IFERROR(AC6/O6,"-")</f>
        <v>1.1363636363636365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68</v>
      </c>
      <c r="BE6" s="4"/>
      <c r="BF6" s="4"/>
      <c r="BG6" s="4" t="s">
        <v>68</v>
      </c>
      <c r="BH6" s="4" t="s">
        <v>68</v>
      </c>
      <c r="BI6" s="4" t="s">
        <v>80</v>
      </c>
      <c r="BJ6" s="4" t="str">
        <f>IF(BE6="",BI6,BE6/BF6*BI6)</f>
        <v>-</v>
      </c>
      <c r="BK6" s="18">
        <v>4</v>
      </c>
      <c r="BL6" s="18">
        <v>1</v>
      </c>
      <c r="BM6" s="16">
        <v>3</v>
      </c>
      <c r="BN6" s="49" t="s">
        <v>80</v>
      </c>
      <c r="BO6" t="s">
        <v>80</v>
      </c>
      <c r="BP6" t="str">
        <f>IFERROR(BO6*AS6,"-")</f>
        <v>-</v>
      </c>
      <c r="BQ6">
        <v>3325</v>
      </c>
      <c r="BR6">
        <v>3325</v>
      </c>
      <c r="BS6">
        <f t="shared" ref="BS6:BS8" si="25">IFERROR(BR6*AS6,"-")</f>
        <v>3778.4090909090914</v>
      </c>
      <c r="BT6" t="s">
        <v>68</v>
      </c>
    </row>
    <row r="7" spans="1:72" x14ac:dyDescent="0.4">
      <c r="A7" s="3">
        <v>3</v>
      </c>
      <c r="B7" s="3">
        <v>3</v>
      </c>
      <c r="C7" s="40">
        <v>683731</v>
      </c>
      <c r="D7" s="4" t="str">
        <f t="shared" si="15"/>
        <v>683731</v>
      </c>
      <c r="E7" s="4">
        <v>683731</v>
      </c>
      <c r="F7" s="4" t="str">
        <f t="shared" si="4"/>
        <v>6837315</v>
      </c>
      <c r="G7" s="4" t="s">
        <v>77</v>
      </c>
      <c r="H7" s="5">
        <v>4955888531831</v>
      </c>
      <c r="I7" s="5">
        <v>5</v>
      </c>
      <c r="J7" s="5"/>
      <c r="K7" s="5">
        <v>1</v>
      </c>
      <c r="L7" s="5">
        <v>1</v>
      </c>
      <c r="M7" s="4">
        <v>2200</v>
      </c>
      <c r="N7" s="4">
        <v>2200</v>
      </c>
      <c r="O7" s="4">
        <v>1560</v>
      </c>
      <c r="P7" s="6">
        <f t="shared" si="16"/>
        <v>0.29090909090909089</v>
      </c>
      <c r="Q7" s="4" t="s">
        <v>68</v>
      </c>
      <c r="R7" s="4"/>
      <c r="S7" s="4"/>
      <c r="T7" s="4"/>
      <c r="U7" s="4"/>
      <c r="V7" s="4"/>
      <c r="W7" s="4"/>
      <c r="X7" s="4"/>
      <c r="Y7" s="4"/>
      <c r="Z7" s="4">
        <v>2900</v>
      </c>
      <c r="AA7" s="4">
        <f t="shared" si="17"/>
        <v>2900</v>
      </c>
      <c r="AB7" s="4">
        <v>1740</v>
      </c>
      <c r="AC7" s="4">
        <f t="shared" si="7"/>
        <v>1740</v>
      </c>
      <c r="AD7" s="4"/>
      <c r="AE7" s="20">
        <f t="shared" si="0"/>
        <v>2454</v>
      </c>
      <c r="AF7" s="6">
        <f t="shared" si="18"/>
        <v>0.29095354523227379</v>
      </c>
      <c r="AG7" s="4">
        <v>5.75</v>
      </c>
      <c r="AH7" s="4" t="str">
        <f t="shared" si="19"/>
        <v>-</v>
      </c>
      <c r="AI7" s="4" t="str">
        <f t="shared" si="20"/>
        <v>-</v>
      </c>
      <c r="AJ7" s="6" t="str">
        <f t="shared" si="21"/>
        <v>-</v>
      </c>
      <c r="AK7" s="7">
        <v>2600</v>
      </c>
      <c r="AL7" s="6">
        <f t="shared" si="1"/>
        <v>0.33076923076923082</v>
      </c>
      <c r="AM7" s="4">
        <f t="shared" si="2"/>
        <v>860</v>
      </c>
      <c r="AN7" s="27"/>
      <c r="AO7" s="6"/>
      <c r="AP7" s="6"/>
      <c r="AQ7" s="6">
        <f t="shared" si="22"/>
        <v>1.3181818181818181</v>
      </c>
      <c r="AR7" s="6">
        <f t="shared" si="23"/>
        <v>1.1818181818181819</v>
      </c>
      <c r="AS7" s="6">
        <f t="shared" si="24"/>
        <v>1.1153846153846154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68</v>
      </c>
      <c r="BE7" s="4"/>
      <c r="BF7" s="4"/>
      <c r="BG7" s="4" t="s">
        <v>68</v>
      </c>
      <c r="BH7" s="4" t="s">
        <v>68</v>
      </c>
      <c r="BI7" s="4" t="s">
        <v>80</v>
      </c>
      <c r="BJ7" s="4" t="str">
        <f>IF(BE7="",BI7,BE7/BF7*BI7)</f>
        <v>-</v>
      </c>
      <c r="BK7" s="18">
        <v>4</v>
      </c>
      <c r="BL7" s="18">
        <v>1</v>
      </c>
      <c r="BM7" s="16">
        <v>3</v>
      </c>
      <c r="BN7" s="49" t="s">
        <v>80</v>
      </c>
      <c r="BO7" t="s">
        <v>80</v>
      </c>
      <c r="BP7" t="str">
        <f t="shared" ref="BP7:BP8" si="26">IFERROR(BO7*AS7,"-")</f>
        <v>-</v>
      </c>
      <c r="BQ7">
        <v>1900</v>
      </c>
      <c r="BR7">
        <v>1900</v>
      </c>
      <c r="BS7">
        <f t="shared" si="25"/>
        <v>2119.2307692307695</v>
      </c>
      <c r="BT7" t="s">
        <v>68</v>
      </c>
    </row>
    <row r="8" spans="1:72" x14ac:dyDescent="0.4">
      <c r="A8" s="3">
        <v>4</v>
      </c>
      <c r="B8" s="3">
        <v>4</v>
      </c>
      <c r="C8" s="40">
        <v>20981</v>
      </c>
      <c r="D8" s="4" t="str">
        <f t="shared" si="15"/>
        <v>020981</v>
      </c>
      <c r="E8" s="4">
        <v>20981</v>
      </c>
      <c r="F8" s="4" t="str">
        <f t="shared" si="4"/>
        <v>0209811</v>
      </c>
      <c r="G8" s="4" t="s">
        <v>78</v>
      </c>
      <c r="H8" s="5">
        <v>4955888536607</v>
      </c>
      <c r="I8" s="5">
        <v>1</v>
      </c>
      <c r="J8" s="5"/>
      <c r="K8" s="5">
        <v>1</v>
      </c>
      <c r="L8" s="5">
        <v>1</v>
      </c>
      <c r="M8" s="4">
        <v>5500</v>
      </c>
      <c r="N8" s="4">
        <v>4400</v>
      </c>
      <c r="O8" s="4">
        <v>3300</v>
      </c>
      <c r="P8" s="6">
        <f t="shared" si="16"/>
        <v>0.25</v>
      </c>
      <c r="Q8" s="4" t="s">
        <v>68</v>
      </c>
      <c r="R8" s="4"/>
      <c r="S8" s="4"/>
      <c r="T8" s="4"/>
      <c r="U8" s="4"/>
      <c r="V8" s="4"/>
      <c r="W8" s="4"/>
      <c r="X8" s="4"/>
      <c r="Y8" s="4"/>
      <c r="Z8" s="4">
        <v>7150</v>
      </c>
      <c r="AA8" s="4">
        <f t="shared" si="17"/>
        <v>7150</v>
      </c>
      <c r="AB8" s="4">
        <v>4290</v>
      </c>
      <c r="AC8" s="4">
        <f t="shared" si="7"/>
        <v>4290</v>
      </c>
      <c r="AD8" s="4"/>
      <c r="AE8" s="20">
        <f t="shared" si="0"/>
        <v>5720</v>
      </c>
      <c r="AF8" s="6">
        <f t="shared" si="18"/>
        <v>0.25</v>
      </c>
      <c r="AG8" s="4">
        <v>0</v>
      </c>
      <c r="AH8" s="4" t="str">
        <f t="shared" si="19"/>
        <v>-</v>
      </c>
      <c r="AI8" s="4" t="str">
        <f t="shared" si="20"/>
        <v>-</v>
      </c>
      <c r="AJ8" s="6" t="str">
        <f t="shared" si="21"/>
        <v>-</v>
      </c>
      <c r="AK8" s="7">
        <v>6400</v>
      </c>
      <c r="AL8" s="6">
        <f t="shared" si="1"/>
        <v>0.32968750000000002</v>
      </c>
      <c r="AM8" s="4">
        <f t="shared" si="2"/>
        <v>2110</v>
      </c>
      <c r="AN8" s="27"/>
      <c r="AO8" s="6"/>
      <c r="AP8" s="6"/>
      <c r="AQ8" s="6">
        <f t="shared" si="22"/>
        <v>1.3</v>
      </c>
      <c r="AR8" s="6">
        <f t="shared" si="23"/>
        <v>1.4545454545454546</v>
      </c>
      <c r="AS8" s="6">
        <f t="shared" si="24"/>
        <v>1.3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68</v>
      </c>
      <c r="BE8" s="4"/>
      <c r="BF8" s="4"/>
      <c r="BG8" s="4" t="s">
        <v>68</v>
      </c>
      <c r="BH8" s="4" t="s">
        <v>68</v>
      </c>
      <c r="BI8" s="4" t="s">
        <v>80</v>
      </c>
      <c r="BJ8" s="4" t="str">
        <f>IF(BE8="",BI8,BE8/BF8*BI8)</f>
        <v>-</v>
      </c>
      <c r="BK8" s="18">
        <v>4</v>
      </c>
      <c r="BL8" s="18">
        <v>8</v>
      </c>
      <c r="BM8" s="16">
        <v>6</v>
      </c>
      <c r="BN8" s="41">
        <v>4950</v>
      </c>
      <c r="BO8">
        <v>6435</v>
      </c>
      <c r="BP8">
        <f t="shared" si="26"/>
        <v>8365.5</v>
      </c>
      <c r="BQ8">
        <v>5225</v>
      </c>
      <c r="BR8">
        <v>5225</v>
      </c>
      <c r="BS8">
        <f t="shared" si="25"/>
        <v>6792.5</v>
      </c>
      <c r="BT8" t="s">
        <v>68</v>
      </c>
    </row>
  </sheetData>
  <autoFilter ref="A3:BT3" xr:uid="{7A1660CF-9003-4B2D-B659-7F339ED5B476}"/>
  <mergeCells count="3">
    <mergeCell ref="M2:P2"/>
    <mergeCell ref="K2:L2"/>
    <mergeCell ref="Z1:AC1"/>
  </mergeCells>
  <phoneticPr fontId="2"/>
  <conditionalFormatting sqref="AK4:AK8">
    <cfRule type="cellIs" dxfId="4" priority="9" operator="greaterThan">
      <formula>$AA4</formula>
    </cfRule>
  </conditionalFormatting>
  <conditionalFormatting sqref="AI4:AI8">
    <cfRule type="cellIs" dxfId="3" priority="7" operator="lessThan">
      <formula>$AK4</formula>
    </cfRule>
  </conditionalFormatting>
  <conditionalFormatting sqref="AL4:AL8">
    <cfRule type="cellIs" dxfId="2" priority="6" operator="lessThan">
      <formula>0.2</formula>
    </cfRule>
  </conditionalFormatting>
  <conditionalFormatting sqref="BO4:BO8">
    <cfRule type="cellIs" dxfId="1" priority="2" operator="notEqual">
      <formula>$BN4</formula>
    </cfRule>
  </conditionalFormatting>
  <conditionalFormatting sqref="BR4:BR8">
    <cfRule type="cellIs" dxfId="0" priority="1" operator="notEqual">
      <formula>$BQ4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2026-07-03T03:16:42Z</dcterms:modified>
</cp:coreProperties>
</file>