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0.0%"/>
  </numFmts>
  <fonts count="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b val="1"/>
      <color theme="3"/>
      <sz val="15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5999938962981048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6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0" fontId="0" fillId="2" borderId="2" applyAlignment="1" pivotButton="0" quotePrefix="0" xfId="0">
      <alignment vertical="center"/>
    </xf>
    <xf numFmtId="0" fontId="0" fillId="3" borderId="2" applyAlignment="1" pivotButton="0" quotePrefix="0" xfId="0">
      <alignment vertical="center" wrapText="1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4" borderId="2" applyAlignment="1" pivotButton="0" quotePrefix="0" xfId="0">
      <alignment vertical="center" wrapText="1"/>
    </xf>
    <xf numFmtId="0" fontId="0" fillId="4" borderId="4" applyAlignment="1" pivotButton="0" quotePrefix="0" xfId="0">
      <alignment vertical="center"/>
    </xf>
    <xf numFmtId="0" fontId="0" fillId="2" borderId="6" applyAlignment="1" pivotButton="0" quotePrefix="0" xfId="0">
      <alignment horizontal="center" vertical="center"/>
    </xf>
    <xf numFmtId="0" fontId="0" fillId="2" borderId="13" applyAlignment="1" pivotButton="0" quotePrefix="0" xfId="0">
      <alignment vertical="center"/>
    </xf>
    <xf numFmtId="0" fontId="0" fillId="2" borderId="15" applyAlignment="1" pivotButton="0" quotePrefix="0" xfId="0">
      <alignment vertical="center"/>
    </xf>
    <xf numFmtId="0" fontId="0" fillId="2" borderId="14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0" fillId="5" borderId="6" applyAlignment="1" pivotButton="0" quotePrefix="0" xfId="0">
      <alignment horizontal="center" vertical="center"/>
    </xf>
    <xf numFmtId="0" fontId="0" fillId="5" borderId="4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vertical="center"/>
    </xf>
    <xf numFmtId="0" fontId="0" fillId="0" borderId="19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6" borderId="2" applyAlignment="1" pivotButton="0" quotePrefix="0" xfId="0">
      <alignment vertical="center" wrapText="1"/>
    </xf>
    <xf numFmtId="0" fontId="0" fillId="3" borderId="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7" borderId="3" applyAlignment="1" pivotButton="0" quotePrefix="0" xfId="0">
      <alignment vertical="center"/>
    </xf>
    <xf numFmtId="0" fontId="0" fillId="7" borderId="4" applyAlignment="1" pivotButton="0" quotePrefix="0" xfId="0">
      <alignment vertical="center"/>
    </xf>
    <xf numFmtId="0" fontId="0" fillId="6" borderId="3" applyAlignment="1" pivotButton="0" quotePrefix="0" xfId="0">
      <alignment vertical="center"/>
    </xf>
    <xf numFmtId="165" fontId="0" fillId="6" borderId="4" applyAlignment="1" pivotButton="0" quotePrefix="0" xfId="0">
      <alignment vertical="center"/>
    </xf>
    <xf numFmtId="165" fontId="0" fillId="8" borderId="4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2" borderId="15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0" pivotButton="0" quotePrefix="0" xfId="0"/>
    <xf numFmtId="0" fontId="0" fillId="2" borderId="23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17" pivotButton="0" quotePrefix="0" xfId="0"/>
    <xf numFmtId="0" fontId="0" fillId="0" borderId="22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64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5" fontId="0" fillId="8" borderId="4" applyAlignment="1" pivotButton="0" quotePrefix="0" xfId="0">
      <alignment vertical="center"/>
    </xf>
    <xf numFmtId="165" fontId="0" fillId="6" borderId="4" applyAlignment="1" pivotButton="0" quotePrefix="0" xfId="0">
      <alignment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77"/>
  <sheetViews>
    <sheetView tabSelected="1" zoomScale="90" zoomScaleNormal="90" workbookViewId="0">
      <pane xSplit="9" ySplit="5" topLeftCell="R155" activePane="bottomRight" state="frozen"/>
      <selection pane="topRight" activeCell="G1" sqref="G1"/>
      <selection pane="bottomLeft" activeCell="A5" sqref="A5"/>
      <selection pane="bottomRight" activeCell="A179" sqref="A179"/>
    </sheetView>
  </sheetViews>
  <sheetFormatPr baseColWidth="8" defaultRowHeight="18.75"/>
  <cols>
    <col width="4.625" customWidth="1" style="51" min="2" max="2"/>
    <col width="5.75" customWidth="1" style="51" min="3" max="3"/>
    <col width="7.75" customWidth="1" style="51" min="4" max="7"/>
    <col width="44.375" customWidth="1" style="51" min="8" max="8"/>
    <col width="9.5" customWidth="1" style="51" min="9" max="9"/>
    <col hidden="1" outlineLevel="1" width="7.5" customWidth="1" style="51" min="10" max="13"/>
    <col collapsed="1" width="6.375" customWidth="1" style="51" min="14" max="14"/>
    <col width="7.625" customWidth="1" style="51" min="15" max="17"/>
    <col width="6.375" customWidth="1" style="51" min="18" max="18"/>
    <col hidden="1" outlineLevel="1" width="7.625" customWidth="1" style="51" min="19" max="20"/>
    <col collapsed="1" width="5.875" customWidth="1" style="51" min="21" max="21"/>
    <col width="5.875" customWidth="1" style="51" min="22" max="22"/>
    <col width="7.625" customWidth="1" style="51" min="23" max="24"/>
    <col collapsed="1" width="4.375" customWidth="1" style="51" min="25" max="25"/>
    <col width="6.5" customWidth="1" style="51" min="26" max="26"/>
    <col width="6.75" customWidth="1" style="51" min="27" max="27"/>
    <col width="6.125" customWidth="1" style="51" min="28" max="28"/>
    <col width="6.625" customWidth="1" style="51" min="29" max="29"/>
    <col width="7.625" customWidth="1" style="51" min="30" max="34"/>
    <col hidden="1" outlineLevel="1" width="7.625" customWidth="1" style="51" min="35" max="37"/>
    <col collapsed="1" width="7.625" customWidth="1" style="51" min="38" max="38"/>
    <col width="7.625" customWidth="1" style="51" min="39" max="40"/>
    <col outlineLevel="1" width="7.625" customWidth="1" style="51" min="41" max="44"/>
    <col width="7.625" customWidth="1" style="51" min="45" max="48"/>
    <col width="7.875" customWidth="1" style="51" min="49" max="49"/>
    <col width="7.625" customWidth="1" style="51" min="50" max="58"/>
  </cols>
  <sheetData>
    <row r="1">
      <c r="D1" s="29" t="inlineStr">
        <is>
          <t>品目のオレンジは箱バラ</t>
        </is>
      </c>
      <c r="U1" s="52" t="inlineStr">
        <is>
          <t>改定後</t>
        </is>
      </c>
      <c r="V1" s="53" t="n"/>
      <c r="W1" s="53" t="n"/>
      <c r="X1" s="54" t="n"/>
      <c r="AG1" s="44" t="inlineStr">
        <is>
          <t>直送</t>
        </is>
      </c>
      <c r="AH1" s="42" t="inlineStr">
        <is>
          <t>2倉庫品</t>
        </is>
      </c>
      <c r="AL1" s="43" t="inlineStr">
        <is>
          <t>VDあり</t>
        </is>
      </c>
      <c r="AN1" s="36" t="inlineStr">
        <is>
          <t>VDあり</t>
        </is>
      </c>
      <c r="AO1" s="36" t="n"/>
    </row>
    <row r="2">
      <c r="D2" s="8" t="inlineStr">
        <is>
          <t>原価用</t>
        </is>
      </c>
      <c r="E2" s="9" t="inlineStr">
        <is>
          <t>売価用</t>
        </is>
      </c>
      <c r="F2" s="9" t="inlineStr">
        <is>
          <t>VD用</t>
        </is>
      </c>
      <c r="G2" s="9" t="n"/>
      <c r="H2" s="10" t="n"/>
      <c r="I2" s="10" t="n"/>
      <c r="J2" s="31" t="n"/>
      <c r="K2" s="31" t="n"/>
      <c r="L2" s="55" t="inlineStr">
        <is>
          <t>箱バラ確認</t>
        </is>
      </c>
      <c r="M2" s="56" t="n"/>
      <c r="N2" s="55" t="inlineStr">
        <is>
          <t>現行</t>
        </is>
      </c>
      <c r="O2" s="57" t="n"/>
      <c r="P2" s="57" t="n"/>
      <c r="Q2" s="56" t="n"/>
      <c r="R2" s="11" t="n"/>
      <c r="S2" s="30" t="n"/>
      <c r="T2" s="30" t="n"/>
      <c r="U2" s="23" t="n"/>
      <c r="V2" s="24" t="inlineStr">
        <is>
          <t>箱バラ用</t>
        </is>
      </c>
      <c r="W2" s="24" t="n"/>
      <c r="X2" s="25" t="inlineStr">
        <is>
          <t>箱バラ用</t>
        </is>
      </c>
      <c r="Y2" s="10" t="n"/>
      <c r="Z2" s="9" t="inlineStr">
        <is>
          <t>参考</t>
        </is>
      </c>
      <c r="AA2" s="11" t="n"/>
      <c r="AB2" s="11" t="n"/>
      <c r="AC2" s="11" t="n"/>
      <c r="AD2" s="11" t="n"/>
      <c r="AE2" s="11" t="n"/>
      <c r="AF2" s="22" t="inlineStr">
        <is>
          <t>263除く</t>
        </is>
      </c>
      <c r="AG2" s="11" t="n"/>
      <c r="AH2" s="11" t="n"/>
      <c r="AI2" s="27" t="n"/>
      <c r="AJ2" s="11" t="n"/>
      <c r="AK2" s="11" t="n"/>
      <c r="AL2" s="11" t="n"/>
      <c r="AM2" s="11" t="n"/>
      <c r="AN2" s="11" t="n"/>
      <c r="AO2" s="11" t="n"/>
      <c r="AP2" s="11" t="n"/>
      <c r="AQ2" s="11" t="n"/>
      <c r="AR2" s="11" t="n"/>
      <c r="AS2" s="0" t="n">
        <v>51</v>
      </c>
      <c r="AZ2" s="0" t="n">
        <v>14</v>
      </c>
      <c r="BA2" s="0" t="n">
        <v>28</v>
      </c>
    </row>
    <row r="3" ht="75" customHeight="1" s="51">
      <c r="B3" s="1" t="inlineStr">
        <is>
          <t>No.</t>
        </is>
      </c>
      <c r="C3" s="1" t="inlineStr">
        <is>
          <t>新No.</t>
        </is>
      </c>
      <c r="D3" s="2" t="inlineStr">
        <is>
          <t>品目CD</t>
        </is>
      </c>
      <c r="E3" s="2" t="inlineStr">
        <is>
          <t>品目TEXT</t>
        </is>
      </c>
      <c r="F3" s="2" t="inlineStr">
        <is>
          <t>注文番号</t>
        </is>
      </c>
      <c r="G3" s="34" t="inlineStr">
        <is>
          <t>品目+
FW荷姿</t>
        </is>
      </c>
      <c r="H3" s="2" t="inlineStr">
        <is>
          <t>商品名</t>
        </is>
      </c>
      <c r="I3" s="12" t="inlineStr">
        <is>
          <t>JAN</t>
        </is>
      </c>
      <c r="J3" s="12" t="inlineStr">
        <is>
          <t>荷姿</t>
        </is>
      </c>
      <c r="K3" s="12" t="inlineStr">
        <is>
          <t>キー</t>
        </is>
      </c>
      <c r="L3" s="12" t="inlineStr">
        <is>
          <t>JAN
確認</t>
        </is>
      </c>
      <c r="M3" s="12" t="inlineStr">
        <is>
          <t>品目
確認</t>
        </is>
      </c>
      <c r="N3" s="12" t="inlineStr">
        <is>
          <t>小売
価格
(税抜）</t>
        </is>
      </c>
      <c r="O3" s="2" t="inlineStr">
        <is>
          <t>売価</t>
        </is>
      </c>
      <c r="P3" s="2" t="inlineStr">
        <is>
          <t>仕切</t>
        </is>
      </c>
      <c r="Q3" s="2" t="inlineStr">
        <is>
          <t>粗利率</t>
        </is>
      </c>
      <c r="R3" s="12" t="inlineStr">
        <is>
          <t>VD2</t>
        </is>
      </c>
      <c r="S3" s="12" t="inlineStr">
        <is>
          <t>VD2始</t>
        </is>
      </c>
      <c r="T3" s="12" t="inlineStr">
        <is>
          <t>VD2終</t>
        </is>
      </c>
      <c r="U3" s="12" t="inlineStr">
        <is>
          <t>小売
価格
(税抜)</t>
        </is>
      </c>
      <c r="V3" s="12" t="inlineStr">
        <is>
          <t>小売
価格
(税抜)
換算</t>
        </is>
      </c>
      <c r="W3" s="2" t="inlineStr">
        <is>
          <t>仕切</t>
        </is>
      </c>
      <c r="X3" s="12" t="inlineStr">
        <is>
          <t>仕切
換算</t>
        </is>
      </c>
      <c r="Y3" s="14" t="inlineStr">
        <is>
          <t>換算</t>
        </is>
      </c>
      <c r="Z3" s="20" t="inlineStr">
        <is>
          <t>スライド
売価</t>
        </is>
      </c>
      <c r="AA3" s="2" t="inlineStr">
        <is>
          <t>粗利率</t>
        </is>
      </c>
      <c r="AB3" s="2" t="inlineStr">
        <is>
          <t>月販</t>
        </is>
      </c>
      <c r="AC3" s="12" t="inlineStr">
        <is>
          <t>AS
換算
売価</t>
        </is>
      </c>
      <c r="AD3" s="12" t="inlineStr">
        <is>
          <t>ｱｽｸﾙ
ｽﾗｲﾄﾞ</t>
        </is>
      </c>
      <c r="AE3" s="2" t="inlineStr">
        <is>
          <t>粗利率</t>
        </is>
      </c>
      <c r="AF3" s="13" t="inlineStr">
        <is>
          <t>売価1</t>
        </is>
      </c>
      <c r="AG3" s="2" t="inlineStr">
        <is>
          <t>粗利率</t>
        </is>
      </c>
      <c r="AH3" s="2" t="inlineStr">
        <is>
          <t>粗利額</t>
        </is>
      </c>
      <c r="AI3" s="26" t="inlineStr">
        <is>
          <t>売価2</t>
        </is>
      </c>
      <c r="AJ3" s="12" t="inlineStr">
        <is>
          <t>売価2
粗利率</t>
        </is>
      </c>
      <c r="AK3" s="12" t="inlineStr">
        <is>
          <t>売価2
粗利額</t>
        </is>
      </c>
      <c r="AL3" s="12" t="inlineStr">
        <is>
          <t>定価
値上率</t>
        </is>
      </c>
      <c r="AM3" s="12" t="inlineStr">
        <is>
          <t>売価1
値上げ率</t>
        </is>
      </c>
      <c r="AN3" s="12" t="inlineStr">
        <is>
          <t>原価
値上率</t>
        </is>
      </c>
      <c r="AO3" s="12" t="inlineStr">
        <is>
          <t>VD
粗利率</t>
        </is>
      </c>
      <c r="AP3" s="12" t="inlineStr">
        <is>
          <t>VD2</t>
        </is>
      </c>
      <c r="AQ3" s="12" t="inlineStr">
        <is>
          <t>VD2始</t>
        </is>
      </c>
      <c r="AR3" s="12" t="inlineStr">
        <is>
          <t>VD2終</t>
        </is>
      </c>
      <c r="AS3" s="2" t="inlineStr">
        <is>
          <t>カタログ</t>
        </is>
      </c>
      <c r="AT3" s="2" t="inlineStr">
        <is>
          <t>アスクル</t>
        </is>
      </c>
      <c r="AU3" s="2" t="inlineStr">
        <is>
          <t>FW入数</t>
        </is>
      </c>
      <c r="AV3" s="2" t="inlineStr">
        <is>
          <t>アスクル入数</t>
        </is>
      </c>
      <c r="AW3" s="12" t="inlineStr">
        <is>
          <t>税込</t>
        </is>
      </c>
      <c r="AX3" s="2" t="inlineStr">
        <is>
          <t>7月売価</t>
        </is>
      </c>
      <c r="AY3" s="2" t="inlineStr">
        <is>
          <t>換算金額</t>
        </is>
      </c>
      <c r="AZ3" s="18" t="inlineStr">
        <is>
          <t>倉庫</t>
        </is>
      </c>
      <c r="BA3" s="18" t="inlineStr">
        <is>
          <t>品目群</t>
        </is>
      </c>
      <c r="BB3" s="15" t="inlineStr">
        <is>
          <t>中分類</t>
        </is>
      </c>
      <c r="BC3" s="32" t="inlineStr">
        <is>
          <t>7月
たの</t>
        </is>
      </c>
      <c r="BD3" s="33" t="inlineStr">
        <is>
          <t>たの
ｽﾗｲﾄﾞ</t>
        </is>
      </c>
      <c r="BE3" s="33" t="inlineStr">
        <is>
          <t>7月
カウ</t>
        </is>
      </c>
      <c r="BF3" s="33" t="inlineStr">
        <is>
          <t>カウ
ｽﾗｲﾄﾞ</t>
        </is>
      </c>
      <c r="BG3" s="0" t="inlineStr">
        <is>
          <t>アスクル商品名</t>
        </is>
      </c>
    </row>
    <row r="4">
      <c r="A4" s="0">
        <f>TEXT(F4,"000000")</f>
        <v/>
      </c>
      <c r="B4" s="3" t="n">
        <v>143</v>
      </c>
      <c r="C4" s="3" t="n">
        <v>143</v>
      </c>
      <c r="D4" s="4" t="n">
        <v>415760</v>
      </c>
      <c r="E4" s="4">
        <f>TEXT(D4,"000000")</f>
        <v/>
      </c>
      <c r="F4" s="4" t="n">
        <v>415760</v>
      </c>
      <c r="G4" s="4">
        <f>E4&amp;J4</f>
        <v/>
      </c>
      <c r="H4" s="4" t="inlineStr">
        <is>
          <t>ｱｲﾘｽｵｰﾔﾏ/ﾌｫﾙﾀﾞｰﾎﾞｯｸｽ340ｽﾘﾑ ｸﾘｱ/B-FB340S</t>
        </is>
      </c>
      <c r="I4" s="58" t="n">
        <v>4967576197229</v>
      </c>
      <c r="J4" s="58" t="n">
        <v>5</v>
      </c>
      <c r="K4" s="58" t="n"/>
      <c r="L4" s="58" t="n">
        <v>1</v>
      </c>
      <c r="M4" s="58" t="n">
        <v>1</v>
      </c>
      <c r="N4" s="4" t="n">
        <v>0</v>
      </c>
      <c r="O4" s="4" t="n">
        <v>324</v>
      </c>
      <c r="P4" s="4" t="n">
        <v>200</v>
      </c>
      <c r="Q4" s="59">
        <f>IFERROR(1-P4/O4,"-")</f>
        <v/>
      </c>
      <c r="R4" s="4" t="inlineStr">
        <is>
          <t>-</t>
        </is>
      </c>
      <c r="S4" s="4" t="inlineStr">
        <is>
          <t>-</t>
        </is>
      </c>
      <c r="T4" s="4" t="inlineStr">
        <is>
          <t>-</t>
        </is>
      </c>
      <c r="U4" s="4" t="n">
        <v>0</v>
      </c>
      <c r="V4" s="4">
        <f>IF(Y4="",U4,U4*Y4)</f>
        <v/>
      </c>
      <c r="W4" s="4" t="n">
        <v>230</v>
      </c>
      <c r="X4" s="4">
        <f>IF(Y4="",W4,W4*Y4)</f>
        <v/>
      </c>
      <c r="Y4" s="4" t="n"/>
      <c r="Z4" s="21">
        <f>ROUND(O4*AN4,0)</f>
        <v/>
      </c>
      <c r="AA4" s="59">
        <f>IFERROR(1-X4/Z4,"-")</f>
        <v/>
      </c>
      <c r="AB4" s="4" t="n">
        <v>8</v>
      </c>
      <c r="AC4" s="4">
        <f>AY4</f>
        <v/>
      </c>
      <c r="AD4" s="4">
        <f>IFERROR(AC4*AN4,"-")</f>
        <v/>
      </c>
      <c r="AE4" s="59">
        <f>IFERROR(1-X4/AD4,"-")</f>
        <v/>
      </c>
      <c r="AF4" s="7" t="n">
        <v>308</v>
      </c>
      <c r="AG4" s="59">
        <f>1-X4/AF4</f>
        <v/>
      </c>
      <c r="AH4" s="4">
        <f>AF4-X4</f>
        <v/>
      </c>
      <c r="AI4" s="28" t="n"/>
      <c r="AJ4" s="59" t="n"/>
      <c r="AK4" s="59" t="n"/>
      <c r="AL4" s="59">
        <f>IFERROR(V4/N4,"-")</f>
        <v/>
      </c>
      <c r="AM4" s="59">
        <f>IFERROR(AF4/O4,"-")</f>
        <v/>
      </c>
      <c r="AN4" s="59">
        <f>IFERROR(X4/P4,"-")</f>
        <v/>
      </c>
      <c r="AO4" s="59">
        <f>IFERROR(1-X4/AP4,"-")</f>
        <v/>
      </c>
      <c r="AP4" s="4">
        <f>IFERROR(ROUND($AF4*R4/$O4,0),"-")</f>
        <v/>
      </c>
      <c r="AQ4" s="4">
        <f>IF(S4="","-",S4)</f>
        <v/>
      </c>
      <c r="AR4" s="4">
        <f>IF(T4="","-",T4)</f>
        <v/>
      </c>
      <c r="AS4" s="4" t="n">
        <v>0</v>
      </c>
      <c r="AT4" s="4" t="inlineStr">
        <is>
          <t>2870518</t>
        </is>
      </c>
      <c r="AU4" s="4" t="n"/>
      <c r="AV4" s="4" t="n"/>
      <c r="AW4" s="4" t="inlineStr">
        <is>
          <t>1個</t>
        </is>
      </c>
      <c r="AX4" s="4" t="n">
        <v>309</v>
      </c>
      <c r="AY4" s="4">
        <f>IF(AU4="",AX4,AU4/AV4*AX4)</f>
        <v/>
      </c>
      <c r="AZ4" s="19" t="n">
        <v>4</v>
      </c>
      <c r="BA4" s="19" t="n">
        <v>1</v>
      </c>
      <c r="BB4" s="16" t="n">
        <v>350</v>
      </c>
      <c r="BC4" s="0" t="inlineStr">
        <is>
          <t>-</t>
        </is>
      </c>
      <c r="BD4" s="0">
        <f>IFERROR(BC4*AN4,"-")</f>
        <v/>
      </c>
      <c r="BE4" s="0" t="inlineStr">
        <is>
          <t>-</t>
        </is>
      </c>
      <c r="BF4" s="0">
        <f>IFERROR(BE4*AN4,"-")</f>
        <v/>
      </c>
      <c r="BG4" s="0" t="inlineStr">
        <is>
          <t>アイリスオーヤマ　フォルダーボックス ３４０　スリム　B-FB340S(227695)　1個</t>
        </is>
      </c>
    </row>
    <row r="5">
      <c r="A5" s="0">
        <f>TEXT(F5,"000000")</f>
        <v/>
      </c>
      <c r="B5" s="3" t="n">
        <v>149</v>
      </c>
      <c r="C5" s="3" t="n">
        <v>149</v>
      </c>
      <c r="D5" s="4" t="inlineStr">
        <is>
          <t>J584PW</t>
        </is>
      </c>
      <c r="E5" s="4">
        <f>TEXT(D5,"000000")</f>
        <v/>
      </c>
      <c r="F5" s="4" t="inlineStr">
        <is>
          <t>J584PW</t>
        </is>
      </c>
      <c r="G5" s="4">
        <f>E5&amp;J5</f>
        <v/>
      </c>
      <c r="H5" s="4" t="inlineStr">
        <is>
          <t>ｱｲﾘｽｵｰﾔﾏ/ﾌｫﾙﾀﾞｰﾎﾞｯｸｽ 340 A4 ｸﾘｱ/B-FB340</t>
        </is>
      </c>
      <c r="I5" s="58" t="n">
        <v>4967576197267</v>
      </c>
      <c r="J5" s="58" t="n">
        <v>5</v>
      </c>
      <c r="K5" s="58" t="n"/>
      <c r="L5" s="58" t="n">
        <v>1</v>
      </c>
      <c r="M5" s="58" t="n">
        <v>1</v>
      </c>
      <c r="N5" s="4" t="n">
        <v>0</v>
      </c>
      <c r="O5" s="4" t="n">
        <v>412</v>
      </c>
      <c r="P5" s="4" t="n">
        <v>250</v>
      </c>
      <c r="Q5" s="59">
        <f>IFERROR(1-P5/O5,"-")</f>
        <v/>
      </c>
      <c r="R5" s="4" t="inlineStr">
        <is>
          <t>-</t>
        </is>
      </c>
      <c r="S5" s="4" t="inlineStr">
        <is>
          <t>-</t>
        </is>
      </c>
      <c r="T5" s="4" t="inlineStr">
        <is>
          <t>-</t>
        </is>
      </c>
      <c r="U5" s="4" t="n">
        <v>0</v>
      </c>
      <c r="V5" s="4">
        <f>IF(Y5="",U5,U5*Y5)</f>
        <v/>
      </c>
      <c r="W5" s="4" t="n">
        <v>295</v>
      </c>
      <c r="X5" s="4">
        <f>IF(Y5="",W5,W5*Y5)</f>
        <v/>
      </c>
      <c r="Y5" s="4" t="n"/>
      <c r="Z5" s="21">
        <f>ROUND(O5*AN5,0)</f>
        <v/>
      </c>
      <c r="AA5" s="59">
        <f>IFERROR(1-X5/Z5,"-")</f>
        <v/>
      </c>
      <c r="AB5" s="4" t="n">
        <v>0.5</v>
      </c>
      <c r="AC5" s="4">
        <f>AY5</f>
        <v/>
      </c>
      <c r="AD5" s="4">
        <f>IFERROR(AC5*AN5,"-")</f>
        <v/>
      </c>
      <c r="AE5" s="59">
        <f>IFERROR(1-X5/AD5,"-")</f>
        <v/>
      </c>
      <c r="AF5" s="7" t="n">
        <v>369</v>
      </c>
      <c r="AG5" s="59">
        <f>1-X5/AF5</f>
        <v/>
      </c>
      <c r="AH5" s="4">
        <f>AF5-X5</f>
        <v/>
      </c>
      <c r="AI5" s="28" t="n"/>
      <c r="AJ5" s="59" t="n"/>
      <c r="AK5" s="59" t="n"/>
      <c r="AL5" s="59">
        <f>IFERROR(V5/N5,"-")</f>
        <v/>
      </c>
      <c r="AM5" s="59">
        <f>IFERROR(AF5/O5,"-")</f>
        <v/>
      </c>
      <c r="AN5" s="59">
        <f>IFERROR(X5/P5,"-")</f>
        <v/>
      </c>
      <c r="AO5" s="59">
        <f>IFERROR(1-X5/AP5,"-")</f>
        <v/>
      </c>
      <c r="AP5" s="4">
        <f>IFERROR(ROUND($AF5*R5/$O5,0),"-")</f>
        <v/>
      </c>
      <c r="AQ5" s="4">
        <f>IF(S5="","-",S5)</f>
        <v/>
      </c>
      <c r="AR5" s="4">
        <f>IF(T5="","-",T5)</f>
        <v/>
      </c>
      <c r="AS5" s="4" t="n">
        <v>0</v>
      </c>
      <c r="AT5" s="4" t="inlineStr">
        <is>
          <t>2870509</t>
        </is>
      </c>
      <c r="AU5" s="4" t="n"/>
      <c r="AV5" s="4" t="n"/>
      <c r="AW5" s="4" t="inlineStr">
        <is>
          <t>1個</t>
        </is>
      </c>
      <c r="AX5" s="4" t="n">
        <v>370</v>
      </c>
      <c r="AY5" s="4">
        <f>IF(AU5="",AX5,AU5/AV5*AX5)</f>
        <v/>
      </c>
      <c r="AZ5" s="19" t="n">
        <v>4</v>
      </c>
      <c r="BA5" s="19" t="n">
        <v>8</v>
      </c>
      <c r="BB5" s="16" t="n">
        <v>350</v>
      </c>
      <c r="BC5" s="0" t="inlineStr">
        <is>
          <t>-</t>
        </is>
      </c>
      <c r="BD5" s="0">
        <f>IFERROR(BC5*AN5,"-")</f>
        <v/>
      </c>
      <c r="BE5" s="0" t="n">
        <v>506</v>
      </c>
      <c r="BF5" s="0">
        <f>IFERROR(BE5*AN5,"-")</f>
        <v/>
      </c>
      <c r="BG5" s="0" t="inlineStr">
        <is>
          <t>アイリスオーヤマ フォルダーボックス 340 B-FB340(227699) 1個</t>
        </is>
      </c>
    </row>
    <row r="6">
      <c r="A6" s="0">
        <f>TEXT(F6,"000000")</f>
        <v/>
      </c>
      <c r="B6" s="3" t="n">
        <v>157</v>
      </c>
      <c r="C6" s="3" t="n">
        <v>157</v>
      </c>
      <c r="D6" s="17" t="n">
        <v>667196</v>
      </c>
      <c r="E6" s="4">
        <f>TEXT(D6,"000000")</f>
        <v/>
      </c>
      <c r="F6" s="4" t="n">
        <v>667196</v>
      </c>
      <c r="G6" s="4">
        <f>E6&amp;J6</f>
        <v/>
      </c>
      <c r="H6" s="4" t="inlineStr">
        <is>
          <t>ｱｲﾘｽｵｰﾔﾏ/ﾌｧｲﾙｺﾝﾃﾅ A4ｼｮｰﾄ用ﾌﾀ ｸﾘｱ/RCL17(209582)</t>
        </is>
      </c>
      <c r="I6" s="58" t="n">
        <v>4905009826742</v>
      </c>
      <c r="J6" s="58" t="n">
        <v>5</v>
      </c>
      <c r="K6" s="58" t="n"/>
      <c r="L6" s="58" t="n">
        <v>1</v>
      </c>
      <c r="M6" s="58" t="n">
        <v>1</v>
      </c>
      <c r="N6" s="4" t="n">
        <v>0</v>
      </c>
      <c r="O6" s="4" t="n">
        <v>534</v>
      </c>
      <c r="P6" s="4" t="n">
        <v>300</v>
      </c>
      <c r="Q6" s="59">
        <f>IFERROR(1-P6/O6,"-")</f>
        <v/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n">
        <v>0</v>
      </c>
      <c r="V6" s="4">
        <f>IF(Y6="",U6,U6*Y6)</f>
        <v/>
      </c>
      <c r="W6" s="4" t="n">
        <v>360</v>
      </c>
      <c r="X6" s="4">
        <f>IF(Y6="",W6,W6*Y6)</f>
        <v/>
      </c>
      <c r="Y6" s="4" t="n"/>
      <c r="Z6" s="21">
        <f>ROUND(O6*AN6,0)</f>
        <v/>
      </c>
      <c r="AA6" s="59">
        <f>IFERROR(1-X6/Z6,"-")</f>
        <v/>
      </c>
      <c r="AB6" s="4" t="n">
        <v>5.75</v>
      </c>
      <c r="AC6" s="4">
        <f>AY6</f>
        <v/>
      </c>
      <c r="AD6" s="4">
        <f>IFERROR(AC6*AN6,"-")</f>
        <v/>
      </c>
      <c r="AE6" s="59">
        <f>IFERROR(1-X6/AD6,"-")</f>
        <v/>
      </c>
      <c r="AF6" s="7" t="n">
        <v>545</v>
      </c>
      <c r="AG6" s="59">
        <f>1-X6/AF6</f>
        <v/>
      </c>
      <c r="AH6" s="4">
        <f>AF6-X6</f>
        <v/>
      </c>
      <c r="AI6" s="28" t="n"/>
      <c r="AJ6" s="59" t="n"/>
      <c r="AK6" s="59" t="n"/>
      <c r="AL6" s="59">
        <f>IFERROR(V6/N6,"-")</f>
        <v/>
      </c>
      <c r="AM6" s="59">
        <f>IFERROR(AF6/O6,"-")</f>
        <v/>
      </c>
      <c r="AN6" s="59">
        <f>IFERROR(X6/P6,"-")</f>
        <v/>
      </c>
      <c r="AO6" s="59">
        <f>IFERROR(1-X6/AP6,"-")</f>
        <v/>
      </c>
      <c r="AP6" s="4">
        <f>IFERROR(ROUND($AF6*R6/$O6,0),"-")</f>
        <v/>
      </c>
      <c r="AQ6" s="4">
        <f>IF(S6="","-",S6)</f>
        <v/>
      </c>
      <c r="AR6" s="4">
        <f>IF(T6="","-",T6)</f>
        <v/>
      </c>
      <c r="AS6" s="4" t="inlineStr">
        <is>
          <t>34/318</t>
        </is>
      </c>
      <c r="AT6" s="4" t="inlineStr">
        <is>
          <t>3448396</t>
        </is>
      </c>
      <c r="AU6" s="4" t="n"/>
      <c r="AV6" s="4" t="n"/>
      <c r="AW6" s="4" t="inlineStr">
        <is>
          <t>1枚</t>
        </is>
      </c>
      <c r="AX6" s="4" t="n">
        <v>546</v>
      </c>
      <c r="AY6" s="4">
        <f>IF(AU6="",AX6,AU6/AV6*AX6)</f>
        <v/>
      </c>
      <c r="AZ6" s="19" t="n">
        <v>4</v>
      </c>
      <c r="BA6" s="19" t="n">
        <v>1</v>
      </c>
      <c r="BB6" s="16" t="n">
        <v>350</v>
      </c>
      <c r="BC6" s="0" t="inlineStr">
        <is>
          <t>-</t>
        </is>
      </c>
      <c r="BD6" s="0">
        <f>IFERROR(BC6*AN6,"-")</f>
        <v/>
      </c>
      <c r="BE6" s="0" t="n">
        <v>493</v>
      </c>
      <c r="BF6" s="0">
        <f>IFERROR(BE6*AN6,"-")</f>
        <v/>
      </c>
      <c r="BG6" s="0" t="inlineStr">
        <is>
          <t>アイリスオーヤマ　ファイルコンテナ用フタ（A4ショート）　クリア　RCL-17　1個</t>
        </is>
      </c>
    </row>
    <row r="7">
      <c r="A7" s="0">
        <f>TEXT(F7,"000000")</f>
        <v/>
      </c>
      <c r="B7" s="3" t="n">
        <v>148</v>
      </c>
      <c r="C7" s="3" t="n">
        <v>148</v>
      </c>
      <c r="D7" s="17" t="inlineStr">
        <is>
          <t>J585PW</t>
        </is>
      </c>
      <c r="E7" s="4">
        <f>TEXT(D7,"000000")</f>
        <v/>
      </c>
      <c r="F7" s="4" t="inlineStr">
        <is>
          <t>J585PW</t>
        </is>
      </c>
      <c r="G7" s="4">
        <f>E7&amp;J7</f>
        <v/>
      </c>
      <c r="H7" s="4" t="inlineStr">
        <is>
          <t>ｱｲﾘｽｵｰﾔﾏ/ﾌｫﾙﾀﾞｰﾎﾞｯｸｽ 340ﾜｲﾄﾞ A4 ｸﾘｱ/B-FB340W</t>
        </is>
      </c>
      <c r="I7" s="58" t="n">
        <v>4967576197304</v>
      </c>
      <c r="J7" s="58" t="n">
        <v>5</v>
      </c>
      <c r="K7" s="58" t="n"/>
      <c r="L7" s="58" t="n">
        <v>1</v>
      </c>
      <c r="M7" s="58" t="n">
        <v>1</v>
      </c>
      <c r="N7" s="4" t="n">
        <v>0</v>
      </c>
      <c r="O7" s="4" t="n">
        <v>543</v>
      </c>
      <c r="P7" s="4" t="n">
        <v>330</v>
      </c>
      <c r="Q7" s="59">
        <f>IFERROR(1-P7/O7,"-")</f>
        <v/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n">
        <v>0</v>
      </c>
      <c r="V7" s="4">
        <f>IF(Y7="",U7,U7*Y7)</f>
        <v/>
      </c>
      <c r="W7" s="4" t="n">
        <v>390</v>
      </c>
      <c r="X7" s="4">
        <f>IF(Y7="",W7,W7*Y7)</f>
        <v/>
      </c>
      <c r="Y7" s="4" t="n"/>
      <c r="Z7" s="21">
        <f>ROUND(O7*AN7,0)</f>
        <v/>
      </c>
      <c r="AA7" s="59">
        <f>IFERROR(1-X7/Z7,"-")</f>
        <v/>
      </c>
      <c r="AB7" s="4" t="n">
        <v>0.5</v>
      </c>
      <c r="AC7" s="4">
        <f>AY7</f>
        <v/>
      </c>
      <c r="AD7" s="4">
        <f>IFERROR(AC7*AN7,"-")</f>
        <v/>
      </c>
      <c r="AE7" s="59">
        <f>IFERROR(1-X7/AD7,"-")</f>
        <v/>
      </c>
      <c r="AF7" s="7" t="n">
        <v>492</v>
      </c>
      <c r="AG7" s="59">
        <f>1-X7/AF7</f>
        <v/>
      </c>
      <c r="AH7" s="4">
        <f>AF7-X7</f>
        <v/>
      </c>
      <c r="AI7" s="28" t="n"/>
      <c r="AJ7" s="59" t="n"/>
      <c r="AK7" s="59" t="n"/>
      <c r="AL7" s="59">
        <f>IFERROR(V7/N7,"-")</f>
        <v/>
      </c>
      <c r="AM7" s="59">
        <f>IFERROR(AF7/O7,"-")</f>
        <v/>
      </c>
      <c r="AN7" s="59">
        <f>IFERROR(X7/P7,"-")</f>
        <v/>
      </c>
      <c r="AO7" s="59">
        <f>IFERROR(1-X7/AP7,"-")</f>
        <v/>
      </c>
      <c r="AP7" s="4">
        <f>IFERROR(ROUND($AF7*R7/$O7,0),"-")</f>
        <v/>
      </c>
      <c r="AQ7" s="4">
        <f>IF(S7="","-",S7)</f>
        <v/>
      </c>
      <c r="AR7" s="4">
        <f>IF(T7="","-",T7)</f>
        <v/>
      </c>
      <c r="AS7" s="4" t="n">
        <v>0</v>
      </c>
      <c r="AT7" s="4" t="inlineStr">
        <is>
          <t>2870447</t>
        </is>
      </c>
      <c r="AU7" s="4" t="n"/>
      <c r="AV7" s="4" t="n"/>
      <c r="AW7" s="4" t="inlineStr">
        <is>
          <t>1個</t>
        </is>
      </c>
      <c r="AX7" s="4" t="n">
        <v>493</v>
      </c>
      <c r="AY7" s="4">
        <f>IF(AU7="",AX7,AU7/AV7*AX7)</f>
        <v/>
      </c>
      <c r="AZ7" s="19" t="n">
        <v>4</v>
      </c>
      <c r="BA7" s="19" t="n">
        <v>8</v>
      </c>
      <c r="BB7" s="16" t="n">
        <v>350</v>
      </c>
      <c r="BC7" s="0" t="inlineStr">
        <is>
          <t>-</t>
        </is>
      </c>
      <c r="BD7" s="0">
        <f>IFERROR(BC7*AN7,"-")</f>
        <v/>
      </c>
      <c r="BE7" s="0" t="n">
        <v>660</v>
      </c>
      <c r="BF7" s="0">
        <f>IFERROR(BE7*AN7,"-")</f>
        <v/>
      </c>
      <c r="BG7" s="0" t="inlineStr">
        <is>
          <t>アイリスオーヤマ　フォルダーボックス ３４０　ワイド　B-FB340W(227703)　1個</t>
        </is>
      </c>
    </row>
    <row r="8">
      <c r="A8" s="0">
        <f>TEXT(F8,"000000")</f>
        <v/>
      </c>
      <c r="B8" s="3" t="n">
        <v>165</v>
      </c>
      <c r="C8" s="3" t="n">
        <v>165</v>
      </c>
      <c r="D8" s="17" t="inlineStr">
        <is>
          <t>J587PW</t>
        </is>
      </c>
      <c r="E8" s="4">
        <f>TEXT(D8,"000000")</f>
        <v/>
      </c>
      <c r="F8" s="4" t="inlineStr">
        <is>
          <t>J587PW</t>
        </is>
      </c>
      <c r="G8" s="4">
        <f>E8&amp;J8</f>
        <v/>
      </c>
      <c r="H8" s="4" t="inlineStr">
        <is>
          <t>G)ｱｲﾘｽｵｰﾔﾏ/ﾌｧｲﾙｽﾀﾝﾄﾞ A4 ｸﾘｱ 2個ｾｯﾄ/FS-25EW×2</t>
        </is>
      </c>
      <c r="I8" s="58" t="n">
        <v>4905009691753</v>
      </c>
      <c r="J8" s="58" t="n">
        <v>5</v>
      </c>
      <c r="K8" s="58" t="n"/>
      <c r="L8" s="58" t="n">
        <v>1</v>
      </c>
      <c r="M8" s="58" t="n">
        <v>1</v>
      </c>
      <c r="N8" s="4" t="n">
        <v>0</v>
      </c>
      <c r="O8" s="4" t="n">
        <v>559</v>
      </c>
      <c r="P8" s="4" t="n">
        <v>340</v>
      </c>
      <c r="Q8" s="59">
        <f>IFERROR(1-P8/O8,"-")</f>
        <v/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n">
        <v>0</v>
      </c>
      <c r="V8" s="4">
        <f>IF(Y8="",U8,U8*Y8)</f>
        <v/>
      </c>
      <c r="W8" s="4" t="n">
        <v>408</v>
      </c>
      <c r="X8" s="4">
        <f>IF(Y8="",W8,W8*Y8)</f>
        <v/>
      </c>
      <c r="Y8" s="4" t="n"/>
      <c r="Z8" s="21">
        <f>ROUND(O8*AN8,0)</f>
        <v/>
      </c>
      <c r="AA8" s="59">
        <f>IFERROR(1-X8/Z8,"-")</f>
        <v/>
      </c>
      <c r="AB8" s="4" t="n">
        <v>0.75</v>
      </c>
      <c r="AC8" s="4">
        <f>AY8</f>
        <v/>
      </c>
      <c r="AD8" s="4">
        <f>IFERROR(AC8*AN8,"-")</f>
        <v/>
      </c>
      <c r="AE8" s="59">
        <f>IFERROR(1-X8/AD8,"-")</f>
        <v/>
      </c>
      <c r="AF8" s="7" t="n">
        <v>626</v>
      </c>
      <c r="AG8" s="59">
        <f>1-X8/AF8</f>
        <v/>
      </c>
      <c r="AH8" s="4">
        <f>AF8-X8</f>
        <v/>
      </c>
      <c r="AI8" s="28" t="n"/>
      <c r="AJ8" s="59" t="n"/>
      <c r="AK8" s="59" t="n"/>
      <c r="AL8" s="59">
        <f>IFERROR(V8/N8,"-")</f>
        <v/>
      </c>
      <c r="AM8" s="59">
        <f>IFERROR(AF8/O8,"-")</f>
        <v/>
      </c>
      <c r="AN8" s="59">
        <f>IFERROR(X8/P8,"-")</f>
        <v/>
      </c>
      <c r="AO8" s="59">
        <f>IFERROR(1-X8/AP8,"-")</f>
        <v/>
      </c>
      <c r="AP8" s="4">
        <f>IFERROR(ROUND($AF8*R8/$O8,0),"-")</f>
        <v/>
      </c>
      <c r="AQ8" s="4">
        <f>IF(S8="","-",S8)</f>
        <v/>
      </c>
      <c r="AR8" s="4">
        <f>IF(T8="","-",T8)</f>
        <v/>
      </c>
      <c r="AS8" s="4" t="n">
        <v>0</v>
      </c>
      <c r="AT8" s="4" t="inlineStr">
        <is>
          <t>A018615</t>
        </is>
      </c>
      <c r="AU8" s="4" t="n"/>
      <c r="AV8" s="4" t="n"/>
      <c r="AW8" s="4" t="inlineStr">
        <is>
          <t>1セット(2個)</t>
        </is>
      </c>
      <c r="AX8" s="4" t="n">
        <v>627</v>
      </c>
      <c r="AY8" s="4">
        <f>IF(AU8="",AX8,AU8/AV8*AX8)</f>
        <v/>
      </c>
      <c r="AZ8" s="19" t="n">
        <v>4</v>
      </c>
      <c r="BA8" s="19" t="n">
        <v>8</v>
      </c>
      <c r="BB8" s="16" t="n">
        <v>350</v>
      </c>
      <c r="BC8" s="0" t="inlineStr">
        <is>
          <t>-</t>
        </is>
      </c>
      <c r="BD8" s="0">
        <f>IFERROR(BC8*AN8,"-")</f>
        <v/>
      </c>
      <c r="BE8" s="0" t="n">
        <v>627</v>
      </c>
      <c r="BF8" s="0">
        <f>IFERROR(BE8*AN8,"-")</f>
        <v/>
      </c>
      <c r="BG8" s="0" t="inlineStr">
        <is>
          <t>アイリスオーヤマ ファイルスタンド(2個セット) FSー25EW×2 クリア FS-25EWX2_CL 1セット(2個)（直送品）</t>
        </is>
      </c>
    </row>
    <row r="9">
      <c r="A9" s="0">
        <f>TEXT(F9,"000000")</f>
        <v/>
      </c>
      <c r="B9" s="3" t="n">
        <v>166</v>
      </c>
      <c r="C9" s="3" t="n">
        <v>166</v>
      </c>
      <c r="D9" s="17" t="inlineStr">
        <is>
          <t>J588PW</t>
        </is>
      </c>
      <c r="E9" s="4">
        <f>TEXT(D9,"000000")</f>
        <v/>
      </c>
      <c r="F9" s="4" t="inlineStr">
        <is>
          <t>J588PW</t>
        </is>
      </c>
      <c r="G9" s="4">
        <f>E9&amp;J9</f>
        <v/>
      </c>
      <c r="H9" s="4" t="inlineStr">
        <is>
          <t>G)ｱｲﾘｽｵｰﾔﾏ/ﾌｧｲﾙｽﾀﾝﾄﾞ A4 ﾎﾜｲﾄ 2個ｾｯﾄ/FS-25EW×2</t>
        </is>
      </c>
      <c r="I9" s="58" t="n">
        <v>4905009691760</v>
      </c>
      <c r="J9" s="58" t="n">
        <v>5</v>
      </c>
      <c r="K9" s="58" t="n"/>
      <c r="L9" s="58" t="n">
        <v>1</v>
      </c>
      <c r="M9" s="58" t="n">
        <v>1</v>
      </c>
      <c r="N9" s="4" t="n">
        <v>0</v>
      </c>
      <c r="O9" s="4" t="n">
        <v>554</v>
      </c>
      <c r="P9" s="4" t="n">
        <v>340</v>
      </c>
      <c r="Q9" s="59">
        <f>IFERROR(1-P9/O9,"-")</f>
        <v/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n">
        <v>0</v>
      </c>
      <c r="V9" s="4">
        <f>IF(Y9="",U9,U9*Y9)</f>
        <v/>
      </c>
      <c r="W9" s="4" t="n">
        <v>408</v>
      </c>
      <c r="X9" s="4">
        <f>IF(Y9="",W9,W9*Y9)</f>
        <v/>
      </c>
      <c r="Y9" s="4" t="n"/>
      <c r="Z9" s="21">
        <f>ROUND(O9*AN9,0)</f>
        <v/>
      </c>
      <c r="AA9" s="59">
        <f>IFERROR(1-X9/Z9,"-")</f>
        <v/>
      </c>
      <c r="AB9" s="4" t="n">
        <v>2.25</v>
      </c>
      <c r="AC9" s="4">
        <f>AY9</f>
        <v/>
      </c>
      <c r="AD9" s="4">
        <f>IFERROR(AC9*AN9,"-")</f>
        <v/>
      </c>
      <c r="AE9" s="59">
        <f>IFERROR(1-X9/AD9,"-")</f>
        <v/>
      </c>
      <c r="AF9" s="7" t="n">
        <v>626</v>
      </c>
      <c r="AG9" s="59">
        <f>1-X9/AF9</f>
        <v/>
      </c>
      <c r="AH9" s="4">
        <f>AF9-X9</f>
        <v/>
      </c>
      <c r="AI9" s="28" t="n"/>
      <c r="AJ9" s="59" t="n"/>
      <c r="AK9" s="59" t="n"/>
      <c r="AL9" s="59">
        <f>IFERROR(V9/N9,"-")</f>
        <v/>
      </c>
      <c r="AM9" s="59">
        <f>IFERROR(AF9/O9,"-")</f>
        <v/>
      </c>
      <c r="AN9" s="59">
        <f>IFERROR(X9/P9,"-")</f>
        <v/>
      </c>
      <c r="AO9" s="59">
        <f>IFERROR(1-X9/AP9,"-")</f>
        <v/>
      </c>
      <c r="AP9" s="4">
        <f>IFERROR(ROUND($AF9*R9/$O9,0),"-")</f>
        <v/>
      </c>
      <c r="AQ9" s="4">
        <f>IF(S9="","-",S9)</f>
        <v/>
      </c>
      <c r="AR9" s="4">
        <f>IF(T9="","-",T9)</f>
        <v/>
      </c>
      <c r="AS9" s="4" t="n">
        <v>0</v>
      </c>
      <c r="AT9" s="4" t="inlineStr">
        <is>
          <t>A018616</t>
        </is>
      </c>
      <c r="AU9" s="4" t="n"/>
      <c r="AV9" s="4" t="n"/>
      <c r="AW9" s="4" t="inlineStr">
        <is>
          <t>1セット(2個)</t>
        </is>
      </c>
      <c r="AX9" s="4" t="n">
        <v>627</v>
      </c>
      <c r="AY9" s="4">
        <f>IF(AU9="",AX9,AU9/AV9*AX9)</f>
        <v/>
      </c>
      <c r="AZ9" s="19" t="n">
        <v>4</v>
      </c>
      <c r="BA9" s="19" t="n">
        <v>1</v>
      </c>
      <c r="BB9" s="16" t="n">
        <v>350</v>
      </c>
      <c r="BC9" s="0" t="inlineStr">
        <is>
          <t>-</t>
        </is>
      </c>
      <c r="BD9" s="0">
        <f>IFERROR(BC9*AN9,"-")</f>
        <v/>
      </c>
      <c r="BE9" s="0" t="n">
        <v>475</v>
      </c>
      <c r="BF9" s="0">
        <f>IFERROR(BE9*AN9,"-")</f>
        <v/>
      </c>
      <c r="BG9" s="0" t="inlineStr">
        <is>
          <t>アイリスオーヤマ ファイルスタンド(2個セット) FSー25EW×2 白 FS-25EWX2_W 1セット(2個)（直送品）</t>
        </is>
      </c>
    </row>
    <row r="10">
      <c r="A10" s="0">
        <f>TEXT(F10,"000000")</f>
        <v/>
      </c>
      <c r="B10" s="3" t="n">
        <v>158</v>
      </c>
      <c r="C10" s="3" t="n">
        <v>158</v>
      </c>
      <c r="D10" s="4" t="n">
        <v>667198</v>
      </c>
      <c r="E10" s="4">
        <f>TEXT(D10,"000000")</f>
        <v/>
      </c>
      <c r="F10" s="4" t="n">
        <v>667198</v>
      </c>
      <c r="G10" s="4">
        <f>E10&amp;J10</f>
        <v/>
      </c>
      <c r="H10" s="4" t="inlineStr">
        <is>
          <t>ｱｲﾘｽｵｰﾔﾏ/ﾌｧｲﾙｺﾝﾃﾅ A4ﾜｲﾄﾞ用ﾌﾀ ｸﾘｱ/RCL40(209584)</t>
        </is>
      </c>
      <c r="I10" s="58" t="n">
        <v>4905009826766</v>
      </c>
      <c r="J10" s="58" t="n">
        <v>5</v>
      </c>
      <c r="K10" s="58" t="n"/>
      <c r="L10" s="58" t="n">
        <v>1</v>
      </c>
      <c r="M10" s="58" t="n">
        <v>1</v>
      </c>
      <c r="N10" s="4" t="n">
        <v>0</v>
      </c>
      <c r="O10" s="4" t="n">
        <v>770</v>
      </c>
      <c r="P10" s="4" t="n">
        <v>400</v>
      </c>
      <c r="Q10" s="59">
        <f>IFERROR(1-P10/O10,"-")</f>
        <v/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n">
        <v>0</v>
      </c>
      <c r="V10" s="4">
        <f>IF(Y10="",U10,U10*Y10)</f>
        <v/>
      </c>
      <c r="W10" s="4" t="n">
        <v>480</v>
      </c>
      <c r="X10" s="4">
        <f>IF(Y10="",W10,W10*Y10)</f>
        <v/>
      </c>
      <c r="Y10" s="4" t="n"/>
      <c r="Z10" s="21">
        <f>ROUND(O10*AN10,0)</f>
        <v/>
      </c>
      <c r="AA10" s="59">
        <f>IFERROR(1-X10/Z10,"-")</f>
        <v/>
      </c>
      <c r="AB10" s="4" t="n">
        <v>18</v>
      </c>
      <c r="AC10" s="4">
        <f>AY10</f>
        <v/>
      </c>
      <c r="AD10" s="4">
        <f>IFERROR(AC10*AN10,"-")</f>
        <v/>
      </c>
      <c r="AE10" s="59">
        <f>IFERROR(1-X10/AD10,"-")</f>
        <v/>
      </c>
      <c r="AF10" s="7" t="n">
        <v>818</v>
      </c>
      <c r="AG10" s="59">
        <f>1-X10/AF10</f>
        <v/>
      </c>
      <c r="AH10" s="4">
        <f>AF10-X10</f>
        <v/>
      </c>
      <c r="AI10" s="28" t="n"/>
      <c r="AJ10" s="59" t="n"/>
      <c r="AK10" s="59" t="n"/>
      <c r="AL10" s="59">
        <f>IFERROR(V10/N10,"-")</f>
        <v/>
      </c>
      <c r="AM10" s="59">
        <f>IFERROR(AF10/O10,"-")</f>
        <v/>
      </c>
      <c r="AN10" s="59">
        <f>IFERROR(X10/P10,"-")</f>
        <v/>
      </c>
      <c r="AO10" s="59">
        <f>IFERROR(1-X10/AP10,"-")</f>
        <v/>
      </c>
      <c r="AP10" s="4">
        <f>IFERROR(ROUND($AF10*R10/$O10,0),"-")</f>
        <v/>
      </c>
      <c r="AQ10" s="4">
        <f>IF(S10="","-",S10)</f>
        <v/>
      </c>
      <c r="AR10" s="4">
        <f>IF(T10="","-",T10)</f>
        <v/>
      </c>
      <c r="AS10" s="4" t="inlineStr">
        <is>
          <t>34/318</t>
        </is>
      </c>
      <c r="AT10" s="4" t="inlineStr">
        <is>
          <t>3448402</t>
        </is>
      </c>
      <c r="AU10" s="4" t="n"/>
      <c r="AV10" s="4" t="n"/>
      <c r="AW10" s="4" t="inlineStr">
        <is>
          <t>1枚</t>
        </is>
      </c>
      <c r="AX10" s="4" t="n">
        <v>819</v>
      </c>
      <c r="AY10" s="4">
        <f>IF(AU10="",AX10,AU10/AV10*AX10)</f>
        <v/>
      </c>
      <c r="AZ10" s="19" t="n">
        <v>4</v>
      </c>
      <c r="BA10" s="19" t="n">
        <v>1</v>
      </c>
      <c r="BB10" s="16" t="n">
        <v>350</v>
      </c>
      <c r="BC10" s="0" t="n">
        <v>876</v>
      </c>
      <c r="BD10" s="0">
        <f>IFERROR(BC10*AN10,"-")</f>
        <v/>
      </c>
      <c r="BE10" s="0" t="n">
        <v>727</v>
      </c>
      <c r="BF10" s="0">
        <f>IFERROR(BE10*AN10,"-")</f>
        <v/>
      </c>
      <c r="BG10" s="0" t="inlineStr">
        <is>
          <t>【フタ単品】アイリスオーヤマ ファイルコンテナ(FRC-40)専用 ふた  40L ラックコンテナ A4ワイド クリア RCL-40 １個</t>
        </is>
      </c>
    </row>
    <row r="11">
      <c r="A11" s="0">
        <f>TEXT(F11,"000000")</f>
        <v/>
      </c>
      <c r="B11" s="3" t="n">
        <v>150</v>
      </c>
      <c r="C11" s="3" t="n">
        <v>150</v>
      </c>
      <c r="D11" s="4" t="inlineStr">
        <is>
          <t>J586PW</t>
        </is>
      </c>
      <c r="E11" s="4">
        <f>TEXT(D11,"000000")</f>
        <v/>
      </c>
      <c r="F11" s="4" t="inlineStr">
        <is>
          <t>J586PW</t>
        </is>
      </c>
      <c r="G11" s="4">
        <f>E11&amp;J11</f>
        <v/>
      </c>
      <c r="H11" s="4" t="inlineStr">
        <is>
          <t>ｱｲﾘｽｵｰﾔﾏ/ﾌｫﾙﾀﾞｰﾎﾞｯｸｽ 340ｽｰﾊﾟｰﾜｲﾄﾞ A4 ｸﾘｱ/B-FB340SW</t>
        </is>
      </c>
      <c r="I11" s="58" t="n">
        <v>4967576197342</v>
      </c>
      <c r="J11" s="58" t="n">
        <v>5</v>
      </c>
      <c r="K11" s="58" t="n"/>
      <c r="L11" s="58" t="n">
        <v>1</v>
      </c>
      <c r="M11" s="58" t="n">
        <v>1</v>
      </c>
      <c r="N11" s="4" t="n">
        <v>0</v>
      </c>
      <c r="O11" s="4" t="n">
        <v>676</v>
      </c>
      <c r="P11" s="4" t="n">
        <v>410</v>
      </c>
      <c r="Q11" s="59">
        <f>IFERROR(1-P11/O11,"-")</f>
        <v/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n">
        <v>0</v>
      </c>
      <c r="V11" s="4">
        <f>IF(Y11="",U11,U11*Y11)</f>
        <v/>
      </c>
      <c r="W11" s="4" t="n">
        <v>484</v>
      </c>
      <c r="X11" s="4">
        <f>IF(Y11="",W11,W11*Y11)</f>
        <v/>
      </c>
      <c r="Y11" s="4" t="n"/>
      <c r="Z11" s="21">
        <f>ROUND(O11*AN11,0)</f>
        <v/>
      </c>
      <c r="AA11" s="59">
        <f>IFERROR(1-X11/Z11,"-")</f>
        <v/>
      </c>
      <c r="AB11" s="4" t="n">
        <v>2.5</v>
      </c>
      <c r="AC11" s="4">
        <f>AY11</f>
        <v/>
      </c>
      <c r="AD11" s="4">
        <f>IFERROR(AC11*AN11,"-")</f>
        <v/>
      </c>
      <c r="AE11" s="59">
        <f>IFERROR(1-X11/AD11,"-")</f>
        <v/>
      </c>
      <c r="AF11" s="7" t="n">
        <v>617</v>
      </c>
      <c r="AG11" s="59">
        <f>1-X11/AF11</f>
        <v/>
      </c>
      <c r="AH11" s="4">
        <f>AF11-X11</f>
        <v/>
      </c>
      <c r="AI11" s="28" t="n"/>
      <c r="AJ11" s="59" t="n"/>
      <c r="AK11" s="59" t="n"/>
      <c r="AL11" s="59">
        <f>IFERROR(V11/N11,"-")</f>
        <v/>
      </c>
      <c r="AM11" s="59">
        <f>IFERROR(AF11/O11,"-")</f>
        <v/>
      </c>
      <c r="AN11" s="59">
        <f>IFERROR(X11/P11,"-")</f>
        <v/>
      </c>
      <c r="AO11" s="59">
        <f>IFERROR(1-X11/AP11,"-")</f>
        <v/>
      </c>
      <c r="AP11" s="4">
        <f>IFERROR(ROUND($AF11*R11/$O11,0),"-")</f>
        <v/>
      </c>
      <c r="AQ11" s="4">
        <f>IF(S11="","-",S11)</f>
        <v/>
      </c>
      <c r="AR11" s="4">
        <f>IF(T11="","-",T11)</f>
        <v/>
      </c>
      <c r="AS11" s="4" t="n">
        <v>0</v>
      </c>
      <c r="AT11" s="4" t="inlineStr">
        <is>
          <t>2870394</t>
        </is>
      </c>
      <c r="AU11" s="4" t="n"/>
      <c r="AV11" s="4" t="n"/>
      <c r="AW11" s="4" t="inlineStr">
        <is>
          <t>1個</t>
        </is>
      </c>
      <c r="AX11" s="4" t="n">
        <v>618</v>
      </c>
      <c r="AY11" s="4">
        <f>IF(AU11="",AX11,AU11/AV11*AX11)</f>
        <v/>
      </c>
      <c r="AZ11" s="19" t="n">
        <v>4</v>
      </c>
      <c r="BA11" s="19" t="n">
        <v>8</v>
      </c>
      <c r="BB11" s="16" t="n">
        <v>350</v>
      </c>
      <c r="BC11" s="0" t="inlineStr">
        <is>
          <t>-</t>
        </is>
      </c>
      <c r="BD11" s="0">
        <f>IFERROR(BC11*AN11,"-")</f>
        <v/>
      </c>
      <c r="BE11" s="0" t="n">
        <v>814</v>
      </c>
      <c r="BF11" s="0">
        <f>IFERROR(BE11*AN11,"-")</f>
        <v/>
      </c>
      <c r="BG11" s="0" t="inlineStr">
        <is>
          <t>アイリスオーヤマ フォルダーボックス 340 スーパーワイド B-FB340SW(227707) 1個</t>
        </is>
      </c>
    </row>
    <row r="12">
      <c r="A12" s="0">
        <f>TEXT(F12,"000000")</f>
        <v/>
      </c>
      <c r="B12" s="37" t="n">
        <v>159</v>
      </c>
      <c r="C12" s="3" t="n">
        <v>159</v>
      </c>
      <c r="D12" s="4" t="n">
        <v>667199</v>
      </c>
      <c r="E12" s="4">
        <f>TEXT(D12,"000000")</f>
        <v/>
      </c>
      <c r="F12" s="4" t="n">
        <v>667199</v>
      </c>
      <c r="G12" s="4">
        <f>E12&amp;J12</f>
        <v/>
      </c>
      <c r="H12" s="4" t="inlineStr">
        <is>
          <t>ｱｲﾘｽｵｰﾔﾏ/ﾌｧｲﾙｺﾝﾃﾅ B4用ﾌﾀ ｸﾘｱ/RCL55(209586)</t>
        </is>
      </c>
      <c r="I12" s="58" t="n">
        <v>4905009826780</v>
      </c>
      <c r="J12" s="58" t="n">
        <v>5</v>
      </c>
      <c r="K12" s="58" t="n"/>
      <c r="L12" s="58" t="n">
        <v>1</v>
      </c>
      <c r="M12" s="58" t="n">
        <v>1</v>
      </c>
      <c r="N12" s="4" t="n">
        <v>0</v>
      </c>
      <c r="O12" s="4" t="n">
        <v>1200</v>
      </c>
      <c r="P12" s="4" t="n">
        <v>500</v>
      </c>
      <c r="Q12" s="59">
        <f>IFERROR(1-P12/O12,"-")</f>
        <v/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n">
        <v>0</v>
      </c>
      <c r="V12" s="4">
        <f>IF(Y12="",U12,U12*Y12)</f>
        <v/>
      </c>
      <c r="W12" s="4" t="n">
        <v>600</v>
      </c>
      <c r="X12" s="4">
        <f>IF(Y12="",W12,W12*Y12)</f>
        <v/>
      </c>
      <c r="Y12" s="4" t="n"/>
      <c r="Z12" s="21">
        <f>ROUND(O12*AN12,0)</f>
        <v/>
      </c>
      <c r="AA12" s="59">
        <f>IFERROR(1-X12/Z12,"-")</f>
        <v/>
      </c>
      <c r="AB12" s="4" t="n">
        <v>0.25</v>
      </c>
      <c r="AC12" s="4">
        <f>AY12</f>
        <v/>
      </c>
      <c r="AD12" s="4">
        <f>IFERROR(AC12*AN12,"-")</f>
        <v/>
      </c>
      <c r="AE12" s="59">
        <f>IFERROR(1-X12/AD12,"-")</f>
        <v/>
      </c>
      <c r="AF12" s="7" t="n">
        <v>909</v>
      </c>
      <c r="AG12" s="59">
        <f>1-X12/AF12</f>
        <v/>
      </c>
      <c r="AH12" s="38">
        <f>AF12-X12</f>
        <v/>
      </c>
      <c r="AI12" s="28" t="n"/>
      <c r="AJ12" s="59" t="n"/>
      <c r="AK12" s="59" t="n"/>
      <c r="AL12" s="59">
        <f>IFERROR(V12/N12,"-")</f>
        <v/>
      </c>
      <c r="AM12" s="59">
        <f>IFERROR(AF12/O12,"-")</f>
        <v/>
      </c>
      <c r="AN12" s="59">
        <f>IFERROR(X12/P12,"-")</f>
        <v/>
      </c>
      <c r="AO12" s="59">
        <f>IFERROR(1-X12/AP12,"-")</f>
        <v/>
      </c>
      <c r="AP12" s="4">
        <f>IFERROR(ROUND($AF12*R12/$O12,0),"-")</f>
        <v/>
      </c>
      <c r="AQ12" s="4">
        <f>IF(S12="","-",S12)</f>
        <v/>
      </c>
      <c r="AR12" s="4">
        <f>IF(T12="","-",T12)</f>
        <v/>
      </c>
      <c r="AS12" s="4" t="inlineStr">
        <is>
          <t>34/318</t>
        </is>
      </c>
      <c r="AT12" s="4" t="inlineStr">
        <is>
          <t>3445652</t>
        </is>
      </c>
      <c r="AU12" s="4" t="n"/>
      <c r="AV12" s="4" t="n"/>
      <c r="AW12" s="4" t="inlineStr">
        <is>
          <t>1枚</t>
        </is>
      </c>
      <c r="AX12" s="4" t="n">
        <v>910</v>
      </c>
      <c r="AY12" s="4">
        <f>IF(AU12="",AX12,AU12/AV12*AX12)</f>
        <v/>
      </c>
      <c r="AZ12" s="19" t="n">
        <v>2</v>
      </c>
      <c r="BA12" s="19" t="n">
        <v>8</v>
      </c>
      <c r="BB12" s="16" t="n">
        <v>350</v>
      </c>
      <c r="BC12" s="0" t="inlineStr">
        <is>
          <t>-</t>
        </is>
      </c>
      <c r="BD12" s="0">
        <f>IFERROR(BC12*AN12,"-")</f>
        <v/>
      </c>
      <c r="BE12" s="0" t="n">
        <v>853</v>
      </c>
      <c r="BF12" s="0">
        <f>IFERROR(BE12*AN12,"-")</f>
        <v/>
      </c>
      <c r="BG12" s="0" t="inlineStr">
        <is>
          <t>アイリスオーヤマ　ファイルコンテナ用フタ（B4）　クリア　RCL-55　1個</t>
        </is>
      </c>
    </row>
    <row r="13">
      <c r="A13" s="0">
        <f>TEXT(F13,"000000")</f>
        <v/>
      </c>
      <c r="B13" s="3" t="n">
        <v>173</v>
      </c>
      <c r="C13" s="3" t="n">
        <v>173</v>
      </c>
      <c r="D13" s="4" t="n">
        <v>667193</v>
      </c>
      <c r="E13" s="4">
        <f>TEXT(D13,"000000")</f>
        <v/>
      </c>
      <c r="F13" s="4" t="n">
        <v>667193</v>
      </c>
      <c r="G13" s="4">
        <f>E13&amp;J13</f>
        <v/>
      </c>
      <c r="H13" s="4" t="inlineStr">
        <is>
          <t>ｱｲﾘｽｵｰﾔﾏ/ﾌｧｲﾙｺﾝﾃﾅ A4ｼｮｰﾄ ｸﾘｱ/FRC17(209576)</t>
        </is>
      </c>
      <c r="I13" s="58" t="n">
        <v>4905009826681</v>
      </c>
      <c r="J13" s="58" t="n">
        <v>5</v>
      </c>
      <c r="K13" s="58" t="n"/>
      <c r="L13" s="58" t="n">
        <v>1</v>
      </c>
      <c r="M13" s="58" t="n">
        <v>1</v>
      </c>
      <c r="N13" s="4" t="n">
        <v>0</v>
      </c>
      <c r="O13" s="4" t="n">
        <v>1339</v>
      </c>
      <c r="P13" s="4" t="n">
        <v>800</v>
      </c>
      <c r="Q13" s="59">
        <f>IFERROR(1-P13/O13,"-")</f>
        <v/>
      </c>
      <c r="R13" s="4" t="n">
        <v>1198</v>
      </c>
      <c r="S13" s="4" t="n">
        <v>6</v>
      </c>
      <c r="T13" s="4" t="n">
        <v>99999</v>
      </c>
      <c r="U13" s="4" t="n">
        <v>0</v>
      </c>
      <c r="V13" s="4">
        <f>IF(Y13="",U13,U13*Y13)</f>
        <v/>
      </c>
      <c r="W13" s="4" t="n">
        <v>1000</v>
      </c>
      <c r="X13" s="4">
        <f>IF(Y13="",W13,W13*Y13)</f>
        <v/>
      </c>
      <c r="Y13" s="4" t="n"/>
      <c r="Z13" s="21">
        <f>ROUND(O13*AN13,0)</f>
        <v/>
      </c>
      <c r="AA13" s="59">
        <f>IFERROR(1-X13/Z13,"-")</f>
        <v/>
      </c>
      <c r="AB13" s="4" t="n">
        <v>10.75</v>
      </c>
      <c r="AC13" s="4">
        <f>AY13</f>
        <v/>
      </c>
      <c r="AD13" s="4">
        <f>IFERROR(AC13*AN13,"-")</f>
        <v/>
      </c>
      <c r="AE13" s="59">
        <f>IFERROR(1-X13/AD13,"-")</f>
        <v/>
      </c>
      <c r="AF13" s="7" t="n">
        <v>1981</v>
      </c>
      <c r="AG13" s="59">
        <f>1-X13/AF13</f>
        <v/>
      </c>
      <c r="AH13" s="4">
        <f>AF13-X13</f>
        <v/>
      </c>
      <c r="AI13" s="28" t="n"/>
      <c r="AJ13" s="59" t="n"/>
      <c r="AK13" s="59" t="n"/>
      <c r="AL13" s="60">
        <f>IFERROR(V13/N13,"-")</f>
        <v/>
      </c>
      <c r="AM13" s="59">
        <f>IFERROR(AF13/O13,"-")</f>
        <v/>
      </c>
      <c r="AN13" s="59">
        <f>IFERROR(X13/P13,"-")</f>
        <v/>
      </c>
      <c r="AO13" s="59">
        <f>IFERROR(1-X13/AP13,"-")</f>
        <v/>
      </c>
      <c r="AP13" s="4" t="n">
        <v>1500</v>
      </c>
      <c r="AQ13" s="4">
        <f>IF(S13="","-",S13)</f>
        <v/>
      </c>
      <c r="AR13" s="4">
        <f>IF(T13="","-",T13)</f>
        <v/>
      </c>
      <c r="AS13" s="4" t="inlineStr">
        <is>
          <t>34/318</t>
        </is>
      </c>
      <c r="AT13" s="4" t="inlineStr">
        <is>
          <t>3445680</t>
        </is>
      </c>
      <c r="AU13" s="4" t="n"/>
      <c r="AV13" s="4" t="n"/>
      <c r="AW13" s="4" t="inlineStr">
        <is>
          <t>1個</t>
        </is>
      </c>
      <c r="AX13" s="4" t="n">
        <v>1982</v>
      </c>
      <c r="AY13" s="4">
        <f>IF(AU13="",AX13,AU13/AV13*AX13)</f>
        <v/>
      </c>
      <c r="AZ13" s="19" t="n">
        <v>4</v>
      </c>
      <c r="BA13" s="19" t="n">
        <v>1</v>
      </c>
      <c r="BB13" s="16" t="n">
        <v>350</v>
      </c>
      <c r="BC13" s="0" t="n">
        <v>1828</v>
      </c>
      <c r="BD13" s="0">
        <f>IFERROR(BC13*AN13,"-")</f>
        <v/>
      </c>
      <c r="BE13" s="0" t="n">
        <v>2330</v>
      </c>
      <c r="BF13" s="0">
        <f>IFERROR(BE13*AN13,"-")</f>
        <v/>
      </c>
      <c r="BG13" s="0" t="inlineStr">
        <is>
          <t>アイリスオーヤマ　ファイルコンテナ（A4ショート）　17L　クリア　1個</t>
        </is>
      </c>
    </row>
    <row r="14">
      <c r="A14" s="0">
        <f>TEXT(F14,"000000")</f>
        <v/>
      </c>
      <c r="B14" s="3" t="n">
        <v>155</v>
      </c>
      <c r="C14" s="3" t="n">
        <v>155</v>
      </c>
      <c r="D14" s="4" t="n">
        <v>667194</v>
      </c>
      <c r="E14" s="4">
        <f>TEXT(D14,"000000")</f>
        <v/>
      </c>
      <c r="F14" s="4" t="n">
        <v>667194</v>
      </c>
      <c r="G14" s="4">
        <f>E14&amp;J14</f>
        <v/>
      </c>
      <c r="H14" s="4" t="inlineStr">
        <is>
          <t>ｱｲﾘｽｵｰﾔﾏ/ﾌｧｲﾙｺﾝﾃﾅ A4ﾜｲﾄﾞ ｸﾘｱ/FRC40(209578)</t>
        </is>
      </c>
      <c r="I14" s="58" t="n">
        <v>4905009826704</v>
      </c>
      <c r="J14" s="58" t="n">
        <v>5</v>
      </c>
      <c r="K14" s="58" t="n"/>
      <c r="L14" s="58" t="n">
        <v>1</v>
      </c>
      <c r="M14" s="58" t="n">
        <v>1</v>
      </c>
      <c r="N14" s="4" t="n">
        <v>0</v>
      </c>
      <c r="O14" s="4" t="n">
        <v>2368</v>
      </c>
      <c r="P14" s="4" t="n">
        <v>1200</v>
      </c>
      <c r="Q14" s="59">
        <f>IFERROR(1-P14/O14,"-")</f>
        <v/>
      </c>
      <c r="R14" s="4" t="n">
        <v>2173</v>
      </c>
      <c r="S14" s="4" t="n">
        <v>6</v>
      </c>
      <c r="T14" s="4" t="n">
        <v>99999</v>
      </c>
      <c r="U14" s="4" t="n">
        <v>0</v>
      </c>
      <c r="V14" s="4">
        <f>IF(Y14="",U14,U14*Y14)</f>
        <v/>
      </c>
      <c r="W14" s="4" t="n">
        <v>1440</v>
      </c>
      <c r="X14" s="4">
        <f>IF(Y14="",W14,W14*Y14)</f>
        <v/>
      </c>
      <c r="Y14" s="4" t="n"/>
      <c r="Z14" s="21">
        <f>ROUND(O14*AN14,0)</f>
        <v/>
      </c>
      <c r="AA14" s="59">
        <f>IFERROR(1-X14/Z14,"-")</f>
        <v/>
      </c>
      <c r="AB14" s="4" t="n">
        <v>22</v>
      </c>
      <c r="AC14" s="4">
        <f>AY14</f>
        <v/>
      </c>
      <c r="AD14" s="4">
        <f>IFERROR(AC14*AN14,"-")</f>
        <v/>
      </c>
      <c r="AE14" s="59">
        <f>IFERROR(1-X14/AD14,"-")</f>
        <v/>
      </c>
      <c r="AF14" s="7" t="n">
        <v>2699</v>
      </c>
      <c r="AG14" s="59">
        <f>1-X14/AF14</f>
        <v/>
      </c>
      <c r="AH14" s="4">
        <f>AF14-X14</f>
        <v/>
      </c>
      <c r="AI14" s="28" t="n"/>
      <c r="AJ14" s="59" t="n"/>
      <c r="AK14" s="59" t="n"/>
      <c r="AL14" s="60">
        <f>IFERROR(V14/N14,"-")</f>
        <v/>
      </c>
      <c r="AM14" s="59">
        <f>IFERROR(AF14/O14,"-")</f>
        <v/>
      </c>
      <c r="AN14" s="59">
        <f>IFERROR(X14/P14,"-")</f>
        <v/>
      </c>
      <c r="AO14" s="59">
        <f>IFERROR(1-X14/AP14,"-")</f>
        <v/>
      </c>
      <c r="AP14" s="4" t="n">
        <v>2580</v>
      </c>
      <c r="AQ14" s="4">
        <f>IF(S14="","-",S14)</f>
        <v/>
      </c>
      <c r="AR14" s="4">
        <f>IF(T14="","-",T14)</f>
        <v/>
      </c>
      <c r="AS14" s="4" t="inlineStr">
        <is>
          <t>34/318</t>
        </is>
      </c>
      <c r="AT14" s="4" t="inlineStr">
        <is>
          <t>3445699</t>
        </is>
      </c>
      <c r="AU14" s="4" t="n"/>
      <c r="AV14" s="4" t="n"/>
      <c r="AW14" s="4" t="inlineStr">
        <is>
          <t>1個</t>
        </is>
      </c>
      <c r="AX14" s="4" t="n">
        <v>2700</v>
      </c>
      <c r="AY14" s="4">
        <f>IF(AU14="",AX14,AU14/AV14*AX14)</f>
        <v/>
      </c>
      <c r="AZ14" s="19" t="n">
        <v>4</v>
      </c>
      <c r="BA14" s="19" t="n">
        <v>1</v>
      </c>
      <c r="BB14" s="16" t="n">
        <v>350</v>
      </c>
      <c r="BC14" s="0" t="inlineStr">
        <is>
          <t>-</t>
        </is>
      </c>
      <c r="BD14" s="0">
        <f>IFERROR(BC14*AN14,"-")</f>
        <v/>
      </c>
      <c r="BE14" s="0" t="n">
        <v>3327</v>
      </c>
      <c r="BF14" s="0">
        <f>IFERROR(BE14*AN14,"-")</f>
        <v/>
      </c>
      <c r="BG14" s="0" t="inlineStr">
        <is>
          <t>アイリスオーヤマ　ファイルコンテナ（A4ワイド）　40L　クリア　FRC-40　1個</t>
        </is>
      </c>
    </row>
    <row r="15">
      <c r="A15" s="0">
        <f>TEXT(F15,"000000")</f>
        <v/>
      </c>
      <c r="B15" s="37" t="n">
        <v>156</v>
      </c>
      <c r="C15" s="3" t="n">
        <v>156</v>
      </c>
      <c r="D15" s="4" t="n">
        <v>667195</v>
      </c>
      <c r="E15" s="4">
        <f>TEXT(D15,"000000")</f>
        <v/>
      </c>
      <c r="F15" s="4" t="n">
        <v>667195</v>
      </c>
      <c r="G15" s="4">
        <f>E15&amp;J15</f>
        <v/>
      </c>
      <c r="H15" s="4" t="inlineStr">
        <is>
          <t>ｱｲﾘｽｵｰﾔﾏ/ﾌｧｲﾙｺﾝﾃﾅ B4 ｸﾘｱ/FRC55(209580)</t>
        </is>
      </c>
      <c r="I15" s="58" t="n">
        <v>4905009826728</v>
      </c>
      <c r="J15" s="58" t="n">
        <v>5</v>
      </c>
      <c r="K15" s="58" t="n"/>
      <c r="L15" s="58" t="n">
        <v>1</v>
      </c>
      <c r="M15" s="58" t="n">
        <v>1</v>
      </c>
      <c r="N15" s="4" t="n">
        <v>0</v>
      </c>
      <c r="O15" s="4" t="n">
        <v>2606</v>
      </c>
      <c r="P15" s="4" t="n">
        <v>1500</v>
      </c>
      <c r="Q15" s="59">
        <f>IFERROR(1-P15/O15,"-")</f>
        <v/>
      </c>
      <c r="R15" s="4" t="n">
        <v>2585</v>
      </c>
      <c r="S15" s="4" t="n">
        <v>3</v>
      </c>
      <c r="T15" s="4" t="n">
        <v>99999</v>
      </c>
      <c r="U15" s="4" t="n">
        <v>0</v>
      </c>
      <c r="V15" s="4">
        <f>IF(Y15="",U15,U15*Y15)</f>
        <v/>
      </c>
      <c r="W15" s="4" t="n">
        <v>1800</v>
      </c>
      <c r="X15" s="4">
        <f>IF(Y15="",W15,W15*Y15)</f>
        <v/>
      </c>
      <c r="Y15" s="4" t="n"/>
      <c r="Z15" s="21">
        <f>ROUND(O15*AN15,0)</f>
        <v/>
      </c>
      <c r="AA15" s="59">
        <f>IFERROR(1-X15/Z15,"-")</f>
        <v/>
      </c>
      <c r="AB15" s="4" t="n">
        <v>2.75</v>
      </c>
      <c r="AC15" s="4">
        <f>AY15</f>
        <v/>
      </c>
      <c r="AD15" s="4">
        <f>IFERROR(AC15*AN15,"-")</f>
        <v/>
      </c>
      <c r="AE15" s="59">
        <f>IFERROR(1-X15/AD15,"-")</f>
        <v/>
      </c>
      <c r="AF15" s="7" t="n">
        <v>3081</v>
      </c>
      <c r="AG15" s="59">
        <f>1-X15/AF15</f>
        <v/>
      </c>
      <c r="AH15" s="38">
        <f>AF15-X15</f>
        <v/>
      </c>
      <c r="AI15" s="28" t="n"/>
      <c r="AJ15" s="59" t="n"/>
      <c r="AK15" s="59" t="n"/>
      <c r="AL15" s="60">
        <f>IFERROR(V15/N15,"-")</f>
        <v/>
      </c>
      <c r="AM15" s="59">
        <f>IFERROR(AF15/O15,"-")</f>
        <v/>
      </c>
      <c r="AN15" s="59">
        <f>IFERROR(X15/P15,"-")</f>
        <v/>
      </c>
      <c r="AO15" s="59">
        <f>IFERROR(1-X15/AP15,"-")</f>
        <v/>
      </c>
      <c r="AP15" s="4" t="n">
        <v>3000</v>
      </c>
      <c r="AQ15" s="4">
        <f>IF(S15="","-",S15)</f>
        <v/>
      </c>
      <c r="AR15" s="4">
        <f>IF(T15="","-",T15)</f>
        <v/>
      </c>
      <c r="AS15" s="4" t="inlineStr">
        <is>
          <t>34/318</t>
        </is>
      </c>
      <c r="AT15" s="4" t="inlineStr">
        <is>
          <t>3445779</t>
        </is>
      </c>
      <c r="AU15" s="4" t="n"/>
      <c r="AV15" s="4" t="n"/>
      <c r="AW15" s="4" t="inlineStr">
        <is>
          <t>1個</t>
        </is>
      </c>
      <c r="AX15" s="4" t="n">
        <v>3082</v>
      </c>
      <c r="AY15" s="4">
        <f>IF(AU15="",AX15,AU15/AV15*AX15)</f>
        <v/>
      </c>
      <c r="AZ15" s="19" t="n">
        <v>2</v>
      </c>
      <c r="BA15" s="19" t="n">
        <v>8</v>
      </c>
      <c r="BB15" s="16" t="n">
        <v>350</v>
      </c>
      <c r="BC15" s="0" t="inlineStr">
        <is>
          <t>-</t>
        </is>
      </c>
      <c r="BD15" s="0">
        <f>IFERROR(BC15*AN15,"-")</f>
        <v/>
      </c>
      <c r="BE15" s="0" t="n">
        <v>4121</v>
      </c>
      <c r="BF15" s="0">
        <f>IFERROR(BE15*AN15,"-")</f>
        <v/>
      </c>
      <c r="BG15" s="0" t="inlineStr">
        <is>
          <t>アイリスオーヤマ　ファイルコンテナ（B4）　55L　クリア　FRC-55　1個</t>
        </is>
      </c>
    </row>
    <row r="16">
      <c r="A16" s="0">
        <f>TEXT(F16,"000000")</f>
        <v/>
      </c>
      <c r="B16" s="3" t="n">
        <v>116</v>
      </c>
      <c r="C16" s="3" t="n">
        <v>116</v>
      </c>
      <c r="D16" s="4" t="inlineStr">
        <is>
          <t>J532LT</t>
        </is>
      </c>
      <c r="E16" s="4">
        <f>TEXT(D16,"000000")</f>
        <v/>
      </c>
      <c r="F16" s="4" t="inlineStr">
        <is>
          <t>J532LT</t>
        </is>
      </c>
      <c r="G16" s="4">
        <f>E16&amp;J16</f>
        <v/>
      </c>
      <c r="H16" s="4" t="inlineStr">
        <is>
          <t>ｱｲﾘｽｵｰﾔﾏ/ﾌﾘｰｹｰｽ F-3</t>
        </is>
      </c>
      <c r="I16" s="58" t="n">
        <v>4905009375196</v>
      </c>
      <c r="J16" s="58" t="n">
        <v>5</v>
      </c>
      <c r="K16" s="58" t="n"/>
      <c r="L16" s="58" t="n">
        <v>1</v>
      </c>
      <c r="M16" s="58" t="n">
        <v>1</v>
      </c>
      <c r="N16" s="4" t="n">
        <v>0</v>
      </c>
      <c r="O16" s="4" t="n">
        <v>904</v>
      </c>
      <c r="P16" s="4" t="n">
        <v>520</v>
      </c>
      <c r="Q16" s="59">
        <f>IFERROR(1-P16/O16,"-")</f>
        <v/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n">
        <v>0</v>
      </c>
      <c r="V16" s="4">
        <f>IF(Y16="",U16,U16*Y16)</f>
        <v/>
      </c>
      <c r="W16" s="4" t="n">
        <v>572</v>
      </c>
      <c r="X16" s="4">
        <f>IF(Y16="",W16,W16*Y16)</f>
        <v/>
      </c>
      <c r="Y16" s="4" t="n"/>
      <c r="Z16" s="21">
        <f>ROUND(O16*AN16,0)</f>
        <v/>
      </c>
      <c r="AA16" s="59">
        <f>IFERROR(1-X16/Z16,"-")</f>
        <v/>
      </c>
      <c r="AB16" s="4" t="n">
        <v>1.75</v>
      </c>
      <c r="AC16" s="4">
        <f>AY16</f>
        <v/>
      </c>
      <c r="AD16" s="4">
        <f>IFERROR(AC16*AN16,"-")</f>
        <v/>
      </c>
      <c r="AE16" s="59">
        <f>IFERROR(1-X16/AD16,"-")</f>
        <v/>
      </c>
      <c r="AF16" s="7" t="n">
        <v>815</v>
      </c>
      <c r="AG16" s="59">
        <f>1-X16/AF16</f>
        <v/>
      </c>
      <c r="AH16" s="4">
        <f>AF16-X16</f>
        <v/>
      </c>
      <c r="AI16" s="28" t="n"/>
      <c r="AJ16" s="59" t="n"/>
      <c r="AK16" s="59" t="n"/>
      <c r="AL16" s="59">
        <f>IFERROR(V16/N16,"-")</f>
        <v/>
      </c>
      <c r="AM16" s="59">
        <f>IFERROR(AF16/O16,"-")</f>
        <v/>
      </c>
      <c r="AN16" s="59">
        <f>IFERROR(X16/P16,"-")</f>
        <v/>
      </c>
      <c r="AO16" s="59">
        <f>IFERROR(1-X16/AP16,"-")</f>
        <v/>
      </c>
      <c r="AP16" s="4">
        <f>IFERROR(ROUND($AF16*R16/$O16,0),"-")</f>
        <v/>
      </c>
      <c r="AQ16" s="4">
        <f>IF(S16="","-",S16)</f>
        <v/>
      </c>
      <c r="AR16" s="4">
        <f>IF(T16="","-",T16)</f>
        <v/>
      </c>
      <c r="AS16" s="4" t="n">
        <v>0</v>
      </c>
      <c r="AT16" s="4" t="inlineStr">
        <is>
          <t>A018646</t>
        </is>
      </c>
      <c r="AU16" s="4" t="n"/>
      <c r="AV16" s="4" t="n"/>
      <c r="AW16" s="4" t="inlineStr">
        <is>
          <t>1個</t>
        </is>
      </c>
      <c r="AX16" s="4" t="n">
        <v>816</v>
      </c>
      <c r="AY16" s="4">
        <f>IF(AU16="",AX16,AU16/AV16*AX16)</f>
        <v/>
      </c>
      <c r="AZ16" s="19" t="n">
        <v>4</v>
      </c>
      <c r="BA16" s="19" t="n">
        <v>8</v>
      </c>
      <c r="BB16" s="16" t="n">
        <v>610</v>
      </c>
      <c r="BC16" s="0" t="inlineStr">
        <is>
          <t>-</t>
        </is>
      </c>
      <c r="BD16" s="0">
        <f>IFERROR(BC16*AN16,"-")</f>
        <v/>
      </c>
      <c r="BE16" s="0" t="n">
        <v>816</v>
      </c>
      <c r="BF16" s="0">
        <f>IFERROR(BE16*AN16,"-")</f>
        <v/>
      </c>
      <c r="BG16" s="0" t="inlineStr">
        <is>
          <t>アイリスオーヤマ フリーケース Fー3 クリア F-3クリア 1個（直送品）</t>
        </is>
      </c>
    </row>
    <row r="17">
      <c r="A17" s="0">
        <f>TEXT(F17,"000000")</f>
        <v/>
      </c>
      <c r="B17" s="37" t="n">
        <v>123</v>
      </c>
      <c r="C17" s="3" t="n">
        <v>123</v>
      </c>
      <c r="D17" s="4" t="inlineStr">
        <is>
          <t>J603PW</t>
        </is>
      </c>
      <c r="E17" s="4">
        <f>TEXT(D17,"000000")</f>
        <v/>
      </c>
      <c r="F17" s="4" t="inlineStr">
        <is>
          <t>J603PW</t>
        </is>
      </c>
      <c r="G17" s="4">
        <f>E17&amp;J17</f>
        <v/>
      </c>
      <c r="H17" s="4" t="inlineStr">
        <is>
          <t>ｱｲﾘｽｵｰﾔﾏ/ﾃﾞｽｸﾏｯﾄ E型 600×450/DMT-6045E</t>
        </is>
      </c>
      <c r="I17" s="58" t="n">
        <v>4905009720415</v>
      </c>
      <c r="J17" s="58" t="n">
        <v>5</v>
      </c>
      <c r="K17" s="58" t="n"/>
      <c r="L17" s="58" t="n">
        <v>1</v>
      </c>
      <c r="M17" s="58" t="n">
        <v>1</v>
      </c>
      <c r="N17" s="4" t="n">
        <v>0</v>
      </c>
      <c r="O17" s="4" t="n">
        <v>1380</v>
      </c>
      <c r="P17" s="4" t="n">
        <v>770</v>
      </c>
      <c r="Q17" s="59">
        <f>IFERROR(1-P17/O17,"-")</f>
        <v/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n">
        <v>0</v>
      </c>
      <c r="V17" s="4">
        <f>IF(Y17="",U17,U17*Y17)</f>
        <v/>
      </c>
      <c r="W17" s="4" t="n">
        <v>847</v>
      </c>
      <c r="X17" s="4">
        <f>IF(Y17="",W17,W17*Y17)</f>
        <v/>
      </c>
      <c r="Y17" s="4" t="n"/>
      <c r="Z17" s="21">
        <f>ROUND(O17*AN17,0)</f>
        <v/>
      </c>
      <c r="AA17" s="59">
        <f>IFERROR(1-X17/Z17,"-")</f>
        <v/>
      </c>
      <c r="AB17" s="4" t="n">
        <v>1.5</v>
      </c>
      <c r="AC17" s="4">
        <f>AY17</f>
        <v/>
      </c>
      <c r="AD17" s="4">
        <f>IFERROR(AC17*AN17,"-")</f>
        <v/>
      </c>
      <c r="AE17" s="59">
        <f>IFERROR(1-X17/AD17,"-")</f>
        <v/>
      </c>
      <c r="AF17" s="7" t="n">
        <v>1245</v>
      </c>
      <c r="AG17" s="59">
        <f>1-X17/AF17</f>
        <v/>
      </c>
      <c r="AH17" s="38">
        <f>AF17-X17</f>
        <v/>
      </c>
      <c r="AI17" s="28" t="n"/>
      <c r="AJ17" s="59" t="n"/>
      <c r="AK17" s="59" t="n"/>
      <c r="AL17" s="59">
        <f>IFERROR(V17/N17,"-")</f>
        <v/>
      </c>
      <c r="AM17" s="59">
        <f>IFERROR(AF17/O17,"-")</f>
        <v/>
      </c>
      <c r="AN17" s="59">
        <f>IFERROR(X17/P17,"-")</f>
        <v/>
      </c>
      <c r="AO17" s="59">
        <f>IFERROR(1-X17/AP17,"-")</f>
        <v/>
      </c>
      <c r="AP17" s="4">
        <f>IFERROR(ROUND($AF17*R17/$O17,0),"-")</f>
        <v/>
      </c>
      <c r="AQ17" s="4">
        <f>IF(S17="","-",S17)</f>
        <v/>
      </c>
      <c r="AR17" s="4">
        <f>IF(T17="","-",T17)</f>
        <v/>
      </c>
      <c r="AS17" s="4" t="n">
        <v>0</v>
      </c>
      <c r="AT17" s="4" t="inlineStr">
        <is>
          <t>A018583</t>
        </is>
      </c>
      <c r="AU17" s="4" t="n"/>
      <c r="AV17" s="4" t="n"/>
      <c r="AW17" s="4" t="inlineStr">
        <is>
          <t>1枚</t>
        </is>
      </c>
      <c r="AX17" s="4" t="n">
        <v>1246</v>
      </c>
      <c r="AY17" s="4">
        <f>IF(AU17="",AX17,AU17/AV17*AX17)</f>
        <v/>
      </c>
      <c r="AZ17" s="19" t="n">
        <v>2</v>
      </c>
      <c r="BA17" s="19" t="n">
        <v>8</v>
      </c>
      <c r="BB17" s="16" t="n">
        <v>610</v>
      </c>
      <c r="BC17" s="0" t="inlineStr">
        <is>
          <t>-</t>
        </is>
      </c>
      <c r="BD17" s="0">
        <f>IFERROR(BC17*AN17,"-")</f>
        <v/>
      </c>
      <c r="BE17" s="0" t="n">
        <v>1246</v>
      </c>
      <c r="BF17" s="0">
        <f>IFERROR(BE17*AN17,"-")</f>
        <v/>
      </c>
      <c r="BG17" s="0" t="inlineStr">
        <is>
          <t>アイリスオーヤマ デスクマット DMTー6045E 1枚（直送品）</t>
        </is>
      </c>
    </row>
    <row r="18">
      <c r="A18" s="0">
        <f>TEXT(F18,"000000")</f>
        <v/>
      </c>
      <c r="B18" s="37" t="n">
        <v>139</v>
      </c>
      <c r="C18" s="3" t="n">
        <v>139</v>
      </c>
      <c r="D18" s="4" t="n">
        <v>191061</v>
      </c>
      <c r="E18" s="4">
        <f>TEXT(D18,"000000")</f>
        <v/>
      </c>
      <c r="F18" s="4" t="n">
        <v>191061</v>
      </c>
      <c r="G18" s="4">
        <f>E18&amp;J18</f>
        <v/>
      </c>
      <c r="H18" s="4" t="inlineStr">
        <is>
          <t>ｱｲﾘｽｵｰﾔﾏ/ﾃﾞｽｸﾏｯﾄ 下敷き付 600×450/DMT-6045PN</t>
        </is>
      </c>
      <c r="I18" s="58" t="n">
        <v>4905009566266</v>
      </c>
      <c r="J18" s="58" t="n">
        <v>5</v>
      </c>
      <c r="K18" s="58" t="n"/>
      <c r="L18" s="58" t="n">
        <v>1</v>
      </c>
      <c r="M18" s="58" t="n">
        <v>1</v>
      </c>
      <c r="N18" s="4" t="n">
        <v>0</v>
      </c>
      <c r="O18" s="4" t="n">
        <v>1753</v>
      </c>
      <c r="P18" s="4" t="n">
        <v>800</v>
      </c>
      <c r="Q18" s="59">
        <f>IFERROR(1-P18/O18,"-")</f>
        <v/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n">
        <v>0</v>
      </c>
      <c r="V18" s="4">
        <f>IF(Y18="",U18,U18*Y18)</f>
        <v/>
      </c>
      <c r="W18" s="4" t="n">
        <v>896</v>
      </c>
      <c r="X18" s="4">
        <f>IF(Y18="",W18,W18*Y18)</f>
        <v/>
      </c>
      <c r="Y18" s="4" t="n"/>
      <c r="Z18" s="21">
        <f>ROUND(O18*AN18,0)</f>
        <v/>
      </c>
      <c r="AA18" s="59">
        <f>IFERROR(1-X18/Z18,"-")</f>
        <v/>
      </c>
      <c r="AB18" s="4" t="n">
        <v>2</v>
      </c>
      <c r="AC18" s="4">
        <f>AY18</f>
        <v/>
      </c>
      <c r="AD18" s="4">
        <f>IFERROR(AC18*AN18,"-")</f>
        <v/>
      </c>
      <c r="AE18" s="59">
        <f>IFERROR(1-X18/AD18,"-")</f>
        <v/>
      </c>
      <c r="AF18" s="7" t="n">
        <v>2281</v>
      </c>
      <c r="AG18" s="59">
        <f>1-X18/AF18</f>
        <v/>
      </c>
      <c r="AH18" s="38">
        <f>AF18-X18</f>
        <v/>
      </c>
      <c r="AI18" s="28" t="n"/>
      <c r="AJ18" s="59" t="n"/>
      <c r="AK18" s="59" t="n"/>
      <c r="AL18" s="59">
        <f>IFERROR(V18/N18,"-")</f>
        <v/>
      </c>
      <c r="AM18" s="59">
        <f>IFERROR(AF18/O18,"-")</f>
        <v/>
      </c>
      <c r="AN18" s="59">
        <f>IFERROR(X18/P18,"-")</f>
        <v/>
      </c>
      <c r="AO18" s="59">
        <f>IFERROR(1-X18/AP18,"-")</f>
        <v/>
      </c>
      <c r="AP18" s="4">
        <f>IFERROR(ROUND($AF18*R18/$O18,0),"-")</f>
        <v/>
      </c>
      <c r="AQ18" s="4">
        <f>IF(S18="","-",S18)</f>
        <v/>
      </c>
      <c r="AR18" s="4">
        <f>IF(T18="","-",T18)</f>
        <v/>
      </c>
      <c r="AS18" s="4" t="inlineStr">
        <is>
          <t>34/327</t>
        </is>
      </c>
      <c r="AT18" s="4" t="inlineStr">
        <is>
          <t>A018577</t>
        </is>
      </c>
      <c r="AU18" s="4" t="n"/>
      <c r="AV18" s="4" t="n"/>
      <c r="AW18" s="4" t="inlineStr">
        <is>
          <t>1枚</t>
        </is>
      </c>
      <c r="AX18" s="4" t="n">
        <v>2282</v>
      </c>
      <c r="AY18" s="4">
        <f>IF(AU18="",AX18,AU18/AV18*AX18)</f>
        <v/>
      </c>
      <c r="AZ18" s="19" t="n">
        <v>2</v>
      </c>
      <c r="BA18" s="19" t="n">
        <v>1</v>
      </c>
      <c r="BB18" s="16" t="n">
        <v>610</v>
      </c>
      <c r="BC18" s="0" t="inlineStr">
        <is>
          <t>-</t>
        </is>
      </c>
      <c r="BD18" s="0">
        <f>IFERROR(BC18*AN18,"-")</f>
        <v/>
      </c>
      <c r="BE18" s="0" t="n">
        <v>1782</v>
      </c>
      <c r="BF18" s="0">
        <f>IFERROR(BE18*AN18,"-")</f>
        <v/>
      </c>
      <c r="BG18" s="0" t="inlineStr">
        <is>
          <t>アイリスオーヤマ デスクマット DMTー6045PN ナチュラル/グリーン 1枚（直送品）</t>
        </is>
      </c>
    </row>
    <row r="19">
      <c r="A19" s="0">
        <f>TEXT(F19,"000000")</f>
        <v/>
      </c>
      <c r="B19" s="3" t="n">
        <v>122</v>
      </c>
      <c r="C19" s="3" t="n">
        <v>122</v>
      </c>
      <c r="D19" s="4" t="inlineStr">
        <is>
          <t>J598PW</t>
        </is>
      </c>
      <c r="E19" s="4">
        <f>TEXT(D19,"000000")</f>
        <v/>
      </c>
      <c r="F19" s="4" t="inlineStr">
        <is>
          <t>J598PW</t>
        </is>
      </c>
      <c r="G19" s="4">
        <f>E19&amp;J19</f>
        <v/>
      </c>
      <c r="H19" s="4" t="inlineStr">
        <is>
          <t>ｱｲﾘｽｵｰﾔﾏ/ﾃﾞｽｸﾏｯﾄ 600×450 ﾅﾁｭﾗﾙ/ｸﾞﾘｰﾝ/DMT-6045PZ</t>
        </is>
      </c>
      <c r="I19" s="58" t="n">
        <v>4905009520329</v>
      </c>
      <c r="J19" s="58" t="n">
        <v>5</v>
      </c>
      <c r="K19" s="58" t="n"/>
      <c r="L19" s="58" t="n">
        <v>1</v>
      </c>
      <c r="M19" s="58" t="n">
        <v>1</v>
      </c>
      <c r="N19" s="4" t="n">
        <v>0</v>
      </c>
      <c r="O19" s="4" t="n">
        <v>1535</v>
      </c>
      <c r="P19" s="4" t="n">
        <v>1010</v>
      </c>
      <c r="Q19" s="59">
        <f>IFERROR(1-P19/O19,"-")</f>
        <v/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n">
        <v>0</v>
      </c>
      <c r="V19" s="4">
        <f>IF(Y19="",U19,U19*Y19)</f>
        <v/>
      </c>
      <c r="W19" s="4" t="n">
        <v>1111</v>
      </c>
      <c r="X19" s="4">
        <f>IF(Y19="",W19,W19*Y19)</f>
        <v/>
      </c>
      <c r="Y19" s="4" t="n"/>
      <c r="Z19" s="21">
        <f>ROUND(O19*AN19,0)</f>
        <v/>
      </c>
      <c r="AA19" s="59">
        <f>IFERROR(1-X19/Z19,"-")</f>
        <v/>
      </c>
      <c r="AB19" s="4" t="n">
        <v>0</v>
      </c>
      <c r="AC19" s="4">
        <f>AY19</f>
        <v/>
      </c>
      <c r="AD19" s="4">
        <f>IFERROR(AC19*AN19,"-")</f>
        <v/>
      </c>
      <c r="AE19" s="59">
        <f>IFERROR(1-X19/AD19,"-")</f>
        <v/>
      </c>
      <c r="AF19" s="7" t="n">
        <v>1979</v>
      </c>
      <c r="AG19" s="59">
        <f>1-X19/AF19</f>
        <v/>
      </c>
      <c r="AH19" s="4">
        <f>AF19-X19</f>
        <v/>
      </c>
      <c r="AI19" s="28" t="n"/>
      <c r="AJ19" s="59" t="n"/>
      <c r="AK19" s="59" t="n"/>
      <c r="AL19" s="59">
        <f>IFERROR(V19/N19,"-")</f>
        <v/>
      </c>
      <c r="AM19" s="59">
        <f>IFERROR(AF19/O19,"-")</f>
        <v/>
      </c>
      <c r="AN19" s="59">
        <f>IFERROR(X19/P19,"-")</f>
        <v/>
      </c>
      <c r="AO19" s="59">
        <f>IFERROR(1-X19/AP19,"-")</f>
        <v/>
      </c>
      <c r="AP19" s="4">
        <f>IFERROR(ROUND($AF19*R19/$O19,0),"-")</f>
        <v/>
      </c>
      <c r="AQ19" s="4">
        <f>IF(S19="","-",S19)</f>
        <v/>
      </c>
      <c r="AR19" s="4">
        <f>IF(T19="","-",T19)</f>
        <v/>
      </c>
      <c r="AS19" s="4" t="n">
        <v>0</v>
      </c>
      <c r="AT19" s="4" t="inlineStr">
        <is>
          <t>K806728</t>
        </is>
      </c>
      <c r="AU19" s="4" t="n"/>
      <c r="AV19" s="4" t="n"/>
      <c r="AW19" s="4" t="inlineStr">
        <is>
          <t>1個</t>
        </is>
      </c>
      <c r="AX19" s="4" t="n">
        <v>1980</v>
      </c>
      <c r="AY19" s="4">
        <f>IF(AU19="",AX19,AU19/AV19*AX19)</f>
        <v/>
      </c>
      <c r="AZ19" s="19" t="n">
        <v>4</v>
      </c>
      <c r="BA19" s="19" t="n">
        <v>8</v>
      </c>
      <c r="BB19" s="16" t="n">
        <v>610</v>
      </c>
      <c r="BC19" s="0" t="inlineStr">
        <is>
          <t>-</t>
        </is>
      </c>
      <c r="BD19" s="0">
        <f>IFERROR(BC19*AN19,"-")</f>
        <v/>
      </c>
      <c r="BE19" s="0" t="n">
        <v>1980</v>
      </c>
      <c r="BF19" s="0">
        <f>IFERROR(BE19*AN19,"-")</f>
        <v/>
      </c>
      <c r="BG19" s="0" t="inlineStr">
        <is>
          <t>アイリスオーヤマ デスクマット ナチュラル/緑 DMTー6045PZ 1個（直送品）</t>
        </is>
      </c>
    </row>
    <row r="20">
      <c r="A20" s="0">
        <f>TEXT(F20,"000000")</f>
        <v/>
      </c>
      <c r="B20" s="3" t="n">
        <v>151</v>
      </c>
      <c r="C20" s="3" t="n">
        <v>151</v>
      </c>
      <c r="D20" s="4" t="n">
        <v>173333</v>
      </c>
      <c r="E20" s="4">
        <f>TEXT(D20,"000000")</f>
        <v/>
      </c>
      <c r="F20" s="4" t="n">
        <v>173333</v>
      </c>
      <c r="G20" s="4">
        <f>E20&amp;J20</f>
        <v/>
      </c>
      <c r="H20" s="4" t="inlineStr">
        <is>
          <t>ｱｲﾘｽｵｰﾔﾏ/A4ﾚﾀｰｹｰｽ 浅型5段 ﾌﾞﾗｯｸ/LCJ-5MB</t>
        </is>
      </c>
      <c r="I20" s="58" t="n">
        <v>4967576186889</v>
      </c>
      <c r="J20" s="58" t="n">
        <v>5</v>
      </c>
      <c r="K20" s="58" t="n"/>
      <c r="L20" s="58" t="n">
        <v>1</v>
      </c>
      <c r="M20" s="58" t="n">
        <v>1</v>
      </c>
      <c r="N20" s="4" t="n">
        <v>0</v>
      </c>
      <c r="O20" s="4" t="n">
        <v>1680</v>
      </c>
      <c r="P20" s="4" t="n">
        <v>950</v>
      </c>
      <c r="Q20" s="59">
        <f>IFERROR(1-P20/O20,"-")</f>
        <v/>
      </c>
      <c r="R20" s="4" t="n">
        <v>1559</v>
      </c>
      <c r="S20" s="4" t="n">
        <v>2</v>
      </c>
      <c r="T20" s="4" t="n">
        <v>99999</v>
      </c>
      <c r="U20" s="4" t="n">
        <v>0</v>
      </c>
      <c r="V20" s="4">
        <f>IF(Y20="",U20,U20*Y20)</f>
        <v/>
      </c>
      <c r="W20" s="4" t="n">
        <v>1140</v>
      </c>
      <c r="X20" s="4">
        <f>IF(Y20="",W20,W20*Y20)</f>
        <v/>
      </c>
      <c r="Y20" s="4" t="n"/>
      <c r="Z20" s="21">
        <f>ROUND(O20*AN20,0)</f>
        <v/>
      </c>
      <c r="AA20" s="59">
        <f>IFERROR(1-X20/Z20,"-")</f>
        <v/>
      </c>
      <c r="AB20" s="4" t="n">
        <v>25.5</v>
      </c>
      <c r="AC20" s="4">
        <f>AY20</f>
        <v/>
      </c>
      <c r="AD20" s="4">
        <f>IFERROR(AC20*AN20,"-")</f>
        <v/>
      </c>
      <c r="AE20" s="59">
        <f>IFERROR(1-X20/AD20,"-")</f>
        <v/>
      </c>
      <c r="AF20" s="7" t="n">
        <v>1699</v>
      </c>
      <c r="AG20" s="59">
        <f>1-X20/AF20</f>
        <v/>
      </c>
      <c r="AH20" s="4">
        <f>AF20-X20</f>
        <v/>
      </c>
      <c r="AI20" s="28" t="n"/>
      <c r="AJ20" s="59" t="n"/>
      <c r="AK20" s="59" t="n"/>
      <c r="AL20" s="60">
        <f>IFERROR(V20/N20,"-")</f>
        <v/>
      </c>
      <c r="AM20" s="59">
        <f>IFERROR(AF20/O20,"-")</f>
        <v/>
      </c>
      <c r="AN20" s="59">
        <f>IFERROR(X20/P20,"-")</f>
        <v/>
      </c>
      <c r="AO20" s="59">
        <f>IFERROR(1-X20/AP20,"-")</f>
        <v/>
      </c>
      <c r="AP20" s="4" t="n">
        <v>1880</v>
      </c>
      <c r="AQ20" s="4">
        <f>IF(S20="","-",S20)</f>
        <v/>
      </c>
      <c r="AR20" s="4">
        <f>IF(T20="","-",T20)</f>
        <v/>
      </c>
      <c r="AS20" s="4" t="inlineStr">
        <is>
          <t>34/320</t>
        </is>
      </c>
      <c r="AT20" s="4" t="inlineStr">
        <is>
          <t>1968083</t>
        </is>
      </c>
      <c r="AU20" s="4" t="n"/>
      <c r="AV20" s="4" t="n"/>
      <c r="AW20" s="4" t="inlineStr">
        <is>
          <t>1台</t>
        </is>
      </c>
      <c r="AX20" s="4" t="n">
        <v>1700</v>
      </c>
      <c r="AY20" s="4">
        <f>IF(AU20="",AX20,AU20/AV20*AX20)</f>
        <v/>
      </c>
      <c r="AZ20" s="19" t="n">
        <v>4</v>
      </c>
      <c r="BA20" s="19" t="n">
        <v>1</v>
      </c>
      <c r="BB20" s="16" t="n">
        <v>610</v>
      </c>
      <c r="BC20" s="0" t="inlineStr">
        <is>
          <t>-</t>
        </is>
      </c>
      <c r="BD20" s="0">
        <f>IFERROR(BC20*AN20,"-")</f>
        <v/>
      </c>
      <c r="BE20" s="0" t="n">
        <v>2611</v>
      </c>
      <c r="BF20" s="0">
        <f>IFERROR(BE20*AN20,"-")</f>
        <v/>
      </c>
      <c r="BG20" s="0" t="inlineStr">
        <is>
          <t>アイリスオーヤマ　レターケース　浅型5段　ブラック　LCJ-5M</t>
        </is>
      </c>
    </row>
    <row r="21">
      <c r="A21" s="0">
        <f>TEXT(F21,"000000")</f>
        <v/>
      </c>
      <c r="B21" s="3" t="n">
        <v>152</v>
      </c>
      <c r="C21" s="3" t="n">
        <v>152</v>
      </c>
      <c r="D21" s="35" t="n">
        <v>173334</v>
      </c>
      <c r="E21" s="4">
        <f>TEXT(D21,"000000")</f>
        <v/>
      </c>
      <c r="F21" s="4" t="n">
        <v>173334</v>
      </c>
      <c r="G21" s="4">
        <f>E21&amp;J21</f>
        <v/>
      </c>
      <c r="H21" s="4" t="inlineStr">
        <is>
          <t>ｱｲﾘｽｵｰﾔﾏ/A4ﾚﾀｰｹｰｽ 浅型5段 ﾎﾜｲﾄ/LCJ-5MW</t>
        </is>
      </c>
      <c r="I21" s="58" t="n">
        <v>4967576186872</v>
      </c>
      <c r="J21" s="58" t="n">
        <v>5</v>
      </c>
      <c r="K21" s="58" t="n"/>
      <c r="L21" s="58" t="n">
        <v>2</v>
      </c>
      <c r="M21" s="58" t="n">
        <v>1</v>
      </c>
      <c r="N21" s="4" t="n">
        <v>1380</v>
      </c>
      <c r="O21" s="4" t="n">
        <v>1680</v>
      </c>
      <c r="P21" s="4" t="n">
        <v>950</v>
      </c>
      <c r="Q21" s="59">
        <f>IFERROR(1-P21/O21,"-")</f>
        <v/>
      </c>
      <c r="R21" s="4" t="n">
        <v>1559</v>
      </c>
      <c r="S21" s="4" t="n">
        <v>2</v>
      </c>
      <c r="T21" s="4" t="n">
        <v>99999</v>
      </c>
      <c r="U21" s="4" t="n">
        <v>0</v>
      </c>
      <c r="V21" s="4">
        <f>IF(Y21="",U21,U21*Y21)</f>
        <v/>
      </c>
      <c r="W21" s="4" t="n">
        <v>1140</v>
      </c>
      <c r="X21" s="4">
        <f>IF(Y21="",W21,W21*Y21)</f>
        <v/>
      </c>
      <c r="Y21" s="4" t="n"/>
      <c r="Z21" s="21">
        <f>ROUND(O21*AN21,0)</f>
        <v/>
      </c>
      <c r="AA21" s="59">
        <f>IFERROR(1-X21/Z21,"-")</f>
        <v/>
      </c>
      <c r="AB21" s="4" t="n">
        <v>29.75</v>
      </c>
      <c r="AC21" s="4">
        <f>AY21</f>
        <v/>
      </c>
      <c r="AD21" s="4">
        <f>IFERROR(AC21*AN21,"-")</f>
        <v/>
      </c>
      <c r="AE21" s="59">
        <f>IFERROR(1-X21/AD21,"-")</f>
        <v/>
      </c>
      <c r="AF21" s="7" t="n">
        <v>1889</v>
      </c>
      <c r="AG21" s="59">
        <f>1-X21/AF21</f>
        <v/>
      </c>
      <c r="AH21" s="4">
        <f>AF21-X21</f>
        <v/>
      </c>
      <c r="AI21" s="28" t="n"/>
      <c r="AJ21" s="59" t="n"/>
      <c r="AK21" s="59" t="n"/>
      <c r="AL21" s="60">
        <f>IFERROR(V21/N21,"-")</f>
        <v/>
      </c>
      <c r="AM21" s="59">
        <f>IFERROR(AF21/O21,"-")</f>
        <v/>
      </c>
      <c r="AN21" s="59">
        <f>IFERROR(X21/P21,"-")</f>
        <v/>
      </c>
      <c r="AO21" s="59">
        <f>IFERROR(1-X21/AP21,"-")</f>
        <v/>
      </c>
      <c r="AP21" s="4" t="n">
        <v>1880</v>
      </c>
      <c r="AQ21" s="4">
        <f>IF(S21="","-",S21)</f>
        <v/>
      </c>
      <c r="AR21" s="4">
        <f>IF(T21="","-",T21)</f>
        <v/>
      </c>
      <c r="AS21" s="4" t="inlineStr">
        <is>
          <t>34/320</t>
        </is>
      </c>
      <c r="AT21" s="4" t="inlineStr">
        <is>
          <t>1968109</t>
        </is>
      </c>
      <c r="AU21" s="4" t="n"/>
      <c r="AV21" s="4" t="n"/>
      <c r="AW21" s="4" t="inlineStr">
        <is>
          <t>1台</t>
        </is>
      </c>
      <c r="AX21" s="4" t="n">
        <v>1890</v>
      </c>
      <c r="AY21" s="4">
        <f>IF(AU21="",AX21,AU21/AV21*AX21)</f>
        <v/>
      </c>
      <c r="AZ21" s="19" t="n">
        <v>4</v>
      </c>
      <c r="BA21" s="19" t="n">
        <v>1</v>
      </c>
      <c r="BB21" s="16" t="n">
        <v>610</v>
      </c>
      <c r="BC21" s="0" t="inlineStr">
        <is>
          <t>-</t>
        </is>
      </c>
      <c r="BD21" s="0">
        <f>IFERROR(BC21*AN21,"-")</f>
        <v/>
      </c>
      <c r="BE21" s="0" t="n">
        <v>2611</v>
      </c>
      <c r="BF21" s="0">
        <f>IFERROR(BE21*AN21,"-")</f>
        <v/>
      </c>
      <c r="BG21" s="0" t="inlineStr">
        <is>
          <t>アイリスオーヤマ　レターケース　浅型5段　ホワイト　LCJ-5M</t>
        </is>
      </c>
    </row>
    <row r="22">
      <c r="A22" s="0">
        <f>TEXT(F22,"000000")</f>
        <v/>
      </c>
      <c r="B22" s="3" t="n">
        <v>160</v>
      </c>
      <c r="C22" s="3" t="n">
        <v>160</v>
      </c>
      <c r="D22" s="35" t="inlineStr">
        <is>
          <t>8955AM</t>
        </is>
      </c>
      <c r="E22" s="4">
        <f>TEXT(D22,"000000")</f>
        <v/>
      </c>
      <c r="F22" s="4" t="inlineStr">
        <is>
          <t>8955AM</t>
        </is>
      </c>
      <c r="G22" s="4">
        <f>E22&amp;J22</f>
        <v/>
      </c>
      <c r="H22" s="4" t="inlineStr">
        <is>
          <t>ｱｲﾘｽｵｰﾔﾏ/A4ﾚﾀｰｹｰｽ 浅型5段 ﾎﾜｲﾄ/LCJ-5MW</t>
        </is>
      </c>
      <c r="I22" s="58" t="n">
        <v>4967576186872</v>
      </c>
      <c r="J22" s="58" t="n">
        <v>6</v>
      </c>
      <c r="K22" s="58" t="n"/>
      <c r="L22" s="58" t="n">
        <v>2</v>
      </c>
      <c r="M22" s="58" t="n">
        <v>1</v>
      </c>
      <c r="N22" s="4" t="n">
        <v>1380</v>
      </c>
      <c r="O22" s="4" t="n">
        <v>1280</v>
      </c>
      <c r="P22" s="4" t="n">
        <v>950</v>
      </c>
      <c r="Q22" s="59">
        <f>IFERROR(1-P22/O22,"-")</f>
        <v/>
      </c>
      <c r="R22" s="4" t="inlineStr">
        <is>
          <t>-</t>
        </is>
      </c>
      <c r="S22" s="4" t="inlineStr">
        <is>
          <t>-</t>
        </is>
      </c>
      <c r="T22" s="4" t="inlineStr">
        <is>
          <t>-</t>
        </is>
      </c>
      <c r="U22" s="4" t="n">
        <v>0</v>
      </c>
      <c r="V22" s="4">
        <f>IF(Y22="",U22,U22*Y22)</f>
        <v/>
      </c>
      <c r="W22" s="4" t="n">
        <v>1140</v>
      </c>
      <c r="X22" s="4">
        <f>IF(Y22="",W22,W22*Y22)</f>
        <v/>
      </c>
      <c r="Y22" s="4" t="n"/>
      <c r="Z22" s="21">
        <f>ROUND(O22*AN22,0)</f>
        <v/>
      </c>
      <c r="AA22" s="59">
        <f>IFERROR(1-X22/Z22,"-")</f>
        <v/>
      </c>
      <c r="AB22" s="4" t="n">
        <v>0</v>
      </c>
      <c r="AC22" s="4">
        <f>AY22</f>
        <v/>
      </c>
      <c r="AD22" s="4">
        <f>IFERROR(AC22*AN22,"-")</f>
        <v/>
      </c>
      <c r="AE22" s="59">
        <f>IFERROR(1-X22/AD22,"-")</f>
        <v/>
      </c>
      <c r="AF22" s="7" t="n">
        <v>1889</v>
      </c>
      <c r="AG22" s="59">
        <f>1-X22/AF22</f>
        <v/>
      </c>
      <c r="AH22" s="4">
        <f>AF22-X22</f>
        <v/>
      </c>
      <c r="AI22" s="28" t="n"/>
      <c r="AJ22" s="59" t="n"/>
      <c r="AK22" s="59" t="n"/>
      <c r="AL22" s="59">
        <f>IFERROR(V22/N22,"-")</f>
        <v/>
      </c>
      <c r="AM22" s="59">
        <f>IFERROR(AF22/O22,"-")</f>
        <v/>
      </c>
      <c r="AN22" s="59">
        <f>IFERROR(X22/P22,"-")</f>
        <v/>
      </c>
      <c r="AO22" s="59">
        <f>IFERROR(1-X22/AP22,"-")</f>
        <v/>
      </c>
      <c r="AP22" s="4">
        <f>IFERROR(ROUND($AF22*R22/$O22,0),"-")</f>
        <v/>
      </c>
      <c r="AQ22" s="4">
        <f>IF(S22="","-",S22)</f>
        <v/>
      </c>
      <c r="AR22" s="4">
        <f>IF(T22="","-",T22)</f>
        <v/>
      </c>
      <c r="AS22" s="4" t="n">
        <v>0</v>
      </c>
      <c r="AT22" s="4" t="inlineStr">
        <is>
          <t>1968109</t>
        </is>
      </c>
      <c r="AU22" s="4" t="n"/>
      <c r="AV22" s="4" t="n"/>
      <c r="AW22" s="4" t="inlineStr">
        <is>
          <t>1台</t>
        </is>
      </c>
      <c r="AX22" s="4" t="n">
        <v>1890</v>
      </c>
      <c r="AY22" s="4">
        <f>IF(AU22="",AX22,AU22/AV22*AX22)</f>
        <v/>
      </c>
      <c r="AZ22" s="19" t="n">
        <v>4</v>
      </c>
      <c r="BA22" s="19" t="n">
        <v>1</v>
      </c>
      <c r="BB22" s="16" t="n">
        <v>610</v>
      </c>
      <c r="BC22" s="0" t="inlineStr">
        <is>
          <t>-</t>
        </is>
      </c>
      <c r="BD22" s="0">
        <f>IFERROR(BC22*AN22,"-")</f>
        <v/>
      </c>
      <c r="BE22" s="0" t="n">
        <v>2611</v>
      </c>
      <c r="BF22" s="0">
        <f>IFERROR(BE22*AN22,"-")</f>
        <v/>
      </c>
      <c r="BG22" s="0" t="inlineStr">
        <is>
          <t>アイリスオーヤマ　レターケース　浅型5段　ホワイト　LCJ-5M</t>
        </is>
      </c>
    </row>
    <row r="23">
      <c r="A23" s="0">
        <f>TEXT(F23,"000000")</f>
        <v/>
      </c>
      <c r="B23" s="3" t="n">
        <v>161</v>
      </c>
      <c r="C23" s="3" t="n">
        <v>161</v>
      </c>
      <c r="D23" s="4" t="inlineStr">
        <is>
          <t>9081AX</t>
        </is>
      </c>
      <c r="E23" s="4">
        <f>TEXT(D23,"000000")</f>
        <v/>
      </c>
      <c r="F23" s="4" t="inlineStr">
        <is>
          <t>9081AX</t>
        </is>
      </c>
      <c r="G23" s="4">
        <f>E23&amp;J23</f>
        <v/>
      </c>
      <c r="H23" s="4" t="inlineStr">
        <is>
          <t>ｱｲﾘｽｵｰﾔﾏ/ﾚﾀｰｹｰｽ 浅3段深1段 ﾌﾞﾗｯｸ/LCJ-4D</t>
        </is>
      </c>
      <c r="I23" s="58" t="n">
        <v>4967576186902</v>
      </c>
      <c r="J23" s="58" t="n">
        <v>5</v>
      </c>
      <c r="K23" s="58" t="n"/>
      <c r="L23" s="58" t="n">
        <v>1</v>
      </c>
      <c r="M23" s="58" t="n">
        <v>1</v>
      </c>
      <c r="N23" s="4" t="n">
        <v>0</v>
      </c>
      <c r="O23" s="4" t="n">
        <v>1680</v>
      </c>
      <c r="P23" s="4" t="n">
        <v>1080</v>
      </c>
      <c r="Q23" s="59">
        <f>IFERROR(1-P23/O23,"-")</f>
        <v/>
      </c>
      <c r="R23" s="4" t="inlineStr">
        <is>
          <t>-</t>
        </is>
      </c>
      <c r="S23" s="4" t="inlineStr">
        <is>
          <t>-</t>
        </is>
      </c>
      <c r="T23" s="4" t="inlineStr">
        <is>
          <t>-</t>
        </is>
      </c>
      <c r="U23" s="4" t="n">
        <v>0</v>
      </c>
      <c r="V23" s="4">
        <f>IF(Y23="",U23,U23*Y23)</f>
        <v/>
      </c>
      <c r="W23" s="4" t="n">
        <v>1296</v>
      </c>
      <c r="X23" s="4">
        <f>IF(Y23="",W23,W23*Y23)</f>
        <v/>
      </c>
      <c r="Y23" s="4" t="n"/>
      <c r="Z23" s="21">
        <f>ROUND(O23*AN23,0)</f>
        <v/>
      </c>
      <c r="AA23" s="59">
        <f>IFERROR(1-X23/Z23,"-")</f>
        <v/>
      </c>
      <c r="AB23" s="4" t="n">
        <v>4.25</v>
      </c>
      <c r="AC23" s="4">
        <f>AY23</f>
        <v/>
      </c>
      <c r="AD23" s="4">
        <f>IFERROR(AC23*AN23,"-")</f>
        <v/>
      </c>
      <c r="AE23" s="59">
        <f>IFERROR(1-X23/AD23,"-")</f>
        <v/>
      </c>
      <c r="AF23" s="7" t="n">
        <v>1699</v>
      </c>
      <c r="AG23" s="59">
        <f>1-X23/AF23</f>
        <v/>
      </c>
      <c r="AH23" s="4">
        <f>AF23-X23</f>
        <v/>
      </c>
      <c r="AI23" s="28" t="n"/>
      <c r="AJ23" s="59" t="n"/>
      <c r="AK23" s="59" t="n"/>
      <c r="AL23" s="59">
        <f>IFERROR(V23/N23,"-")</f>
        <v/>
      </c>
      <c r="AM23" s="59">
        <f>IFERROR(AF23/O23,"-")</f>
        <v/>
      </c>
      <c r="AN23" s="59">
        <f>IFERROR(X23/P23,"-")</f>
        <v/>
      </c>
      <c r="AO23" s="59">
        <f>IFERROR(1-X23/AP23,"-")</f>
        <v/>
      </c>
      <c r="AP23" s="4">
        <f>IFERROR(ROUND($AF23*R23/$O23,0),"-")</f>
        <v/>
      </c>
      <c r="AQ23" s="4">
        <f>IF(S23="","-",S23)</f>
        <v/>
      </c>
      <c r="AR23" s="4">
        <f>IF(T23="","-",T23)</f>
        <v/>
      </c>
      <c r="AS23" s="4" t="n">
        <v>0</v>
      </c>
      <c r="AT23" s="4" t="inlineStr">
        <is>
          <t>1968074</t>
        </is>
      </c>
      <c r="AU23" s="4" t="n"/>
      <c r="AV23" s="4" t="n"/>
      <c r="AW23" s="4" t="inlineStr">
        <is>
          <t>1台</t>
        </is>
      </c>
      <c r="AX23" s="4" t="n">
        <v>1700</v>
      </c>
      <c r="AY23" s="4">
        <f>IF(AU23="",AX23,AU23/AV23*AX23)</f>
        <v/>
      </c>
      <c r="AZ23" s="19" t="n">
        <v>4</v>
      </c>
      <c r="BA23" s="19" t="n">
        <v>1</v>
      </c>
      <c r="BB23" s="16" t="n">
        <v>610</v>
      </c>
      <c r="BC23" s="0" t="inlineStr">
        <is>
          <t>-</t>
        </is>
      </c>
      <c r="BD23" s="0">
        <f>IFERROR(BC23*AN23,"-")</f>
        <v/>
      </c>
      <c r="BE23" s="0" t="n">
        <v>2312</v>
      </c>
      <c r="BF23" s="0">
        <f>IFERROR(BE23*AN23,"-")</f>
        <v/>
      </c>
      <c r="BG23" s="0" t="inlineStr">
        <is>
          <t>アイリスオーヤマ　レターケース　浅型3段深型1段　ブラック　LCJ-4D</t>
        </is>
      </c>
    </row>
    <row r="24">
      <c r="A24" s="0">
        <f>TEXT(F24,"000000")</f>
        <v/>
      </c>
      <c r="B24" s="3" t="n">
        <v>162</v>
      </c>
      <c r="C24" s="3" t="n">
        <v>162</v>
      </c>
      <c r="D24" s="4" t="inlineStr">
        <is>
          <t>9082AX</t>
        </is>
      </c>
      <c r="E24" s="4">
        <f>TEXT(D24,"000000")</f>
        <v/>
      </c>
      <c r="F24" s="4" t="inlineStr">
        <is>
          <t>9082AX</t>
        </is>
      </c>
      <c r="G24" s="4">
        <f>E24&amp;J24</f>
        <v/>
      </c>
      <c r="H24" s="4" t="inlineStr">
        <is>
          <t>ｱｲﾘｽｵｰﾔﾏ/ﾚﾀｰｹｰｽ 浅3段深1段 ﾎﾜｲﾄ/LCJ-4D</t>
        </is>
      </c>
      <c r="I24" s="58" t="n">
        <v>4967576186896</v>
      </c>
      <c r="J24" s="58" t="n">
        <v>5</v>
      </c>
      <c r="K24" s="58" t="n"/>
      <c r="L24" s="58" t="n">
        <v>1</v>
      </c>
      <c r="M24" s="58" t="n">
        <v>1</v>
      </c>
      <c r="N24" s="4" t="n">
        <v>0</v>
      </c>
      <c r="O24" s="4" t="n">
        <v>1680</v>
      </c>
      <c r="P24" s="4" t="n">
        <v>1080</v>
      </c>
      <c r="Q24" s="59">
        <f>IFERROR(1-P24/O24,"-")</f>
        <v/>
      </c>
      <c r="R24" s="4" t="inlineStr">
        <is>
          <t>-</t>
        </is>
      </c>
      <c r="S24" s="4" t="inlineStr">
        <is>
          <t>-</t>
        </is>
      </c>
      <c r="T24" s="4" t="inlineStr">
        <is>
          <t>-</t>
        </is>
      </c>
      <c r="U24" s="4" t="n">
        <v>0</v>
      </c>
      <c r="V24" s="4">
        <f>IF(Y24="",U24,U24*Y24)</f>
        <v/>
      </c>
      <c r="W24" s="4" t="n">
        <v>1296</v>
      </c>
      <c r="X24" s="4">
        <f>IF(Y24="",W24,W24*Y24)</f>
        <v/>
      </c>
      <c r="Y24" s="4" t="n"/>
      <c r="Z24" s="21">
        <f>ROUND(O24*AN24,0)</f>
        <v/>
      </c>
      <c r="AA24" s="59">
        <f>IFERROR(1-X24/Z24,"-")</f>
        <v/>
      </c>
      <c r="AB24" s="4" t="n">
        <v>7.75</v>
      </c>
      <c r="AC24" s="4">
        <f>AY24</f>
        <v/>
      </c>
      <c r="AD24" s="4">
        <f>IFERROR(AC24*AN24,"-")</f>
        <v/>
      </c>
      <c r="AE24" s="59">
        <f>IFERROR(1-X24/AD24,"-")</f>
        <v/>
      </c>
      <c r="AF24" s="7" t="n">
        <v>1699</v>
      </c>
      <c r="AG24" s="59">
        <f>1-X24/AF24</f>
        <v/>
      </c>
      <c r="AH24" s="4">
        <f>AF24-X24</f>
        <v/>
      </c>
      <c r="AI24" s="28" t="n"/>
      <c r="AJ24" s="59" t="n"/>
      <c r="AK24" s="59" t="n"/>
      <c r="AL24" s="59">
        <f>IFERROR(V24/N24,"-")</f>
        <v/>
      </c>
      <c r="AM24" s="59">
        <f>IFERROR(AF24/O24,"-")</f>
        <v/>
      </c>
      <c r="AN24" s="59">
        <f>IFERROR(X24/P24,"-")</f>
        <v/>
      </c>
      <c r="AO24" s="59">
        <f>IFERROR(1-X24/AP24,"-")</f>
        <v/>
      </c>
      <c r="AP24" s="4">
        <f>IFERROR(ROUND($AF24*R24/$O24,0),"-")</f>
        <v/>
      </c>
      <c r="AQ24" s="4">
        <f>IF(S24="","-",S24)</f>
        <v/>
      </c>
      <c r="AR24" s="4">
        <f>IF(T24="","-",T24)</f>
        <v/>
      </c>
      <c r="AS24" s="4" t="n">
        <v>0</v>
      </c>
      <c r="AT24" s="4" t="inlineStr">
        <is>
          <t>1968092</t>
        </is>
      </c>
      <c r="AU24" s="4" t="n"/>
      <c r="AV24" s="4" t="n"/>
      <c r="AW24" s="4" t="inlineStr">
        <is>
          <t>1台</t>
        </is>
      </c>
      <c r="AX24" s="4" t="n">
        <v>1700</v>
      </c>
      <c r="AY24" s="4">
        <f>IF(AU24="",AX24,AU24/AV24*AX24)</f>
        <v/>
      </c>
      <c r="AZ24" s="19" t="n">
        <v>4</v>
      </c>
      <c r="BA24" s="19" t="n">
        <v>1</v>
      </c>
      <c r="BB24" s="16" t="n">
        <v>610</v>
      </c>
      <c r="BC24" s="0" t="inlineStr">
        <is>
          <t>-</t>
        </is>
      </c>
      <c r="BD24" s="0">
        <f>IFERROR(BC24*AN24,"-")</f>
        <v/>
      </c>
      <c r="BE24" s="0" t="n">
        <v>2312</v>
      </c>
      <c r="BF24" s="0">
        <f>IFERROR(BE24*AN24,"-")</f>
        <v/>
      </c>
      <c r="BG24" s="0" t="inlineStr">
        <is>
          <t>アイリスオーヤマ　レターケース　浅型3段深型1段　ホワイト　LCJ-4D</t>
        </is>
      </c>
    </row>
    <row r="25">
      <c r="A25" s="0">
        <f>TEXT(F25,"000000")</f>
        <v/>
      </c>
      <c r="B25" s="37" t="n">
        <v>124</v>
      </c>
      <c r="C25" s="3" t="n">
        <v>124</v>
      </c>
      <c r="D25" s="4" t="inlineStr">
        <is>
          <t>J604PW</t>
        </is>
      </c>
      <c r="E25" s="4">
        <f>TEXT(D25,"000000")</f>
        <v/>
      </c>
      <c r="F25" s="4" t="inlineStr">
        <is>
          <t>J604PW</t>
        </is>
      </c>
      <c r="G25" s="4">
        <f>E25&amp;J25</f>
        <v/>
      </c>
      <c r="H25" s="4" t="inlineStr">
        <is>
          <t>ｱｲﾘｽｵｰﾔﾏ/ﾃﾞｽｸﾏｯﾄ E型 900×600/DMT-9060E</t>
        </is>
      </c>
      <c r="I25" s="58" t="n">
        <v>4905009720422</v>
      </c>
      <c r="J25" s="58" t="n">
        <v>5</v>
      </c>
      <c r="K25" s="58" t="n"/>
      <c r="L25" s="58" t="n">
        <v>1</v>
      </c>
      <c r="M25" s="58" t="n">
        <v>1</v>
      </c>
      <c r="N25" s="4" t="n">
        <v>0</v>
      </c>
      <c r="O25" s="4" t="n">
        <v>2171</v>
      </c>
      <c r="P25" s="4" t="n">
        <v>1240</v>
      </c>
      <c r="Q25" s="59">
        <f>IFERROR(1-P25/O25,"-")</f>
        <v/>
      </c>
      <c r="R25" s="4" t="inlineStr">
        <is>
          <t>-</t>
        </is>
      </c>
      <c r="S25" s="4" t="inlineStr">
        <is>
          <t>-</t>
        </is>
      </c>
      <c r="T25" s="4" t="inlineStr">
        <is>
          <t>-</t>
        </is>
      </c>
      <c r="U25" s="4" t="n">
        <v>0</v>
      </c>
      <c r="V25" s="4">
        <f>IF(Y25="",U25,U25*Y25)</f>
        <v/>
      </c>
      <c r="W25" s="4" t="n">
        <v>1364</v>
      </c>
      <c r="X25" s="4">
        <f>IF(Y25="",W25,W25*Y25)</f>
        <v/>
      </c>
      <c r="Y25" s="4" t="n"/>
      <c r="Z25" s="21">
        <f>ROUND(O25*AN25,0)</f>
        <v/>
      </c>
      <c r="AA25" s="59">
        <f>IFERROR(1-X25/Z25,"-")</f>
        <v/>
      </c>
      <c r="AB25" s="4" t="n">
        <v>1</v>
      </c>
      <c r="AC25" s="4">
        <f>AY25</f>
        <v/>
      </c>
      <c r="AD25" s="4">
        <f>IFERROR(AC25*AN25,"-")</f>
        <v/>
      </c>
      <c r="AE25" s="59">
        <f>IFERROR(1-X25/AD25,"-")</f>
        <v/>
      </c>
      <c r="AF25" s="7" t="n">
        <v>2171</v>
      </c>
      <c r="AG25" s="59">
        <f>1-X25/AF25</f>
        <v/>
      </c>
      <c r="AH25" s="38">
        <f>AF25-X25</f>
        <v/>
      </c>
      <c r="AI25" s="28" t="n"/>
      <c r="AJ25" s="59" t="n"/>
      <c r="AK25" s="59" t="n"/>
      <c r="AL25" s="59">
        <f>IFERROR(V25/N25,"-")</f>
        <v/>
      </c>
      <c r="AM25" s="59">
        <f>IFERROR(AF25/O25,"-")</f>
        <v/>
      </c>
      <c r="AN25" s="59">
        <f>IFERROR(X25/P25,"-")</f>
        <v/>
      </c>
      <c r="AO25" s="59">
        <f>IFERROR(1-X25/AP25,"-")</f>
        <v/>
      </c>
      <c r="AP25" s="4">
        <f>IFERROR(ROUND($AF25*R25/$O25,0),"-")</f>
        <v/>
      </c>
      <c r="AQ25" s="4">
        <f>IF(S25="","-",S25)</f>
        <v/>
      </c>
      <c r="AR25" s="4">
        <f>IF(T25="","-",T25)</f>
        <v/>
      </c>
      <c r="AS25" s="4" t="n">
        <v>0</v>
      </c>
      <c r="AT25" s="4" t="inlineStr">
        <is>
          <t>-</t>
        </is>
      </c>
      <c r="AU25" s="4" t="n"/>
      <c r="AV25" s="4" t="n"/>
      <c r="AW25" s="4" t="inlineStr">
        <is>
          <t>-</t>
        </is>
      </c>
      <c r="AX25" s="4" t="inlineStr">
        <is>
          <t>-</t>
        </is>
      </c>
      <c r="AY25" s="4">
        <f>IF(AU25="",AX25,AU25/AV25*AX25)</f>
        <v/>
      </c>
      <c r="AZ25" s="19" t="n">
        <v>2</v>
      </c>
      <c r="BA25" s="19" t="n">
        <v>1</v>
      </c>
      <c r="BB25" s="16" t="n">
        <v>610</v>
      </c>
      <c r="BC25" s="0" t="inlineStr">
        <is>
          <t>-</t>
        </is>
      </c>
      <c r="BD25" s="0">
        <f>IFERROR(BC25*AN25,"-")</f>
        <v/>
      </c>
      <c r="BE25" s="0" t="n">
        <v>1782</v>
      </c>
      <c r="BF25" s="0">
        <f>IFERROR(BE25*AN25,"-")</f>
        <v/>
      </c>
      <c r="BG25" s="0" t="inlineStr">
        <is>
          <t>-</t>
        </is>
      </c>
    </row>
    <row r="26">
      <c r="A26" s="0">
        <f>TEXT(F26,"000000")</f>
        <v/>
      </c>
      <c r="B26" s="3" t="n">
        <v>141</v>
      </c>
      <c r="C26" s="3" t="n">
        <v>141</v>
      </c>
      <c r="D26" s="4" t="n">
        <v>164899</v>
      </c>
      <c r="E26" s="4">
        <f>TEXT(D26,"000000")</f>
        <v/>
      </c>
      <c r="F26" s="4" t="n">
        <v>164899</v>
      </c>
      <c r="G26" s="4">
        <f>E26&amp;J26</f>
        <v/>
      </c>
      <c r="H26" s="4" t="inlineStr">
        <is>
          <t>ｱｲﾘｽｵｰﾔﾏ/ｳｯﾄﾞﾄｯﾌﾟﾃﾞｽｸﾁｪｽﾄ ｱｯｼｭﾌﾞﾗｳﾝ/ｱｲﾎﾞﾘｰ</t>
        </is>
      </c>
      <c r="I26" s="58" t="n">
        <v>4967576541114</v>
      </c>
      <c r="J26" s="58" t="n">
        <v>5</v>
      </c>
      <c r="K26" s="58" t="n"/>
      <c r="L26" s="58" t="n">
        <v>1</v>
      </c>
      <c r="M26" s="58" t="n">
        <v>1</v>
      </c>
      <c r="N26" s="4" t="n">
        <v>0</v>
      </c>
      <c r="O26" s="4" t="n">
        <v>1858</v>
      </c>
      <c r="P26" s="4" t="n">
        <v>1200</v>
      </c>
      <c r="Q26" s="59">
        <f>IFERROR(1-P26/O26,"-")</f>
        <v/>
      </c>
      <c r="R26" s="4" t="inlineStr">
        <is>
          <t>-</t>
        </is>
      </c>
      <c r="S26" s="4" t="inlineStr">
        <is>
          <t>-</t>
        </is>
      </c>
      <c r="T26" s="4" t="inlineStr">
        <is>
          <t>-</t>
        </is>
      </c>
      <c r="U26" s="4" t="n">
        <v>0</v>
      </c>
      <c r="V26" s="4">
        <f>IF(Y26="",U26,U26*Y26)</f>
        <v/>
      </c>
      <c r="W26" s="4" t="n">
        <v>1380</v>
      </c>
      <c r="X26" s="4">
        <f>IF(Y26="",W26,W26*Y26)</f>
        <v/>
      </c>
      <c r="Y26" s="4" t="n"/>
      <c r="Z26" s="21">
        <f>ROUND(O26*AN26,0)</f>
        <v/>
      </c>
      <c r="AA26" s="59">
        <f>IFERROR(1-X26/Z26,"-")</f>
        <v/>
      </c>
      <c r="AB26" s="4" t="n">
        <v>0.25</v>
      </c>
      <c r="AC26" s="4">
        <f>AY26</f>
        <v/>
      </c>
      <c r="AD26" s="4">
        <f>IFERROR(AC26*AN26,"-")</f>
        <v/>
      </c>
      <c r="AE26" s="59">
        <f>IFERROR(1-X26/AD26,"-")</f>
        <v/>
      </c>
      <c r="AF26" s="7" t="n">
        <v>2069</v>
      </c>
      <c r="AG26" s="59">
        <f>1-X26/AF26</f>
        <v/>
      </c>
      <c r="AH26" s="4">
        <f>AF26-X26</f>
        <v/>
      </c>
      <c r="AI26" s="28" t="n"/>
      <c r="AJ26" s="59" t="n"/>
      <c r="AK26" s="59" t="n"/>
      <c r="AL26" s="59">
        <f>IFERROR(V26/N26,"-")</f>
        <v/>
      </c>
      <c r="AM26" s="59">
        <f>IFERROR(AF26/O26,"-")</f>
        <v/>
      </c>
      <c r="AN26" s="59">
        <f>IFERROR(X26/P26,"-")</f>
        <v/>
      </c>
      <c r="AO26" s="59">
        <f>IFERROR(1-X26/AP26,"-")</f>
        <v/>
      </c>
      <c r="AP26" s="4">
        <f>IFERROR(ROUND($AF26*R26/$O26,0),"-")</f>
        <v/>
      </c>
      <c r="AQ26" s="4">
        <f>IF(S26="","-",S26)</f>
        <v/>
      </c>
      <c r="AR26" s="4">
        <f>IF(T26="","-",T26)</f>
        <v/>
      </c>
      <c r="AS26" s="4" t="n">
        <v>0</v>
      </c>
      <c r="AT26" s="4" t="inlineStr">
        <is>
          <t>AA54756</t>
        </is>
      </c>
      <c r="AU26" s="4" t="n"/>
      <c r="AV26" s="4" t="n"/>
      <c r="AW26" s="4" t="inlineStr">
        <is>
          <t>1個</t>
        </is>
      </c>
      <c r="AX26" s="4" t="n">
        <v>2070</v>
      </c>
      <c r="AY26" s="4">
        <f>IF(AU26="",AX26,AU26/AV26*AX26)</f>
        <v/>
      </c>
      <c r="AZ26" s="19" t="n">
        <v>4</v>
      </c>
      <c r="BA26" s="19" t="n">
        <v>1</v>
      </c>
      <c r="BB26" s="16" t="n">
        <v>610</v>
      </c>
      <c r="BC26" s="0" t="inlineStr">
        <is>
          <t>-</t>
        </is>
      </c>
      <c r="BD26" s="0">
        <f>IFERROR(BC26*AN26,"-")</f>
        <v/>
      </c>
      <c r="BE26" s="0" t="n">
        <v>1999</v>
      </c>
      <c r="BF26" s="0">
        <f>IFERROR(BE26*AN26,"-")</f>
        <v/>
      </c>
      <c r="BG26" s="0" t="inlineStr">
        <is>
          <t>アイリスオーヤマ レターケース A4 書類ケース 卓上収納 ウッドトップデスク チェスト WTDC-430RF アッシュブラウン／アイボリー 1個</t>
        </is>
      </c>
    </row>
    <row r="27">
      <c r="A27" s="0">
        <f>TEXT(F27,"000000")</f>
        <v/>
      </c>
      <c r="B27" s="3" t="n">
        <v>142</v>
      </c>
      <c r="C27" s="3" t="n">
        <v>142</v>
      </c>
      <c r="D27" s="4" t="n">
        <v>164900</v>
      </c>
      <c r="E27" s="4">
        <f>TEXT(D27,"000000")</f>
        <v/>
      </c>
      <c r="F27" s="4" t="n">
        <v>164900</v>
      </c>
      <c r="G27" s="4">
        <f>E27&amp;J27</f>
        <v/>
      </c>
      <c r="H27" s="4" t="inlineStr">
        <is>
          <t>ｱｲﾘｽｵｰﾔﾏ/ｳｯﾄﾞﾄｯﾌﾟﾃﾞｽｸﾁｪｽﾄ ｱｯｼｭｸﾞﾚｰ/ｸﾞﾚｰ</t>
        </is>
      </c>
      <c r="I27" s="58" t="n">
        <v>4967576541121</v>
      </c>
      <c r="J27" s="58" t="n">
        <v>5</v>
      </c>
      <c r="K27" s="58" t="n"/>
      <c r="L27" s="58" t="n">
        <v>1</v>
      </c>
      <c r="M27" s="58" t="n">
        <v>1</v>
      </c>
      <c r="N27" s="4" t="n">
        <v>0</v>
      </c>
      <c r="O27" s="4" t="n">
        <v>1858</v>
      </c>
      <c r="P27" s="4" t="n">
        <v>1200</v>
      </c>
      <c r="Q27" s="59">
        <f>IFERROR(1-P27/O27,"-")</f>
        <v/>
      </c>
      <c r="R27" s="4" t="inlineStr">
        <is>
          <t>-</t>
        </is>
      </c>
      <c r="S27" s="4" t="inlineStr">
        <is>
          <t>-</t>
        </is>
      </c>
      <c r="T27" s="4" t="inlineStr">
        <is>
          <t>-</t>
        </is>
      </c>
      <c r="U27" s="4" t="n">
        <v>0</v>
      </c>
      <c r="V27" s="4">
        <f>IF(Y27="",U27,U27*Y27)</f>
        <v/>
      </c>
      <c r="W27" s="4" t="n">
        <v>1380</v>
      </c>
      <c r="X27" s="4">
        <f>IF(Y27="",W27,W27*Y27)</f>
        <v/>
      </c>
      <c r="Y27" s="4" t="n"/>
      <c r="Z27" s="21">
        <f>ROUND(O27*AN27,0)</f>
        <v/>
      </c>
      <c r="AA27" s="59">
        <f>IFERROR(1-X27/Z27,"-")</f>
        <v/>
      </c>
      <c r="AB27" s="4" t="n">
        <v>0.25</v>
      </c>
      <c r="AC27" s="4">
        <f>AY27</f>
        <v/>
      </c>
      <c r="AD27" s="4">
        <f>IFERROR(AC27*AN27,"-")</f>
        <v/>
      </c>
      <c r="AE27" s="59">
        <f>IFERROR(1-X27/AD27,"-")</f>
        <v/>
      </c>
      <c r="AF27" s="7" t="n">
        <v>1806</v>
      </c>
      <c r="AG27" s="59">
        <f>1-X27/AF27</f>
        <v/>
      </c>
      <c r="AH27" s="4">
        <f>AF27-X27</f>
        <v/>
      </c>
      <c r="AI27" s="28" t="n"/>
      <c r="AJ27" s="59" t="n"/>
      <c r="AK27" s="59" t="n"/>
      <c r="AL27" s="59">
        <f>IFERROR(V27/N27,"-")</f>
        <v/>
      </c>
      <c r="AM27" s="59">
        <f>IFERROR(AF27/O27,"-")</f>
        <v/>
      </c>
      <c r="AN27" s="59">
        <f>IFERROR(X27/P27,"-")</f>
        <v/>
      </c>
      <c r="AO27" s="59">
        <f>IFERROR(1-X27/AP27,"-")</f>
        <v/>
      </c>
      <c r="AP27" s="4">
        <f>IFERROR(ROUND($AF27*R27/$O27,0),"-")</f>
        <v/>
      </c>
      <c r="AQ27" s="4">
        <f>IF(S27="","-",S27)</f>
        <v/>
      </c>
      <c r="AR27" s="4">
        <f>IF(T27="","-",T27)</f>
        <v/>
      </c>
      <c r="AS27" s="4" t="n">
        <v>0</v>
      </c>
      <c r="AT27" s="4" t="inlineStr">
        <is>
          <t>AA54757</t>
        </is>
      </c>
      <c r="AU27" s="4" t="n"/>
      <c r="AV27" s="4" t="n"/>
      <c r="AW27" s="4" t="inlineStr">
        <is>
          <t>1個</t>
        </is>
      </c>
      <c r="AX27" s="4" t="n">
        <v>1807</v>
      </c>
      <c r="AY27" s="4">
        <f>IF(AU27="",AX27,AU27/AV27*AX27)</f>
        <v/>
      </c>
      <c r="AZ27" s="19" t="n">
        <v>4</v>
      </c>
      <c r="BA27" s="19" t="n">
        <v>1</v>
      </c>
      <c r="BB27" s="16" t="n">
        <v>610</v>
      </c>
      <c r="BC27" s="0" t="inlineStr">
        <is>
          <t>-</t>
        </is>
      </c>
      <c r="BD27" s="0">
        <f>IFERROR(BC27*AN27,"-")</f>
        <v/>
      </c>
      <c r="BE27" s="0" t="inlineStr">
        <is>
          <t>-</t>
        </is>
      </c>
      <c r="BF27" s="0">
        <f>IFERROR(BE27*AN27,"-")</f>
        <v/>
      </c>
      <c r="BG27" s="0" t="inlineStr">
        <is>
          <t>アイリスオーヤマ レターケース A4 書類ケース 卓上収納 ウッドトップデスク チェスト WTDC-430RF アッシュグレー／グレー 1個</t>
        </is>
      </c>
    </row>
    <row r="28">
      <c r="A28" s="0">
        <f>TEXT(F28,"000000")</f>
        <v/>
      </c>
      <c r="B28" s="3" t="n">
        <v>144</v>
      </c>
      <c r="C28" s="3" t="n">
        <v>144</v>
      </c>
      <c r="D28" s="4" t="n">
        <v>623549</v>
      </c>
      <c r="E28" s="4">
        <f>TEXT(D28,"000000")</f>
        <v/>
      </c>
      <c r="F28" s="4" t="n">
        <v>623549</v>
      </c>
      <c r="G28" s="4">
        <f>E28&amp;J28</f>
        <v/>
      </c>
      <c r="H28" s="4" t="inlineStr">
        <is>
          <t>G)ｱｲﾘｽ/小物ｷｬﾋﾞﾈｯﾄ/KC-100R</t>
        </is>
      </c>
      <c r="I28" s="58" t="n">
        <v>4905009542406</v>
      </c>
      <c r="J28" s="58" t="n">
        <v>5</v>
      </c>
      <c r="K28" s="58" t="n"/>
      <c r="L28" s="58" t="n">
        <v>1</v>
      </c>
      <c r="M28" s="58" t="n">
        <v>1</v>
      </c>
      <c r="N28" s="4" t="n">
        <v>0</v>
      </c>
      <c r="O28" s="4" t="n">
        <v>2209</v>
      </c>
      <c r="P28" s="4" t="n">
        <v>1300</v>
      </c>
      <c r="Q28" s="59">
        <f>IFERROR(1-P28/O28,"-")</f>
        <v/>
      </c>
      <c r="R28" s="4" t="inlineStr">
        <is>
          <t>-</t>
        </is>
      </c>
      <c r="S28" s="4" t="inlineStr">
        <is>
          <t>-</t>
        </is>
      </c>
      <c r="T28" s="4" t="inlineStr">
        <is>
          <t>-</t>
        </is>
      </c>
      <c r="U28" s="4" t="n">
        <v>0</v>
      </c>
      <c r="V28" s="4">
        <f>IF(Y28="",U28,U28*Y28)</f>
        <v/>
      </c>
      <c r="W28" s="4" t="n">
        <v>1496</v>
      </c>
      <c r="X28" s="4">
        <f>IF(Y28="",W28,W28*Y28)</f>
        <v/>
      </c>
      <c r="Y28" s="4" t="n"/>
      <c r="Z28" s="21">
        <f>ROUND(O28*AN28,0)</f>
        <v/>
      </c>
      <c r="AA28" s="59">
        <f>IFERROR(1-X28/Z28,"-")</f>
        <v/>
      </c>
      <c r="AB28" s="4" t="n">
        <v>1.5</v>
      </c>
      <c r="AC28" s="4">
        <f>AY28</f>
        <v/>
      </c>
      <c r="AD28" s="4">
        <f>IFERROR(AC28*AN28,"-")</f>
        <v/>
      </c>
      <c r="AE28" s="59">
        <f>IFERROR(1-X28/AD28,"-")</f>
        <v/>
      </c>
      <c r="AF28" s="7" t="n">
        <v>2318</v>
      </c>
      <c r="AG28" s="59">
        <f>1-X28/AF28</f>
        <v/>
      </c>
      <c r="AH28" s="4">
        <f>AF28-X28</f>
        <v/>
      </c>
      <c r="AI28" s="28" t="n"/>
      <c r="AJ28" s="59" t="n"/>
      <c r="AK28" s="59" t="n"/>
      <c r="AL28" s="59">
        <f>IFERROR(V28/N28,"-")</f>
        <v/>
      </c>
      <c r="AM28" s="59">
        <f>IFERROR(AF28/O28,"-")</f>
        <v/>
      </c>
      <c r="AN28" s="59">
        <f>IFERROR(X28/P28,"-")</f>
        <v/>
      </c>
      <c r="AO28" s="59">
        <f>IFERROR(1-X28/AP28,"-")</f>
        <v/>
      </c>
      <c r="AP28" s="4">
        <f>IFERROR(ROUND($AF28*R28/$O28,0),"-")</f>
        <v/>
      </c>
      <c r="AQ28" s="4">
        <f>IF(S28="","-",S28)</f>
        <v/>
      </c>
      <c r="AR28" s="4">
        <f>IF(T28="","-",T28)</f>
        <v/>
      </c>
      <c r="AS28" s="4" t="inlineStr">
        <is>
          <t>34/320</t>
        </is>
      </c>
      <c r="AT28" s="4" t="inlineStr">
        <is>
          <t>221951</t>
        </is>
      </c>
      <c r="AU28" s="4" t="n"/>
      <c r="AV28" s="4" t="n"/>
      <c r="AW28" s="4" t="inlineStr">
        <is>
          <t>1台</t>
        </is>
      </c>
      <c r="AX28" s="4" t="n">
        <v>2319</v>
      </c>
      <c r="AY28" s="4">
        <f>IF(AU28="",AX28,AU28/AV28*AX28)</f>
        <v/>
      </c>
      <c r="AZ28" s="19" t="n">
        <v>4</v>
      </c>
      <c r="BA28" s="19" t="n">
        <v>1</v>
      </c>
      <c r="BB28" s="16" t="n">
        <v>610</v>
      </c>
      <c r="BC28" s="0" t="n">
        <v>1905</v>
      </c>
      <c r="BD28" s="0">
        <f>IFERROR(BC28*AN28,"-")</f>
        <v/>
      </c>
      <c r="BE28" s="0" t="n">
        <v>2384</v>
      </c>
      <c r="BF28" s="0">
        <f>IFERROR(BE28*AN28,"-")</f>
        <v/>
      </c>
      <c r="BG28" s="0" t="inlineStr">
        <is>
          <t>アイリスオーヤマ 小物キャビネット 幅10.4×奥行21×高さ29cm 6引き出し 小物入れ ライトグレー KC-100R １台</t>
        </is>
      </c>
    </row>
    <row r="29">
      <c r="A29" s="0">
        <f>TEXT(F29,"000000")</f>
        <v/>
      </c>
      <c r="B29" s="3" t="n">
        <v>163</v>
      </c>
      <c r="C29" s="3" t="n">
        <v>163</v>
      </c>
      <c r="D29" s="4" t="inlineStr">
        <is>
          <t>J122SG</t>
        </is>
      </c>
      <c r="E29" s="4">
        <f>TEXT(D29,"000000")</f>
        <v/>
      </c>
      <c r="F29" s="4" t="inlineStr">
        <is>
          <t>J122SG</t>
        </is>
      </c>
      <c r="G29" s="4">
        <f>E29&amp;J29</f>
        <v/>
      </c>
      <c r="H29" s="4" t="inlineStr">
        <is>
          <t>ｱｲﾘｽｵｰﾔﾏ/ﾃｰﾌﾞﾙﾁｪｽﾄ ﾎﾜｲﾄ/ET-421</t>
        </is>
      </c>
      <c r="I29" s="58" t="n">
        <v>4905009348442</v>
      </c>
      <c r="J29" s="58" t="n">
        <v>5</v>
      </c>
      <c r="K29" s="58" t="n"/>
      <c r="L29" s="58" t="n">
        <v>1</v>
      </c>
      <c r="M29" s="58" t="n">
        <v>1</v>
      </c>
      <c r="N29" s="4" t="n">
        <v>0</v>
      </c>
      <c r="O29" s="4" t="n">
        <v>1927</v>
      </c>
      <c r="P29" s="4" t="n">
        <v>1300</v>
      </c>
      <c r="Q29" s="59">
        <f>IFERROR(1-P29/O29,"-")</f>
        <v/>
      </c>
      <c r="R29" s="4" t="inlineStr">
        <is>
          <t>-</t>
        </is>
      </c>
      <c r="S29" s="4" t="inlineStr">
        <is>
          <t>-</t>
        </is>
      </c>
      <c r="T29" s="4" t="inlineStr">
        <is>
          <t>-</t>
        </is>
      </c>
      <c r="U29" s="4" t="n">
        <v>0</v>
      </c>
      <c r="V29" s="4">
        <f>IF(Y29="",U29,U29*Y29)</f>
        <v/>
      </c>
      <c r="W29" s="4" t="n">
        <v>1560</v>
      </c>
      <c r="X29" s="4">
        <f>IF(Y29="",W29,W29*Y29)</f>
        <v/>
      </c>
      <c r="Y29" s="4" t="n"/>
      <c r="Z29" s="21">
        <f>ROUND(O29*AN29,0)</f>
        <v/>
      </c>
      <c r="AA29" s="59">
        <f>IFERROR(1-X29/Z29,"-")</f>
        <v/>
      </c>
      <c r="AB29" s="4" t="n">
        <v>0</v>
      </c>
      <c r="AC29" s="4">
        <f>AY29</f>
        <v/>
      </c>
      <c r="AD29" s="4">
        <f>IFERROR(AC29*AN29,"-")</f>
        <v/>
      </c>
      <c r="AE29" s="59">
        <f>IFERROR(1-X29/AD29,"-")</f>
        <v/>
      </c>
      <c r="AF29" s="7" t="n">
        <v>1835</v>
      </c>
      <c r="AG29" s="59">
        <f>1-X29/AF29</f>
        <v/>
      </c>
      <c r="AH29" s="4">
        <f>AF29-X29</f>
        <v/>
      </c>
      <c r="AI29" s="28" t="n"/>
      <c r="AJ29" s="59" t="n"/>
      <c r="AK29" s="59" t="n"/>
      <c r="AL29" s="59">
        <f>IFERROR(V29/N29,"-")</f>
        <v/>
      </c>
      <c r="AM29" s="59">
        <f>IFERROR(AF29/O29,"-")</f>
        <v/>
      </c>
      <c r="AN29" s="59">
        <f>IFERROR(X29/P29,"-")</f>
        <v/>
      </c>
      <c r="AO29" s="59">
        <f>IFERROR(1-X29/AP29,"-")</f>
        <v/>
      </c>
      <c r="AP29" s="4">
        <f>IFERROR(ROUND($AF29*R29/$O29,0),"-")</f>
        <v/>
      </c>
      <c r="AQ29" s="4">
        <f>IF(S29="","-",S29)</f>
        <v/>
      </c>
      <c r="AR29" s="4">
        <f>IF(T29="","-",T29)</f>
        <v/>
      </c>
      <c r="AS29" s="4" t="n">
        <v>0</v>
      </c>
      <c r="AT29" s="4" t="inlineStr">
        <is>
          <t>2090240</t>
        </is>
      </c>
      <c r="AU29" s="4" t="n"/>
      <c r="AV29" s="4" t="n"/>
      <c r="AW29" s="4" t="inlineStr">
        <is>
          <t>1台</t>
        </is>
      </c>
      <c r="AX29" s="4" t="n">
        <v>1700</v>
      </c>
      <c r="AY29" s="4">
        <f>IF(AU29="",AX29,AU29/AV29*AX29)</f>
        <v/>
      </c>
      <c r="AZ29" s="19" t="n">
        <v>4</v>
      </c>
      <c r="BA29" s="19" t="n">
        <v>8</v>
      </c>
      <c r="BB29" s="16" t="n">
        <v>610</v>
      </c>
      <c r="BC29" s="0" t="inlineStr">
        <is>
          <t>-</t>
        </is>
      </c>
      <c r="BD29" s="0">
        <f>IFERROR(BC29*AN29,"-")</f>
        <v/>
      </c>
      <c r="BE29" s="0" t="n">
        <v>2057</v>
      </c>
      <c r="BF29" s="0">
        <f>IFERROR(BE29*AN29,"-")</f>
        <v/>
      </c>
      <c r="BG29" s="0" t="inlineStr">
        <is>
          <t>アイリスオーヤマ テーブルチェスト ホワイト ET-421</t>
        </is>
      </c>
    </row>
    <row r="30">
      <c r="A30" s="0">
        <f>TEXT(F30,"000000")</f>
        <v/>
      </c>
      <c r="B30" s="3" t="n">
        <v>164</v>
      </c>
      <c r="C30" s="3" t="n">
        <v>164</v>
      </c>
      <c r="D30" s="4" t="inlineStr">
        <is>
          <t>J123SG</t>
        </is>
      </c>
      <c r="E30" s="4">
        <f>TEXT(D30,"000000")</f>
        <v/>
      </c>
      <c r="F30" s="4" t="inlineStr">
        <is>
          <t>J123SG</t>
        </is>
      </c>
      <c r="G30" s="4">
        <f>E30&amp;J30</f>
        <v/>
      </c>
      <c r="H30" s="4" t="inlineStr">
        <is>
          <t>ｱｲﾘｽｵｰﾔﾏ/ﾃｰﾌﾞﾙﾁｪｽﾄ ﾎﾜｲﾄ/ET-430</t>
        </is>
      </c>
      <c r="I30" s="58" t="n">
        <v>4905009348459</v>
      </c>
      <c r="J30" s="58" t="n">
        <v>5</v>
      </c>
      <c r="K30" s="58" t="n"/>
      <c r="L30" s="58" t="n">
        <v>1</v>
      </c>
      <c r="M30" s="58" t="n">
        <v>1</v>
      </c>
      <c r="N30" s="4" t="n">
        <v>0</v>
      </c>
      <c r="O30" s="4" t="n">
        <v>1927</v>
      </c>
      <c r="P30" s="4" t="n">
        <v>1300</v>
      </c>
      <c r="Q30" s="59">
        <f>IFERROR(1-P30/O30,"-")</f>
        <v/>
      </c>
      <c r="R30" s="4" t="inlineStr">
        <is>
          <t>-</t>
        </is>
      </c>
      <c r="S30" s="4" t="inlineStr">
        <is>
          <t>-</t>
        </is>
      </c>
      <c r="T30" s="4" t="inlineStr">
        <is>
          <t>-</t>
        </is>
      </c>
      <c r="U30" s="4" t="n">
        <v>0</v>
      </c>
      <c r="V30" s="4">
        <f>IF(Y30="",U30,U30*Y30)</f>
        <v/>
      </c>
      <c r="W30" s="4" t="n">
        <v>1560</v>
      </c>
      <c r="X30" s="4">
        <f>IF(Y30="",W30,W30*Y30)</f>
        <v/>
      </c>
      <c r="Y30" s="4" t="n"/>
      <c r="Z30" s="21">
        <f>ROUND(O30*AN30,0)</f>
        <v/>
      </c>
      <c r="AA30" s="59">
        <f>IFERROR(1-X30/Z30,"-")</f>
        <v/>
      </c>
      <c r="AB30" s="4" t="n">
        <v>0.25</v>
      </c>
      <c r="AC30" s="4">
        <f>AY30</f>
        <v/>
      </c>
      <c r="AD30" s="4">
        <f>IFERROR(AC30*AN30,"-")</f>
        <v/>
      </c>
      <c r="AE30" s="59">
        <f>IFERROR(1-X30/AD30,"-")</f>
        <v/>
      </c>
      <c r="AF30" s="7" t="n">
        <v>1835</v>
      </c>
      <c r="AG30" s="59">
        <f>1-X30/AF30</f>
        <v/>
      </c>
      <c r="AH30" s="4">
        <f>AF30-X30</f>
        <v/>
      </c>
      <c r="AI30" s="28" t="n"/>
      <c r="AJ30" s="59" t="n"/>
      <c r="AK30" s="59" t="n"/>
      <c r="AL30" s="59">
        <f>IFERROR(V30/N30,"-")</f>
        <v/>
      </c>
      <c r="AM30" s="59">
        <f>IFERROR(AF30/O30,"-")</f>
        <v/>
      </c>
      <c r="AN30" s="59">
        <f>IFERROR(X30/P30,"-")</f>
        <v/>
      </c>
      <c r="AO30" s="59">
        <f>IFERROR(1-X30/AP30,"-")</f>
        <v/>
      </c>
      <c r="AP30" s="4">
        <f>IFERROR(ROUND($AF30*R30/$O30,0),"-")</f>
        <v/>
      </c>
      <c r="AQ30" s="4">
        <f>IF(S30="","-",S30)</f>
        <v/>
      </c>
      <c r="AR30" s="4">
        <f>IF(T30="","-",T30)</f>
        <v/>
      </c>
      <c r="AS30" s="4" t="n">
        <v>0</v>
      </c>
      <c r="AT30" s="4" t="inlineStr">
        <is>
          <t>2090268</t>
        </is>
      </c>
      <c r="AU30" s="4" t="n"/>
      <c r="AV30" s="4" t="n"/>
      <c r="AW30" s="4" t="inlineStr">
        <is>
          <t>1台</t>
        </is>
      </c>
      <c r="AX30" s="4" t="n">
        <v>1437</v>
      </c>
      <c r="AY30" s="4">
        <f>IF(AU30="",AX30,AU30/AV30*AX30)</f>
        <v/>
      </c>
      <c r="AZ30" s="19" t="n">
        <v>4</v>
      </c>
      <c r="BA30" s="19" t="n">
        <v>8</v>
      </c>
      <c r="BB30" s="16" t="n">
        <v>610</v>
      </c>
      <c r="BC30" s="0" t="inlineStr">
        <is>
          <t>-</t>
        </is>
      </c>
      <c r="BD30" s="0">
        <f>IFERROR(BC30*AN30,"-")</f>
        <v/>
      </c>
      <c r="BE30" s="0" t="n">
        <v>1311</v>
      </c>
      <c r="BF30" s="0">
        <f>IFERROR(BE30*AN30,"-")</f>
        <v/>
      </c>
      <c r="BG30" s="0" t="inlineStr">
        <is>
          <t>【引き出し収納】アイリスオーヤマ テーブルチェスト 幅25.2×奥行32.2×高さ26.5cm 3段 卓上 A4対応 書類整理 ホワイト ET-430 １個</t>
        </is>
      </c>
    </row>
    <row r="31">
      <c r="A31" s="0">
        <f>TEXT(F31,"000000")</f>
        <v/>
      </c>
      <c r="B31" s="3" t="n">
        <v>147</v>
      </c>
      <c r="C31" s="3" t="n">
        <v>147</v>
      </c>
      <c r="D31" s="4" t="n">
        <v>616027</v>
      </c>
      <c r="E31" s="4">
        <f>TEXT(D31,"000000")</f>
        <v/>
      </c>
      <c r="F31" s="4" t="n">
        <v>616027</v>
      </c>
      <c r="G31" s="4">
        <f>E31&amp;J31</f>
        <v/>
      </c>
      <c r="H31" s="4" t="inlineStr">
        <is>
          <t>G)ｱｲﾘｽｵｰﾔﾏ/小物ｷｬﾋﾞﾈｯﾄ ﾗｲﾄｸﾞﾚｰ/KC-30R</t>
        </is>
      </c>
      <c r="I31" s="58" t="n">
        <v>4905009542390</v>
      </c>
      <c r="J31" s="58" t="n">
        <v>5</v>
      </c>
      <c r="K31" s="58" t="n"/>
      <c r="L31" s="58" t="n">
        <v>1</v>
      </c>
      <c r="M31" s="58" t="n">
        <v>1</v>
      </c>
      <c r="N31" s="4" t="n">
        <v>0</v>
      </c>
      <c r="O31" s="4" t="n">
        <v>2148</v>
      </c>
      <c r="P31" s="4" t="n">
        <v>1400</v>
      </c>
      <c r="Q31" s="59">
        <f>IFERROR(1-P31/O31,"-")</f>
        <v/>
      </c>
      <c r="R31" s="4" t="inlineStr">
        <is>
          <t>-</t>
        </is>
      </c>
      <c r="S31" s="4" t="inlineStr">
        <is>
          <t>-</t>
        </is>
      </c>
      <c r="T31" s="4" t="inlineStr">
        <is>
          <t>-</t>
        </is>
      </c>
      <c r="U31" s="4" t="n">
        <v>0</v>
      </c>
      <c r="V31" s="4">
        <f>IF(Y31="",U31,U31*Y31)</f>
        <v/>
      </c>
      <c r="W31" s="4" t="n">
        <v>1611</v>
      </c>
      <c r="X31" s="4">
        <f>IF(Y31="",W31,W31*Y31)</f>
        <v/>
      </c>
      <c r="Y31" s="4" t="n"/>
      <c r="Z31" s="21">
        <f>ROUND(O31*AN31,0)</f>
        <v/>
      </c>
      <c r="AA31" s="59">
        <f>IFERROR(1-X31/Z31,"-")</f>
        <v/>
      </c>
      <c r="AB31" s="4" t="n">
        <v>1</v>
      </c>
      <c r="AC31" s="4">
        <f>AY31</f>
        <v/>
      </c>
      <c r="AD31" s="4">
        <f>IFERROR(AC31*AN31,"-")</f>
        <v/>
      </c>
      <c r="AE31" s="59">
        <f>IFERROR(1-X31/AD31,"-")</f>
        <v/>
      </c>
      <c r="AF31" s="7" t="n">
        <v>2509</v>
      </c>
      <c r="AG31" s="59">
        <f>1-X31/AF31</f>
        <v/>
      </c>
      <c r="AH31" s="4">
        <f>AF31-X31</f>
        <v/>
      </c>
      <c r="AI31" s="28" t="n"/>
      <c r="AJ31" s="59" t="n"/>
      <c r="AK31" s="59" t="n"/>
      <c r="AL31" s="59">
        <f>IFERROR(V31/N31,"-")</f>
        <v/>
      </c>
      <c r="AM31" s="59">
        <f>IFERROR(AF31/O31,"-")</f>
        <v/>
      </c>
      <c r="AN31" s="59">
        <f>IFERROR(X31/P31,"-")</f>
        <v/>
      </c>
      <c r="AO31" s="59">
        <f>IFERROR(1-X31/AP31,"-")</f>
        <v/>
      </c>
      <c r="AP31" s="4">
        <f>IFERROR(ROUND($AF31*R31/$O31,0),"-")</f>
        <v/>
      </c>
      <c r="AQ31" s="4">
        <f>IF(S31="","-",S31)</f>
        <v/>
      </c>
      <c r="AR31" s="4">
        <f>IF(T31="","-",T31)</f>
        <v/>
      </c>
      <c r="AS31" s="4" t="inlineStr">
        <is>
          <t>34/320</t>
        </is>
      </c>
      <c r="AT31" s="4" t="inlineStr">
        <is>
          <t>221997</t>
        </is>
      </c>
      <c r="AU31" s="4" t="n"/>
      <c r="AV31" s="4" t="n"/>
      <c r="AW31" s="4" t="inlineStr">
        <is>
          <t>1台</t>
        </is>
      </c>
      <c r="AX31" s="4" t="n">
        <v>2510</v>
      </c>
      <c r="AY31" s="4">
        <f>IF(AU31="",AX31,AU31/AV31*AX31)</f>
        <v/>
      </c>
      <c r="AZ31" s="19" t="n">
        <v>4</v>
      </c>
      <c r="BA31" s="19" t="n">
        <v>1</v>
      </c>
      <c r="BB31" s="16" t="n">
        <v>610</v>
      </c>
      <c r="BC31" s="0" t="n">
        <v>2161</v>
      </c>
      <c r="BD31" s="0">
        <f>IFERROR(BC31*AN31,"-")</f>
        <v/>
      </c>
      <c r="BE31" s="0" t="n">
        <v>3036</v>
      </c>
      <c r="BF31" s="0">
        <f>IFERROR(BE31*AN31,"-")</f>
        <v/>
      </c>
      <c r="BG31" s="0" t="inlineStr">
        <is>
          <t>アイリスオーヤマ 小物キャビネット 幅29.5×奥行13×高さ20cm 16引き出し ライトグレー KC-30R １台</t>
        </is>
      </c>
    </row>
    <row r="32">
      <c r="A32" s="0">
        <f>TEXT(F32,"000000")</f>
        <v/>
      </c>
      <c r="B32" s="3" t="n">
        <v>140</v>
      </c>
      <c r="C32" s="3" t="n">
        <v>140</v>
      </c>
      <c r="D32" s="4" t="n">
        <v>183590</v>
      </c>
      <c r="E32" s="4">
        <f>TEXT(D32,"000000")</f>
        <v/>
      </c>
      <c r="F32" s="4" t="n">
        <v>183590</v>
      </c>
      <c r="G32" s="4">
        <f>E32&amp;J32</f>
        <v/>
      </c>
      <c r="H32" s="4" t="inlineStr">
        <is>
          <t>ｱｲﾘｽ/ﾊﾟｰﾂｷｬﾋﾞﾈｯﾄ ﾌﾞﾗｯｸ/PC-30</t>
        </is>
      </c>
      <c r="I32" s="58" t="n">
        <v>4905009383177</v>
      </c>
      <c r="J32" s="58" t="n">
        <v>5</v>
      </c>
      <c r="K32" s="58" t="n"/>
      <c r="L32" s="58" t="n">
        <v>1</v>
      </c>
      <c r="M32" s="58" t="n">
        <v>1</v>
      </c>
      <c r="N32" s="4" t="n">
        <v>0</v>
      </c>
      <c r="O32" s="4" t="n">
        <v>2383</v>
      </c>
      <c r="P32" s="4" t="n">
        <v>1500</v>
      </c>
      <c r="Q32" s="59">
        <f>IFERROR(1-P32/O32,"-")</f>
        <v/>
      </c>
      <c r="R32" s="4" t="inlineStr">
        <is>
          <t>-</t>
        </is>
      </c>
      <c r="S32" s="4" t="inlineStr">
        <is>
          <t>-</t>
        </is>
      </c>
      <c r="T32" s="4" t="inlineStr">
        <is>
          <t>-</t>
        </is>
      </c>
      <c r="U32" s="4" t="n">
        <v>0</v>
      </c>
      <c r="V32" s="4">
        <f>IF(Y32="",U32,U32*Y32)</f>
        <v/>
      </c>
      <c r="W32" s="4" t="n">
        <v>1725</v>
      </c>
      <c r="X32" s="4">
        <f>IF(Y32="",W32,W32*Y32)</f>
        <v/>
      </c>
      <c r="Y32" s="4" t="n"/>
      <c r="Z32" s="21">
        <f>ROUND(O32*AN32,0)</f>
        <v/>
      </c>
      <c r="AA32" s="59">
        <f>IFERROR(1-X32/Z32,"-")</f>
        <v/>
      </c>
      <c r="AB32" s="4" t="n">
        <v>0.5</v>
      </c>
      <c r="AC32" s="4">
        <f>AY32</f>
        <v/>
      </c>
      <c r="AD32" s="4">
        <f>IFERROR(AC32*AN32,"-")</f>
        <v/>
      </c>
      <c r="AE32" s="59">
        <f>IFERROR(1-X32/AD32,"-")</f>
        <v/>
      </c>
      <c r="AF32" s="7" t="n">
        <v>2281</v>
      </c>
      <c r="AG32" s="59">
        <f>1-X32/AF32</f>
        <v/>
      </c>
      <c r="AH32" s="4">
        <f>AF32-X32</f>
        <v/>
      </c>
      <c r="AI32" s="28" t="n"/>
      <c r="AJ32" s="59" t="n"/>
      <c r="AK32" s="59" t="n"/>
      <c r="AL32" s="59">
        <f>IFERROR(V32/N32,"-")</f>
        <v/>
      </c>
      <c r="AM32" s="59">
        <f>IFERROR(AF32/O32,"-")</f>
        <v/>
      </c>
      <c r="AN32" s="59">
        <f>IFERROR(X32/P32,"-")</f>
        <v/>
      </c>
      <c r="AO32" s="59">
        <f>IFERROR(1-X32/AP32,"-")</f>
        <v/>
      </c>
      <c r="AP32" s="4">
        <f>IFERROR(ROUND($AF32*R32/$O32,0),"-")</f>
        <v/>
      </c>
      <c r="AQ32" s="4">
        <f>IF(S32="","-",S32)</f>
        <v/>
      </c>
      <c r="AR32" s="4">
        <f>IF(T32="","-",T32)</f>
        <v/>
      </c>
      <c r="AS32" s="4" t="n">
        <v>0</v>
      </c>
      <c r="AT32" s="4" t="inlineStr">
        <is>
          <t>K806680</t>
        </is>
      </c>
      <c r="AU32" s="4" t="n"/>
      <c r="AV32" s="4" t="n"/>
      <c r="AW32" s="4" t="inlineStr">
        <is>
          <t>1台(1個)</t>
        </is>
      </c>
      <c r="AX32" s="4" t="n">
        <v>2282</v>
      </c>
      <c r="AY32" s="4">
        <f>IF(AU32="",AX32,AU32/AV32*AX32)</f>
        <v/>
      </c>
      <c r="AZ32" s="19" t="n">
        <v>4</v>
      </c>
      <c r="BA32" s="19" t="n">
        <v>1</v>
      </c>
      <c r="BB32" s="16" t="n">
        <v>610</v>
      </c>
      <c r="BC32" s="0" t="inlineStr">
        <is>
          <t>-</t>
        </is>
      </c>
      <c r="BD32" s="0">
        <f>IFERROR(BC32*AN32,"-")</f>
        <v/>
      </c>
      <c r="BE32" s="0" t="n">
        <v>2040</v>
      </c>
      <c r="BF32" s="0">
        <f>IFERROR(BE32*AN32,"-")</f>
        <v/>
      </c>
      <c r="BG32" s="0" t="inlineStr">
        <is>
          <t>アイリスオーヤマ パーツキャビネット ブラック PCー30 1台(1個)（直送品）</t>
        </is>
      </c>
    </row>
    <row r="33">
      <c r="A33" s="0">
        <f>TEXT(F33,"000000")</f>
        <v/>
      </c>
      <c r="B33" s="37" t="n">
        <v>133</v>
      </c>
      <c r="C33" s="3" t="n">
        <v>133</v>
      </c>
      <c r="D33" s="4" t="inlineStr">
        <is>
          <t>J605PW</t>
        </is>
      </c>
      <c r="E33" s="4">
        <f>TEXT(D33,"000000")</f>
        <v/>
      </c>
      <c r="F33" s="4" t="inlineStr">
        <is>
          <t>J605PW</t>
        </is>
      </c>
      <c r="G33" s="4">
        <f>E33&amp;J33</f>
        <v/>
      </c>
      <c r="H33" s="4" t="inlineStr">
        <is>
          <t>ｱｲﾘｽｵｰﾔﾏ/ﾃﾞｽｸﾏｯﾄ E型 990×690/DMT-9969E</t>
        </is>
      </c>
      <c r="I33" s="58" t="n">
        <v>4905009720439</v>
      </c>
      <c r="J33" s="58" t="n">
        <v>5</v>
      </c>
      <c r="K33" s="58" t="n"/>
      <c r="L33" s="58" t="n">
        <v>1</v>
      </c>
      <c r="M33" s="58" t="n">
        <v>1</v>
      </c>
      <c r="N33" s="4" t="n">
        <v>0</v>
      </c>
      <c r="O33" s="4" t="n">
        <v>2837</v>
      </c>
      <c r="P33" s="4" t="n">
        <v>1620</v>
      </c>
      <c r="Q33" s="59">
        <f>IFERROR(1-P33/O33,"-")</f>
        <v/>
      </c>
      <c r="R33" s="4" t="inlineStr">
        <is>
          <t>-</t>
        </is>
      </c>
      <c r="S33" s="4" t="inlineStr">
        <is>
          <t>-</t>
        </is>
      </c>
      <c r="T33" s="4" t="inlineStr">
        <is>
          <t>-</t>
        </is>
      </c>
      <c r="U33" s="4" t="n">
        <v>0</v>
      </c>
      <c r="V33" s="4">
        <f>IF(Y33="",U33,U33*Y33)</f>
        <v/>
      </c>
      <c r="W33" s="4" t="n">
        <v>1783</v>
      </c>
      <c r="X33" s="4">
        <f>IF(Y33="",W33,W33*Y33)</f>
        <v/>
      </c>
      <c r="Y33" s="4" t="n"/>
      <c r="Z33" s="21">
        <f>ROUND(O33*AN33,0)</f>
        <v/>
      </c>
      <c r="AA33" s="59">
        <f>IFERROR(1-X33/Z33,"-")</f>
        <v/>
      </c>
      <c r="AB33" s="4" t="n">
        <v>0.25</v>
      </c>
      <c r="AC33" s="4">
        <f>AY33</f>
        <v/>
      </c>
      <c r="AD33" s="4">
        <f>IFERROR(AC33*AN33,"-")</f>
        <v/>
      </c>
      <c r="AE33" s="59">
        <f>IFERROR(1-X33/AD33,"-")</f>
        <v/>
      </c>
      <c r="AF33" s="7" t="n">
        <v>2837</v>
      </c>
      <c r="AG33" s="59">
        <f>1-X33/AF33</f>
        <v/>
      </c>
      <c r="AH33" s="38">
        <f>AF33-X33</f>
        <v/>
      </c>
      <c r="AI33" s="28" t="n"/>
      <c r="AJ33" s="59" t="n"/>
      <c r="AK33" s="59" t="n"/>
      <c r="AL33" s="59">
        <f>IFERROR(V33/N33,"-")</f>
        <v/>
      </c>
      <c r="AM33" s="59">
        <f>IFERROR(AF33/O33,"-")</f>
        <v/>
      </c>
      <c r="AN33" s="59">
        <f>IFERROR(X33/P33,"-")</f>
        <v/>
      </c>
      <c r="AO33" s="59">
        <f>IFERROR(1-X33/AP33,"-")</f>
        <v/>
      </c>
      <c r="AP33" s="4">
        <f>IFERROR(ROUND($AF33*R33/$O33,0),"-")</f>
        <v/>
      </c>
      <c r="AQ33" s="4">
        <f>IF(S33="","-",S33)</f>
        <v/>
      </c>
      <c r="AR33" s="4">
        <f>IF(T33="","-",T33)</f>
        <v/>
      </c>
      <c r="AS33" s="4" t="n">
        <v>0</v>
      </c>
      <c r="AT33" s="4" t="inlineStr">
        <is>
          <t>-</t>
        </is>
      </c>
      <c r="AU33" s="4" t="n"/>
      <c r="AV33" s="4" t="n"/>
      <c r="AW33" s="4" t="inlineStr">
        <is>
          <t>-</t>
        </is>
      </c>
      <c r="AX33" s="4" t="inlineStr">
        <is>
          <t>-</t>
        </is>
      </c>
      <c r="AY33" s="4">
        <f>IF(AU33="",AX33,AU33/AV33*AX33)</f>
        <v/>
      </c>
      <c r="AZ33" s="19" t="n">
        <v>2</v>
      </c>
      <c r="BA33" s="19" t="n">
        <v>8</v>
      </c>
      <c r="BB33" s="16" t="n">
        <v>610</v>
      </c>
      <c r="BC33" s="0" t="inlineStr">
        <is>
          <t>-</t>
        </is>
      </c>
      <c r="BD33" s="0">
        <f>IFERROR(BC33*AN33,"-")</f>
        <v/>
      </c>
      <c r="BE33" s="0" t="n">
        <v>2482</v>
      </c>
      <c r="BF33" s="0">
        <f>IFERROR(BE33*AN33,"-")</f>
        <v/>
      </c>
      <c r="BG33" s="0" t="inlineStr">
        <is>
          <t>-</t>
        </is>
      </c>
    </row>
    <row r="34">
      <c r="A34" s="0">
        <f>TEXT(F34,"000000")</f>
        <v/>
      </c>
      <c r="B34" s="37" t="n">
        <v>138</v>
      </c>
      <c r="C34" s="3" t="n">
        <v>138</v>
      </c>
      <c r="D34" s="4" t="n">
        <v>191060</v>
      </c>
      <c r="E34" s="4">
        <f>TEXT(D34,"000000")</f>
        <v/>
      </c>
      <c r="F34" s="4" t="n">
        <v>191060</v>
      </c>
      <c r="G34" s="4">
        <f>E34&amp;J34</f>
        <v/>
      </c>
      <c r="H34" s="4" t="inlineStr">
        <is>
          <t>ｱｲﾘｽｵｰﾔﾏ/ﾃﾞｽｸﾏｯﾄ 下敷き付 990×690/DMT-9969PN</t>
        </is>
      </c>
      <c r="I34" s="58" t="n">
        <v>4905009566235</v>
      </c>
      <c r="J34" s="58" t="n">
        <v>5</v>
      </c>
      <c r="K34" s="58" t="n"/>
      <c r="L34" s="58" t="n">
        <v>1</v>
      </c>
      <c r="M34" s="58" t="n">
        <v>1</v>
      </c>
      <c r="N34" s="4" t="n">
        <v>0</v>
      </c>
      <c r="O34" s="4" t="n">
        <v>4065</v>
      </c>
      <c r="P34" s="4" t="n">
        <v>1800</v>
      </c>
      <c r="Q34" s="59">
        <f>IFERROR(1-P34/O34,"-")</f>
        <v/>
      </c>
      <c r="R34" s="4" t="inlineStr">
        <is>
          <t>-</t>
        </is>
      </c>
      <c r="S34" s="4" t="inlineStr">
        <is>
          <t>-</t>
        </is>
      </c>
      <c r="T34" s="4" t="inlineStr">
        <is>
          <t>-</t>
        </is>
      </c>
      <c r="U34" s="4" t="n">
        <v>0</v>
      </c>
      <c r="V34" s="4">
        <f>IF(Y34="",U34,U34*Y34)</f>
        <v/>
      </c>
      <c r="W34" s="4" t="n">
        <v>2016</v>
      </c>
      <c r="X34" s="4">
        <f>IF(Y34="",W34,W34*Y34)</f>
        <v/>
      </c>
      <c r="Y34" s="4" t="n"/>
      <c r="Z34" s="21">
        <f>ROUND(O34*AN34,0)</f>
        <v/>
      </c>
      <c r="AA34" s="59">
        <f>IFERROR(1-X34/Z34,"-")</f>
        <v/>
      </c>
      <c r="AB34" s="4" t="n">
        <v>2.5</v>
      </c>
      <c r="AC34" s="4">
        <f>AY34</f>
        <v/>
      </c>
      <c r="AD34" s="4">
        <f>IFERROR(AC34*AN34,"-")</f>
        <v/>
      </c>
      <c r="AE34" s="59">
        <f>IFERROR(1-X34/AD34,"-")</f>
        <v/>
      </c>
      <c r="AF34" s="7" t="n">
        <v>3301</v>
      </c>
      <c r="AG34" s="59">
        <f>1-X34/AF34</f>
        <v/>
      </c>
      <c r="AH34" s="38">
        <f>AF34-X34</f>
        <v/>
      </c>
      <c r="AI34" s="28" t="n"/>
      <c r="AJ34" s="59" t="n"/>
      <c r="AK34" s="59" t="n"/>
      <c r="AL34" s="59">
        <f>IFERROR(V34/N34,"-")</f>
        <v/>
      </c>
      <c r="AM34" s="59">
        <f>IFERROR(AF34/O34,"-")</f>
        <v/>
      </c>
      <c r="AN34" s="59">
        <f>IFERROR(X34/P34,"-")</f>
        <v/>
      </c>
      <c r="AO34" s="59">
        <f>IFERROR(1-X34/AP34,"-")</f>
        <v/>
      </c>
      <c r="AP34" s="4">
        <f>IFERROR(ROUND($AF34*R34/$O34,0),"-")</f>
        <v/>
      </c>
      <c r="AQ34" s="4">
        <f>IF(S34="","-",S34)</f>
        <v/>
      </c>
      <c r="AR34" s="4">
        <f>IF(T34="","-",T34)</f>
        <v/>
      </c>
      <c r="AS34" s="4" t="inlineStr">
        <is>
          <t>34/327</t>
        </is>
      </c>
      <c r="AT34" s="4" t="inlineStr">
        <is>
          <t>A018580</t>
        </is>
      </c>
      <c r="AU34" s="4" t="n"/>
      <c r="AV34" s="4" t="n"/>
      <c r="AW34" s="4" t="inlineStr">
        <is>
          <t>1枚</t>
        </is>
      </c>
      <c r="AX34" s="4" t="n">
        <v>3302</v>
      </c>
      <c r="AY34" s="4">
        <f>IF(AU34="",AX34,AU34/AV34*AX34)</f>
        <v/>
      </c>
      <c r="AZ34" s="19" t="n">
        <v>2</v>
      </c>
      <c r="BA34" s="19" t="n">
        <v>1</v>
      </c>
      <c r="BB34" s="16" t="n">
        <v>610</v>
      </c>
      <c r="BC34" s="0" t="inlineStr">
        <is>
          <t>-</t>
        </is>
      </c>
      <c r="BD34" s="0">
        <f>IFERROR(BC34*AN34,"-")</f>
        <v/>
      </c>
      <c r="BE34" s="0" t="n">
        <v>3302</v>
      </c>
      <c r="BF34" s="0">
        <f>IFERROR(BE34*AN34,"-")</f>
        <v/>
      </c>
      <c r="BG34" s="0" t="inlineStr">
        <is>
          <t>アイリスオーヤマ デスクマット DMTー9969PN ナチュラル/グリーン 1枚（直送品）</t>
        </is>
      </c>
    </row>
    <row r="35">
      <c r="A35" s="0">
        <f>TEXT(F35,"000000")</f>
        <v/>
      </c>
      <c r="B35" s="37" t="n">
        <v>134</v>
      </c>
      <c r="C35" s="3" t="n">
        <v>134</v>
      </c>
      <c r="D35" s="4" t="inlineStr">
        <is>
          <t>J599PW</t>
        </is>
      </c>
      <c r="E35" s="4">
        <f>TEXT(D35,"000000")</f>
        <v/>
      </c>
      <c r="F35" s="4" t="inlineStr">
        <is>
          <t>J599PW</t>
        </is>
      </c>
      <c r="G35" s="4">
        <f>E35&amp;J35</f>
        <v/>
      </c>
      <c r="H35" s="4" t="inlineStr">
        <is>
          <t>ｱｲﾘｽｵｰﾔﾏ/ﾃﾞｽｸﾏｯﾄ 990×590 ﾅﾁｭﾗﾙ/ｸﾞﾘｰﾝ/DMT-9959PZ</t>
        </is>
      </c>
      <c r="I35" s="58" t="n">
        <v>4905009520312</v>
      </c>
      <c r="J35" s="58" t="n">
        <v>5</v>
      </c>
      <c r="K35" s="58" t="n"/>
      <c r="L35" s="58" t="n">
        <v>1</v>
      </c>
      <c r="M35" s="58" t="n">
        <v>1</v>
      </c>
      <c r="N35" s="4" t="n">
        <v>0</v>
      </c>
      <c r="O35" s="4" t="n">
        <v>3231</v>
      </c>
      <c r="P35" s="4" t="n">
        <v>1980</v>
      </c>
      <c r="Q35" s="59">
        <f>IFERROR(1-P35/O35,"-")</f>
        <v/>
      </c>
      <c r="R35" s="4" t="inlineStr">
        <is>
          <t>-</t>
        </is>
      </c>
      <c r="S35" s="4" t="inlineStr">
        <is>
          <t>-</t>
        </is>
      </c>
      <c r="T35" s="4" t="inlineStr">
        <is>
          <t>-</t>
        </is>
      </c>
      <c r="U35" s="4" t="n">
        <v>0</v>
      </c>
      <c r="V35" s="4">
        <f>IF(Y35="",U35,U35*Y35)</f>
        <v/>
      </c>
      <c r="W35" s="4" t="n">
        <v>2179</v>
      </c>
      <c r="X35" s="4">
        <f>IF(Y35="",W35,W35*Y35)</f>
        <v/>
      </c>
      <c r="Y35" s="4" t="n"/>
      <c r="Z35" s="21">
        <f>ROUND(O35*AN35,0)</f>
        <v/>
      </c>
      <c r="AA35" s="59">
        <f>IFERROR(1-X35/Z35,"-")</f>
        <v/>
      </c>
      <c r="AB35" s="4" t="n">
        <v>0.5</v>
      </c>
      <c r="AC35" s="4">
        <f>AY35</f>
        <v/>
      </c>
      <c r="AD35" s="4">
        <f>IFERROR(AC35*AN35,"-")</f>
        <v/>
      </c>
      <c r="AE35" s="59">
        <f>IFERROR(1-X35/AD35,"-")</f>
        <v/>
      </c>
      <c r="AF35" s="7" t="n">
        <v>3281</v>
      </c>
      <c r="AG35" s="59">
        <f>1-X35/AF35</f>
        <v/>
      </c>
      <c r="AH35" s="38">
        <f>AF35-X35</f>
        <v/>
      </c>
      <c r="AI35" s="28" t="n"/>
      <c r="AJ35" s="59" t="n"/>
      <c r="AK35" s="59" t="n"/>
      <c r="AL35" s="59">
        <f>IFERROR(V35/N35,"-")</f>
        <v/>
      </c>
      <c r="AM35" s="59">
        <f>IFERROR(AF35/O35,"-")</f>
        <v/>
      </c>
      <c r="AN35" s="59">
        <f>IFERROR(X35/P35,"-")</f>
        <v/>
      </c>
      <c r="AO35" s="59">
        <f>IFERROR(1-X35/AP35,"-")</f>
        <v/>
      </c>
      <c r="AP35" s="4">
        <f>IFERROR(ROUND($AF35*R35/$O35,0),"-")</f>
        <v/>
      </c>
      <c r="AQ35" s="4">
        <f>IF(S35="","-",S35)</f>
        <v/>
      </c>
      <c r="AR35" s="4">
        <f>IF(T35="","-",T35)</f>
        <v/>
      </c>
      <c r="AS35" s="4" t="n">
        <v>0</v>
      </c>
      <c r="AT35" s="4" t="inlineStr">
        <is>
          <t>K806729</t>
        </is>
      </c>
      <c r="AU35" s="4" t="n"/>
      <c r="AV35" s="4" t="n"/>
      <c r="AW35" s="4" t="inlineStr">
        <is>
          <t>1個</t>
        </is>
      </c>
      <c r="AX35" s="4" t="n">
        <v>3282</v>
      </c>
      <c r="AY35" s="4">
        <f>IF(AU35="",AX35,AU35/AV35*AX35)</f>
        <v/>
      </c>
      <c r="AZ35" s="19" t="n">
        <v>2</v>
      </c>
      <c r="BA35" s="19" t="n">
        <v>1</v>
      </c>
      <c r="BB35" s="16" t="n">
        <v>610</v>
      </c>
      <c r="BC35" s="0" t="inlineStr">
        <is>
          <t>-</t>
        </is>
      </c>
      <c r="BD35" s="0">
        <f>IFERROR(BC35*AN35,"-")</f>
        <v/>
      </c>
      <c r="BE35" s="0" t="n">
        <v>3282</v>
      </c>
      <c r="BF35" s="0">
        <f>IFERROR(BE35*AN35,"-")</f>
        <v/>
      </c>
      <c r="BG35" s="0" t="inlineStr">
        <is>
          <t>アイリスオーヤマ デスクマット ナチュラル/緑 DMTー9959PZ 1個（直送品）</t>
        </is>
      </c>
    </row>
    <row r="36">
      <c r="A36" s="0">
        <f>TEXT(F36,"000000")</f>
        <v/>
      </c>
      <c r="B36" s="3" t="n">
        <v>146</v>
      </c>
      <c r="C36" s="3" t="n">
        <v>146</v>
      </c>
      <c r="D36" s="4" t="n">
        <v>616028</v>
      </c>
      <c r="E36" s="4">
        <f>TEXT(D36,"000000")</f>
        <v/>
      </c>
      <c r="F36" s="4" t="n">
        <v>616028</v>
      </c>
      <c r="G36" s="4">
        <f>E36&amp;J36</f>
        <v/>
      </c>
      <c r="H36" s="4" t="inlineStr">
        <is>
          <t>G)ｱｲﾘｽｵｰﾔﾏ/小物ｷｬﾋﾞﾈｯﾄ ﾗｲﾄｸﾞﾚｰ/KC-310R</t>
        </is>
      </c>
      <c r="I36" s="58" t="n">
        <v>4905009542444</v>
      </c>
      <c r="J36" s="58" t="n">
        <v>5</v>
      </c>
      <c r="K36" s="58" t="n"/>
      <c r="L36" s="58" t="n">
        <v>1</v>
      </c>
      <c r="M36" s="58" t="n">
        <v>1</v>
      </c>
      <c r="N36" s="4" t="n">
        <v>0</v>
      </c>
      <c r="O36" s="4" t="n">
        <v>2717</v>
      </c>
      <c r="P36" s="4" t="n">
        <v>2028</v>
      </c>
      <c r="Q36" s="59">
        <f>IFERROR(1-P36/O36,"-")</f>
        <v/>
      </c>
      <c r="R36" s="4" t="inlineStr">
        <is>
          <t>-</t>
        </is>
      </c>
      <c r="S36" s="4" t="inlineStr">
        <is>
          <t>-</t>
        </is>
      </c>
      <c r="T36" s="4" t="inlineStr">
        <is>
          <t>-</t>
        </is>
      </c>
      <c r="U36" s="4" t="n">
        <v>0</v>
      </c>
      <c r="V36" s="4">
        <f>IF(Y36="",U36,U36*Y36)</f>
        <v/>
      </c>
      <c r="W36" s="4" t="n">
        <v>2333</v>
      </c>
      <c r="X36" s="4">
        <f>IF(Y36="",W36,W36*Y36)</f>
        <v/>
      </c>
      <c r="Y36" s="4" t="n"/>
      <c r="Z36" s="21">
        <f>ROUND(O36*AN36,0)</f>
        <v/>
      </c>
      <c r="AA36" s="59">
        <f>IFERROR(1-X36/Z36,"-")</f>
        <v/>
      </c>
      <c r="AB36" s="4" t="n">
        <v>0.5</v>
      </c>
      <c r="AC36" s="4">
        <f>AY36</f>
        <v/>
      </c>
      <c r="AD36" s="4">
        <f>IFERROR(AC36*AN36,"-")</f>
        <v/>
      </c>
      <c r="AE36" s="59">
        <f>IFERROR(1-X36/AD36,"-")</f>
        <v/>
      </c>
      <c r="AF36" s="7" t="n">
        <v>3545</v>
      </c>
      <c r="AG36" s="59">
        <f>1-X36/AF36</f>
        <v/>
      </c>
      <c r="AH36" s="4">
        <f>AF36-X36</f>
        <v/>
      </c>
      <c r="AI36" s="28" t="n"/>
      <c r="AJ36" s="59" t="n"/>
      <c r="AK36" s="59" t="n"/>
      <c r="AL36" s="59">
        <f>IFERROR(V36/N36,"-")</f>
        <v/>
      </c>
      <c r="AM36" s="59">
        <f>IFERROR(AF36/O36,"-")</f>
        <v/>
      </c>
      <c r="AN36" s="59">
        <f>IFERROR(X36/P36,"-")</f>
        <v/>
      </c>
      <c r="AO36" s="59">
        <f>IFERROR(1-X36/AP36,"-")</f>
        <v/>
      </c>
      <c r="AP36" s="4">
        <f>IFERROR(ROUND($AF36*R36/$O36,0),"-")</f>
        <v/>
      </c>
      <c r="AQ36" s="4">
        <f>IF(S36="","-",S36)</f>
        <v/>
      </c>
      <c r="AR36" s="4">
        <f>IF(T36="","-",T36)</f>
        <v/>
      </c>
      <c r="AS36" s="4" t="inlineStr">
        <is>
          <t>34/320</t>
        </is>
      </c>
      <c r="AT36" s="4" t="inlineStr">
        <is>
          <t>221988</t>
        </is>
      </c>
      <c r="AU36" s="4" t="n"/>
      <c r="AV36" s="4" t="n"/>
      <c r="AW36" s="4" t="inlineStr">
        <is>
          <t>1台</t>
        </is>
      </c>
      <c r="AX36" s="4" t="n">
        <v>3546</v>
      </c>
      <c r="AY36" s="4">
        <f>IF(AU36="",AX36,AU36/AV36*AX36)</f>
        <v/>
      </c>
      <c r="AZ36" s="19" t="n">
        <v>4</v>
      </c>
      <c r="BA36" s="19" t="n">
        <v>1</v>
      </c>
      <c r="BB36" s="16" t="n">
        <v>610</v>
      </c>
      <c r="BC36" s="0" t="inlineStr">
        <is>
          <t>-</t>
        </is>
      </c>
      <c r="BD36" s="0">
        <f>IFERROR(BC36*AN36,"-")</f>
        <v/>
      </c>
      <c r="BE36" s="0" t="n">
        <v>3445</v>
      </c>
      <c r="BF36" s="0">
        <f>IFERROR(BE36*AN36,"-")</f>
        <v/>
      </c>
      <c r="BG36" s="0" t="inlineStr">
        <is>
          <t>アイリスオーヤマ　小物キャビネット　24引き出し　KC-310R</t>
        </is>
      </c>
    </row>
    <row r="37">
      <c r="A37" s="0">
        <f>TEXT(F37,"000000")</f>
        <v/>
      </c>
      <c r="B37" s="37" t="n">
        <v>136</v>
      </c>
      <c r="C37" s="3" t="n">
        <v>136</v>
      </c>
      <c r="D37" s="4" t="inlineStr">
        <is>
          <t>J600PW</t>
        </is>
      </c>
      <c r="E37" s="4">
        <f>TEXT(D37,"000000")</f>
        <v/>
      </c>
      <c r="F37" s="4" t="inlineStr">
        <is>
          <t>J600PW</t>
        </is>
      </c>
      <c r="G37" s="4">
        <f>E37&amp;J37</f>
        <v/>
      </c>
      <c r="H37" s="4" t="inlineStr">
        <is>
          <t>ｱｲﾘｽｵｰﾔﾏ/ﾃﾞｽｸﾏｯﾄ 990×690 ﾅﾁｭﾗﾙ/ｸﾞﾘｰﾝ/DMT-9969PZ</t>
        </is>
      </c>
      <c r="I37" s="58" t="n">
        <v>4905009520305</v>
      </c>
      <c r="J37" s="58" t="n">
        <v>5</v>
      </c>
      <c r="K37" s="58" t="n"/>
      <c r="L37" s="58" t="n">
        <v>1</v>
      </c>
      <c r="M37" s="58" t="n">
        <v>1</v>
      </c>
      <c r="N37" s="4" t="n">
        <v>0</v>
      </c>
      <c r="O37" s="4" t="n">
        <v>3708</v>
      </c>
      <c r="P37" s="4" t="n">
        <v>2250</v>
      </c>
      <c r="Q37" s="59">
        <f>IFERROR(1-P37/O37,"-")</f>
        <v/>
      </c>
      <c r="R37" s="4" t="inlineStr">
        <is>
          <t>-</t>
        </is>
      </c>
      <c r="S37" s="4" t="inlineStr">
        <is>
          <t>-</t>
        </is>
      </c>
      <c r="T37" s="4" t="inlineStr">
        <is>
          <t>-</t>
        </is>
      </c>
      <c r="U37" s="4" t="n">
        <v>0</v>
      </c>
      <c r="V37" s="4">
        <f>IF(Y37="",U37,U37*Y37)</f>
        <v/>
      </c>
      <c r="W37" s="4" t="n">
        <v>2476</v>
      </c>
      <c r="X37" s="4">
        <f>IF(Y37="",W37,W37*Y37)</f>
        <v/>
      </c>
      <c r="Y37" s="4" t="n"/>
      <c r="Z37" s="21">
        <f>ROUND(O37*AN37,0)</f>
        <v/>
      </c>
      <c r="AA37" s="59">
        <f>IFERROR(1-X37/Z37,"-")</f>
        <v/>
      </c>
      <c r="AB37" s="4" t="n">
        <v>0.25</v>
      </c>
      <c r="AC37" s="4">
        <f>AY37</f>
        <v/>
      </c>
      <c r="AD37" s="4">
        <f>IFERROR(AC37*AN37,"-")</f>
        <v/>
      </c>
      <c r="AE37" s="59">
        <f>IFERROR(1-X37/AD37,"-")</f>
        <v/>
      </c>
      <c r="AF37" s="7" t="n">
        <v>3681</v>
      </c>
      <c r="AG37" s="59">
        <f>1-X37/AF37</f>
        <v/>
      </c>
      <c r="AH37" s="38">
        <f>AF37-X37</f>
        <v/>
      </c>
      <c r="AI37" s="28" t="n"/>
      <c r="AJ37" s="59" t="n"/>
      <c r="AK37" s="59" t="n"/>
      <c r="AL37" s="59">
        <f>IFERROR(V37/N37,"-")</f>
        <v/>
      </c>
      <c r="AM37" s="59">
        <f>IFERROR(AF37/O37,"-")</f>
        <v/>
      </c>
      <c r="AN37" s="59">
        <f>IFERROR(X37/P37,"-")</f>
        <v/>
      </c>
      <c r="AO37" s="59">
        <f>IFERROR(1-X37/AP37,"-")</f>
        <v/>
      </c>
      <c r="AP37" s="4">
        <f>IFERROR(ROUND($AF37*R37/$O37,0),"-")</f>
        <v/>
      </c>
      <c r="AQ37" s="4">
        <f>IF(S37="","-",S37)</f>
        <v/>
      </c>
      <c r="AR37" s="4">
        <f>IF(T37="","-",T37)</f>
        <v/>
      </c>
      <c r="AS37" s="4" t="n">
        <v>0</v>
      </c>
      <c r="AT37" s="4" t="inlineStr">
        <is>
          <t>K806730</t>
        </is>
      </c>
      <c r="AU37" s="4" t="n"/>
      <c r="AV37" s="4" t="n"/>
      <c r="AW37" s="4" t="inlineStr">
        <is>
          <t>1個</t>
        </is>
      </c>
      <c r="AX37" s="4" t="n">
        <v>3682</v>
      </c>
      <c r="AY37" s="4">
        <f>IF(AU37="",AX37,AU37/AV37*AX37)</f>
        <v/>
      </c>
      <c r="AZ37" s="19" t="n">
        <v>2</v>
      </c>
      <c r="BA37" s="19" t="n">
        <v>8</v>
      </c>
      <c r="BB37" s="16" t="n">
        <v>610</v>
      </c>
      <c r="BC37" s="0" t="inlineStr">
        <is>
          <t>-</t>
        </is>
      </c>
      <c r="BD37" s="0">
        <f>IFERROR(BC37*AN37,"-")</f>
        <v/>
      </c>
      <c r="BE37" s="0" t="n">
        <v>3682</v>
      </c>
      <c r="BF37" s="0">
        <f>IFERROR(BE37*AN37,"-")</f>
        <v/>
      </c>
      <c r="BG37" s="0" t="inlineStr">
        <is>
          <t>アイリスオーヤマ デスクマット ナチュラル/緑 DMTー9969PZ 1個（直送品）</t>
        </is>
      </c>
    </row>
    <row r="38">
      <c r="A38" s="0">
        <f>TEXT(F38,"000000")</f>
        <v/>
      </c>
      <c r="B38" s="37" t="n">
        <v>137</v>
      </c>
      <c r="C38" s="3" t="n">
        <v>137</v>
      </c>
      <c r="D38" s="4" t="n">
        <v>191059</v>
      </c>
      <c r="E38" s="4">
        <f>TEXT(D38,"000000")</f>
        <v/>
      </c>
      <c r="F38" s="4" t="n">
        <v>191059</v>
      </c>
      <c r="G38" s="4">
        <f>E38&amp;J38</f>
        <v/>
      </c>
      <c r="H38" s="4" t="inlineStr">
        <is>
          <t>ｱｲﾘｽｵｰﾔﾏ/ﾃﾞｽｸﾏｯﾄ 下敷き付 1190×690/DMT-1169PN</t>
        </is>
      </c>
      <c r="I38" s="58" t="n">
        <v>4905009566228</v>
      </c>
      <c r="J38" s="58" t="n">
        <v>5</v>
      </c>
      <c r="K38" s="58" t="n"/>
      <c r="L38" s="58" t="n">
        <v>1</v>
      </c>
      <c r="M38" s="58" t="n">
        <v>1</v>
      </c>
      <c r="N38" s="4" t="n">
        <v>0</v>
      </c>
      <c r="O38" s="4" t="n">
        <v>4700</v>
      </c>
      <c r="P38" s="4" t="n">
        <v>2400</v>
      </c>
      <c r="Q38" s="59">
        <f>IFERROR(1-P38/O38,"-")</f>
        <v/>
      </c>
      <c r="R38" s="4" t="inlineStr">
        <is>
          <t>-</t>
        </is>
      </c>
      <c r="S38" s="4" t="inlineStr">
        <is>
          <t>-</t>
        </is>
      </c>
      <c r="T38" s="4" t="inlineStr">
        <is>
          <t>-</t>
        </is>
      </c>
      <c r="U38" s="4" t="n">
        <v>0</v>
      </c>
      <c r="V38" s="4">
        <f>IF(Y38="",U38,U38*Y38)</f>
        <v/>
      </c>
      <c r="W38" s="4" t="n">
        <v>2688</v>
      </c>
      <c r="X38" s="4">
        <f>IF(Y38="",W38,W38*Y38)</f>
        <v/>
      </c>
      <c r="Y38" s="4" t="n"/>
      <c r="Z38" s="21">
        <f>ROUND(O38*AN38,0)</f>
        <v/>
      </c>
      <c r="AA38" s="59">
        <f>IFERROR(1-X38/Z38,"-")</f>
        <v/>
      </c>
      <c r="AB38" s="4" t="n">
        <v>2.75</v>
      </c>
      <c r="AC38" s="4">
        <f>AY38</f>
        <v/>
      </c>
      <c r="AD38" s="4">
        <f>IFERROR(AC38*AN38,"-")</f>
        <v/>
      </c>
      <c r="AE38" s="59">
        <f>IFERROR(1-X38/AD38,"-")</f>
        <v/>
      </c>
      <c r="AF38" s="7" t="n">
        <v>3367</v>
      </c>
      <c r="AG38" s="59">
        <f>1-X38/AF38</f>
        <v/>
      </c>
      <c r="AH38" s="38">
        <f>AF38-X38</f>
        <v/>
      </c>
      <c r="AI38" s="28" t="n"/>
      <c r="AJ38" s="59" t="n"/>
      <c r="AK38" s="59" t="n"/>
      <c r="AL38" s="59">
        <f>IFERROR(V38/N38,"-")</f>
        <v/>
      </c>
      <c r="AM38" s="59">
        <f>IFERROR(AF38/O38,"-")</f>
        <v/>
      </c>
      <c r="AN38" s="59">
        <f>IFERROR(X38/P38,"-")</f>
        <v/>
      </c>
      <c r="AO38" s="59">
        <f>IFERROR(1-X38/AP38,"-")</f>
        <v/>
      </c>
      <c r="AP38" s="4">
        <f>IFERROR(ROUND($AF38*R38/$O38,0),"-")</f>
        <v/>
      </c>
      <c r="AQ38" s="4">
        <f>IF(S38="","-",S38)</f>
        <v/>
      </c>
      <c r="AR38" s="4">
        <f>IF(T38="","-",T38)</f>
        <v/>
      </c>
      <c r="AS38" s="4" t="inlineStr">
        <is>
          <t>34/327</t>
        </is>
      </c>
      <c r="AT38" s="4" t="inlineStr">
        <is>
          <t>A018581</t>
        </is>
      </c>
      <c r="AU38" s="4" t="n"/>
      <c r="AV38" s="4" t="n"/>
      <c r="AW38" s="4" t="inlineStr">
        <is>
          <t>1枚</t>
        </is>
      </c>
      <c r="AX38" s="4" t="n">
        <v>3368</v>
      </c>
      <c r="AY38" s="4">
        <f>IF(AU38="",AX38,AU38/AV38*AX38)</f>
        <v/>
      </c>
      <c r="AZ38" s="19" t="n">
        <v>2</v>
      </c>
      <c r="BA38" s="19" t="n">
        <v>1</v>
      </c>
      <c r="BB38" s="16" t="n">
        <v>610</v>
      </c>
      <c r="BC38" s="0" t="inlineStr">
        <is>
          <t>-</t>
        </is>
      </c>
      <c r="BD38" s="0">
        <f>IFERROR(BC38*AN38,"-")</f>
        <v/>
      </c>
      <c r="BE38" s="0" t="n">
        <v>3368</v>
      </c>
      <c r="BF38" s="0">
        <f>IFERROR(BE38*AN38,"-")</f>
        <v/>
      </c>
      <c r="BG38" s="0" t="inlineStr">
        <is>
          <t>アイリスオーヤマ デスクマット DMTー1169PN ナチュラル/グリーン 1枚（直送品）</t>
        </is>
      </c>
    </row>
    <row r="39">
      <c r="A39" s="0">
        <f>TEXT(F39,"000000")</f>
        <v/>
      </c>
      <c r="B39" s="37" t="n">
        <v>126</v>
      </c>
      <c r="C39" s="3" t="n">
        <v>126</v>
      </c>
      <c r="D39" s="4" t="inlineStr">
        <is>
          <t>J601PW</t>
        </is>
      </c>
      <c r="E39" s="4">
        <f>TEXT(D39,"000000")</f>
        <v/>
      </c>
      <c r="F39" s="4" t="inlineStr">
        <is>
          <t>J601PW</t>
        </is>
      </c>
      <c r="G39" s="4">
        <f>E39&amp;J39</f>
        <v/>
      </c>
      <c r="H39" s="4" t="inlineStr">
        <is>
          <t>ｱｲﾘｽｵｰﾔﾏ/ﾃﾞｽｸﾏｯﾄ 1190×690 ﾅﾁｭﾗﾙ/ｸﾞﾘｰﾝ/DMT-1169PZ</t>
        </is>
      </c>
      <c r="I39" s="58" t="n">
        <v>4905009520299</v>
      </c>
      <c r="J39" s="58" t="n">
        <v>5</v>
      </c>
      <c r="K39" s="58" t="n"/>
      <c r="L39" s="58" t="n">
        <v>1</v>
      </c>
      <c r="M39" s="58" t="n">
        <v>1</v>
      </c>
      <c r="N39" s="4" t="n">
        <v>0</v>
      </c>
      <c r="O39" s="4" t="n">
        <v>4450</v>
      </c>
      <c r="P39" s="4" t="n">
        <v>2700</v>
      </c>
      <c r="Q39" s="59">
        <f>IFERROR(1-P39/O39,"-")</f>
        <v/>
      </c>
      <c r="R39" s="4" t="inlineStr">
        <is>
          <t>-</t>
        </is>
      </c>
      <c r="S39" s="4" t="inlineStr">
        <is>
          <t>-</t>
        </is>
      </c>
      <c r="T39" s="4" t="inlineStr">
        <is>
          <t>-</t>
        </is>
      </c>
      <c r="U39" s="4" t="n">
        <v>0</v>
      </c>
      <c r="V39" s="4">
        <f>IF(Y39="",U39,U39*Y39)</f>
        <v/>
      </c>
      <c r="W39" s="4" t="n">
        <v>2971</v>
      </c>
      <c r="X39" s="4">
        <f>IF(Y39="",W39,W39*Y39)</f>
        <v/>
      </c>
      <c r="Y39" s="4" t="n"/>
      <c r="Z39" s="21">
        <f>ROUND(O39*AN39,0)</f>
        <v/>
      </c>
      <c r="AA39" s="59">
        <f>IFERROR(1-X39/Z39,"-")</f>
        <v/>
      </c>
      <c r="AB39" s="4" t="n">
        <v>0.5</v>
      </c>
      <c r="AC39" s="4">
        <f>AY39</f>
        <v/>
      </c>
      <c r="AD39" s="4">
        <f>IFERROR(AC39*AN39,"-")</f>
        <v/>
      </c>
      <c r="AE39" s="59">
        <f>IFERROR(1-X39/AD39,"-")</f>
        <v/>
      </c>
      <c r="AF39" s="7" t="n">
        <v>4681</v>
      </c>
      <c r="AG39" s="59">
        <f>1-X39/AF39</f>
        <v/>
      </c>
      <c r="AH39" s="38">
        <f>AF39-X39</f>
        <v/>
      </c>
      <c r="AI39" s="28" t="n"/>
      <c r="AJ39" s="59" t="n"/>
      <c r="AK39" s="59" t="n"/>
      <c r="AL39" s="59">
        <f>IFERROR(V39/N39,"-")</f>
        <v/>
      </c>
      <c r="AM39" s="59">
        <f>IFERROR(AF39/O39,"-")</f>
        <v/>
      </c>
      <c r="AN39" s="59">
        <f>IFERROR(X39/P39,"-")</f>
        <v/>
      </c>
      <c r="AO39" s="59">
        <f>IFERROR(1-X39/AP39,"-")</f>
        <v/>
      </c>
      <c r="AP39" s="4">
        <f>IFERROR(ROUND($AF39*R39/$O39,0),"-")</f>
        <v/>
      </c>
      <c r="AQ39" s="4">
        <f>IF(S39="","-",S39)</f>
        <v/>
      </c>
      <c r="AR39" s="4">
        <f>IF(T39="","-",T39)</f>
        <v/>
      </c>
      <c r="AS39" s="4" t="n">
        <v>0</v>
      </c>
      <c r="AT39" s="4" t="inlineStr">
        <is>
          <t>K806725</t>
        </is>
      </c>
      <c r="AU39" s="4" t="n"/>
      <c r="AV39" s="4" t="n"/>
      <c r="AW39" s="4" t="inlineStr">
        <is>
          <t>1個</t>
        </is>
      </c>
      <c r="AX39" s="4" t="n">
        <v>4682</v>
      </c>
      <c r="AY39" s="4">
        <f>IF(AU39="",AX39,AU39/AV39*AX39)</f>
        <v/>
      </c>
      <c r="AZ39" s="19" t="n">
        <v>2</v>
      </c>
      <c r="BA39" s="19" t="n">
        <v>8</v>
      </c>
      <c r="BB39" s="16" t="n">
        <v>610</v>
      </c>
      <c r="BC39" s="0" t="inlineStr">
        <is>
          <t>-</t>
        </is>
      </c>
      <c r="BD39" s="0">
        <f>IFERROR(BC39*AN39,"-")</f>
        <v/>
      </c>
      <c r="BE39" s="0" t="n">
        <v>4682</v>
      </c>
      <c r="BF39" s="0">
        <f>IFERROR(BE39*AN39,"-")</f>
        <v/>
      </c>
      <c r="BG39" s="0" t="inlineStr">
        <is>
          <t>アイリスオーヤマ デスクマット ナチュラル/緑 DMTー1169PZ 1個（直送品）</t>
        </is>
      </c>
    </row>
    <row r="40">
      <c r="A40" s="0">
        <f>TEXT(F40,"000000")</f>
        <v/>
      </c>
      <c r="B40" s="3" t="n">
        <v>171</v>
      </c>
      <c r="C40" s="3" t="n">
        <v>171</v>
      </c>
      <c r="D40" s="4" t="n">
        <v>164903</v>
      </c>
      <c r="E40" s="4">
        <f>TEXT(D40,"000000")</f>
        <v/>
      </c>
      <c r="F40" s="4" t="n">
        <v>164903</v>
      </c>
      <c r="G40" s="4">
        <f>E40&amp;J40</f>
        <v/>
      </c>
      <c r="H40" s="4" t="inlineStr">
        <is>
          <t>ｱｲﾘｽｵｰﾔﾏ/ﾚﾀｰｹｰｽ 超浅型14段 ﾌﾞﾗｯｸ/LCE-14S-BK</t>
        </is>
      </c>
      <c r="I40" s="58" t="n">
        <v>4905009799657</v>
      </c>
      <c r="J40" s="58" t="n">
        <v>5</v>
      </c>
      <c r="K40" s="58" t="n"/>
      <c r="L40" s="58" t="n">
        <v>1</v>
      </c>
      <c r="M40" s="58" t="n">
        <v>1</v>
      </c>
      <c r="N40" s="4" t="n">
        <v>0</v>
      </c>
      <c r="O40" s="4" t="n">
        <v>4241</v>
      </c>
      <c r="P40" s="4" t="n">
        <v>2600</v>
      </c>
      <c r="Q40" s="59">
        <f>IFERROR(1-P40/O40,"-")</f>
        <v/>
      </c>
      <c r="R40" s="4" t="inlineStr">
        <is>
          <t>-</t>
        </is>
      </c>
      <c r="S40" s="4" t="inlineStr">
        <is>
          <t>-</t>
        </is>
      </c>
      <c r="T40" s="4" t="inlineStr">
        <is>
          <t>-</t>
        </is>
      </c>
      <c r="U40" s="4" t="n">
        <v>0</v>
      </c>
      <c r="V40" s="4">
        <f>IF(Y40="",U40,U40*Y40)</f>
        <v/>
      </c>
      <c r="W40" s="4" t="n">
        <v>3121</v>
      </c>
      <c r="X40" s="4">
        <f>IF(Y40="",W40,W40*Y40)</f>
        <v/>
      </c>
      <c r="Y40" s="4" t="n"/>
      <c r="Z40" s="21">
        <f>ROUND(O40*AN40,0)</f>
        <v/>
      </c>
      <c r="AA40" s="59">
        <f>IFERROR(1-X40/Z40,"-")</f>
        <v/>
      </c>
      <c r="AB40" s="4" t="n">
        <v>1.25</v>
      </c>
      <c r="AC40" s="4">
        <f>AY40</f>
        <v/>
      </c>
      <c r="AD40" s="4">
        <f>IFERROR(AC40*AN40,"-")</f>
        <v/>
      </c>
      <c r="AE40" s="59">
        <f>IFERROR(1-X40/AD40,"-")</f>
        <v/>
      </c>
      <c r="AF40" s="7" t="n">
        <v>4672</v>
      </c>
      <c r="AG40" s="59">
        <f>1-X40/AF40</f>
        <v/>
      </c>
      <c r="AH40" s="4">
        <f>AF40-X40</f>
        <v/>
      </c>
      <c r="AI40" s="28" t="n"/>
      <c r="AJ40" s="59" t="n"/>
      <c r="AK40" s="59" t="n"/>
      <c r="AL40" s="59">
        <f>IFERROR(V40/N40,"-")</f>
        <v/>
      </c>
      <c r="AM40" s="59">
        <f>IFERROR(AF40/O40,"-")</f>
        <v/>
      </c>
      <c r="AN40" s="59">
        <f>IFERROR(X40/P40,"-")</f>
        <v/>
      </c>
      <c r="AO40" s="59">
        <f>IFERROR(1-X40/AP40,"-")</f>
        <v/>
      </c>
      <c r="AP40" s="4">
        <f>IFERROR(ROUND($AF40*R40/$O40,0),"-")</f>
        <v/>
      </c>
      <c r="AQ40" s="4">
        <f>IF(S40="","-",S40)</f>
        <v/>
      </c>
      <c r="AR40" s="4">
        <f>IF(T40="","-",T40)</f>
        <v/>
      </c>
      <c r="AS40" s="4" t="n">
        <v>0</v>
      </c>
      <c r="AT40" s="4" t="inlineStr">
        <is>
          <t>4690321</t>
        </is>
      </c>
      <c r="AU40" s="4" t="n"/>
      <c r="AV40" s="4" t="n"/>
      <c r="AW40" s="4" t="inlineStr">
        <is>
          <t>1台</t>
        </is>
      </c>
      <c r="AX40" s="4" t="n">
        <v>4673</v>
      </c>
      <c r="AY40" s="4">
        <f>IF(AU40="",AX40,AU40/AV40*AX40)</f>
        <v/>
      </c>
      <c r="AZ40" s="19" t="n">
        <v>4</v>
      </c>
      <c r="BA40" s="19" t="n">
        <v>1</v>
      </c>
      <c r="BB40" s="16" t="n">
        <v>610</v>
      </c>
      <c r="BC40" s="0" t="inlineStr">
        <is>
          <t>-</t>
        </is>
      </c>
      <c r="BD40" s="0">
        <f>IFERROR(BC40*AN40,"-")</f>
        <v/>
      </c>
      <c r="BE40" s="0" t="n">
        <v>4562</v>
      </c>
      <c r="BF40" s="0">
        <f>IFERROR(BE40*AN40,"-")</f>
        <v/>
      </c>
      <c r="BG40" s="0" t="inlineStr">
        <is>
          <t>アイリスオーヤマ　レターケース　超浅型14段　ブラック　LCE-14S</t>
        </is>
      </c>
    </row>
    <row r="41">
      <c r="A41" s="0">
        <f>TEXT(F41,"000000")</f>
        <v/>
      </c>
      <c r="B41" s="3" t="n">
        <v>172</v>
      </c>
      <c r="C41" s="3" t="n">
        <v>172</v>
      </c>
      <c r="D41" s="4" t="n">
        <v>936401</v>
      </c>
      <c r="E41" s="4">
        <f>TEXT(D41,"000000")</f>
        <v/>
      </c>
      <c r="F41" s="4" t="n">
        <v>936401</v>
      </c>
      <c r="G41" s="4">
        <f>E41&amp;J41</f>
        <v/>
      </c>
      <c r="H41" s="4" t="inlineStr">
        <is>
          <t>ｱｲﾘｽ/ﾚﾀｰｹｰｽ 超浅型14段 ﾎﾜｲﾄ/LCE-14S</t>
        </is>
      </c>
      <c r="I41" s="58" t="n">
        <v>4905009799640</v>
      </c>
      <c r="J41" s="58" t="n">
        <v>5</v>
      </c>
      <c r="K41" s="58" t="n"/>
      <c r="L41" s="58" t="n">
        <v>1</v>
      </c>
      <c r="M41" s="58" t="n">
        <v>1</v>
      </c>
      <c r="N41" s="4" t="n">
        <v>0</v>
      </c>
      <c r="O41" s="4" t="n">
        <v>4557</v>
      </c>
      <c r="P41" s="4" t="n">
        <v>2600</v>
      </c>
      <c r="Q41" s="59">
        <f>IFERROR(1-P41/O41,"-")</f>
        <v/>
      </c>
      <c r="R41" s="4" t="inlineStr">
        <is>
          <t>-</t>
        </is>
      </c>
      <c r="S41" s="4" t="inlineStr">
        <is>
          <t>-</t>
        </is>
      </c>
      <c r="T41" s="4" t="inlineStr">
        <is>
          <t>-</t>
        </is>
      </c>
      <c r="U41" s="4" t="n">
        <v>0</v>
      </c>
      <c r="V41" s="4">
        <f>IF(Y41="",U41,U41*Y41)</f>
        <v/>
      </c>
      <c r="W41" s="4" t="n">
        <v>3121</v>
      </c>
      <c r="X41" s="4">
        <f>IF(Y41="",W41,W41*Y41)</f>
        <v/>
      </c>
      <c r="Y41" s="4" t="n"/>
      <c r="Z41" s="21">
        <f>ROUND(O41*AN41,0)</f>
        <v/>
      </c>
      <c r="AA41" s="59">
        <f>IFERROR(1-X41/Z41,"-")</f>
        <v/>
      </c>
      <c r="AB41" s="4" t="n">
        <v>0.5</v>
      </c>
      <c r="AC41" s="4">
        <f>AY41</f>
        <v/>
      </c>
      <c r="AD41" s="4">
        <f>IFERROR(AC41*AN41,"-")</f>
        <v/>
      </c>
      <c r="AE41" s="59">
        <f>IFERROR(1-X41/AD41,"-")</f>
        <v/>
      </c>
      <c r="AF41" s="7" t="n">
        <v>4672</v>
      </c>
      <c r="AG41" s="59">
        <f>1-X41/AF41</f>
        <v/>
      </c>
      <c r="AH41" s="4">
        <f>AF41-X41</f>
        <v/>
      </c>
      <c r="AI41" s="28" t="n"/>
      <c r="AJ41" s="59" t="n"/>
      <c r="AK41" s="59" t="n"/>
      <c r="AL41" s="59">
        <f>IFERROR(V41/N41,"-")</f>
        <v/>
      </c>
      <c r="AM41" s="59">
        <f>IFERROR(AF41/O41,"-")</f>
        <v/>
      </c>
      <c r="AN41" s="59">
        <f>IFERROR(X41/P41,"-")</f>
        <v/>
      </c>
      <c r="AO41" s="59">
        <f>IFERROR(1-X41/AP41,"-")</f>
        <v/>
      </c>
      <c r="AP41" s="4">
        <f>IFERROR(ROUND($AF41*R41/$O41,0),"-")</f>
        <v/>
      </c>
      <c r="AQ41" s="4">
        <f>IF(S41="","-",S41)</f>
        <v/>
      </c>
      <c r="AR41" s="4">
        <f>IF(T41="","-",T41)</f>
        <v/>
      </c>
      <c r="AS41" s="4" t="n">
        <v>0</v>
      </c>
      <c r="AT41" s="4" t="inlineStr">
        <is>
          <t>4690312</t>
        </is>
      </c>
      <c r="AU41" s="4" t="n"/>
      <c r="AV41" s="4" t="n"/>
      <c r="AW41" s="4" t="inlineStr">
        <is>
          <t>1台</t>
        </is>
      </c>
      <c r="AX41" s="4" t="n">
        <v>4673</v>
      </c>
      <c r="AY41" s="4">
        <f>IF(AU41="",AX41,AU41/AV41*AX41)</f>
        <v/>
      </c>
      <c r="AZ41" s="19" t="n">
        <v>4</v>
      </c>
      <c r="BA41" s="19" t="n">
        <v>1</v>
      </c>
      <c r="BB41" s="16" t="n">
        <v>610</v>
      </c>
      <c r="BC41" s="0" t="inlineStr">
        <is>
          <t>-</t>
        </is>
      </c>
      <c r="BD41" s="0">
        <f>IFERROR(BC41*AN41,"-")</f>
        <v/>
      </c>
      <c r="BE41" s="0" t="n">
        <v>4562</v>
      </c>
      <c r="BF41" s="0">
        <f>IFERROR(BE41*AN41,"-")</f>
        <v/>
      </c>
      <c r="BG41" s="0" t="inlineStr">
        <is>
          <t>アイリスオーヤマ　レターケース　超浅型14段　ホワイト　LCE-14S</t>
        </is>
      </c>
    </row>
    <row r="42">
      <c r="A42" s="0">
        <f>TEXT(F42,"000000")</f>
        <v/>
      </c>
      <c r="B42" s="3" t="n">
        <v>145</v>
      </c>
      <c r="C42" s="3" t="n">
        <v>145</v>
      </c>
      <c r="D42" s="4" t="n">
        <v>164904</v>
      </c>
      <c r="E42" s="4">
        <f>TEXT(D42,"000000")</f>
        <v/>
      </c>
      <c r="F42" s="4" t="n">
        <v>164904</v>
      </c>
      <c r="G42" s="4">
        <f>E42&amp;J42</f>
        <v/>
      </c>
      <c r="H42" s="4" t="inlineStr">
        <is>
          <t>G)ｱｲﾘｽｵｰﾔﾏ/小物ｷｬﾋﾞﾈｯﾄ ﾗｲﾄｸﾞﾚｰ/KC-350R-ﾗｲﾄGY</t>
        </is>
      </c>
      <c r="I42" s="58" t="n">
        <v>4905009542451</v>
      </c>
      <c r="J42" s="58" t="n">
        <v>5</v>
      </c>
      <c r="K42" s="58" t="n"/>
      <c r="L42" s="58" t="n">
        <v>1</v>
      </c>
      <c r="M42" s="58" t="n">
        <v>1</v>
      </c>
      <c r="N42" s="4" t="n">
        <v>0</v>
      </c>
      <c r="O42" s="4" t="n">
        <v>4492</v>
      </c>
      <c r="P42" s="4" t="n">
        <v>2730</v>
      </c>
      <c r="Q42" s="59">
        <f>IFERROR(1-P42/O42,"-")</f>
        <v/>
      </c>
      <c r="R42" s="4" t="inlineStr">
        <is>
          <t>-</t>
        </is>
      </c>
      <c r="S42" s="4" t="inlineStr">
        <is>
          <t>-</t>
        </is>
      </c>
      <c r="T42" s="4" t="inlineStr">
        <is>
          <t>-</t>
        </is>
      </c>
      <c r="U42" s="4" t="n">
        <v>0</v>
      </c>
      <c r="V42" s="4">
        <f>IF(Y42="",U42,U42*Y42)</f>
        <v/>
      </c>
      <c r="W42" s="4" t="n">
        <v>3140</v>
      </c>
      <c r="X42" s="4">
        <f>IF(Y42="",W42,W42*Y42)</f>
        <v/>
      </c>
      <c r="Y42" s="4" t="n"/>
      <c r="Z42" s="21">
        <f>ROUND(O42*AN42,0)</f>
        <v/>
      </c>
      <c r="AA42" s="59">
        <f>IFERROR(1-X42/Z42,"-")</f>
        <v/>
      </c>
      <c r="AB42" s="4" t="n">
        <v>0.25</v>
      </c>
      <c r="AC42" s="4">
        <f>AY42</f>
        <v/>
      </c>
      <c r="AD42" s="4">
        <f>IFERROR(AC42*AN42,"-")</f>
        <v/>
      </c>
      <c r="AE42" s="59">
        <f>IFERROR(1-X42/AD42,"-")</f>
        <v/>
      </c>
      <c r="AF42" s="7" t="n">
        <v>4699</v>
      </c>
      <c r="AG42" s="59">
        <f>1-X42/AF42</f>
        <v/>
      </c>
      <c r="AH42" s="4">
        <f>AF42-X42</f>
        <v/>
      </c>
      <c r="AI42" s="28" t="n"/>
      <c r="AJ42" s="59" t="n"/>
      <c r="AK42" s="59" t="n"/>
      <c r="AL42" s="59">
        <f>IFERROR(V42/N42,"-")</f>
        <v/>
      </c>
      <c r="AM42" s="59">
        <f>IFERROR(AF42/O42,"-")</f>
        <v/>
      </c>
      <c r="AN42" s="59">
        <f>IFERROR(X42/P42,"-")</f>
        <v/>
      </c>
      <c r="AO42" s="59">
        <f>IFERROR(1-X42/AP42,"-")</f>
        <v/>
      </c>
      <c r="AP42" s="4">
        <f>IFERROR(ROUND($AF42*R42/$O42,0),"-")</f>
        <v/>
      </c>
      <c r="AQ42" s="4">
        <f>IF(S42="","-",S42)</f>
        <v/>
      </c>
      <c r="AR42" s="4">
        <f>IF(T42="","-",T42)</f>
        <v/>
      </c>
      <c r="AS42" s="4" t="n">
        <v>0</v>
      </c>
      <c r="AT42" s="4" t="inlineStr">
        <is>
          <t>456643</t>
        </is>
      </c>
      <c r="AU42" s="4" t="n"/>
      <c r="AV42" s="4" t="n"/>
      <c r="AW42" s="4" t="inlineStr">
        <is>
          <t>1台</t>
        </is>
      </c>
      <c r="AX42" s="4" t="n">
        <v>4700</v>
      </c>
      <c r="AY42" s="4">
        <f>IF(AU42="",AX42,AU42/AV42*AX42)</f>
        <v/>
      </c>
      <c r="AZ42" s="19" t="n">
        <v>4</v>
      </c>
      <c r="BA42" s="19" t="n">
        <v>1</v>
      </c>
      <c r="BB42" s="16" t="n">
        <v>610</v>
      </c>
      <c r="BC42" s="0" t="n">
        <v>4018</v>
      </c>
      <c r="BD42" s="0">
        <f>IFERROR(BC42*AN42,"-")</f>
        <v/>
      </c>
      <c r="BE42" s="0" t="n">
        <v>4647</v>
      </c>
      <c r="BF42" s="0">
        <f>IFERROR(BE42*AN42,"-")</f>
        <v/>
      </c>
      <c r="BG42" s="0" t="inlineStr">
        <is>
          <t>アイリスオーヤマ 小物キャビネット 幅30.8×奥行21×高さ29cm 9引き出し 書類ケース 完成品 ライトグレー KC-350DR １台</t>
        </is>
      </c>
    </row>
    <row r="43">
      <c r="A43" s="0">
        <f>TEXT(F43,"000000")</f>
        <v/>
      </c>
      <c r="B43" s="3" t="n">
        <v>153</v>
      </c>
      <c r="C43" s="3" t="n">
        <v>153</v>
      </c>
      <c r="D43" s="4" t="n">
        <v>663877</v>
      </c>
      <c r="E43" s="4">
        <f>TEXT(D43,"000000")</f>
        <v/>
      </c>
      <c r="F43" s="4" t="n">
        <v>663877</v>
      </c>
      <c r="G43" s="4">
        <f>E43&amp;J43</f>
        <v/>
      </c>
      <c r="H43" s="4" t="inlineStr">
        <is>
          <t>G)ｱｲﾘｽｵｰﾔﾏ/ﾚﾀｰｹｰｽ ｽﾘﾑﾀｲﾌﾟ 浅型7段 ﾗｲﾄｸﾞﾚｰ/L-7SR</t>
        </is>
      </c>
      <c r="I43" s="58" t="n">
        <v>4905009542581</v>
      </c>
      <c r="J43" s="58" t="n">
        <v>5</v>
      </c>
      <c r="K43" s="58" t="n"/>
      <c r="L43" s="58" t="n">
        <v>1</v>
      </c>
      <c r="M43" s="58" t="n">
        <v>1</v>
      </c>
      <c r="N43" s="4" t="n">
        <v>0</v>
      </c>
      <c r="O43" s="4" t="n">
        <v>5055</v>
      </c>
      <c r="P43" s="4" t="n">
        <v>2800</v>
      </c>
      <c r="Q43" s="59">
        <f>IFERROR(1-P43/O43,"-")</f>
        <v/>
      </c>
      <c r="R43" s="4" t="inlineStr">
        <is>
          <t>-</t>
        </is>
      </c>
      <c r="S43" s="4" t="inlineStr">
        <is>
          <t>-</t>
        </is>
      </c>
      <c r="T43" s="4" t="inlineStr">
        <is>
          <t>-</t>
        </is>
      </c>
      <c r="U43" s="4" t="n">
        <v>0</v>
      </c>
      <c r="V43" s="4">
        <f>IF(Y43="",U43,U43*Y43)</f>
        <v/>
      </c>
      <c r="W43" s="4" t="n">
        <v>3360</v>
      </c>
      <c r="X43" s="4">
        <f>IF(Y43="",W43,W43*Y43)</f>
        <v/>
      </c>
      <c r="Y43" s="4" t="n"/>
      <c r="Z43" s="21">
        <f>ROUND(O43*AN43,0)</f>
        <v/>
      </c>
      <c r="AA43" s="59">
        <f>IFERROR(1-X43/Z43,"-")</f>
        <v/>
      </c>
      <c r="AB43" s="4" t="n">
        <v>2</v>
      </c>
      <c r="AC43" s="4">
        <f>AY43</f>
        <v/>
      </c>
      <c r="AD43" s="4">
        <f>IFERROR(AC43*AN43,"-")</f>
        <v/>
      </c>
      <c r="AE43" s="59">
        <f>IFERROR(1-X43/AD43,"-")</f>
        <v/>
      </c>
      <c r="AF43" s="7" t="n">
        <v>4990</v>
      </c>
      <c r="AG43" s="59">
        <f>1-X43/AF43</f>
        <v/>
      </c>
      <c r="AH43" s="4">
        <f>AF43-X43</f>
        <v/>
      </c>
      <c r="AI43" s="28" t="n"/>
      <c r="AJ43" s="59" t="n"/>
      <c r="AK43" s="59" t="n"/>
      <c r="AL43" s="59">
        <f>IFERROR(V43/N43,"-")</f>
        <v/>
      </c>
      <c r="AM43" s="59">
        <f>IFERROR(AF43/O43,"-")</f>
        <v/>
      </c>
      <c r="AN43" s="59">
        <f>IFERROR(X43/P43,"-")</f>
        <v/>
      </c>
      <c r="AO43" s="59">
        <f>IFERROR(1-X43/AP43,"-")</f>
        <v/>
      </c>
      <c r="AP43" s="4">
        <f>IFERROR(ROUND($AF43*R43/$O43,0),"-")</f>
        <v/>
      </c>
      <c r="AQ43" s="4">
        <f>IF(S43="","-",S43)</f>
        <v/>
      </c>
      <c r="AR43" s="4">
        <f>IF(T43="","-",T43)</f>
        <v/>
      </c>
      <c r="AS43" s="4" t="inlineStr">
        <is>
          <t>34/320</t>
        </is>
      </c>
      <c r="AT43" s="4" t="inlineStr">
        <is>
          <t>643735</t>
        </is>
      </c>
      <c r="AU43" s="4" t="n"/>
      <c r="AV43" s="4" t="n"/>
      <c r="AW43" s="4" t="inlineStr">
        <is>
          <t>1台</t>
        </is>
      </c>
      <c r="AX43" s="4" t="n">
        <v>4991</v>
      </c>
      <c r="AY43" s="4">
        <f>IF(AU43="",AX43,AU43/AV43*AX43)</f>
        <v/>
      </c>
      <c r="AZ43" s="19" t="n">
        <v>4</v>
      </c>
      <c r="BA43" s="19" t="n">
        <v>1</v>
      </c>
      <c r="BB43" s="16" t="n">
        <v>610</v>
      </c>
      <c r="BC43" s="0" t="n">
        <v>4453</v>
      </c>
      <c r="BD43" s="0">
        <f>IFERROR(BC43*AN43,"-")</f>
        <v/>
      </c>
      <c r="BE43" s="0" t="n">
        <v>6174</v>
      </c>
      <c r="BF43" s="0">
        <f>IFERROR(BE43*AN43,"-")</f>
        <v/>
      </c>
      <c r="BG43" s="0" t="inlineStr">
        <is>
          <t>アイリスオーヤマ　レターケース　浅型7段　ライトグレー　L-7SR</t>
        </is>
      </c>
    </row>
    <row r="44">
      <c r="A44" s="0">
        <f>TEXT(F44,"000000")</f>
        <v/>
      </c>
      <c r="B44" s="3" t="n">
        <v>154</v>
      </c>
      <c r="C44" s="3" t="n">
        <v>154</v>
      </c>
      <c r="D44" s="4" t="n">
        <v>663879</v>
      </c>
      <c r="E44" s="4">
        <f>TEXT(D44,"000000")</f>
        <v/>
      </c>
      <c r="F44" s="4" t="n">
        <v>663879</v>
      </c>
      <c r="G44" s="4">
        <f>E44&amp;J44</f>
        <v/>
      </c>
      <c r="H44" s="4" t="inlineStr">
        <is>
          <t>G)ｱｲﾘｽｵｰﾔﾏ/ﾚﾀｰｹｰｽ ｽﾘﾑﾀｲﾌﾟ浅型7段ﾀﾞｰｸｸﾞﾚｰ/L-7SR</t>
        </is>
      </c>
      <c r="I44" s="58" t="n">
        <v>4905009542598</v>
      </c>
      <c r="J44" s="58" t="n">
        <v>5</v>
      </c>
      <c r="K44" s="58" t="n"/>
      <c r="L44" s="58" t="n">
        <v>1</v>
      </c>
      <c r="M44" s="58" t="n">
        <v>1</v>
      </c>
      <c r="N44" s="4" t="n">
        <v>0</v>
      </c>
      <c r="O44" s="4" t="n">
        <v>5055</v>
      </c>
      <c r="P44" s="4" t="n">
        <v>2800</v>
      </c>
      <c r="Q44" s="59">
        <f>IFERROR(1-P44/O44,"-")</f>
        <v/>
      </c>
      <c r="R44" s="4" t="inlineStr">
        <is>
          <t>-</t>
        </is>
      </c>
      <c r="S44" s="4" t="inlineStr">
        <is>
          <t>-</t>
        </is>
      </c>
      <c r="T44" s="4" t="inlineStr">
        <is>
          <t>-</t>
        </is>
      </c>
      <c r="U44" s="4" t="n">
        <v>0</v>
      </c>
      <c r="V44" s="4">
        <f>IF(Y44="",U44,U44*Y44)</f>
        <v/>
      </c>
      <c r="W44" s="4" t="n">
        <v>3360</v>
      </c>
      <c r="X44" s="4">
        <f>IF(Y44="",W44,W44*Y44)</f>
        <v/>
      </c>
      <c r="Y44" s="4" t="n"/>
      <c r="Z44" s="21">
        <f>ROUND(O44*AN44,0)</f>
        <v/>
      </c>
      <c r="AA44" s="59">
        <f>IFERROR(1-X44/Z44,"-")</f>
        <v/>
      </c>
      <c r="AB44" s="4" t="n">
        <v>1</v>
      </c>
      <c r="AC44" s="4">
        <f>AY44</f>
        <v/>
      </c>
      <c r="AD44" s="4">
        <f>IFERROR(AC44*AN44,"-")</f>
        <v/>
      </c>
      <c r="AE44" s="59">
        <f>IFERROR(1-X44/AD44,"-")</f>
        <v/>
      </c>
      <c r="AF44" s="7" t="n">
        <v>4063</v>
      </c>
      <c r="AG44" s="59">
        <f>1-X44/AF44</f>
        <v/>
      </c>
      <c r="AH44" s="4">
        <f>AF44-X44</f>
        <v/>
      </c>
      <c r="AI44" s="28" t="n"/>
      <c r="AJ44" s="59" t="n"/>
      <c r="AK44" s="59" t="n"/>
      <c r="AL44" s="59">
        <f>IFERROR(V44/N44,"-")</f>
        <v/>
      </c>
      <c r="AM44" s="59">
        <f>IFERROR(AF44/O44,"-")</f>
        <v/>
      </c>
      <c r="AN44" s="59">
        <f>IFERROR(X44/P44,"-")</f>
        <v/>
      </c>
      <c r="AO44" s="59">
        <f>IFERROR(1-X44/AP44,"-")</f>
        <v/>
      </c>
      <c r="AP44" s="4">
        <f>IFERROR(ROUND($AF44*R44/$O44,0),"-")</f>
        <v/>
      </c>
      <c r="AQ44" s="4">
        <f>IF(S44="","-",S44)</f>
        <v/>
      </c>
      <c r="AR44" s="4">
        <f>IF(T44="","-",T44)</f>
        <v/>
      </c>
      <c r="AS44" s="4" t="inlineStr">
        <is>
          <t>34/320</t>
        </is>
      </c>
      <c r="AT44" s="4" t="inlineStr">
        <is>
          <t>2090301</t>
        </is>
      </c>
      <c r="AU44" s="4" t="n"/>
      <c r="AV44" s="4" t="n"/>
      <c r="AW44" s="4" t="inlineStr">
        <is>
          <t>1台</t>
        </is>
      </c>
      <c r="AX44" s="4" t="n">
        <v>4064</v>
      </c>
      <c r="AY44" s="4">
        <f>IF(AU44="",AX44,AU44/AV44*AX44)</f>
        <v/>
      </c>
      <c r="AZ44" s="19" t="n">
        <v>4</v>
      </c>
      <c r="BA44" s="19" t="n">
        <v>1</v>
      </c>
      <c r="BB44" s="16" t="n">
        <v>610</v>
      </c>
      <c r="BC44" s="0" t="n">
        <v>4454</v>
      </c>
      <c r="BD44" s="0">
        <f>IFERROR(BC44*AN44,"-")</f>
        <v/>
      </c>
      <c r="BE44" s="0" t="n">
        <v>6174</v>
      </c>
      <c r="BF44" s="0">
        <f>IFERROR(BE44*AN44,"-")</f>
        <v/>
      </c>
      <c r="BG44" s="0" t="inlineStr">
        <is>
          <t>アイリスオーヤマ　レターケース　浅型7段　ダークグレー　L-7SR</t>
        </is>
      </c>
    </row>
    <row r="45">
      <c r="A45" s="0">
        <f>TEXT(F45,"000000")</f>
        <v/>
      </c>
      <c r="B45" s="37" t="n">
        <v>127</v>
      </c>
      <c r="C45" s="3" t="n">
        <v>127</v>
      </c>
      <c r="D45" s="4" t="inlineStr">
        <is>
          <t>J602PW</t>
        </is>
      </c>
      <c r="E45" s="4">
        <f>TEXT(D45,"000000")</f>
        <v/>
      </c>
      <c r="F45" s="4" t="inlineStr">
        <is>
          <t>J602PW</t>
        </is>
      </c>
      <c r="G45" s="4">
        <f>E45&amp;J45</f>
        <v/>
      </c>
      <c r="H45" s="4" t="inlineStr">
        <is>
          <t>ｱｲﾘｽｵｰﾔﾏ/ﾃﾞｽｸﾏｯﾄ 1390×690 ﾅﾁｭﾗﾙ/ｸﾞﾘｰﾝ/DMT-1369PZ</t>
        </is>
      </c>
      <c r="I45" s="58" t="n">
        <v>4905009520282</v>
      </c>
      <c r="J45" s="58" t="n">
        <v>5</v>
      </c>
      <c r="K45" s="58" t="n"/>
      <c r="L45" s="58" t="n">
        <v>1</v>
      </c>
      <c r="M45" s="58" t="n">
        <v>1</v>
      </c>
      <c r="N45" s="4" t="n">
        <v>0</v>
      </c>
      <c r="O45" s="4" t="n">
        <v>5191</v>
      </c>
      <c r="P45" s="4" t="n">
        <v>3150</v>
      </c>
      <c r="Q45" s="59">
        <f>IFERROR(1-P45/O45,"-")</f>
        <v/>
      </c>
      <c r="R45" s="4" t="inlineStr">
        <is>
          <t>-</t>
        </is>
      </c>
      <c r="S45" s="4" t="inlineStr">
        <is>
          <t>-</t>
        </is>
      </c>
      <c r="T45" s="4" t="inlineStr">
        <is>
          <t>-</t>
        </is>
      </c>
      <c r="U45" s="4" t="n">
        <v>0</v>
      </c>
      <c r="V45" s="4">
        <f>IF(Y45="",U45,U45*Y45)</f>
        <v/>
      </c>
      <c r="W45" s="4" t="n">
        <v>3466</v>
      </c>
      <c r="X45" s="4">
        <f>IF(Y45="",W45,W45*Y45)</f>
        <v/>
      </c>
      <c r="Y45" s="4" t="n"/>
      <c r="Z45" s="21">
        <f>ROUND(O45*AN45,0)</f>
        <v/>
      </c>
      <c r="AA45" s="59">
        <f>IFERROR(1-X45/Z45,"-")</f>
        <v/>
      </c>
      <c r="AB45" s="4" t="n">
        <v>0.25</v>
      </c>
      <c r="AC45" s="4">
        <f>AY45</f>
        <v/>
      </c>
      <c r="AD45" s="4">
        <f>IFERROR(AC45*AN45,"-")</f>
        <v/>
      </c>
      <c r="AE45" s="59">
        <f>IFERROR(1-X45/AD45,"-")</f>
        <v/>
      </c>
      <c r="AF45" s="7" t="n">
        <v>4625</v>
      </c>
      <c r="AG45" s="59">
        <f>1-X45/AF45</f>
        <v/>
      </c>
      <c r="AH45" s="38">
        <f>AF45-X45</f>
        <v/>
      </c>
      <c r="AI45" s="28" t="n"/>
      <c r="AJ45" s="59" t="n"/>
      <c r="AK45" s="59" t="n"/>
      <c r="AL45" s="59">
        <f>IFERROR(V45/N45,"-")</f>
        <v/>
      </c>
      <c r="AM45" s="59">
        <f>IFERROR(AF45/O45,"-")</f>
        <v/>
      </c>
      <c r="AN45" s="59">
        <f>IFERROR(X45/P45,"-")</f>
        <v/>
      </c>
      <c r="AO45" s="59">
        <f>IFERROR(1-X45/AP45,"-")</f>
        <v/>
      </c>
      <c r="AP45" s="4">
        <f>IFERROR(ROUND($AF45*R45/$O45,0),"-")</f>
        <v/>
      </c>
      <c r="AQ45" s="4">
        <f>IF(S45="","-",S45)</f>
        <v/>
      </c>
      <c r="AR45" s="4">
        <f>IF(T45="","-",T45)</f>
        <v/>
      </c>
      <c r="AS45" s="4" t="n">
        <v>0</v>
      </c>
      <c r="AT45" s="4" t="inlineStr">
        <is>
          <t>K806726</t>
        </is>
      </c>
      <c r="AU45" s="4" t="n"/>
      <c r="AV45" s="4" t="n"/>
      <c r="AW45" s="4" t="inlineStr">
        <is>
          <t>1個</t>
        </is>
      </c>
      <c r="AX45" s="4" t="n">
        <v>4626</v>
      </c>
      <c r="AY45" s="4">
        <f>IF(AU45="",AX45,AU45/AV45*AX45)</f>
        <v/>
      </c>
      <c r="AZ45" s="19" t="n">
        <v>2</v>
      </c>
      <c r="BA45" s="19" t="n">
        <v>8</v>
      </c>
      <c r="BB45" s="16" t="n">
        <v>610</v>
      </c>
      <c r="BC45" s="0" t="inlineStr">
        <is>
          <t>-</t>
        </is>
      </c>
      <c r="BD45" s="0">
        <f>IFERROR(BC45*AN45,"-")</f>
        <v/>
      </c>
      <c r="BE45" s="0" t="n">
        <v>4626</v>
      </c>
      <c r="BF45" s="0">
        <f>IFERROR(BE45*AN45,"-")</f>
        <v/>
      </c>
      <c r="BG45" s="0" t="inlineStr">
        <is>
          <t>アイリスオーヤマ デスクマット ナチュラル/緑 DMTー1369PZ 1個（直送品）</t>
        </is>
      </c>
    </row>
    <row r="46">
      <c r="A46" s="0">
        <f>TEXT(F46,"000000")</f>
        <v/>
      </c>
      <c r="B46" s="3" t="n">
        <v>169</v>
      </c>
      <c r="C46" s="3" t="n">
        <v>169</v>
      </c>
      <c r="D46" s="4" t="n">
        <v>663878</v>
      </c>
      <c r="E46" s="4">
        <f>TEXT(D46,"000000")</f>
        <v/>
      </c>
      <c r="F46" s="4" t="n">
        <v>663878</v>
      </c>
      <c r="G46" s="4">
        <f>E46&amp;J46</f>
        <v/>
      </c>
      <c r="H46" s="4" t="inlineStr">
        <is>
          <t>G)ｱｲﾘｽｵｰﾔﾏ/ﾚﾀｰｹｰｽ ｽﾘﾑﾀｲﾌﾟ 浅型10段 ﾗｲﾄｸﾞﾚｰ/L-10SR</t>
        </is>
      </c>
      <c r="I46" s="58" t="n">
        <v>4905009542604</v>
      </c>
      <c r="J46" s="58" t="n">
        <v>5</v>
      </c>
      <c r="K46" s="58" t="n"/>
      <c r="L46" s="58" t="n">
        <v>1</v>
      </c>
      <c r="M46" s="58" t="n">
        <v>1</v>
      </c>
      <c r="N46" s="4" t="n">
        <v>0</v>
      </c>
      <c r="O46" s="4" t="n">
        <v>5910</v>
      </c>
      <c r="P46" s="4" t="n">
        <v>3800</v>
      </c>
      <c r="Q46" s="59">
        <f>IFERROR(1-P46/O46,"-")</f>
        <v/>
      </c>
      <c r="R46" s="4" t="inlineStr">
        <is>
          <t>-</t>
        </is>
      </c>
      <c r="S46" s="4" t="inlineStr">
        <is>
          <t>-</t>
        </is>
      </c>
      <c r="T46" s="4" t="inlineStr">
        <is>
          <t>-</t>
        </is>
      </c>
      <c r="U46" s="4" t="n">
        <v>0</v>
      </c>
      <c r="V46" s="4">
        <f>IF(Y46="",U46,U46*Y46)</f>
        <v/>
      </c>
      <c r="W46" s="4" t="n">
        <v>4561</v>
      </c>
      <c r="X46" s="4">
        <f>IF(Y46="",W46,W46*Y46)</f>
        <v/>
      </c>
      <c r="Y46" s="4" t="n"/>
      <c r="Z46" s="21">
        <f>ROUND(O46*AN46,0)</f>
        <v/>
      </c>
      <c r="AA46" s="59">
        <f>IFERROR(1-X46/Z46,"-")</f>
        <v/>
      </c>
      <c r="AB46" s="4" t="n">
        <v>1.25</v>
      </c>
      <c r="AC46" s="4">
        <f>AY46</f>
        <v/>
      </c>
      <c r="AD46" s="4">
        <f>IFERROR(AC46*AN46,"-")</f>
        <v/>
      </c>
      <c r="AE46" s="59">
        <f>IFERROR(1-X46/AD46,"-")</f>
        <v/>
      </c>
      <c r="AF46" s="7" t="n">
        <v>6627</v>
      </c>
      <c r="AG46" s="59">
        <f>1-X46/AF46</f>
        <v/>
      </c>
      <c r="AH46" s="4">
        <f>AF46-X46</f>
        <v/>
      </c>
      <c r="AI46" s="28" t="n"/>
      <c r="AJ46" s="59" t="n"/>
      <c r="AK46" s="59" t="n"/>
      <c r="AL46" s="59">
        <f>IFERROR(V46/N46,"-")</f>
        <v/>
      </c>
      <c r="AM46" s="59">
        <f>IFERROR(AF46/O46,"-")</f>
        <v/>
      </c>
      <c r="AN46" s="59">
        <f>IFERROR(X46/P46,"-")</f>
        <v/>
      </c>
      <c r="AO46" s="59">
        <f>IFERROR(1-X46/AP46,"-")</f>
        <v/>
      </c>
      <c r="AP46" s="4">
        <f>IFERROR(ROUND($AF46*R46/$O46,0),"-")</f>
        <v/>
      </c>
      <c r="AQ46" s="4">
        <f>IF(S46="","-",S46)</f>
        <v/>
      </c>
      <c r="AR46" s="4">
        <f>IF(T46="","-",T46)</f>
        <v/>
      </c>
      <c r="AS46" s="4" t="inlineStr">
        <is>
          <t>34/320</t>
        </is>
      </c>
      <c r="AT46" s="4" t="inlineStr">
        <is>
          <t>643744</t>
        </is>
      </c>
      <c r="AU46" s="4" t="n"/>
      <c r="AV46" s="4" t="n"/>
      <c r="AW46" s="4" t="inlineStr">
        <is>
          <t>1台</t>
        </is>
      </c>
      <c r="AX46" s="4" t="n">
        <v>6628</v>
      </c>
      <c r="AY46" s="4">
        <f>IF(AU46="",AX46,AU46/AV46*AX46)</f>
        <v/>
      </c>
      <c r="AZ46" s="19" t="n">
        <v>4</v>
      </c>
      <c r="BA46" s="19" t="n">
        <v>1</v>
      </c>
      <c r="BB46" s="16" t="n">
        <v>610</v>
      </c>
      <c r="BC46" s="0" t="n">
        <v>5920</v>
      </c>
      <c r="BD46" s="0">
        <f>IFERROR(BC46*AN46,"-")</f>
        <v/>
      </c>
      <c r="BE46" s="0" t="n">
        <v>9258</v>
      </c>
      <c r="BF46" s="0">
        <f>IFERROR(BE46*AN46,"-")</f>
        <v/>
      </c>
      <c r="BG46" s="0" t="inlineStr">
        <is>
          <t>アイリスオーヤマ　レターケース　浅型10段　ライトグレー　L-10SR</t>
        </is>
      </c>
    </row>
    <row r="47">
      <c r="A47" s="0">
        <f>TEXT(F47,"000000")</f>
        <v/>
      </c>
      <c r="B47" s="3" t="n">
        <v>170</v>
      </c>
      <c r="C47" s="3" t="n">
        <v>170</v>
      </c>
      <c r="D47" s="4" t="n">
        <v>663880</v>
      </c>
      <c r="E47" s="4">
        <f>TEXT(D47,"000000")</f>
        <v/>
      </c>
      <c r="F47" s="4" t="n">
        <v>663880</v>
      </c>
      <c r="G47" s="4">
        <f>E47&amp;J47</f>
        <v/>
      </c>
      <c r="H47" s="4" t="inlineStr">
        <is>
          <t>G)ｱｲﾘｽｵｰﾔﾏ/ﾚﾀｰｹｰｽ ｽﾘﾑﾀｲﾌﾟ浅型10段ﾀﾞｰｸｸﾞﾚｰ/L-10SR</t>
        </is>
      </c>
      <c r="I47" s="58" t="n">
        <v>4905009542611</v>
      </c>
      <c r="J47" s="58" t="n">
        <v>5</v>
      </c>
      <c r="K47" s="58" t="n"/>
      <c r="L47" s="58" t="n">
        <v>1</v>
      </c>
      <c r="M47" s="58" t="n">
        <v>1</v>
      </c>
      <c r="N47" s="4" t="n">
        <v>0</v>
      </c>
      <c r="O47" s="4" t="n">
        <v>5910</v>
      </c>
      <c r="P47" s="4" t="n">
        <v>3800</v>
      </c>
      <c r="Q47" s="59">
        <f>IFERROR(1-P47/O47,"-")</f>
        <v/>
      </c>
      <c r="R47" s="4" t="inlineStr">
        <is>
          <t>-</t>
        </is>
      </c>
      <c r="S47" s="4" t="inlineStr">
        <is>
          <t>-</t>
        </is>
      </c>
      <c r="T47" s="4" t="inlineStr">
        <is>
          <t>-</t>
        </is>
      </c>
      <c r="U47" s="4" t="n">
        <v>0</v>
      </c>
      <c r="V47" s="4">
        <f>IF(Y47="",U47,U47*Y47)</f>
        <v/>
      </c>
      <c r="W47" s="4" t="n">
        <v>4561</v>
      </c>
      <c r="X47" s="4">
        <f>IF(Y47="",W47,W47*Y47)</f>
        <v/>
      </c>
      <c r="Y47" s="4" t="n"/>
      <c r="Z47" s="21">
        <f>ROUND(O47*AN47,0)</f>
        <v/>
      </c>
      <c r="AA47" s="59">
        <f>IFERROR(1-X47/Z47,"-")</f>
        <v/>
      </c>
      <c r="AB47" s="4" t="n">
        <v>2.25</v>
      </c>
      <c r="AC47" s="4">
        <f>AY47</f>
        <v/>
      </c>
      <c r="AD47" s="4">
        <f>IFERROR(AC47*AN47,"-")</f>
        <v/>
      </c>
      <c r="AE47" s="59">
        <f>IFERROR(1-X47/AD47,"-")</f>
        <v/>
      </c>
      <c r="AF47" s="7" t="n">
        <v>5366</v>
      </c>
      <c r="AG47" s="59">
        <f>1-X47/AF47</f>
        <v/>
      </c>
      <c r="AH47" s="4">
        <f>AF47-X47</f>
        <v/>
      </c>
      <c r="AI47" s="28" t="n"/>
      <c r="AJ47" s="59" t="n"/>
      <c r="AK47" s="59" t="n"/>
      <c r="AL47" s="59">
        <f>IFERROR(V47/N47,"-")</f>
        <v/>
      </c>
      <c r="AM47" s="59">
        <f>IFERROR(AF47/O47,"-")</f>
        <v/>
      </c>
      <c r="AN47" s="59">
        <f>IFERROR(X47/P47,"-")</f>
        <v/>
      </c>
      <c r="AO47" s="59">
        <f>IFERROR(1-X47/AP47,"-")</f>
        <v/>
      </c>
      <c r="AP47" s="4">
        <f>IFERROR(ROUND($AF47*R47/$O47,0),"-")</f>
        <v/>
      </c>
      <c r="AQ47" s="4">
        <f>IF(S47="","-",S47)</f>
        <v/>
      </c>
      <c r="AR47" s="4">
        <f>IF(T47="","-",T47)</f>
        <v/>
      </c>
      <c r="AS47" s="4" t="inlineStr">
        <is>
          <t>34/320</t>
        </is>
      </c>
      <c r="AT47" s="4" t="inlineStr">
        <is>
          <t>2214641</t>
        </is>
      </c>
      <c r="AU47" s="4" t="n"/>
      <c r="AV47" s="4" t="n"/>
      <c r="AW47" s="4" t="inlineStr">
        <is>
          <t>1台</t>
        </is>
      </c>
      <c r="AX47" s="4" t="n">
        <v>5137</v>
      </c>
      <c r="AY47" s="4">
        <f>IF(AU47="",AX47,AU47/AV47*AX47)</f>
        <v/>
      </c>
      <c r="AZ47" s="19" t="n">
        <v>4</v>
      </c>
      <c r="BA47" s="19" t="n">
        <v>1</v>
      </c>
      <c r="BB47" s="16" t="n">
        <v>610</v>
      </c>
      <c r="BC47" s="0" t="inlineStr">
        <is>
          <t>-</t>
        </is>
      </c>
      <c r="BD47" s="0">
        <f>IFERROR(BC47*AN47,"-")</f>
        <v/>
      </c>
      <c r="BE47" s="0" t="n">
        <v>9258</v>
      </c>
      <c r="BF47" s="0">
        <f>IFERROR(BE47*AN47,"-")</f>
        <v/>
      </c>
      <c r="BG47" s="0" t="inlineStr">
        <is>
          <t>アイリスオーヤマ　レターケース　浅型10段　ダークグレー　L-10SR</t>
        </is>
      </c>
    </row>
    <row r="48">
      <c r="A48" s="0">
        <f>TEXT(F48,"000000")</f>
        <v/>
      </c>
      <c r="B48" s="3" t="n">
        <v>167</v>
      </c>
      <c r="C48" s="3" t="n">
        <v>167</v>
      </c>
      <c r="D48" s="4" t="inlineStr">
        <is>
          <t>J134SG</t>
        </is>
      </c>
      <c r="E48" s="4">
        <f>TEXT(D48,"000000")</f>
        <v/>
      </c>
      <c r="F48" s="4" t="inlineStr">
        <is>
          <t>J134SG</t>
        </is>
      </c>
      <c r="G48" s="4">
        <f>E48&amp;J48</f>
        <v/>
      </c>
      <c r="H48" s="4" t="inlineStr">
        <is>
          <t>G)ｱｲﾘｽｵｰﾔﾏ/ﾚﾀｰｹｰｽ 16段 ﾗｲﾄｸﾞﾚｰ/L-16SSR</t>
        </is>
      </c>
      <c r="I48" s="58" t="n">
        <v>4905009720453</v>
      </c>
      <c r="J48" s="58" t="n">
        <v>5</v>
      </c>
      <c r="K48" s="58" t="n"/>
      <c r="L48" s="58" t="n">
        <v>1</v>
      </c>
      <c r="M48" s="58" t="n">
        <v>1</v>
      </c>
      <c r="N48" s="4" t="n">
        <v>0</v>
      </c>
      <c r="O48" s="4" t="n">
        <v>6634</v>
      </c>
      <c r="P48" s="4" t="n">
        <v>4500</v>
      </c>
      <c r="Q48" s="59">
        <f>IFERROR(1-P48/O48,"-")</f>
        <v/>
      </c>
      <c r="R48" s="4" t="inlineStr">
        <is>
          <t>-</t>
        </is>
      </c>
      <c r="S48" s="4" t="inlineStr">
        <is>
          <t>-</t>
        </is>
      </c>
      <c r="T48" s="4" t="inlineStr">
        <is>
          <t>-</t>
        </is>
      </c>
      <c r="U48" s="4" t="n">
        <v>0</v>
      </c>
      <c r="V48" s="4">
        <f>IF(Y48="",U48,U48*Y48)</f>
        <v/>
      </c>
      <c r="W48" s="4" t="n">
        <v>5401</v>
      </c>
      <c r="X48" s="4">
        <f>IF(Y48="",W48,W48*Y48)</f>
        <v/>
      </c>
      <c r="Y48" s="4" t="n"/>
      <c r="Z48" s="21">
        <f>ROUND(O48*AN48,0)</f>
        <v/>
      </c>
      <c r="AA48" s="59">
        <f>IFERROR(1-X48/Z48,"-")</f>
        <v/>
      </c>
      <c r="AB48" s="4" t="n">
        <v>0.25</v>
      </c>
      <c r="AC48" s="4">
        <f>AY48</f>
        <v/>
      </c>
      <c r="AD48" s="4">
        <f>IFERROR(AC48*AN48,"-")</f>
        <v/>
      </c>
      <c r="AE48" s="59">
        <f>IFERROR(1-X48/AD48,"-")</f>
        <v/>
      </c>
      <c r="AF48" s="7" t="n">
        <v>8254</v>
      </c>
      <c r="AG48" s="59">
        <f>1-X48/AF48</f>
        <v/>
      </c>
      <c r="AH48" s="4">
        <f>AF48-X48</f>
        <v/>
      </c>
      <c r="AI48" s="28" t="n"/>
      <c r="AJ48" s="59" t="n"/>
      <c r="AK48" s="59" t="n"/>
      <c r="AL48" s="59">
        <f>IFERROR(V48/N48,"-")</f>
        <v/>
      </c>
      <c r="AM48" s="59">
        <f>IFERROR(AF48/O48,"-")</f>
        <v/>
      </c>
      <c r="AN48" s="59">
        <f>IFERROR(X48/P48,"-")</f>
        <v/>
      </c>
      <c r="AO48" s="59">
        <f>IFERROR(1-X48/AP48,"-")</f>
        <v/>
      </c>
      <c r="AP48" s="4">
        <f>IFERROR(ROUND($AF48*R48/$O48,0),"-")</f>
        <v/>
      </c>
      <c r="AQ48" s="4">
        <f>IF(S48="","-",S48)</f>
        <v/>
      </c>
      <c r="AR48" s="4">
        <f>IF(T48="","-",T48)</f>
        <v/>
      </c>
      <c r="AS48" s="4" t="n">
        <v>0</v>
      </c>
      <c r="AT48" s="4" t="inlineStr">
        <is>
          <t>887884</t>
        </is>
      </c>
      <c r="AU48" s="4" t="n"/>
      <c r="AV48" s="4" t="n"/>
      <c r="AW48" s="4" t="inlineStr">
        <is>
          <t>1台</t>
        </is>
      </c>
      <c r="AX48" s="4" t="n">
        <v>8255</v>
      </c>
      <c r="AY48" s="4">
        <f>IF(AU48="",AX48,AU48/AV48*AX48)</f>
        <v/>
      </c>
      <c r="AZ48" s="19" t="n">
        <v>4</v>
      </c>
      <c r="BA48" s="19" t="n">
        <v>1</v>
      </c>
      <c r="BB48" s="16" t="n">
        <v>610</v>
      </c>
      <c r="BC48" s="0" t="n">
        <v>7116</v>
      </c>
      <c r="BD48" s="0">
        <f>IFERROR(BC48*AN48,"-")</f>
        <v/>
      </c>
      <c r="BE48" s="0" t="n">
        <v>9112</v>
      </c>
      <c r="BF48" s="0">
        <f>IFERROR(BE48*AN48,"-")</f>
        <v/>
      </c>
      <c r="BG48" s="0" t="inlineStr">
        <is>
          <t>アイリスオーヤマ　レターケース　超浅型16段　ライトグレー　L-16SSR</t>
        </is>
      </c>
    </row>
    <row r="49">
      <c r="A49" s="0">
        <f>TEXT(F49,"000000")</f>
        <v/>
      </c>
      <c r="B49" s="3" t="n">
        <v>168</v>
      </c>
      <c r="C49" s="3" t="n">
        <v>168</v>
      </c>
      <c r="D49" s="4" t="inlineStr">
        <is>
          <t>J981WK</t>
        </is>
      </c>
      <c r="E49" s="4">
        <f>TEXT(D49,"000000")</f>
        <v/>
      </c>
      <c r="F49" s="4" t="inlineStr">
        <is>
          <t>J981WK</t>
        </is>
      </c>
      <c r="G49" s="4">
        <f>E49&amp;J49</f>
        <v/>
      </c>
      <c r="H49" s="4" t="inlineStr">
        <is>
          <t>G)ｱｲﾘｽｵｰﾔﾏ/ﾚﾀｰｹｰｽ 超浅型 16段 ﾀﾞｰｸｸﾞﾚｰ/L-16SSR</t>
        </is>
      </c>
      <c r="I49" s="58" t="n">
        <v>4905009720446</v>
      </c>
      <c r="J49" s="58" t="n">
        <v>5</v>
      </c>
      <c r="K49" s="58" t="n"/>
      <c r="L49" s="58" t="n">
        <v>1</v>
      </c>
      <c r="M49" s="58" t="n">
        <v>1</v>
      </c>
      <c r="N49" s="4" t="n">
        <v>0</v>
      </c>
      <c r="O49" s="4" t="n">
        <v>7110</v>
      </c>
      <c r="P49" s="4" t="n">
        <v>4500</v>
      </c>
      <c r="Q49" s="59">
        <f>IFERROR(1-P49/O49,"-")</f>
        <v/>
      </c>
      <c r="R49" s="4" t="inlineStr">
        <is>
          <t>-</t>
        </is>
      </c>
      <c r="S49" s="4" t="inlineStr">
        <is>
          <t>-</t>
        </is>
      </c>
      <c r="T49" s="4" t="inlineStr">
        <is>
          <t>-</t>
        </is>
      </c>
      <c r="U49" s="4" t="n">
        <v>0</v>
      </c>
      <c r="V49" s="4">
        <f>IF(Y49="",U49,U49*Y49)</f>
        <v/>
      </c>
      <c r="W49" s="4" t="n">
        <v>5401</v>
      </c>
      <c r="X49" s="4">
        <f>IF(Y49="",W49,W49*Y49)</f>
        <v/>
      </c>
      <c r="Y49" s="4" t="n"/>
      <c r="Z49" s="21">
        <f>ROUND(O49*AN49,0)</f>
        <v/>
      </c>
      <c r="AA49" s="59">
        <f>IFERROR(1-X49/Z49,"-")</f>
        <v/>
      </c>
      <c r="AB49" s="4" t="n">
        <v>0.5</v>
      </c>
      <c r="AC49" s="4">
        <f>AY49</f>
        <v/>
      </c>
      <c r="AD49" s="4">
        <f>IFERROR(AC49*AN49,"-")</f>
        <v/>
      </c>
      <c r="AE49" s="59">
        <f>IFERROR(1-X49/AD49,"-")</f>
        <v/>
      </c>
      <c r="AF49" s="7" t="n">
        <v>7581</v>
      </c>
      <c r="AG49" s="59">
        <f>1-X49/AF49</f>
        <v/>
      </c>
      <c r="AH49" s="4">
        <f>AF49-X49</f>
        <v/>
      </c>
      <c r="AI49" s="28" t="n"/>
      <c r="AJ49" s="59" t="n"/>
      <c r="AK49" s="59" t="n"/>
      <c r="AL49" s="59">
        <f>IFERROR(V49/N49,"-")</f>
        <v/>
      </c>
      <c r="AM49" s="59">
        <f>IFERROR(AF49/O49,"-")</f>
        <v/>
      </c>
      <c r="AN49" s="59">
        <f>IFERROR(X49/P49,"-")</f>
        <v/>
      </c>
      <c r="AO49" s="59">
        <f>IFERROR(1-X49/AP49,"-")</f>
        <v/>
      </c>
      <c r="AP49" s="4">
        <f>IFERROR(ROUND($AF49*R49/$O49,0),"-")</f>
        <v/>
      </c>
      <c r="AQ49" s="4">
        <f>IF(S49="","-",S49)</f>
        <v/>
      </c>
      <c r="AR49" s="4">
        <f>IF(T49="","-",T49)</f>
        <v/>
      </c>
      <c r="AS49" s="4" t="n">
        <v>0</v>
      </c>
      <c r="AT49" s="4" t="inlineStr">
        <is>
          <t>2090384</t>
        </is>
      </c>
      <c r="AU49" s="4" t="n"/>
      <c r="AV49" s="4" t="n"/>
      <c r="AW49" s="4" t="inlineStr">
        <is>
          <t>1台</t>
        </is>
      </c>
      <c r="AX49" s="4" t="n">
        <v>7582</v>
      </c>
      <c r="AY49" s="4">
        <f>IF(AU49="",AX49,AU49/AV49*AX49)</f>
        <v/>
      </c>
      <c r="AZ49" s="19" t="n">
        <v>4</v>
      </c>
      <c r="BA49" s="19" t="n">
        <v>1</v>
      </c>
      <c r="BB49" s="16" t="n">
        <v>610</v>
      </c>
      <c r="BC49" s="0" t="n">
        <v>7116</v>
      </c>
      <c r="BD49" s="0">
        <f>IFERROR(BC49*AN49,"-")</f>
        <v/>
      </c>
      <c r="BE49" s="0" t="n">
        <v>9112</v>
      </c>
      <c r="BF49" s="0">
        <f>IFERROR(BE49*AN49,"-")</f>
        <v/>
      </c>
      <c r="BG49" s="0" t="inlineStr">
        <is>
          <t>アイリスオーヤマ レターケース Lー16SSR L-16SSR(245949) 1台</t>
        </is>
      </c>
    </row>
    <row r="50">
      <c r="A50" s="0">
        <f>TEXT(F50,"000000")</f>
        <v/>
      </c>
      <c r="B50" s="3" t="n">
        <v>117</v>
      </c>
      <c r="C50" s="3" t="n">
        <v>117</v>
      </c>
      <c r="D50" s="4" t="inlineStr">
        <is>
          <t>J589PW</t>
        </is>
      </c>
      <c r="E50" s="4">
        <f>TEXT(D50,"000000")</f>
        <v/>
      </c>
      <c r="F50" s="4" t="inlineStr">
        <is>
          <t>J589PW</t>
        </is>
      </c>
      <c r="G50" s="4">
        <f>E50&amp;J50</f>
        <v/>
      </c>
      <c r="H50" s="4" t="inlineStr">
        <is>
          <t>G)ｱｲﾘｽｵｰﾔﾏ/手提げ金庫 B7 ﾌﾞﾙｰ/SBX-B7</t>
        </is>
      </c>
      <c r="I50" s="58" t="n">
        <v>4905009796878</v>
      </c>
      <c r="J50" s="58" t="n">
        <v>5</v>
      </c>
      <c r="K50" s="58" t="n"/>
      <c r="L50" s="58" t="n">
        <v>1</v>
      </c>
      <c r="M50" s="58" t="n">
        <v>1</v>
      </c>
      <c r="N50" s="4" t="n">
        <v>0</v>
      </c>
      <c r="O50" s="4" t="n">
        <v>2126</v>
      </c>
      <c r="P50" s="4" t="n">
        <v>1290</v>
      </c>
      <c r="Q50" s="59">
        <f>IFERROR(1-P50/O50,"-")</f>
        <v/>
      </c>
      <c r="R50" s="4" t="inlineStr">
        <is>
          <t>-</t>
        </is>
      </c>
      <c r="S50" s="4" t="inlineStr">
        <is>
          <t>-</t>
        </is>
      </c>
      <c r="T50" s="4" t="inlineStr">
        <is>
          <t>-</t>
        </is>
      </c>
      <c r="U50" s="4" t="n">
        <v>0</v>
      </c>
      <c r="V50" s="4">
        <f>IF(Y50="",U50,U50*Y50)</f>
        <v/>
      </c>
      <c r="W50" s="4" t="n">
        <v>1419</v>
      </c>
      <c r="X50" s="4">
        <f>IF(Y50="",W50,W50*Y50)</f>
        <v/>
      </c>
      <c r="Y50" s="4" t="n"/>
      <c r="Z50" s="21">
        <f>ROUND(O50*AN50,0)</f>
        <v/>
      </c>
      <c r="AA50" s="59">
        <f>IFERROR(1-X50/Z50,"-")</f>
        <v/>
      </c>
      <c r="AB50" s="4" t="n">
        <v>0.25</v>
      </c>
      <c r="AC50" s="4">
        <f>AY50</f>
        <v/>
      </c>
      <c r="AD50" s="4">
        <f>IFERROR(AC50*AN50,"-")</f>
        <v/>
      </c>
      <c r="AE50" s="59">
        <f>IFERROR(1-X50/AD50,"-")</f>
        <v/>
      </c>
      <c r="AF50" s="7" t="n">
        <v>2279</v>
      </c>
      <c r="AG50" s="59">
        <f>1-X50/AF50</f>
        <v/>
      </c>
      <c r="AH50" s="4">
        <f>AF50-X50</f>
        <v/>
      </c>
      <c r="AI50" s="28" t="n"/>
      <c r="AJ50" s="59" t="n"/>
      <c r="AK50" s="59" t="n"/>
      <c r="AL50" s="59">
        <f>IFERROR(V50/N50,"-")</f>
        <v/>
      </c>
      <c r="AM50" s="59">
        <f>IFERROR(AF50/O50,"-")</f>
        <v/>
      </c>
      <c r="AN50" s="59">
        <f>IFERROR(X50/P50,"-")</f>
        <v/>
      </c>
      <c r="AO50" s="59">
        <f>IFERROR(1-X50/AP50,"-")</f>
        <v/>
      </c>
      <c r="AP50" s="4">
        <f>IFERROR(ROUND($AF50*R50/$O50,0),"-")</f>
        <v/>
      </c>
      <c r="AQ50" s="4">
        <f>IF(S50="","-",S50)</f>
        <v/>
      </c>
      <c r="AR50" s="4">
        <f>IF(T50="","-",T50)</f>
        <v/>
      </c>
      <c r="AS50" s="4" t="n">
        <v>0</v>
      </c>
      <c r="AT50" s="4" t="inlineStr">
        <is>
          <t>A018628</t>
        </is>
      </c>
      <c r="AU50" s="4" t="n"/>
      <c r="AV50" s="4" t="n"/>
      <c r="AW50" s="4" t="inlineStr">
        <is>
          <t>1個</t>
        </is>
      </c>
      <c r="AX50" s="4" t="n">
        <v>2280</v>
      </c>
      <c r="AY50" s="4">
        <f>IF(AU50="",AX50,AU50/AV50*AX50)</f>
        <v/>
      </c>
      <c r="AZ50" s="19" t="n">
        <v>4</v>
      </c>
      <c r="BA50" s="19" t="n">
        <v>8</v>
      </c>
      <c r="BB50" s="16" t="n">
        <v>635</v>
      </c>
      <c r="BC50" s="0" t="inlineStr">
        <is>
          <t>-</t>
        </is>
      </c>
      <c r="BD50" s="0">
        <f>IFERROR(BC50*AN50,"-")</f>
        <v/>
      </c>
      <c r="BE50" s="0" t="inlineStr">
        <is>
          <t>-</t>
        </is>
      </c>
      <c r="BF50" s="0">
        <f>IFERROR(BE50*AN50,"-")</f>
        <v/>
      </c>
      <c r="BG50" s="0" t="inlineStr">
        <is>
          <t>アイリスオーヤマ 手提げ金庫 SBXーB7 ブルー 1個（直送品）</t>
        </is>
      </c>
    </row>
    <row r="51">
      <c r="A51" s="0">
        <f>TEXT(F51,"000000")</f>
        <v/>
      </c>
      <c r="B51" s="3" t="n">
        <v>120</v>
      </c>
      <c r="C51" s="3" t="n">
        <v>120</v>
      </c>
      <c r="D51" s="4" t="inlineStr">
        <is>
          <t>J590PW</t>
        </is>
      </c>
      <c r="E51" s="4">
        <f>TEXT(D51,"000000")</f>
        <v/>
      </c>
      <c r="F51" s="4" t="inlineStr">
        <is>
          <t>J590PW</t>
        </is>
      </c>
      <c r="G51" s="4">
        <f>E51&amp;J51</f>
        <v/>
      </c>
      <c r="H51" s="4" t="inlineStr">
        <is>
          <t>G)ｱｲﾘｽｵｰﾔﾏ/手提げ金庫 A6 ﾌﾞﾙｰ/SBX-A6</t>
        </is>
      </c>
      <c r="I51" s="58" t="n">
        <v>4905009796885</v>
      </c>
      <c r="J51" s="58" t="n">
        <v>5</v>
      </c>
      <c r="K51" s="58" t="n"/>
      <c r="L51" s="58" t="n">
        <v>1</v>
      </c>
      <c r="M51" s="58" t="n">
        <v>1</v>
      </c>
      <c r="N51" s="4" t="n">
        <v>0</v>
      </c>
      <c r="O51" s="4" t="n">
        <v>2521</v>
      </c>
      <c r="P51" s="4" t="n">
        <v>1530</v>
      </c>
      <c r="Q51" s="59">
        <f>IFERROR(1-P51/O51,"-")</f>
        <v/>
      </c>
      <c r="R51" s="4" t="inlineStr">
        <is>
          <t>-</t>
        </is>
      </c>
      <c r="S51" s="4" t="inlineStr">
        <is>
          <t>-</t>
        </is>
      </c>
      <c r="T51" s="4" t="inlineStr">
        <is>
          <t>-</t>
        </is>
      </c>
      <c r="U51" s="4" t="n">
        <v>0</v>
      </c>
      <c r="V51" s="4">
        <f>IF(Y51="",U51,U51*Y51)</f>
        <v/>
      </c>
      <c r="W51" s="4" t="n">
        <v>1683</v>
      </c>
      <c r="X51" s="4">
        <f>IF(Y51="",W51,W51*Y51)</f>
        <v/>
      </c>
      <c r="Y51" s="4" t="n"/>
      <c r="Z51" s="21">
        <f>ROUND(O51*AN51,0)</f>
        <v/>
      </c>
      <c r="AA51" s="59">
        <f>IFERROR(1-X51/Z51,"-")</f>
        <v/>
      </c>
      <c r="AB51" s="4" t="n">
        <v>0.25</v>
      </c>
      <c r="AC51" s="4">
        <f>AY51</f>
        <v/>
      </c>
      <c r="AD51" s="4">
        <f>IFERROR(AC51*AN51,"-")</f>
        <v/>
      </c>
      <c r="AE51" s="59">
        <f>IFERROR(1-X51/AD51,"-")</f>
        <v/>
      </c>
      <c r="AF51" s="7" t="n">
        <v>2981</v>
      </c>
      <c r="AG51" s="59">
        <f>1-X51/AF51</f>
        <v/>
      </c>
      <c r="AH51" s="4">
        <f>AF51-X51</f>
        <v/>
      </c>
      <c r="AI51" s="28" t="n"/>
      <c r="AJ51" s="59" t="n"/>
      <c r="AK51" s="59" t="n"/>
      <c r="AL51" s="59">
        <f>IFERROR(V51/N51,"-")</f>
        <v/>
      </c>
      <c r="AM51" s="59">
        <f>IFERROR(AF51/O51,"-")</f>
        <v/>
      </c>
      <c r="AN51" s="59">
        <f>IFERROR(X51/P51,"-")</f>
        <v/>
      </c>
      <c r="AO51" s="59">
        <f>IFERROR(1-X51/AP51,"-")</f>
        <v/>
      </c>
      <c r="AP51" s="4">
        <f>IFERROR(ROUND($AF51*R51/$O51,0),"-")</f>
        <v/>
      </c>
      <c r="AQ51" s="4">
        <f>IF(S51="","-",S51)</f>
        <v/>
      </c>
      <c r="AR51" s="4">
        <f>IF(T51="","-",T51)</f>
        <v/>
      </c>
      <c r="AS51" s="4" t="n">
        <v>0</v>
      </c>
      <c r="AT51" s="4" t="inlineStr">
        <is>
          <t>A018629</t>
        </is>
      </c>
      <c r="AU51" s="4" t="n"/>
      <c r="AV51" s="4" t="n"/>
      <c r="AW51" s="4" t="inlineStr">
        <is>
          <t>1個</t>
        </is>
      </c>
      <c r="AX51" s="4" t="n">
        <v>2982</v>
      </c>
      <c r="AY51" s="4">
        <f>IF(AU51="",AX51,AU51/AV51*AX51)</f>
        <v/>
      </c>
      <c r="AZ51" s="19" t="n">
        <v>4</v>
      </c>
      <c r="BA51" s="19" t="n">
        <v>8</v>
      </c>
      <c r="BB51" s="16" t="n">
        <v>635</v>
      </c>
      <c r="BC51" s="0" t="inlineStr">
        <is>
          <t>-</t>
        </is>
      </c>
      <c r="BD51" s="0">
        <f>IFERROR(BC51*AN51,"-")</f>
        <v/>
      </c>
      <c r="BE51" s="0" t="n">
        <v>2648</v>
      </c>
      <c r="BF51" s="0">
        <f>IFERROR(BE51*AN51,"-")</f>
        <v/>
      </c>
      <c r="BG51" s="0" t="inlineStr">
        <is>
          <t>アイリスオーヤマ 手提げ金庫 SBXーA6 ブルー 1個（直送品）</t>
        </is>
      </c>
    </row>
    <row r="52">
      <c r="A52" s="0">
        <f>TEXT(F52,"000000")</f>
        <v/>
      </c>
      <c r="B52" s="3" t="n">
        <v>135</v>
      </c>
      <c r="C52" s="3" t="n">
        <v>135</v>
      </c>
      <c r="D52" s="4" t="inlineStr">
        <is>
          <t>J783HH</t>
        </is>
      </c>
      <c r="E52" s="4">
        <f>TEXT(D52,"000000")</f>
        <v/>
      </c>
      <c r="F52" s="4" t="inlineStr">
        <is>
          <t>J783HH</t>
        </is>
      </c>
      <c r="G52" s="4">
        <f>E52&amp;J52</f>
        <v/>
      </c>
      <c r="H52" s="4" t="inlineStr">
        <is>
          <t>ｱｲﾘｽｵｰﾔﾏ/ﾀﾞｲﾔﾙﾛｯｸ式小物BOX 335×285×72 ｸﾞﾚｰ</t>
        </is>
      </c>
      <c r="I52" s="58" t="n">
        <v>4905009005260</v>
      </c>
      <c r="J52" s="58" t="n">
        <v>5</v>
      </c>
      <c r="K52" s="58" t="n"/>
      <c r="L52" s="58" t="n">
        <v>1</v>
      </c>
      <c r="M52" s="58" t="n">
        <v>1</v>
      </c>
      <c r="N52" s="4" t="n">
        <v>0</v>
      </c>
      <c r="O52" s="4" t="n">
        <v>2575</v>
      </c>
      <c r="P52" s="4" t="n">
        <v>1900</v>
      </c>
      <c r="Q52" s="59">
        <f>IFERROR(1-P52/O52,"-")</f>
        <v/>
      </c>
      <c r="R52" s="4" t="inlineStr">
        <is>
          <t>-</t>
        </is>
      </c>
      <c r="S52" s="4" t="inlineStr">
        <is>
          <t>-</t>
        </is>
      </c>
      <c r="T52" s="4" t="inlineStr">
        <is>
          <t>-</t>
        </is>
      </c>
      <c r="U52" s="4" t="n">
        <v>0</v>
      </c>
      <c r="V52" s="4">
        <f>IF(Y52="",U52,U52*Y52)</f>
        <v/>
      </c>
      <c r="W52" s="4" t="n">
        <v>2091</v>
      </c>
      <c r="X52" s="4">
        <f>IF(Y52="",W52,W52*Y52)</f>
        <v/>
      </c>
      <c r="Y52" s="4" t="n"/>
      <c r="Z52" s="21">
        <f>ROUND(O52*AN52,0)</f>
        <v/>
      </c>
      <c r="AA52" s="59">
        <f>IFERROR(1-X52/Z52,"-")</f>
        <v/>
      </c>
      <c r="AB52" s="4" t="n">
        <v>1.5</v>
      </c>
      <c r="AC52" s="4">
        <f>AY52</f>
        <v/>
      </c>
      <c r="AD52" s="4">
        <f>IFERROR(AC52*AN52,"-")</f>
        <v/>
      </c>
      <c r="AE52" s="59">
        <f>IFERROR(1-X52/AD52,"-")</f>
        <v/>
      </c>
      <c r="AF52" s="7" t="n">
        <v>2460</v>
      </c>
      <c r="AG52" s="59">
        <f>1-X52/AF52</f>
        <v/>
      </c>
      <c r="AH52" s="4">
        <f>AF52-X52</f>
        <v/>
      </c>
      <c r="AI52" s="28" t="n"/>
      <c r="AJ52" s="59" t="n"/>
      <c r="AK52" s="59" t="n"/>
      <c r="AL52" s="59">
        <f>IFERROR(V52/N52,"-")</f>
        <v/>
      </c>
      <c r="AM52" s="59">
        <f>IFERROR(AF52/O52,"-")</f>
        <v/>
      </c>
      <c r="AN52" s="59">
        <f>IFERROR(X52/P52,"-")</f>
        <v/>
      </c>
      <c r="AO52" s="59">
        <f>IFERROR(1-X52/AP52,"-")</f>
        <v/>
      </c>
      <c r="AP52" s="4">
        <f>IFERROR(ROUND($AF52*R52/$O52,0),"-")</f>
        <v/>
      </c>
      <c r="AQ52" s="4">
        <f>IF(S52="","-",S52)</f>
        <v/>
      </c>
      <c r="AR52" s="4">
        <f>IF(T52="","-",T52)</f>
        <v/>
      </c>
      <c r="AS52" s="4" t="n">
        <v>0</v>
      </c>
      <c r="AT52" s="4" t="inlineStr">
        <is>
          <t>802662</t>
        </is>
      </c>
      <c r="AU52" s="4" t="n"/>
      <c r="AV52" s="4" t="n"/>
      <c r="AW52" s="4" t="inlineStr">
        <is>
          <t>1個</t>
        </is>
      </c>
      <c r="AX52" s="4" t="n">
        <v>2180</v>
      </c>
      <c r="AY52" s="4">
        <f>IF(AU52="",AX52,AU52/AV52*AX52)</f>
        <v/>
      </c>
      <c r="AZ52" s="19" t="n">
        <v>4</v>
      </c>
      <c r="BA52" s="19" t="n">
        <v>1</v>
      </c>
      <c r="BB52" s="16" t="n">
        <v>635</v>
      </c>
      <c r="BC52" s="0" t="n">
        <v>3790</v>
      </c>
      <c r="BD52" s="0">
        <f>IFERROR(BC52*AN52,"-")</f>
        <v/>
      </c>
      <c r="BE52" s="0" t="n">
        <v>3421</v>
      </c>
      <c r="BF52" s="0">
        <f>IFERROR(BE52*AN52,"-")</f>
        <v/>
      </c>
      <c r="BG52" s="0" t="inlineStr">
        <is>
          <t>アイリスオーヤマ　プライベートボックス　大　グレー　PV-330</t>
        </is>
      </c>
    </row>
    <row r="53">
      <c r="A53" s="0">
        <f>TEXT(F53,"000000")</f>
        <v/>
      </c>
      <c r="B53" s="3" t="n">
        <v>130</v>
      </c>
      <c r="C53" s="3" t="n">
        <v>130</v>
      </c>
      <c r="D53" s="4" t="n">
        <v>663950</v>
      </c>
      <c r="E53" s="4">
        <f>TEXT(D53,"000000")</f>
        <v/>
      </c>
      <c r="F53" s="4" t="n">
        <v>663950</v>
      </c>
      <c r="G53" s="4">
        <f>E53&amp;J53</f>
        <v/>
      </c>
      <c r="H53" s="4" t="inlineStr">
        <is>
          <t>G)ｱｲﾘｽｵｰﾔﾏ/手提げ金庫A5ｽﾘﾑ ﾌﾞﾙｰ/SBX-A5S</t>
        </is>
      </c>
      <c r="I53" s="58" t="n">
        <v>4905009796892</v>
      </c>
      <c r="J53" s="58" t="n">
        <v>5</v>
      </c>
      <c r="K53" s="58" t="n"/>
      <c r="L53" s="58" t="n">
        <v>1</v>
      </c>
      <c r="M53" s="58" t="n">
        <v>1</v>
      </c>
      <c r="N53" s="4" t="n">
        <v>0</v>
      </c>
      <c r="O53" s="4" t="n">
        <v>5116</v>
      </c>
      <c r="P53" s="4" t="n">
        <v>3500</v>
      </c>
      <c r="Q53" s="59">
        <f>IFERROR(1-P53/O53,"-")</f>
        <v/>
      </c>
      <c r="R53" s="4" t="inlineStr">
        <is>
          <t>-</t>
        </is>
      </c>
      <c r="S53" s="4" t="inlineStr">
        <is>
          <t>-</t>
        </is>
      </c>
      <c r="T53" s="4" t="inlineStr">
        <is>
          <t>-</t>
        </is>
      </c>
      <c r="U53" s="4" t="n">
        <v>0</v>
      </c>
      <c r="V53" s="4">
        <f>IF(Y53="",U53,U53*Y53)</f>
        <v/>
      </c>
      <c r="W53" s="4" t="n">
        <v>3851</v>
      </c>
      <c r="X53" s="4">
        <f>IF(Y53="",W53,W53*Y53)</f>
        <v/>
      </c>
      <c r="Y53" s="4" t="n"/>
      <c r="Z53" s="21">
        <f>ROUND(O53*AN53,0)</f>
        <v/>
      </c>
      <c r="AA53" s="59">
        <f>IFERROR(1-X53/Z53,"-")</f>
        <v/>
      </c>
      <c r="AB53" s="4" t="n">
        <v>0.75</v>
      </c>
      <c r="AC53" s="4">
        <f>AY53</f>
        <v/>
      </c>
      <c r="AD53" s="4">
        <f>IFERROR(AC53*AN53,"-")</f>
        <v/>
      </c>
      <c r="AE53" s="59">
        <f>IFERROR(1-X53/AD53,"-")</f>
        <v/>
      </c>
      <c r="AF53" s="7" t="n">
        <v>5770</v>
      </c>
      <c r="AG53" s="59">
        <f>1-X53/AF53</f>
        <v/>
      </c>
      <c r="AH53" s="4">
        <f>AF53-X53</f>
        <v/>
      </c>
      <c r="AI53" s="28" t="n"/>
      <c r="AJ53" s="59" t="n"/>
      <c r="AK53" s="59" t="n"/>
      <c r="AL53" s="59">
        <f>IFERROR(V53/N53,"-")</f>
        <v/>
      </c>
      <c r="AM53" s="59">
        <f>IFERROR(AF53/O53,"-")</f>
        <v/>
      </c>
      <c r="AN53" s="59">
        <f>IFERROR(X53/P53,"-")</f>
        <v/>
      </c>
      <c r="AO53" s="59">
        <f>IFERROR(1-X53/AP53,"-")</f>
        <v/>
      </c>
      <c r="AP53" s="4">
        <f>IFERROR(ROUND($AF53*R53/$O53,0),"-")</f>
        <v/>
      </c>
      <c r="AQ53" s="4">
        <f>IF(S53="","-",S53)</f>
        <v/>
      </c>
      <c r="AR53" s="4">
        <f>IF(T53="","-",T53)</f>
        <v/>
      </c>
      <c r="AS53" s="4" t="inlineStr">
        <is>
          <t>34/565</t>
        </is>
      </c>
      <c r="AT53" s="4" t="inlineStr">
        <is>
          <t>E360701</t>
        </is>
      </c>
      <c r="AU53" s="4" t="n"/>
      <c r="AV53" s="4" t="n"/>
      <c r="AW53" s="4" t="inlineStr">
        <is>
          <t>1個</t>
        </is>
      </c>
      <c r="AX53" s="4" t="n">
        <v>5771</v>
      </c>
      <c r="AY53" s="4">
        <f>IF(AU53="",AX53,AU53/AV53*AX53)</f>
        <v/>
      </c>
      <c r="AZ53" s="19" t="n">
        <v>4</v>
      </c>
      <c r="BA53" s="19" t="n">
        <v>1</v>
      </c>
      <c r="BB53" s="16" t="n">
        <v>635</v>
      </c>
      <c r="BC53" s="0" t="inlineStr">
        <is>
          <t>-</t>
        </is>
      </c>
      <c r="BD53" s="0">
        <f>IFERROR(BC53*AN53,"-")</f>
        <v/>
      </c>
      <c r="BE53" s="0" t="n">
        <v>4528</v>
      </c>
      <c r="BF53" s="0">
        <f>IFERROR(BE53*AN53,"-")</f>
        <v/>
      </c>
      <c r="BG53" s="0" t="inlineStr">
        <is>
          <t>アイリスオーヤマ 手提げ金庫 SBX-A5S 1個</t>
        </is>
      </c>
    </row>
    <row r="54">
      <c r="A54" s="0">
        <f>TEXT(F54,"000000")</f>
        <v/>
      </c>
      <c r="B54" s="3" t="n">
        <v>131</v>
      </c>
      <c r="C54" s="3" t="n">
        <v>131</v>
      </c>
      <c r="D54" s="4" t="n">
        <v>663951</v>
      </c>
      <c r="E54" s="4">
        <f>TEXT(D54,"000000")</f>
        <v/>
      </c>
      <c r="F54" s="4" t="n">
        <v>663951</v>
      </c>
      <c r="G54" s="4">
        <f>E54&amp;J54</f>
        <v/>
      </c>
      <c r="H54" s="4" t="inlineStr">
        <is>
          <t>G)ｱｲﾘｽｵｰﾔﾏ/手提げ金庫A5ｽﾘﾑ ｸﾞﾚｰ/SBX-A5S</t>
        </is>
      </c>
      <c r="I54" s="58" t="n">
        <v>4905009796908</v>
      </c>
      <c r="J54" s="58" t="n">
        <v>5</v>
      </c>
      <c r="K54" s="58" t="n"/>
      <c r="L54" s="58" t="n">
        <v>1</v>
      </c>
      <c r="M54" s="58" t="n">
        <v>1</v>
      </c>
      <c r="N54" s="4" t="n">
        <v>0</v>
      </c>
      <c r="O54" s="4" t="n">
        <v>5116</v>
      </c>
      <c r="P54" s="4" t="n">
        <v>3500</v>
      </c>
      <c r="Q54" s="59">
        <f>IFERROR(1-P54/O54,"-")</f>
        <v/>
      </c>
      <c r="R54" s="4" t="inlineStr">
        <is>
          <t>-</t>
        </is>
      </c>
      <c r="S54" s="4" t="inlineStr">
        <is>
          <t>-</t>
        </is>
      </c>
      <c r="T54" s="4" t="inlineStr">
        <is>
          <t>-</t>
        </is>
      </c>
      <c r="U54" s="4" t="n">
        <v>0</v>
      </c>
      <c r="V54" s="4">
        <f>IF(Y54="",U54,U54*Y54)</f>
        <v/>
      </c>
      <c r="W54" s="4" t="n">
        <v>3851</v>
      </c>
      <c r="X54" s="4">
        <f>IF(Y54="",W54,W54*Y54)</f>
        <v/>
      </c>
      <c r="Y54" s="4" t="n"/>
      <c r="Z54" s="21">
        <f>ROUND(O54*AN54,0)</f>
        <v/>
      </c>
      <c r="AA54" s="59">
        <f>IFERROR(1-X54/Z54,"-")</f>
        <v/>
      </c>
      <c r="AB54" s="4" t="n">
        <v>1</v>
      </c>
      <c r="AC54" s="4">
        <f>AY54</f>
        <v/>
      </c>
      <c r="AD54" s="4">
        <f>IFERROR(AC54*AN54,"-")</f>
        <v/>
      </c>
      <c r="AE54" s="59">
        <f>IFERROR(1-X54/AD54,"-")</f>
        <v/>
      </c>
      <c r="AF54" s="7" t="n">
        <v>6776</v>
      </c>
      <c r="AG54" s="59">
        <f>1-X54/AF54</f>
        <v/>
      </c>
      <c r="AH54" s="4">
        <f>AF54-X54</f>
        <v/>
      </c>
      <c r="AI54" s="28" t="n"/>
      <c r="AJ54" s="59" t="n"/>
      <c r="AK54" s="59" t="n"/>
      <c r="AL54" s="59">
        <f>IFERROR(V54/N54,"-")</f>
        <v/>
      </c>
      <c r="AM54" s="59">
        <f>IFERROR(AF54/O54,"-")</f>
        <v/>
      </c>
      <c r="AN54" s="59">
        <f>IFERROR(X54/P54,"-")</f>
        <v/>
      </c>
      <c r="AO54" s="59">
        <f>IFERROR(1-X54/AP54,"-")</f>
        <v/>
      </c>
      <c r="AP54" s="4">
        <f>IFERROR(ROUND($AF54*R54/$O54,0),"-")</f>
        <v/>
      </c>
      <c r="AQ54" s="4">
        <f>IF(S54="","-",S54)</f>
        <v/>
      </c>
      <c r="AR54" s="4">
        <f>IF(T54="","-",T54)</f>
        <v/>
      </c>
      <c r="AS54" s="4" t="inlineStr">
        <is>
          <t>34/565</t>
        </is>
      </c>
      <c r="AT54" s="4" t="inlineStr">
        <is>
          <t>E360696</t>
        </is>
      </c>
      <c r="AU54" s="4" t="n"/>
      <c r="AV54" s="4" t="n"/>
      <c r="AW54" s="4" t="inlineStr">
        <is>
          <t>1個</t>
        </is>
      </c>
      <c r="AX54" s="4" t="n">
        <v>6777</v>
      </c>
      <c r="AY54" s="4">
        <f>IF(AU54="",AX54,AU54/AV54*AX54)</f>
        <v/>
      </c>
      <c r="AZ54" s="19" t="n">
        <v>4</v>
      </c>
      <c r="BA54" s="19" t="n">
        <v>1</v>
      </c>
      <c r="BB54" s="16" t="n">
        <v>635</v>
      </c>
      <c r="BC54" s="0" t="inlineStr">
        <is>
          <t>-</t>
        </is>
      </c>
      <c r="BD54" s="0">
        <f>IFERROR(BC54*AN54,"-")</f>
        <v/>
      </c>
      <c r="BE54" s="0" t="n">
        <v>4528</v>
      </c>
      <c r="BF54" s="0">
        <f>IFERROR(BE54*AN54,"-")</f>
        <v/>
      </c>
      <c r="BG54" s="0" t="inlineStr">
        <is>
          <t>アイリスオーヤマ 手提げ金庫 SBX-A5S 1個</t>
        </is>
      </c>
    </row>
    <row r="55">
      <c r="A55" s="0">
        <f>TEXT(F55,"000000")</f>
        <v/>
      </c>
      <c r="B55" s="3" t="n">
        <v>118</v>
      </c>
      <c r="C55" s="3" t="n">
        <v>118</v>
      </c>
      <c r="D55" s="4" t="inlineStr">
        <is>
          <t>J591PW</t>
        </is>
      </c>
      <c r="E55" s="4">
        <f>TEXT(D55,"000000")</f>
        <v/>
      </c>
      <c r="F55" s="4" t="inlineStr">
        <is>
          <t>J591PW</t>
        </is>
      </c>
      <c r="G55" s="4">
        <f>E55&amp;J55</f>
        <v/>
      </c>
      <c r="H55" s="4" t="inlineStr">
        <is>
          <t>G)ｱｲﾘｽｵｰﾔﾏ/手提げ金庫 A5 ﾌﾞﾙｰ/SBX-A5</t>
        </is>
      </c>
      <c r="I55" s="58" t="n">
        <v>4905009796915</v>
      </c>
      <c r="J55" s="58" t="n">
        <v>5</v>
      </c>
      <c r="K55" s="58" t="n"/>
      <c r="L55" s="58" t="n">
        <v>1</v>
      </c>
      <c r="M55" s="58" t="n">
        <v>1</v>
      </c>
      <c r="N55" s="4" t="n">
        <v>0</v>
      </c>
      <c r="O55" s="4" t="n">
        <v>7197</v>
      </c>
      <c r="P55" s="4" t="n">
        <v>4410</v>
      </c>
      <c r="Q55" s="59">
        <f>IFERROR(1-P55/O55,"-")</f>
        <v/>
      </c>
      <c r="R55" s="4" t="inlineStr">
        <is>
          <t>-</t>
        </is>
      </c>
      <c r="S55" s="4" t="inlineStr">
        <is>
          <t>-</t>
        </is>
      </c>
      <c r="T55" s="4" t="inlineStr">
        <is>
          <t>-</t>
        </is>
      </c>
      <c r="U55" s="4" t="n">
        <v>0</v>
      </c>
      <c r="V55" s="4">
        <f>IF(Y55="",U55,U55*Y55)</f>
        <v/>
      </c>
      <c r="W55" s="4" t="n">
        <v>4851</v>
      </c>
      <c r="X55" s="4">
        <f>IF(Y55="",W55,W55*Y55)</f>
        <v/>
      </c>
      <c r="Y55" s="4" t="n"/>
      <c r="Z55" s="21">
        <f>ROUND(O55*AN55,0)</f>
        <v/>
      </c>
      <c r="AA55" s="59">
        <f>IFERROR(1-X55/Z55,"-")</f>
        <v/>
      </c>
      <c r="AB55" s="4" t="n">
        <v>0.25</v>
      </c>
      <c r="AC55" s="4">
        <f>AY55</f>
        <v/>
      </c>
      <c r="AD55" s="4">
        <f>IFERROR(AC55*AN55,"-")</f>
        <v/>
      </c>
      <c r="AE55" s="59">
        <f>IFERROR(1-X55/AD55,"-")</f>
        <v/>
      </c>
      <c r="AF55" s="7" t="n">
        <v>7197</v>
      </c>
      <c r="AG55" s="59">
        <f>1-X55/AF55</f>
        <v/>
      </c>
      <c r="AH55" s="4">
        <f>AF55-X55</f>
        <v/>
      </c>
      <c r="AI55" s="28" t="n"/>
      <c r="AJ55" s="59" t="n"/>
      <c r="AK55" s="59" t="n"/>
      <c r="AL55" s="59">
        <f>IFERROR(V55/N55,"-")</f>
        <v/>
      </c>
      <c r="AM55" s="59">
        <f>IFERROR(AF55/O55,"-")</f>
        <v/>
      </c>
      <c r="AN55" s="59">
        <f>IFERROR(X55/P55,"-")</f>
        <v/>
      </c>
      <c r="AO55" s="59">
        <f>IFERROR(1-X55/AP55,"-")</f>
        <v/>
      </c>
      <c r="AP55" s="4">
        <f>IFERROR(ROUND($AF55*R55/$O55,0),"-")</f>
        <v/>
      </c>
      <c r="AQ55" s="4">
        <f>IF(S55="","-",S55)</f>
        <v/>
      </c>
      <c r="AR55" s="4">
        <f>IF(T55="","-",T55)</f>
        <v/>
      </c>
      <c r="AS55" s="4" t="n">
        <v>0</v>
      </c>
      <c r="AT55" s="4" t="inlineStr">
        <is>
          <t>-</t>
        </is>
      </c>
      <c r="AU55" s="4" t="n"/>
      <c r="AV55" s="4" t="n"/>
      <c r="AW55" s="4" t="inlineStr">
        <is>
          <t>-</t>
        </is>
      </c>
      <c r="AX55" s="4" t="inlineStr">
        <is>
          <t>-</t>
        </is>
      </c>
      <c r="AY55" s="4">
        <f>IF(AU55="",AX55,AU55/AV55*AX55)</f>
        <v/>
      </c>
      <c r="AZ55" s="19" t="n">
        <v>4</v>
      </c>
      <c r="BA55" s="19" t="n">
        <v>8</v>
      </c>
      <c r="BB55" s="16" t="n">
        <v>635</v>
      </c>
      <c r="BC55" s="0" t="inlineStr">
        <is>
          <t>-</t>
        </is>
      </c>
      <c r="BD55" s="0">
        <f>IFERROR(BC55*AN55,"-")</f>
        <v/>
      </c>
      <c r="BE55" s="0" t="n">
        <v>5560</v>
      </c>
      <c r="BF55" s="0">
        <f>IFERROR(BE55*AN55,"-")</f>
        <v/>
      </c>
      <c r="BG55" s="0" t="inlineStr">
        <is>
          <t>-</t>
        </is>
      </c>
    </row>
    <row r="56">
      <c r="A56" s="0">
        <f>TEXT(F56,"000000")</f>
        <v/>
      </c>
      <c r="B56" s="3" t="n">
        <v>119</v>
      </c>
      <c r="C56" s="3" t="n">
        <v>119</v>
      </c>
      <c r="D56" s="4" t="inlineStr">
        <is>
          <t>J592PW</t>
        </is>
      </c>
      <c r="E56" s="4">
        <f>TEXT(D56,"000000")</f>
        <v/>
      </c>
      <c r="F56" s="4" t="inlineStr">
        <is>
          <t>J592PW</t>
        </is>
      </c>
      <c r="G56" s="4">
        <f>E56&amp;J56</f>
        <v/>
      </c>
      <c r="H56" s="4" t="inlineStr">
        <is>
          <t>G)ｱｲﾘｽｵｰﾔﾏ/手提げ金庫 A5 ｸﾞﾚｰ/SBX-A5</t>
        </is>
      </c>
      <c r="I56" s="58" t="n">
        <v>4905009796922</v>
      </c>
      <c r="J56" s="58" t="n">
        <v>5</v>
      </c>
      <c r="K56" s="58" t="n"/>
      <c r="L56" s="58" t="n">
        <v>1</v>
      </c>
      <c r="M56" s="58" t="n">
        <v>1</v>
      </c>
      <c r="N56" s="4" t="n">
        <v>0</v>
      </c>
      <c r="O56" s="4" t="n">
        <v>7269</v>
      </c>
      <c r="P56" s="4" t="n">
        <v>4410</v>
      </c>
      <c r="Q56" s="59">
        <f>IFERROR(1-P56/O56,"-")</f>
        <v/>
      </c>
      <c r="R56" s="4" t="inlineStr">
        <is>
          <t>-</t>
        </is>
      </c>
      <c r="S56" s="4" t="inlineStr">
        <is>
          <t>-</t>
        </is>
      </c>
      <c r="T56" s="4" t="inlineStr">
        <is>
          <t>-</t>
        </is>
      </c>
      <c r="U56" s="4" t="n">
        <v>0</v>
      </c>
      <c r="V56" s="4">
        <f>IF(Y56="",U56,U56*Y56)</f>
        <v/>
      </c>
      <c r="W56" s="4" t="n">
        <v>4851</v>
      </c>
      <c r="X56" s="4">
        <f>IF(Y56="",W56,W56*Y56)</f>
        <v/>
      </c>
      <c r="Y56" s="4" t="n"/>
      <c r="Z56" s="21">
        <f>ROUND(O56*AN56,0)</f>
        <v/>
      </c>
      <c r="AA56" s="59">
        <f>IFERROR(1-X56/Z56,"-")</f>
        <v/>
      </c>
      <c r="AB56" s="4" t="n">
        <v>0.25</v>
      </c>
      <c r="AC56" s="4">
        <f>AY56</f>
        <v/>
      </c>
      <c r="AD56" s="4">
        <f>IFERROR(AC56*AN56,"-")</f>
        <v/>
      </c>
      <c r="AE56" s="59">
        <f>IFERROR(1-X56/AD56,"-")</f>
        <v/>
      </c>
      <c r="AF56" s="7" t="n">
        <v>5707</v>
      </c>
      <c r="AG56" s="59">
        <f>1-X56/AF56</f>
        <v/>
      </c>
      <c r="AH56" s="4">
        <f>AF56-X56</f>
        <v/>
      </c>
      <c r="AI56" s="28" t="n"/>
      <c r="AJ56" s="59" t="n"/>
      <c r="AK56" s="59" t="n"/>
      <c r="AL56" s="59">
        <f>IFERROR(V56/N56,"-")</f>
        <v/>
      </c>
      <c r="AM56" s="59">
        <f>IFERROR(AF56/O56,"-")</f>
        <v/>
      </c>
      <c r="AN56" s="59">
        <f>IFERROR(X56/P56,"-")</f>
        <v/>
      </c>
      <c r="AO56" s="59">
        <f>IFERROR(1-X56/AP56,"-")</f>
        <v/>
      </c>
      <c r="AP56" s="4">
        <f>IFERROR(ROUND($AF56*R56/$O56,0),"-")</f>
        <v/>
      </c>
      <c r="AQ56" s="4">
        <f>IF(S56="","-",S56)</f>
        <v/>
      </c>
      <c r="AR56" s="4">
        <f>IF(T56="","-",T56)</f>
        <v/>
      </c>
      <c r="AS56" s="4" t="n">
        <v>0</v>
      </c>
      <c r="AT56" s="4" t="inlineStr">
        <is>
          <t>K807103</t>
        </is>
      </c>
      <c r="AU56" s="4" t="n"/>
      <c r="AV56" s="4" t="n"/>
      <c r="AW56" s="4" t="inlineStr">
        <is>
          <t>1個</t>
        </is>
      </c>
      <c r="AX56" s="4" t="n">
        <v>5070</v>
      </c>
      <c r="AY56" s="4">
        <f>IF(AU56="",AX56,AU56/AV56*AX56)</f>
        <v/>
      </c>
      <c r="AZ56" s="19" t="n">
        <v>4</v>
      </c>
      <c r="BA56" s="19" t="n">
        <v>8</v>
      </c>
      <c r="BB56" s="16" t="n">
        <v>635</v>
      </c>
      <c r="BC56" s="0" t="inlineStr">
        <is>
          <t>-</t>
        </is>
      </c>
      <c r="BD56" s="0">
        <f>IFERROR(BC56*AN56,"-")</f>
        <v/>
      </c>
      <c r="BE56" s="0" t="n">
        <v>5560</v>
      </c>
      <c r="BF56" s="0">
        <f>IFERROR(BE56*AN56,"-")</f>
        <v/>
      </c>
      <c r="BG56" s="0" t="inlineStr">
        <is>
          <t>アイリスオーヤマ 手提げ金庫A5 グレー SBXーA5 1個（直送品）</t>
        </is>
      </c>
    </row>
    <row r="57">
      <c r="A57" s="0">
        <f>TEXT(F57,"000000")</f>
        <v/>
      </c>
      <c r="B57" s="3" t="n">
        <v>121</v>
      </c>
      <c r="C57" s="3" t="n">
        <v>121</v>
      </c>
      <c r="D57" s="4" t="inlineStr">
        <is>
          <t>J593PW</t>
        </is>
      </c>
      <c r="E57" s="4">
        <f>TEXT(D57,"000000")</f>
        <v/>
      </c>
      <c r="F57" s="4" t="inlineStr">
        <is>
          <t>J593PW</t>
        </is>
      </c>
      <c r="G57" s="4">
        <f>E57&amp;J57</f>
        <v/>
      </c>
      <c r="H57" s="4" t="inlineStr">
        <is>
          <t>G)ｱｲﾘｽｵｰﾔﾏ/手提げ金庫 B5 ﾌﾞﾙｰ/SBX-B5</t>
        </is>
      </c>
      <c r="I57" s="58" t="n">
        <v>4905009796939</v>
      </c>
      <c r="J57" s="58" t="n">
        <v>5</v>
      </c>
      <c r="K57" s="58" t="n"/>
      <c r="L57" s="58" t="n">
        <v>1</v>
      </c>
      <c r="M57" s="58" t="n">
        <v>1</v>
      </c>
      <c r="N57" s="4" t="n">
        <v>0</v>
      </c>
      <c r="O57" s="4" t="n">
        <v>8527</v>
      </c>
      <c r="P57" s="4" t="n">
        <v>5610</v>
      </c>
      <c r="Q57" s="59">
        <f>IFERROR(1-P57/O57,"-")</f>
        <v/>
      </c>
      <c r="R57" s="4" t="inlineStr">
        <is>
          <t>-</t>
        </is>
      </c>
      <c r="S57" s="4" t="inlineStr">
        <is>
          <t>-</t>
        </is>
      </c>
      <c r="T57" s="4" t="inlineStr">
        <is>
          <t>-</t>
        </is>
      </c>
      <c r="U57" s="4" t="n">
        <v>0</v>
      </c>
      <c r="V57" s="4">
        <f>IF(Y57="",U57,U57*Y57)</f>
        <v/>
      </c>
      <c r="W57" s="4" t="n">
        <v>6171</v>
      </c>
      <c r="X57" s="4">
        <f>IF(Y57="",W57,W57*Y57)</f>
        <v/>
      </c>
      <c r="Y57" s="4" t="n"/>
      <c r="Z57" s="21">
        <f>ROUND(O57*AN57,0)</f>
        <v/>
      </c>
      <c r="AA57" s="59">
        <f>IFERROR(1-X57/Z57,"-")</f>
        <v/>
      </c>
      <c r="AB57" s="4" t="n">
        <v>0.25</v>
      </c>
      <c r="AC57" s="4">
        <f>AY57</f>
        <v/>
      </c>
      <c r="AD57" s="4">
        <f>IFERROR(AC57*AN57,"-")</f>
        <v/>
      </c>
      <c r="AE57" s="59">
        <f>IFERROR(1-X57/AD57,"-")</f>
        <v/>
      </c>
      <c r="AF57" s="7" t="n">
        <v>8527</v>
      </c>
      <c r="AG57" s="59">
        <f>1-X57/AF57</f>
        <v/>
      </c>
      <c r="AH57" s="4">
        <f>AF57-X57</f>
        <v/>
      </c>
      <c r="AI57" s="28" t="n"/>
      <c r="AJ57" s="59" t="n"/>
      <c r="AK57" s="59" t="n"/>
      <c r="AL57" s="59">
        <f>IFERROR(V57/N57,"-")</f>
        <v/>
      </c>
      <c r="AM57" s="59">
        <f>IFERROR(AF57/O57,"-")</f>
        <v/>
      </c>
      <c r="AN57" s="59">
        <f>IFERROR(X57/P57,"-")</f>
        <v/>
      </c>
      <c r="AO57" s="59">
        <f>IFERROR(1-X57/AP57,"-")</f>
        <v/>
      </c>
      <c r="AP57" s="4">
        <f>IFERROR(ROUND($AF57*R57/$O57,0),"-")</f>
        <v/>
      </c>
      <c r="AQ57" s="4">
        <f>IF(S57="","-",S57)</f>
        <v/>
      </c>
      <c r="AR57" s="4">
        <f>IF(T57="","-",T57)</f>
        <v/>
      </c>
      <c r="AS57" s="4" t="n">
        <v>0</v>
      </c>
      <c r="AT57" s="4" t="inlineStr">
        <is>
          <t>-</t>
        </is>
      </c>
      <c r="AU57" s="4" t="n"/>
      <c r="AV57" s="4" t="n"/>
      <c r="AW57" s="4" t="inlineStr">
        <is>
          <t>-</t>
        </is>
      </c>
      <c r="AX57" s="4" t="inlineStr">
        <is>
          <t>-</t>
        </is>
      </c>
      <c r="AY57" s="4">
        <f>IF(AU57="",AX57,AU57/AV57*AX57)</f>
        <v/>
      </c>
      <c r="AZ57" s="19" t="n">
        <v>4</v>
      </c>
      <c r="BA57" s="19" t="n">
        <v>8</v>
      </c>
      <c r="BB57" s="16" t="n">
        <v>635</v>
      </c>
      <c r="BC57" s="0" t="inlineStr">
        <is>
          <t>-</t>
        </is>
      </c>
      <c r="BD57" s="0">
        <f>IFERROR(BC57*AN57,"-")</f>
        <v/>
      </c>
      <c r="BE57" s="0" t="n">
        <v>8560</v>
      </c>
      <c r="BF57" s="0">
        <f>IFERROR(BE57*AN57,"-")</f>
        <v/>
      </c>
      <c r="BG57" s="0" t="inlineStr">
        <is>
          <t>-</t>
        </is>
      </c>
    </row>
    <row r="58">
      <c r="A58" s="0">
        <f>TEXT(F58,"000000")</f>
        <v/>
      </c>
      <c r="B58" s="3" t="n">
        <v>132</v>
      </c>
      <c r="C58" s="3" t="n">
        <v>132</v>
      </c>
      <c r="D58" s="4" t="inlineStr">
        <is>
          <t>J594PW</t>
        </is>
      </c>
      <c r="E58" s="4">
        <f>TEXT(D58,"000000")</f>
        <v/>
      </c>
      <c r="F58" s="4" t="inlineStr">
        <is>
          <t>J594PW</t>
        </is>
      </c>
      <c r="G58" s="4">
        <f>E58&amp;J58</f>
        <v/>
      </c>
      <c r="H58" s="4" t="inlineStr">
        <is>
          <t>G)ｱｲﾘｽｵｰﾔﾏ/手提げ金庫 B5 ｸﾞﾚｰ/SBX-B5</t>
        </is>
      </c>
      <c r="I58" s="58" t="n">
        <v>4905009796946</v>
      </c>
      <c r="J58" s="58" t="n">
        <v>5</v>
      </c>
      <c r="K58" s="58" t="n"/>
      <c r="L58" s="58" t="n">
        <v>1</v>
      </c>
      <c r="M58" s="58" t="n">
        <v>1</v>
      </c>
      <c r="N58" s="4" t="n">
        <v>0</v>
      </c>
      <c r="O58" s="4" t="n">
        <v>8697</v>
      </c>
      <c r="P58" s="4" t="n">
        <v>5610</v>
      </c>
      <c r="Q58" s="59">
        <f>IFERROR(1-P58/O58,"-")</f>
        <v/>
      </c>
      <c r="R58" s="4" t="inlineStr">
        <is>
          <t>-</t>
        </is>
      </c>
      <c r="S58" s="4" t="inlineStr">
        <is>
          <t>-</t>
        </is>
      </c>
      <c r="T58" s="4" t="inlineStr">
        <is>
          <t>-</t>
        </is>
      </c>
      <c r="U58" s="4" t="n">
        <v>0</v>
      </c>
      <c r="V58" s="4">
        <f>IF(Y58="",U58,U58*Y58)</f>
        <v/>
      </c>
      <c r="W58" s="4" t="n">
        <v>6172</v>
      </c>
      <c r="X58" s="4">
        <f>IF(Y58="",W58,W58*Y58)</f>
        <v/>
      </c>
      <c r="Y58" s="4" t="n"/>
      <c r="Z58" s="21">
        <f>ROUND(O58*AN58,0)</f>
        <v/>
      </c>
      <c r="AA58" s="59">
        <f>IFERROR(1-X58/Z58,"-")</f>
        <v/>
      </c>
      <c r="AB58" s="4" t="n">
        <v>0.25</v>
      </c>
      <c r="AC58" s="4">
        <f>AY58</f>
        <v/>
      </c>
      <c r="AD58" s="4">
        <f>IFERROR(AC58*AN58,"-")</f>
        <v/>
      </c>
      <c r="AE58" s="59">
        <f>IFERROR(1-X58/AD58,"-")</f>
        <v/>
      </c>
      <c r="AF58" s="7" t="n">
        <v>8697</v>
      </c>
      <c r="AG58" s="59">
        <f>1-X58/AF58</f>
        <v/>
      </c>
      <c r="AH58" s="4">
        <f>AF58-X58</f>
        <v/>
      </c>
      <c r="AI58" s="28" t="n"/>
      <c r="AJ58" s="59" t="n"/>
      <c r="AK58" s="59" t="n"/>
      <c r="AL58" s="59">
        <f>IFERROR(V58/N58,"-")</f>
        <v/>
      </c>
      <c r="AM58" s="59">
        <f>IFERROR(AF58/O58,"-")</f>
        <v/>
      </c>
      <c r="AN58" s="59">
        <f>IFERROR(X58/P58,"-")</f>
        <v/>
      </c>
      <c r="AO58" s="59">
        <f>IFERROR(1-X58/AP58,"-")</f>
        <v/>
      </c>
      <c r="AP58" s="4">
        <f>IFERROR(ROUND($AF58*R58/$O58,0),"-")</f>
        <v/>
      </c>
      <c r="AQ58" s="4">
        <f>IF(S58="","-",S58)</f>
        <v/>
      </c>
      <c r="AR58" s="4">
        <f>IF(T58="","-",T58)</f>
        <v/>
      </c>
      <c r="AS58" s="4" t="n">
        <v>0</v>
      </c>
      <c r="AT58" s="4" t="inlineStr">
        <is>
          <t>-</t>
        </is>
      </c>
      <c r="AU58" s="4" t="n"/>
      <c r="AV58" s="4" t="n"/>
      <c r="AW58" s="4" t="inlineStr">
        <is>
          <t>-</t>
        </is>
      </c>
      <c r="AX58" s="4" t="inlineStr">
        <is>
          <t>-</t>
        </is>
      </c>
      <c r="AY58" s="4">
        <f>IF(AU58="",AX58,AU58/AV58*AX58)</f>
        <v/>
      </c>
      <c r="AZ58" s="19" t="n">
        <v>4</v>
      </c>
      <c r="BA58" s="19" t="n">
        <v>1</v>
      </c>
      <c r="BB58" s="16" t="n">
        <v>635</v>
      </c>
      <c r="BC58" s="0" t="inlineStr">
        <is>
          <t>-</t>
        </is>
      </c>
      <c r="BD58" s="0">
        <f>IFERROR(BC58*AN58,"-")</f>
        <v/>
      </c>
      <c r="BE58" s="0" t="n">
        <v>8482</v>
      </c>
      <c r="BF58" s="0">
        <f>IFERROR(BE58*AN58,"-")</f>
        <v/>
      </c>
      <c r="BG58" s="0" t="inlineStr">
        <is>
          <t>-</t>
        </is>
      </c>
    </row>
    <row r="59">
      <c r="A59" s="0">
        <f>TEXT(F59,"000000")</f>
        <v/>
      </c>
      <c r="B59" s="3" t="n">
        <v>128</v>
      </c>
      <c r="C59" s="3" t="n">
        <v>128</v>
      </c>
      <c r="D59" s="4" t="n">
        <v>920866</v>
      </c>
      <c r="E59" s="4">
        <f>TEXT(D59,"000000")</f>
        <v/>
      </c>
      <c r="F59" s="4" t="n">
        <v>920866</v>
      </c>
      <c r="G59" s="4">
        <f>E59&amp;J59</f>
        <v/>
      </c>
      <c r="H59" s="4" t="inlineStr">
        <is>
          <t>G)ｱｲﾘｽｵｰﾔﾏ/ﾌﾞｻﾞｰ付き手提げ金庫 A4 ﾌﾞﾙｰ/SBX-A4</t>
        </is>
      </c>
      <c r="I59" s="58" t="n">
        <v>4905009796960</v>
      </c>
      <c r="J59" s="58" t="n">
        <v>5</v>
      </c>
      <c r="K59" s="58" t="n"/>
      <c r="L59" s="58" t="n">
        <v>1</v>
      </c>
      <c r="M59" s="58" t="n">
        <v>1</v>
      </c>
      <c r="N59" s="4" t="n">
        <v>0</v>
      </c>
      <c r="O59" s="4" t="n">
        <v>10980</v>
      </c>
      <c r="P59" s="4" t="n">
        <v>7600</v>
      </c>
      <c r="Q59" s="59">
        <f>IFERROR(1-P59/O59,"-")</f>
        <v/>
      </c>
      <c r="R59" s="4" t="inlineStr">
        <is>
          <t>-</t>
        </is>
      </c>
      <c r="S59" s="4" t="inlineStr">
        <is>
          <t>-</t>
        </is>
      </c>
      <c r="T59" s="4" t="inlineStr">
        <is>
          <t>-</t>
        </is>
      </c>
      <c r="U59" s="4" t="n">
        <v>0</v>
      </c>
      <c r="V59" s="4">
        <f>IF(Y59="",U59,U59*Y59)</f>
        <v/>
      </c>
      <c r="W59" s="4" t="n">
        <v>8361</v>
      </c>
      <c r="X59" s="4">
        <f>IF(Y59="",W59,W59*Y59)</f>
        <v/>
      </c>
      <c r="Y59" s="4" t="n"/>
      <c r="Z59" s="21">
        <f>ROUND(O59*AN59,0)</f>
        <v/>
      </c>
      <c r="AA59" s="59">
        <f>IFERROR(1-X59/Z59,"-")</f>
        <v/>
      </c>
      <c r="AB59" s="4" t="n">
        <v>0.5</v>
      </c>
      <c r="AC59" s="4">
        <f>AY59</f>
        <v/>
      </c>
      <c r="AD59" s="4">
        <f>IFERROR(AC59*AN59,"-")</f>
        <v/>
      </c>
      <c r="AE59" s="59">
        <f>IFERROR(1-X59/AD59,"-")</f>
        <v/>
      </c>
      <c r="AF59" s="7" t="n">
        <v>10980</v>
      </c>
      <c r="AG59" s="59">
        <f>1-X59/AF59</f>
        <v/>
      </c>
      <c r="AH59" s="4">
        <f>AF59-X59</f>
        <v/>
      </c>
      <c r="AI59" s="28" t="n"/>
      <c r="AJ59" s="59" t="n"/>
      <c r="AK59" s="59" t="n"/>
      <c r="AL59" s="59">
        <f>IFERROR(V59/N59,"-")</f>
        <v/>
      </c>
      <c r="AM59" s="59">
        <f>IFERROR(AF59/O59,"-")</f>
        <v/>
      </c>
      <c r="AN59" s="59">
        <f>IFERROR(X59/P59,"-")</f>
        <v/>
      </c>
      <c r="AO59" s="59">
        <f>IFERROR(1-X59/AP59,"-")</f>
        <v/>
      </c>
      <c r="AP59" s="4">
        <f>IFERROR(ROUND($AF59*R59/$O59,0),"-")</f>
        <v/>
      </c>
      <c r="AQ59" s="4">
        <f>IF(S59="","-",S59)</f>
        <v/>
      </c>
      <c r="AR59" s="4">
        <f>IF(T59="","-",T59)</f>
        <v/>
      </c>
      <c r="AS59" s="4" t="inlineStr">
        <is>
          <t>34/565</t>
        </is>
      </c>
      <c r="AT59" s="4" t="inlineStr">
        <is>
          <t>-</t>
        </is>
      </c>
      <c r="AU59" s="4" t="n"/>
      <c r="AV59" s="4" t="n"/>
      <c r="AW59" s="4" t="inlineStr">
        <is>
          <t>-</t>
        </is>
      </c>
      <c r="AX59" s="4" t="inlineStr">
        <is>
          <t>-</t>
        </is>
      </c>
      <c r="AY59" s="4">
        <f>IF(AU59="",AX59,AU59/AV59*AX59)</f>
        <v/>
      </c>
      <c r="AZ59" s="19" t="n">
        <v>4</v>
      </c>
      <c r="BA59" s="19" t="n">
        <v>1</v>
      </c>
      <c r="BB59" s="16" t="n">
        <v>635</v>
      </c>
      <c r="BC59" s="0" t="inlineStr">
        <is>
          <t>-</t>
        </is>
      </c>
      <c r="BD59" s="0">
        <f>IFERROR(BC59*AN59,"-")</f>
        <v/>
      </c>
      <c r="BE59" s="0" t="n">
        <v>12227</v>
      </c>
      <c r="BF59" s="0">
        <f>IFERROR(BE59*AN59,"-")</f>
        <v/>
      </c>
      <c r="BG59" s="0" t="inlineStr">
        <is>
          <t>-</t>
        </is>
      </c>
    </row>
    <row r="60">
      <c r="A60" s="0">
        <f>TEXT(F60,"000000")</f>
        <v/>
      </c>
      <c r="B60" s="3" t="n">
        <v>129</v>
      </c>
      <c r="C60" s="3" t="n">
        <v>129</v>
      </c>
      <c r="D60" s="4" t="n">
        <v>920867</v>
      </c>
      <c r="E60" s="4">
        <f>TEXT(D60,"000000")</f>
        <v/>
      </c>
      <c r="F60" s="4" t="n">
        <v>920867</v>
      </c>
      <c r="G60" s="4">
        <f>E60&amp;J60</f>
        <v/>
      </c>
      <c r="H60" s="4" t="inlineStr">
        <is>
          <t>G)ｱｲﾘｽｵｰﾔﾏ/ﾌﾞｻﾞｰ付き手提げ金庫 A4 ｸﾞﾚｰ/SBX-A4</t>
        </is>
      </c>
      <c r="I60" s="58" t="n">
        <v>4905009796977</v>
      </c>
      <c r="J60" s="58" t="n">
        <v>5</v>
      </c>
      <c r="K60" s="58" t="n"/>
      <c r="L60" s="58" t="n">
        <v>1</v>
      </c>
      <c r="M60" s="58" t="n">
        <v>1</v>
      </c>
      <c r="N60" s="4" t="n">
        <v>0</v>
      </c>
      <c r="O60" s="4" t="n">
        <v>10980</v>
      </c>
      <c r="P60" s="4" t="n">
        <v>7600</v>
      </c>
      <c r="Q60" s="59">
        <f>IFERROR(1-P60/O60,"-")</f>
        <v/>
      </c>
      <c r="R60" s="4" t="inlineStr">
        <is>
          <t>-</t>
        </is>
      </c>
      <c r="S60" s="4" t="inlineStr">
        <is>
          <t>-</t>
        </is>
      </c>
      <c r="T60" s="4" t="inlineStr">
        <is>
          <t>-</t>
        </is>
      </c>
      <c r="U60" s="4" t="n">
        <v>0</v>
      </c>
      <c r="V60" s="4">
        <f>IF(Y60="",U60,U60*Y60)</f>
        <v/>
      </c>
      <c r="W60" s="4" t="n">
        <v>8361</v>
      </c>
      <c r="X60" s="4">
        <f>IF(Y60="",W60,W60*Y60)</f>
        <v/>
      </c>
      <c r="Y60" s="4" t="n"/>
      <c r="Z60" s="21">
        <f>ROUND(O60*AN60,0)</f>
        <v/>
      </c>
      <c r="AA60" s="59">
        <f>IFERROR(1-X60/Z60,"-")</f>
        <v/>
      </c>
      <c r="AB60" s="4" t="n">
        <v>0.75</v>
      </c>
      <c r="AC60" s="4">
        <f>AY60</f>
        <v/>
      </c>
      <c r="AD60" s="4">
        <f>IFERROR(AC60*AN60,"-")</f>
        <v/>
      </c>
      <c r="AE60" s="59">
        <f>IFERROR(1-X60/AD60,"-")</f>
        <v/>
      </c>
      <c r="AF60" s="7" t="n">
        <v>10980</v>
      </c>
      <c r="AG60" s="59">
        <f>1-X60/AF60</f>
        <v/>
      </c>
      <c r="AH60" s="4">
        <f>AF60-X60</f>
        <v/>
      </c>
      <c r="AI60" s="28" t="n"/>
      <c r="AJ60" s="59" t="n"/>
      <c r="AK60" s="59" t="n"/>
      <c r="AL60" s="59">
        <f>IFERROR(V60/N60,"-")</f>
        <v/>
      </c>
      <c r="AM60" s="59">
        <f>IFERROR(AF60/O60,"-")</f>
        <v/>
      </c>
      <c r="AN60" s="59">
        <f>IFERROR(X60/P60,"-")</f>
        <v/>
      </c>
      <c r="AO60" s="59">
        <f>IFERROR(1-X60/AP60,"-")</f>
        <v/>
      </c>
      <c r="AP60" s="4">
        <f>IFERROR(ROUND($AF60*R60/$O60,0),"-")</f>
        <v/>
      </c>
      <c r="AQ60" s="4">
        <f>IF(S60="","-",S60)</f>
        <v/>
      </c>
      <c r="AR60" s="4">
        <f>IF(T60="","-",T60)</f>
        <v/>
      </c>
      <c r="AS60" s="4" t="inlineStr">
        <is>
          <t>34/565</t>
        </is>
      </c>
      <c r="AT60" s="4" t="inlineStr">
        <is>
          <t>-</t>
        </is>
      </c>
      <c r="AU60" s="4" t="n"/>
      <c r="AV60" s="4" t="n"/>
      <c r="AW60" s="4" t="inlineStr">
        <is>
          <t>-</t>
        </is>
      </c>
      <c r="AX60" s="4" t="inlineStr">
        <is>
          <t>-</t>
        </is>
      </c>
      <c r="AY60" s="4">
        <f>IF(AU60="",AX60,AU60/AV60*AX60)</f>
        <v/>
      </c>
      <c r="AZ60" s="19" t="n">
        <v>4</v>
      </c>
      <c r="BA60" s="19" t="n">
        <v>1</v>
      </c>
      <c r="BB60" s="16" t="n">
        <v>635</v>
      </c>
      <c r="BC60" s="0" t="inlineStr">
        <is>
          <t>-</t>
        </is>
      </c>
      <c r="BD60" s="0">
        <f>IFERROR(BC60*AN60,"-")</f>
        <v/>
      </c>
      <c r="BE60" s="0" t="n">
        <v>12227</v>
      </c>
      <c r="BF60" s="0">
        <f>IFERROR(BE60*AN60,"-")</f>
        <v/>
      </c>
      <c r="BG60" s="0" t="inlineStr">
        <is>
          <t>-</t>
        </is>
      </c>
    </row>
    <row r="61">
      <c r="A61" s="0">
        <f>TEXT(F61,"000000")</f>
        <v/>
      </c>
      <c r="B61" s="3" t="n">
        <v>125</v>
      </c>
      <c r="C61" s="3" t="n">
        <v>125</v>
      </c>
      <c r="D61" s="4" t="inlineStr">
        <is>
          <t>J595PW</t>
        </is>
      </c>
      <c r="E61" s="4">
        <f>TEXT(D61,"000000")</f>
        <v/>
      </c>
      <c r="F61" s="4" t="inlineStr">
        <is>
          <t>J595PW</t>
        </is>
      </c>
      <c r="G61" s="4">
        <f>E61&amp;J61</f>
        <v/>
      </c>
      <c r="H61" s="4" t="inlineStr">
        <is>
          <t>G)ｱｲﾘｽｵｰﾔﾏ/ﾃﾝｷｰ式手提げ金庫 B5 ﾀﾞｰｸﾌﾞﾙｰ/SBX-B5T</t>
        </is>
      </c>
      <c r="I61" s="58" t="n">
        <v>4905009796953</v>
      </c>
      <c r="J61" s="58" t="n">
        <v>5</v>
      </c>
      <c r="K61" s="58" t="n"/>
      <c r="L61" s="58" t="n">
        <v>1</v>
      </c>
      <c r="M61" s="58" t="n">
        <v>1</v>
      </c>
      <c r="N61" s="4" t="n">
        <v>0</v>
      </c>
      <c r="O61" s="4" t="n">
        <v>14607</v>
      </c>
      <c r="P61" s="4" t="n">
        <v>9610</v>
      </c>
      <c r="Q61" s="59">
        <f>IFERROR(1-P61/O61,"-")</f>
        <v/>
      </c>
      <c r="R61" s="4" t="inlineStr">
        <is>
          <t>-</t>
        </is>
      </c>
      <c r="S61" s="4" t="inlineStr">
        <is>
          <t>-</t>
        </is>
      </c>
      <c r="T61" s="4" t="inlineStr">
        <is>
          <t>-</t>
        </is>
      </c>
      <c r="U61" s="4" t="n">
        <v>0</v>
      </c>
      <c r="V61" s="4">
        <f>IF(Y61="",U61,U61*Y61)</f>
        <v/>
      </c>
      <c r="W61" s="4" t="n">
        <v>10572</v>
      </c>
      <c r="X61" s="4">
        <f>IF(Y61="",W61,W61*Y61)</f>
        <v/>
      </c>
      <c r="Y61" s="4" t="n"/>
      <c r="Z61" s="21">
        <f>ROUND(O61*AN61,0)</f>
        <v/>
      </c>
      <c r="AA61" s="59">
        <f>IFERROR(1-X61/Z61,"-")</f>
        <v/>
      </c>
      <c r="AB61" s="4" t="n">
        <v>0.25</v>
      </c>
      <c r="AC61" s="4">
        <f>AY61</f>
        <v/>
      </c>
      <c r="AD61" s="4">
        <f>IFERROR(AC61*AN61,"-")</f>
        <v/>
      </c>
      <c r="AE61" s="59">
        <f>IFERROR(1-X61/AD61,"-")</f>
        <v/>
      </c>
      <c r="AF61" s="7" t="n">
        <v>14607</v>
      </c>
      <c r="AG61" s="59">
        <f>1-X61/AF61</f>
        <v/>
      </c>
      <c r="AH61" s="4">
        <f>AF61-X61</f>
        <v/>
      </c>
      <c r="AI61" s="28" t="n"/>
      <c r="AJ61" s="59" t="n"/>
      <c r="AK61" s="59" t="n"/>
      <c r="AL61" s="59">
        <f>IFERROR(V61/N61,"-")</f>
        <v/>
      </c>
      <c r="AM61" s="59">
        <f>IFERROR(AF61/O61,"-")</f>
        <v/>
      </c>
      <c r="AN61" s="59">
        <f>IFERROR(X61/P61,"-")</f>
        <v/>
      </c>
      <c r="AO61" s="59">
        <f>IFERROR(1-X61/AP61,"-")</f>
        <v/>
      </c>
      <c r="AP61" s="4">
        <f>IFERROR(ROUND($AF61*R61/$O61,0),"-")</f>
        <v/>
      </c>
      <c r="AQ61" s="4">
        <f>IF(S61="","-",S61)</f>
        <v/>
      </c>
      <c r="AR61" s="4">
        <f>IF(T61="","-",T61)</f>
        <v/>
      </c>
      <c r="AS61" s="4" t="n">
        <v>0</v>
      </c>
      <c r="AT61" s="4" t="inlineStr">
        <is>
          <t>-</t>
        </is>
      </c>
      <c r="AU61" s="4" t="n"/>
      <c r="AV61" s="4" t="n"/>
      <c r="AW61" s="4" t="inlineStr">
        <is>
          <t>-</t>
        </is>
      </c>
      <c r="AX61" s="4" t="inlineStr">
        <is>
          <t>-</t>
        </is>
      </c>
      <c r="AY61" s="4">
        <f>IF(AU61="",AX61,AU61/AV61*AX61)</f>
        <v/>
      </c>
      <c r="AZ61" s="19" t="n">
        <v>4</v>
      </c>
      <c r="BA61" s="19" t="n">
        <v>8</v>
      </c>
      <c r="BB61" s="16" t="n">
        <v>635</v>
      </c>
      <c r="BC61" s="0" t="inlineStr">
        <is>
          <t>-</t>
        </is>
      </c>
      <c r="BD61" s="0">
        <f>IFERROR(BC61*AN61,"-")</f>
        <v/>
      </c>
      <c r="BE61" s="0" t="n">
        <v>17959</v>
      </c>
      <c r="BF61" s="0">
        <f>IFERROR(BE61*AN61,"-")</f>
        <v/>
      </c>
      <c r="BG61" s="0" t="inlineStr">
        <is>
          <t>-</t>
        </is>
      </c>
    </row>
    <row r="62">
      <c r="A62" s="0">
        <f>TEXT(F62,"000000")</f>
        <v/>
      </c>
      <c r="B62" s="3" t="n">
        <v>38</v>
      </c>
      <c r="C62" s="3" t="n">
        <v>38</v>
      </c>
      <c r="D62" s="4" t="inlineStr">
        <is>
          <t>J20303</t>
        </is>
      </c>
      <c r="E62" s="4">
        <f>TEXT(D62,"000000")</f>
        <v/>
      </c>
      <c r="F62" s="4" t="inlineStr">
        <is>
          <t>J20303</t>
        </is>
      </c>
      <c r="G62" s="4">
        <f>E62&amp;J62</f>
        <v/>
      </c>
      <c r="H62" s="4" t="inlineStr">
        <is>
          <t>ｱｲﾘｽｵｰﾔﾏ/ﾗﾐﾈｰﾄﾌｨﾙﾑ 名刺ｻｲｽﾞ 150μ(ﾐｸﾛﾝ) 20枚入/LZ-</t>
        </is>
      </c>
      <c r="I62" s="58" t="n">
        <v>4905009428687</v>
      </c>
      <c r="J62" s="58" t="n">
        <v>5</v>
      </c>
      <c r="K62" s="58" t="n"/>
      <c r="L62" s="58" t="n">
        <v>1</v>
      </c>
      <c r="M62" s="58" t="n">
        <v>1</v>
      </c>
      <c r="N62" s="4" t="n">
        <v>0</v>
      </c>
      <c r="O62" s="4" t="n">
        <v>173</v>
      </c>
      <c r="P62" s="4" t="n">
        <v>100</v>
      </c>
      <c r="Q62" s="59">
        <f>IFERROR(1-P62/O62,"-")</f>
        <v/>
      </c>
      <c r="R62" s="4" t="n">
        <v>160</v>
      </c>
      <c r="S62" s="4" t="n">
        <v>4</v>
      </c>
      <c r="T62" s="4" t="n">
        <v>99999</v>
      </c>
      <c r="U62" s="4" t="n">
        <v>0</v>
      </c>
      <c r="V62" s="4">
        <f>IF(Y62="",U62,U62*Y62)</f>
        <v/>
      </c>
      <c r="W62" s="4" t="n">
        <v>120</v>
      </c>
      <c r="X62" s="4">
        <f>IF(Y62="",W62,W62*Y62)</f>
        <v/>
      </c>
      <c r="Y62" s="4" t="n"/>
      <c r="Z62" s="21">
        <f>ROUND(O62*AN62,0)</f>
        <v/>
      </c>
      <c r="AA62" s="59">
        <f>IFERROR(1-X62/Z62,"-")</f>
        <v/>
      </c>
      <c r="AB62" s="4" t="n">
        <v>0.5</v>
      </c>
      <c r="AC62" s="4">
        <f>AY62</f>
        <v/>
      </c>
      <c r="AD62" s="4">
        <f>IFERROR(AC62*AN62,"-")</f>
        <v/>
      </c>
      <c r="AE62" s="59">
        <f>IFERROR(1-X62/AD62,"-")</f>
        <v/>
      </c>
      <c r="AF62" s="7" t="n">
        <v>160</v>
      </c>
      <c r="AG62" s="59">
        <f>1-X62/AF62</f>
        <v/>
      </c>
      <c r="AH62" s="4">
        <f>AF62-X62</f>
        <v/>
      </c>
      <c r="AI62" s="28" t="n"/>
      <c r="AJ62" s="59" t="n"/>
      <c r="AK62" s="59" t="n"/>
      <c r="AL62" s="60">
        <f>IFERROR(V62/N62,"-")</f>
        <v/>
      </c>
      <c r="AM62" s="59">
        <f>IFERROR(AF62/O62,"-")</f>
        <v/>
      </c>
      <c r="AN62" s="59">
        <f>IFERROR(X62/P62,"-")</f>
        <v/>
      </c>
      <c r="AO62" s="59">
        <f>IFERROR(1-X62/AP62,"-")</f>
        <v/>
      </c>
      <c r="AP62" s="4">
        <f>IFERROR(ROUND($AF62*R62/$O62,0),"-")</f>
        <v/>
      </c>
      <c r="AQ62" s="4">
        <f>IF(S62="","-",S62)</f>
        <v/>
      </c>
      <c r="AR62" s="4">
        <f>IF(T62="","-",T62)</f>
        <v/>
      </c>
      <c r="AS62" s="4" t="n">
        <v>0</v>
      </c>
      <c r="AT62" s="4" t="inlineStr">
        <is>
          <t>P099550</t>
        </is>
      </c>
      <c r="AU62" s="4" t="n">
        <v>1</v>
      </c>
      <c r="AV62" s="4" t="n">
        <v>8</v>
      </c>
      <c r="AW62" s="4" t="inlineStr">
        <is>
          <t>1セット(160枚:20枚×8袋)</t>
        </is>
      </c>
      <c r="AX62" s="4" t="n">
        <v>1295</v>
      </c>
      <c r="AY62" s="4">
        <f>IF(AU62="",AX62,AU62/AV62*AX62)</f>
        <v/>
      </c>
      <c r="AZ62" s="19" t="n">
        <v>4</v>
      </c>
      <c r="BA62" s="19" t="n">
        <v>8</v>
      </c>
      <c r="BB62" s="16" t="n">
        <v>1120</v>
      </c>
      <c r="BC62" s="0" t="inlineStr">
        <is>
          <t>-</t>
        </is>
      </c>
      <c r="BD62" s="0">
        <f>IFERROR(BC62*AN62,"-")</f>
        <v/>
      </c>
      <c r="BE62" s="0" t="n">
        <v>154</v>
      </c>
      <c r="BF62" s="0">
        <f>IFERROR(BE62*AN62,"-")</f>
        <v/>
      </c>
      <c r="BG62" s="0" t="inlineStr">
        <is>
          <t>アイリスオーヤマ ラミネートフィルム150ミクロン(名刺サイズ) LZー15NC20 20枚 1セット(160枚:20枚×8袋)（直送品）</t>
        </is>
      </c>
    </row>
    <row r="63">
      <c r="A63" s="0">
        <f>TEXT(F63,"000000")</f>
        <v/>
      </c>
      <c r="B63" s="3" t="n">
        <v>41</v>
      </c>
      <c r="C63" s="3" t="n">
        <v>41</v>
      </c>
      <c r="D63" s="4" t="inlineStr">
        <is>
          <t>J20281</t>
        </is>
      </c>
      <c r="E63" s="4">
        <f>TEXT(D63,"000000")</f>
        <v/>
      </c>
      <c r="F63" s="4" t="inlineStr">
        <is>
          <t>J20281</t>
        </is>
      </c>
      <c r="G63" s="4">
        <f>E63&amp;J63</f>
        <v/>
      </c>
      <c r="H63" s="4" t="inlineStr">
        <is>
          <t>ｱｲﾘｽｵｰﾔﾏ/ﾗﾐﾈｰﾄﾌｨﾙﾑ 名刺ｻｲｽﾞ 100μ(ﾐｸﾛﾝ) 20枚入/LZ-</t>
        </is>
      </c>
      <c r="I63" s="58" t="n">
        <v>4905009428465</v>
      </c>
      <c r="J63" s="58" t="n">
        <v>5</v>
      </c>
      <c r="K63" s="58" t="n"/>
      <c r="L63" s="58" t="n">
        <v>1</v>
      </c>
      <c r="M63" s="58" t="n">
        <v>1</v>
      </c>
      <c r="N63" s="4" t="n">
        <v>0</v>
      </c>
      <c r="O63" s="4" t="n">
        <v>135</v>
      </c>
      <c r="P63" s="4" t="n">
        <v>100</v>
      </c>
      <c r="Q63" s="59">
        <f>IFERROR(1-P63/O63,"-")</f>
        <v/>
      </c>
      <c r="R63" s="4" t="inlineStr">
        <is>
          <t>-</t>
        </is>
      </c>
      <c r="S63" s="4" t="inlineStr">
        <is>
          <t>-</t>
        </is>
      </c>
      <c r="T63" s="4" t="inlineStr">
        <is>
          <t>-</t>
        </is>
      </c>
      <c r="U63" s="4" t="n">
        <v>0</v>
      </c>
      <c r="V63" s="4">
        <f>IF(Y63="",U63,U63*Y63)</f>
        <v/>
      </c>
      <c r="W63" s="4" t="n">
        <v>120</v>
      </c>
      <c r="X63" s="4">
        <f>IF(Y63="",W63,W63*Y63)</f>
        <v/>
      </c>
      <c r="Y63" s="4" t="n"/>
      <c r="Z63" s="21">
        <f>ROUND(O63*AN63,0)</f>
        <v/>
      </c>
      <c r="AA63" s="59">
        <f>IFERROR(1-X63/Z63,"-")</f>
        <v/>
      </c>
      <c r="AB63" s="4" t="n">
        <v>1.25</v>
      </c>
      <c r="AC63" s="4">
        <f>AY63</f>
        <v/>
      </c>
      <c r="AD63" s="4">
        <f>IFERROR(AC63*AN63,"-")</f>
        <v/>
      </c>
      <c r="AE63" s="59">
        <f>IFERROR(1-X63/AD63,"-")</f>
        <v/>
      </c>
      <c r="AF63" s="7" t="n">
        <v>141</v>
      </c>
      <c r="AG63" s="59">
        <f>1-X63/AF63</f>
        <v/>
      </c>
      <c r="AH63" s="4">
        <f>AF63-X63</f>
        <v/>
      </c>
      <c r="AI63" s="28" t="n"/>
      <c r="AJ63" s="59" t="n"/>
      <c r="AK63" s="59" t="n"/>
      <c r="AL63" s="59">
        <f>IFERROR(V63/N63,"-")</f>
        <v/>
      </c>
      <c r="AM63" s="59">
        <f>IFERROR(AF63/O63,"-")</f>
        <v/>
      </c>
      <c r="AN63" s="59">
        <f>IFERROR(X63/P63,"-")</f>
        <v/>
      </c>
      <c r="AO63" s="59">
        <f>IFERROR(1-X63/AP63,"-")</f>
        <v/>
      </c>
      <c r="AP63" s="4">
        <f>IFERROR(ROUND($AF63*R63/$O63,0),"-")</f>
        <v/>
      </c>
      <c r="AQ63" s="4">
        <f>IF(S63="","-",S63)</f>
        <v/>
      </c>
      <c r="AR63" s="4">
        <f>IF(T63="","-",T63)</f>
        <v/>
      </c>
      <c r="AS63" s="4" t="n">
        <v>0</v>
      </c>
      <c r="AT63" s="4" t="inlineStr">
        <is>
          <t>-</t>
        </is>
      </c>
      <c r="AU63" s="4" t="n"/>
      <c r="AV63" s="4" t="n"/>
      <c r="AW63" s="4" t="inlineStr">
        <is>
          <t>-</t>
        </is>
      </c>
      <c r="AX63" s="4" t="inlineStr">
        <is>
          <t>-</t>
        </is>
      </c>
      <c r="AY63" s="4">
        <f>IF(AU63="",AX63,AU63/AV63*AX63)</f>
        <v/>
      </c>
      <c r="AZ63" s="19" t="n">
        <v>4</v>
      </c>
      <c r="BA63" s="19" t="n">
        <v>8</v>
      </c>
      <c r="BB63" s="16" t="n">
        <v>1120</v>
      </c>
      <c r="BC63" s="0" t="inlineStr">
        <is>
          <t>-</t>
        </is>
      </c>
      <c r="BD63" s="0">
        <f>IFERROR(BC63*AN63,"-")</f>
        <v/>
      </c>
      <c r="BE63" s="0" t="n">
        <v>296</v>
      </c>
      <c r="BF63" s="0">
        <f>IFERROR(BE63*AN63,"-")</f>
        <v/>
      </c>
      <c r="BG63" s="0" t="inlineStr">
        <is>
          <t>-</t>
        </is>
      </c>
    </row>
    <row r="64">
      <c r="A64" s="0">
        <f>TEXT(F64,"000000")</f>
        <v/>
      </c>
      <c r="B64" s="3" t="n">
        <v>42</v>
      </c>
      <c r="C64" s="3" t="n">
        <v>42</v>
      </c>
      <c r="D64" s="4" t="inlineStr">
        <is>
          <t>J20282</t>
        </is>
      </c>
      <c r="E64" s="4">
        <f>TEXT(D64,"000000")</f>
        <v/>
      </c>
      <c r="F64" s="4" t="inlineStr">
        <is>
          <t>J20282</t>
        </is>
      </c>
      <c r="G64" s="4">
        <f>E64&amp;J64</f>
        <v/>
      </c>
      <c r="H64" s="4" t="inlineStr">
        <is>
          <t>ｱｲﾘｽｵｰﾔﾏ/ﾗﾐﾈｰﾄﾌｨﾙﾑ 診察券ｻｲｽﾞ 100μ(ﾐｸﾛﾝ) 20枚入/L</t>
        </is>
      </c>
      <c r="I64" s="58" t="n">
        <v>4905009490844</v>
      </c>
      <c r="J64" s="58" t="n">
        <v>5</v>
      </c>
      <c r="K64" s="58" t="n"/>
      <c r="L64" s="58" t="n">
        <v>1</v>
      </c>
      <c r="M64" s="58" t="n">
        <v>1</v>
      </c>
      <c r="N64" s="4" t="n">
        <v>0</v>
      </c>
      <c r="O64" s="4" t="n">
        <v>140</v>
      </c>
      <c r="P64" s="4" t="n">
        <v>100</v>
      </c>
      <c r="Q64" s="59">
        <f>IFERROR(1-P64/O64,"-")</f>
        <v/>
      </c>
      <c r="R64" s="4" t="inlineStr">
        <is>
          <t>-</t>
        </is>
      </c>
      <c r="S64" s="4" t="inlineStr">
        <is>
          <t>-</t>
        </is>
      </c>
      <c r="T64" s="4" t="inlineStr">
        <is>
          <t>-</t>
        </is>
      </c>
      <c r="U64" s="4" t="n">
        <v>0</v>
      </c>
      <c r="V64" s="4">
        <f>IF(Y64="",U64,U64*Y64)</f>
        <v/>
      </c>
      <c r="W64" s="4" t="n">
        <v>120</v>
      </c>
      <c r="X64" s="4">
        <f>IF(Y64="",W64,W64*Y64)</f>
        <v/>
      </c>
      <c r="Y64" s="4" t="n"/>
      <c r="Z64" s="21">
        <f>ROUND(O64*AN64,0)</f>
        <v/>
      </c>
      <c r="AA64" s="59">
        <f>IFERROR(1-X64/Z64,"-")</f>
        <v/>
      </c>
      <c r="AB64" s="4" t="n">
        <v>0.25</v>
      </c>
      <c r="AC64" s="4">
        <f>AY64</f>
        <v/>
      </c>
      <c r="AD64" s="4">
        <f>IFERROR(AC64*AN64,"-")</f>
        <v/>
      </c>
      <c r="AE64" s="59">
        <f>IFERROR(1-X64/AD64,"-")</f>
        <v/>
      </c>
      <c r="AF64" s="7" t="n">
        <v>141</v>
      </c>
      <c r="AG64" s="59">
        <f>1-X64/AF64</f>
        <v/>
      </c>
      <c r="AH64" s="4">
        <f>AF64-X64</f>
        <v/>
      </c>
      <c r="AI64" s="28" t="n"/>
      <c r="AJ64" s="59" t="n"/>
      <c r="AK64" s="59" t="n"/>
      <c r="AL64" s="59">
        <f>IFERROR(V64/N64,"-")</f>
        <v/>
      </c>
      <c r="AM64" s="59">
        <f>IFERROR(AF64/O64,"-")</f>
        <v/>
      </c>
      <c r="AN64" s="59">
        <f>IFERROR(X64/P64,"-")</f>
        <v/>
      </c>
      <c r="AO64" s="59">
        <f>IFERROR(1-X64/AP64,"-")</f>
        <v/>
      </c>
      <c r="AP64" s="4">
        <f>IFERROR(ROUND($AF64*R64/$O64,0),"-")</f>
        <v/>
      </c>
      <c r="AQ64" s="4">
        <f>IF(S64="","-",S64)</f>
        <v/>
      </c>
      <c r="AR64" s="4">
        <f>IF(T64="","-",T64)</f>
        <v/>
      </c>
      <c r="AS64" s="4" t="n">
        <v>0</v>
      </c>
      <c r="AT64" s="4" t="inlineStr">
        <is>
          <t>A018510</t>
        </is>
      </c>
      <c r="AU64" s="4" t="n"/>
      <c r="AV64" s="4" t="n"/>
      <c r="AW64" s="4" t="inlineStr">
        <is>
          <t>1袋(20枚)</t>
        </is>
      </c>
      <c r="AX64" s="4" t="n">
        <v>133</v>
      </c>
      <c r="AY64" s="4">
        <f>IF(AU64="",AX64,AU64/AV64*AX64)</f>
        <v/>
      </c>
      <c r="AZ64" s="19" t="n">
        <v>4</v>
      </c>
      <c r="BA64" s="19" t="n">
        <v>8</v>
      </c>
      <c r="BB64" s="16" t="n">
        <v>1120</v>
      </c>
      <c r="BC64" s="0" t="inlineStr">
        <is>
          <t>-</t>
        </is>
      </c>
      <c r="BD64" s="0">
        <f>IFERROR(BC64*AN64,"-")</f>
        <v/>
      </c>
      <c r="BE64" s="0" t="n">
        <v>133</v>
      </c>
      <c r="BF64" s="0">
        <f>IFERROR(BE64*AN64,"-")</f>
        <v/>
      </c>
      <c r="BG64" s="0" t="inlineStr">
        <is>
          <t>アイリスオーヤマ ラミネートフィルム100ミクロン(診察券サイズ) LZーSN20 20枚 1袋(20枚)（直送品）</t>
        </is>
      </c>
    </row>
    <row r="65">
      <c r="A65" s="0">
        <f>TEXT(F65,"000000")</f>
        <v/>
      </c>
      <c r="B65" s="3" t="n">
        <v>43</v>
      </c>
      <c r="C65" s="3" t="n">
        <v>43</v>
      </c>
      <c r="D65" s="4" t="inlineStr">
        <is>
          <t>J20283</t>
        </is>
      </c>
      <c r="E65" s="4">
        <f>TEXT(D65,"000000")</f>
        <v/>
      </c>
      <c r="F65" s="4" t="inlineStr">
        <is>
          <t>J20283</t>
        </is>
      </c>
      <c r="G65" s="4">
        <f>E65&amp;J65</f>
        <v/>
      </c>
      <c r="H65" s="4" t="inlineStr">
        <is>
          <t>ｱｲﾘｽｵｰﾔﾏ/ﾗﾐﾈｰﾄﾌｨﾙﾑ 写真(L判)ｻｲｽﾞ 100μ(ﾐｸﾛﾝ) 20枚</t>
        </is>
      </c>
      <c r="I65" s="58" t="n">
        <v>4905009428489</v>
      </c>
      <c r="J65" s="58" t="n">
        <v>5</v>
      </c>
      <c r="K65" s="58" t="n"/>
      <c r="L65" s="58" t="n">
        <v>1</v>
      </c>
      <c r="M65" s="58" t="n">
        <v>1</v>
      </c>
      <c r="N65" s="4" t="n">
        <v>0</v>
      </c>
      <c r="O65" s="4" t="n">
        <v>142</v>
      </c>
      <c r="P65" s="4" t="n">
        <v>100</v>
      </c>
      <c r="Q65" s="59">
        <f>IFERROR(1-P65/O65,"-")</f>
        <v/>
      </c>
      <c r="R65" s="4" t="inlineStr">
        <is>
          <t>-</t>
        </is>
      </c>
      <c r="S65" s="4" t="inlineStr">
        <is>
          <t>-</t>
        </is>
      </c>
      <c r="T65" s="4" t="inlineStr">
        <is>
          <t>-</t>
        </is>
      </c>
      <c r="U65" s="4" t="n">
        <v>0</v>
      </c>
      <c r="V65" s="4">
        <f>IF(Y65="",U65,U65*Y65)</f>
        <v/>
      </c>
      <c r="W65" s="4" t="n">
        <v>120</v>
      </c>
      <c r="X65" s="4">
        <f>IF(Y65="",W65,W65*Y65)</f>
        <v/>
      </c>
      <c r="Y65" s="4" t="n"/>
      <c r="Z65" s="21">
        <f>ROUND(O65*AN65,0)</f>
        <v/>
      </c>
      <c r="AA65" s="59">
        <f>IFERROR(1-X65/Z65,"-")</f>
        <v/>
      </c>
      <c r="AB65" s="4" t="n">
        <v>0.25</v>
      </c>
      <c r="AC65" s="4">
        <f>AY65</f>
        <v/>
      </c>
      <c r="AD65" s="4">
        <f>IFERROR(AC65*AN65,"-")</f>
        <v/>
      </c>
      <c r="AE65" s="59">
        <f>IFERROR(1-X65/AD65,"-")</f>
        <v/>
      </c>
      <c r="AF65" s="7" t="n">
        <v>249</v>
      </c>
      <c r="AG65" s="59">
        <f>1-X65/AF65</f>
        <v/>
      </c>
      <c r="AH65" s="4">
        <f>AF65-X65</f>
        <v/>
      </c>
      <c r="AI65" s="28" t="n"/>
      <c r="AJ65" s="59" t="n"/>
      <c r="AK65" s="59" t="n"/>
      <c r="AL65" s="59">
        <f>IFERROR(V65/N65,"-")</f>
        <v/>
      </c>
      <c r="AM65" s="59">
        <f>IFERROR(AF65/O65,"-")</f>
        <v/>
      </c>
      <c r="AN65" s="59">
        <f>IFERROR(X65/P65,"-")</f>
        <v/>
      </c>
      <c r="AO65" s="59">
        <f>IFERROR(1-X65/AP65,"-")</f>
        <v/>
      </c>
      <c r="AP65" s="4">
        <f>IFERROR(ROUND($AF65*R65/$O65,0),"-")</f>
        <v/>
      </c>
      <c r="AQ65" s="4">
        <f>IF(S65="","-",S65)</f>
        <v/>
      </c>
      <c r="AR65" s="4">
        <f>IF(T65="","-",T65)</f>
        <v/>
      </c>
      <c r="AS65" s="4" t="n">
        <v>0</v>
      </c>
      <c r="AT65" s="4" t="inlineStr">
        <is>
          <t>UA43243</t>
        </is>
      </c>
      <c r="AU65" s="4" t="n"/>
      <c r="AV65" s="4" t="n"/>
      <c r="AW65" s="4" t="inlineStr">
        <is>
          <t>1パック（20枚入）</t>
        </is>
      </c>
      <c r="AX65" s="4" t="n">
        <v>250</v>
      </c>
      <c r="AY65" s="4">
        <f>IF(AU65="",AX65,AU65/AV65*AX65)</f>
        <v/>
      </c>
      <c r="AZ65" s="19" t="n">
        <v>4</v>
      </c>
      <c r="BA65" s="19" t="n">
        <v>8</v>
      </c>
      <c r="BB65" s="16" t="n">
        <v>1120</v>
      </c>
      <c r="BC65" s="0" t="inlineStr">
        <is>
          <t>-</t>
        </is>
      </c>
      <c r="BD65" s="0">
        <f>IFERROR(BC65*AN65,"-")</f>
        <v/>
      </c>
      <c r="BE65" s="0" t="n">
        <v>251</v>
      </c>
      <c r="BF65" s="0">
        <f>IFERROR(BE65*AN65,"-")</f>
        <v/>
      </c>
      <c r="BG65" s="0" t="inlineStr">
        <is>
          <t>アイリスオーヤマ　ラミネートフィルム　写真(L判)サイズ　100μ(ミクロン)　LZ-PL20　1パック(20枚入)</t>
        </is>
      </c>
    </row>
    <row r="66">
      <c r="A66" s="0">
        <f>TEXT(F66,"000000")</f>
        <v/>
      </c>
      <c r="B66" s="3" t="n">
        <v>64</v>
      </c>
      <c r="C66" s="3" t="n">
        <v>64</v>
      </c>
      <c r="D66" s="4" t="inlineStr">
        <is>
          <t>J20296</t>
        </is>
      </c>
      <c r="E66" s="4">
        <f>TEXT(D66,"000000")</f>
        <v/>
      </c>
      <c r="F66" s="4" t="inlineStr">
        <is>
          <t>J20296</t>
        </is>
      </c>
      <c r="G66" s="4">
        <f>E66&amp;J66</f>
        <v/>
      </c>
      <c r="H66" s="4" t="inlineStr">
        <is>
          <t>ｱｲﾘｽｵｰﾔﾏ/ﾗﾐﾈｰﾄﾌｨﾙﾑ IDｶｰﾄﾞｻｲｽﾞ 100μ(ﾐｸﾛﾝ) 100枚入/</t>
        </is>
      </c>
      <c r="I66" s="58" t="n">
        <v>4905009708260</v>
      </c>
      <c r="J66" s="58" t="n">
        <v>5</v>
      </c>
      <c r="K66" s="58" t="n"/>
      <c r="L66" s="58" t="n">
        <v>1</v>
      </c>
      <c r="M66" s="58" t="n">
        <v>1</v>
      </c>
      <c r="N66" s="4" t="n">
        <v>0</v>
      </c>
      <c r="O66" s="4" t="n">
        <v>183</v>
      </c>
      <c r="P66" s="4" t="n">
        <v>100</v>
      </c>
      <c r="Q66" s="59">
        <f>IFERROR(1-P66/O66,"-")</f>
        <v/>
      </c>
      <c r="R66" s="4" t="n">
        <v>170</v>
      </c>
      <c r="S66" s="4" t="n">
        <v>4</v>
      </c>
      <c r="T66" s="4" t="n">
        <v>99999</v>
      </c>
      <c r="U66" s="4" t="n">
        <v>0</v>
      </c>
      <c r="V66" s="4">
        <f>IF(Y66="",U66,U66*Y66)</f>
        <v/>
      </c>
      <c r="W66" s="4" t="n">
        <v>120</v>
      </c>
      <c r="X66" s="4">
        <f>IF(Y66="",W66,W66*Y66)</f>
        <v/>
      </c>
      <c r="Y66" s="4" t="n"/>
      <c r="Z66" s="21">
        <f>ROUND(O66*AN66,0)</f>
        <v/>
      </c>
      <c r="AA66" s="59">
        <f>IFERROR(1-X66/Z66,"-")</f>
        <v/>
      </c>
      <c r="AB66" s="4" t="n">
        <v>60.75000000000001</v>
      </c>
      <c r="AC66" s="4">
        <f>AY66</f>
        <v/>
      </c>
      <c r="AD66" s="4">
        <f>IFERROR(AC66*AN66,"-")</f>
        <v/>
      </c>
      <c r="AE66" s="59">
        <f>IFERROR(1-X66/AD66,"-")</f>
        <v/>
      </c>
      <c r="AF66" s="7" t="n">
        <v>194</v>
      </c>
      <c r="AG66" s="59">
        <f>1-X66/AF66</f>
        <v/>
      </c>
      <c r="AH66" s="4">
        <f>AF66-X66</f>
        <v/>
      </c>
      <c r="AI66" s="28" t="n"/>
      <c r="AJ66" s="59" t="n"/>
      <c r="AK66" s="59" t="n"/>
      <c r="AL66" s="60">
        <f>IFERROR(V66/N66,"-")</f>
        <v/>
      </c>
      <c r="AM66" s="59">
        <f>IFERROR(AF66/O66,"-")</f>
        <v/>
      </c>
      <c r="AN66" s="59">
        <f>IFERROR(X66/P66,"-")</f>
        <v/>
      </c>
      <c r="AO66" s="59">
        <f>IFERROR(1-X66/AP66,"-")</f>
        <v/>
      </c>
      <c r="AP66" s="4" t="n">
        <v>183</v>
      </c>
      <c r="AQ66" s="4">
        <f>IF(S66="","-",S66)</f>
        <v/>
      </c>
      <c r="AR66" s="4">
        <f>IF(T66="","-",T66)</f>
        <v/>
      </c>
      <c r="AS66" s="4" t="n">
        <v>0</v>
      </c>
      <c r="AT66" s="4" t="inlineStr">
        <is>
          <t>P099546</t>
        </is>
      </c>
      <c r="AU66" s="4" t="n">
        <v>1</v>
      </c>
      <c r="AV66" s="4" t="n">
        <v>8</v>
      </c>
      <c r="AW66" s="4" t="inlineStr">
        <is>
          <t>1セット(800枚:100枚×8袋)</t>
        </is>
      </c>
      <c r="AX66" s="4" t="n">
        <v>1564</v>
      </c>
      <c r="AY66" s="4">
        <f>IF(AU66="",AX66,AU66/AV66*AX66)</f>
        <v/>
      </c>
      <c r="AZ66" s="19" t="n">
        <v>4</v>
      </c>
      <c r="BA66" s="19" t="n">
        <v>1</v>
      </c>
      <c r="BB66" s="16" t="n">
        <v>1120</v>
      </c>
      <c r="BC66" s="0" t="inlineStr">
        <is>
          <t>-</t>
        </is>
      </c>
      <c r="BD66" s="0">
        <f>IFERROR(BC66*AN66,"-")</f>
        <v/>
      </c>
      <c r="BE66" s="0" t="n">
        <v>246</v>
      </c>
      <c r="BF66" s="0">
        <f>IFERROR(BE66*AN66,"-")</f>
        <v/>
      </c>
      <c r="BG66" s="0" t="inlineStr">
        <is>
          <t>アイリスオーヤマ ラミネートフィルム100ミクロン(IDカードサイズ) LZーID100 100枚 1セット(800枚:100枚×8袋)（直送品）</t>
        </is>
      </c>
    </row>
    <row r="67">
      <c r="A67" s="0">
        <f>TEXT(F67,"000000")</f>
        <v/>
      </c>
      <c r="B67" s="3" t="n">
        <v>65</v>
      </c>
      <c r="C67" s="3" t="n">
        <v>65</v>
      </c>
      <c r="D67" s="4" t="inlineStr">
        <is>
          <t>J20297</t>
        </is>
      </c>
      <c r="E67" s="4">
        <f>TEXT(D67,"000000")</f>
        <v/>
      </c>
      <c r="F67" s="4" t="inlineStr">
        <is>
          <t>J20297</t>
        </is>
      </c>
      <c r="G67" s="4">
        <f>E67&amp;J67</f>
        <v/>
      </c>
      <c r="H67" s="4" t="inlineStr">
        <is>
          <t>ｱｲﾘｽｵｰﾔﾏ/ﾗﾐﾈｰﾄﾌｨﾙﾑ 一般ｶｰﾄﾞｻｲｽﾞ 100μ(ﾐｸﾛﾝ) 100枚</t>
        </is>
      </c>
      <c r="I67" s="58" t="n">
        <v>4905009708277</v>
      </c>
      <c r="J67" s="58" t="n">
        <v>5</v>
      </c>
      <c r="K67" s="58" t="n"/>
      <c r="L67" s="58" t="n">
        <v>1</v>
      </c>
      <c r="M67" s="58" t="n">
        <v>1</v>
      </c>
      <c r="N67" s="4" t="n">
        <v>0</v>
      </c>
      <c r="O67" s="4" t="n">
        <v>242</v>
      </c>
      <c r="P67" s="4" t="n">
        <v>120</v>
      </c>
      <c r="Q67" s="59">
        <f>IFERROR(1-P67/O67,"-")</f>
        <v/>
      </c>
      <c r="R67" s="4" t="n">
        <v>230</v>
      </c>
      <c r="S67" s="4" t="n">
        <v>4</v>
      </c>
      <c r="T67" s="4" t="n">
        <v>99999</v>
      </c>
      <c r="U67" s="4" t="n">
        <v>0</v>
      </c>
      <c r="V67" s="4">
        <f>IF(Y67="",U67,U67*Y67)</f>
        <v/>
      </c>
      <c r="W67" s="4" t="n">
        <v>144</v>
      </c>
      <c r="X67" s="4">
        <f>IF(Y67="",W67,W67*Y67)</f>
        <v/>
      </c>
      <c r="Y67" s="4" t="n"/>
      <c r="Z67" s="21">
        <f>ROUND(O67*AN67,0)</f>
        <v/>
      </c>
      <c r="AA67" s="59">
        <f>IFERROR(1-X67/Z67,"-")</f>
        <v/>
      </c>
      <c r="AB67" s="4" t="n">
        <v>45</v>
      </c>
      <c r="AC67" s="4">
        <f>AY67</f>
        <v/>
      </c>
      <c r="AD67" s="4">
        <f>IFERROR(AC67*AN67,"-")</f>
        <v/>
      </c>
      <c r="AE67" s="59">
        <f>IFERROR(1-X67/AD67,"-")</f>
        <v/>
      </c>
      <c r="AF67" s="7" t="n">
        <v>235</v>
      </c>
      <c r="AG67" s="59">
        <f>1-X67/AF67</f>
        <v/>
      </c>
      <c r="AH67" s="4">
        <f>AF67-X67</f>
        <v/>
      </c>
      <c r="AI67" s="28" t="n"/>
      <c r="AJ67" s="59" t="n"/>
      <c r="AK67" s="59" t="n"/>
      <c r="AL67" s="60">
        <f>IFERROR(V67/N67,"-")</f>
        <v/>
      </c>
      <c r="AM67" s="59">
        <f>IFERROR(AF67/O67,"-")</f>
        <v/>
      </c>
      <c r="AN67" s="59">
        <f>IFERROR(X67/P67,"-")</f>
        <v/>
      </c>
      <c r="AO67" s="59">
        <f>IFERROR(1-X67/AP67,"-")</f>
        <v/>
      </c>
      <c r="AP67" s="4">
        <f>IFERROR(ROUND($AF67*R67/$O67,0),"-")</f>
        <v/>
      </c>
      <c r="AQ67" s="4">
        <f>IF(S67="","-",S67)</f>
        <v/>
      </c>
      <c r="AR67" s="4">
        <f>IF(T67="","-",T67)</f>
        <v/>
      </c>
      <c r="AS67" s="4" t="n">
        <v>0</v>
      </c>
      <c r="AT67" s="4" t="inlineStr">
        <is>
          <t>P099547</t>
        </is>
      </c>
      <c r="AU67" s="4" t="n">
        <v>1</v>
      </c>
      <c r="AV67" s="4" t="n">
        <v>6</v>
      </c>
      <c r="AW67" s="4" t="inlineStr">
        <is>
          <t>1セット(600枚:100枚×6袋)</t>
        </is>
      </c>
      <c r="AX67" s="4" t="n">
        <v>1419</v>
      </c>
      <c r="AY67" s="4">
        <f>IF(AU67="",AX67,AU67/AV67*AX67)</f>
        <v/>
      </c>
      <c r="AZ67" s="19" t="n">
        <v>4</v>
      </c>
      <c r="BA67" s="19" t="n">
        <v>1</v>
      </c>
      <c r="BB67" s="16" t="n">
        <v>1120</v>
      </c>
      <c r="BC67" s="0" t="inlineStr">
        <is>
          <t>-</t>
        </is>
      </c>
      <c r="BD67" s="0">
        <f>IFERROR(BC67*AN67,"-")</f>
        <v/>
      </c>
      <c r="BE67" s="0" t="n">
        <v>244</v>
      </c>
      <c r="BF67" s="0">
        <f>IFERROR(BE67*AN67,"-")</f>
        <v/>
      </c>
      <c r="BG67" s="0" t="inlineStr">
        <is>
          <t>アイリスオーヤマ ラミネートフィルム100ミクロン(一般カードサイズ) LZーIC100 100枚 1セット(600枚:100枚×6袋)（直送品）</t>
        </is>
      </c>
    </row>
    <row r="68">
      <c r="A68" s="0">
        <f>TEXT(F68,"000000")</f>
        <v/>
      </c>
      <c r="B68" s="3" t="n">
        <v>22</v>
      </c>
      <c r="C68" s="3" t="n">
        <v>22</v>
      </c>
      <c r="D68" s="4" t="n">
        <v>674969</v>
      </c>
      <c r="E68" s="4">
        <f>TEXT(D68,"000000")</f>
        <v/>
      </c>
      <c r="F68" s="4" t="n">
        <v>674969</v>
      </c>
      <c r="G68" s="4">
        <f>E68&amp;J68</f>
        <v/>
      </c>
      <c r="H68" s="4" t="inlineStr">
        <is>
          <t>ｱｲﾘｽｵｰﾔﾏ/ﾗﾐﾈｰﾄﾌｨﾙﾑ 写真(L判)ｻｲｽﾞ 150μ(ﾐｸﾛﾝ) 20枚</t>
        </is>
      </c>
      <c r="I68" s="58" t="n">
        <v>4905009428700</v>
      </c>
      <c r="J68" s="58" t="n">
        <v>5</v>
      </c>
      <c r="K68" s="58" t="n"/>
      <c r="L68" s="58" t="n">
        <v>1</v>
      </c>
      <c r="M68" s="58" t="n">
        <v>1</v>
      </c>
      <c r="N68" s="4" t="n">
        <v>0</v>
      </c>
      <c r="O68" s="4" t="n">
        <v>181</v>
      </c>
      <c r="P68" s="4" t="n">
        <v>130</v>
      </c>
      <c r="Q68" s="59">
        <f>IFERROR(1-P68/O68,"-")</f>
        <v/>
      </c>
      <c r="R68" s="4" t="inlineStr">
        <is>
          <t>-</t>
        </is>
      </c>
      <c r="S68" s="4" t="inlineStr">
        <is>
          <t>-</t>
        </is>
      </c>
      <c r="T68" s="4" t="inlineStr">
        <is>
          <t>-</t>
        </is>
      </c>
      <c r="U68" s="4" t="n">
        <v>0</v>
      </c>
      <c r="V68" s="4">
        <f>IF(Y68="",U68,U68*Y68)</f>
        <v/>
      </c>
      <c r="W68" s="4" t="n">
        <v>156</v>
      </c>
      <c r="X68" s="4">
        <f>IF(Y68="",W68,W68*Y68)</f>
        <v/>
      </c>
      <c r="Y68" s="4" t="n"/>
      <c r="Z68" s="21">
        <f>ROUND(O68*AN68,0)</f>
        <v/>
      </c>
      <c r="AA68" s="59">
        <f>IFERROR(1-X68/Z68,"-")</f>
        <v/>
      </c>
      <c r="AB68" s="4" t="n">
        <v>0.25</v>
      </c>
      <c r="AC68" s="4">
        <f>AY68</f>
        <v/>
      </c>
      <c r="AD68" s="4">
        <f>IFERROR(AC68*AN68,"-")</f>
        <v/>
      </c>
      <c r="AE68" s="59">
        <f>IFERROR(1-X68/AD68,"-")</f>
        <v/>
      </c>
      <c r="AF68" s="7" t="n">
        <v>261</v>
      </c>
      <c r="AG68" s="59">
        <f>1-X68/AF68</f>
        <v/>
      </c>
      <c r="AH68" s="4">
        <f>AF68-X68</f>
        <v/>
      </c>
      <c r="AI68" s="28" t="n"/>
      <c r="AJ68" s="59" t="n"/>
      <c r="AK68" s="59" t="n"/>
      <c r="AL68" s="59">
        <f>IFERROR(V68/N68,"-")</f>
        <v/>
      </c>
      <c r="AM68" s="59">
        <f>IFERROR(AF68/O68,"-")</f>
        <v/>
      </c>
      <c r="AN68" s="59">
        <f>IFERROR(X68/P68,"-")</f>
        <v/>
      </c>
      <c r="AO68" s="59">
        <f>IFERROR(1-X68/AP68,"-")</f>
        <v/>
      </c>
      <c r="AP68" s="4">
        <f>IFERROR(ROUND($AF68*R68/$O68,0),"-")</f>
        <v/>
      </c>
      <c r="AQ68" s="4">
        <f>IF(S68="","-",S68)</f>
        <v/>
      </c>
      <c r="AR68" s="4">
        <f>IF(T68="","-",T68)</f>
        <v/>
      </c>
      <c r="AS68" s="4" t="n">
        <v>0</v>
      </c>
      <c r="AT68" s="4" t="inlineStr">
        <is>
          <t>P099551</t>
        </is>
      </c>
      <c r="AU68" s="4" t="n">
        <v>1</v>
      </c>
      <c r="AV68" s="4" t="n">
        <v>5</v>
      </c>
      <c r="AW68" s="4" t="inlineStr">
        <is>
          <t>1セット(100枚:20枚×5袋)</t>
        </is>
      </c>
      <c r="AX68" s="4" t="n">
        <v>1310</v>
      </c>
      <c r="AY68" s="4">
        <f>IF(AU68="",AX68,AU68/AV68*AX68)</f>
        <v/>
      </c>
      <c r="AZ68" s="19" t="n">
        <v>4</v>
      </c>
      <c r="BA68" s="19" t="n">
        <v>8</v>
      </c>
      <c r="BB68" s="16" t="n">
        <v>1120</v>
      </c>
      <c r="BC68" s="0" t="inlineStr">
        <is>
          <t>-</t>
        </is>
      </c>
      <c r="BD68" s="0">
        <f>IFERROR(BC68*AN68,"-")</f>
        <v/>
      </c>
      <c r="BE68" s="0" t="n">
        <v>255</v>
      </c>
      <c r="BF68" s="0">
        <f>IFERROR(BE68*AN68,"-")</f>
        <v/>
      </c>
      <c r="BG68" s="0" t="inlineStr">
        <is>
          <t>アイリスオーヤマ ラミネートフィルム150ミクロン(写真L判サイズ) LZー15PL20 20枚 1セット(100枚:20枚×5袋)（直送品）</t>
        </is>
      </c>
    </row>
    <row r="69">
      <c r="A69" s="0">
        <f>TEXT(F69,"000000")</f>
        <v/>
      </c>
      <c r="B69" s="3" t="n">
        <v>46</v>
      </c>
      <c r="C69" s="3" t="n">
        <v>46</v>
      </c>
      <c r="D69" s="4" t="inlineStr">
        <is>
          <t>J20284</t>
        </is>
      </c>
      <c r="E69" s="4">
        <f>TEXT(D69,"000000")</f>
        <v/>
      </c>
      <c r="F69" s="4" t="inlineStr">
        <is>
          <t>J20284</t>
        </is>
      </c>
      <c r="G69" s="4">
        <f>E69&amp;J69</f>
        <v/>
      </c>
      <c r="H69" s="4" t="inlineStr">
        <is>
          <t>ｱｲﾘｽｵｰﾔﾏ/ﾗﾐﾈｰﾄﾌｨﾙﾑ はがきｻｲｽﾞ 100μ(ﾐｸﾛﾝ) 20枚入/L</t>
        </is>
      </c>
      <c r="I69" s="58" t="n">
        <v>4905009428496</v>
      </c>
      <c r="J69" s="58" t="n">
        <v>5</v>
      </c>
      <c r="K69" s="58" t="n"/>
      <c r="L69" s="58" t="n">
        <v>1</v>
      </c>
      <c r="M69" s="58" t="n">
        <v>1</v>
      </c>
      <c r="N69" s="4" t="n">
        <v>0</v>
      </c>
      <c r="O69" s="4" t="n">
        <v>263</v>
      </c>
      <c r="P69" s="4" t="n">
        <v>130</v>
      </c>
      <c r="Q69" s="59">
        <f>IFERROR(1-P69/O69,"-")</f>
        <v/>
      </c>
      <c r="R69" s="4" t="inlineStr">
        <is>
          <t>-</t>
        </is>
      </c>
      <c r="S69" s="4" t="inlineStr">
        <is>
          <t>-</t>
        </is>
      </c>
      <c r="T69" s="4" t="inlineStr">
        <is>
          <t>-</t>
        </is>
      </c>
      <c r="U69" s="4" t="n">
        <v>0</v>
      </c>
      <c r="V69" s="4">
        <f>IF(Y69="",U69,U69*Y69)</f>
        <v/>
      </c>
      <c r="W69" s="4" t="n">
        <v>156</v>
      </c>
      <c r="X69" s="4">
        <f>IF(Y69="",W69,W69*Y69)</f>
        <v/>
      </c>
      <c r="Y69" s="4" t="n"/>
      <c r="Z69" s="21">
        <f>ROUND(O69*AN69,0)</f>
        <v/>
      </c>
      <c r="AA69" s="59">
        <f>IFERROR(1-X69/Z69,"-")</f>
        <v/>
      </c>
      <c r="AB69" s="4" t="n">
        <v>0.5</v>
      </c>
      <c r="AC69" s="4">
        <f>AY69</f>
        <v/>
      </c>
      <c r="AD69" s="4">
        <f>IFERROR(AC69*AN69,"-")</f>
        <v/>
      </c>
      <c r="AE69" s="59">
        <f>IFERROR(1-X69/AD69,"-")</f>
        <v/>
      </c>
      <c r="AF69" s="7" t="n">
        <v>299</v>
      </c>
      <c r="AG69" s="59">
        <f>1-X69/AF69</f>
        <v/>
      </c>
      <c r="AH69" s="4">
        <f>AF69-X69</f>
        <v/>
      </c>
      <c r="AI69" s="28" t="n"/>
      <c r="AJ69" s="59" t="n"/>
      <c r="AK69" s="59" t="n"/>
      <c r="AL69" s="59">
        <f>IFERROR(V69/N69,"-")</f>
        <v/>
      </c>
      <c r="AM69" s="59">
        <f>IFERROR(AF69/O69,"-")</f>
        <v/>
      </c>
      <c r="AN69" s="59">
        <f>IFERROR(X69/P69,"-")</f>
        <v/>
      </c>
      <c r="AO69" s="59">
        <f>IFERROR(1-X69/AP69,"-")</f>
        <v/>
      </c>
      <c r="AP69" s="4">
        <f>IFERROR(ROUND($AF69*R69/$O69,0),"-")</f>
        <v/>
      </c>
      <c r="AQ69" s="4">
        <f>IF(S69="","-",S69)</f>
        <v/>
      </c>
      <c r="AR69" s="4">
        <f>IF(T69="","-",T69)</f>
        <v/>
      </c>
      <c r="AS69" s="4" t="n">
        <v>0</v>
      </c>
      <c r="AT69" s="4" t="inlineStr">
        <is>
          <t>UA43242</t>
        </is>
      </c>
      <c r="AU69" s="4" t="n"/>
      <c r="AV69" s="4" t="n"/>
      <c r="AW69" s="4" t="inlineStr">
        <is>
          <t>1パック（20枚入）</t>
        </is>
      </c>
      <c r="AX69" s="4" t="n">
        <v>300</v>
      </c>
      <c r="AY69" s="4">
        <f>IF(AU69="",AX69,AU69/AV69*AX69)</f>
        <v/>
      </c>
      <c r="AZ69" s="19" t="n">
        <v>4</v>
      </c>
      <c r="BA69" s="19" t="n">
        <v>8</v>
      </c>
      <c r="BB69" s="16" t="n">
        <v>1120</v>
      </c>
      <c r="BC69" s="0" t="inlineStr">
        <is>
          <t>-</t>
        </is>
      </c>
      <c r="BD69" s="0">
        <f>IFERROR(BC69*AN69,"-")</f>
        <v/>
      </c>
      <c r="BE69" s="0" t="n">
        <v>313</v>
      </c>
      <c r="BF69" s="0">
        <f>IFERROR(BE69*AN69,"-")</f>
        <v/>
      </c>
      <c r="BG69" s="0" t="inlineStr">
        <is>
          <t>アイリスオーヤマ　ラミネートフィルム　はがきサイズ　100μ(ミクロン)　LZ-HA20　1パック(20枚入)</t>
        </is>
      </c>
    </row>
    <row r="70">
      <c r="A70" s="0">
        <f>TEXT(F70,"000000")</f>
        <v/>
      </c>
      <c r="B70" s="3" t="n">
        <v>66</v>
      </c>
      <c r="C70" s="3" t="n">
        <v>66</v>
      </c>
      <c r="D70" s="4" t="inlineStr">
        <is>
          <t>J20298</t>
        </is>
      </c>
      <c r="E70" s="4">
        <f>TEXT(D70,"000000")</f>
        <v/>
      </c>
      <c r="F70" s="4" t="inlineStr">
        <is>
          <t>J20298</t>
        </is>
      </c>
      <c r="G70" s="4">
        <f>E70&amp;J70</f>
        <v/>
      </c>
      <c r="H70" s="4" t="inlineStr">
        <is>
          <t>ｱｲﾘｽｵｰﾔﾏ/ﾗﾐﾈｰﾄﾌｨﾙﾑ 定期券ｻｲｽﾞ 100μ(ﾐｸﾛﾝ) 100枚入/</t>
        </is>
      </c>
      <c r="I70" s="58" t="n">
        <v>4905009708284</v>
      </c>
      <c r="J70" s="58" t="n">
        <v>5</v>
      </c>
      <c r="K70" s="58" t="n"/>
      <c r="L70" s="58" t="n">
        <v>1</v>
      </c>
      <c r="M70" s="58" t="n">
        <v>1</v>
      </c>
      <c r="N70" s="4" t="n">
        <v>0</v>
      </c>
      <c r="O70" s="4" t="n">
        <v>263</v>
      </c>
      <c r="P70" s="4" t="n">
        <v>130</v>
      </c>
      <c r="Q70" s="59">
        <f>IFERROR(1-P70/O70,"-")</f>
        <v/>
      </c>
      <c r="R70" s="4" t="n">
        <v>250</v>
      </c>
      <c r="S70" s="4" t="n">
        <v>10</v>
      </c>
      <c r="T70" s="4" t="n">
        <v>99999</v>
      </c>
      <c r="U70" s="4" t="n">
        <v>0</v>
      </c>
      <c r="V70" s="4">
        <f>IF(Y70="",U70,U70*Y70)</f>
        <v/>
      </c>
      <c r="W70" s="4" t="n">
        <v>156</v>
      </c>
      <c r="X70" s="4">
        <f>IF(Y70="",W70,W70*Y70)</f>
        <v/>
      </c>
      <c r="Y70" s="4" t="n"/>
      <c r="Z70" s="21">
        <f>ROUND(O70*AN70,0)</f>
        <v/>
      </c>
      <c r="AA70" s="59">
        <f>IFERROR(1-X70/Z70,"-")</f>
        <v/>
      </c>
      <c r="AB70" s="4" t="n">
        <v>31.25</v>
      </c>
      <c r="AC70" s="4">
        <f>AY70</f>
        <v/>
      </c>
      <c r="AD70" s="4">
        <f>IFERROR(AC70*AN70,"-")</f>
        <v/>
      </c>
      <c r="AE70" s="59">
        <f>IFERROR(1-X70/AD70,"-")</f>
        <v/>
      </c>
      <c r="AF70" s="7" t="n">
        <v>241</v>
      </c>
      <c r="AG70" s="59">
        <f>1-X70/AF70</f>
        <v/>
      </c>
      <c r="AH70" s="4">
        <f>AF70-X70</f>
        <v/>
      </c>
      <c r="AI70" s="28" t="n"/>
      <c r="AJ70" s="59" t="n"/>
      <c r="AK70" s="59" t="n"/>
      <c r="AL70" s="60">
        <f>IFERROR(V70/N70,"-")</f>
        <v/>
      </c>
      <c r="AM70" s="59">
        <f>IFERROR(AF70/O70,"-")</f>
        <v/>
      </c>
      <c r="AN70" s="59">
        <f>IFERROR(X70/P70,"-")</f>
        <v/>
      </c>
      <c r="AO70" s="59">
        <f>IFERROR(1-X70/AP70,"-")</f>
        <v/>
      </c>
      <c r="AP70" s="4">
        <f>IFERROR(ROUND($AF70*R70/$O70,0),"-")</f>
        <v/>
      </c>
      <c r="AQ70" s="4">
        <f>IF(S70="","-",S70)</f>
        <v/>
      </c>
      <c r="AR70" s="4">
        <f>IF(T70="","-",T70)</f>
        <v/>
      </c>
      <c r="AS70" s="4" t="n">
        <v>0</v>
      </c>
      <c r="AT70" s="4" t="inlineStr">
        <is>
          <t>P099548</t>
        </is>
      </c>
      <c r="AU70" s="4" t="n">
        <v>1</v>
      </c>
      <c r="AV70" s="4" t="n">
        <v>5</v>
      </c>
      <c r="AW70" s="4" t="inlineStr">
        <is>
          <t>1セット(500枚:100枚×5袋)</t>
        </is>
      </c>
      <c r="AX70" s="4" t="n">
        <v>1210</v>
      </c>
      <c r="AY70" s="4">
        <f>IF(AU70="",AX70,AU70/AV70*AX70)</f>
        <v/>
      </c>
      <c r="AZ70" s="19" t="n">
        <v>4</v>
      </c>
      <c r="BA70" s="19" t="n">
        <v>1</v>
      </c>
      <c r="BB70" s="16" t="n">
        <v>1120</v>
      </c>
      <c r="BC70" s="0" t="inlineStr">
        <is>
          <t>-</t>
        </is>
      </c>
      <c r="BD70" s="0">
        <f>IFERROR(BC70*AN70,"-")</f>
        <v/>
      </c>
      <c r="BE70" s="0" t="n">
        <v>309</v>
      </c>
      <c r="BF70" s="0">
        <f>IFERROR(BE70*AN70,"-")</f>
        <v/>
      </c>
      <c r="BG70" s="0" t="inlineStr">
        <is>
          <t>アイリスオーヤマ ラミネートフィルム100ミクロン(定期券カードサイズ) LZーTE100 100枚 1セット(500枚:100枚×5袋)（直送品）</t>
        </is>
      </c>
    </row>
    <row r="71">
      <c r="A71" s="0">
        <f>TEXT(F71,"000000")</f>
        <v/>
      </c>
      <c r="B71" s="3" t="n">
        <v>58</v>
      </c>
      <c r="C71" s="3" t="n">
        <v>58</v>
      </c>
      <c r="D71" s="4" t="inlineStr">
        <is>
          <t>J20290</t>
        </is>
      </c>
      <c r="E71" s="4">
        <f>TEXT(D71,"000000")</f>
        <v/>
      </c>
      <c r="F71" s="4" t="inlineStr">
        <is>
          <t>J20290</t>
        </is>
      </c>
      <c r="G71" s="4">
        <f>E71&amp;J71</f>
        <v/>
      </c>
      <c r="H71" s="4" t="inlineStr">
        <is>
          <t>ｱｲﾘｽｵｰﾔﾏ/ﾗﾐﾈｰﾄﾌｨﾙﾑ 名刺ｻｲｽﾞ 100μ(ﾐｸﾛﾝ) 100枚入/LZ</t>
        </is>
      </c>
      <c r="I71" s="58" t="n">
        <v>4905009427352</v>
      </c>
      <c r="J71" s="58" t="n">
        <v>5</v>
      </c>
      <c r="K71" s="58" t="n"/>
      <c r="L71" s="58" t="n">
        <v>1</v>
      </c>
      <c r="M71" s="58" t="n">
        <v>1</v>
      </c>
      <c r="N71" s="4" t="n">
        <v>0</v>
      </c>
      <c r="O71" s="4" t="n">
        <v>250</v>
      </c>
      <c r="P71" s="4" t="n">
        <v>140</v>
      </c>
      <c r="Q71" s="59">
        <f>IFERROR(1-P71/O71,"-")</f>
        <v/>
      </c>
      <c r="R71" s="4" t="n">
        <v>240</v>
      </c>
      <c r="S71" s="4" t="n">
        <v>4</v>
      </c>
      <c r="T71" s="4" t="n">
        <v>99999</v>
      </c>
      <c r="U71" s="4" t="n">
        <v>0</v>
      </c>
      <c r="V71" s="4">
        <f>IF(Y71="",U71,U71*Y71)</f>
        <v/>
      </c>
      <c r="W71" s="4" t="n">
        <v>168</v>
      </c>
      <c r="X71" s="4">
        <f>IF(Y71="",W71,W71*Y71)</f>
        <v/>
      </c>
      <c r="Y71" s="4" t="n"/>
      <c r="Z71" s="21">
        <f>ROUND(O71*AN71,0)</f>
        <v/>
      </c>
      <c r="AA71" s="59">
        <f>IFERROR(1-X71/Z71,"-")</f>
        <v/>
      </c>
      <c r="AB71" s="4" t="n">
        <v>151.75</v>
      </c>
      <c r="AC71" s="4">
        <f>AY71</f>
        <v/>
      </c>
      <c r="AD71" s="4">
        <f>IFERROR(AC71*AN71,"-")</f>
        <v/>
      </c>
      <c r="AE71" s="59">
        <f>IFERROR(1-X71/AD71,"-")</f>
        <v/>
      </c>
      <c r="AF71" s="7" t="n">
        <v>250</v>
      </c>
      <c r="AG71" s="59">
        <f>1-X71/AF71</f>
        <v/>
      </c>
      <c r="AH71" s="4">
        <f>AF71-X71</f>
        <v/>
      </c>
      <c r="AI71" s="28" t="n"/>
      <c r="AJ71" s="59" t="n"/>
      <c r="AK71" s="59" t="n"/>
      <c r="AL71" s="60">
        <f>IFERROR(V71/N71,"-")</f>
        <v/>
      </c>
      <c r="AM71" s="59">
        <f>IFERROR(AF71/O71,"-")</f>
        <v/>
      </c>
      <c r="AN71" s="59">
        <f>IFERROR(X71/P71,"-")</f>
        <v/>
      </c>
      <c r="AO71" s="59">
        <f>IFERROR(1-X71/AP71,"-")</f>
        <v/>
      </c>
      <c r="AP71" s="4" t="n">
        <v>275</v>
      </c>
      <c r="AQ71" s="4">
        <f>IF(S71="","-",S71)</f>
        <v/>
      </c>
      <c r="AR71" s="4">
        <f>IF(T71="","-",T71)</f>
        <v/>
      </c>
      <c r="AS71" s="4" t="inlineStr">
        <is>
          <t>34/363</t>
        </is>
      </c>
      <c r="AT71" s="4" t="inlineStr">
        <is>
          <t>-</t>
        </is>
      </c>
      <c r="AU71" s="4" t="n"/>
      <c r="AV71" s="4" t="n"/>
      <c r="AW71" s="4" t="inlineStr">
        <is>
          <t>-</t>
        </is>
      </c>
      <c r="AX71" s="4" t="inlineStr">
        <is>
          <t>-</t>
        </is>
      </c>
      <c r="AY71" s="4">
        <f>IF(AU71="",AX71,AU71/AV71*AX71)</f>
        <v/>
      </c>
      <c r="AZ71" s="19" t="n">
        <v>4</v>
      </c>
      <c r="BA71" s="19" t="n">
        <v>1</v>
      </c>
      <c r="BB71" s="16" t="n">
        <v>1120</v>
      </c>
      <c r="BC71" s="0" t="inlineStr">
        <is>
          <t>-</t>
        </is>
      </c>
      <c r="BD71" s="0">
        <f>IFERROR(BC71*AN71,"-")</f>
        <v/>
      </c>
      <c r="BE71" s="0" t="n">
        <v>250</v>
      </c>
      <c r="BF71" s="0">
        <f>IFERROR(BE71*AN71,"-")</f>
        <v/>
      </c>
      <c r="BG71" s="0" t="inlineStr">
        <is>
          <t>-</t>
        </is>
      </c>
    </row>
    <row r="72">
      <c r="A72" s="0">
        <f>TEXT(F72,"000000")</f>
        <v/>
      </c>
      <c r="B72" s="3" t="n">
        <v>9</v>
      </c>
      <c r="C72" s="3" t="n">
        <v>9</v>
      </c>
      <c r="D72" s="4" t="n">
        <v>601319</v>
      </c>
      <c r="E72" s="4">
        <f>TEXT(D72,"000000")</f>
        <v/>
      </c>
      <c r="F72" s="4" t="n">
        <v>601319</v>
      </c>
      <c r="G72" s="4">
        <f>E72&amp;J72</f>
        <v/>
      </c>
      <c r="H72" s="4" t="inlineStr">
        <is>
          <t>ｱｲﾘｽｵｰﾔﾏ/ﾗﾐﾈｰﾄﾌｨﾙﾑ 診察券ｻｲｽﾞ 100μ(ﾐｸﾛﾝ) 100枚入/</t>
        </is>
      </c>
      <c r="I72" s="58" t="n">
        <v>4905009490851</v>
      </c>
      <c r="J72" s="58" t="n">
        <v>5</v>
      </c>
      <c r="K72" s="58" t="n"/>
      <c r="L72" s="58" t="n">
        <v>1</v>
      </c>
      <c r="M72" s="58" t="n">
        <v>1</v>
      </c>
      <c r="N72" s="4" t="n">
        <v>0</v>
      </c>
      <c r="O72" s="4" t="n">
        <v>248</v>
      </c>
      <c r="P72" s="4" t="n">
        <v>141</v>
      </c>
      <c r="Q72" s="59">
        <f>IFERROR(1-P72/O72,"-")</f>
        <v/>
      </c>
      <c r="R72" s="4" t="n">
        <v>230</v>
      </c>
      <c r="S72" s="4" t="n">
        <v>4</v>
      </c>
      <c r="T72" s="4" t="n">
        <v>99999</v>
      </c>
      <c r="U72" s="4" t="n">
        <v>0</v>
      </c>
      <c r="V72" s="4">
        <f>IF(Y72="",U72,U72*Y72)</f>
        <v/>
      </c>
      <c r="W72" s="4" t="n">
        <v>169</v>
      </c>
      <c r="X72" s="4">
        <f>IF(Y72="",W72,W72*Y72)</f>
        <v/>
      </c>
      <c r="Y72" s="4" t="n"/>
      <c r="Z72" s="21">
        <f>ROUND(O72*AN72,0)</f>
        <v/>
      </c>
      <c r="AA72" s="59">
        <f>IFERROR(1-X72/Z72,"-")</f>
        <v/>
      </c>
      <c r="AB72" s="4" t="n">
        <v>41</v>
      </c>
      <c r="AC72" s="4">
        <f>AY72</f>
        <v/>
      </c>
      <c r="AD72" s="4">
        <f>IFERROR(AC72*AN72,"-")</f>
        <v/>
      </c>
      <c r="AE72" s="59">
        <f>IFERROR(1-X72/AD72,"-")</f>
        <v/>
      </c>
      <c r="AF72" s="7" t="n">
        <v>274</v>
      </c>
      <c r="AG72" s="59">
        <f>1-X72/AF72</f>
        <v/>
      </c>
      <c r="AH72" s="4">
        <f>AF72-X72</f>
        <v/>
      </c>
      <c r="AI72" s="28" t="n"/>
      <c r="AJ72" s="59" t="n"/>
      <c r="AK72" s="59" t="n"/>
      <c r="AL72" s="60">
        <f>IFERROR(V72/N72,"-")</f>
        <v/>
      </c>
      <c r="AM72" s="59">
        <f>IFERROR(AF72/O72,"-")</f>
        <v/>
      </c>
      <c r="AN72" s="59">
        <f>IFERROR(X72/P72,"-")</f>
        <v/>
      </c>
      <c r="AO72" s="59">
        <f>IFERROR(1-X72/AP72,"-")</f>
        <v/>
      </c>
      <c r="AP72" s="4" t="n">
        <v>255</v>
      </c>
      <c r="AQ72" s="4">
        <f>IF(S72="","-",S72)</f>
        <v/>
      </c>
      <c r="AR72" s="4">
        <f>IF(T72="","-",T72)</f>
        <v/>
      </c>
      <c r="AS72" s="4" t="inlineStr">
        <is>
          <t>34/363</t>
        </is>
      </c>
      <c r="AT72" s="4" t="inlineStr">
        <is>
          <t>P099545</t>
        </is>
      </c>
      <c r="AU72" s="4" t="n">
        <v>1</v>
      </c>
      <c r="AV72" s="4" t="n">
        <v>5</v>
      </c>
      <c r="AW72" s="4" t="inlineStr">
        <is>
          <t>1セット(500枚:100枚×5袋)</t>
        </is>
      </c>
      <c r="AX72" s="4" t="n">
        <v>1378</v>
      </c>
      <c r="AY72" s="4">
        <f>IF(AU72="",AX72,AU72/AV72*AX72)</f>
        <v/>
      </c>
      <c r="AZ72" s="19" t="n">
        <v>4</v>
      </c>
      <c r="BA72" s="19" t="n">
        <v>1</v>
      </c>
      <c r="BB72" s="16" t="n">
        <v>1120</v>
      </c>
      <c r="BC72" s="0" t="inlineStr">
        <is>
          <t>-</t>
        </is>
      </c>
      <c r="BD72" s="0">
        <f>IFERROR(BC72*AN72,"-")</f>
        <v/>
      </c>
      <c r="BE72" s="0" t="n">
        <v>228</v>
      </c>
      <c r="BF72" s="0">
        <f>IFERROR(BE72*AN72,"-")</f>
        <v/>
      </c>
      <c r="BG72" s="0" t="inlineStr">
        <is>
          <t>アイリスオーヤマ ラミネートフィルム100ミクロン(診察券サイズ) LZーSN100 100枚 1セット(500枚:100枚×5袋)（直送品）</t>
        </is>
      </c>
    </row>
    <row r="73">
      <c r="A73" s="0">
        <f>TEXT(F73,"000000")</f>
        <v/>
      </c>
      <c r="B73" s="3" t="n">
        <v>93</v>
      </c>
      <c r="C73" s="3" t="n">
        <v>93</v>
      </c>
      <c r="D73" s="4" t="inlineStr">
        <is>
          <t>J352WE</t>
        </is>
      </c>
      <c r="E73" s="4">
        <f>TEXT(D73,"000000")</f>
        <v/>
      </c>
      <c r="F73" s="4" t="inlineStr">
        <is>
          <t>J352WE</t>
        </is>
      </c>
      <c r="G73" s="4">
        <f>E73&amp;J73</f>
        <v/>
      </c>
      <c r="H73" s="4" t="inlineStr">
        <is>
          <t>ｱｲﾘｽｵｰﾔﾏ/ﾗﾐﾈｰﾄﾌｨﾙﾑ 名刺ｻｲｽﾞ 100枚 100μ/LFT-NC100</t>
        </is>
      </c>
      <c r="I73" s="58" t="n">
        <v>4905009834143</v>
      </c>
      <c r="J73" s="58" t="n">
        <v>5</v>
      </c>
      <c r="K73" s="58" t="n"/>
      <c r="L73" s="58" t="n">
        <v>1</v>
      </c>
      <c r="M73" s="58" t="n">
        <v>1</v>
      </c>
      <c r="N73" s="4" t="n">
        <v>0</v>
      </c>
      <c r="O73" s="4" t="n">
        <v>360</v>
      </c>
      <c r="P73" s="4" t="n">
        <v>180</v>
      </c>
      <c r="Q73" s="59">
        <f>IFERROR(1-P73/O73,"-")</f>
        <v/>
      </c>
      <c r="R73" s="4" t="inlineStr">
        <is>
          <t>-</t>
        </is>
      </c>
      <c r="S73" s="4" t="inlineStr">
        <is>
          <t>-</t>
        </is>
      </c>
      <c r="T73" s="4" t="inlineStr">
        <is>
          <t>-</t>
        </is>
      </c>
      <c r="U73" s="4" t="n">
        <v>0</v>
      </c>
      <c r="V73" s="4">
        <f>IF(Y73="",U73,U73*Y73)</f>
        <v/>
      </c>
      <c r="W73" s="4" t="n">
        <v>216</v>
      </c>
      <c r="X73" s="4">
        <f>IF(Y73="",W73,W73*Y73)</f>
        <v/>
      </c>
      <c r="Y73" s="4" t="n"/>
      <c r="Z73" s="21">
        <f>ROUND(O73*AN73,0)</f>
        <v/>
      </c>
      <c r="AA73" s="59">
        <f>IFERROR(1-X73/Z73,"-")</f>
        <v/>
      </c>
      <c r="AB73" s="4" t="n">
        <v>13.75</v>
      </c>
      <c r="AC73" s="4">
        <f>AY73</f>
        <v/>
      </c>
      <c r="AD73" s="4">
        <f>IFERROR(AC73*AN73,"-")</f>
        <v/>
      </c>
      <c r="AE73" s="59">
        <f>IFERROR(1-X73/AD73,"-")</f>
        <v/>
      </c>
      <c r="AF73" s="7" t="n">
        <v>309</v>
      </c>
      <c r="AG73" s="59">
        <f>1-X73/AF73</f>
        <v/>
      </c>
      <c r="AH73" s="4">
        <f>AF73-X73</f>
        <v/>
      </c>
      <c r="AI73" s="28" t="n"/>
      <c r="AJ73" s="59" t="n"/>
      <c r="AK73" s="59" t="n"/>
      <c r="AL73" s="59">
        <f>IFERROR(V73/N73,"-")</f>
        <v/>
      </c>
      <c r="AM73" s="59">
        <f>IFERROR(AF73/O73,"-")</f>
        <v/>
      </c>
      <c r="AN73" s="59">
        <f>IFERROR(X73/P73,"-")</f>
        <v/>
      </c>
      <c r="AO73" s="59">
        <f>IFERROR(1-X73/AP73,"-")</f>
        <v/>
      </c>
      <c r="AP73" s="4">
        <f>IFERROR(ROUND($AF73*R73/$O73,0),"-")</f>
        <v/>
      </c>
      <c r="AQ73" s="4">
        <f>IF(S73="","-",S73)</f>
        <v/>
      </c>
      <c r="AR73" s="4">
        <f>IF(T73="","-",T73)</f>
        <v/>
      </c>
      <c r="AS73" s="4" t="n">
        <v>0</v>
      </c>
      <c r="AT73" s="4" t="inlineStr">
        <is>
          <t>867111</t>
        </is>
      </c>
      <c r="AU73" s="4" t="n"/>
      <c r="AV73" s="4" t="n"/>
      <c r="AW73" s="4" t="inlineStr">
        <is>
          <t>1箱（100枚入）</t>
        </is>
      </c>
      <c r="AX73" s="4" t="n">
        <v>310</v>
      </c>
      <c r="AY73" s="4">
        <f>IF(AU73="",AX73,AU73/AV73*AX73)</f>
        <v/>
      </c>
      <c r="AZ73" s="19" t="n">
        <v>4</v>
      </c>
      <c r="BA73" s="19" t="n">
        <v>1</v>
      </c>
      <c r="BB73" s="16" t="n">
        <v>1120</v>
      </c>
      <c r="BC73" s="0" t="inlineStr">
        <is>
          <t>-</t>
        </is>
      </c>
      <c r="BD73" s="0">
        <f>IFERROR(BC73*AN73,"-")</f>
        <v/>
      </c>
      <c r="BE73" s="0" t="n">
        <v>417</v>
      </c>
      <c r="BF73" s="0">
        <f>IFERROR(BE73*AN73,"-")</f>
        <v/>
      </c>
      <c r="BG73" s="0" t="inlineStr">
        <is>
          <t>アイリスオーヤマ　ラミネートフィルム　名刺サイズ　帯電防止剤配合(静電気防止)　100μ(ミクロン)　LFT-NC100　1箱（100枚入）</t>
        </is>
      </c>
    </row>
    <row r="74">
      <c r="A74" s="0">
        <f>TEXT(F74,"000000")</f>
        <v/>
      </c>
      <c r="B74" s="3" t="n">
        <v>3</v>
      </c>
      <c r="C74" s="3" t="n">
        <v>3</v>
      </c>
      <c r="D74" s="4" t="n">
        <v>171788</v>
      </c>
      <c r="E74" s="4">
        <f>TEXT(D74,"000000")</f>
        <v/>
      </c>
      <c r="F74" s="4" t="n">
        <v>171788</v>
      </c>
      <c r="G74" s="4">
        <f>E74&amp;J74</f>
        <v/>
      </c>
      <c r="H74" s="4" t="inlineStr">
        <is>
          <t>ｱｲﾘｽｵｰﾔﾏ/ﾗﾐﾈｰﾄﾌｨﾙﾑ B6ｻｲｽﾞ 100μ(ﾐｸﾛﾝ) 20枚入/LZ-B6</t>
        </is>
      </c>
      <c r="I74" s="58" t="n">
        <v>4905009428502</v>
      </c>
      <c r="J74" s="58" t="n">
        <v>5</v>
      </c>
      <c r="K74" s="58" t="n"/>
      <c r="L74" s="58" t="n">
        <v>1</v>
      </c>
      <c r="M74" s="58" t="n">
        <v>1</v>
      </c>
      <c r="N74" s="4" t="n">
        <v>0</v>
      </c>
      <c r="O74" s="4" t="n">
        <v>229</v>
      </c>
      <c r="P74" s="4" t="n">
        <v>200</v>
      </c>
      <c r="Q74" s="59">
        <f>IFERROR(1-P74/O74,"-")</f>
        <v/>
      </c>
      <c r="R74" s="4" t="inlineStr">
        <is>
          <t>-</t>
        </is>
      </c>
      <c r="S74" s="4" t="inlineStr">
        <is>
          <t>-</t>
        </is>
      </c>
      <c r="T74" s="4" t="inlineStr">
        <is>
          <t>-</t>
        </is>
      </c>
      <c r="U74" s="4" t="n">
        <v>0</v>
      </c>
      <c r="V74" s="4">
        <f>IF(Y74="",U74,U74*Y74)</f>
        <v/>
      </c>
      <c r="W74" s="4" t="n">
        <v>240</v>
      </c>
      <c r="X74" s="4">
        <f>IF(Y74="",W74,W74*Y74)</f>
        <v/>
      </c>
      <c r="Y74" s="4" t="n"/>
      <c r="Z74" s="21">
        <f>ROUND(O74*AN74,0)</f>
        <v/>
      </c>
      <c r="AA74" s="59">
        <f>IFERROR(1-X74/Z74,"-")</f>
        <v/>
      </c>
      <c r="AB74" s="4" t="n">
        <v>0.5</v>
      </c>
      <c r="AC74" s="4">
        <f>AY74</f>
        <v/>
      </c>
      <c r="AD74" s="4">
        <f>IFERROR(AC74*AN74,"-")</f>
        <v/>
      </c>
      <c r="AE74" s="59">
        <f>IFERROR(1-X74/AD74,"-")</f>
        <v/>
      </c>
      <c r="AF74" s="7" t="n">
        <v>302</v>
      </c>
      <c r="AG74" s="59">
        <f>1-X74/AF74</f>
        <v/>
      </c>
      <c r="AH74" s="4">
        <f>AF74-X74</f>
        <v/>
      </c>
      <c r="AI74" s="28" t="n"/>
      <c r="AJ74" s="59" t="n"/>
      <c r="AK74" s="59" t="n"/>
      <c r="AL74" s="59">
        <f>IFERROR(V74/N74,"-")</f>
        <v/>
      </c>
      <c r="AM74" s="59">
        <f>IFERROR(AF74/O74,"-")</f>
        <v/>
      </c>
      <c r="AN74" s="59">
        <f>IFERROR(X74/P74,"-")</f>
        <v/>
      </c>
      <c r="AO74" s="59">
        <f>IFERROR(1-X74/AP74,"-")</f>
        <v/>
      </c>
      <c r="AP74" s="4">
        <f>IFERROR(ROUND($AF74*R74/$O74,0),"-")</f>
        <v/>
      </c>
      <c r="AQ74" s="4">
        <f>IF(S74="","-",S74)</f>
        <v/>
      </c>
      <c r="AR74" s="4">
        <f>IF(T74="","-",T74)</f>
        <v/>
      </c>
      <c r="AS74" s="4" t="n">
        <v>0</v>
      </c>
      <c r="AT74" s="4" t="inlineStr">
        <is>
          <t>A018511</t>
        </is>
      </c>
      <c r="AU74" s="4" t="n"/>
      <c r="AV74" s="4" t="n"/>
      <c r="AW74" s="4" t="inlineStr">
        <is>
          <t>1袋(20枚)</t>
        </is>
      </c>
      <c r="AX74" s="4" t="n">
        <v>303</v>
      </c>
      <c r="AY74" s="4">
        <f>IF(AU74="",AX74,AU74/AV74*AX74)</f>
        <v/>
      </c>
      <c r="AZ74" s="19" t="n">
        <v>4</v>
      </c>
      <c r="BA74" s="19" t="n">
        <v>8</v>
      </c>
      <c r="BB74" s="16" t="n">
        <v>1120</v>
      </c>
      <c r="BC74" s="0" t="inlineStr">
        <is>
          <t>-</t>
        </is>
      </c>
      <c r="BD74" s="0">
        <f>IFERROR(BC74*AN74,"-")</f>
        <v/>
      </c>
      <c r="BE74" s="0" t="n">
        <v>382</v>
      </c>
      <c r="BF74" s="0">
        <f>IFERROR(BE74*AN74,"-")</f>
        <v/>
      </c>
      <c r="BG74" s="0" t="inlineStr">
        <is>
          <t>アイリスオーヤマ ラミネートフィルム100ミクロン(B6サイズ) LZーB620 20枚 1袋(20枚)（直送品）</t>
        </is>
      </c>
    </row>
    <row r="75">
      <c r="A75" s="0">
        <f>TEXT(F75,"000000")</f>
        <v/>
      </c>
      <c r="B75" s="3" t="n">
        <v>35</v>
      </c>
      <c r="C75" s="3" t="n">
        <v>35</v>
      </c>
      <c r="D75" s="4" t="inlineStr">
        <is>
          <t>J20300</t>
        </is>
      </c>
      <c r="E75" s="4">
        <f>TEXT(D75,"000000")</f>
        <v/>
      </c>
      <c r="F75" s="4" t="inlineStr">
        <is>
          <t>J20300</t>
        </is>
      </c>
      <c r="G75" s="4">
        <f>E75&amp;J75</f>
        <v/>
      </c>
      <c r="H75" s="4" t="inlineStr">
        <is>
          <t>ｱｲﾘｽｵｰﾔﾏ/ﾗﾐﾈｰﾄﾌｨﾙﾑ A7ｻｲｽﾞ 100μ(ﾐｸﾛﾝ) 100枚入/LZ-A</t>
        </is>
      </c>
      <c r="I75" s="58" t="n">
        <v>4905009708338</v>
      </c>
      <c r="J75" s="58" t="n">
        <v>5</v>
      </c>
      <c r="K75" s="58" t="n"/>
      <c r="L75" s="58" t="n">
        <v>1</v>
      </c>
      <c r="M75" s="58" t="n">
        <v>1</v>
      </c>
      <c r="N75" s="4" t="n">
        <v>0</v>
      </c>
      <c r="O75" s="4" t="n">
        <v>358</v>
      </c>
      <c r="P75" s="4" t="n">
        <v>200</v>
      </c>
      <c r="Q75" s="59">
        <f>IFERROR(1-P75/O75,"-")</f>
        <v/>
      </c>
      <c r="R75" s="4" t="n">
        <v>330</v>
      </c>
      <c r="S75" s="4" t="n">
        <v>4</v>
      </c>
      <c r="T75" s="4" t="n">
        <v>99999</v>
      </c>
      <c r="U75" s="4" t="n">
        <v>0</v>
      </c>
      <c r="V75" s="4">
        <f>IF(Y75="",U75,U75*Y75)</f>
        <v/>
      </c>
      <c r="W75" s="4" t="n">
        <v>240</v>
      </c>
      <c r="X75" s="4">
        <f>IF(Y75="",W75,W75*Y75)</f>
        <v/>
      </c>
      <c r="Y75" s="4" t="n"/>
      <c r="Z75" s="21">
        <f>ROUND(O75*AN75,0)</f>
        <v/>
      </c>
      <c r="AA75" s="59">
        <f>IFERROR(1-X75/Z75,"-")</f>
        <v/>
      </c>
      <c r="AB75" s="4" t="n">
        <v>0.5</v>
      </c>
      <c r="AC75" s="4">
        <f>AY75</f>
        <v/>
      </c>
      <c r="AD75" s="4">
        <f>IFERROR(AC75*AN75,"-")</f>
        <v/>
      </c>
      <c r="AE75" s="59">
        <f>IFERROR(1-X75/AD75,"-")</f>
        <v/>
      </c>
      <c r="AF75" s="7" t="n">
        <v>336</v>
      </c>
      <c r="AG75" s="59">
        <f>1-X75/AF75</f>
        <v/>
      </c>
      <c r="AH75" s="4">
        <f>AF75-X75</f>
        <v/>
      </c>
      <c r="AI75" s="28" t="n"/>
      <c r="AJ75" s="59" t="n"/>
      <c r="AK75" s="59" t="n"/>
      <c r="AL75" s="60">
        <f>IFERROR(V75/N75,"-")</f>
        <v/>
      </c>
      <c r="AM75" s="59">
        <f>IFERROR(AF75/O75,"-")</f>
        <v/>
      </c>
      <c r="AN75" s="59">
        <f>IFERROR(X75/P75,"-")</f>
        <v/>
      </c>
      <c r="AO75" s="59">
        <f>IFERROR(1-X75/AP75,"-")</f>
        <v/>
      </c>
      <c r="AP75" s="4" t="n">
        <v>370</v>
      </c>
      <c r="AQ75" s="4">
        <f>IF(S75="","-",S75)</f>
        <v/>
      </c>
      <c r="AR75" s="4">
        <f>IF(T75="","-",T75)</f>
        <v/>
      </c>
      <c r="AS75" s="4" t="n">
        <v>0</v>
      </c>
      <c r="AT75" s="4" t="inlineStr">
        <is>
          <t>A018524</t>
        </is>
      </c>
      <c r="AU75" s="4" t="n"/>
      <c r="AV75" s="4" t="n"/>
      <c r="AW75" s="4" t="inlineStr">
        <is>
          <t>1袋(100枚)</t>
        </is>
      </c>
      <c r="AX75" s="4" t="n">
        <v>337</v>
      </c>
      <c r="AY75" s="4">
        <f>IF(AU75="",AX75,AU75/AV75*AX75)</f>
        <v/>
      </c>
      <c r="AZ75" s="19" t="n">
        <v>4</v>
      </c>
      <c r="BA75" s="19" t="n">
        <v>8</v>
      </c>
      <c r="BB75" s="16" t="n">
        <v>1120</v>
      </c>
      <c r="BC75" s="0" t="inlineStr">
        <is>
          <t>-</t>
        </is>
      </c>
      <c r="BD75" s="0">
        <f>IFERROR(BC75*AN75,"-")</f>
        <v/>
      </c>
      <c r="BE75" s="0" t="n">
        <v>337</v>
      </c>
      <c r="BF75" s="0">
        <f>IFERROR(BE75*AN75,"-")</f>
        <v/>
      </c>
      <c r="BG75" s="0" t="inlineStr">
        <is>
          <t>アイリスオーヤマ ラミネートフィルム100ミクロン(A7サイズ) LZーA7100 100枚 1袋(100枚)（直送品）</t>
        </is>
      </c>
    </row>
    <row r="76">
      <c r="A76" s="0">
        <f>TEXT(F76,"000000")</f>
        <v/>
      </c>
      <c r="B76" s="3" t="n">
        <v>39</v>
      </c>
      <c r="C76" s="3" t="n">
        <v>39</v>
      </c>
      <c r="D76" s="4" t="inlineStr">
        <is>
          <t>J20304</t>
        </is>
      </c>
      <c r="E76" s="4">
        <f>TEXT(D76,"000000")</f>
        <v/>
      </c>
      <c r="F76" s="4" t="inlineStr">
        <is>
          <t>J20304</t>
        </is>
      </c>
      <c r="G76" s="4">
        <f>E76&amp;J76</f>
        <v/>
      </c>
      <c r="H76" s="4" t="inlineStr">
        <is>
          <t>ｱｲﾘｽｵｰﾔﾏ/ﾗﾐﾈｰﾄﾌｨﾙﾑ はがきｻｲｽﾞ 150μ(ﾐｸﾛﾝ) 20枚入/L</t>
        </is>
      </c>
      <c r="I76" s="58" t="n">
        <v>4905009428717</v>
      </c>
      <c r="J76" s="58" t="n">
        <v>5</v>
      </c>
      <c r="K76" s="58" t="n"/>
      <c r="L76" s="58" t="n">
        <v>1</v>
      </c>
      <c r="M76" s="58" t="n">
        <v>1</v>
      </c>
      <c r="N76" s="4" t="n">
        <v>0</v>
      </c>
      <c r="O76" s="4" t="n">
        <v>318</v>
      </c>
      <c r="P76" s="4" t="n">
        <v>200</v>
      </c>
      <c r="Q76" s="59">
        <f>IFERROR(1-P76/O76,"-")</f>
        <v/>
      </c>
      <c r="R76" s="4" t="inlineStr">
        <is>
          <t>-</t>
        </is>
      </c>
      <c r="S76" s="4" t="inlineStr">
        <is>
          <t>-</t>
        </is>
      </c>
      <c r="T76" s="4" t="inlineStr">
        <is>
          <t>-</t>
        </is>
      </c>
      <c r="U76" s="4" t="n">
        <v>0</v>
      </c>
      <c r="V76" s="4">
        <f>IF(Y76="",U76,U76*Y76)</f>
        <v/>
      </c>
      <c r="W76" s="4" t="n">
        <v>240</v>
      </c>
      <c r="X76" s="4">
        <f>IF(Y76="",W76,W76*Y76)</f>
        <v/>
      </c>
      <c r="Y76" s="4" t="n"/>
      <c r="Z76" s="21">
        <f>ROUND(O76*AN76,0)</f>
        <v/>
      </c>
      <c r="AA76" s="59">
        <f>IFERROR(1-X76/Z76,"-")</f>
        <v/>
      </c>
      <c r="AB76" s="4" t="n">
        <v>0.25</v>
      </c>
      <c r="AC76" s="4">
        <f>AY76</f>
        <v/>
      </c>
      <c r="AD76" s="4">
        <f>IFERROR(AC76*AN76,"-")</f>
        <v/>
      </c>
      <c r="AE76" s="59">
        <f>IFERROR(1-X76/AD76,"-")</f>
        <v/>
      </c>
      <c r="AF76" s="7" t="n">
        <v>314</v>
      </c>
      <c r="AG76" s="59">
        <f>1-X76/AF76</f>
        <v/>
      </c>
      <c r="AH76" s="4">
        <f>AF76-X76</f>
        <v/>
      </c>
      <c r="AI76" s="28" t="n"/>
      <c r="AJ76" s="59" t="n"/>
      <c r="AK76" s="59" t="n"/>
      <c r="AL76" s="59">
        <f>IFERROR(V76/N76,"-")</f>
        <v/>
      </c>
      <c r="AM76" s="59">
        <f>IFERROR(AF76/O76,"-")</f>
        <v/>
      </c>
      <c r="AN76" s="59">
        <f>IFERROR(X76/P76,"-")</f>
        <v/>
      </c>
      <c r="AO76" s="59">
        <f>IFERROR(1-X76/AP76,"-")</f>
        <v/>
      </c>
      <c r="AP76" s="4">
        <f>IFERROR(ROUND($AF76*R76/$O76,0),"-")</f>
        <v/>
      </c>
      <c r="AQ76" s="4">
        <f>IF(S76="","-",S76)</f>
        <v/>
      </c>
      <c r="AR76" s="4">
        <f>IF(T76="","-",T76)</f>
        <v/>
      </c>
      <c r="AS76" s="4" t="n">
        <v>0</v>
      </c>
      <c r="AT76" s="4" t="inlineStr">
        <is>
          <t>P099552</t>
        </is>
      </c>
      <c r="AU76" s="4" t="n">
        <v>1</v>
      </c>
      <c r="AV76" s="4" t="n">
        <v>4</v>
      </c>
      <c r="AW76" s="4" t="inlineStr">
        <is>
          <t>1セット(4袋)</t>
        </is>
      </c>
      <c r="AX76" s="4" t="n">
        <v>1262</v>
      </c>
      <c r="AY76" s="4">
        <f>IF(AU76="",AX76,AU76/AV76*AX76)</f>
        <v/>
      </c>
      <c r="AZ76" s="19" t="n">
        <v>4</v>
      </c>
      <c r="BA76" s="19" t="n">
        <v>8</v>
      </c>
      <c r="BB76" s="16" t="n">
        <v>1120</v>
      </c>
      <c r="BC76" s="0" t="inlineStr">
        <is>
          <t>-</t>
        </is>
      </c>
      <c r="BD76" s="0">
        <f>IFERROR(BC76*AN76,"-")</f>
        <v/>
      </c>
      <c r="BE76" s="0" t="n">
        <v>309</v>
      </c>
      <c r="BF76" s="0">
        <f>IFERROR(BE76*AN76,"-")</f>
        <v/>
      </c>
      <c r="BG76" s="0" t="inlineStr">
        <is>
          <t>アイリスオーヤマ ラミネートフィルム150ミクロン(はがきサイズ) LZー15HA20 20枚 1セット(4袋)（直送品）</t>
        </is>
      </c>
    </row>
    <row r="77">
      <c r="A77" s="0">
        <f>TEXT(F77,"000000")</f>
        <v/>
      </c>
      <c r="B77" s="3" t="n">
        <v>4</v>
      </c>
      <c r="C77" s="3" t="n">
        <v>4</v>
      </c>
      <c r="D77" s="4" t="n">
        <v>171796</v>
      </c>
      <c r="E77" s="4">
        <f>TEXT(D77,"000000")</f>
        <v/>
      </c>
      <c r="F77" s="4" t="n">
        <v>171796</v>
      </c>
      <c r="G77" s="4">
        <f>E77&amp;J77</f>
        <v/>
      </c>
      <c r="H77" s="4" t="inlineStr">
        <is>
          <t>ｱｲﾘｽｵｰﾔﾏ/ﾗﾐﾈｰﾄﾌｨﾙﾑ B6ｻｲｽﾞ 150μ(ﾐｸﾛﾝ) 20枚入/LZ-15</t>
        </is>
      </c>
      <c r="I77" s="58" t="n">
        <v>4905009428724</v>
      </c>
      <c r="J77" s="58" t="n">
        <v>5</v>
      </c>
      <c r="K77" s="58" t="n"/>
      <c r="L77" s="58" t="n">
        <v>1</v>
      </c>
      <c r="M77" s="58" t="n">
        <v>1</v>
      </c>
      <c r="N77" s="4" t="n">
        <v>0</v>
      </c>
      <c r="O77" s="4" t="n">
        <v>348</v>
      </c>
      <c r="P77" s="4" t="n">
        <v>215</v>
      </c>
      <c r="Q77" s="59">
        <f>IFERROR(1-P77/O77,"-")</f>
        <v/>
      </c>
      <c r="R77" s="4" t="inlineStr">
        <is>
          <t>-</t>
        </is>
      </c>
      <c r="S77" s="4" t="inlineStr">
        <is>
          <t>-</t>
        </is>
      </c>
      <c r="T77" s="4" t="inlineStr">
        <is>
          <t>-</t>
        </is>
      </c>
      <c r="U77" s="4" t="n">
        <v>0</v>
      </c>
      <c r="V77" s="4">
        <f>IF(Y77="",U77,U77*Y77)</f>
        <v/>
      </c>
      <c r="W77" s="4" t="n">
        <v>258</v>
      </c>
      <c r="X77" s="4">
        <f>IF(Y77="",W77,W77*Y77)</f>
        <v/>
      </c>
      <c r="Y77" s="4" t="n"/>
      <c r="Z77" s="21">
        <f>ROUND(O77*AN77,0)</f>
        <v/>
      </c>
      <c r="AA77" s="59">
        <f>IFERROR(1-X77/Z77,"-")</f>
        <v/>
      </c>
      <c r="AB77" s="4" t="n">
        <v>0.25</v>
      </c>
      <c r="AC77" s="4">
        <f>AY77</f>
        <v/>
      </c>
      <c r="AD77" s="4">
        <f>IFERROR(AC77*AN77,"-")</f>
        <v/>
      </c>
      <c r="AE77" s="59">
        <f>IFERROR(1-X77/AD77,"-")</f>
        <v/>
      </c>
      <c r="AF77" s="7" t="n">
        <v>401</v>
      </c>
      <c r="AG77" s="59">
        <f>1-X77/AF77</f>
        <v/>
      </c>
      <c r="AH77" s="4">
        <f>AF77-X77</f>
        <v/>
      </c>
      <c r="AI77" s="28" t="n"/>
      <c r="AJ77" s="59" t="n"/>
      <c r="AK77" s="59" t="n"/>
      <c r="AL77" s="59">
        <f>IFERROR(V77/N77,"-")</f>
        <v/>
      </c>
      <c r="AM77" s="59">
        <f>IFERROR(AF77/O77,"-")</f>
        <v/>
      </c>
      <c r="AN77" s="59">
        <f>IFERROR(X77/P77,"-")</f>
        <v/>
      </c>
      <c r="AO77" s="59">
        <f>IFERROR(1-X77/AP77,"-")</f>
        <v/>
      </c>
      <c r="AP77" s="4">
        <f>IFERROR(ROUND($AF77*R77/$O77,0),"-")</f>
        <v/>
      </c>
      <c r="AQ77" s="4">
        <f>IF(S77="","-",S77)</f>
        <v/>
      </c>
      <c r="AR77" s="4">
        <f>IF(T77="","-",T77)</f>
        <v/>
      </c>
      <c r="AS77" s="4" t="n">
        <v>0</v>
      </c>
      <c r="AT77" s="4" t="inlineStr">
        <is>
          <t>JE50597</t>
        </is>
      </c>
      <c r="AU77" s="4" t="n"/>
      <c r="AV77" s="4" t="n"/>
      <c r="AW77" s="4" t="inlineStr">
        <is>
          <t>1袋</t>
        </is>
      </c>
      <c r="AX77" s="4" t="n">
        <v>402</v>
      </c>
      <c r="AY77" s="4">
        <f>IF(AU77="",AX77,AU77/AV77*AX77)</f>
        <v/>
      </c>
      <c r="AZ77" s="19" t="n">
        <v>4</v>
      </c>
      <c r="BA77" s="19" t="n">
        <v>8</v>
      </c>
      <c r="BB77" s="16" t="n">
        <v>1120</v>
      </c>
      <c r="BC77" s="0" t="inlineStr">
        <is>
          <t>-</t>
        </is>
      </c>
      <c r="BD77" s="0">
        <f>IFERROR(BC77*AN77,"-")</f>
        <v/>
      </c>
      <c r="BE77" s="0" t="n">
        <v>420</v>
      </c>
      <c r="BF77" s="0">
        <f>IFERROR(BE77*AN77,"-")</f>
        <v/>
      </c>
      <c r="BG77" s="0" t="inlineStr">
        <is>
          <t>アイリスオーヤマ　ラミネートフィルム　B6サイズ　150μ(ミクロン)　LZ-15B620　20枚入　1袋</t>
        </is>
      </c>
    </row>
    <row r="78">
      <c r="A78" s="0">
        <f>TEXT(F78,"000000")</f>
        <v/>
      </c>
      <c r="B78" s="3" t="n">
        <v>12</v>
      </c>
      <c r="C78" s="3" t="n">
        <v>12</v>
      </c>
      <c r="D78" s="4" t="n">
        <v>601331</v>
      </c>
      <c r="E78" s="4">
        <f>TEXT(D78,"000000")</f>
        <v/>
      </c>
      <c r="F78" s="4" t="n">
        <v>601331</v>
      </c>
      <c r="G78" s="4">
        <f>E78&amp;J78</f>
        <v/>
      </c>
      <c r="H78" s="4" t="inlineStr">
        <is>
          <t>ｱｲﾘｽｵｰﾔﾏ/ﾗﾐﾈｰﾄﾌｨﾙﾑ 名刺ｻｲｽﾞ 150μ(ﾐｸﾛﾝ) 100枚入/LZ</t>
        </is>
      </c>
      <c r="I78" s="58" t="n">
        <v>4905009427451</v>
      </c>
      <c r="J78" s="58" t="n">
        <v>5</v>
      </c>
      <c r="K78" s="58" t="n"/>
      <c r="L78" s="58" t="n">
        <v>1</v>
      </c>
      <c r="M78" s="58" t="n">
        <v>1</v>
      </c>
      <c r="N78" s="4" t="n">
        <v>0</v>
      </c>
      <c r="O78" s="4" t="n">
        <v>564</v>
      </c>
      <c r="P78" s="4" t="n">
        <v>235</v>
      </c>
      <c r="Q78" s="59">
        <f>IFERROR(1-P78/O78,"-")</f>
        <v/>
      </c>
      <c r="R78" s="4" t="n">
        <v>539</v>
      </c>
      <c r="S78" s="4" t="n">
        <v>4</v>
      </c>
      <c r="T78" s="4" t="n">
        <v>99999</v>
      </c>
      <c r="U78" s="4" t="n">
        <v>0</v>
      </c>
      <c r="V78" s="4">
        <f>IF(Y78="",U78,U78*Y78)</f>
        <v/>
      </c>
      <c r="W78" s="4" t="n">
        <v>281.9999999999999</v>
      </c>
      <c r="X78" s="4">
        <f>IF(Y78="",W78,W78*Y78)</f>
        <v/>
      </c>
      <c r="Y78" s="4" t="n"/>
      <c r="Z78" s="21">
        <f>ROUND(O78*AN78,0)</f>
        <v/>
      </c>
      <c r="AA78" s="59">
        <f>IFERROR(1-X78/Z78,"-")</f>
        <v/>
      </c>
      <c r="AB78" s="4" t="n">
        <v>33.75</v>
      </c>
      <c r="AC78" s="4">
        <f>AY78</f>
        <v/>
      </c>
      <c r="AD78" s="4">
        <f>IFERROR(AC78*AN78,"-")</f>
        <v/>
      </c>
      <c r="AE78" s="59">
        <f>IFERROR(1-X78/AD78,"-")</f>
        <v/>
      </c>
      <c r="AF78" s="7" t="n">
        <v>563</v>
      </c>
      <c r="AG78" s="59">
        <f>1-X78/AF78</f>
        <v/>
      </c>
      <c r="AH78" s="4">
        <f>AF78-X78</f>
        <v/>
      </c>
      <c r="AI78" s="28" t="n"/>
      <c r="AJ78" s="59" t="n"/>
      <c r="AK78" s="59" t="n"/>
      <c r="AL78" s="60">
        <f>IFERROR(V78/N78,"-")</f>
        <v/>
      </c>
      <c r="AM78" s="59">
        <f>IFERROR(AF78/O78,"-")</f>
        <v/>
      </c>
      <c r="AN78" s="59">
        <f>IFERROR(X78/P78,"-")</f>
        <v/>
      </c>
      <c r="AO78" s="59">
        <f>IFERROR(1-X78/AP78,"-")</f>
        <v/>
      </c>
      <c r="AP78" s="4" t="n">
        <v>415</v>
      </c>
      <c r="AQ78" s="4">
        <f>IF(S78="","-",S78)</f>
        <v/>
      </c>
      <c r="AR78" s="4">
        <f>IF(T78="","-",T78)</f>
        <v/>
      </c>
      <c r="AS78" s="4" t="inlineStr">
        <is>
          <t>34/363</t>
        </is>
      </c>
      <c r="AT78" s="4" t="inlineStr">
        <is>
          <t>460806</t>
        </is>
      </c>
      <c r="AU78" s="4" t="n"/>
      <c r="AV78" s="4" t="n"/>
      <c r="AW78" s="4" t="inlineStr">
        <is>
          <t>1個（100枚入）</t>
        </is>
      </c>
      <c r="AX78" s="4" t="n">
        <v>564</v>
      </c>
      <c r="AY78" s="4">
        <f>IF(AU78="",AX78,AU78/AV78*AX78)</f>
        <v/>
      </c>
      <c r="AZ78" s="19" t="n">
        <v>4</v>
      </c>
      <c r="BA78" s="19" t="n">
        <v>1</v>
      </c>
      <c r="BB78" s="16" t="n">
        <v>1120</v>
      </c>
      <c r="BC78" s="0" t="inlineStr">
        <is>
          <t>-</t>
        </is>
      </c>
      <c r="BD78" s="0">
        <f>IFERROR(BC78*AN78,"-")</f>
        <v/>
      </c>
      <c r="BE78" s="0" t="n">
        <v>365</v>
      </c>
      <c r="BF78" s="0">
        <f>IFERROR(BE78*AN78,"-")</f>
        <v/>
      </c>
      <c r="BG78" s="0" t="inlineStr">
        <is>
          <t>アイリスオーヤマ　ラミネートフィルム　名刺サイズ　150μ(ミクロン)　LZ-5NC100　1個(100枚入)</t>
        </is>
      </c>
    </row>
    <row r="79">
      <c r="A79" s="0">
        <f>TEXT(F79,"000000")</f>
        <v/>
      </c>
      <c r="B79" s="3" t="n">
        <v>80</v>
      </c>
      <c r="C79" s="3" t="n">
        <v>80</v>
      </c>
      <c r="D79" s="4" t="n">
        <v>669460</v>
      </c>
      <c r="E79" s="4">
        <f>TEXT(D79,"000000")</f>
        <v/>
      </c>
      <c r="F79" s="4" t="n">
        <v>669460</v>
      </c>
      <c r="G79" s="4">
        <f>E79&amp;J79</f>
        <v/>
      </c>
      <c r="H79" s="4" t="inlineStr">
        <is>
          <t>ｱｲﾘｽｵｰﾔﾏ/ﾗﾐﾈｰﾄﾌｨﾙﾑ100μ 写真Lｻｲｽﾞ100枚/LFT-PL100</t>
        </is>
      </c>
      <c r="I79" s="58" t="n">
        <v>4905009834150</v>
      </c>
      <c r="J79" s="58" t="n">
        <v>5</v>
      </c>
      <c r="K79" s="58" t="n"/>
      <c r="L79" s="58" t="n">
        <v>1</v>
      </c>
      <c r="M79" s="58" t="n">
        <v>1</v>
      </c>
      <c r="N79" s="4" t="n">
        <v>0</v>
      </c>
      <c r="O79" s="4" t="n">
        <v>908</v>
      </c>
      <c r="P79" s="4" t="n">
        <v>292</v>
      </c>
      <c r="Q79" s="59">
        <f>IFERROR(1-P79/O79,"-")</f>
        <v/>
      </c>
      <c r="R79" s="4" t="inlineStr">
        <is>
          <t>-</t>
        </is>
      </c>
      <c r="S79" s="4" t="inlineStr">
        <is>
          <t>-</t>
        </is>
      </c>
      <c r="T79" s="4" t="inlineStr">
        <is>
          <t>-</t>
        </is>
      </c>
      <c r="U79" s="4" t="n">
        <v>0</v>
      </c>
      <c r="V79" s="4">
        <f>IF(Y79="",U79,U79*Y79)</f>
        <v/>
      </c>
      <c r="W79" s="4" t="n">
        <v>350</v>
      </c>
      <c r="X79" s="4">
        <f>IF(Y79="",W79,W79*Y79)</f>
        <v/>
      </c>
      <c r="Y79" s="4" t="n"/>
      <c r="Z79" s="21">
        <f>ROUND(O79*AN79,0)</f>
        <v/>
      </c>
      <c r="AA79" s="59">
        <f>IFERROR(1-X79/Z79,"-")</f>
        <v/>
      </c>
      <c r="AB79" s="4" t="n">
        <v>4.75</v>
      </c>
      <c r="AC79" s="4">
        <f>AY79</f>
        <v/>
      </c>
      <c r="AD79" s="4">
        <f>IFERROR(AC79*AN79,"-")</f>
        <v/>
      </c>
      <c r="AE79" s="59">
        <f>IFERROR(1-X79/AD79,"-")</f>
        <v/>
      </c>
      <c r="AF79" s="7" t="n">
        <v>899</v>
      </c>
      <c r="AG79" s="59">
        <f>1-X79/AF79</f>
        <v/>
      </c>
      <c r="AH79" s="4">
        <f>AF79-X79</f>
        <v/>
      </c>
      <c r="AI79" s="28" t="n"/>
      <c r="AJ79" s="59" t="n"/>
      <c r="AK79" s="59" t="n"/>
      <c r="AL79" s="59">
        <f>IFERROR(V79/N79,"-")</f>
        <v/>
      </c>
      <c r="AM79" s="59">
        <f>IFERROR(AF79/O79,"-")</f>
        <v/>
      </c>
      <c r="AN79" s="59">
        <f>IFERROR(X79/P79,"-")</f>
        <v/>
      </c>
      <c r="AO79" s="59">
        <f>IFERROR(1-X79/AP79,"-")</f>
        <v/>
      </c>
      <c r="AP79" s="4">
        <f>IFERROR(ROUND($AF79*R79/$O79,0),"-")</f>
        <v/>
      </c>
      <c r="AQ79" s="4">
        <f>IF(S79="","-",S79)</f>
        <v/>
      </c>
      <c r="AR79" s="4">
        <f>IF(T79="","-",T79)</f>
        <v/>
      </c>
      <c r="AS79" s="4" t="inlineStr">
        <is>
          <t>34/363</t>
        </is>
      </c>
      <c r="AT79" s="4" t="inlineStr">
        <is>
          <t>3485228</t>
        </is>
      </c>
      <c r="AU79" s="4" t="n"/>
      <c r="AV79" s="4" t="n"/>
      <c r="AW79" s="4" t="inlineStr">
        <is>
          <t>1箱（100枚入）</t>
        </is>
      </c>
      <c r="AX79" s="4" t="n">
        <v>900</v>
      </c>
      <c r="AY79" s="4">
        <f>IF(AU79="",AX79,AU79/AV79*AX79)</f>
        <v/>
      </c>
      <c r="AZ79" s="19" t="n">
        <v>4</v>
      </c>
      <c r="BA79" s="19" t="n">
        <v>1</v>
      </c>
      <c r="BB79" s="16" t="n">
        <v>1120</v>
      </c>
      <c r="BC79" s="0" t="inlineStr">
        <is>
          <t>-</t>
        </is>
      </c>
      <c r="BD79" s="0">
        <f>IFERROR(BC79*AN79,"-")</f>
        <v/>
      </c>
      <c r="BE79" s="0" t="n">
        <v>999</v>
      </c>
      <c r="BF79" s="0">
        <f>IFERROR(BE79*AN79,"-")</f>
        <v/>
      </c>
      <c r="BG79" s="0" t="inlineStr">
        <is>
          <t>アイリスオーヤマ　ラミネートフィルム　写真(L判)サイズ　帯電防止剤配合(静電気防止)　100μ(ミクロン)　LFT-PL100　1箱（100枚入）</t>
        </is>
      </c>
    </row>
    <row r="80">
      <c r="A80" s="0">
        <f>TEXT(F80,"000000")</f>
        <v/>
      </c>
      <c r="B80" s="3" t="n">
        <v>40</v>
      </c>
      <c r="C80" s="3" t="n">
        <v>40</v>
      </c>
      <c r="D80" s="4" t="inlineStr">
        <is>
          <t>J20306</t>
        </is>
      </c>
      <c r="E80" s="4">
        <f>TEXT(D80,"000000")</f>
        <v/>
      </c>
      <c r="F80" s="4" t="inlineStr">
        <is>
          <t>J20306</t>
        </is>
      </c>
      <c r="G80" s="4">
        <f>E80&amp;J80</f>
        <v/>
      </c>
      <c r="H80" s="4" t="inlineStr">
        <is>
          <t>ｱｲﾘｽｵｰﾔﾏ/ﾗﾐﾈｰﾄﾌｨﾙﾑ A5ｻｲｽﾞ 150μ(ﾐｸﾛﾝ) 20枚入/LZ-15</t>
        </is>
      </c>
      <c r="I80" s="58" t="n">
        <v>4905009428731</v>
      </c>
      <c r="J80" s="58" t="n">
        <v>5</v>
      </c>
      <c r="K80" s="58" t="n"/>
      <c r="L80" s="58" t="n">
        <v>1</v>
      </c>
      <c r="M80" s="58" t="n">
        <v>1</v>
      </c>
      <c r="N80" s="4" t="n">
        <v>0</v>
      </c>
      <c r="O80" s="4" t="n">
        <v>515</v>
      </c>
      <c r="P80" s="4" t="n">
        <v>300</v>
      </c>
      <c r="Q80" s="59">
        <f>IFERROR(1-P80/O80,"-")</f>
        <v/>
      </c>
      <c r="R80" s="4" t="inlineStr">
        <is>
          <t>-</t>
        </is>
      </c>
      <c r="S80" s="4" t="inlineStr">
        <is>
          <t>-</t>
        </is>
      </c>
      <c r="T80" s="4" t="inlineStr">
        <is>
          <t>-</t>
        </is>
      </c>
      <c r="U80" s="4" t="n">
        <v>0</v>
      </c>
      <c r="V80" s="4">
        <f>IF(Y80="",U80,U80*Y80)</f>
        <v/>
      </c>
      <c r="W80" s="4" t="n">
        <v>360</v>
      </c>
      <c r="X80" s="4">
        <f>IF(Y80="",W80,W80*Y80)</f>
        <v/>
      </c>
      <c r="Y80" s="4" t="n"/>
      <c r="Z80" s="21">
        <f>ROUND(O80*AN80,0)</f>
        <v/>
      </c>
      <c r="AA80" s="59">
        <f>IFERROR(1-X80/Z80,"-")</f>
        <v/>
      </c>
      <c r="AB80" s="4" t="n">
        <v>4.25</v>
      </c>
      <c r="AC80" s="4">
        <f>AY80</f>
        <v/>
      </c>
      <c r="AD80" s="4">
        <f>IFERROR(AC80*AN80,"-")</f>
        <v/>
      </c>
      <c r="AE80" s="59">
        <f>IFERROR(1-X80/AD80,"-")</f>
        <v/>
      </c>
      <c r="AF80" s="7" t="n">
        <v>754</v>
      </c>
      <c r="AG80" s="59">
        <f>1-X80/AF80</f>
        <v/>
      </c>
      <c r="AH80" s="4">
        <f>AF80-X80</f>
        <v/>
      </c>
      <c r="AI80" s="28" t="n"/>
      <c r="AJ80" s="59" t="n"/>
      <c r="AK80" s="59" t="n"/>
      <c r="AL80" s="59">
        <f>IFERROR(V80/N80,"-")</f>
        <v/>
      </c>
      <c r="AM80" s="59">
        <f>IFERROR(AF80/O80,"-")</f>
        <v/>
      </c>
      <c r="AN80" s="59">
        <f>IFERROR(X80/P80,"-")</f>
        <v/>
      </c>
      <c r="AO80" s="59">
        <f>IFERROR(1-X80/AP80,"-")</f>
        <v/>
      </c>
      <c r="AP80" s="4">
        <f>IFERROR(ROUND($AF80*R80/$O80,0),"-")</f>
        <v/>
      </c>
      <c r="AQ80" s="4">
        <f>IF(S80="","-",S80)</f>
        <v/>
      </c>
      <c r="AR80" s="4">
        <f>IF(T80="","-",T80)</f>
        <v/>
      </c>
      <c r="AS80" s="4" t="n">
        <v>0</v>
      </c>
      <c r="AT80" s="4" t="inlineStr">
        <is>
          <t>JE50595</t>
        </is>
      </c>
      <c r="AU80" s="4" t="n"/>
      <c r="AV80" s="4" t="n"/>
      <c r="AW80" s="4" t="inlineStr">
        <is>
          <t>1パック（20枚入）</t>
        </is>
      </c>
      <c r="AX80" s="4" t="n">
        <v>755</v>
      </c>
      <c r="AY80" s="4">
        <f>IF(AU80="",AX80,AU80/AV80*AX80)</f>
        <v/>
      </c>
      <c r="AZ80" s="19" t="n">
        <v>4</v>
      </c>
      <c r="BA80" s="19" t="n">
        <v>1</v>
      </c>
      <c r="BB80" s="16" t="n">
        <v>1120</v>
      </c>
      <c r="BC80" s="0" t="inlineStr">
        <is>
          <t>-</t>
        </is>
      </c>
      <c r="BD80" s="0">
        <f>IFERROR(BC80*AN80,"-")</f>
        <v/>
      </c>
      <c r="BE80" s="0" t="n">
        <v>558</v>
      </c>
      <c r="BF80" s="0">
        <f>IFERROR(BE80*AN80,"-")</f>
        <v/>
      </c>
      <c r="BG80" s="0" t="inlineStr">
        <is>
          <t>アイリスオーヤマ　ラミネートフィルム　A5サイズ　150μ(ミクロン)　LZ-15A520　1パック(20枚入)</t>
        </is>
      </c>
    </row>
    <row r="81">
      <c r="A81" s="0">
        <f>TEXT(F81,"000000")</f>
        <v/>
      </c>
      <c r="B81" s="3" t="n">
        <v>47</v>
      </c>
      <c r="C81" s="3" t="n">
        <v>47</v>
      </c>
      <c r="D81" s="4" t="inlineStr">
        <is>
          <t>J20285</t>
        </is>
      </c>
      <c r="E81" s="4">
        <f>TEXT(D81,"000000")</f>
        <v/>
      </c>
      <c r="F81" s="4" t="inlineStr">
        <is>
          <t>J20285</t>
        </is>
      </c>
      <c r="G81" s="4">
        <f>E81&amp;J81</f>
        <v/>
      </c>
      <c r="H81" s="4" t="inlineStr">
        <is>
          <t>ｱｲﾘｽｵｰﾔﾏ/ﾗﾐﾈｰﾄﾌｨﾙﾑ A5ｻｲｽﾞ 100μ(ﾐｸﾛﾝ) 20枚入/LZ-A5</t>
        </is>
      </c>
      <c r="I81" s="58" t="n">
        <v>4905009428519</v>
      </c>
      <c r="J81" s="58" t="n">
        <v>5</v>
      </c>
      <c r="K81" s="58" t="n"/>
      <c r="L81" s="58" t="n">
        <v>1</v>
      </c>
      <c r="M81" s="58" t="n">
        <v>1</v>
      </c>
      <c r="N81" s="4" t="n">
        <v>0</v>
      </c>
      <c r="O81" s="4" t="n">
        <v>376</v>
      </c>
      <c r="P81" s="4" t="n">
        <v>300</v>
      </c>
      <c r="Q81" s="59">
        <f>IFERROR(1-P81/O81,"-")</f>
        <v/>
      </c>
      <c r="R81" s="4" t="inlineStr">
        <is>
          <t>-</t>
        </is>
      </c>
      <c r="S81" s="4" t="inlineStr">
        <is>
          <t>-</t>
        </is>
      </c>
      <c r="T81" s="4" t="inlineStr">
        <is>
          <t>-</t>
        </is>
      </c>
      <c r="U81" s="4" t="n">
        <v>0</v>
      </c>
      <c r="V81" s="4">
        <f>IF(Y81="",U81,U81*Y81)</f>
        <v/>
      </c>
      <c r="W81" s="4" t="n">
        <v>360</v>
      </c>
      <c r="X81" s="4">
        <f>IF(Y81="",W81,W81*Y81)</f>
        <v/>
      </c>
      <c r="Y81" s="4" t="n"/>
      <c r="Z81" s="21">
        <f>ROUND(O81*AN81,0)</f>
        <v/>
      </c>
      <c r="AA81" s="59">
        <f>IFERROR(1-X81/Z81,"-")</f>
        <v/>
      </c>
      <c r="AB81" s="4" t="n">
        <v>8.5</v>
      </c>
      <c r="AC81" s="4">
        <f>AY81</f>
        <v/>
      </c>
      <c r="AD81" s="4">
        <f>IFERROR(AC81*AN81,"-")</f>
        <v/>
      </c>
      <c r="AE81" s="59">
        <f>IFERROR(1-X81/AD81,"-")</f>
        <v/>
      </c>
      <c r="AF81" s="7" t="n">
        <v>424</v>
      </c>
      <c r="AG81" s="59">
        <f>1-X81/AF81</f>
        <v/>
      </c>
      <c r="AH81" s="4">
        <f>AF81-X81</f>
        <v/>
      </c>
      <c r="AI81" s="28" t="n"/>
      <c r="AJ81" s="59" t="n"/>
      <c r="AK81" s="59" t="n"/>
      <c r="AL81" s="59">
        <f>IFERROR(V81/N81,"-")</f>
        <v/>
      </c>
      <c r="AM81" s="59">
        <f>IFERROR(AF81/O81,"-")</f>
        <v/>
      </c>
      <c r="AN81" s="59">
        <f>IFERROR(X81/P81,"-")</f>
        <v/>
      </c>
      <c r="AO81" s="59">
        <f>IFERROR(1-X81/AP81,"-")</f>
        <v/>
      </c>
      <c r="AP81" s="4">
        <f>IFERROR(ROUND($AF81*R81/$O81,0),"-")</f>
        <v/>
      </c>
      <c r="AQ81" s="4">
        <f>IF(S81="","-",S81)</f>
        <v/>
      </c>
      <c r="AR81" s="4">
        <f>IF(T81="","-",T81)</f>
        <v/>
      </c>
      <c r="AS81" s="4" t="n">
        <v>0</v>
      </c>
      <c r="AT81" s="4" t="inlineStr">
        <is>
          <t>-</t>
        </is>
      </c>
      <c r="AU81" s="4" t="n"/>
      <c r="AV81" s="4" t="n"/>
      <c r="AW81" s="4" t="inlineStr">
        <is>
          <t>-</t>
        </is>
      </c>
      <c r="AX81" s="4" t="inlineStr">
        <is>
          <t>-</t>
        </is>
      </c>
      <c r="AY81" s="4">
        <f>IF(AU81="",AX81,AU81/AV81*AX81)</f>
        <v/>
      </c>
      <c r="AZ81" s="19" t="n">
        <v>4</v>
      </c>
      <c r="BA81" s="19" t="n">
        <v>1</v>
      </c>
      <c r="BB81" s="16" t="n">
        <v>1120</v>
      </c>
      <c r="BC81" s="0" t="inlineStr">
        <is>
          <t>-</t>
        </is>
      </c>
      <c r="BD81" s="0">
        <f>IFERROR(BC81*AN81,"-")</f>
        <v/>
      </c>
      <c r="BE81" s="0" t="n">
        <v>544</v>
      </c>
      <c r="BF81" s="0">
        <f>IFERROR(BE81*AN81,"-")</f>
        <v/>
      </c>
      <c r="BG81" s="0" t="inlineStr">
        <is>
          <t>-</t>
        </is>
      </c>
    </row>
    <row r="82">
      <c r="A82" s="0">
        <f>TEXT(F82,"000000")</f>
        <v/>
      </c>
      <c r="B82" s="3" t="n">
        <v>48</v>
      </c>
      <c r="C82" s="3" t="n">
        <v>48</v>
      </c>
      <c r="D82" s="4" t="inlineStr">
        <is>
          <t>J20286</t>
        </is>
      </c>
      <c r="E82" s="4">
        <f>TEXT(D82,"000000")</f>
        <v/>
      </c>
      <c r="F82" s="4" t="inlineStr">
        <is>
          <t>J20286</t>
        </is>
      </c>
      <c r="G82" s="4">
        <f>E82&amp;J82</f>
        <v/>
      </c>
      <c r="H82" s="4" t="inlineStr">
        <is>
          <t>ｱｲﾘｽｵｰﾔﾏ/ﾗﾐﾈｰﾄﾌｨﾙﾑ B5ｻｲｽﾞ 100μ(ﾐｸﾛﾝ) 20枚入/LZ-B5</t>
        </is>
      </c>
      <c r="I82" s="58" t="n">
        <v>4905009428526</v>
      </c>
      <c r="J82" s="58" t="n">
        <v>5</v>
      </c>
      <c r="K82" s="58" t="n"/>
      <c r="L82" s="58" t="n">
        <v>1</v>
      </c>
      <c r="M82" s="58" t="n">
        <v>1</v>
      </c>
      <c r="N82" s="4" t="n">
        <v>0</v>
      </c>
      <c r="O82" s="4" t="n">
        <v>626</v>
      </c>
      <c r="P82" s="4" t="n">
        <v>310</v>
      </c>
      <c r="Q82" s="59">
        <f>IFERROR(1-P82/O82,"-")</f>
        <v/>
      </c>
      <c r="R82" s="4" t="inlineStr">
        <is>
          <t>-</t>
        </is>
      </c>
      <c r="S82" s="4" t="inlineStr">
        <is>
          <t>-</t>
        </is>
      </c>
      <c r="T82" s="4" t="inlineStr">
        <is>
          <t>-</t>
        </is>
      </c>
      <c r="U82" s="4" t="n">
        <v>0</v>
      </c>
      <c r="V82" s="4">
        <f>IF(Y82="",U82,U82*Y82)</f>
        <v/>
      </c>
      <c r="W82" s="4" t="n">
        <v>372</v>
      </c>
      <c r="X82" s="4">
        <f>IF(Y82="",W82,W82*Y82)</f>
        <v/>
      </c>
      <c r="Y82" s="4" t="n"/>
      <c r="Z82" s="21">
        <f>ROUND(O82*AN82,0)</f>
        <v/>
      </c>
      <c r="AA82" s="59">
        <f>IFERROR(1-X82/Z82,"-")</f>
        <v/>
      </c>
      <c r="AB82" s="4" t="n">
        <v>1.25</v>
      </c>
      <c r="AC82" s="4">
        <f>AY82</f>
        <v/>
      </c>
      <c r="AD82" s="4">
        <f>IFERROR(AC82*AN82,"-")</f>
        <v/>
      </c>
      <c r="AE82" s="59">
        <f>IFERROR(1-X82/AD82,"-")</f>
        <v/>
      </c>
      <c r="AF82" s="7" t="n">
        <v>629</v>
      </c>
      <c r="AG82" s="59">
        <f>1-X82/AF82</f>
        <v/>
      </c>
      <c r="AH82" s="4">
        <f>AF82-X82</f>
        <v/>
      </c>
      <c r="AI82" s="28" t="n"/>
      <c r="AJ82" s="59" t="n"/>
      <c r="AK82" s="59" t="n"/>
      <c r="AL82" s="59">
        <f>IFERROR(V82/N82,"-")</f>
        <v/>
      </c>
      <c r="AM82" s="59">
        <f>IFERROR(AF82/O82,"-")</f>
        <v/>
      </c>
      <c r="AN82" s="59">
        <f>IFERROR(X82/P82,"-")</f>
        <v/>
      </c>
      <c r="AO82" s="59">
        <f>IFERROR(1-X82/AP82,"-")</f>
        <v/>
      </c>
      <c r="AP82" s="4">
        <f>IFERROR(ROUND($AF82*R82/$O82,0),"-")</f>
        <v/>
      </c>
      <c r="AQ82" s="4">
        <f>IF(S82="","-",S82)</f>
        <v/>
      </c>
      <c r="AR82" s="4">
        <f>IF(T82="","-",T82)</f>
        <v/>
      </c>
      <c r="AS82" s="4" t="n">
        <v>0</v>
      </c>
      <c r="AT82" s="4" t="inlineStr">
        <is>
          <t>A018513</t>
        </is>
      </c>
      <c r="AU82" s="4" t="n"/>
      <c r="AV82" s="4" t="n"/>
      <c r="AW82" s="4" t="inlineStr">
        <is>
          <t>1袋(20枚)</t>
        </is>
      </c>
      <c r="AX82" s="4" t="n">
        <v>630</v>
      </c>
      <c r="AY82" s="4">
        <f>IF(AU82="",AX82,AU82/AV82*AX82)</f>
        <v/>
      </c>
      <c r="AZ82" s="19" t="n">
        <v>4</v>
      </c>
      <c r="BA82" s="19" t="n">
        <v>1</v>
      </c>
      <c r="BB82" s="16" t="n">
        <v>1120</v>
      </c>
      <c r="BC82" s="0" t="inlineStr">
        <is>
          <t>-</t>
        </is>
      </c>
      <c r="BD82" s="0">
        <f>IFERROR(BC82*AN82,"-")</f>
        <v/>
      </c>
      <c r="BE82" s="0" t="n">
        <v>835</v>
      </c>
      <c r="BF82" s="0">
        <f>IFERROR(BE82*AN82,"-")</f>
        <v/>
      </c>
      <c r="BG82" s="0" t="inlineStr">
        <is>
          <t>アイリスオーヤマ ラミネートフィルム100ミクロン(B5サイズ) LZーB520 20枚 1袋(20枚)（直送品）</t>
        </is>
      </c>
    </row>
    <row r="83">
      <c r="A83" s="0">
        <f>TEXT(F83,"000000")</f>
        <v/>
      </c>
      <c r="B83" s="3" t="n">
        <v>59</v>
      </c>
      <c r="C83" s="3" t="n">
        <v>59</v>
      </c>
      <c r="D83" s="4" t="inlineStr">
        <is>
          <t>J20291</t>
        </is>
      </c>
      <c r="E83" s="4">
        <f>TEXT(D83,"000000")</f>
        <v/>
      </c>
      <c r="F83" s="4" t="inlineStr">
        <is>
          <t>J20291</t>
        </is>
      </c>
      <c r="G83" s="4">
        <f>E83&amp;J83</f>
        <v/>
      </c>
      <c r="H83" s="4" t="inlineStr">
        <is>
          <t>ｱｲﾘｽｵｰﾔﾏ/ﾗﾐﾈｰﾄﾌｨﾙﾑ 写真(L判)ｻｲｽﾞ 100μ(ﾐｸﾛﾝ) 100枚</t>
        </is>
      </c>
      <c r="I83" s="58" t="n">
        <v>4905009427376</v>
      </c>
      <c r="J83" s="58" t="n">
        <v>5</v>
      </c>
      <c r="K83" s="58" t="n"/>
      <c r="L83" s="58" t="n">
        <v>1</v>
      </c>
      <c r="M83" s="58" t="n">
        <v>1</v>
      </c>
      <c r="N83" s="4" t="n">
        <v>0</v>
      </c>
      <c r="O83" s="4" t="n">
        <v>657</v>
      </c>
      <c r="P83" s="4" t="n">
        <v>325</v>
      </c>
      <c r="Q83" s="59">
        <f>IFERROR(1-P83/O83,"-")</f>
        <v/>
      </c>
      <c r="R83" s="4" t="n">
        <v>620</v>
      </c>
      <c r="S83" s="4" t="n">
        <v>4</v>
      </c>
      <c r="T83" s="4" t="n">
        <v>99999</v>
      </c>
      <c r="U83" s="4" t="n">
        <v>0</v>
      </c>
      <c r="V83" s="4">
        <f>IF(Y83="",U83,U83*Y83)</f>
        <v/>
      </c>
      <c r="W83" s="4" t="n">
        <v>390</v>
      </c>
      <c r="X83" s="4">
        <f>IF(Y83="",W83,W83*Y83)</f>
        <v/>
      </c>
      <c r="Y83" s="4" t="n"/>
      <c r="Z83" s="21">
        <f>ROUND(O83*AN83,0)</f>
        <v/>
      </c>
      <c r="AA83" s="59">
        <f>IFERROR(1-X83/Z83,"-")</f>
        <v/>
      </c>
      <c r="AB83" s="4" t="n">
        <v>7.000000000000001</v>
      </c>
      <c r="AC83" s="4">
        <f>AY83</f>
        <v/>
      </c>
      <c r="AD83" s="4">
        <f>IFERROR(AC83*AN83,"-")</f>
        <v/>
      </c>
      <c r="AE83" s="59">
        <f>IFERROR(1-X83/AD83,"-")</f>
        <v/>
      </c>
      <c r="AF83" s="7" t="n">
        <v>1237</v>
      </c>
      <c r="AG83" s="59">
        <f>1-X83/AF83</f>
        <v/>
      </c>
      <c r="AH83" s="4">
        <f>AF83-X83</f>
        <v/>
      </c>
      <c r="AI83" s="28" t="n"/>
      <c r="AJ83" s="59" t="n"/>
      <c r="AK83" s="59" t="n"/>
      <c r="AL83" s="60">
        <f>IFERROR(V83/N83,"-")</f>
        <v/>
      </c>
      <c r="AM83" s="59">
        <f>IFERROR(AF83/O83,"-")</f>
        <v/>
      </c>
      <c r="AN83" s="59">
        <f>IFERROR(X83/P83,"-")</f>
        <v/>
      </c>
      <c r="AO83" s="59">
        <f>IFERROR(1-X83/AP83,"-")</f>
        <v/>
      </c>
      <c r="AP83" s="4" t="n">
        <v>738</v>
      </c>
      <c r="AQ83" s="4">
        <f>IF(S83="","-",S83)</f>
        <v/>
      </c>
      <c r="AR83" s="4">
        <f>IF(T83="","-",T83)</f>
        <v/>
      </c>
      <c r="AS83" s="4" t="n">
        <v>0</v>
      </c>
      <c r="AT83" s="4" t="inlineStr">
        <is>
          <t>P133634</t>
        </is>
      </c>
      <c r="AU83" s="4" t="n"/>
      <c r="AV83" s="4" t="n"/>
      <c r="AW83" s="4" t="inlineStr">
        <is>
          <t>1個</t>
        </is>
      </c>
      <c r="AX83" s="4" t="n">
        <v>1238</v>
      </c>
      <c r="AY83" s="4">
        <f>IF(AU83="",AX83,AU83/AV83*AX83)</f>
        <v/>
      </c>
      <c r="AZ83" s="19" t="n">
        <v>4</v>
      </c>
      <c r="BA83" s="19" t="n">
        <v>1</v>
      </c>
      <c r="BB83" s="16" t="n">
        <v>1120</v>
      </c>
      <c r="BC83" s="0" t="inlineStr">
        <is>
          <t>-</t>
        </is>
      </c>
      <c r="BD83" s="0">
        <f>IFERROR(BC83*AN83,"-")</f>
        <v/>
      </c>
      <c r="BE83" s="0" t="n">
        <v>683</v>
      </c>
      <c r="BF83" s="0">
        <f>IFERROR(BE83*AN83,"-")</f>
        <v/>
      </c>
      <c r="BG83" s="0" t="inlineStr">
        <is>
          <t>アイリスオーヤマ　ラミネートフィルム　写真(L判)サイズ　100μ(ミクロン)　LZ-PL100　100枚入　1個</t>
        </is>
      </c>
    </row>
    <row r="84">
      <c r="A84" s="0">
        <f>TEXT(F84,"000000")</f>
        <v/>
      </c>
      <c r="B84" s="3" t="n">
        <v>81</v>
      </c>
      <c r="C84" s="3" t="n">
        <v>81</v>
      </c>
      <c r="D84" s="4" t="n">
        <v>669461</v>
      </c>
      <c r="E84" s="4">
        <f>TEXT(D84,"000000")</f>
        <v/>
      </c>
      <c r="F84" s="4" t="n">
        <v>669461</v>
      </c>
      <c r="G84" s="4">
        <f>E84&amp;J84</f>
        <v/>
      </c>
      <c r="H84" s="4" t="inlineStr">
        <is>
          <t>ｱｲﾘｽｵｰﾔﾏ/ﾗﾐﾈｰﾄﾌｨﾙﾑ100μ はがきｻｲｽﾞ100枚/LFT-HA100</t>
        </is>
      </c>
      <c r="I84" s="58" t="n">
        <v>4905009834167</v>
      </c>
      <c r="J84" s="58" t="n">
        <v>5</v>
      </c>
      <c r="K84" s="58" t="n"/>
      <c r="L84" s="58" t="n">
        <v>1</v>
      </c>
      <c r="M84" s="58" t="n">
        <v>1</v>
      </c>
      <c r="N84" s="4" t="n">
        <v>0</v>
      </c>
      <c r="O84" s="4" t="n">
        <v>1299</v>
      </c>
      <c r="P84" s="4" t="n">
        <v>365</v>
      </c>
      <c r="Q84" s="59">
        <f>IFERROR(1-P84/O84,"-")</f>
        <v/>
      </c>
      <c r="R84" s="4" t="n">
        <v>1272</v>
      </c>
      <c r="S84" s="4" t="n">
        <v>5</v>
      </c>
      <c r="T84" s="4" t="n">
        <v>99999</v>
      </c>
      <c r="U84" s="4" t="n">
        <v>0</v>
      </c>
      <c r="V84" s="4">
        <f>IF(Y84="",U84,U84*Y84)</f>
        <v/>
      </c>
      <c r="W84" s="4" t="n">
        <v>438</v>
      </c>
      <c r="X84" s="4">
        <f>IF(Y84="",W84,W84*Y84)</f>
        <v/>
      </c>
      <c r="Y84" s="4" t="n"/>
      <c r="Z84" s="21">
        <f>ROUND(O84*AN84,0)</f>
        <v/>
      </c>
      <c r="AA84" s="59">
        <f>IFERROR(1-X84/Z84,"-")</f>
        <v/>
      </c>
      <c r="AB84" s="4" t="n">
        <v>8.5</v>
      </c>
      <c r="AC84" s="4">
        <f>AY84</f>
        <v/>
      </c>
      <c r="AD84" s="4">
        <f>IFERROR(AC84*AN84,"-")</f>
        <v/>
      </c>
      <c r="AE84" s="59">
        <f>IFERROR(1-X84/AD84,"-")</f>
        <v/>
      </c>
      <c r="AF84" s="7" t="n">
        <v>1299</v>
      </c>
      <c r="AG84" s="59">
        <f>1-X84/AF84</f>
        <v/>
      </c>
      <c r="AH84" s="4">
        <f>AF84-X84</f>
        <v/>
      </c>
      <c r="AI84" s="28" t="n"/>
      <c r="AJ84" s="59" t="n"/>
      <c r="AK84" s="59" t="n"/>
      <c r="AL84" s="60">
        <f>IFERROR(V84/N84,"-")</f>
        <v/>
      </c>
      <c r="AM84" s="59">
        <f>IFERROR(AF84/O84,"-")</f>
        <v/>
      </c>
      <c r="AN84" s="59">
        <f>IFERROR(X84/P84,"-")</f>
        <v/>
      </c>
      <c r="AO84" s="59">
        <f>IFERROR(1-X84/AP84,"-")</f>
        <v/>
      </c>
      <c r="AP84" s="4" t="n">
        <v>1400</v>
      </c>
      <c r="AQ84" s="4">
        <f>IF(S84="","-",S84)</f>
        <v/>
      </c>
      <c r="AR84" s="4">
        <f>IF(T84="","-",T84)</f>
        <v/>
      </c>
      <c r="AS84" s="4" t="inlineStr">
        <is>
          <t>34/363</t>
        </is>
      </c>
      <c r="AT84" s="4" t="inlineStr">
        <is>
          <t>3485193</t>
        </is>
      </c>
      <c r="AU84" s="4" t="n"/>
      <c r="AV84" s="4" t="n"/>
      <c r="AW84" s="4" t="inlineStr">
        <is>
          <t>1箱（100枚入）</t>
        </is>
      </c>
      <c r="AX84" s="4" t="n">
        <v>1300</v>
      </c>
      <c r="AY84" s="4">
        <f>IF(AU84="",AX84,AU84/AV84*AX84)</f>
        <v/>
      </c>
      <c r="AZ84" s="19" t="n">
        <v>4</v>
      </c>
      <c r="BA84" s="19" t="n">
        <v>1</v>
      </c>
      <c r="BB84" s="16" t="n">
        <v>1120</v>
      </c>
      <c r="BC84" s="0" t="inlineStr">
        <is>
          <t>-</t>
        </is>
      </c>
      <c r="BD84" s="0">
        <f>IFERROR(BC84*AN84,"-")</f>
        <v/>
      </c>
      <c r="BE84" s="0" t="n">
        <v>1300</v>
      </c>
      <c r="BF84" s="0">
        <f>IFERROR(BE84*AN84,"-")</f>
        <v/>
      </c>
      <c r="BG84" s="0" t="inlineStr">
        <is>
          <t>アイリスオーヤマ ラミネートフィルムはがきサイズ100枚入100μ LFT-HA100 1箱(100枚入)</t>
        </is>
      </c>
    </row>
    <row r="85">
      <c r="A85" s="0">
        <f>TEXT(F85,"000000")</f>
        <v/>
      </c>
      <c r="B85" s="3" t="n">
        <v>16</v>
      </c>
      <c r="C85" s="3" t="n">
        <v>16</v>
      </c>
      <c r="D85" s="4" t="n">
        <v>639359</v>
      </c>
      <c r="E85" s="4">
        <f>TEXT(D85,"000000")</f>
        <v/>
      </c>
      <c r="F85" s="4" t="n">
        <v>639359</v>
      </c>
      <c r="G85" s="4">
        <f>E85&amp;J85</f>
        <v/>
      </c>
      <c r="H85" s="4" t="inlineStr">
        <is>
          <t>ｱｲﾘｽｵｰﾔﾏ/ﾗﾐﾈｰﾄﾌｨﾙﾑ A4ｻｲｽﾞ 100μ(ﾐｸﾛﾝ) 20枚入/LZ-A4</t>
        </is>
      </c>
      <c r="I85" s="58" t="n">
        <v>4905009428533</v>
      </c>
      <c r="J85" s="58" t="n">
        <v>5</v>
      </c>
      <c r="K85" s="58" t="n"/>
      <c r="L85" s="58" t="n">
        <v>1</v>
      </c>
      <c r="M85" s="58" t="n">
        <v>1</v>
      </c>
      <c r="N85" s="4" t="n">
        <v>0</v>
      </c>
      <c r="O85" s="4" t="n">
        <v>647</v>
      </c>
      <c r="P85" s="4" t="n">
        <v>400</v>
      </c>
      <c r="Q85" s="59">
        <f>IFERROR(1-P85/O85,"-")</f>
        <v/>
      </c>
      <c r="R85" s="4" t="inlineStr">
        <is>
          <t>-</t>
        </is>
      </c>
      <c r="S85" s="4" t="inlineStr">
        <is>
          <t>-</t>
        </is>
      </c>
      <c r="T85" s="4" t="inlineStr">
        <is>
          <t>-</t>
        </is>
      </c>
      <c r="U85" s="4" t="n">
        <v>0</v>
      </c>
      <c r="V85" s="4">
        <f>IF(Y85="",U85,U85*Y85)</f>
        <v/>
      </c>
      <c r="W85" s="4" t="n">
        <v>480</v>
      </c>
      <c r="X85" s="4">
        <f>IF(Y85="",W85,W85*Y85)</f>
        <v/>
      </c>
      <c r="Y85" s="4" t="n"/>
      <c r="Z85" s="21">
        <f>ROUND(O85*AN85,0)</f>
        <v/>
      </c>
      <c r="AA85" s="59">
        <f>IFERROR(1-X85/Z85,"-")</f>
        <v/>
      </c>
      <c r="AB85" s="4" t="n">
        <v>9</v>
      </c>
      <c r="AC85" s="4">
        <f>AY85</f>
        <v/>
      </c>
      <c r="AD85" s="4">
        <f>IFERROR(AC85*AN85,"-")</f>
        <v/>
      </c>
      <c r="AE85" s="59">
        <f>IFERROR(1-X85/AD85,"-")</f>
        <v/>
      </c>
      <c r="AF85" s="7" t="n">
        <v>579</v>
      </c>
      <c r="AG85" s="59">
        <f>1-X85/AF85</f>
        <v/>
      </c>
      <c r="AH85" s="4">
        <f>AF85-X85</f>
        <v/>
      </c>
      <c r="AI85" s="28" t="n"/>
      <c r="AJ85" s="59" t="n"/>
      <c r="AK85" s="59" t="n"/>
      <c r="AL85" s="59">
        <f>IFERROR(V85/N85,"-")</f>
        <v/>
      </c>
      <c r="AM85" s="59">
        <f>IFERROR(AF85/O85,"-")</f>
        <v/>
      </c>
      <c r="AN85" s="59">
        <f>IFERROR(X85/P85,"-")</f>
        <v/>
      </c>
      <c r="AO85" s="59">
        <f>IFERROR(1-X85/AP85,"-")</f>
        <v/>
      </c>
      <c r="AP85" s="4">
        <f>IFERROR(ROUND($AF85*R85/$O85,0),"-")</f>
        <v/>
      </c>
      <c r="AQ85" s="4">
        <f>IF(S85="","-",S85)</f>
        <v/>
      </c>
      <c r="AR85" s="4">
        <f>IF(T85="","-",T85)</f>
        <v/>
      </c>
      <c r="AS85" s="4" t="n">
        <v>0</v>
      </c>
      <c r="AT85" s="4" t="inlineStr">
        <is>
          <t>UA43239</t>
        </is>
      </c>
      <c r="AU85" s="4" t="n"/>
      <c r="AV85" s="4" t="n"/>
      <c r="AW85" s="4" t="inlineStr">
        <is>
          <t>1パック（20枚入）</t>
        </is>
      </c>
      <c r="AX85" s="4" t="n">
        <v>580</v>
      </c>
      <c r="AY85" s="4">
        <f>IF(AU85="",AX85,AU85/AV85*AX85)</f>
        <v/>
      </c>
      <c r="AZ85" s="19" t="n">
        <v>4</v>
      </c>
      <c r="BA85" s="19" t="n">
        <v>1</v>
      </c>
      <c r="BB85" s="16" t="n">
        <v>1120</v>
      </c>
      <c r="BC85" s="0" t="inlineStr">
        <is>
          <t>-</t>
        </is>
      </c>
      <c r="BD85" s="0">
        <f>IFERROR(BC85*AN85,"-")</f>
        <v/>
      </c>
      <c r="BE85" s="0" t="n">
        <v>1280</v>
      </c>
      <c r="BF85" s="0">
        <f>IFERROR(BE85*AN85,"-")</f>
        <v/>
      </c>
      <c r="BG85" s="0" t="inlineStr">
        <is>
          <t>アイリスオーヤマ　ラミネートフィルム　A4サイズ　100μ(ミクロン)　LZ-A420　1パック(20枚入)</t>
        </is>
      </c>
    </row>
    <row r="86">
      <c r="A86" s="0">
        <f>TEXT(F86,"000000")</f>
        <v/>
      </c>
      <c r="B86" s="3" t="n">
        <v>44</v>
      </c>
      <c r="C86" s="3" t="n">
        <v>44</v>
      </c>
      <c r="D86" s="4" t="inlineStr">
        <is>
          <t>J20307</t>
        </is>
      </c>
      <c r="E86" s="4">
        <f>TEXT(D86,"000000")</f>
        <v/>
      </c>
      <c r="F86" s="4" t="inlineStr">
        <is>
          <t>J20307</t>
        </is>
      </c>
      <c r="G86" s="4">
        <f>E86&amp;J86</f>
        <v/>
      </c>
      <c r="H86" s="4" t="inlineStr">
        <is>
          <t>ｱｲﾘｽｵｰﾔﾏ/ﾗﾐﾈｰﾄﾌｨﾙﾑ B5ｻｲｽﾞ 150μ(ﾐｸﾛﾝ) 20枚入/LZ-15</t>
        </is>
      </c>
      <c r="I86" s="58" t="n">
        <v>4905009428748</v>
      </c>
      <c r="J86" s="58" t="n">
        <v>5</v>
      </c>
      <c r="K86" s="58" t="n"/>
      <c r="L86" s="58" t="n">
        <v>1</v>
      </c>
      <c r="M86" s="58" t="n">
        <v>1</v>
      </c>
      <c r="N86" s="4" t="n">
        <v>0</v>
      </c>
      <c r="O86" s="4" t="n">
        <v>571</v>
      </c>
      <c r="P86" s="4" t="n">
        <v>400</v>
      </c>
      <c r="Q86" s="59">
        <f>IFERROR(1-P86/O86,"-")</f>
        <v/>
      </c>
      <c r="R86" s="4" t="n">
        <v>530</v>
      </c>
      <c r="S86" s="4" t="n">
        <v>4</v>
      </c>
      <c r="T86" s="4" t="n">
        <v>99999</v>
      </c>
      <c r="U86" s="4" t="n">
        <v>0</v>
      </c>
      <c r="V86" s="4">
        <f>IF(Y86="",U86,U86*Y86)</f>
        <v/>
      </c>
      <c r="W86" s="4" t="n">
        <v>480</v>
      </c>
      <c r="X86" s="4">
        <f>IF(Y86="",W86,W86*Y86)</f>
        <v/>
      </c>
      <c r="Y86" s="4" t="n"/>
      <c r="Z86" s="21">
        <f>ROUND(O86*AN86,0)</f>
        <v/>
      </c>
      <c r="AA86" s="59">
        <f>IFERROR(1-X86/Z86,"-")</f>
        <v/>
      </c>
      <c r="AB86" s="4" t="n">
        <v>0.75</v>
      </c>
      <c r="AC86" s="4">
        <f>AY86</f>
        <v/>
      </c>
      <c r="AD86" s="4">
        <f>IFERROR(AC86*AN86,"-")</f>
        <v/>
      </c>
      <c r="AE86" s="59">
        <f>IFERROR(1-X86/AD86,"-")</f>
        <v/>
      </c>
      <c r="AF86" s="7" t="n">
        <v>892</v>
      </c>
      <c r="AG86" s="59">
        <f>1-X86/AF86</f>
        <v/>
      </c>
      <c r="AH86" s="4">
        <f>AF86-X86</f>
        <v/>
      </c>
      <c r="AI86" s="28" t="n"/>
      <c r="AJ86" s="59" t="n"/>
      <c r="AK86" s="59" t="n"/>
      <c r="AL86" s="60">
        <f>IFERROR(V86/N86,"-")</f>
        <v/>
      </c>
      <c r="AM86" s="59">
        <f>IFERROR(AF86/O86,"-")</f>
        <v/>
      </c>
      <c r="AN86" s="59">
        <f>IFERROR(X86/P86,"-")</f>
        <v/>
      </c>
      <c r="AO86" s="59">
        <f>IFERROR(1-X86/AP86,"-")</f>
        <v/>
      </c>
      <c r="AP86" s="4" t="n">
        <v>738</v>
      </c>
      <c r="AQ86" s="4">
        <f>IF(S86="","-",S86)</f>
        <v/>
      </c>
      <c r="AR86" s="4">
        <f>IF(T86="","-",T86)</f>
        <v/>
      </c>
      <c r="AS86" s="4" t="n">
        <v>0</v>
      </c>
      <c r="AT86" s="4" t="inlineStr">
        <is>
          <t>JE50598</t>
        </is>
      </c>
      <c r="AU86" s="4" t="n"/>
      <c r="AV86" s="4" t="n"/>
      <c r="AW86" s="4" t="inlineStr">
        <is>
          <t>1パック（20枚入）</t>
        </is>
      </c>
      <c r="AX86" s="4" t="n">
        <v>893</v>
      </c>
      <c r="AY86" s="4">
        <f>IF(AU86="",AX86,AU86/AV86*AX86)</f>
        <v/>
      </c>
      <c r="AZ86" s="19" t="n">
        <v>4</v>
      </c>
      <c r="BA86" s="19" t="n">
        <v>8</v>
      </c>
      <c r="BB86" s="16" t="n">
        <v>1120</v>
      </c>
      <c r="BC86" s="0" t="inlineStr">
        <is>
          <t>-</t>
        </is>
      </c>
      <c r="BD86" s="0">
        <f>IFERROR(BC86*AN86,"-")</f>
        <v/>
      </c>
      <c r="BE86" s="0" t="n">
        <v>738</v>
      </c>
      <c r="BF86" s="0">
        <f>IFERROR(BE86*AN86,"-")</f>
        <v/>
      </c>
      <c r="BG86" s="0" t="inlineStr">
        <is>
          <t>アイリスオーヤマ　ラミネートフィルム　B5サイズ　150μ(ミクロン)　LZ-15B520　1パック(20枚入)</t>
        </is>
      </c>
    </row>
    <row r="87">
      <c r="A87" s="0">
        <f>TEXT(F87,"000000")</f>
        <v/>
      </c>
      <c r="B87" s="3" t="n">
        <v>57</v>
      </c>
      <c r="C87" s="3" t="n">
        <v>57</v>
      </c>
      <c r="D87" s="4" t="inlineStr">
        <is>
          <t>J20314</t>
        </is>
      </c>
      <c r="E87" s="4">
        <f>TEXT(D87,"000000")</f>
        <v/>
      </c>
      <c r="F87" s="4" t="inlineStr">
        <is>
          <t>J20314</t>
        </is>
      </c>
      <c r="G87" s="4">
        <f>E87&amp;J87</f>
        <v/>
      </c>
      <c r="H87" s="4" t="inlineStr">
        <is>
          <t>ｱｲﾘｽｵｰﾔﾏ/ﾗﾐﾈｰﾄﾌｨﾙﾑ A4ｻｲｽﾞ 横型 100μ(ﾐｸﾛﾝ) 20枚入/</t>
        </is>
      </c>
      <c r="I87" s="58" t="n">
        <v>4905009452804</v>
      </c>
      <c r="J87" s="58" t="n">
        <v>5</v>
      </c>
      <c r="K87" s="58" t="n"/>
      <c r="L87" s="58" t="n">
        <v>1</v>
      </c>
      <c r="M87" s="58" t="n">
        <v>1</v>
      </c>
      <c r="N87" s="4" t="n">
        <v>0</v>
      </c>
      <c r="O87" s="4" t="n">
        <v>616</v>
      </c>
      <c r="P87" s="4" t="n">
        <v>400</v>
      </c>
      <c r="Q87" s="59">
        <f>IFERROR(1-P87/O87,"-")</f>
        <v/>
      </c>
      <c r="R87" s="4" t="inlineStr">
        <is>
          <t>-</t>
        </is>
      </c>
      <c r="S87" s="4" t="inlineStr">
        <is>
          <t>-</t>
        </is>
      </c>
      <c r="T87" s="4" t="inlineStr">
        <is>
          <t>-</t>
        </is>
      </c>
      <c r="U87" s="4" t="n">
        <v>0</v>
      </c>
      <c r="V87" s="4">
        <f>IF(Y87="",U87,U87*Y87)</f>
        <v/>
      </c>
      <c r="W87" s="4" t="n">
        <v>480</v>
      </c>
      <c r="X87" s="4">
        <f>IF(Y87="",W87,W87*Y87)</f>
        <v/>
      </c>
      <c r="Y87" s="4" t="n"/>
      <c r="Z87" s="21">
        <f>ROUND(O87*AN87,0)</f>
        <v/>
      </c>
      <c r="AA87" s="59">
        <f>IFERROR(1-X87/Z87,"-")</f>
        <v/>
      </c>
      <c r="AB87" s="4" t="n">
        <v>0</v>
      </c>
      <c r="AC87" s="4">
        <f>AY87</f>
        <v/>
      </c>
      <c r="AD87" s="4">
        <f>IFERROR(AC87*AN87,"-")</f>
        <v/>
      </c>
      <c r="AE87" s="59">
        <f>IFERROR(1-X87/AD87,"-")</f>
        <v/>
      </c>
      <c r="AF87" s="7" t="n">
        <v>616</v>
      </c>
      <c r="AG87" s="59">
        <f>1-X87/AF87</f>
        <v/>
      </c>
      <c r="AH87" s="4">
        <f>AF87-X87</f>
        <v/>
      </c>
      <c r="AI87" s="28" t="n"/>
      <c r="AJ87" s="59" t="n"/>
      <c r="AK87" s="59" t="n"/>
      <c r="AL87" s="59">
        <f>IFERROR(V87/N87,"-")</f>
        <v/>
      </c>
      <c r="AM87" s="59">
        <f>IFERROR(AF87/O87,"-")</f>
        <v/>
      </c>
      <c r="AN87" s="59">
        <f>IFERROR(X87/P87,"-")</f>
        <v/>
      </c>
      <c r="AO87" s="59">
        <f>IFERROR(1-X87/AP87,"-")</f>
        <v/>
      </c>
      <c r="AP87" s="4">
        <f>IFERROR(ROUND($AF87*R87/$O87,0),"-")</f>
        <v/>
      </c>
      <c r="AQ87" s="4">
        <f>IF(S87="","-",S87)</f>
        <v/>
      </c>
      <c r="AR87" s="4">
        <f>IF(T87="","-",T87)</f>
        <v/>
      </c>
      <c r="AS87" s="4" t="n">
        <v>0</v>
      </c>
      <c r="AT87" s="4" t="inlineStr">
        <is>
          <t>-</t>
        </is>
      </c>
      <c r="AU87" s="4" t="n"/>
      <c r="AV87" s="4" t="n"/>
      <c r="AW87" s="4" t="inlineStr">
        <is>
          <t>-</t>
        </is>
      </c>
      <c r="AX87" s="4" t="inlineStr">
        <is>
          <t>-</t>
        </is>
      </c>
      <c r="AY87" s="4">
        <f>IF(AU87="",AX87,AU87/AV87*AX87)</f>
        <v/>
      </c>
      <c r="AZ87" s="19" t="n">
        <v>4</v>
      </c>
      <c r="BA87" s="19" t="n">
        <v>8</v>
      </c>
      <c r="BB87" s="16" t="n">
        <v>1120</v>
      </c>
      <c r="BC87" s="0" t="inlineStr">
        <is>
          <t>-</t>
        </is>
      </c>
      <c r="BD87" s="0">
        <f>IFERROR(BC87*AN87,"-")</f>
        <v/>
      </c>
      <c r="BE87" s="0" t="n">
        <v>1132</v>
      </c>
      <c r="BF87" s="0">
        <f>IFERROR(BE87*AN87,"-")</f>
        <v/>
      </c>
      <c r="BG87" s="0" t="inlineStr">
        <is>
          <t>-</t>
        </is>
      </c>
    </row>
    <row r="88">
      <c r="A88" s="0">
        <f>TEXT(F88,"000000")</f>
        <v/>
      </c>
      <c r="B88" s="3" t="n">
        <v>61</v>
      </c>
      <c r="C88" s="3" t="n">
        <v>61</v>
      </c>
      <c r="D88" s="4" t="inlineStr">
        <is>
          <t>J20292</t>
        </is>
      </c>
      <c r="E88" s="4">
        <f>TEXT(D88,"000000")</f>
        <v/>
      </c>
      <c r="F88" s="4" t="inlineStr">
        <is>
          <t>J20292</t>
        </is>
      </c>
      <c r="G88" s="4">
        <f>E88&amp;J88</f>
        <v/>
      </c>
      <c r="H88" s="4" t="inlineStr">
        <is>
          <t>ｱｲﾘｽｵｰﾔﾏ/ﾗﾐﾈｰﾄﾌｨﾙﾑ はがきｻｲｽﾞ 100μ(ﾐｸﾛﾝ) 100枚/LZ</t>
        </is>
      </c>
      <c r="I88" s="58" t="n">
        <v>4905009427383</v>
      </c>
      <c r="J88" s="58" t="n">
        <v>5</v>
      </c>
      <c r="K88" s="58" t="n"/>
      <c r="L88" s="58" t="n">
        <v>1</v>
      </c>
      <c r="M88" s="58" t="n">
        <v>1</v>
      </c>
      <c r="N88" s="4" t="n">
        <v>0</v>
      </c>
      <c r="O88" s="4" t="n">
        <v>717</v>
      </c>
      <c r="P88" s="4" t="n">
        <v>400</v>
      </c>
      <c r="Q88" s="59">
        <f>IFERROR(1-P88/O88,"-")</f>
        <v/>
      </c>
      <c r="R88" s="4" t="n">
        <v>670</v>
      </c>
      <c r="S88" s="4" t="n">
        <v>4</v>
      </c>
      <c r="T88" s="4" t="n">
        <v>99999</v>
      </c>
      <c r="U88" s="4" t="n">
        <v>0</v>
      </c>
      <c r="V88" s="4">
        <f>IF(Y88="",U88,U88*Y88)</f>
        <v/>
      </c>
      <c r="W88" s="4" t="n">
        <v>480</v>
      </c>
      <c r="X88" s="4">
        <f>IF(Y88="",W88,W88*Y88)</f>
        <v/>
      </c>
      <c r="Y88" s="4" t="n"/>
      <c r="Z88" s="21">
        <f>ROUND(O88*AN88,0)</f>
        <v/>
      </c>
      <c r="AA88" s="59">
        <f>IFERROR(1-X88/Z88,"-")</f>
        <v/>
      </c>
      <c r="AB88" s="4" t="n">
        <v>4.75</v>
      </c>
      <c r="AC88" s="4">
        <f>AY88</f>
        <v/>
      </c>
      <c r="AD88" s="4">
        <f>IFERROR(AC88*AN88,"-")</f>
        <v/>
      </c>
      <c r="AE88" s="59">
        <f>IFERROR(1-X88/AD88,"-")</f>
        <v/>
      </c>
      <c r="AF88" s="7" t="n">
        <v>717</v>
      </c>
      <c r="AG88" s="59">
        <f>1-X88/AF88</f>
        <v/>
      </c>
      <c r="AH88" s="4">
        <f>AF88-X88</f>
        <v/>
      </c>
      <c r="AI88" s="28" t="n"/>
      <c r="AJ88" s="59" t="n"/>
      <c r="AK88" s="59" t="n"/>
      <c r="AL88" s="60">
        <f>IFERROR(V88/N88,"-")</f>
        <v/>
      </c>
      <c r="AM88" s="59">
        <f>IFERROR(AF88/O88,"-")</f>
        <v/>
      </c>
      <c r="AN88" s="59">
        <f>IFERROR(X88/P88,"-")</f>
        <v/>
      </c>
      <c r="AO88" s="59">
        <f>IFERROR(1-X88/AP88,"-")</f>
        <v/>
      </c>
      <c r="AP88" s="4" t="n">
        <v>738</v>
      </c>
      <c r="AQ88" s="4">
        <f>IF(S88="","-",S88)</f>
        <v/>
      </c>
      <c r="AR88" s="4">
        <f>IF(T88="","-",T88)</f>
        <v/>
      </c>
      <c r="AS88" s="4" t="n">
        <v>0</v>
      </c>
      <c r="AT88" s="4" t="inlineStr">
        <is>
          <t>-</t>
        </is>
      </c>
      <c r="AU88" s="4" t="n"/>
      <c r="AV88" s="4" t="n"/>
      <c r="AW88" s="4" t="inlineStr">
        <is>
          <t>-</t>
        </is>
      </c>
      <c r="AX88" s="4" t="inlineStr">
        <is>
          <t>-</t>
        </is>
      </c>
      <c r="AY88" s="4">
        <f>IF(AU88="",AX88,AU88/AV88*AX88)</f>
        <v/>
      </c>
      <c r="AZ88" s="19" t="n">
        <v>4</v>
      </c>
      <c r="BA88" s="19" t="n">
        <v>1</v>
      </c>
      <c r="BB88" s="16" t="n">
        <v>1120</v>
      </c>
      <c r="BC88" s="0" t="inlineStr">
        <is>
          <t>-</t>
        </is>
      </c>
      <c r="BD88" s="0">
        <f>IFERROR(BC88*AN88,"-")</f>
        <v/>
      </c>
      <c r="BE88" s="0" t="n">
        <v>809</v>
      </c>
      <c r="BF88" s="0">
        <f>IFERROR(BE88*AN88,"-")</f>
        <v/>
      </c>
      <c r="BG88" s="0" t="inlineStr">
        <is>
          <t>-</t>
        </is>
      </c>
    </row>
    <row r="89">
      <c r="A89" s="0">
        <f>TEXT(F89,"000000")</f>
        <v/>
      </c>
      <c r="B89" s="3" t="n">
        <v>5</v>
      </c>
      <c r="C89" s="3" t="n">
        <v>5</v>
      </c>
      <c r="D89" s="4" t="n">
        <v>178993</v>
      </c>
      <c r="E89" s="4">
        <f>TEXT(D89,"000000")</f>
        <v/>
      </c>
      <c r="F89" s="4" t="n">
        <v>178993</v>
      </c>
      <c r="G89" s="4">
        <f>E89&amp;J89</f>
        <v/>
      </c>
      <c r="H89" s="4" t="inlineStr">
        <is>
          <t>ｱｲﾘｽｵｰﾔﾏ/ﾗﾐﾈｰﾄﾌｨﾙﾑ A4ｻｲｽﾞ 150μ(ﾐｸﾛﾝ) 20枚入/LZ-15</t>
        </is>
      </c>
      <c r="I89" s="58" t="n">
        <v>4905009428755</v>
      </c>
      <c r="J89" s="58" t="n">
        <v>5</v>
      </c>
      <c r="K89" s="58" t="n"/>
      <c r="L89" s="58" t="n">
        <v>1</v>
      </c>
      <c r="M89" s="58" t="n">
        <v>1</v>
      </c>
      <c r="N89" s="4" t="n">
        <v>0</v>
      </c>
      <c r="O89" s="4" t="n">
        <v>1030</v>
      </c>
      <c r="P89" s="4" t="n">
        <v>500</v>
      </c>
      <c r="Q89" s="59">
        <f>IFERROR(1-P89/O89,"-")</f>
        <v/>
      </c>
      <c r="R89" s="4" t="inlineStr">
        <is>
          <t>-</t>
        </is>
      </c>
      <c r="S89" s="4" t="inlineStr">
        <is>
          <t>-</t>
        </is>
      </c>
      <c r="T89" s="4" t="inlineStr">
        <is>
          <t>-</t>
        </is>
      </c>
      <c r="U89" s="4" t="n">
        <v>0</v>
      </c>
      <c r="V89" s="4">
        <f>IF(Y89="",U89,U89*Y89)</f>
        <v/>
      </c>
      <c r="W89" s="4" t="n">
        <v>600</v>
      </c>
      <c r="X89" s="4">
        <f>IF(Y89="",W89,W89*Y89)</f>
        <v/>
      </c>
      <c r="Y89" s="4" t="n"/>
      <c r="Z89" s="21">
        <f>ROUND(O89*AN89,0)</f>
        <v/>
      </c>
      <c r="AA89" s="59">
        <f>IFERROR(1-X89/Z89,"-")</f>
        <v/>
      </c>
      <c r="AB89" s="4" t="n">
        <v>2.75</v>
      </c>
      <c r="AC89" s="4">
        <f>AY89</f>
        <v/>
      </c>
      <c r="AD89" s="4">
        <f>IFERROR(AC89*AN89,"-")</f>
        <v/>
      </c>
      <c r="AE89" s="59">
        <f>IFERROR(1-X89/AD89,"-")</f>
        <v/>
      </c>
      <c r="AF89" s="7" t="n">
        <v>779</v>
      </c>
      <c r="AG89" s="59">
        <f>1-X89/AF89</f>
        <v/>
      </c>
      <c r="AH89" s="4">
        <f>AF89-X89</f>
        <v/>
      </c>
      <c r="AI89" s="28" t="n"/>
      <c r="AJ89" s="59" t="n"/>
      <c r="AK89" s="59" t="n"/>
      <c r="AL89" s="59">
        <f>IFERROR(V89/N89,"-")</f>
        <v/>
      </c>
      <c r="AM89" s="59">
        <f>IFERROR(AF89/O89,"-")</f>
        <v/>
      </c>
      <c r="AN89" s="59">
        <f>IFERROR(X89/P89,"-")</f>
        <v/>
      </c>
      <c r="AO89" s="59">
        <f>IFERROR(1-X89/AP89,"-")</f>
        <v/>
      </c>
      <c r="AP89" s="4">
        <f>IFERROR(ROUND($AF89*R89/$O89,0),"-")</f>
        <v/>
      </c>
      <c r="AQ89" s="4">
        <f>IF(S89="","-",S89)</f>
        <v/>
      </c>
      <c r="AR89" s="4">
        <f>IF(T89="","-",T89)</f>
        <v/>
      </c>
      <c r="AS89" s="4" t="n">
        <v>0</v>
      </c>
      <c r="AT89" s="4" t="inlineStr">
        <is>
          <t>UA43241</t>
        </is>
      </c>
      <c r="AU89" s="4" t="n"/>
      <c r="AV89" s="4" t="n"/>
      <c r="AW89" s="4" t="inlineStr">
        <is>
          <t>1パック（20枚入）</t>
        </is>
      </c>
      <c r="AX89" s="4" t="n">
        <v>780</v>
      </c>
      <c r="AY89" s="4">
        <f>IF(AU89="",AX89,AU89/AV89*AX89)</f>
        <v/>
      </c>
      <c r="AZ89" s="19" t="n">
        <v>4</v>
      </c>
      <c r="BA89" s="19" t="n">
        <v>1</v>
      </c>
      <c r="BB89" s="16" t="n">
        <v>1120</v>
      </c>
      <c r="BC89" s="0" t="inlineStr">
        <is>
          <t>-</t>
        </is>
      </c>
      <c r="BD89" s="0">
        <f>IFERROR(BC89*AN89,"-")</f>
        <v/>
      </c>
      <c r="BE89" s="0" t="n">
        <v>909</v>
      </c>
      <c r="BF89" s="0">
        <f>IFERROR(BE89*AN89,"-")</f>
        <v/>
      </c>
      <c r="BG89" s="0" t="inlineStr">
        <is>
          <t>アイリスオーヤマ　ラミネートフィルム　A4サイズ　150μ(ミクロン)　LZ-15A420　1パック(20枚入)</t>
        </is>
      </c>
    </row>
    <row r="90">
      <c r="A90" s="0">
        <f>TEXT(F90,"000000")</f>
        <v/>
      </c>
      <c r="B90" s="3" t="n">
        <v>13</v>
      </c>
      <c r="C90" s="3" t="n">
        <v>13</v>
      </c>
      <c r="D90" s="4" t="n">
        <v>601332</v>
      </c>
      <c r="E90" s="4">
        <f>TEXT(D90,"000000")</f>
        <v/>
      </c>
      <c r="F90" s="4" t="n">
        <v>601332</v>
      </c>
      <c r="G90" s="4">
        <f>E90&amp;J90</f>
        <v/>
      </c>
      <c r="H90" s="4" t="inlineStr">
        <is>
          <t>ｱｲﾘｽｵｰﾔﾏ/ﾗﾐﾈｰﾄﾌｨﾙﾑ 写真(L判)ｻｲｽﾞ 150μ(ﾐｸﾛﾝ) 100枚</t>
        </is>
      </c>
      <c r="I90" s="58" t="n">
        <v>4905009427475</v>
      </c>
      <c r="J90" s="58" t="n">
        <v>5</v>
      </c>
      <c r="K90" s="58" t="n"/>
      <c r="L90" s="58" t="n">
        <v>1</v>
      </c>
      <c r="M90" s="58" t="n">
        <v>1</v>
      </c>
      <c r="N90" s="4" t="n">
        <v>0</v>
      </c>
      <c r="O90" s="4" t="n">
        <v>1129</v>
      </c>
      <c r="P90" s="4" t="n">
        <v>500</v>
      </c>
      <c r="Q90" s="59">
        <f>IFERROR(1-P90/O90,"-")</f>
        <v/>
      </c>
      <c r="R90" s="4" t="inlineStr">
        <is>
          <t>-</t>
        </is>
      </c>
      <c r="S90" s="4" t="inlineStr">
        <is>
          <t>-</t>
        </is>
      </c>
      <c r="T90" s="4" t="inlineStr">
        <is>
          <t>-</t>
        </is>
      </c>
      <c r="U90" s="4" t="n">
        <v>0</v>
      </c>
      <c r="V90" s="4">
        <f>IF(Y90="",U90,U90*Y90)</f>
        <v/>
      </c>
      <c r="W90" s="4" t="n">
        <v>600</v>
      </c>
      <c r="X90" s="4">
        <f>IF(Y90="",W90,W90*Y90)</f>
        <v/>
      </c>
      <c r="Y90" s="4" t="n"/>
      <c r="Z90" s="21">
        <f>ROUND(O90*AN90,0)</f>
        <v/>
      </c>
      <c r="AA90" s="59">
        <f>IFERROR(1-X90/Z90,"-")</f>
        <v/>
      </c>
      <c r="AB90" s="4" t="n">
        <v>2.5</v>
      </c>
      <c r="AC90" s="4">
        <f>AY90</f>
        <v/>
      </c>
      <c r="AD90" s="4">
        <f>IFERROR(AC90*AN90,"-")</f>
        <v/>
      </c>
      <c r="AE90" s="59">
        <f>IFERROR(1-X90/AD90,"-")</f>
        <v/>
      </c>
      <c r="AF90" s="7" t="n">
        <v>1118</v>
      </c>
      <c r="AG90" s="59">
        <f>1-X90/AF90</f>
        <v/>
      </c>
      <c r="AH90" s="4">
        <f>AF90-X90</f>
        <v/>
      </c>
      <c r="AI90" s="28" t="n"/>
      <c r="AJ90" s="59" t="n"/>
      <c r="AK90" s="59" t="n"/>
      <c r="AL90" s="59">
        <f>IFERROR(V90/N90,"-")</f>
        <v/>
      </c>
      <c r="AM90" s="59">
        <f>IFERROR(AF90/O90,"-")</f>
        <v/>
      </c>
      <c r="AN90" s="59">
        <f>IFERROR(X90/P90,"-")</f>
        <v/>
      </c>
      <c r="AO90" s="59">
        <f>IFERROR(1-X90/AP90,"-")</f>
        <v/>
      </c>
      <c r="AP90" s="4">
        <f>IFERROR(ROUND($AF90*R90/$O90,0),"-")</f>
        <v/>
      </c>
      <c r="AQ90" s="4">
        <f>IF(S90="","-",S90)</f>
        <v/>
      </c>
      <c r="AR90" s="4">
        <f>IF(T90="","-",T90)</f>
        <v/>
      </c>
      <c r="AS90" s="4" t="inlineStr">
        <is>
          <t>34/363</t>
        </is>
      </c>
      <c r="AT90" s="4" t="inlineStr">
        <is>
          <t>460815</t>
        </is>
      </c>
      <c r="AU90" s="4" t="n"/>
      <c r="AV90" s="4" t="n"/>
      <c r="AW90" s="4" t="inlineStr">
        <is>
          <t>1箱（100枚入）</t>
        </is>
      </c>
      <c r="AX90" s="4" t="n">
        <v>1119</v>
      </c>
      <c r="AY90" s="4">
        <f>IF(AU90="",AX90,AU90/AV90*AX90)</f>
        <v/>
      </c>
      <c r="AZ90" s="19" t="n">
        <v>4</v>
      </c>
      <c r="BA90" s="19" t="n">
        <v>1</v>
      </c>
      <c r="BB90" s="16" t="n">
        <v>1120</v>
      </c>
      <c r="BC90" s="0" t="inlineStr">
        <is>
          <t>-</t>
        </is>
      </c>
      <c r="BD90" s="0">
        <f>IFERROR(BC90*AN90,"-")</f>
        <v/>
      </c>
      <c r="BE90" s="0" t="n">
        <v>1076</v>
      </c>
      <c r="BF90" s="0">
        <f>IFERROR(BE90*AN90,"-")</f>
        <v/>
      </c>
      <c r="BG90" s="0" t="inlineStr">
        <is>
          <t>アイリスオーヤマ　ラミネートフィルム　写真(L判)サイズ　150μ(ミクロン)　LZ-5PL100　1箱（100枚入）</t>
        </is>
      </c>
    </row>
    <row r="91">
      <c r="A91" s="0">
        <f>TEXT(F91,"000000")</f>
        <v/>
      </c>
      <c r="B91" s="3" t="n">
        <v>49</v>
      </c>
      <c r="C91" s="3" t="n">
        <v>49</v>
      </c>
      <c r="D91" s="4" t="inlineStr">
        <is>
          <t>J20287</t>
        </is>
      </c>
      <c r="E91" s="4">
        <f>TEXT(D91,"000000")</f>
        <v/>
      </c>
      <c r="F91" s="4" t="inlineStr">
        <is>
          <t>J20287</t>
        </is>
      </c>
      <c r="G91" s="4">
        <f>E91&amp;J91</f>
        <v/>
      </c>
      <c r="H91" s="4" t="inlineStr">
        <is>
          <t>ｱｲﾘｽｵｰﾔﾏ/ﾗﾐﾈｰﾄﾌｨﾙﾑ B4ｻｲｽﾞ 100μ(ﾐｸﾛﾝ) 20枚入/LZ-B4</t>
        </is>
      </c>
      <c r="I91" s="58" t="n">
        <v>4905009428540</v>
      </c>
      <c r="J91" s="58" t="n">
        <v>5</v>
      </c>
      <c r="K91" s="58" t="n"/>
      <c r="L91" s="58" t="n">
        <v>1</v>
      </c>
      <c r="M91" s="58" t="n">
        <v>1</v>
      </c>
      <c r="N91" s="4" t="n">
        <v>0</v>
      </c>
      <c r="O91" s="4" t="n">
        <v>1061</v>
      </c>
      <c r="P91" s="4" t="n">
        <v>525</v>
      </c>
      <c r="Q91" s="59">
        <f>IFERROR(1-P91/O91,"-")</f>
        <v/>
      </c>
      <c r="R91" s="4" t="inlineStr">
        <is>
          <t>-</t>
        </is>
      </c>
      <c r="S91" s="4" t="inlineStr">
        <is>
          <t>-</t>
        </is>
      </c>
      <c r="T91" s="4" t="inlineStr">
        <is>
          <t>-</t>
        </is>
      </c>
      <c r="U91" s="4" t="n">
        <v>0</v>
      </c>
      <c r="V91" s="4">
        <f>IF(Y91="",U91,U91*Y91)</f>
        <v/>
      </c>
      <c r="W91" s="4" t="n">
        <v>630</v>
      </c>
      <c r="X91" s="4">
        <f>IF(Y91="",W91,W91*Y91)</f>
        <v/>
      </c>
      <c r="Y91" s="4" t="n"/>
      <c r="Z91" s="21">
        <f>ROUND(O91*AN91,0)</f>
        <v/>
      </c>
      <c r="AA91" s="59">
        <f>IFERROR(1-X91/Z91,"-")</f>
        <v/>
      </c>
      <c r="AB91" s="4" t="n">
        <v>1</v>
      </c>
      <c r="AC91" s="4">
        <f>AY91</f>
        <v/>
      </c>
      <c r="AD91" s="4">
        <f>IFERROR(AC91*AN91,"-")</f>
        <v/>
      </c>
      <c r="AE91" s="59">
        <f>IFERROR(1-X91/AD91,"-")</f>
        <v/>
      </c>
      <c r="AF91" s="7" t="n">
        <v>1061</v>
      </c>
      <c r="AG91" s="59">
        <f>1-X91/AF91</f>
        <v/>
      </c>
      <c r="AH91" s="4">
        <f>AF91-X91</f>
        <v/>
      </c>
      <c r="AI91" s="28" t="n"/>
      <c r="AJ91" s="59" t="n"/>
      <c r="AK91" s="59" t="n"/>
      <c r="AL91" s="59">
        <f>IFERROR(V91/N91,"-")</f>
        <v/>
      </c>
      <c r="AM91" s="59">
        <f>IFERROR(AF91/O91,"-")</f>
        <v/>
      </c>
      <c r="AN91" s="59">
        <f>IFERROR(X91/P91,"-")</f>
        <v/>
      </c>
      <c r="AO91" s="59">
        <f>IFERROR(1-X91/AP91,"-")</f>
        <v/>
      </c>
      <c r="AP91" s="4">
        <f>IFERROR(ROUND($AF91*R91/$O91,0),"-")</f>
        <v/>
      </c>
      <c r="AQ91" s="4">
        <f>IF(S91="","-",S91)</f>
        <v/>
      </c>
      <c r="AR91" s="4">
        <f>IF(T91="","-",T91)</f>
        <v/>
      </c>
      <c r="AS91" s="4" t="n">
        <v>0</v>
      </c>
      <c r="AT91" s="4" t="inlineStr">
        <is>
          <t>A018514</t>
        </is>
      </c>
      <c r="AU91" s="4" t="n"/>
      <c r="AV91" s="4" t="n"/>
      <c r="AW91" s="4" t="inlineStr">
        <is>
          <t>1袋(20枚)</t>
        </is>
      </c>
      <c r="AX91" s="4" t="n">
        <v>1062</v>
      </c>
      <c r="AY91" s="4">
        <f>IF(AU91="",AX91,AU91/AV91*AX91)</f>
        <v/>
      </c>
      <c r="AZ91" s="19" t="n">
        <v>4</v>
      </c>
      <c r="BA91" s="19" t="n">
        <v>1</v>
      </c>
      <c r="BB91" s="16" t="n">
        <v>1120</v>
      </c>
      <c r="BC91" s="0" t="inlineStr">
        <is>
          <t>-</t>
        </is>
      </c>
      <c r="BD91" s="0">
        <f>IFERROR(BC91*AN91,"-")</f>
        <v/>
      </c>
      <c r="BE91" s="0" t="n">
        <v>1308</v>
      </c>
      <c r="BF91" s="0">
        <f>IFERROR(BE91*AN91,"-")</f>
        <v/>
      </c>
      <c r="BG91" s="0" t="inlineStr">
        <is>
          <t>アイリスオーヤマ ラミネートフィルム100ミクロン(B4サイズ) LZーB420 20枚 1袋(20枚)（直送品）</t>
        </is>
      </c>
    </row>
    <row r="92">
      <c r="A92" s="0">
        <f>TEXT(F92,"000000")</f>
        <v/>
      </c>
      <c r="B92" s="3" t="n">
        <v>14</v>
      </c>
      <c r="C92" s="3" t="n">
        <v>14</v>
      </c>
      <c r="D92" s="4" t="n">
        <v>601333</v>
      </c>
      <c r="E92" s="4">
        <f>TEXT(D92,"000000")</f>
        <v/>
      </c>
      <c r="F92" s="4" t="n">
        <v>601333</v>
      </c>
      <c r="G92" s="4">
        <f>E92&amp;J92</f>
        <v/>
      </c>
      <c r="H92" s="4" t="inlineStr">
        <is>
          <t>ｱｲﾘｽｵｰﾔﾏ/ﾗﾐﾈｰﾄﾌｨﾙﾑ はがきｻｲｽﾞ 150μ(ﾐｸﾛﾝ) 100枚入/</t>
        </is>
      </c>
      <c r="I92" s="58" t="n">
        <v>4905009427482</v>
      </c>
      <c r="J92" s="58" t="n">
        <v>5</v>
      </c>
      <c r="K92" s="58" t="n"/>
      <c r="L92" s="58" t="n">
        <v>1</v>
      </c>
      <c r="M92" s="58" t="n">
        <v>1</v>
      </c>
      <c r="N92" s="4" t="n">
        <v>0</v>
      </c>
      <c r="O92" s="4" t="n">
        <v>1275</v>
      </c>
      <c r="P92" s="4" t="n">
        <v>600</v>
      </c>
      <c r="Q92" s="59">
        <f>IFERROR(1-P92/O92,"-")</f>
        <v/>
      </c>
      <c r="R92" s="4" t="n">
        <v>1210</v>
      </c>
      <c r="S92" s="4" t="n">
        <v>4</v>
      </c>
      <c r="T92" s="4" t="n">
        <v>99999</v>
      </c>
      <c r="U92" s="4" t="n">
        <v>0</v>
      </c>
      <c r="V92" s="4">
        <f>IF(Y92="",U92,U92*Y92)</f>
        <v/>
      </c>
      <c r="W92" s="4" t="n">
        <v>720</v>
      </c>
      <c r="X92" s="4">
        <f>IF(Y92="",W92,W92*Y92)</f>
        <v/>
      </c>
      <c r="Y92" s="4" t="n"/>
      <c r="Z92" s="21">
        <f>ROUND(O92*AN92,0)</f>
        <v/>
      </c>
      <c r="AA92" s="59">
        <f>IFERROR(1-X92/Z92,"-")</f>
        <v/>
      </c>
      <c r="AB92" s="4" t="n">
        <v>2</v>
      </c>
      <c r="AC92" s="4">
        <f>AY92</f>
        <v/>
      </c>
      <c r="AD92" s="4">
        <f>IFERROR(AC92*AN92,"-")</f>
        <v/>
      </c>
      <c r="AE92" s="59">
        <f>IFERROR(1-X92/AD92,"-")</f>
        <v/>
      </c>
      <c r="AF92" s="7" t="n">
        <v>1183</v>
      </c>
      <c r="AG92" s="59">
        <f>1-X92/AF92</f>
        <v/>
      </c>
      <c r="AH92" s="4">
        <f>AF92-X92</f>
        <v/>
      </c>
      <c r="AI92" s="28" t="n"/>
      <c r="AJ92" s="59" t="n"/>
      <c r="AK92" s="59" t="n"/>
      <c r="AL92" s="60">
        <f>IFERROR(V92/N92,"-")</f>
        <v/>
      </c>
      <c r="AM92" s="59">
        <f>IFERROR(AF92/O92,"-")</f>
        <v/>
      </c>
      <c r="AN92" s="59">
        <f>IFERROR(X92/P92,"-")</f>
        <v/>
      </c>
      <c r="AO92" s="59">
        <f>IFERROR(1-X92/AP92,"-")</f>
        <v/>
      </c>
      <c r="AP92" s="4" t="n">
        <v>1250</v>
      </c>
      <c r="AQ92" s="4">
        <f>IF(S92="","-",S92)</f>
        <v/>
      </c>
      <c r="AR92" s="4">
        <f>IF(T92="","-",T92)</f>
        <v/>
      </c>
      <c r="AS92" s="4" t="inlineStr">
        <is>
          <t>34/363</t>
        </is>
      </c>
      <c r="AT92" s="4" t="inlineStr">
        <is>
          <t>H652161</t>
        </is>
      </c>
      <c r="AU92" s="4" t="n"/>
      <c r="AV92" s="4" t="n"/>
      <c r="AW92" s="4" t="inlineStr">
        <is>
          <t>1個</t>
        </is>
      </c>
      <c r="AX92" s="4" t="n">
        <v>1184</v>
      </c>
      <c r="AY92" s="4">
        <f>IF(AU92="",AX92,AU92/AV92*AX92)</f>
        <v/>
      </c>
      <c r="AZ92" s="19" t="n">
        <v>4</v>
      </c>
      <c r="BA92" s="19" t="n">
        <v>1</v>
      </c>
      <c r="BB92" s="16" t="n">
        <v>1120</v>
      </c>
      <c r="BC92" s="0" t="inlineStr">
        <is>
          <t>-</t>
        </is>
      </c>
      <c r="BD92" s="0">
        <f>IFERROR(BC92*AN92,"-")</f>
        <v/>
      </c>
      <c r="BE92" s="0" t="n">
        <v>1113</v>
      </c>
      <c r="BF92" s="0">
        <f>IFERROR(BE92*AN92,"-")</f>
        <v/>
      </c>
      <c r="BG92" s="0" t="inlineStr">
        <is>
          <t>アイリスオーヤマ　ラミネートフィルム　はがきサイズ　150μ(ミクロン)　LZ-5HA100　100枚入　1個</t>
        </is>
      </c>
    </row>
    <row r="93">
      <c r="A93" s="0">
        <f>TEXT(F93,"000000")</f>
        <v/>
      </c>
      <c r="B93" s="37" t="n">
        <v>17</v>
      </c>
      <c r="C93" s="3" t="n">
        <v>17</v>
      </c>
      <c r="D93" s="4" t="n">
        <v>670132</v>
      </c>
      <c r="E93" s="4">
        <f>TEXT(D93,"000000")</f>
        <v/>
      </c>
      <c r="F93" s="4" t="n">
        <v>670132</v>
      </c>
      <c r="G93" s="4">
        <f>E93&amp;J93</f>
        <v/>
      </c>
      <c r="H93" s="4" t="inlineStr">
        <is>
          <t>ｱｲﾘｽｵｰﾔﾏ/ﾗﾐﾈｰﾄﾌｨﾙﾑ A3ﾜｲﾄﾞｻｲｽﾞ 100μ(ﾐｸﾛﾝ) 10枚入/L</t>
        </is>
      </c>
      <c r="I93" s="58" t="n">
        <v>4905009428564</v>
      </c>
      <c r="J93" s="58" t="n">
        <v>5</v>
      </c>
      <c r="K93" s="58" t="n"/>
      <c r="L93" s="58" t="n">
        <v>1</v>
      </c>
      <c r="M93" s="58" t="n">
        <v>1</v>
      </c>
      <c r="N93" s="4" t="n">
        <v>0</v>
      </c>
      <c r="O93" s="4" t="n">
        <v>1284</v>
      </c>
      <c r="P93" s="4" t="n">
        <v>600</v>
      </c>
      <c r="Q93" s="59">
        <f>IFERROR(1-P93/O93,"-")</f>
        <v/>
      </c>
      <c r="R93" s="4" t="inlineStr">
        <is>
          <t>-</t>
        </is>
      </c>
      <c r="S93" s="4" t="inlineStr">
        <is>
          <t>-</t>
        </is>
      </c>
      <c r="T93" s="4" t="inlineStr">
        <is>
          <t>-</t>
        </is>
      </c>
      <c r="U93" s="4" t="n">
        <v>0</v>
      </c>
      <c r="V93" s="4">
        <f>IF(Y93="",U93,U93*Y93)</f>
        <v/>
      </c>
      <c r="W93" s="4" t="n">
        <v>720</v>
      </c>
      <c r="X93" s="4">
        <f>IF(Y93="",W93,W93*Y93)</f>
        <v/>
      </c>
      <c r="Y93" s="4" t="n"/>
      <c r="Z93" s="21">
        <f>ROUND(O93*AN93,0)</f>
        <v/>
      </c>
      <c r="AA93" s="59">
        <f>IFERROR(1-X93/Z93,"-")</f>
        <v/>
      </c>
      <c r="AB93" s="4" t="n">
        <v>0.75</v>
      </c>
      <c r="AC93" s="4">
        <f>AY93</f>
        <v/>
      </c>
      <c r="AD93" s="4">
        <f>IFERROR(AC93*AN93,"-")</f>
        <v/>
      </c>
      <c r="AE93" s="59">
        <f>IFERROR(1-X93/AD93,"-")</f>
        <v/>
      </c>
      <c r="AF93" s="7" t="n">
        <v>1284</v>
      </c>
      <c r="AG93" s="59">
        <f>1-X93/AF93</f>
        <v/>
      </c>
      <c r="AH93" s="38">
        <f>AF93-X93</f>
        <v/>
      </c>
      <c r="AI93" s="28" t="n"/>
      <c r="AJ93" s="59" t="n"/>
      <c r="AK93" s="59" t="n"/>
      <c r="AL93" s="59">
        <f>IFERROR(V93/N93,"-")</f>
        <v/>
      </c>
      <c r="AM93" s="59">
        <f>IFERROR(AF93/O93,"-")</f>
        <v/>
      </c>
      <c r="AN93" s="59">
        <f>IFERROR(X93/P93,"-")</f>
        <v/>
      </c>
      <c r="AO93" s="59">
        <f>IFERROR(1-X93/AP93,"-")</f>
        <v/>
      </c>
      <c r="AP93" s="4">
        <f>IFERROR(ROUND($AF93*R93/$O93,0),"-")</f>
        <v/>
      </c>
      <c r="AQ93" s="4">
        <f>IF(S93="","-",S93)</f>
        <v/>
      </c>
      <c r="AR93" s="4">
        <f>IF(T93="","-",T93)</f>
        <v/>
      </c>
      <c r="AS93" s="4" t="n">
        <v>0</v>
      </c>
      <c r="AT93" s="4" t="inlineStr">
        <is>
          <t>-</t>
        </is>
      </c>
      <c r="AU93" s="4" t="n"/>
      <c r="AV93" s="4" t="n"/>
      <c r="AW93" s="4" t="inlineStr">
        <is>
          <t>-</t>
        </is>
      </c>
      <c r="AX93" s="4" t="inlineStr">
        <is>
          <t>-</t>
        </is>
      </c>
      <c r="AY93" s="4">
        <f>IF(AU93="",AX93,AU93/AV93*AX93)</f>
        <v/>
      </c>
      <c r="AZ93" s="19" t="n">
        <v>2</v>
      </c>
      <c r="BA93" s="19" t="n">
        <v>1</v>
      </c>
      <c r="BB93" s="16" t="n">
        <v>1120</v>
      </c>
      <c r="BC93" s="0" t="inlineStr">
        <is>
          <t>-</t>
        </is>
      </c>
      <c r="BD93" s="0">
        <f>IFERROR(BC93*AN93,"-")</f>
        <v/>
      </c>
      <c r="BE93" s="0" t="n">
        <v>1265</v>
      </c>
      <c r="BF93" s="0">
        <f>IFERROR(BE93*AN93,"-")</f>
        <v/>
      </c>
      <c r="BG93" s="0" t="inlineStr">
        <is>
          <t>-</t>
        </is>
      </c>
    </row>
    <row r="94">
      <c r="A94" s="0">
        <f>TEXT(F94,"000000")</f>
        <v/>
      </c>
      <c r="B94" s="3" t="n">
        <v>10</v>
      </c>
      <c r="C94" s="3" t="n">
        <v>10</v>
      </c>
      <c r="D94" s="4" t="n">
        <v>601322</v>
      </c>
      <c r="E94" s="4">
        <f>TEXT(D94,"000000")</f>
        <v/>
      </c>
      <c r="F94" s="4" t="n">
        <v>601322</v>
      </c>
      <c r="G94" s="4">
        <f>E94&amp;J94</f>
        <v/>
      </c>
      <c r="H94" s="4" t="inlineStr">
        <is>
          <t>ｱｲﾘｽｵｰﾔﾏ/ﾗﾐﾈｰﾄﾌｨﾙﾑ B6ｻｲｽﾞ 100μ(ﾐｸﾛﾝ) 100枚入/LZ-B</t>
        </is>
      </c>
      <c r="I94" s="58" t="n">
        <v>4905009427390</v>
      </c>
      <c r="J94" s="58" t="n">
        <v>5</v>
      </c>
      <c r="K94" s="58" t="n"/>
      <c r="L94" s="58" t="n">
        <v>1</v>
      </c>
      <c r="M94" s="58" t="n">
        <v>1</v>
      </c>
      <c r="N94" s="4" t="n">
        <v>0</v>
      </c>
      <c r="O94" s="4" t="n">
        <v>1109</v>
      </c>
      <c r="P94" s="4" t="n">
        <v>700</v>
      </c>
      <c r="Q94" s="59">
        <f>IFERROR(1-P94/O94,"-")</f>
        <v/>
      </c>
      <c r="R94" s="4" t="n">
        <v>1030</v>
      </c>
      <c r="S94" s="4" t="n">
        <v>4</v>
      </c>
      <c r="T94" s="4" t="n">
        <v>99999</v>
      </c>
      <c r="U94" s="4" t="n">
        <v>0</v>
      </c>
      <c r="V94" s="4">
        <f>IF(Y94="",U94,U94*Y94)</f>
        <v/>
      </c>
      <c r="W94" s="4" t="n">
        <v>840</v>
      </c>
      <c r="X94" s="4">
        <f>IF(Y94="",W94,W94*Y94)</f>
        <v/>
      </c>
      <c r="Y94" s="4" t="n"/>
      <c r="Z94" s="21">
        <f>ROUND(O94*AN94,0)</f>
        <v/>
      </c>
      <c r="AA94" s="59">
        <f>IFERROR(1-X94/Z94,"-")</f>
        <v/>
      </c>
      <c r="AB94" s="4" t="n">
        <v>9.5</v>
      </c>
      <c r="AC94" s="4">
        <f>AY94</f>
        <v/>
      </c>
      <c r="AD94" s="4">
        <f>IFERROR(AC94*AN94,"-")</f>
        <v/>
      </c>
      <c r="AE94" s="59">
        <f>IFERROR(1-X94/AD94,"-")</f>
        <v/>
      </c>
      <c r="AF94" s="7" t="n">
        <v>1109</v>
      </c>
      <c r="AG94" s="59">
        <f>1-X94/AF94</f>
        <v/>
      </c>
      <c r="AH94" s="4">
        <f>AF94-X94</f>
        <v/>
      </c>
      <c r="AI94" s="28" t="n"/>
      <c r="AJ94" s="59" t="n"/>
      <c r="AK94" s="59" t="n"/>
      <c r="AL94" s="60">
        <f>IFERROR(V94/N94,"-")</f>
        <v/>
      </c>
      <c r="AM94" s="59">
        <f>IFERROR(AF94/O94,"-")</f>
        <v/>
      </c>
      <c r="AN94" s="59">
        <f>IFERROR(X94/P94,"-")</f>
        <v/>
      </c>
      <c r="AO94" s="59">
        <f>IFERROR(1-X94/AP94,"-")</f>
        <v/>
      </c>
      <c r="AP94" s="4" t="n">
        <v>1280</v>
      </c>
      <c r="AQ94" s="4">
        <f>IF(S94="","-",S94)</f>
        <v/>
      </c>
      <c r="AR94" s="4">
        <f>IF(T94="","-",T94)</f>
        <v/>
      </c>
      <c r="AS94" s="4" t="inlineStr">
        <is>
          <t>34/363</t>
        </is>
      </c>
      <c r="AT94" s="4" t="inlineStr">
        <is>
          <t>-</t>
        </is>
      </c>
      <c r="AU94" s="4" t="n"/>
      <c r="AV94" s="4" t="n"/>
      <c r="AW94" s="4" t="inlineStr">
        <is>
          <t>-</t>
        </is>
      </c>
      <c r="AX94" s="4" t="inlineStr">
        <is>
          <t>-</t>
        </is>
      </c>
      <c r="AY94" s="4">
        <f>IF(AU94="",AX94,AU94/AV94*AX94)</f>
        <v/>
      </c>
      <c r="AZ94" s="19" t="n">
        <v>4</v>
      </c>
      <c r="BA94" s="19" t="n">
        <v>1</v>
      </c>
      <c r="BB94" s="16" t="n">
        <v>1120</v>
      </c>
      <c r="BC94" s="0" t="inlineStr">
        <is>
          <t>-</t>
        </is>
      </c>
      <c r="BD94" s="0">
        <f>IFERROR(BC94*AN94,"-")</f>
        <v/>
      </c>
      <c r="BE94" s="0" t="inlineStr">
        <is>
          <t>-</t>
        </is>
      </c>
      <c r="BF94" s="0">
        <f>IFERROR(BE94*AN94,"-")</f>
        <v/>
      </c>
      <c r="BG94" s="0" t="inlineStr">
        <is>
          <t>-</t>
        </is>
      </c>
    </row>
    <row r="95">
      <c r="A95" s="0">
        <f>TEXT(F95,"000000")</f>
        <v/>
      </c>
      <c r="B95" s="3" t="n">
        <v>45</v>
      </c>
      <c r="C95" s="3" t="n">
        <v>45</v>
      </c>
      <c r="D95" s="4" t="inlineStr">
        <is>
          <t>J20308</t>
        </is>
      </c>
      <c r="E95" s="4">
        <f>TEXT(D95,"000000")</f>
        <v/>
      </c>
      <c r="F95" s="4" t="inlineStr">
        <is>
          <t>J20308</t>
        </is>
      </c>
      <c r="G95" s="4">
        <f>E95&amp;J95</f>
        <v/>
      </c>
      <c r="H95" s="4" t="inlineStr">
        <is>
          <t>ｱｲﾘｽｵｰﾔﾏ/ﾗﾐﾈｰﾄﾌｨﾙﾑ B4ｻｲｽﾞ 150μ(ﾐｸﾛﾝ) 20枚入/LZ-15</t>
        </is>
      </c>
      <c r="I95" s="58" t="n">
        <v>4905009428762</v>
      </c>
      <c r="J95" s="58" t="n">
        <v>5</v>
      </c>
      <c r="K95" s="58" t="n"/>
      <c r="L95" s="58" t="n">
        <v>1</v>
      </c>
      <c r="M95" s="58" t="n">
        <v>1</v>
      </c>
      <c r="N95" s="4" t="n">
        <v>0</v>
      </c>
      <c r="O95" s="4" t="n">
        <v>1202</v>
      </c>
      <c r="P95" s="4" t="n">
        <v>700</v>
      </c>
      <c r="Q95" s="59">
        <f>IFERROR(1-P95/O95,"-")</f>
        <v/>
      </c>
      <c r="R95" s="4" t="inlineStr">
        <is>
          <t>-</t>
        </is>
      </c>
      <c r="S95" s="4" t="inlineStr">
        <is>
          <t>-</t>
        </is>
      </c>
      <c r="T95" s="4" t="inlineStr">
        <is>
          <t>-</t>
        </is>
      </c>
      <c r="U95" s="4" t="n">
        <v>0</v>
      </c>
      <c r="V95" s="4">
        <f>IF(Y95="",U95,U95*Y95)</f>
        <v/>
      </c>
      <c r="W95" s="4" t="n">
        <v>840</v>
      </c>
      <c r="X95" s="4">
        <f>IF(Y95="",W95,W95*Y95)</f>
        <v/>
      </c>
      <c r="Y95" s="4" t="n"/>
      <c r="Z95" s="21">
        <f>ROUND(O95*AN95,0)</f>
        <v/>
      </c>
      <c r="AA95" s="59">
        <f>IFERROR(1-X95/Z95,"-")</f>
        <v/>
      </c>
      <c r="AB95" s="4" t="n">
        <v>0.25</v>
      </c>
      <c r="AC95" s="4">
        <f>AY95</f>
        <v/>
      </c>
      <c r="AD95" s="4">
        <f>IFERROR(AC95*AN95,"-")</f>
        <v/>
      </c>
      <c r="AE95" s="59">
        <f>IFERROR(1-X95/AD95,"-")</f>
        <v/>
      </c>
      <c r="AF95" s="7" t="n">
        <v>1582</v>
      </c>
      <c r="AG95" s="59">
        <f>1-X95/AF95</f>
        <v/>
      </c>
      <c r="AH95" s="4">
        <f>AF95-X95</f>
        <v/>
      </c>
      <c r="AI95" s="28" t="n"/>
      <c r="AJ95" s="59" t="n"/>
      <c r="AK95" s="59" t="n"/>
      <c r="AL95" s="59">
        <f>IFERROR(V95/N95,"-")</f>
        <v/>
      </c>
      <c r="AM95" s="59">
        <f>IFERROR(AF95/O95,"-")</f>
        <v/>
      </c>
      <c r="AN95" s="59">
        <f>IFERROR(X95/P95,"-")</f>
        <v/>
      </c>
      <c r="AO95" s="59">
        <f>IFERROR(1-X95/AP95,"-")</f>
        <v/>
      </c>
      <c r="AP95" s="4">
        <f>IFERROR(ROUND($AF95*R95/$O95,0),"-")</f>
        <v/>
      </c>
      <c r="AQ95" s="4">
        <f>IF(S95="","-",S95)</f>
        <v/>
      </c>
      <c r="AR95" s="4">
        <f>IF(T95="","-",T95)</f>
        <v/>
      </c>
      <c r="AS95" s="4" t="n">
        <v>0</v>
      </c>
      <c r="AT95" s="4" t="inlineStr">
        <is>
          <t>JE50596</t>
        </is>
      </c>
      <c r="AU95" s="4" t="n"/>
      <c r="AV95" s="4" t="n"/>
      <c r="AW95" s="4" t="inlineStr">
        <is>
          <t>1パック（20枚入）</t>
        </is>
      </c>
      <c r="AX95" s="4" t="n">
        <v>1583</v>
      </c>
      <c r="AY95" s="4">
        <f>IF(AU95="",AX95,AU95/AV95*AX95)</f>
        <v/>
      </c>
      <c r="AZ95" s="19" t="n">
        <v>4</v>
      </c>
      <c r="BA95" s="19" t="n">
        <v>8</v>
      </c>
      <c r="BB95" s="16" t="n">
        <v>1120</v>
      </c>
      <c r="BC95" s="0" t="inlineStr">
        <is>
          <t>-</t>
        </is>
      </c>
      <c r="BD95" s="0">
        <f>IFERROR(BC95*AN95,"-")</f>
        <v/>
      </c>
      <c r="BE95" s="0" t="n">
        <v>1343</v>
      </c>
      <c r="BF95" s="0">
        <f>IFERROR(BE95*AN95,"-")</f>
        <v/>
      </c>
      <c r="BG95" s="0" t="inlineStr">
        <is>
          <t>アイリスオーヤマ　ラミネートフィルム　B4サイズ　150μ(ミクロン)　LZ-15B420　1パック（20枚入）</t>
        </is>
      </c>
    </row>
    <row r="96">
      <c r="A96" s="0">
        <f>TEXT(F96,"000000")</f>
        <v/>
      </c>
      <c r="B96" s="3" t="n">
        <v>52</v>
      </c>
      <c r="C96" s="3" t="n">
        <v>52</v>
      </c>
      <c r="D96" s="4" t="inlineStr">
        <is>
          <t>J20288</t>
        </is>
      </c>
      <c r="E96" s="4">
        <f>TEXT(D96,"000000")</f>
        <v/>
      </c>
      <c r="F96" s="4" t="inlineStr">
        <is>
          <t>J20288</t>
        </is>
      </c>
      <c r="G96" s="4">
        <f>E96&amp;J96</f>
        <v/>
      </c>
      <c r="H96" s="4" t="inlineStr">
        <is>
          <t>ｱｲﾘｽｵｰﾔﾏ/ﾗﾐﾈｰﾄﾌｨﾙﾑ A3ｻｲｽﾞ 100μ(ﾐｸﾛﾝ) 20枚入/LZ-A3</t>
        </is>
      </c>
      <c r="I96" s="58" t="n">
        <v>4905009428557</v>
      </c>
      <c r="J96" s="58" t="n">
        <v>5</v>
      </c>
      <c r="K96" s="58" t="n"/>
      <c r="L96" s="58" t="n">
        <v>1</v>
      </c>
      <c r="M96" s="58" t="n">
        <v>1</v>
      </c>
      <c r="N96" s="4" t="n">
        <v>0</v>
      </c>
      <c r="O96" s="4" t="n">
        <v>1320</v>
      </c>
      <c r="P96" s="4" t="n">
        <v>700</v>
      </c>
      <c r="Q96" s="59">
        <f>IFERROR(1-P96/O96,"-")</f>
        <v/>
      </c>
      <c r="R96" s="4" t="inlineStr">
        <is>
          <t>-</t>
        </is>
      </c>
      <c r="S96" s="4" t="inlineStr">
        <is>
          <t>-</t>
        </is>
      </c>
      <c r="T96" s="4" t="inlineStr">
        <is>
          <t>-</t>
        </is>
      </c>
      <c r="U96" s="4" t="n">
        <v>0</v>
      </c>
      <c r="V96" s="4">
        <f>IF(Y96="",U96,U96*Y96)</f>
        <v/>
      </c>
      <c r="W96" s="4" t="n">
        <v>840</v>
      </c>
      <c r="X96" s="4">
        <f>IF(Y96="",W96,W96*Y96)</f>
        <v/>
      </c>
      <c r="Y96" s="4" t="n"/>
      <c r="Z96" s="21">
        <f>ROUND(O96*AN96,0)</f>
        <v/>
      </c>
      <c r="AA96" s="59">
        <f>IFERROR(1-X96/Z96,"-")</f>
        <v/>
      </c>
      <c r="AB96" s="4" t="n">
        <v>9.5</v>
      </c>
      <c r="AC96" s="4">
        <f>AY96</f>
        <v/>
      </c>
      <c r="AD96" s="4">
        <f>IFERROR(AC96*AN96,"-")</f>
        <v/>
      </c>
      <c r="AE96" s="59">
        <f>IFERROR(1-X96/AD96,"-")</f>
        <v/>
      </c>
      <c r="AF96" s="7" t="n">
        <v>1079</v>
      </c>
      <c r="AG96" s="59">
        <f>1-X96/AF96</f>
        <v/>
      </c>
      <c r="AH96" s="4">
        <f>AF96-X96</f>
        <v/>
      </c>
      <c r="AI96" s="28" t="n"/>
      <c r="AJ96" s="59" t="n"/>
      <c r="AK96" s="59" t="n"/>
      <c r="AL96" s="59">
        <f>IFERROR(V96/N96,"-")</f>
        <v/>
      </c>
      <c r="AM96" s="59">
        <f>IFERROR(AF96/O96,"-")</f>
        <v/>
      </c>
      <c r="AN96" s="59">
        <f>IFERROR(X96/P96,"-")</f>
        <v/>
      </c>
      <c r="AO96" s="59">
        <f>IFERROR(1-X96/AP96,"-")</f>
        <v/>
      </c>
      <c r="AP96" s="4">
        <f>IFERROR(ROUND($AF96*R96/$O96,0),"-")</f>
        <v/>
      </c>
      <c r="AQ96" s="4">
        <f>IF(S96="","-",S96)</f>
        <v/>
      </c>
      <c r="AR96" s="4">
        <f>IF(T96="","-",T96)</f>
        <v/>
      </c>
      <c r="AS96" s="4" t="n">
        <v>0</v>
      </c>
      <c r="AT96" s="4" t="inlineStr">
        <is>
          <t>UA43276</t>
        </is>
      </c>
      <c r="AU96" s="4" t="n"/>
      <c r="AV96" s="4" t="n"/>
      <c r="AW96" s="4" t="inlineStr">
        <is>
          <t>1パック（20枚入）</t>
        </is>
      </c>
      <c r="AX96" s="4" t="n">
        <v>1080</v>
      </c>
      <c r="AY96" s="4">
        <f>IF(AU96="",AX96,AU96/AV96*AX96)</f>
        <v/>
      </c>
      <c r="AZ96" s="19" t="n">
        <v>4</v>
      </c>
      <c r="BA96" s="19" t="n">
        <v>1</v>
      </c>
      <c r="BB96" s="16" t="n">
        <v>1120</v>
      </c>
      <c r="BC96" s="0" t="inlineStr">
        <is>
          <t>-</t>
        </is>
      </c>
      <c r="BD96" s="0">
        <f>IFERROR(BC96*AN96,"-")</f>
        <v/>
      </c>
      <c r="BE96" s="0" t="n">
        <v>1837</v>
      </c>
      <c r="BF96" s="0">
        <f>IFERROR(BE96*AN96,"-")</f>
        <v/>
      </c>
      <c r="BG96" s="0" t="inlineStr">
        <is>
          <t>アイリスオーヤマ　ラミネートフィルム　A3サイズ　100μ(ミクロン)　LZ-A320　1パック(20枚入)</t>
        </is>
      </c>
    </row>
    <row r="97">
      <c r="A97" s="0">
        <f>TEXT(F97,"000000")</f>
        <v/>
      </c>
      <c r="B97" s="3" t="n">
        <v>91</v>
      </c>
      <c r="C97" s="3" t="n">
        <v>91</v>
      </c>
      <c r="D97" s="4" t="n">
        <v>681118</v>
      </c>
      <c r="E97" s="4">
        <f>TEXT(D97,"000000")</f>
        <v/>
      </c>
      <c r="F97" s="4" t="n">
        <v>681118</v>
      </c>
      <c r="G97" s="4">
        <f>E97&amp;J97</f>
        <v/>
      </c>
      <c r="H97" s="4" t="inlineStr">
        <is>
          <t>ｱｲﾘｽｵｰﾔﾏ/ﾗﾐﾈｰﾄﾌｨﾙﾑ100μ A4ｻｲｽﾞ100枚/LFT-A4100</t>
        </is>
      </c>
      <c r="I97" s="58" t="n">
        <v>4905009834181</v>
      </c>
      <c r="J97" s="58" t="n">
        <v>5</v>
      </c>
      <c r="K97" s="58" t="n"/>
      <c r="L97" s="58" t="n">
        <v>1</v>
      </c>
      <c r="M97" s="58" t="n">
        <v>1</v>
      </c>
      <c r="N97" s="4" t="n">
        <v>0</v>
      </c>
      <c r="O97" s="4" t="n">
        <v>1690</v>
      </c>
      <c r="P97" s="4" t="n">
        <v>710</v>
      </c>
      <c r="Q97" s="59">
        <f>IFERROR(1-P97/O97,"-")</f>
        <v/>
      </c>
      <c r="R97" s="4" t="inlineStr">
        <is>
          <t>-</t>
        </is>
      </c>
      <c r="S97" s="4" t="inlineStr">
        <is>
          <t>-</t>
        </is>
      </c>
      <c r="T97" s="4" t="inlineStr">
        <is>
          <t>-</t>
        </is>
      </c>
      <c r="U97" s="4" t="n">
        <v>0</v>
      </c>
      <c r="V97" s="4">
        <f>IF(Y97="",U97,U97*Y97)</f>
        <v/>
      </c>
      <c r="W97" s="4" t="n">
        <v>852</v>
      </c>
      <c r="X97" s="4">
        <f>IF(Y97="",W97,W97*Y97)</f>
        <v/>
      </c>
      <c r="Y97" s="4" t="n"/>
      <c r="Z97" s="21">
        <f>ROUND(O97*AN97,0)</f>
        <v/>
      </c>
      <c r="AA97" s="59">
        <f>IFERROR(1-X97/Z97,"-")</f>
        <v/>
      </c>
      <c r="AB97" s="4" t="n">
        <v>338.25</v>
      </c>
      <c r="AC97" s="4">
        <f>AY97</f>
        <v/>
      </c>
      <c r="AD97" s="4">
        <f>IFERROR(AC97*AN97,"-")</f>
        <v/>
      </c>
      <c r="AE97" s="59">
        <f>IFERROR(1-X97/AD97,"-")</f>
        <v/>
      </c>
      <c r="AF97" s="7" t="n">
        <v>1689</v>
      </c>
      <c r="AG97" s="59">
        <f>1-X97/AF97</f>
        <v/>
      </c>
      <c r="AH97" s="4">
        <f>AF97-X97</f>
        <v/>
      </c>
      <c r="AI97" s="28" t="n"/>
      <c r="AJ97" s="59" t="n"/>
      <c r="AK97" s="59" t="n"/>
      <c r="AL97" s="59">
        <f>IFERROR(V97/N97,"-")</f>
        <v/>
      </c>
      <c r="AM97" s="59">
        <f>IFERROR(AF97/O97,"-")</f>
        <v/>
      </c>
      <c r="AN97" s="59">
        <f>IFERROR(X97/P97,"-")</f>
        <v/>
      </c>
      <c r="AO97" s="59">
        <f>IFERROR(1-X97/AP97,"-")</f>
        <v/>
      </c>
      <c r="AP97" s="4">
        <f>IFERROR(ROUND($AF97*R97/$O97,0),"-")</f>
        <v/>
      </c>
      <c r="AQ97" s="4">
        <f>IF(S97="","-",S97)</f>
        <v/>
      </c>
      <c r="AR97" s="4">
        <f>IF(T97="","-",T97)</f>
        <v/>
      </c>
      <c r="AS97" s="4" t="inlineStr">
        <is>
          <t>34/363</t>
        </is>
      </c>
      <c r="AT97" s="4" t="inlineStr">
        <is>
          <t>3485068</t>
        </is>
      </c>
      <c r="AU97" s="4" t="n"/>
      <c r="AV97" s="4" t="n"/>
      <c r="AW97" s="4" t="inlineStr">
        <is>
          <t>1箱（100枚入）</t>
        </is>
      </c>
      <c r="AX97" s="4" t="n">
        <v>1690</v>
      </c>
      <c r="AY97" s="4">
        <f>IF(AU97="",AX97,AU97/AV97*AX97)</f>
        <v/>
      </c>
      <c r="AZ97" s="19" t="n">
        <v>4</v>
      </c>
      <c r="BA97" s="19" t="n">
        <v>1</v>
      </c>
      <c r="BB97" s="16" t="n">
        <v>1120</v>
      </c>
      <c r="BC97" s="0" t="n">
        <v>1690</v>
      </c>
      <c r="BD97" s="0">
        <f>IFERROR(BC97*AN97,"-")</f>
        <v/>
      </c>
      <c r="BE97" s="0" t="n">
        <v>2653</v>
      </c>
      <c r="BF97" s="0">
        <f>IFERROR(BE97*AN97,"-")</f>
        <v/>
      </c>
      <c r="BG97" s="0" t="inlineStr">
        <is>
          <t>アイリスオーヤマ　ラミネートフィルム　A4サイズ　帯電防止剤配合(静電気防止)　100μ(ミクロン)　LFT-A4100　1箱（100枚入）</t>
        </is>
      </c>
    </row>
    <row r="98">
      <c r="A98" s="0">
        <f>TEXT(F98,"000000")</f>
        <v/>
      </c>
      <c r="B98" s="3" t="n">
        <v>82</v>
      </c>
      <c r="C98" s="3" t="n">
        <v>82</v>
      </c>
      <c r="D98" s="4" t="n">
        <v>669462</v>
      </c>
      <c r="E98" s="4">
        <f>TEXT(D98,"000000")</f>
        <v/>
      </c>
      <c r="F98" s="4" t="n">
        <v>669462</v>
      </c>
      <c r="G98" s="4">
        <f>E98&amp;J98</f>
        <v/>
      </c>
      <c r="H98" s="4" t="inlineStr">
        <is>
          <t>ｱｲﾘｽｵｰﾔﾏ/ﾗﾐﾈｰﾄﾌｨﾙﾑ 100μ B5ｻｲｽﾞ 100枚/LFT-B5100</t>
        </is>
      </c>
      <c r="I98" s="58" t="n">
        <v>4905009834174</v>
      </c>
      <c r="J98" s="58" t="n">
        <v>5</v>
      </c>
      <c r="K98" s="58" t="n"/>
      <c r="L98" s="58" t="n">
        <v>1</v>
      </c>
      <c r="M98" s="58" t="n">
        <v>1</v>
      </c>
      <c r="N98" s="4" t="n">
        <v>0</v>
      </c>
      <c r="O98" s="4" t="n">
        <v>1350</v>
      </c>
      <c r="P98" s="4" t="n">
        <v>724</v>
      </c>
      <c r="Q98" s="59">
        <f>IFERROR(1-P98/O98,"-")</f>
        <v/>
      </c>
      <c r="R98" s="4" t="inlineStr">
        <is>
          <t>-</t>
        </is>
      </c>
      <c r="S98" s="4" t="inlineStr">
        <is>
          <t>-</t>
        </is>
      </c>
      <c r="T98" s="4" t="inlineStr">
        <is>
          <t>-</t>
        </is>
      </c>
      <c r="U98" s="4" t="n">
        <v>0</v>
      </c>
      <c r="V98" s="4">
        <f>IF(Y98="",U98,U98*Y98)</f>
        <v/>
      </c>
      <c r="W98" s="4" t="n">
        <v>868</v>
      </c>
      <c r="X98" s="4">
        <f>IF(Y98="",W98,W98*Y98)</f>
        <v/>
      </c>
      <c r="Y98" s="4" t="n"/>
      <c r="Z98" s="21">
        <f>ROUND(O98*AN98,0)</f>
        <v/>
      </c>
      <c r="AA98" s="59">
        <f>IFERROR(1-X98/Z98,"-")</f>
        <v/>
      </c>
      <c r="AB98" s="4" t="n">
        <v>67</v>
      </c>
      <c r="AC98" s="4">
        <f>AY98</f>
        <v/>
      </c>
      <c r="AD98" s="4">
        <f>IFERROR(AC98*AN98,"-")</f>
        <v/>
      </c>
      <c r="AE98" s="59">
        <f>IFERROR(1-X98/AD98,"-")</f>
        <v/>
      </c>
      <c r="AF98" s="7" t="n">
        <v>1349</v>
      </c>
      <c r="AG98" s="59">
        <f>1-X98/AF98</f>
        <v/>
      </c>
      <c r="AH98" s="4">
        <f>AF98-X98</f>
        <v/>
      </c>
      <c r="AI98" s="28" t="n"/>
      <c r="AJ98" s="59" t="n"/>
      <c r="AK98" s="59" t="n"/>
      <c r="AL98" s="59">
        <f>IFERROR(V98/N98,"-")</f>
        <v/>
      </c>
      <c r="AM98" s="59">
        <f>IFERROR(AF98/O98,"-")</f>
        <v/>
      </c>
      <c r="AN98" s="59">
        <f>IFERROR(X98/P98,"-")</f>
        <v/>
      </c>
      <c r="AO98" s="59">
        <f>IFERROR(1-X98/AP98,"-")</f>
        <v/>
      </c>
      <c r="AP98" s="4">
        <f>IFERROR(ROUND($AF98*R98/$O98,0),"-")</f>
        <v/>
      </c>
      <c r="AQ98" s="4">
        <f>IF(S98="","-",S98)</f>
        <v/>
      </c>
      <c r="AR98" s="4">
        <f>IF(T98="","-",T98)</f>
        <v/>
      </c>
      <c r="AS98" s="4" t="inlineStr">
        <is>
          <t>34/363</t>
        </is>
      </c>
      <c r="AT98" s="4" t="inlineStr">
        <is>
          <t>3485120</t>
        </is>
      </c>
      <c r="AU98" s="4" t="n"/>
      <c r="AV98" s="4" t="n"/>
      <c r="AW98" s="4" t="inlineStr">
        <is>
          <t>1箱（100枚入）</t>
        </is>
      </c>
      <c r="AX98" s="4" t="n">
        <v>1350</v>
      </c>
      <c r="AY98" s="4">
        <f>IF(AU98="",AX98,AU98/AV98*AX98)</f>
        <v/>
      </c>
      <c r="AZ98" s="19" t="n">
        <v>4</v>
      </c>
      <c r="BA98" s="19" t="n">
        <v>1</v>
      </c>
      <c r="BB98" s="16" t="n">
        <v>1120</v>
      </c>
      <c r="BC98" s="0" t="inlineStr">
        <is>
          <t>-</t>
        </is>
      </c>
      <c r="BD98" s="0">
        <f>IFERROR(BC98*AN98,"-")</f>
        <v/>
      </c>
      <c r="BE98" s="0" t="n">
        <v>1523</v>
      </c>
      <c r="BF98" s="0">
        <f>IFERROR(BE98*AN98,"-")</f>
        <v/>
      </c>
      <c r="BG98" s="0" t="inlineStr">
        <is>
          <t>アイリスオーヤマ　ラミネートフィルム　B5サイズ　帯電防止剤配合(静電気防止)　100μ(ミクロン)　LFT-B5100　1箱（100枚入）</t>
        </is>
      </c>
    </row>
    <row r="99">
      <c r="A99" s="0">
        <f>TEXT(F99,"000000")</f>
        <v/>
      </c>
      <c r="B99" s="3" t="n">
        <v>31</v>
      </c>
      <c r="C99" s="3" t="n">
        <v>31</v>
      </c>
      <c r="D99" s="4" t="inlineStr">
        <is>
          <t>J130NC</t>
        </is>
      </c>
      <c r="E99" s="4">
        <f>TEXT(D99,"000000")</f>
        <v/>
      </c>
      <c r="F99" s="4" t="inlineStr">
        <is>
          <t>J130NC</t>
        </is>
      </c>
      <c r="G99" s="4">
        <f>E99&amp;J99</f>
        <v/>
      </c>
      <c r="H99" s="4" t="inlineStr">
        <is>
          <t>ｱｲﾘｽｵｰﾔﾏ/ﾗﾐﾈｰﾄﾌｨﾙﾑ A4ｻｲｽﾞ 75μ(ﾐｸﾛﾝ) 100枚入/LZ-75</t>
        </is>
      </c>
      <c r="I99" s="58" t="n">
        <v>4967576651820</v>
      </c>
      <c r="J99" s="58" t="n">
        <v>5</v>
      </c>
      <c r="K99" s="58" t="n"/>
      <c r="L99" s="58" t="n">
        <v>1</v>
      </c>
      <c r="M99" s="58" t="n">
        <v>1</v>
      </c>
      <c r="N99" s="4" t="n">
        <v>0</v>
      </c>
      <c r="O99" s="4" t="n">
        <v>1180</v>
      </c>
      <c r="P99" s="4" t="n">
        <v>780</v>
      </c>
      <c r="Q99" s="59">
        <f>IFERROR(1-P99/O99,"-")</f>
        <v/>
      </c>
      <c r="R99" s="4" t="n">
        <v>1092</v>
      </c>
      <c r="S99" s="4" t="n">
        <v>4</v>
      </c>
      <c r="T99" s="4" t="n">
        <v>99999</v>
      </c>
      <c r="U99" s="4" t="n">
        <v>0</v>
      </c>
      <c r="V99" s="4">
        <f>IF(Y99="",U99,U99*Y99)</f>
        <v/>
      </c>
      <c r="W99" s="4" t="n">
        <v>936</v>
      </c>
      <c r="X99" s="4">
        <f>IF(Y99="",W99,W99*Y99)</f>
        <v/>
      </c>
      <c r="Y99" s="4" t="n"/>
      <c r="Z99" s="21">
        <f>ROUND(O99*AN99,0)</f>
        <v/>
      </c>
      <c r="AA99" s="59">
        <f>IFERROR(1-X99/Z99,"-")</f>
        <v/>
      </c>
      <c r="AB99" s="4" t="n">
        <v>15.25</v>
      </c>
      <c r="AC99" s="4">
        <f>AY99</f>
        <v/>
      </c>
      <c r="AD99" s="4">
        <f>IFERROR(AC99*AN99,"-")</f>
        <v/>
      </c>
      <c r="AE99" s="59">
        <f>IFERROR(1-X99/AD99,"-")</f>
        <v/>
      </c>
      <c r="AF99" s="7" t="n">
        <v>1179</v>
      </c>
      <c r="AG99" s="59">
        <f>1-X99/AF99</f>
        <v/>
      </c>
      <c r="AH99" s="4">
        <f>AF99-X99</f>
        <v/>
      </c>
      <c r="AI99" s="28" t="n"/>
      <c r="AJ99" s="59" t="n"/>
      <c r="AK99" s="59" t="n"/>
      <c r="AL99" s="60">
        <f>IFERROR(V99/N99,"-")</f>
        <v/>
      </c>
      <c r="AM99" s="59">
        <f>IFERROR(AF99/O99,"-")</f>
        <v/>
      </c>
      <c r="AN99" s="59">
        <f>IFERROR(X99/P99,"-")</f>
        <v/>
      </c>
      <c r="AO99" s="59">
        <f>IFERROR(1-X99/AP99,"-")</f>
        <v/>
      </c>
      <c r="AP99" s="4" t="n">
        <v>1400</v>
      </c>
      <c r="AQ99" s="4">
        <f>IF(S99="","-",S99)</f>
        <v/>
      </c>
      <c r="AR99" s="4">
        <f>IF(T99="","-",T99)</f>
        <v/>
      </c>
      <c r="AS99" s="4" t="n">
        <v>0</v>
      </c>
      <c r="AT99" s="4" t="inlineStr">
        <is>
          <t>UH69204</t>
        </is>
      </c>
      <c r="AU99" s="4" t="n"/>
      <c r="AV99" s="4" t="n"/>
      <c r="AW99" s="4" t="inlineStr">
        <is>
          <t>1箱</t>
        </is>
      </c>
      <c r="AX99" s="4" t="n">
        <v>1180</v>
      </c>
      <c r="AY99" s="4">
        <f>IF(AU99="",AX99,AU99/AV99*AX99)</f>
        <v/>
      </c>
      <c r="AZ99" s="19" t="n">
        <v>4</v>
      </c>
      <c r="BA99" s="19" t="n">
        <v>1</v>
      </c>
      <c r="BB99" s="16" t="n">
        <v>1120</v>
      </c>
      <c r="BC99" s="0" t="inlineStr">
        <is>
          <t>-</t>
        </is>
      </c>
      <c r="BD99" s="0">
        <f>IFERROR(BC99*AN99,"-")</f>
        <v/>
      </c>
      <c r="BE99" s="0" t="n">
        <v>1850</v>
      </c>
      <c r="BF99" s="0">
        <f>IFERROR(BE99*AN99,"-")</f>
        <v/>
      </c>
      <c r="BG99" s="0" t="inlineStr">
        <is>
          <t>アイリスオーヤマ　ラミネートフィルム　A4サイズ　75μ(ミクロン)　LZ-75A4100　100枚入　1箱</t>
        </is>
      </c>
    </row>
    <row r="100">
      <c r="A100" s="0">
        <f>TEXT(F100,"000000")</f>
        <v/>
      </c>
      <c r="B100" s="3" t="n">
        <v>84</v>
      </c>
      <c r="C100" s="3" t="n">
        <v>84</v>
      </c>
      <c r="D100" s="4" t="n">
        <v>669466</v>
      </c>
      <c r="E100" s="4">
        <f>TEXT(D100,"000000")</f>
        <v/>
      </c>
      <c r="F100" s="4" t="n">
        <v>669466</v>
      </c>
      <c r="G100" s="4">
        <f>E100&amp;J100</f>
        <v/>
      </c>
      <c r="H100" s="4" t="inlineStr">
        <is>
          <t>ｱｲﾘｽｵｰﾔﾏ/ﾗﾐﾈｰﾄﾌｨﾙﾑ 100μ A4横ｻｲｽﾞ100枚/LFTY-A4100</t>
        </is>
      </c>
      <c r="I100" s="58" t="n">
        <v>4905009834235</v>
      </c>
      <c r="J100" s="58" t="n">
        <v>5</v>
      </c>
      <c r="K100" s="58" t="n"/>
      <c r="L100" s="58" t="n">
        <v>1</v>
      </c>
      <c r="M100" s="58" t="n">
        <v>1</v>
      </c>
      <c r="N100" s="4" t="n">
        <v>0</v>
      </c>
      <c r="O100" s="4" t="n">
        <v>1528</v>
      </c>
      <c r="P100" s="4" t="n">
        <v>799</v>
      </c>
      <c r="Q100" s="59">
        <f>IFERROR(1-P100/O100,"-")</f>
        <v/>
      </c>
      <c r="R100" s="4" t="inlineStr">
        <is>
          <t>-</t>
        </is>
      </c>
      <c r="S100" s="4" t="inlineStr">
        <is>
          <t>-</t>
        </is>
      </c>
      <c r="T100" s="4" t="inlineStr">
        <is>
          <t>-</t>
        </is>
      </c>
      <c r="U100" s="4" t="n">
        <v>0</v>
      </c>
      <c r="V100" s="4">
        <f>IF(Y100="",U100,U100*Y100)</f>
        <v/>
      </c>
      <c r="W100" s="4" t="n">
        <v>958</v>
      </c>
      <c r="X100" s="4">
        <f>IF(Y100="",W100,W100*Y100)</f>
        <v/>
      </c>
      <c r="Y100" s="4" t="n"/>
      <c r="Z100" s="21">
        <f>ROUND(O100*AN100,0)</f>
        <v/>
      </c>
      <c r="AA100" s="59">
        <f>IFERROR(1-X100/Z100,"-")</f>
        <v/>
      </c>
      <c r="AB100" s="4" t="n">
        <v>23</v>
      </c>
      <c r="AC100" s="4">
        <f>AY100</f>
        <v/>
      </c>
      <c r="AD100" s="4">
        <f>IFERROR(AC100*AN100,"-")</f>
        <v/>
      </c>
      <c r="AE100" s="59">
        <f>IFERROR(1-X100/AD100,"-")</f>
        <v/>
      </c>
      <c r="AF100" s="7" t="n">
        <v>1752</v>
      </c>
      <c r="AG100" s="59">
        <f>1-X100/AF100</f>
        <v/>
      </c>
      <c r="AH100" s="4">
        <f>AF100-X100</f>
        <v/>
      </c>
      <c r="AI100" s="28" t="n"/>
      <c r="AJ100" s="59" t="n"/>
      <c r="AK100" s="59" t="n"/>
      <c r="AL100" s="59">
        <f>IFERROR(V100/N100,"-")</f>
        <v/>
      </c>
      <c r="AM100" s="59">
        <f>IFERROR(AF100/O100,"-")</f>
        <v/>
      </c>
      <c r="AN100" s="59">
        <f>IFERROR(X100/P100,"-")</f>
        <v/>
      </c>
      <c r="AO100" s="59">
        <f>IFERROR(1-X100/AP100,"-")</f>
        <v/>
      </c>
      <c r="AP100" s="4">
        <f>IFERROR(ROUND($AF100*R100/$O100,0),"-")</f>
        <v/>
      </c>
      <c r="AQ100" s="4">
        <f>IF(S100="","-",S100)</f>
        <v/>
      </c>
      <c r="AR100" s="4">
        <f>IF(T100="","-",T100)</f>
        <v/>
      </c>
      <c r="AS100" s="4" t="inlineStr">
        <is>
          <t>34/363</t>
        </is>
      </c>
      <c r="AT100" s="4" t="inlineStr">
        <is>
          <t>867273</t>
        </is>
      </c>
      <c r="AU100" s="4" t="n"/>
      <c r="AV100" s="4" t="n"/>
      <c r="AW100" s="4" t="inlineStr">
        <is>
          <t>1箱（100枚入）</t>
        </is>
      </c>
      <c r="AX100" s="4" t="n">
        <v>1753</v>
      </c>
      <c r="AY100" s="4">
        <f>IF(AU100="",AX100,AU100/AV100*AX100)</f>
        <v/>
      </c>
      <c r="AZ100" s="19" t="n">
        <v>4</v>
      </c>
      <c r="BA100" s="19" t="n">
        <v>1</v>
      </c>
      <c r="BB100" s="16" t="n">
        <v>1120</v>
      </c>
      <c r="BC100" s="0" t="inlineStr">
        <is>
          <t>-</t>
        </is>
      </c>
      <c r="BD100" s="0">
        <f>IFERROR(BC100*AN100,"-")</f>
        <v/>
      </c>
      <c r="BE100" s="0" t="n">
        <v>2414</v>
      </c>
      <c r="BF100" s="0">
        <f>IFERROR(BE100*AN100,"-")</f>
        <v/>
      </c>
      <c r="BG100" s="0" t="inlineStr">
        <is>
          <t>アイリスオーヤマ　ラミネートフィルム　A4サイズ　横型　帯電防止剤配合(静電気防止)　100μ(ミクロン)　LFTY-A4100　1箱（100枚入)</t>
        </is>
      </c>
    </row>
    <row r="101">
      <c r="A101" s="0">
        <f>TEXT(F101,"000000")</f>
        <v/>
      </c>
      <c r="B101" s="3" t="n">
        <v>11</v>
      </c>
      <c r="C101" s="3" t="n">
        <v>11</v>
      </c>
      <c r="D101" s="4" t="n">
        <v>601323</v>
      </c>
      <c r="E101" s="4">
        <f>TEXT(D101,"000000")</f>
        <v/>
      </c>
      <c r="F101" s="4" t="n">
        <v>601323</v>
      </c>
      <c r="G101" s="4">
        <f>E101&amp;J101</f>
        <v/>
      </c>
      <c r="H101" s="4" t="inlineStr">
        <is>
          <t>ｱｲﾘｽｵｰﾔﾏ/ﾗﾐﾈｰﾄﾌｨﾙﾑ A5ｻｲｽﾞ 100μ(ﾐｸﾛﾝ) 100枚入/LZ-A</t>
        </is>
      </c>
      <c r="I101" s="58" t="n">
        <v>4905009427406</v>
      </c>
      <c r="J101" s="58" t="n">
        <v>5</v>
      </c>
      <c r="K101" s="58" t="n"/>
      <c r="L101" s="58" t="n">
        <v>1</v>
      </c>
      <c r="M101" s="58" t="n">
        <v>1</v>
      </c>
      <c r="N101" s="4" t="n">
        <v>0</v>
      </c>
      <c r="O101" s="4" t="n">
        <v>2265</v>
      </c>
      <c r="P101" s="4" t="n">
        <v>800</v>
      </c>
      <c r="Q101" s="59">
        <f>IFERROR(1-P101/O101,"-")</f>
        <v/>
      </c>
      <c r="R101" s="4" t="inlineStr">
        <is>
          <t>-</t>
        </is>
      </c>
      <c r="S101" s="4" t="inlineStr">
        <is>
          <t>-</t>
        </is>
      </c>
      <c r="T101" s="4" t="inlineStr">
        <is>
          <t>-</t>
        </is>
      </c>
      <c r="U101" s="4" t="n">
        <v>0</v>
      </c>
      <c r="V101" s="4">
        <f>IF(Y101="",U101,U101*Y101)</f>
        <v/>
      </c>
      <c r="W101" s="4" t="n">
        <v>960</v>
      </c>
      <c r="X101" s="4">
        <f>IF(Y101="",W101,W101*Y101)</f>
        <v/>
      </c>
      <c r="Y101" s="4" t="n"/>
      <c r="Z101" s="21">
        <f>ROUND(O101*AN101,0)</f>
        <v/>
      </c>
      <c r="AA101" s="59">
        <f>IFERROR(1-X101/Z101,"-")</f>
        <v/>
      </c>
      <c r="AB101" s="4" t="n">
        <v>16</v>
      </c>
      <c r="AC101" s="4">
        <f>AY101</f>
        <v/>
      </c>
      <c r="AD101" s="4">
        <f>IFERROR(AC101*AN101,"-")</f>
        <v/>
      </c>
      <c r="AE101" s="59">
        <f>IFERROR(1-X101/AD101,"-")</f>
        <v/>
      </c>
      <c r="AF101" s="7" t="n">
        <v>2265</v>
      </c>
      <c r="AG101" s="59">
        <f>1-X101/AF101</f>
        <v/>
      </c>
      <c r="AH101" s="4">
        <f>AF101-X101</f>
        <v/>
      </c>
      <c r="AI101" s="28" t="n"/>
      <c r="AJ101" s="59" t="n"/>
      <c r="AK101" s="59" t="n"/>
      <c r="AL101" s="59">
        <f>IFERROR(V101/N101,"-")</f>
        <v/>
      </c>
      <c r="AM101" s="59">
        <f>IFERROR(AF101/O101,"-")</f>
        <v/>
      </c>
      <c r="AN101" s="59">
        <f>IFERROR(X101/P101,"-")</f>
        <v/>
      </c>
      <c r="AO101" s="59">
        <f>IFERROR(1-X101/AP101,"-")</f>
        <v/>
      </c>
      <c r="AP101" s="4">
        <f>IFERROR(ROUND($AF101*R101/$O101,0),"-")</f>
        <v/>
      </c>
      <c r="AQ101" s="4">
        <f>IF(S101="","-",S101)</f>
        <v/>
      </c>
      <c r="AR101" s="4">
        <f>IF(T101="","-",T101)</f>
        <v/>
      </c>
      <c r="AS101" s="4" t="inlineStr">
        <is>
          <t>34/363</t>
        </is>
      </c>
      <c r="AT101" s="4" t="inlineStr">
        <is>
          <t>P133633</t>
        </is>
      </c>
      <c r="AU101" s="4" t="n"/>
      <c r="AV101" s="4" t="n"/>
      <c r="AW101" s="4" t="inlineStr">
        <is>
          <t>1個</t>
        </is>
      </c>
      <c r="AX101" s="4" t="n">
        <v>2266</v>
      </c>
      <c r="AY101" s="4">
        <f>IF(AU101="",AX101,AU101/AV101*AX101)</f>
        <v/>
      </c>
      <c r="AZ101" s="19" t="n">
        <v>4</v>
      </c>
      <c r="BA101" s="19" t="n">
        <v>1</v>
      </c>
      <c r="BB101" s="16" t="n">
        <v>1120</v>
      </c>
      <c r="BC101" s="0" t="inlineStr">
        <is>
          <t>-</t>
        </is>
      </c>
      <c r="BD101" s="0">
        <f>IFERROR(BC101*AN101,"-")</f>
        <v/>
      </c>
      <c r="BE101" s="0" t="n">
        <v>1349</v>
      </c>
      <c r="BF101" s="0">
        <f>IFERROR(BE101*AN101,"-")</f>
        <v/>
      </c>
      <c r="BG101" s="0" t="inlineStr">
        <is>
          <t>アイリスオーヤマ　ラミネートフィルム　A5サイズ　100μ(ミクロン)　LZ-A5100　100枚入　1個</t>
        </is>
      </c>
    </row>
    <row r="102">
      <c r="A102" s="0">
        <f>TEXT(F102,"000000")</f>
        <v/>
      </c>
      <c r="B102" s="3" t="n">
        <v>1</v>
      </c>
      <c r="C102" s="3" t="n">
        <v>1</v>
      </c>
      <c r="D102" s="35" t="n">
        <v>171756</v>
      </c>
      <c r="E102" s="4">
        <f>TEXT(D102,"000000")</f>
        <v/>
      </c>
      <c r="F102" s="4" t="n">
        <v>171756</v>
      </c>
      <c r="G102" s="4">
        <f>E102&amp;J102</f>
        <v/>
      </c>
      <c r="H102" s="4" t="inlineStr">
        <is>
          <t>ｱｲﾘｽｵｰﾔﾏ/ﾗﾐﾈｰﾄﾌｨﾙﾑ A4ｻｲｽﾞ 100μ(ﾐｸﾛﾝ) 100枚入/LZ-A</t>
        </is>
      </c>
      <c r="I102" s="58" t="n">
        <v>4967576643382</v>
      </c>
      <c r="J102" s="58" t="n">
        <v>5</v>
      </c>
      <c r="K102" s="58" t="n"/>
      <c r="L102" s="58" t="n">
        <v>2</v>
      </c>
      <c r="M102" s="58" t="n">
        <v>1</v>
      </c>
      <c r="N102" s="4" t="n">
        <v>0</v>
      </c>
      <c r="O102" s="4" t="n">
        <v>1770</v>
      </c>
      <c r="P102" s="4" t="n">
        <v>900</v>
      </c>
      <c r="Q102" s="59">
        <f>IFERROR(1-P102/O102,"-")</f>
        <v/>
      </c>
      <c r="R102" s="4" t="n">
        <v>1695</v>
      </c>
      <c r="S102" s="4" t="n">
        <v>4</v>
      </c>
      <c r="T102" s="4" t="n">
        <v>99999</v>
      </c>
      <c r="U102" s="4" t="n">
        <v>0</v>
      </c>
      <c r="V102" s="4">
        <f>IF(Y102="",U102,U102*Y102)</f>
        <v/>
      </c>
      <c r="W102" s="4" t="n">
        <v>1080</v>
      </c>
      <c r="X102" s="4">
        <f>IF(Y102="",W102,W102*Y102)</f>
        <v/>
      </c>
      <c r="Y102" s="4" t="n"/>
      <c r="Z102" s="21">
        <f>ROUND(O102*AN102,0)</f>
        <v/>
      </c>
      <c r="AA102" s="59">
        <f>IFERROR(1-X102/Z102,"-")</f>
        <v/>
      </c>
      <c r="AB102" s="4" t="n">
        <v>34</v>
      </c>
      <c r="AC102" s="4">
        <f>AY102</f>
        <v/>
      </c>
      <c r="AD102" s="4">
        <f>IFERROR(AC102*AN102,"-")</f>
        <v/>
      </c>
      <c r="AE102" s="59">
        <f>IFERROR(1-X102/AD102,"-")</f>
        <v/>
      </c>
      <c r="AF102" s="7" t="n">
        <v>1772</v>
      </c>
      <c r="AG102" s="59">
        <f>1-X102/AF102</f>
        <v/>
      </c>
      <c r="AH102" s="4">
        <f>AF102-X102</f>
        <v/>
      </c>
      <c r="AI102" s="28" t="n"/>
      <c r="AJ102" s="59">
        <f>1-X102/AI102</f>
        <v/>
      </c>
      <c r="AK102" s="4">
        <f>AI102-X102</f>
        <v/>
      </c>
      <c r="AL102" s="60">
        <f>IFERROR(V102/N102,"-")</f>
        <v/>
      </c>
      <c r="AM102" s="59">
        <f>IFERROR(AF102/O102,"-")</f>
        <v/>
      </c>
      <c r="AN102" s="59">
        <f>IFERROR(X102/P102,"-")</f>
        <v/>
      </c>
      <c r="AO102" s="59">
        <f>IFERROR(1-X102/AP102,"-")</f>
        <v/>
      </c>
      <c r="AP102" s="4" t="n">
        <v>1780</v>
      </c>
      <c r="AQ102" s="4">
        <f>IF(S102="","-",S102)</f>
        <v/>
      </c>
      <c r="AR102" s="4">
        <f>IF(T102="","-",T102)</f>
        <v/>
      </c>
      <c r="AS102" s="4" t="n">
        <v>0</v>
      </c>
      <c r="AT102" s="4" t="inlineStr">
        <is>
          <t>HK93195</t>
        </is>
      </c>
      <c r="AU102" s="4" t="n"/>
      <c r="AV102" s="4" t="n"/>
      <c r="AW102" s="4" t="inlineStr">
        <is>
          <t>1箱</t>
        </is>
      </c>
      <c r="AX102" s="4" t="n">
        <v>1773</v>
      </c>
      <c r="AY102" s="4">
        <f>IF(AU102="",AX102,AU102/AV102*AX102)</f>
        <v/>
      </c>
      <c r="AZ102" s="19" t="n">
        <v>4</v>
      </c>
      <c r="BA102" s="19" t="n">
        <v>1</v>
      </c>
      <c r="BB102" s="16" t="n">
        <v>1120</v>
      </c>
      <c r="BC102" s="0" t="inlineStr">
        <is>
          <t>-</t>
        </is>
      </c>
      <c r="BD102" s="0">
        <f>IFERROR(BC102*AN102,"-")</f>
        <v/>
      </c>
      <c r="BE102" s="0" t="n">
        <v>1668</v>
      </c>
      <c r="BF102" s="0">
        <f>IFERROR(BE102*AN102,"-")</f>
        <v/>
      </c>
      <c r="BG102" s="0" t="inlineStr">
        <is>
          <t>アイリスオーヤマ　ラミネートフィルム　A4サイズ　100μ(ミクロン)　LZ-A4100R　100枚入　1箱</t>
        </is>
      </c>
    </row>
    <row r="103">
      <c r="A103" s="0">
        <f>TEXT(F103,"000000")</f>
        <v/>
      </c>
      <c r="B103" s="3" t="n">
        <v>27</v>
      </c>
      <c r="C103" s="3" t="n">
        <v>27</v>
      </c>
      <c r="D103" s="35" t="inlineStr">
        <is>
          <t>8934AM</t>
        </is>
      </c>
      <c r="E103" s="4">
        <f>TEXT(D103,"000000")</f>
        <v/>
      </c>
      <c r="F103" s="4" t="inlineStr">
        <is>
          <t>8934AM</t>
        </is>
      </c>
      <c r="G103" s="4">
        <f>E103&amp;J103</f>
        <v/>
      </c>
      <c r="H103" s="4" t="inlineStr">
        <is>
          <t>ｱｲﾘｽｵｰﾔﾏ/ﾗﾐﾈｰﾄﾌｨﾙﾑ A4 100枚入100μ/LZ-A4100R</t>
        </is>
      </c>
      <c r="I103" s="58" t="n">
        <v>4967576643382</v>
      </c>
      <c r="J103" s="58" t="n">
        <v>6</v>
      </c>
      <c r="K103" s="58" t="n"/>
      <c r="L103" s="58" t="n">
        <v>2</v>
      </c>
      <c r="M103" s="58" t="n">
        <v>1</v>
      </c>
      <c r="N103" s="4" t="n">
        <v>0</v>
      </c>
      <c r="O103" s="4" t="n">
        <v>998</v>
      </c>
      <c r="P103" s="4" t="n">
        <v>900</v>
      </c>
      <c r="Q103" s="59">
        <f>IFERROR(1-P103/O103,"-")</f>
        <v/>
      </c>
      <c r="R103" s="4" t="inlineStr">
        <is>
          <t>-</t>
        </is>
      </c>
      <c r="S103" s="4" t="inlineStr">
        <is>
          <t>-</t>
        </is>
      </c>
      <c r="T103" s="4" t="inlineStr">
        <is>
          <t>-</t>
        </is>
      </c>
      <c r="U103" s="4" t="n">
        <v>0</v>
      </c>
      <c r="V103" s="4">
        <f>IF(Y103="",U103,U103*Y103)</f>
        <v/>
      </c>
      <c r="W103" s="4" t="n">
        <v>1080</v>
      </c>
      <c r="X103" s="4">
        <f>IF(Y103="",W103,W103*Y103)</f>
        <v/>
      </c>
      <c r="Y103" s="4" t="n"/>
      <c r="Z103" s="21">
        <f>ROUND(O103*AN103,0)</f>
        <v/>
      </c>
      <c r="AA103" s="59">
        <f>IFERROR(1-X103/Z103,"-")</f>
        <v/>
      </c>
      <c r="AB103" s="4" t="n">
        <v>0</v>
      </c>
      <c r="AC103" s="4">
        <f>AY103</f>
        <v/>
      </c>
      <c r="AD103" s="4">
        <f>IFERROR(AC103*AN103,"-")</f>
        <v/>
      </c>
      <c r="AE103" s="59">
        <f>IFERROR(1-X103/AD103,"-")</f>
        <v/>
      </c>
      <c r="AF103" s="7" t="n">
        <v>1772</v>
      </c>
      <c r="AG103" s="59">
        <f>1-X103/AF103</f>
        <v/>
      </c>
      <c r="AH103" s="4">
        <f>AF103-X103</f>
        <v/>
      </c>
      <c r="AI103" s="28" t="n"/>
      <c r="AJ103" s="59" t="n"/>
      <c r="AK103" s="59" t="n"/>
      <c r="AL103" s="59">
        <f>IFERROR(V103/N103,"-")</f>
        <v/>
      </c>
      <c r="AM103" s="59">
        <f>IFERROR(AF103/O103,"-")</f>
        <v/>
      </c>
      <c r="AN103" s="59">
        <f>IFERROR(X103/P103,"-")</f>
        <v/>
      </c>
      <c r="AO103" s="59">
        <f>IFERROR(1-X103/AP103,"-")</f>
        <v/>
      </c>
      <c r="AP103" s="4">
        <f>IFERROR(ROUND($AF103*R103/$O103,0),"-")</f>
        <v/>
      </c>
      <c r="AQ103" s="4">
        <f>IF(S103="","-",S103)</f>
        <v/>
      </c>
      <c r="AR103" s="4">
        <f>IF(T103="","-",T103)</f>
        <v/>
      </c>
      <c r="AS103" s="4" t="n">
        <v>0</v>
      </c>
      <c r="AT103" s="4" t="inlineStr">
        <is>
          <t>HK93195</t>
        </is>
      </c>
      <c r="AU103" s="4" t="n"/>
      <c r="AV103" s="4" t="n"/>
      <c r="AW103" s="4" t="inlineStr">
        <is>
          <t>1箱</t>
        </is>
      </c>
      <c r="AX103" s="4" t="n">
        <v>1773</v>
      </c>
      <c r="AY103" s="4">
        <f>IF(AU103="",AX103,AU103/AV103*AX103)</f>
        <v/>
      </c>
      <c r="AZ103" s="19" t="n">
        <v>4</v>
      </c>
      <c r="BA103" s="19" t="n">
        <v>1</v>
      </c>
      <c r="BB103" s="16" t="n">
        <v>1120</v>
      </c>
      <c r="BC103" s="0" t="inlineStr">
        <is>
          <t>-</t>
        </is>
      </c>
      <c r="BD103" s="0">
        <f>IFERROR(BC103*AN103,"-")</f>
        <v/>
      </c>
      <c r="BE103" s="0" t="n">
        <v>1668</v>
      </c>
      <c r="BF103" s="0">
        <f>IFERROR(BE103*AN103,"-")</f>
        <v/>
      </c>
      <c r="BG103" s="0" t="inlineStr">
        <is>
          <t>アイリスオーヤマ　ラミネートフィルム　A4サイズ　100μ(ミクロン)　LZ-A4100R　100枚入　1箱</t>
        </is>
      </c>
    </row>
    <row r="104">
      <c r="A104" s="0">
        <f>TEXT(F104,"000000")</f>
        <v/>
      </c>
      <c r="B104" s="3" t="n">
        <v>21</v>
      </c>
      <c r="C104" s="3" t="n">
        <v>21</v>
      </c>
      <c r="D104" s="4" t="n">
        <v>671663</v>
      </c>
      <c r="E104" s="4">
        <f>TEXT(D104,"000000")</f>
        <v/>
      </c>
      <c r="F104" s="4" t="n">
        <v>671663</v>
      </c>
      <c r="G104" s="4">
        <f>E104&amp;J104</f>
        <v/>
      </c>
      <c r="H104" s="4" t="inlineStr">
        <is>
          <t>ｱｲﾘｽｵｰﾔﾏ/ﾗﾐﾈｰﾄﾌｨﾙﾑ B5ｻｲｽﾞ 250μ(ﾐｸﾛﾝ) 50枚入/LZ-25</t>
        </is>
      </c>
      <c r="I104" s="58" t="n">
        <v>4905009715527</v>
      </c>
      <c r="J104" s="58" t="n">
        <v>5</v>
      </c>
      <c r="K104" s="58" t="n"/>
      <c r="L104" s="58" t="n">
        <v>1</v>
      </c>
      <c r="M104" s="58" t="n">
        <v>1</v>
      </c>
      <c r="N104" s="4" t="n">
        <v>0</v>
      </c>
      <c r="O104" s="4" t="n">
        <v>1657</v>
      </c>
      <c r="P104" s="4" t="n">
        <v>900</v>
      </c>
      <c r="Q104" s="59">
        <f>IFERROR(1-P104/O104,"-")</f>
        <v/>
      </c>
      <c r="R104" s="4" t="inlineStr">
        <is>
          <t>-</t>
        </is>
      </c>
      <c r="S104" s="4" t="inlineStr">
        <is>
          <t>-</t>
        </is>
      </c>
      <c r="T104" s="4" t="inlineStr">
        <is>
          <t>-</t>
        </is>
      </c>
      <c r="U104" s="4" t="n">
        <v>0</v>
      </c>
      <c r="V104" s="4">
        <f>IF(Y104="",U104,U104*Y104)</f>
        <v/>
      </c>
      <c r="W104" s="4" t="n">
        <v>1080</v>
      </c>
      <c r="X104" s="4">
        <f>IF(Y104="",W104,W104*Y104)</f>
        <v/>
      </c>
      <c r="Y104" s="4" t="n"/>
      <c r="Z104" s="21">
        <f>ROUND(O104*AN104,0)</f>
        <v/>
      </c>
      <c r="AA104" s="59">
        <f>IFERROR(1-X104/Z104,"-")</f>
        <v/>
      </c>
      <c r="AB104" s="4" t="n">
        <v>1.5</v>
      </c>
      <c r="AC104" s="4">
        <f>AY104</f>
        <v/>
      </c>
      <c r="AD104" s="4">
        <f>IFERROR(AC104*AN104,"-")</f>
        <v/>
      </c>
      <c r="AE104" s="59">
        <f>IFERROR(1-X104/AD104,"-")</f>
        <v/>
      </c>
      <c r="AF104" s="7" t="n">
        <v>1609</v>
      </c>
      <c r="AG104" s="59">
        <f>1-X104/AF104</f>
        <v/>
      </c>
      <c r="AH104" s="4">
        <f>AF104-X104</f>
        <v/>
      </c>
      <c r="AI104" s="28" t="n"/>
      <c r="AJ104" s="59" t="n"/>
      <c r="AK104" s="59" t="n"/>
      <c r="AL104" s="59">
        <f>IFERROR(V104/N104,"-")</f>
        <v/>
      </c>
      <c r="AM104" s="59">
        <f>IFERROR(AF104/O104,"-")</f>
        <v/>
      </c>
      <c r="AN104" s="59">
        <f>IFERROR(X104/P104,"-")</f>
        <v/>
      </c>
      <c r="AO104" s="59">
        <f>IFERROR(1-X104/AP104,"-")</f>
        <v/>
      </c>
      <c r="AP104" s="4">
        <f>IFERROR(ROUND($AF104*R104/$O104,0),"-")</f>
        <v/>
      </c>
      <c r="AQ104" s="4">
        <f>IF(S104="","-",S104)</f>
        <v/>
      </c>
      <c r="AR104" s="4">
        <f>IF(T104="","-",T104)</f>
        <v/>
      </c>
      <c r="AS104" s="4" t="inlineStr">
        <is>
          <t>34/364</t>
        </is>
      </c>
      <c r="AT104" s="4" t="inlineStr">
        <is>
          <t>352228</t>
        </is>
      </c>
      <c r="AU104" s="4" t="n"/>
      <c r="AV104" s="4" t="n"/>
      <c r="AW104" s="4" t="inlineStr">
        <is>
          <t>1箱（50枚入）</t>
        </is>
      </c>
      <c r="AX104" s="4" t="n">
        <v>1610</v>
      </c>
      <c r="AY104" s="4">
        <f>IF(AU104="",AX104,AU104/AV104*AX104)</f>
        <v/>
      </c>
      <c r="AZ104" s="19" t="n">
        <v>4</v>
      </c>
      <c r="BA104" s="19" t="n">
        <v>1</v>
      </c>
      <c r="BB104" s="16" t="n">
        <v>1120</v>
      </c>
      <c r="BC104" s="0" t="inlineStr">
        <is>
          <t>-</t>
        </is>
      </c>
      <c r="BD104" s="0">
        <f>IFERROR(BC104*AN104,"-")</f>
        <v/>
      </c>
      <c r="BE104" s="0" t="n">
        <v>1815</v>
      </c>
      <c r="BF104" s="0">
        <f>IFERROR(BE104*AN104,"-")</f>
        <v/>
      </c>
      <c r="BG104" s="0" t="inlineStr">
        <is>
          <t>アイリスオーヤマ　ラミネートフィルム　B5サイズ　250μ(ミクロン)　LZ-25B550　1箱（50枚入）</t>
        </is>
      </c>
    </row>
    <row r="105">
      <c r="A105" s="0">
        <f>TEXT(F105,"000000")</f>
        <v/>
      </c>
      <c r="B105" s="3" t="n">
        <v>62</v>
      </c>
      <c r="C105" s="3" t="n">
        <v>62</v>
      </c>
      <c r="D105" s="4" t="inlineStr">
        <is>
          <t>J20293</t>
        </is>
      </c>
      <c r="E105" s="4">
        <f>TEXT(D105,"000000")</f>
        <v/>
      </c>
      <c r="F105" s="4" t="inlineStr">
        <is>
          <t>J20293</t>
        </is>
      </c>
      <c r="G105" s="4">
        <f>E105&amp;J105</f>
        <v/>
      </c>
      <c r="H105" s="4" t="inlineStr">
        <is>
          <t>ｱｲﾘｽｵｰﾔﾏ/ﾗﾐﾈｰﾄﾌｨﾙﾑ B5ｻｲｽﾞ 100μ(ﾐｸﾛﾝ) 100枚入/LZ-B</t>
        </is>
      </c>
      <c r="I105" s="58" t="n">
        <v>4905009427413</v>
      </c>
      <c r="J105" s="58" t="n">
        <v>5</v>
      </c>
      <c r="K105" s="58" t="n"/>
      <c r="L105" s="58" t="n">
        <v>1</v>
      </c>
      <c r="M105" s="58" t="n">
        <v>1</v>
      </c>
      <c r="N105" s="4" t="n">
        <v>0</v>
      </c>
      <c r="O105" s="4" t="n">
        <v>1488</v>
      </c>
      <c r="P105" s="4" t="n">
        <v>900</v>
      </c>
      <c r="Q105" s="59">
        <f>IFERROR(1-P105/O105,"-")</f>
        <v/>
      </c>
      <c r="R105" s="4" t="n">
        <v>1390</v>
      </c>
      <c r="S105" s="4" t="n">
        <v>4</v>
      </c>
      <c r="T105" s="4" t="n">
        <v>99999</v>
      </c>
      <c r="U105" s="4" t="n">
        <v>0</v>
      </c>
      <c r="V105" s="4">
        <f>IF(Y105="",U105,U105*Y105)</f>
        <v/>
      </c>
      <c r="W105" s="4" t="n">
        <v>1080</v>
      </c>
      <c r="X105" s="4">
        <f>IF(Y105="",W105,W105*Y105)</f>
        <v/>
      </c>
      <c r="Y105" s="4" t="n"/>
      <c r="Z105" s="21">
        <f>ROUND(O105*AN105,0)</f>
        <v/>
      </c>
      <c r="AA105" s="59">
        <f>IFERROR(1-X105/Z105,"-")</f>
        <v/>
      </c>
      <c r="AB105" s="4" t="n">
        <v>6</v>
      </c>
      <c r="AC105" s="4">
        <f>AY105</f>
        <v/>
      </c>
      <c r="AD105" s="4">
        <f>IFERROR(AC105*AN105,"-")</f>
        <v/>
      </c>
      <c r="AE105" s="59">
        <f>IFERROR(1-X105/AD105,"-")</f>
        <v/>
      </c>
      <c r="AF105" s="7" t="n">
        <v>1379</v>
      </c>
      <c r="AG105" s="59">
        <f>1-X105/AF105</f>
        <v/>
      </c>
      <c r="AH105" s="4">
        <f>AF105-X105</f>
        <v/>
      </c>
      <c r="AI105" s="28" t="n"/>
      <c r="AJ105" s="59" t="n"/>
      <c r="AK105" s="59" t="n"/>
      <c r="AL105" s="60">
        <f>IFERROR(V105/N105,"-")</f>
        <v/>
      </c>
      <c r="AM105" s="59">
        <f>IFERROR(AF105/O105,"-")</f>
        <v/>
      </c>
      <c r="AN105" s="59">
        <f>IFERROR(X105/P105,"-")</f>
        <v/>
      </c>
      <c r="AO105" s="59">
        <f>IFERROR(1-X105/AP105,"-")</f>
        <v/>
      </c>
      <c r="AP105" s="4" t="n">
        <v>1580</v>
      </c>
      <c r="AQ105" s="4">
        <f>IF(S105="","-",S105)</f>
        <v/>
      </c>
      <c r="AR105" s="4">
        <f>IF(T105="","-",T105)</f>
        <v/>
      </c>
      <c r="AS105" s="4" t="n">
        <v>0</v>
      </c>
      <c r="AT105" s="4" t="inlineStr">
        <is>
          <t>UA43274</t>
        </is>
      </c>
      <c r="AU105" s="4" t="n"/>
      <c r="AV105" s="4" t="n"/>
      <c r="AW105" s="4" t="inlineStr">
        <is>
          <t>1箱（100枚入）</t>
        </is>
      </c>
      <c r="AX105" s="4" t="n">
        <v>1380</v>
      </c>
      <c r="AY105" s="4">
        <f>IF(AU105="",AX105,AU105/AV105*AX105)</f>
        <v/>
      </c>
      <c r="AZ105" s="19" t="n">
        <v>4</v>
      </c>
      <c r="BA105" s="19" t="n">
        <v>1</v>
      </c>
      <c r="BB105" s="16" t="n">
        <v>1120</v>
      </c>
      <c r="BC105" s="0" t="inlineStr">
        <is>
          <t>-</t>
        </is>
      </c>
      <c r="BD105" s="0">
        <f>IFERROR(BC105*AN105,"-")</f>
        <v/>
      </c>
      <c r="BE105" s="0" t="inlineStr">
        <is>
          <t>-</t>
        </is>
      </c>
      <c r="BF105" s="0">
        <f>IFERROR(BE105*AN105,"-")</f>
        <v/>
      </c>
      <c r="BG105" s="0" t="inlineStr">
        <is>
          <t>アイリスオーヤマ　ラミネートフィルム　B5サイズ　100μ(ミクロン)　LZ-B5100　1箱(100枚入)</t>
        </is>
      </c>
    </row>
    <row r="106">
      <c r="A106" s="0">
        <f>TEXT(F106,"000000")</f>
        <v/>
      </c>
      <c r="B106" s="3" t="n">
        <v>50</v>
      </c>
      <c r="C106" s="3" t="n">
        <v>50</v>
      </c>
      <c r="D106" s="4" t="inlineStr">
        <is>
          <t>J20309</t>
        </is>
      </c>
      <c r="E106" s="4">
        <f>TEXT(D106,"000000")</f>
        <v/>
      </c>
      <c r="F106" s="4" t="inlineStr">
        <is>
          <t>J20309</t>
        </is>
      </c>
      <c r="G106" s="4">
        <f>E106&amp;J106</f>
        <v/>
      </c>
      <c r="H106" s="4" t="inlineStr">
        <is>
          <t>ｱｲﾘｽｵｰﾔﾏ/ﾗﾐﾈｰﾄﾌｨﾙﾑ A3ｻｲｽﾞ 150μ(ﾐｸﾛﾝ) 20枚入/LZ-15</t>
        </is>
      </c>
      <c r="I106" s="58" t="n">
        <v>4905009428779</v>
      </c>
      <c r="J106" s="58" t="n">
        <v>5</v>
      </c>
      <c r="K106" s="58" t="n"/>
      <c r="L106" s="58" t="n">
        <v>1</v>
      </c>
      <c r="M106" s="58" t="n">
        <v>1</v>
      </c>
      <c r="N106" s="4" t="n">
        <v>0</v>
      </c>
      <c r="O106" s="4" t="n">
        <v>1860</v>
      </c>
      <c r="P106" s="4" t="n">
        <v>1000</v>
      </c>
      <c r="Q106" s="59">
        <f>IFERROR(1-P106/O106,"-")</f>
        <v/>
      </c>
      <c r="R106" s="4" t="inlineStr">
        <is>
          <t>-</t>
        </is>
      </c>
      <c r="S106" s="4" t="inlineStr">
        <is>
          <t>-</t>
        </is>
      </c>
      <c r="T106" s="4" t="inlineStr">
        <is>
          <t>-</t>
        </is>
      </c>
      <c r="U106" s="4" t="n">
        <v>0</v>
      </c>
      <c r="V106" s="4">
        <f>IF(Y106="",U106,U106*Y106)</f>
        <v/>
      </c>
      <c r="W106" s="4" t="n">
        <v>1200</v>
      </c>
      <c r="X106" s="4">
        <f>IF(Y106="",W106,W106*Y106)</f>
        <v/>
      </c>
      <c r="Y106" s="4" t="n"/>
      <c r="Z106" s="21">
        <f>ROUND(O106*AN106,0)</f>
        <v/>
      </c>
      <c r="AA106" s="59">
        <f>IFERROR(1-X106/Z106,"-")</f>
        <v/>
      </c>
      <c r="AB106" s="4" t="n">
        <v>1</v>
      </c>
      <c r="AC106" s="4">
        <f>AY106</f>
        <v/>
      </c>
      <c r="AD106" s="4">
        <f>IFERROR(AC106*AN106,"-")</f>
        <v/>
      </c>
      <c r="AE106" s="59">
        <f>IFERROR(1-X106/AD106,"-")</f>
        <v/>
      </c>
      <c r="AF106" s="7" t="n">
        <v>1519</v>
      </c>
      <c r="AG106" s="59">
        <f>1-X106/AF106</f>
        <v/>
      </c>
      <c r="AH106" s="4">
        <f>AF106-X106</f>
        <v/>
      </c>
      <c r="AI106" s="28" t="n"/>
      <c r="AJ106" s="59" t="n"/>
      <c r="AK106" s="59" t="n"/>
      <c r="AL106" s="59">
        <f>IFERROR(V106/N106,"-")</f>
        <v/>
      </c>
      <c r="AM106" s="59">
        <f>IFERROR(AF106/O106,"-")</f>
        <v/>
      </c>
      <c r="AN106" s="59">
        <f>IFERROR(X106/P106,"-")</f>
        <v/>
      </c>
      <c r="AO106" s="59">
        <f>IFERROR(1-X106/AP106,"-")</f>
        <v/>
      </c>
      <c r="AP106" s="4">
        <f>IFERROR(ROUND($AF106*R106/$O106,0),"-")</f>
        <v/>
      </c>
      <c r="AQ106" s="4">
        <f>IF(S106="","-",S106)</f>
        <v/>
      </c>
      <c r="AR106" s="4">
        <f>IF(T106="","-",T106)</f>
        <v/>
      </c>
      <c r="AS106" s="4" t="n">
        <v>0</v>
      </c>
      <c r="AT106" s="4" t="inlineStr">
        <is>
          <t>UA43237</t>
        </is>
      </c>
      <c r="AU106" s="4" t="n"/>
      <c r="AV106" s="4" t="n"/>
      <c r="AW106" s="4" t="inlineStr">
        <is>
          <t>1パック（20枚入）</t>
        </is>
      </c>
      <c r="AX106" s="4" t="n">
        <v>1520</v>
      </c>
      <c r="AY106" s="4">
        <f>IF(AU106="",AX106,AU106/AV106*AX106)</f>
        <v/>
      </c>
      <c r="AZ106" s="19" t="n">
        <v>4</v>
      </c>
      <c r="BA106" s="19" t="n">
        <v>8</v>
      </c>
      <c r="BB106" s="16" t="n">
        <v>1120</v>
      </c>
      <c r="BC106" s="0" t="inlineStr">
        <is>
          <t>-</t>
        </is>
      </c>
      <c r="BD106" s="0">
        <f>IFERROR(BC106*AN106,"-")</f>
        <v/>
      </c>
      <c r="BE106" s="0" t="n">
        <v>1694</v>
      </c>
      <c r="BF106" s="0">
        <f>IFERROR(BE106*AN106,"-")</f>
        <v/>
      </c>
      <c r="BG106" s="0" t="inlineStr">
        <is>
          <t>アイリスオーヤマ　ラミネートフィルム　A3サイズ　150μ(ミクロン)　LZ-15A320　1パック(20枚入)</t>
        </is>
      </c>
    </row>
    <row r="107">
      <c r="A107" s="0">
        <f>TEXT(F107,"000000")</f>
        <v/>
      </c>
      <c r="B107" s="3" t="n">
        <v>60</v>
      </c>
      <c r="C107" s="3" t="n">
        <v>60</v>
      </c>
      <c r="D107" s="4" t="inlineStr">
        <is>
          <t>J20315</t>
        </is>
      </c>
      <c r="E107" s="4">
        <f>TEXT(D107,"000000")</f>
        <v/>
      </c>
      <c r="F107" s="4" t="inlineStr">
        <is>
          <t>J20315</t>
        </is>
      </c>
      <c r="G107" s="4">
        <f>E107&amp;J107</f>
        <v/>
      </c>
      <c r="H107" s="4" t="inlineStr">
        <is>
          <t>ｱｲﾘｽｵｰﾔﾏ/ﾗﾐﾈｰﾄﾌｨﾙﾑ A4ｻｲｽﾞ 横型 100μ(ﾐｸﾛﾝ) 100枚入</t>
        </is>
      </c>
      <c r="I107" s="58" t="n">
        <v>4905009452811</v>
      </c>
      <c r="J107" s="58" t="n">
        <v>5</v>
      </c>
      <c r="K107" s="58" t="n"/>
      <c r="L107" s="58" t="n">
        <v>1</v>
      </c>
      <c r="M107" s="58" t="n">
        <v>1</v>
      </c>
      <c r="N107" s="4" t="n">
        <v>0</v>
      </c>
      <c r="O107" s="4" t="n">
        <v>2109</v>
      </c>
      <c r="P107" s="4" t="n">
        <v>1000</v>
      </c>
      <c r="Q107" s="59">
        <f>IFERROR(1-P107/O107,"-")</f>
        <v/>
      </c>
      <c r="R107" s="4" t="inlineStr">
        <is>
          <t>-</t>
        </is>
      </c>
      <c r="S107" s="4" t="inlineStr">
        <is>
          <t>-</t>
        </is>
      </c>
      <c r="T107" s="4" t="inlineStr">
        <is>
          <t>-</t>
        </is>
      </c>
      <c r="U107" s="4" t="n">
        <v>0</v>
      </c>
      <c r="V107" s="4">
        <f>IF(Y107="",U107,U107*Y107)</f>
        <v/>
      </c>
      <c r="W107" s="4" t="n">
        <v>1200</v>
      </c>
      <c r="X107" s="4">
        <f>IF(Y107="",W107,W107*Y107)</f>
        <v/>
      </c>
      <c r="Y107" s="4" t="n"/>
      <c r="Z107" s="21">
        <f>ROUND(O107*AN107,0)</f>
        <v/>
      </c>
      <c r="AA107" s="59">
        <f>IFERROR(1-X107/Z107,"-")</f>
        <v/>
      </c>
      <c r="AB107" s="4" t="n">
        <v>2</v>
      </c>
      <c r="AC107" s="4">
        <f>AY107</f>
        <v/>
      </c>
      <c r="AD107" s="4">
        <f>IFERROR(AC107*AN107,"-")</f>
        <v/>
      </c>
      <c r="AE107" s="59">
        <f>IFERROR(1-X107/AD107,"-")</f>
        <v/>
      </c>
      <c r="AF107" s="7" t="n">
        <v>2109</v>
      </c>
      <c r="AG107" s="59">
        <f>1-X107/AF107</f>
        <v/>
      </c>
      <c r="AH107" s="4">
        <f>AF107-X107</f>
        <v/>
      </c>
      <c r="AI107" s="28" t="n"/>
      <c r="AJ107" s="59" t="n"/>
      <c r="AK107" s="59" t="n"/>
      <c r="AL107" s="59">
        <f>IFERROR(V107/N107,"-")</f>
        <v/>
      </c>
      <c r="AM107" s="59">
        <f>IFERROR(AF107/O107,"-")</f>
        <v/>
      </c>
      <c r="AN107" s="59">
        <f>IFERROR(X107/P107,"-")</f>
        <v/>
      </c>
      <c r="AO107" s="59">
        <f>IFERROR(1-X107/AP107,"-")</f>
        <v/>
      </c>
      <c r="AP107" s="4">
        <f>IFERROR(ROUND($AF107*R107/$O107,0),"-")</f>
        <v/>
      </c>
      <c r="AQ107" s="4">
        <f>IF(S107="","-",S107)</f>
        <v/>
      </c>
      <c r="AR107" s="4">
        <f>IF(T107="","-",T107)</f>
        <v/>
      </c>
      <c r="AS107" s="4" t="n">
        <v>0</v>
      </c>
      <c r="AT107" s="4" t="inlineStr">
        <is>
          <t>-</t>
        </is>
      </c>
      <c r="AU107" s="4" t="n"/>
      <c r="AV107" s="4" t="n"/>
      <c r="AW107" s="4" t="inlineStr">
        <is>
          <t>-</t>
        </is>
      </c>
      <c r="AX107" s="4" t="inlineStr">
        <is>
          <t>-</t>
        </is>
      </c>
      <c r="AY107" s="4">
        <f>IF(AU107="",AX107,AU107/AV107*AX107)</f>
        <v/>
      </c>
      <c r="AZ107" s="19" t="n">
        <v>4</v>
      </c>
      <c r="BA107" s="19" t="n">
        <v>1</v>
      </c>
      <c r="BB107" s="16" t="n">
        <v>1120</v>
      </c>
      <c r="BC107" s="0" t="inlineStr">
        <is>
          <t>-</t>
        </is>
      </c>
      <c r="BD107" s="0">
        <f>IFERROR(BC107*AN107,"-")</f>
        <v/>
      </c>
      <c r="BE107" s="0" t="n">
        <v>2475</v>
      </c>
      <c r="BF107" s="0">
        <f>IFERROR(BE107*AN107,"-")</f>
        <v/>
      </c>
      <c r="BG107" s="0" t="inlineStr">
        <is>
          <t>-</t>
        </is>
      </c>
    </row>
    <row r="108">
      <c r="A108" s="0">
        <f>TEXT(F108,"000000")</f>
        <v/>
      </c>
      <c r="B108" s="3" t="n">
        <v>18</v>
      </c>
      <c r="C108" s="3" t="n">
        <v>18</v>
      </c>
      <c r="D108" s="4" t="n">
        <v>671658</v>
      </c>
      <c r="E108" s="4">
        <f>TEXT(D108,"000000")</f>
        <v/>
      </c>
      <c r="F108" s="4" t="n">
        <v>671658</v>
      </c>
      <c r="G108" s="4">
        <f>E108&amp;J108</f>
        <v/>
      </c>
      <c r="H108" s="4" t="inlineStr">
        <is>
          <t>ｱｲﾘｽｵｰﾔﾏ/ﾗﾐﾈｰﾄﾌｨﾙﾑ B5ｻｲｽﾞ 片面ﾏｯﾄ 100μ(ﾐｸﾛﾝ) 100</t>
        </is>
      </c>
      <c r="I108" s="58" t="n">
        <v>4905009710256</v>
      </c>
      <c r="J108" s="58" t="n">
        <v>5</v>
      </c>
      <c r="K108" s="58" t="n"/>
      <c r="L108" s="58" t="n">
        <v>1</v>
      </c>
      <c r="M108" s="58" t="n">
        <v>1</v>
      </c>
      <c r="N108" s="4" t="n">
        <v>0</v>
      </c>
      <c r="O108" s="4" t="n">
        <v>1863</v>
      </c>
      <c r="P108" s="4" t="n">
        <v>1089</v>
      </c>
      <c r="Q108" s="59">
        <f>IFERROR(1-P108/O108,"-")</f>
        <v/>
      </c>
      <c r="R108" s="4" t="inlineStr">
        <is>
          <t>-</t>
        </is>
      </c>
      <c r="S108" s="4" t="inlineStr">
        <is>
          <t>-</t>
        </is>
      </c>
      <c r="T108" s="4" t="inlineStr">
        <is>
          <t>-</t>
        </is>
      </c>
      <c r="U108" s="4" t="n">
        <v>0</v>
      </c>
      <c r="V108" s="4">
        <f>IF(Y108="",U108,U108*Y108)</f>
        <v/>
      </c>
      <c r="W108" s="4" t="n">
        <v>1306</v>
      </c>
      <c r="X108" s="4">
        <f>IF(Y108="",W108,W108*Y108)</f>
        <v/>
      </c>
      <c r="Y108" s="4" t="n"/>
      <c r="Z108" s="21">
        <f>ROUND(O108*AN108,0)</f>
        <v/>
      </c>
      <c r="AA108" s="59">
        <f>IFERROR(1-X108/Z108,"-")</f>
        <v/>
      </c>
      <c r="AB108" s="4" t="n">
        <v>0.5</v>
      </c>
      <c r="AC108" s="4">
        <f>AY108</f>
        <v/>
      </c>
      <c r="AD108" s="4">
        <f>IFERROR(AC108*AN108,"-")</f>
        <v/>
      </c>
      <c r="AE108" s="59">
        <f>IFERROR(1-X108/AD108,"-")</f>
        <v/>
      </c>
      <c r="AF108" s="7" t="n">
        <v>1809</v>
      </c>
      <c r="AG108" s="59">
        <f>1-X108/AF108</f>
        <v/>
      </c>
      <c r="AH108" s="4">
        <f>AF108-X108</f>
        <v/>
      </c>
      <c r="AI108" s="28" t="n"/>
      <c r="AJ108" s="59" t="n"/>
      <c r="AK108" s="59" t="n"/>
      <c r="AL108" s="59">
        <f>IFERROR(V108/N108,"-")</f>
        <v/>
      </c>
      <c r="AM108" s="59">
        <f>IFERROR(AF108/O108,"-")</f>
        <v/>
      </c>
      <c r="AN108" s="59">
        <f>IFERROR(X108/P108,"-")</f>
        <v/>
      </c>
      <c r="AO108" s="59">
        <f>IFERROR(1-X108/AP108,"-")</f>
        <v/>
      </c>
      <c r="AP108" s="4">
        <f>IFERROR(ROUND($AF108*R108/$O108,0),"-")</f>
        <v/>
      </c>
      <c r="AQ108" s="4">
        <f>IF(S108="","-",S108)</f>
        <v/>
      </c>
      <c r="AR108" s="4">
        <f>IF(T108="","-",T108)</f>
        <v/>
      </c>
      <c r="AS108" s="4" t="inlineStr">
        <is>
          <t>34/364</t>
        </is>
      </c>
      <c r="AT108" s="4" t="inlineStr">
        <is>
          <t>7791032</t>
        </is>
      </c>
      <c r="AU108" s="4" t="n"/>
      <c r="AV108" s="4" t="n"/>
      <c r="AW108" s="4" t="inlineStr">
        <is>
          <t>1個</t>
        </is>
      </c>
      <c r="AX108" s="4" t="n">
        <v>1810</v>
      </c>
      <c r="AY108" s="4">
        <f>IF(AU108="",AX108,AU108/AV108*AX108)</f>
        <v/>
      </c>
      <c r="AZ108" s="19" t="n">
        <v>4</v>
      </c>
      <c r="BA108" s="19" t="n">
        <v>1</v>
      </c>
      <c r="BB108" s="16" t="n">
        <v>1120</v>
      </c>
      <c r="BC108" s="0" t="inlineStr">
        <is>
          <t>-</t>
        </is>
      </c>
      <c r="BD108" s="0">
        <f>IFERROR(BC108*AN108,"-")</f>
        <v/>
      </c>
      <c r="BE108" s="0" t="n">
        <v>1699</v>
      </c>
      <c r="BF108" s="0">
        <f>IFERROR(BE108*AN108,"-")</f>
        <v/>
      </c>
      <c r="BG108" s="0" t="inlineStr">
        <is>
          <t>アイリスオーヤマ　ラミネートフィルム　B5サイズ　片面マット　100μ(ミクロン)　LZM-B5100　100枚入　1個</t>
        </is>
      </c>
    </row>
    <row r="109">
      <c r="A109" s="0">
        <f>TEXT(F109,"000000")</f>
        <v/>
      </c>
      <c r="B109" s="3" t="n">
        <v>85</v>
      </c>
      <c r="C109" s="3" t="n">
        <v>85</v>
      </c>
      <c r="D109" s="35" t="n">
        <v>669467</v>
      </c>
      <c r="E109" s="4">
        <f>TEXT(D109,"000000")</f>
        <v/>
      </c>
      <c r="F109" s="4" t="n">
        <v>669467</v>
      </c>
      <c r="G109" s="4">
        <f>E109&amp;J109</f>
        <v/>
      </c>
      <c r="H109" s="4" t="inlineStr">
        <is>
          <t>ｱｲﾘｽｵｰﾔﾏ/ﾗﾐﾈｰﾄﾌｨﾙﾑ 100μ B4ｻｲｽﾞ 100枚/LFT-B4100</t>
        </is>
      </c>
      <c r="I109" s="58" t="n">
        <v>4905009834198</v>
      </c>
      <c r="J109" s="58" t="n">
        <v>5</v>
      </c>
      <c r="K109" s="58" t="n"/>
      <c r="L109" s="58" t="n">
        <v>2</v>
      </c>
      <c r="M109" s="58" t="n">
        <v>1</v>
      </c>
      <c r="N109" s="4" t="n">
        <v>0</v>
      </c>
      <c r="O109" s="4" t="n">
        <v>3140</v>
      </c>
      <c r="P109" s="4" t="n">
        <v>1274</v>
      </c>
      <c r="Q109" s="59">
        <f>IFERROR(1-P109/O109,"-")</f>
        <v/>
      </c>
      <c r="R109" s="4" t="inlineStr">
        <is>
          <t>-</t>
        </is>
      </c>
      <c r="S109" s="4" t="inlineStr">
        <is>
          <t>-</t>
        </is>
      </c>
      <c r="T109" s="4" t="inlineStr">
        <is>
          <t>-</t>
        </is>
      </c>
      <c r="U109" s="4" t="n">
        <v>0</v>
      </c>
      <c r="V109" s="4">
        <f>IF(Y109="",U109,U109*Y109)</f>
        <v/>
      </c>
      <c r="W109" s="4" t="n">
        <v>1528</v>
      </c>
      <c r="X109" s="4">
        <f>IF(Y109="",W109,W109*Y109)</f>
        <v/>
      </c>
      <c r="Y109" s="4" t="n"/>
      <c r="Z109" s="21">
        <f>ROUND(O109*AN109,0)</f>
        <v/>
      </c>
      <c r="AA109" s="59">
        <f>IFERROR(1-X109/Z109,"-")</f>
        <v/>
      </c>
      <c r="AB109" s="4" t="n">
        <v>15.5</v>
      </c>
      <c r="AC109" s="4">
        <f>AY109</f>
        <v/>
      </c>
      <c r="AD109" s="4">
        <f>IFERROR(AC109*AN109,"-")</f>
        <v/>
      </c>
      <c r="AE109" s="59">
        <f>IFERROR(1-X109/AD109,"-")</f>
        <v/>
      </c>
      <c r="AF109" s="7" t="n">
        <v>2818</v>
      </c>
      <c r="AG109" s="59">
        <f>1-X109/AF109</f>
        <v/>
      </c>
      <c r="AH109" s="4">
        <f>AF109-X109</f>
        <v/>
      </c>
      <c r="AI109" s="28" t="n"/>
      <c r="AJ109" s="59" t="n"/>
      <c r="AK109" s="59" t="n"/>
      <c r="AL109" s="59">
        <f>IFERROR(V109/N109,"-")</f>
        <v/>
      </c>
      <c r="AM109" s="59">
        <f>IFERROR(AF109/O109,"-")</f>
        <v/>
      </c>
      <c r="AN109" s="59">
        <f>IFERROR(X109/P109,"-")</f>
        <v/>
      </c>
      <c r="AO109" s="59">
        <f>IFERROR(1-X109/AP109,"-")</f>
        <v/>
      </c>
      <c r="AP109" s="4">
        <f>IFERROR(ROUND($AF109*R109/$O109,0),"-")</f>
        <v/>
      </c>
      <c r="AQ109" s="4">
        <f>IF(S109="","-",S109)</f>
        <v/>
      </c>
      <c r="AR109" s="4">
        <f>IF(T109="","-",T109)</f>
        <v/>
      </c>
      <c r="AS109" s="4" t="inlineStr">
        <is>
          <t>34/363</t>
        </is>
      </c>
      <c r="AT109" s="4" t="inlineStr">
        <is>
          <t>867228</t>
        </is>
      </c>
      <c r="AU109" s="4" t="n"/>
      <c r="AV109" s="4" t="n"/>
      <c r="AW109" s="4" t="inlineStr">
        <is>
          <t>1箱（100枚入）</t>
        </is>
      </c>
      <c r="AX109" s="4" t="n">
        <v>2819</v>
      </c>
      <c r="AY109" s="4">
        <f>IF(AU109="",AX109,AU109/AV109*AX109)</f>
        <v/>
      </c>
      <c r="AZ109" s="19" t="n">
        <v>4</v>
      </c>
      <c r="BA109" s="19" t="n">
        <v>1</v>
      </c>
      <c r="BB109" s="16" t="n">
        <v>1120</v>
      </c>
      <c r="BC109" s="0" t="n">
        <v>2570</v>
      </c>
      <c r="BD109" s="0">
        <f>IFERROR(BC109*AN109,"-")</f>
        <v/>
      </c>
      <c r="BE109" s="0" t="n">
        <v>3271</v>
      </c>
      <c r="BF109" s="0">
        <f>IFERROR(BE109*AN109,"-")</f>
        <v/>
      </c>
      <c r="BG109" s="0" t="inlineStr">
        <is>
          <t>アイリスオーヤマ　ラミネートフィルム　B4サイズ　帯電防止剤配合(静電気防止)　100μ(ミクロン)　LFT-B4100　1箱（100枚入）</t>
        </is>
      </c>
    </row>
    <row r="110">
      <c r="A110" s="0">
        <f>TEXT(F110,"000000")</f>
        <v/>
      </c>
      <c r="B110" s="3" t="n">
        <v>23</v>
      </c>
      <c r="C110" s="3" t="n">
        <v>23</v>
      </c>
      <c r="D110" s="4" t="n">
        <v>671664</v>
      </c>
      <c r="E110" s="4">
        <f>TEXT(D110,"000000")</f>
        <v/>
      </c>
      <c r="F110" s="4" t="n">
        <v>671664</v>
      </c>
      <c r="G110" s="4">
        <f>E110&amp;J110</f>
        <v/>
      </c>
      <c r="H110" s="4" t="inlineStr">
        <is>
          <t>ｱｲﾘｽｵｰﾔﾏ/ﾗﾐﾈｰﾄﾌｨﾙﾑ A4ｻｲｽﾞ 横型 250μ(ﾐｸﾛﾝ) 50枚入/</t>
        </is>
      </c>
      <c r="I110" s="58" t="n">
        <v>4905009715534</v>
      </c>
      <c r="J110" s="58" t="n">
        <v>5</v>
      </c>
      <c r="K110" s="58" t="n"/>
      <c r="L110" s="58" t="n">
        <v>1</v>
      </c>
      <c r="M110" s="58" t="n">
        <v>1</v>
      </c>
      <c r="N110" s="4" t="n">
        <v>0</v>
      </c>
      <c r="O110" s="4" t="n">
        <v>1980</v>
      </c>
      <c r="P110" s="4" t="n">
        <v>1300</v>
      </c>
      <c r="Q110" s="59">
        <f>IFERROR(1-P110/O110,"-")</f>
        <v/>
      </c>
      <c r="R110" s="4" t="inlineStr">
        <is>
          <t>-</t>
        </is>
      </c>
      <c r="S110" s="4" t="inlineStr">
        <is>
          <t>-</t>
        </is>
      </c>
      <c r="T110" s="4" t="inlineStr">
        <is>
          <t>-</t>
        </is>
      </c>
      <c r="U110" s="4" t="n">
        <v>0</v>
      </c>
      <c r="V110" s="4">
        <f>IF(Y110="",U110,U110*Y110)</f>
        <v/>
      </c>
      <c r="W110" s="4" t="n">
        <v>1560</v>
      </c>
      <c r="X110" s="4">
        <f>IF(Y110="",W110,W110*Y110)</f>
        <v/>
      </c>
      <c r="Y110" s="4" t="n"/>
      <c r="Z110" s="21">
        <f>ROUND(O110*AN110,0)</f>
        <v/>
      </c>
      <c r="AA110" s="59">
        <f>IFERROR(1-X110/Z110,"-")</f>
        <v/>
      </c>
      <c r="AB110" s="4" t="n">
        <v>9.5</v>
      </c>
      <c r="AC110" s="4">
        <f>AY110</f>
        <v/>
      </c>
      <c r="AD110" s="4">
        <f>IFERROR(AC110*AN110,"-")</f>
        <v/>
      </c>
      <c r="AE110" s="59">
        <f>IFERROR(1-X110/AD110,"-")</f>
        <v/>
      </c>
      <c r="AF110" s="7" t="n">
        <v>1979</v>
      </c>
      <c r="AG110" s="59">
        <f>1-X110/AF110</f>
        <v/>
      </c>
      <c r="AH110" s="4">
        <f>AF110-X110</f>
        <v/>
      </c>
      <c r="AI110" s="28" t="n"/>
      <c r="AJ110" s="59" t="n"/>
      <c r="AK110" s="59" t="n"/>
      <c r="AL110" s="59">
        <f>IFERROR(V110/N110,"-")</f>
        <v/>
      </c>
      <c r="AM110" s="59">
        <f>IFERROR(AF110/O110,"-")</f>
        <v/>
      </c>
      <c r="AN110" s="59">
        <f>IFERROR(X110/P110,"-")</f>
        <v/>
      </c>
      <c r="AO110" s="59">
        <f>IFERROR(1-X110/AP110,"-")</f>
        <v/>
      </c>
      <c r="AP110" s="4">
        <f>IFERROR(ROUND($AF110*R110/$O110,0),"-")</f>
        <v/>
      </c>
      <c r="AQ110" s="4">
        <f>IF(S110="","-",S110)</f>
        <v/>
      </c>
      <c r="AR110" s="4">
        <f>IF(T110="","-",T110)</f>
        <v/>
      </c>
      <c r="AS110" s="4" t="inlineStr">
        <is>
          <t>34/364</t>
        </is>
      </c>
      <c r="AT110" s="4" t="inlineStr">
        <is>
          <t>UA43238</t>
        </is>
      </c>
      <c r="AU110" s="4" t="n"/>
      <c r="AV110" s="4" t="n"/>
      <c r="AW110" s="4" t="inlineStr">
        <is>
          <t>1箱（50枚入）</t>
        </is>
      </c>
      <c r="AX110" s="4" t="n">
        <v>1980</v>
      </c>
      <c r="AY110" s="4">
        <f>IF(AU110="",AX110,AU110/AV110*AX110)</f>
        <v/>
      </c>
      <c r="AZ110" s="19" t="n">
        <v>4</v>
      </c>
      <c r="BA110" s="19" t="n">
        <v>1</v>
      </c>
      <c r="BB110" s="16" t="n">
        <v>1120</v>
      </c>
      <c r="BC110" s="0" t="inlineStr">
        <is>
          <t>-</t>
        </is>
      </c>
      <c r="BD110" s="0">
        <f>IFERROR(BC110*AN110,"-")</f>
        <v/>
      </c>
      <c r="BE110" s="0" t="n">
        <v>1967</v>
      </c>
      <c r="BF110" s="0">
        <f>IFERROR(BE110*AN110,"-")</f>
        <v/>
      </c>
      <c r="BG110" s="0" t="inlineStr">
        <is>
          <t>アイリスオーヤマ　ラミネートフィルム　A4サイズ　250μ(ミクロン)　LZ-25A450　1箱(50枚入)</t>
        </is>
      </c>
    </row>
    <row r="111">
      <c r="A111" s="0">
        <f>TEXT(F111,"000000")</f>
        <v/>
      </c>
      <c r="B111" s="3" t="n">
        <v>63</v>
      </c>
      <c r="C111" s="3" t="n">
        <v>63</v>
      </c>
      <c r="D111" s="4" t="inlineStr">
        <is>
          <t>J20294</t>
        </is>
      </c>
      <c r="E111" s="4">
        <f>TEXT(D111,"000000")</f>
        <v/>
      </c>
      <c r="F111" s="4" t="inlineStr">
        <is>
          <t>J20294</t>
        </is>
      </c>
      <c r="G111" s="4">
        <f>E111&amp;J111</f>
        <v/>
      </c>
      <c r="H111" s="4" t="inlineStr">
        <is>
          <t>ｱｲﾘｽｵｰﾔﾏ/ﾗﾐﾈｰﾄﾌｨﾙﾑ B4ｻｲｽﾞ 100μ(ﾐｸﾛﾝ) 100枚入/LZ-B</t>
        </is>
      </c>
      <c r="I111" s="58" t="n">
        <v>4905009427437</v>
      </c>
      <c r="J111" s="58" t="n">
        <v>5</v>
      </c>
      <c r="K111" s="58" t="n"/>
      <c r="L111" s="58" t="n">
        <v>1</v>
      </c>
      <c r="M111" s="58" t="n">
        <v>1</v>
      </c>
      <c r="N111" s="4" t="n">
        <v>0</v>
      </c>
      <c r="O111" s="4" t="n">
        <v>2180</v>
      </c>
      <c r="P111" s="4" t="n">
        <v>1344</v>
      </c>
      <c r="Q111" s="59">
        <f>IFERROR(1-P111/O111,"-")</f>
        <v/>
      </c>
      <c r="R111" s="4" t="n">
        <v>2055</v>
      </c>
      <c r="S111" s="4" t="n">
        <v>4</v>
      </c>
      <c r="T111" s="4" t="n">
        <v>99999</v>
      </c>
      <c r="U111" s="4" t="n">
        <v>0</v>
      </c>
      <c r="V111" s="4">
        <f>IF(Y111="",U111,U111*Y111)</f>
        <v/>
      </c>
      <c r="W111" s="4" t="n">
        <v>1612</v>
      </c>
      <c r="X111" s="4">
        <f>IF(Y111="",W111,W111*Y111)</f>
        <v/>
      </c>
      <c r="Y111" s="4" t="n"/>
      <c r="Z111" s="21">
        <f>ROUND(O111*AN111,0)</f>
        <v/>
      </c>
      <c r="AA111" s="59">
        <f>IFERROR(1-X111/Z111,"-")</f>
        <v/>
      </c>
      <c r="AB111" s="4" t="n">
        <v>22.5</v>
      </c>
      <c r="AC111" s="4">
        <f>AY111</f>
        <v/>
      </c>
      <c r="AD111" s="4">
        <f>IFERROR(AC111*AN111,"-")</f>
        <v/>
      </c>
      <c r="AE111" s="59">
        <f>IFERROR(1-X111/AD111,"-")</f>
        <v/>
      </c>
      <c r="AF111" s="7" t="n">
        <v>2179</v>
      </c>
      <c r="AG111" s="59">
        <f>1-X111/AF111</f>
        <v/>
      </c>
      <c r="AH111" s="4">
        <f>AF111-X111</f>
        <v/>
      </c>
      <c r="AI111" s="28" t="n"/>
      <c r="AJ111" s="59" t="n"/>
      <c r="AK111" s="59" t="n"/>
      <c r="AL111" s="60">
        <f>IFERROR(V111/N111,"-")</f>
        <v/>
      </c>
      <c r="AM111" s="59">
        <f>IFERROR(AF111/O111,"-")</f>
        <v/>
      </c>
      <c r="AN111" s="59">
        <f>IFERROR(X111/P111,"-")</f>
        <v/>
      </c>
      <c r="AO111" s="59">
        <f>IFERROR(1-X111/AP111,"-")</f>
        <v/>
      </c>
      <c r="AP111" s="4" t="n">
        <v>2450</v>
      </c>
      <c r="AQ111" s="4">
        <f>IF(S111="","-",S111)</f>
        <v/>
      </c>
      <c r="AR111" s="4">
        <f>IF(T111="","-",T111)</f>
        <v/>
      </c>
      <c r="AS111" s="4" t="inlineStr">
        <is>
          <t>34/363</t>
        </is>
      </c>
      <c r="AT111" s="4" t="inlineStr">
        <is>
          <t>UA43275</t>
        </is>
      </c>
      <c r="AU111" s="4" t="n"/>
      <c r="AV111" s="4" t="n"/>
      <c r="AW111" s="4" t="inlineStr">
        <is>
          <t>1箱（100枚入）</t>
        </is>
      </c>
      <c r="AX111" s="4" t="n">
        <v>2180</v>
      </c>
      <c r="AY111" s="4">
        <f>IF(AU111="",AX111,AU111/AV111*AX111)</f>
        <v/>
      </c>
      <c r="AZ111" s="19" t="n">
        <v>4</v>
      </c>
      <c r="BA111" s="19" t="n">
        <v>1</v>
      </c>
      <c r="BB111" s="16" t="n">
        <v>1120</v>
      </c>
      <c r="BC111" s="0" t="inlineStr">
        <is>
          <t>-</t>
        </is>
      </c>
      <c r="BD111" s="0">
        <f>IFERROR(BC111*AN111,"-")</f>
        <v/>
      </c>
      <c r="BE111" s="0" t="n">
        <v>2458</v>
      </c>
      <c r="BF111" s="0">
        <f>IFERROR(BE111*AN111,"-")</f>
        <v/>
      </c>
      <c r="BG111" s="0" t="inlineStr">
        <is>
          <t>アイリスオーヤマ　ラミネートフィルム　B4サイズ　100μ(ミクロン)　LZ-B4100　1箱(100枚入)</t>
        </is>
      </c>
    </row>
    <row r="112">
      <c r="A112" s="0">
        <f>TEXT(F112,"000000")</f>
        <v/>
      </c>
      <c r="B112" s="3" t="n">
        <v>92</v>
      </c>
      <c r="C112" s="3" t="n">
        <v>92</v>
      </c>
      <c r="D112" s="4" t="n">
        <v>681778</v>
      </c>
      <c r="E112" s="4">
        <f>TEXT(D112,"000000")</f>
        <v/>
      </c>
      <c r="F112" s="4" t="n">
        <v>681778</v>
      </c>
      <c r="G112" s="4">
        <f>E112&amp;J112</f>
        <v/>
      </c>
      <c r="H112" s="4" t="inlineStr">
        <is>
          <t>ｱｲﾘｽｵｰﾔﾏ/ﾗﾐﾈｰﾄﾌｨﾙﾑ100μ A3ｻｲｽﾞ100枚/LFT-A3100</t>
        </is>
      </c>
      <c r="I112" s="58" t="n">
        <v>4905009834204</v>
      </c>
      <c r="J112" s="58" t="n">
        <v>5</v>
      </c>
      <c r="K112" s="58" t="n"/>
      <c r="L112" s="58" t="n">
        <v>1</v>
      </c>
      <c r="M112" s="58" t="n">
        <v>1</v>
      </c>
      <c r="N112" s="4" t="n">
        <v>0</v>
      </c>
      <c r="O112" s="4" t="n">
        <v>2700</v>
      </c>
      <c r="P112" s="4" t="n">
        <v>1380</v>
      </c>
      <c r="Q112" s="59">
        <f>IFERROR(1-P112/O112,"-")</f>
        <v/>
      </c>
      <c r="R112" s="4" t="inlineStr">
        <is>
          <t>-</t>
        </is>
      </c>
      <c r="S112" s="4" t="inlineStr">
        <is>
          <t>-</t>
        </is>
      </c>
      <c r="T112" s="4" t="inlineStr">
        <is>
          <t>-</t>
        </is>
      </c>
      <c r="U112" s="4" t="n">
        <v>0</v>
      </c>
      <c r="V112" s="4">
        <f>IF(Y112="",U112,U112*Y112)</f>
        <v/>
      </c>
      <c r="W112" s="4" t="n">
        <v>1656</v>
      </c>
      <c r="X112" s="4">
        <f>IF(Y112="",W112,W112*Y112)</f>
        <v/>
      </c>
      <c r="Y112" s="4" t="n"/>
      <c r="Z112" s="21">
        <f>ROUND(O112*AN112,0)</f>
        <v/>
      </c>
      <c r="AA112" s="59">
        <f>IFERROR(1-X112/Z112,"-")</f>
        <v/>
      </c>
      <c r="AB112" s="4" t="n">
        <v>138.5</v>
      </c>
      <c r="AC112" s="4">
        <f>AY112</f>
        <v/>
      </c>
      <c r="AD112" s="4">
        <f>IFERROR(AC112*AN112,"-")</f>
        <v/>
      </c>
      <c r="AE112" s="59">
        <f>IFERROR(1-X112/AD112,"-")</f>
        <v/>
      </c>
      <c r="AF112" s="7" t="n">
        <v>2699</v>
      </c>
      <c r="AG112" s="59">
        <f>1-X112/AF112</f>
        <v/>
      </c>
      <c r="AH112" s="4">
        <f>AF112-X112</f>
        <v/>
      </c>
      <c r="AI112" s="28" t="n"/>
      <c r="AJ112" s="59" t="n"/>
      <c r="AK112" s="59" t="n"/>
      <c r="AL112" s="59">
        <f>IFERROR(V112/N112,"-")</f>
        <v/>
      </c>
      <c r="AM112" s="59">
        <f>IFERROR(AF112/O112,"-")</f>
        <v/>
      </c>
      <c r="AN112" s="59">
        <f>IFERROR(X112/P112,"-")</f>
        <v/>
      </c>
      <c r="AO112" s="59">
        <f>IFERROR(1-X112/AP112,"-")</f>
        <v/>
      </c>
      <c r="AP112" s="4">
        <f>IFERROR(ROUND($AF112*R112/$O112,0),"-")</f>
        <v/>
      </c>
      <c r="AQ112" s="4">
        <f>IF(S112="","-",S112)</f>
        <v/>
      </c>
      <c r="AR112" s="4">
        <f>IF(T112="","-",T112)</f>
        <v/>
      </c>
      <c r="AS112" s="4" t="inlineStr">
        <is>
          <t>34/363</t>
        </is>
      </c>
      <c r="AT112" s="4" t="inlineStr">
        <is>
          <t>3485157</t>
        </is>
      </c>
      <c r="AU112" s="4" t="n"/>
      <c r="AV112" s="4" t="n"/>
      <c r="AW112" s="4" t="inlineStr">
        <is>
          <t>1箱（100枚入）</t>
        </is>
      </c>
      <c r="AX112" s="4" t="n">
        <v>2700</v>
      </c>
      <c r="AY112" s="4">
        <f>IF(AU112="",AX112,AU112/AV112*AX112)</f>
        <v/>
      </c>
      <c r="AZ112" s="19" t="n">
        <v>4</v>
      </c>
      <c r="BA112" s="19" t="n">
        <v>1</v>
      </c>
      <c r="BB112" s="16" t="n">
        <v>1120</v>
      </c>
      <c r="BC112" s="0" t="inlineStr">
        <is>
          <t>-</t>
        </is>
      </c>
      <c r="BD112" s="0">
        <f>IFERROR(BC112*AN112,"-")</f>
        <v/>
      </c>
      <c r="BE112" s="0" t="n">
        <v>3562</v>
      </c>
      <c r="BF112" s="0">
        <f>IFERROR(BE112*AN112,"-")</f>
        <v/>
      </c>
      <c r="BG112" s="0" t="inlineStr">
        <is>
          <t>アイリスオーヤマ　ラミネートフィルム　A3サイズ　帯電防止剤配合(静電気防止)　100μ(ミクロン)　LFT-A3100　1箱（100枚入）</t>
        </is>
      </c>
    </row>
    <row r="113">
      <c r="A113" s="0">
        <f>TEXT(F113,"000000")</f>
        <v/>
      </c>
      <c r="B113" s="3" t="n">
        <v>53</v>
      </c>
      <c r="C113" s="3" t="n">
        <v>53</v>
      </c>
      <c r="D113" s="4" t="inlineStr">
        <is>
          <t>J20289</t>
        </is>
      </c>
      <c r="E113" s="4">
        <f>TEXT(D113,"000000")</f>
        <v/>
      </c>
      <c r="F113" s="4" t="inlineStr">
        <is>
          <t>J20289</t>
        </is>
      </c>
      <c r="G113" s="4">
        <f>E113&amp;J113</f>
        <v/>
      </c>
      <c r="H113" s="4" t="inlineStr">
        <is>
          <t>ｱｲﾘｽｵｰﾔﾏ/ﾗﾐﾈｰﾄﾌｨﾙﾑ A3ﾜｲﾄﾞｻｲｽﾞ 100μ(ﾐｸﾛﾝ) 30枚入/L</t>
        </is>
      </c>
      <c r="I113" s="58" t="n">
        <v>4905009428670</v>
      </c>
      <c r="J113" s="58" t="n">
        <v>5</v>
      </c>
      <c r="K113" s="58" t="n"/>
      <c r="L113" s="58" t="n">
        <v>1</v>
      </c>
      <c r="M113" s="58" t="n">
        <v>1</v>
      </c>
      <c r="N113" s="4" t="n">
        <v>0</v>
      </c>
      <c r="O113" s="4" t="n">
        <v>1999</v>
      </c>
      <c r="P113" s="4" t="n">
        <v>1400</v>
      </c>
      <c r="Q113" s="59">
        <f>IFERROR(1-P113/O113,"-")</f>
        <v/>
      </c>
      <c r="R113" s="4" t="inlineStr">
        <is>
          <t>-</t>
        </is>
      </c>
      <c r="S113" s="4" t="inlineStr">
        <is>
          <t>-</t>
        </is>
      </c>
      <c r="T113" s="4" t="inlineStr">
        <is>
          <t>-</t>
        </is>
      </c>
      <c r="U113" s="4" t="n">
        <v>0</v>
      </c>
      <c r="V113" s="4">
        <f>IF(Y113="",U113,U113*Y113)</f>
        <v/>
      </c>
      <c r="W113" s="4" t="n">
        <v>1680</v>
      </c>
      <c r="X113" s="4">
        <f>IF(Y113="",W113,W113*Y113)</f>
        <v/>
      </c>
      <c r="Y113" s="4" t="n"/>
      <c r="Z113" s="21">
        <f>ROUND(O113*AN113,0)</f>
        <v/>
      </c>
      <c r="AA113" s="59">
        <f>IFERROR(1-X113/Z113,"-")</f>
        <v/>
      </c>
      <c r="AB113" s="4" t="n">
        <v>0.25</v>
      </c>
      <c r="AC113" s="4">
        <f>AY113</f>
        <v/>
      </c>
      <c r="AD113" s="4">
        <f>IFERROR(AC113*AN113,"-")</f>
        <v/>
      </c>
      <c r="AE113" s="59">
        <f>IFERROR(1-X113/AD113,"-")</f>
        <v/>
      </c>
      <c r="AF113" s="7" t="n">
        <v>2379</v>
      </c>
      <c r="AG113" s="59">
        <f>1-X113/AF113</f>
        <v/>
      </c>
      <c r="AH113" s="4">
        <f>AF113-X113</f>
        <v/>
      </c>
      <c r="AI113" s="28" t="n"/>
      <c r="AJ113" s="59" t="n"/>
      <c r="AK113" s="59" t="n"/>
      <c r="AL113" s="59">
        <f>IFERROR(V113/N113,"-")</f>
        <v/>
      </c>
      <c r="AM113" s="59">
        <f>IFERROR(AF113/O113,"-")</f>
        <v/>
      </c>
      <c r="AN113" s="59">
        <f>IFERROR(X113/P113,"-")</f>
        <v/>
      </c>
      <c r="AO113" s="59">
        <f>IFERROR(1-X113/AP113,"-")</f>
        <v/>
      </c>
      <c r="AP113" s="4">
        <f>IFERROR(ROUND($AF113*R113/$O113,0),"-")</f>
        <v/>
      </c>
      <c r="AQ113" s="4">
        <f>IF(S113="","-",S113)</f>
        <v/>
      </c>
      <c r="AR113" s="4">
        <f>IF(T113="","-",T113)</f>
        <v/>
      </c>
      <c r="AS113" s="4" t="n">
        <v>0</v>
      </c>
      <c r="AT113" s="4" t="inlineStr">
        <is>
          <t>A018516</t>
        </is>
      </c>
      <c r="AU113" s="4" t="n"/>
      <c r="AV113" s="4" t="n"/>
      <c r="AW113" s="4" t="inlineStr">
        <is>
          <t>1袋(30枚)</t>
        </is>
      </c>
      <c r="AX113" s="4" t="n">
        <v>2380</v>
      </c>
      <c r="AY113" s="4">
        <f>IF(AU113="",AX113,AU113/AV113*AX113)</f>
        <v/>
      </c>
      <c r="AZ113" s="19" t="n">
        <v>4</v>
      </c>
      <c r="BA113" s="19" t="n">
        <v>8</v>
      </c>
      <c r="BB113" s="16" t="n">
        <v>1120</v>
      </c>
      <c r="BC113" s="0" t="inlineStr">
        <is>
          <t>-</t>
        </is>
      </c>
      <c r="BD113" s="0">
        <f>IFERROR(BC113*AN113,"-")</f>
        <v/>
      </c>
      <c r="BE113" s="0" t="n">
        <v>2223</v>
      </c>
      <c r="BF113" s="0">
        <f>IFERROR(BE113*AN113,"-")</f>
        <v/>
      </c>
      <c r="BG113" s="0" t="inlineStr">
        <is>
          <t>アイリスオーヤマ ラミネートフィルム100ミクロン(A3ワイドサイズ) LZーA3W30 30枚 1袋(30枚)（直送品）</t>
        </is>
      </c>
    </row>
    <row r="114">
      <c r="A114" s="0">
        <f>TEXT(F114,"000000")</f>
        <v/>
      </c>
      <c r="B114" s="3" t="n">
        <v>30</v>
      </c>
      <c r="C114" s="3" t="n">
        <v>30</v>
      </c>
      <c r="D114" s="4" t="inlineStr">
        <is>
          <t>J129NC</t>
        </is>
      </c>
      <c r="E114" s="4">
        <f>TEXT(D114,"000000")</f>
        <v/>
      </c>
      <c r="F114" s="4" t="inlineStr">
        <is>
          <t>J129NC</t>
        </is>
      </c>
      <c r="G114" s="4">
        <f>E114&amp;J114</f>
        <v/>
      </c>
      <c r="H114" s="4" t="inlineStr">
        <is>
          <t>ｱｲﾘｽｵｰﾔﾏ/ﾗﾐﾈｰﾄﾌｨﾙﾑ A3ｻｲｽﾞ 75μ(ﾐｸﾛﾝ) 100枚入/LZ-75</t>
        </is>
      </c>
      <c r="I114" s="58" t="n">
        <v>4967576651813</v>
      </c>
      <c r="J114" s="58" t="n">
        <v>5</v>
      </c>
      <c r="K114" s="58" t="n"/>
      <c r="L114" s="58" t="n">
        <v>1</v>
      </c>
      <c r="M114" s="58" t="n">
        <v>1</v>
      </c>
      <c r="N114" s="4" t="n">
        <v>0</v>
      </c>
      <c r="O114" s="4" t="n">
        <v>2555</v>
      </c>
      <c r="P114" s="4" t="n">
        <v>1460</v>
      </c>
      <c r="Q114" s="59">
        <f>IFERROR(1-P114/O114,"-")</f>
        <v/>
      </c>
      <c r="R114" s="4" t="inlineStr">
        <is>
          <t>-</t>
        </is>
      </c>
      <c r="S114" s="4" t="inlineStr">
        <is>
          <t>-</t>
        </is>
      </c>
      <c r="T114" s="4" t="inlineStr">
        <is>
          <t>-</t>
        </is>
      </c>
      <c r="U114" s="4" t="n">
        <v>0</v>
      </c>
      <c r="V114" s="4">
        <f>IF(Y114="",U114,U114*Y114)</f>
        <v/>
      </c>
      <c r="W114" s="4" t="n">
        <v>1752</v>
      </c>
      <c r="X114" s="4">
        <f>IF(Y114="",W114,W114*Y114)</f>
        <v/>
      </c>
      <c r="Y114" s="4" t="n"/>
      <c r="Z114" s="21">
        <f>ROUND(O114*AN114,0)</f>
        <v/>
      </c>
      <c r="AA114" s="59">
        <f>IFERROR(1-X114/Z114,"-")</f>
        <v/>
      </c>
      <c r="AB114" s="4" t="n">
        <v>4</v>
      </c>
      <c r="AC114" s="4">
        <f>AY114</f>
        <v/>
      </c>
      <c r="AD114" s="4">
        <f>IFERROR(AC114*AN114,"-")</f>
        <v/>
      </c>
      <c r="AE114" s="59">
        <f>IFERROR(1-X114/AD114,"-")</f>
        <v/>
      </c>
      <c r="AF114" s="7" t="n">
        <v>2177</v>
      </c>
      <c r="AG114" s="59">
        <f>1-X114/AF114</f>
        <v/>
      </c>
      <c r="AH114" s="4">
        <f>AF114-X114</f>
        <v/>
      </c>
      <c r="AI114" s="28" t="n"/>
      <c r="AJ114" s="59" t="n"/>
      <c r="AK114" s="59" t="n"/>
      <c r="AL114" s="59">
        <f>IFERROR(V114/N114,"-")</f>
        <v/>
      </c>
      <c r="AM114" s="59">
        <f>IFERROR(AF114/O114,"-")</f>
        <v/>
      </c>
      <c r="AN114" s="59">
        <f>IFERROR(X114/P114,"-")</f>
        <v/>
      </c>
      <c r="AO114" s="59">
        <f>IFERROR(1-X114/AP114,"-")</f>
        <v/>
      </c>
      <c r="AP114" s="4">
        <f>IFERROR(ROUND($AF114*R114/$O114,0),"-")</f>
        <v/>
      </c>
      <c r="AQ114" s="4">
        <f>IF(S114="","-",S114)</f>
        <v/>
      </c>
      <c r="AR114" s="4">
        <f>IF(T114="","-",T114)</f>
        <v/>
      </c>
      <c r="AS114" s="4" t="n">
        <v>0</v>
      </c>
      <c r="AT114" s="4" t="inlineStr">
        <is>
          <t>UH69202</t>
        </is>
      </c>
      <c r="AU114" s="4" t="n"/>
      <c r="AV114" s="4" t="n"/>
      <c r="AW114" s="4" t="inlineStr">
        <is>
          <t>1箱</t>
        </is>
      </c>
      <c r="AX114" s="4" t="n">
        <v>2178</v>
      </c>
      <c r="AY114" s="4">
        <f>IF(AU114="",AX114,AU114/AV114*AX114)</f>
        <v/>
      </c>
      <c r="AZ114" s="19" t="n">
        <v>4</v>
      </c>
      <c r="BA114" s="19" t="n">
        <v>1</v>
      </c>
      <c r="BB114" s="16" t="n">
        <v>1120</v>
      </c>
      <c r="BC114" s="0" t="inlineStr">
        <is>
          <t>-</t>
        </is>
      </c>
      <c r="BD114" s="0">
        <f>IFERROR(BC114*AN114,"-")</f>
        <v/>
      </c>
      <c r="BE114" s="0" t="n">
        <v>3199</v>
      </c>
      <c r="BF114" s="0">
        <f>IFERROR(BE114*AN114,"-")</f>
        <v/>
      </c>
      <c r="BG114" s="0" t="inlineStr">
        <is>
          <t>アイリスオーヤマ　ラミネートフィルム　A3サイズ　75μ(ミクロン)　LZ-75A3100　100枚入　1箱</t>
        </is>
      </c>
    </row>
    <row r="115">
      <c r="A115" s="0">
        <f>TEXT(F115,"000000")</f>
        <v/>
      </c>
      <c r="B115" s="3" t="n">
        <v>19</v>
      </c>
      <c r="C115" s="3" t="n">
        <v>19</v>
      </c>
      <c r="D115" s="4" t="n">
        <v>671659</v>
      </c>
      <c r="E115" s="4">
        <f>TEXT(D115,"000000")</f>
        <v/>
      </c>
      <c r="F115" s="4" t="n">
        <v>671659</v>
      </c>
      <c r="G115" s="4">
        <f>E115&amp;J115</f>
        <v/>
      </c>
      <c r="H115" s="4" t="inlineStr">
        <is>
          <t>ｱｲﾘｽｵｰﾔﾏ/ﾗﾐﾈｰﾄﾌｨﾙﾑ A4ｻｲｽﾞ 片面ﾏｯﾄ 100μ(ﾐｸﾛﾝ) 100</t>
        </is>
      </c>
      <c r="I115" s="58" t="n">
        <v>4905009710263</v>
      </c>
      <c r="J115" s="58" t="n">
        <v>5</v>
      </c>
      <c r="K115" s="58" t="n"/>
      <c r="L115" s="58" t="n">
        <v>1</v>
      </c>
      <c r="M115" s="58" t="n">
        <v>1</v>
      </c>
      <c r="N115" s="4" t="n">
        <v>0</v>
      </c>
      <c r="O115" s="4" t="n">
        <v>3890</v>
      </c>
      <c r="P115" s="4" t="n">
        <v>1500</v>
      </c>
      <c r="Q115" s="59">
        <f>IFERROR(1-P115/O115,"-")</f>
        <v/>
      </c>
      <c r="R115" s="4" t="inlineStr">
        <is>
          <t>-</t>
        </is>
      </c>
      <c r="S115" s="4" t="inlineStr">
        <is>
          <t>-</t>
        </is>
      </c>
      <c r="T115" s="4" t="inlineStr">
        <is>
          <t>-</t>
        </is>
      </c>
      <c r="U115" s="4" t="n">
        <v>0</v>
      </c>
      <c r="V115" s="4">
        <f>IF(Y115="",U115,U115*Y115)</f>
        <v/>
      </c>
      <c r="W115" s="4" t="n">
        <v>1800</v>
      </c>
      <c r="X115" s="4">
        <f>IF(Y115="",W115,W115*Y115)</f>
        <v/>
      </c>
      <c r="Y115" s="4" t="n"/>
      <c r="Z115" s="21">
        <f>ROUND(O115*AN115,0)</f>
        <v/>
      </c>
      <c r="AA115" s="59">
        <f>IFERROR(1-X115/Z115,"-")</f>
        <v/>
      </c>
      <c r="AB115" s="4" t="n">
        <v>12.5</v>
      </c>
      <c r="AC115" s="4">
        <f>AY115</f>
        <v/>
      </c>
      <c r="AD115" s="4">
        <f>IFERROR(AC115*AN115,"-")</f>
        <v/>
      </c>
      <c r="AE115" s="59">
        <f>IFERROR(1-X115/AD115,"-")</f>
        <v/>
      </c>
      <c r="AF115" s="7" t="n">
        <v>3890</v>
      </c>
      <c r="AG115" s="59">
        <f>1-X115/AF115</f>
        <v/>
      </c>
      <c r="AH115" s="4">
        <f>AF115-X115</f>
        <v/>
      </c>
      <c r="AI115" s="28" t="n"/>
      <c r="AJ115" s="59" t="n"/>
      <c r="AK115" s="59" t="n"/>
      <c r="AL115" s="59">
        <f>IFERROR(V115/N115,"-")</f>
        <v/>
      </c>
      <c r="AM115" s="59">
        <f>IFERROR(AF115/O115,"-")</f>
        <v/>
      </c>
      <c r="AN115" s="59">
        <f>IFERROR(X115/P115,"-")</f>
        <v/>
      </c>
      <c r="AO115" s="59">
        <f>IFERROR(1-X115/AP115,"-")</f>
        <v/>
      </c>
      <c r="AP115" s="4">
        <f>IFERROR(ROUND($AF115*R115/$O115,0),"-")</f>
        <v/>
      </c>
      <c r="AQ115" s="4">
        <f>IF(S115="","-",S115)</f>
        <v/>
      </c>
      <c r="AR115" s="4">
        <f>IF(T115="","-",T115)</f>
        <v/>
      </c>
      <c r="AS115" s="4" t="inlineStr">
        <is>
          <t>34/364</t>
        </is>
      </c>
      <c r="AT115" s="4" t="inlineStr">
        <is>
          <t>4280360</t>
        </is>
      </c>
      <c r="AU115" s="4" t="n"/>
      <c r="AV115" s="4" t="n"/>
      <c r="AW115" s="4" t="inlineStr">
        <is>
          <t>1箱（100枚入）</t>
        </is>
      </c>
      <c r="AX115" s="4" t="n">
        <v>3891</v>
      </c>
      <c r="AY115" s="4">
        <f>IF(AU115="",AX115,AU115/AV115*AX115)</f>
        <v/>
      </c>
      <c r="AZ115" s="19" t="n">
        <v>4</v>
      </c>
      <c r="BA115" s="19" t="n">
        <v>1</v>
      </c>
      <c r="BB115" s="16" t="n">
        <v>1120</v>
      </c>
      <c r="BC115" s="0" t="inlineStr">
        <is>
          <t>-</t>
        </is>
      </c>
      <c r="BD115" s="0">
        <f>IFERROR(BC115*AN115,"-")</f>
        <v/>
      </c>
      <c r="BE115" s="0" t="n">
        <v>4205</v>
      </c>
      <c r="BF115" s="0">
        <f>IFERROR(BE115*AN115,"-")</f>
        <v/>
      </c>
      <c r="BG115" s="0" t="inlineStr">
        <is>
          <t>アイリスオーヤマ　ラミネートフィルム　A4サイズ　片面マット　100μ(ミクロン)　LZM-A4100　1箱(100枚入)</t>
        </is>
      </c>
    </row>
    <row r="116">
      <c r="A116" s="0">
        <f>TEXT(F116,"000000")</f>
        <v/>
      </c>
      <c r="B116" s="3" t="n">
        <v>88</v>
      </c>
      <c r="C116" s="3" t="n">
        <v>88</v>
      </c>
      <c r="D116" s="4" t="n">
        <v>669471</v>
      </c>
      <c r="E116" s="4">
        <f>TEXT(D116,"000000")</f>
        <v/>
      </c>
      <c r="F116" s="4" t="n">
        <v>669471</v>
      </c>
      <c r="G116" s="4">
        <f>E116&amp;J116</f>
        <v/>
      </c>
      <c r="H116" s="4" t="inlineStr">
        <is>
          <t>ｱｲﾘｽｵｰﾔﾏ/ﾗﾐﾈｰﾄﾌｨﾙﾑ 150μ A4ｻｲｽﾞ100枚/LFT-5A4100</t>
        </is>
      </c>
      <c r="I116" s="58" t="n">
        <v>4905009834259</v>
      </c>
      <c r="J116" s="58" t="n">
        <v>5</v>
      </c>
      <c r="K116" s="58" t="n"/>
      <c r="L116" s="58" t="n">
        <v>1</v>
      </c>
      <c r="M116" s="58" t="n">
        <v>1</v>
      </c>
      <c r="N116" s="4" t="n">
        <v>0</v>
      </c>
      <c r="O116" s="4" t="n">
        <v>3800</v>
      </c>
      <c r="P116" s="4" t="n">
        <v>1566</v>
      </c>
      <c r="Q116" s="59">
        <f>IFERROR(1-P116/O116,"-")</f>
        <v/>
      </c>
      <c r="R116" s="4" t="inlineStr">
        <is>
          <t>-</t>
        </is>
      </c>
      <c r="S116" s="4" t="inlineStr">
        <is>
          <t>-</t>
        </is>
      </c>
      <c r="T116" s="4" t="inlineStr">
        <is>
          <t>-</t>
        </is>
      </c>
      <c r="U116" s="4" t="n">
        <v>0</v>
      </c>
      <c r="V116" s="4">
        <f>IF(Y116="",U116,U116*Y116)</f>
        <v/>
      </c>
      <c r="W116" s="4" t="n">
        <v>1879</v>
      </c>
      <c r="X116" s="4">
        <f>IF(Y116="",W116,W116*Y116)</f>
        <v/>
      </c>
      <c r="Y116" s="4" t="n"/>
      <c r="Z116" s="21">
        <f>ROUND(O116*AN116,0)</f>
        <v/>
      </c>
      <c r="AA116" s="59">
        <f>IFERROR(1-X116/Z116,"-")</f>
        <v/>
      </c>
      <c r="AB116" s="4" t="n">
        <v>31.25</v>
      </c>
      <c r="AC116" s="4">
        <f>AY116</f>
        <v/>
      </c>
      <c r="AD116" s="4">
        <f>IFERROR(AC116*AN116,"-")</f>
        <v/>
      </c>
      <c r="AE116" s="59">
        <f>IFERROR(1-X116/AD116,"-")</f>
        <v/>
      </c>
      <c r="AF116" s="7" t="n">
        <v>3799</v>
      </c>
      <c r="AG116" s="59">
        <f>1-X116/AF116</f>
        <v/>
      </c>
      <c r="AH116" s="4">
        <f>AF116-X116</f>
        <v/>
      </c>
      <c r="AI116" s="28" t="n"/>
      <c r="AJ116" s="59" t="n"/>
      <c r="AK116" s="59" t="n"/>
      <c r="AL116" s="59">
        <f>IFERROR(V116/N116,"-")</f>
        <v/>
      </c>
      <c r="AM116" s="59">
        <f>IFERROR(AF116/O116,"-")</f>
        <v/>
      </c>
      <c r="AN116" s="59">
        <f>IFERROR(X116/P116,"-")</f>
        <v/>
      </c>
      <c r="AO116" s="59">
        <f>IFERROR(1-X116/AP116,"-")</f>
        <v/>
      </c>
      <c r="AP116" s="4">
        <f>IFERROR(ROUND($AF116*R116/$O116,0),"-")</f>
        <v/>
      </c>
      <c r="AQ116" s="4">
        <f>IF(S116="","-",S116)</f>
        <v/>
      </c>
      <c r="AR116" s="4">
        <f>IF(T116="","-",T116)</f>
        <v/>
      </c>
      <c r="AS116" s="4" t="inlineStr">
        <is>
          <t>34/363</t>
        </is>
      </c>
      <c r="AT116" s="4" t="inlineStr">
        <is>
          <t>3485184</t>
        </is>
      </c>
      <c r="AU116" s="4" t="n"/>
      <c r="AV116" s="4" t="n"/>
      <c r="AW116" s="4" t="inlineStr">
        <is>
          <t>1箱（100枚入）</t>
        </is>
      </c>
      <c r="AX116" s="4" t="n">
        <v>3800</v>
      </c>
      <c r="AY116" s="4">
        <f>IF(AU116="",AX116,AU116/AV116*AX116)</f>
        <v/>
      </c>
      <c r="AZ116" s="19" t="n">
        <v>4</v>
      </c>
      <c r="BA116" s="19" t="n">
        <v>1</v>
      </c>
      <c r="BB116" s="16" t="n">
        <v>1120</v>
      </c>
      <c r="BC116" s="0" t="inlineStr">
        <is>
          <t>-</t>
        </is>
      </c>
      <c r="BD116" s="0">
        <f>IFERROR(BC116*AN116,"-")</f>
        <v/>
      </c>
      <c r="BE116" s="0" t="n">
        <v>4017</v>
      </c>
      <c r="BF116" s="0">
        <f>IFERROR(BE116*AN116,"-")</f>
        <v/>
      </c>
      <c r="BG116" s="0" t="inlineStr">
        <is>
          <t>アイリスオーヤマ ラミネートフィルム A4 100枚入150μ LFT-5A4100 1箱(100枚入)</t>
        </is>
      </c>
    </row>
    <row r="117">
      <c r="A117" s="0">
        <f>TEXT(F117,"000000")</f>
        <v/>
      </c>
      <c r="B117" s="3" t="n">
        <v>2</v>
      </c>
      <c r="C117" s="3" t="n">
        <v>2</v>
      </c>
      <c r="D117" s="4" t="n">
        <v>171757</v>
      </c>
      <c r="E117" s="4">
        <f>TEXT(D117,"000000")</f>
        <v/>
      </c>
      <c r="F117" s="4" t="n">
        <v>171757</v>
      </c>
      <c r="G117" s="4">
        <f>E117&amp;J117</f>
        <v/>
      </c>
      <c r="H117" s="4" t="inlineStr">
        <is>
          <t>ｱｲﾘｽｵｰﾔﾏ/ﾗﾐﾈｰﾄﾌｨﾙﾑ A3ｻｲｽﾞ 100μ(ﾐｸﾛﾝ) 100枚入/LZ-A</t>
        </is>
      </c>
      <c r="I117" s="58" t="n">
        <v>4967576643375</v>
      </c>
      <c r="J117" s="58" t="n">
        <v>5</v>
      </c>
      <c r="K117" s="58" t="n"/>
      <c r="L117" s="58" t="n">
        <v>1</v>
      </c>
      <c r="M117" s="58" t="n">
        <v>1</v>
      </c>
      <c r="N117" s="4" t="n">
        <v>0</v>
      </c>
      <c r="O117" s="4" t="n">
        <v>2694</v>
      </c>
      <c r="P117" s="4" t="n">
        <v>1600</v>
      </c>
      <c r="Q117" s="59">
        <f>IFERROR(1-P117/O117,"-")</f>
        <v/>
      </c>
      <c r="R117" s="4" t="n">
        <v>2560</v>
      </c>
      <c r="S117" s="4" t="n">
        <v>4</v>
      </c>
      <c r="T117" s="4" t="n">
        <v>99999</v>
      </c>
      <c r="U117" s="4" t="n">
        <v>0</v>
      </c>
      <c r="V117" s="4">
        <f>IF(Y117="",U117,U117*Y117)</f>
        <v/>
      </c>
      <c r="W117" s="4" t="n">
        <v>1920</v>
      </c>
      <c r="X117" s="4">
        <f>IF(Y117="",W117,W117*Y117)</f>
        <v/>
      </c>
      <c r="Y117" s="4" t="n"/>
      <c r="Z117" s="21">
        <f>ROUND(O117*AN117,0)</f>
        <v/>
      </c>
      <c r="AA117" s="59">
        <f>IFERROR(1-X117/Z117,"-")</f>
        <v/>
      </c>
      <c r="AB117" s="4" t="n">
        <v>24.75</v>
      </c>
      <c r="AC117" s="4">
        <f>AY117</f>
        <v/>
      </c>
      <c r="AD117" s="4">
        <f>IFERROR(AC117*AN117,"-")</f>
        <v/>
      </c>
      <c r="AE117" s="59">
        <f>IFERROR(1-X117/AD117,"-")</f>
        <v/>
      </c>
      <c r="AF117" s="7" t="n">
        <v>2409</v>
      </c>
      <c r="AG117" s="59">
        <f>1-X117/AF117</f>
        <v/>
      </c>
      <c r="AH117" s="4">
        <f>AF117-X117</f>
        <v/>
      </c>
      <c r="AI117" s="28" t="n"/>
      <c r="AJ117" s="59" t="n"/>
      <c r="AK117" s="59" t="n"/>
      <c r="AL117" s="60">
        <f>IFERROR(V117/N117,"-")</f>
        <v/>
      </c>
      <c r="AM117" s="59">
        <f>IFERROR(AF117/O117,"-")</f>
        <v/>
      </c>
      <c r="AN117" s="59">
        <f>IFERROR(X117/P117,"-")</f>
        <v/>
      </c>
      <c r="AO117" s="59">
        <f>IFERROR(1-X117/AP117,"-")</f>
        <v/>
      </c>
      <c r="AP117" s="4" t="n">
        <v>2700</v>
      </c>
      <c r="AQ117" s="4">
        <f>IF(S117="","-",S117)</f>
        <v/>
      </c>
      <c r="AR117" s="4">
        <f>IF(T117="","-",T117)</f>
        <v/>
      </c>
      <c r="AS117" s="4" t="n">
        <v>0</v>
      </c>
      <c r="AT117" s="4" t="inlineStr">
        <is>
          <t>HK93189</t>
        </is>
      </c>
      <c r="AU117" s="4" t="n"/>
      <c r="AV117" s="4" t="n"/>
      <c r="AW117" s="4" t="inlineStr">
        <is>
          <t>1箱</t>
        </is>
      </c>
      <c r="AX117" s="4" t="n">
        <v>2410</v>
      </c>
      <c r="AY117" s="4">
        <f>IF(AU117="",AX117,AU117/AV117*AX117)</f>
        <v/>
      </c>
      <c r="AZ117" s="19" t="n">
        <v>4</v>
      </c>
      <c r="BA117" s="19" t="n">
        <v>1</v>
      </c>
      <c r="BB117" s="16" t="n">
        <v>1120</v>
      </c>
      <c r="BC117" s="0" t="inlineStr">
        <is>
          <t>-</t>
        </is>
      </c>
      <c r="BD117" s="0">
        <f>IFERROR(BC117*AN117,"-")</f>
        <v/>
      </c>
      <c r="BE117" s="0" t="n">
        <v>2375</v>
      </c>
      <c r="BF117" s="0">
        <f>IFERROR(BE117*AN117,"-")</f>
        <v/>
      </c>
      <c r="BG117" s="0" t="inlineStr">
        <is>
          <t>アイリスオーヤマ　ラミネートフィルム　A3サイズ　100μ(ミクロン)　LZ-A3100R　100枚入　1箱</t>
        </is>
      </c>
    </row>
    <row r="118">
      <c r="A118" s="0">
        <f>TEXT(F118,"000000")</f>
        <v/>
      </c>
      <c r="B118" s="3" t="n">
        <v>90</v>
      </c>
      <c r="C118" s="3" t="n">
        <v>90</v>
      </c>
      <c r="D118" s="4" t="n">
        <v>669473</v>
      </c>
      <c r="E118" s="4">
        <f>TEXT(D118,"000000")</f>
        <v/>
      </c>
      <c r="F118" s="4" t="n">
        <v>669473</v>
      </c>
      <c r="G118" s="4">
        <f>E118&amp;J118</f>
        <v/>
      </c>
      <c r="H118" s="4" t="inlineStr">
        <is>
          <t>ｱｲﾘｽｵｰﾔﾏ/ﾗﾐﾈｰﾄﾌｨﾙﾑ 150μ A3ｻｲｽﾞ 50枚/LFT-5A350</t>
        </is>
      </c>
      <c r="I118" s="58" t="n">
        <v>4905009834273</v>
      </c>
      <c r="J118" s="58" t="n">
        <v>5</v>
      </c>
      <c r="K118" s="58" t="n"/>
      <c r="L118" s="58" t="n">
        <v>1</v>
      </c>
      <c r="M118" s="58" t="n">
        <v>1</v>
      </c>
      <c r="N118" s="4" t="n">
        <v>0</v>
      </c>
      <c r="O118" s="4" t="n">
        <v>4135</v>
      </c>
      <c r="P118" s="4" t="n">
        <v>1685</v>
      </c>
      <c r="Q118" s="59">
        <f>IFERROR(1-P118/O118,"-")</f>
        <v/>
      </c>
      <c r="R118" s="4" t="inlineStr">
        <is>
          <t>-</t>
        </is>
      </c>
      <c r="S118" s="4" t="inlineStr">
        <is>
          <t>-</t>
        </is>
      </c>
      <c r="T118" s="4" t="inlineStr">
        <is>
          <t>-</t>
        </is>
      </c>
      <c r="U118" s="4" t="n">
        <v>0</v>
      </c>
      <c r="V118" s="4">
        <f>IF(Y118="",U118,U118*Y118)</f>
        <v/>
      </c>
      <c r="W118" s="4" t="n">
        <v>2022</v>
      </c>
      <c r="X118" s="4">
        <f>IF(Y118="",W118,W118*Y118)</f>
        <v/>
      </c>
      <c r="Y118" s="4" t="n"/>
      <c r="Z118" s="21">
        <f>ROUND(O118*AN118,0)</f>
        <v/>
      </c>
      <c r="AA118" s="59">
        <f>IFERROR(1-X118/Z118,"-")</f>
        <v/>
      </c>
      <c r="AB118" s="4" t="n">
        <v>19.25</v>
      </c>
      <c r="AC118" s="4">
        <f>AY118</f>
        <v/>
      </c>
      <c r="AD118" s="4">
        <f>IFERROR(AC118*AN118,"-")</f>
        <v/>
      </c>
      <c r="AE118" s="59">
        <f>IFERROR(1-X118/AD118,"-")</f>
        <v/>
      </c>
      <c r="AF118" s="7" t="n">
        <v>4136</v>
      </c>
      <c r="AG118" s="59">
        <f>1-X118/AF118</f>
        <v/>
      </c>
      <c r="AH118" s="4">
        <f>AF118-X118</f>
        <v/>
      </c>
      <c r="AI118" s="28" t="n"/>
      <c r="AJ118" s="59" t="n"/>
      <c r="AK118" s="59" t="n"/>
      <c r="AL118" s="59">
        <f>IFERROR(V118/N118,"-")</f>
        <v/>
      </c>
      <c r="AM118" s="59">
        <f>IFERROR(AF118/O118,"-")</f>
        <v/>
      </c>
      <c r="AN118" s="59">
        <f>IFERROR(X118/P118,"-")</f>
        <v/>
      </c>
      <c r="AO118" s="59">
        <f>IFERROR(1-X118/AP118,"-")</f>
        <v/>
      </c>
      <c r="AP118" s="4">
        <f>IFERROR(ROUND($AF118*R118/$O118,0),"-")</f>
        <v/>
      </c>
      <c r="AQ118" s="4">
        <f>IF(S118="","-",S118)</f>
        <v/>
      </c>
      <c r="AR118" s="4">
        <f>IF(T118="","-",T118)</f>
        <v/>
      </c>
      <c r="AS118" s="4" t="inlineStr">
        <is>
          <t>34/363</t>
        </is>
      </c>
      <c r="AT118" s="4" t="inlineStr">
        <is>
          <t>3485059</t>
        </is>
      </c>
      <c r="AU118" s="4" t="n"/>
      <c r="AV118" s="4" t="n"/>
      <c r="AW118" s="4" t="inlineStr">
        <is>
          <t>1箱（50枚入）</t>
        </is>
      </c>
      <c r="AX118" s="4" t="n">
        <v>4137</v>
      </c>
      <c r="AY118" s="4">
        <f>IF(AU118="",AX118,AU118/AV118*AX118)</f>
        <v/>
      </c>
      <c r="AZ118" s="19" t="n">
        <v>4</v>
      </c>
      <c r="BA118" s="19" t="n">
        <v>1</v>
      </c>
      <c r="BB118" s="16" t="n">
        <v>1120</v>
      </c>
      <c r="BC118" s="0" t="inlineStr">
        <is>
          <t>-</t>
        </is>
      </c>
      <c r="BD118" s="0">
        <f>IFERROR(BC118*AN118,"-")</f>
        <v/>
      </c>
      <c r="BE118" s="0" t="n">
        <v>4164</v>
      </c>
      <c r="BF118" s="0">
        <f>IFERROR(BE118*AN118,"-")</f>
        <v/>
      </c>
      <c r="BG118" s="0" t="inlineStr">
        <is>
          <t>アイリスオーヤマ　ラミネートフィルム　A3サイズ　帯電防止剤配合(静電気防止)　150μ(ミクロン)　LFT-5A350　1箱（50枚入）</t>
        </is>
      </c>
    </row>
    <row r="119">
      <c r="A119" s="0">
        <f>TEXT(F119,"000000")</f>
        <v/>
      </c>
      <c r="B119" s="3" t="n">
        <v>51</v>
      </c>
      <c r="C119" s="3" t="n">
        <v>51</v>
      </c>
      <c r="D119" s="4" t="inlineStr">
        <is>
          <t>J20310</t>
        </is>
      </c>
      <c r="E119" s="4">
        <f>TEXT(D119,"000000")</f>
        <v/>
      </c>
      <c r="F119" s="4" t="inlineStr">
        <is>
          <t>J20310</t>
        </is>
      </c>
      <c r="G119" s="4">
        <f>E119&amp;J119</f>
        <v/>
      </c>
      <c r="H119" s="4" t="inlineStr">
        <is>
          <t>ｱｲﾘｽｵｰﾔﾏ/ﾗﾐﾈｰﾄﾌｨﾙﾑ B5ｻｲｽﾞ 150μ(ﾐｸﾛﾝ) 100枚入/LZ-5</t>
        </is>
      </c>
      <c r="I119" s="58" t="n">
        <v>4905009427499</v>
      </c>
      <c r="J119" s="58" t="n">
        <v>5</v>
      </c>
      <c r="K119" s="58" t="n"/>
      <c r="L119" s="58" t="n">
        <v>1</v>
      </c>
      <c r="M119" s="58" t="n">
        <v>1</v>
      </c>
      <c r="N119" s="4" t="n">
        <v>0</v>
      </c>
      <c r="O119" s="4" t="n">
        <v>2918</v>
      </c>
      <c r="P119" s="4" t="n">
        <v>1700</v>
      </c>
      <c r="Q119" s="59">
        <f>IFERROR(1-P119/O119,"-")</f>
        <v/>
      </c>
      <c r="R119" s="4" t="inlineStr">
        <is>
          <t>-</t>
        </is>
      </c>
      <c r="S119" s="4" t="inlineStr">
        <is>
          <t>-</t>
        </is>
      </c>
      <c r="T119" s="4" t="inlineStr">
        <is>
          <t>-</t>
        </is>
      </c>
      <c r="U119" s="4" t="n">
        <v>0</v>
      </c>
      <c r="V119" s="4">
        <f>IF(Y119="",U119,U119*Y119)</f>
        <v/>
      </c>
      <c r="W119" s="4" t="n">
        <v>2040</v>
      </c>
      <c r="X119" s="4">
        <f>IF(Y119="",W119,W119*Y119)</f>
        <v/>
      </c>
      <c r="Y119" s="4" t="n"/>
      <c r="Z119" s="21">
        <f>ROUND(O119*AN119,0)</f>
        <v/>
      </c>
      <c r="AA119" s="59">
        <f>IFERROR(1-X119/Z119,"-")</f>
        <v/>
      </c>
      <c r="AB119" s="4" t="n">
        <v>0.75</v>
      </c>
      <c r="AC119" s="4">
        <f>AY119</f>
        <v/>
      </c>
      <c r="AD119" s="4">
        <f>IFERROR(AC119*AN119,"-")</f>
        <v/>
      </c>
      <c r="AE119" s="59">
        <f>IFERROR(1-X119/AD119,"-")</f>
        <v/>
      </c>
      <c r="AF119" s="7" t="n">
        <v>2918</v>
      </c>
      <c r="AG119" s="59">
        <f>1-X119/AF119</f>
        <v/>
      </c>
      <c r="AH119" s="4">
        <f>AF119-X119</f>
        <v/>
      </c>
      <c r="AI119" s="28" t="n"/>
      <c r="AJ119" s="59" t="n"/>
      <c r="AK119" s="59" t="n"/>
      <c r="AL119" s="59">
        <f>IFERROR(V119/N119,"-")</f>
        <v/>
      </c>
      <c r="AM119" s="59">
        <f>IFERROR(AF119/O119,"-")</f>
        <v/>
      </c>
      <c r="AN119" s="59">
        <f>IFERROR(X119/P119,"-")</f>
        <v/>
      </c>
      <c r="AO119" s="59">
        <f>IFERROR(1-X119/AP119,"-")</f>
        <v/>
      </c>
      <c r="AP119" s="4">
        <f>IFERROR(ROUND($AF119*R119/$O119,0),"-")</f>
        <v/>
      </c>
      <c r="AQ119" s="4">
        <f>IF(S119="","-",S119)</f>
        <v/>
      </c>
      <c r="AR119" s="4">
        <f>IF(T119="","-",T119)</f>
        <v/>
      </c>
      <c r="AS119" s="4" t="n">
        <v>0</v>
      </c>
      <c r="AT119" s="4" t="inlineStr">
        <is>
          <t>-</t>
        </is>
      </c>
      <c r="AU119" s="4" t="n"/>
      <c r="AV119" s="4" t="n"/>
      <c r="AW119" s="4" t="inlineStr">
        <is>
          <t>-</t>
        </is>
      </c>
      <c r="AX119" s="4" t="inlineStr">
        <is>
          <t>-</t>
        </is>
      </c>
      <c r="AY119" s="4">
        <f>IF(AU119="",AX119,AU119/AV119*AX119)</f>
        <v/>
      </c>
      <c r="AZ119" s="19" t="n">
        <v>4</v>
      </c>
      <c r="BA119" s="19" t="n">
        <v>8</v>
      </c>
      <c r="BB119" s="16" t="n">
        <v>1120</v>
      </c>
      <c r="BC119" s="0" t="inlineStr">
        <is>
          <t>-</t>
        </is>
      </c>
      <c r="BD119" s="0">
        <f>IFERROR(BC119*AN119,"-")</f>
        <v/>
      </c>
      <c r="BE119" s="0" t="n">
        <v>3228</v>
      </c>
      <c r="BF119" s="0">
        <f>IFERROR(BE119*AN119,"-")</f>
        <v/>
      </c>
      <c r="BG119" s="0" t="inlineStr">
        <is>
          <t>-</t>
        </is>
      </c>
    </row>
    <row r="120">
      <c r="A120" s="0">
        <f>TEXT(F120,"000000")</f>
        <v/>
      </c>
      <c r="B120" s="3" t="n">
        <v>87</v>
      </c>
      <c r="C120" s="3" t="n">
        <v>87</v>
      </c>
      <c r="D120" s="4" t="n">
        <v>669470</v>
      </c>
      <c r="E120" s="4">
        <f>TEXT(D120,"000000")</f>
        <v/>
      </c>
      <c r="F120" s="4" t="n">
        <v>669470</v>
      </c>
      <c r="G120" s="4">
        <f>E120&amp;J120</f>
        <v/>
      </c>
      <c r="H120" s="4" t="inlineStr">
        <is>
          <t>ｱｲﾘｽｵｰﾔﾏ/ﾗﾐﾈｰﾄﾌｨﾙﾑ 150μ B5ｻｲｽﾞ100枚/LFT-5B5100</t>
        </is>
      </c>
      <c r="I120" s="58" t="n">
        <v>4905009834242</v>
      </c>
      <c r="J120" s="58" t="n">
        <v>5</v>
      </c>
      <c r="K120" s="58" t="n"/>
      <c r="L120" s="58" t="n">
        <v>1</v>
      </c>
      <c r="M120" s="58" t="n">
        <v>1</v>
      </c>
      <c r="N120" s="4" t="n">
        <v>0</v>
      </c>
      <c r="O120" s="4" t="n">
        <v>3828</v>
      </c>
      <c r="P120" s="4" t="n">
        <v>1740</v>
      </c>
      <c r="Q120" s="59">
        <f>IFERROR(1-P120/O120,"-")</f>
        <v/>
      </c>
      <c r="R120" s="4" t="inlineStr">
        <is>
          <t>-</t>
        </is>
      </c>
      <c r="S120" s="4" t="inlineStr">
        <is>
          <t>-</t>
        </is>
      </c>
      <c r="T120" s="4" t="inlineStr">
        <is>
          <t>-</t>
        </is>
      </c>
      <c r="U120" s="4" t="n">
        <v>0</v>
      </c>
      <c r="V120" s="4">
        <f>IF(Y120="",U120,U120*Y120)</f>
        <v/>
      </c>
      <c r="W120" s="4" t="n">
        <v>2088</v>
      </c>
      <c r="X120" s="4">
        <f>IF(Y120="",W120,W120*Y120)</f>
        <v/>
      </c>
      <c r="Y120" s="4" t="n"/>
      <c r="Z120" s="21">
        <f>ROUND(O120*AN120,0)</f>
        <v/>
      </c>
      <c r="AA120" s="59">
        <f>IFERROR(1-X120/Z120,"-")</f>
        <v/>
      </c>
      <c r="AB120" s="4" t="n">
        <v>1</v>
      </c>
      <c r="AC120" s="4">
        <f>AY120</f>
        <v/>
      </c>
      <c r="AD120" s="4">
        <f>IFERROR(AC120*AN120,"-")</f>
        <v/>
      </c>
      <c r="AE120" s="59">
        <f>IFERROR(1-X120/AD120,"-")</f>
        <v/>
      </c>
      <c r="AF120" s="7" t="n">
        <v>3362</v>
      </c>
      <c r="AG120" s="59">
        <f>1-X120/AF120</f>
        <v/>
      </c>
      <c r="AH120" s="4">
        <f>AF120-X120</f>
        <v/>
      </c>
      <c r="AI120" s="28" t="n"/>
      <c r="AJ120" s="59" t="n"/>
      <c r="AK120" s="59" t="n"/>
      <c r="AL120" s="59">
        <f>IFERROR(V120/N120,"-")</f>
        <v/>
      </c>
      <c r="AM120" s="59">
        <f>IFERROR(AF120/O120,"-")</f>
        <v/>
      </c>
      <c r="AN120" s="59">
        <f>IFERROR(X120/P120,"-")</f>
        <v/>
      </c>
      <c r="AO120" s="59">
        <f>IFERROR(1-X120/AP120,"-")</f>
        <v/>
      </c>
      <c r="AP120" s="4">
        <f>IFERROR(ROUND($AF120*R120/$O120,0),"-")</f>
        <v/>
      </c>
      <c r="AQ120" s="4">
        <f>IF(S120="","-",S120)</f>
        <v/>
      </c>
      <c r="AR120" s="4">
        <f>IF(T120="","-",T120)</f>
        <v/>
      </c>
      <c r="AS120" s="4" t="inlineStr">
        <is>
          <t>34/363</t>
        </is>
      </c>
      <c r="AT120" s="4" t="inlineStr">
        <is>
          <t>3485139</t>
        </is>
      </c>
      <c r="AU120" s="4" t="n"/>
      <c r="AV120" s="4" t="n"/>
      <c r="AW120" s="4" t="inlineStr">
        <is>
          <t>1箱（100枚入）</t>
        </is>
      </c>
      <c r="AX120" s="4" t="n">
        <v>3363</v>
      </c>
      <c r="AY120" s="4">
        <f>IF(AU120="",AX120,AU120/AV120*AX120)</f>
        <v/>
      </c>
      <c r="AZ120" s="19" t="n">
        <v>4</v>
      </c>
      <c r="BA120" s="19" t="n">
        <v>1</v>
      </c>
      <c r="BB120" s="16" t="n">
        <v>1120</v>
      </c>
      <c r="BC120" s="0" t="inlineStr">
        <is>
          <t>-</t>
        </is>
      </c>
      <c r="BD120" s="0">
        <f>IFERROR(BC120*AN120,"-")</f>
        <v/>
      </c>
      <c r="BE120" s="0" t="n">
        <v>5232</v>
      </c>
      <c r="BF120" s="0">
        <f>IFERROR(BE120*AN120,"-")</f>
        <v/>
      </c>
      <c r="BG120" s="0" t="inlineStr">
        <is>
          <t>アイリスオーヤマ ラミネートフィルム B5 100枚入150μ LFT-5B5100 1箱(100枚入)</t>
        </is>
      </c>
    </row>
    <row r="121">
      <c r="A121" s="0">
        <f>TEXT(F121,"000000")</f>
        <v/>
      </c>
      <c r="B121" s="3" t="n">
        <v>24</v>
      </c>
      <c r="C121" s="3" t="n">
        <v>24</v>
      </c>
      <c r="D121" s="4" t="n">
        <v>671665</v>
      </c>
      <c r="E121" s="4">
        <f>TEXT(D121,"000000")</f>
        <v/>
      </c>
      <c r="F121" s="4" t="n">
        <v>671665</v>
      </c>
      <c r="G121" s="4">
        <f>E121&amp;J121</f>
        <v/>
      </c>
      <c r="H121" s="4" t="inlineStr">
        <is>
          <t>ｱｲﾘｽｵｰﾔﾏ/ﾗﾐﾈｰﾄﾌｨﾙﾑ B4ｻｲｽﾞ 250μ(ﾐｸﾛﾝ) 50枚入/LZ-25</t>
        </is>
      </c>
      <c r="I121" s="58" t="n">
        <v>4905009715541</v>
      </c>
      <c r="J121" s="58" t="n">
        <v>5</v>
      </c>
      <c r="K121" s="58" t="n"/>
      <c r="L121" s="58" t="n">
        <v>1</v>
      </c>
      <c r="M121" s="58" t="n">
        <v>1</v>
      </c>
      <c r="N121" s="4" t="n">
        <v>0</v>
      </c>
      <c r="O121" s="4" t="n">
        <v>3534</v>
      </c>
      <c r="P121" s="4" t="n">
        <v>1800</v>
      </c>
      <c r="Q121" s="59">
        <f>IFERROR(1-P121/O121,"-")</f>
        <v/>
      </c>
      <c r="R121" s="4" t="inlineStr">
        <is>
          <t>-</t>
        </is>
      </c>
      <c r="S121" s="4" t="inlineStr">
        <is>
          <t>-</t>
        </is>
      </c>
      <c r="T121" s="4" t="inlineStr">
        <is>
          <t>-</t>
        </is>
      </c>
      <c r="U121" s="4" t="n">
        <v>0</v>
      </c>
      <c r="V121" s="4">
        <f>IF(Y121="",U121,U121*Y121)</f>
        <v/>
      </c>
      <c r="W121" s="4" t="n">
        <v>2160</v>
      </c>
      <c r="X121" s="4">
        <f>IF(Y121="",W121,W121*Y121)</f>
        <v/>
      </c>
      <c r="Y121" s="4" t="n"/>
      <c r="Z121" s="21">
        <f>ROUND(O121*AN121,0)</f>
        <v/>
      </c>
      <c r="AA121" s="59">
        <f>IFERROR(1-X121/Z121,"-")</f>
        <v/>
      </c>
      <c r="AB121" s="4" t="n">
        <v>1</v>
      </c>
      <c r="AC121" s="4">
        <f>AY121</f>
        <v/>
      </c>
      <c r="AD121" s="4">
        <f>IFERROR(AC121*AN121,"-")</f>
        <v/>
      </c>
      <c r="AE121" s="59">
        <f>IFERROR(1-X121/AD121,"-")</f>
        <v/>
      </c>
      <c r="AF121" s="7" t="n">
        <v>3499</v>
      </c>
      <c r="AG121" s="59">
        <f>1-X121/AF121</f>
        <v/>
      </c>
      <c r="AH121" s="4">
        <f>AF121-X121</f>
        <v/>
      </c>
      <c r="AI121" s="28" t="n"/>
      <c r="AJ121" s="59" t="n"/>
      <c r="AK121" s="59" t="n"/>
      <c r="AL121" s="59">
        <f>IFERROR(V121/N121,"-")</f>
        <v/>
      </c>
      <c r="AM121" s="59">
        <f>IFERROR(AF121/O121,"-")</f>
        <v/>
      </c>
      <c r="AN121" s="59">
        <f>IFERROR(X121/P121,"-")</f>
        <v/>
      </c>
      <c r="AO121" s="59">
        <f>IFERROR(1-X121/AP121,"-")</f>
        <v/>
      </c>
      <c r="AP121" s="4">
        <f>IFERROR(ROUND($AF121*R121/$O121,0),"-")</f>
        <v/>
      </c>
      <c r="AQ121" s="4">
        <f>IF(S121="","-",S121)</f>
        <v/>
      </c>
      <c r="AR121" s="4">
        <f>IF(T121="","-",T121)</f>
        <v/>
      </c>
      <c r="AS121" s="4" t="inlineStr">
        <is>
          <t>34/364</t>
        </is>
      </c>
      <c r="AT121" s="4" t="inlineStr">
        <is>
          <t>352765</t>
        </is>
      </c>
      <c r="AU121" s="4" t="n"/>
      <c r="AV121" s="4" t="n"/>
      <c r="AW121" s="4" t="inlineStr">
        <is>
          <t>1箱（50枚入）</t>
        </is>
      </c>
      <c r="AX121" s="4" t="n">
        <v>3500</v>
      </c>
      <c r="AY121" s="4">
        <f>IF(AU121="",AX121,AU121/AV121*AX121)</f>
        <v/>
      </c>
      <c r="AZ121" s="19" t="n">
        <v>4</v>
      </c>
      <c r="BA121" s="19" t="n">
        <v>1</v>
      </c>
      <c r="BB121" s="16" t="n">
        <v>1120</v>
      </c>
      <c r="BC121" s="0" t="inlineStr">
        <is>
          <t>-</t>
        </is>
      </c>
      <c r="BD121" s="0">
        <f>IFERROR(BC121*AN121,"-")</f>
        <v/>
      </c>
      <c r="BE121" s="0" t="n">
        <v>3500</v>
      </c>
      <c r="BF121" s="0">
        <f>IFERROR(BE121*AN121,"-")</f>
        <v/>
      </c>
      <c r="BG121" s="0" t="inlineStr">
        <is>
          <t>アイリスオーヤマ　ラミネートフィルム　B4サイズ　250μ(ミクロン)　LZ-25B450　1箱（50枚入）</t>
        </is>
      </c>
    </row>
    <row r="122">
      <c r="A122" s="0">
        <f>TEXT(F122,"000000")</f>
        <v/>
      </c>
      <c r="B122" s="3" t="n">
        <v>54</v>
      </c>
      <c r="C122" s="3" t="n">
        <v>54</v>
      </c>
      <c r="D122" s="4" t="inlineStr">
        <is>
          <t>J20311</t>
        </is>
      </c>
      <c r="E122" s="4">
        <f>TEXT(D122,"000000")</f>
        <v/>
      </c>
      <c r="F122" s="4" t="inlineStr">
        <is>
          <t>J20311</t>
        </is>
      </c>
      <c r="G122" s="4">
        <f>E122&amp;J122</f>
        <v/>
      </c>
      <c r="H122" s="4" t="inlineStr">
        <is>
          <t>ｱｲﾘｽｵｰﾔﾏ/ﾗﾐﾈｰﾄﾌｨﾙﾑ A4ｻｲｽﾞ 150μ(ﾐｸﾛﾝ) 100枚入/LZ-5</t>
        </is>
      </c>
      <c r="I122" s="58" t="n">
        <v>4905009427505</v>
      </c>
      <c r="J122" s="58" t="n">
        <v>5</v>
      </c>
      <c r="K122" s="58" t="n"/>
      <c r="L122" s="58" t="n">
        <v>1</v>
      </c>
      <c r="M122" s="58" t="n">
        <v>1</v>
      </c>
      <c r="N122" s="4" t="n">
        <v>0</v>
      </c>
      <c r="O122" s="4" t="n">
        <v>2480</v>
      </c>
      <c r="P122" s="4" t="n">
        <v>1800</v>
      </c>
      <c r="Q122" s="59">
        <f>IFERROR(1-P122/O122,"-")</f>
        <v/>
      </c>
      <c r="R122" s="4" t="inlineStr">
        <is>
          <t>-</t>
        </is>
      </c>
      <c r="S122" s="4" t="inlineStr">
        <is>
          <t>-</t>
        </is>
      </c>
      <c r="T122" s="4" t="inlineStr">
        <is>
          <t>-</t>
        </is>
      </c>
      <c r="U122" s="4" t="n">
        <v>0</v>
      </c>
      <c r="V122" s="4">
        <f>IF(Y122="",U122,U122*Y122)</f>
        <v/>
      </c>
      <c r="W122" s="4" t="n">
        <v>2160</v>
      </c>
      <c r="X122" s="4">
        <f>IF(Y122="",W122,W122*Y122)</f>
        <v/>
      </c>
      <c r="Y122" s="4" t="n"/>
      <c r="Z122" s="21">
        <f>ROUND(O122*AN122,0)</f>
        <v/>
      </c>
      <c r="AA122" s="59">
        <f>IFERROR(1-X122/Z122,"-")</f>
        <v/>
      </c>
      <c r="AB122" s="4" t="n">
        <v>14.5</v>
      </c>
      <c r="AC122" s="4">
        <f>AY122</f>
        <v/>
      </c>
      <c r="AD122" s="4">
        <f>IFERROR(AC122*AN122,"-")</f>
        <v/>
      </c>
      <c r="AE122" s="59">
        <f>IFERROR(1-X122/AD122,"-")</f>
        <v/>
      </c>
      <c r="AF122" s="7" t="n">
        <v>2873</v>
      </c>
      <c r="AG122" s="59">
        <f>1-X122/AF122</f>
        <v/>
      </c>
      <c r="AH122" s="4">
        <f>AF122-X122</f>
        <v/>
      </c>
      <c r="AI122" s="28" t="n"/>
      <c r="AJ122" s="59" t="n"/>
      <c r="AK122" s="59" t="n"/>
      <c r="AL122" s="59">
        <f>IFERROR(V122/N122,"-")</f>
        <v/>
      </c>
      <c r="AM122" s="59">
        <f>IFERROR(AF122/O122,"-")</f>
        <v/>
      </c>
      <c r="AN122" s="59">
        <f>IFERROR(X122/P122,"-")</f>
        <v/>
      </c>
      <c r="AO122" s="59">
        <f>IFERROR(1-X122/AP122,"-")</f>
        <v/>
      </c>
      <c r="AP122" s="4">
        <f>IFERROR(ROUND($AF122*R122/$O122,0),"-")</f>
        <v/>
      </c>
      <c r="AQ122" s="4">
        <f>IF(S122="","-",S122)</f>
        <v/>
      </c>
      <c r="AR122" s="4">
        <f>IF(T122="","-",T122)</f>
        <v/>
      </c>
      <c r="AS122" s="4" t="n">
        <v>0</v>
      </c>
      <c r="AT122" s="4" t="inlineStr">
        <is>
          <t>H652160</t>
        </is>
      </c>
      <c r="AU122" s="4" t="n"/>
      <c r="AV122" s="4" t="n"/>
      <c r="AW122" s="4" t="inlineStr">
        <is>
          <t>1個</t>
        </is>
      </c>
      <c r="AX122" s="4" t="n">
        <v>2874</v>
      </c>
      <c r="AY122" s="4">
        <f>IF(AU122="",AX122,AU122/AV122*AX122)</f>
        <v/>
      </c>
      <c r="AZ122" s="19" t="n">
        <v>4</v>
      </c>
      <c r="BA122" s="19" t="n">
        <v>1</v>
      </c>
      <c r="BB122" s="16" t="n">
        <v>1120</v>
      </c>
      <c r="BC122" s="0" t="inlineStr">
        <is>
          <t>-</t>
        </is>
      </c>
      <c r="BD122" s="0">
        <f>IFERROR(BC122*AN122,"-")</f>
        <v/>
      </c>
      <c r="BE122" s="0" t="n">
        <v>3690</v>
      </c>
      <c r="BF122" s="0">
        <f>IFERROR(BE122*AN122,"-")</f>
        <v/>
      </c>
      <c r="BG122" s="0" t="inlineStr">
        <is>
          <t>アイリスオーヤマ　ラミネートフィルム　A4サイズ　150μ(ミクロン)　LZ-5A4100　100枚入　1個</t>
        </is>
      </c>
    </row>
    <row r="123">
      <c r="A123" s="0">
        <f>TEXT(F123,"000000")</f>
        <v/>
      </c>
      <c r="B123" s="3" t="n">
        <v>94</v>
      </c>
      <c r="C123" s="3" t="n">
        <v>94</v>
      </c>
      <c r="D123" s="4" t="inlineStr">
        <is>
          <t>J353WE</t>
        </is>
      </c>
      <c r="E123" s="4">
        <f>TEXT(D123,"000000")</f>
        <v/>
      </c>
      <c r="F123" s="4" t="inlineStr">
        <is>
          <t>J353WE</t>
        </is>
      </c>
      <c r="G123" s="4">
        <f>E123&amp;J123</f>
        <v/>
      </c>
      <c r="H123" s="4" t="inlineStr">
        <is>
          <t>ｱｲﾘｽｵｰﾔﾏ/ﾗﾐﾈｰﾄﾌｨﾙﾑ A4横 50枚 250μ/LFTY-25A450</t>
        </is>
      </c>
      <c r="I123" s="58" t="n">
        <v>4905009834280</v>
      </c>
      <c r="J123" s="58" t="n">
        <v>5</v>
      </c>
      <c r="K123" s="58" t="n"/>
      <c r="L123" s="58" t="n">
        <v>1</v>
      </c>
      <c r="M123" s="58" t="n">
        <v>1</v>
      </c>
      <c r="N123" s="4" t="n">
        <v>0</v>
      </c>
      <c r="O123" s="4" t="n">
        <v>3200</v>
      </c>
      <c r="P123" s="4" t="n">
        <v>1800</v>
      </c>
      <c r="Q123" s="59">
        <f>IFERROR(1-P123/O123,"-")</f>
        <v/>
      </c>
      <c r="R123" s="4" t="inlineStr">
        <is>
          <t>-</t>
        </is>
      </c>
      <c r="S123" s="4" t="inlineStr">
        <is>
          <t>-</t>
        </is>
      </c>
      <c r="T123" s="4" t="inlineStr">
        <is>
          <t>-</t>
        </is>
      </c>
      <c r="U123" s="4" t="n">
        <v>0</v>
      </c>
      <c r="V123" s="4">
        <f>IF(Y123="",U123,U123*Y123)</f>
        <v/>
      </c>
      <c r="W123" s="4" t="n">
        <v>2160</v>
      </c>
      <c r="X123" s="4">
        <f>IF(Y123="",W123,W123*Y123)</f>
        <v/>
      </c>
      <c r="Y123" s="4" t="n"/>
      <c r="Z123" s="21">
        <f>ROUND(O123*AN123,0)</f>
        <v/>
      </c>
      <c r="AA123" s="59">
        <f>IFERROR(1-X123/Z123,"-")</f>
        <v/>
      </c>
      <c r="AB123" s="4" t="n">
        <v>0.25</v>
      </c>
      <c r="AC123" s="4">
        <f>AY123</f>
        <v/>
      </c>
      <c r="AD123" s="4">
        <f>IFERROR(AC123*AN123,"-")</f>
        <v/>
      </c>
      <c r="AE123" s="59">
        <f>IFERROR(1-X123/AD123,"-")</f>
        <v/>
      </c>
      <c r="AF123" s="7" t="n">
        <v>3139</v>
      </c>
      <c r="AG123" s="59">
        <f>1-X123/AF123</f>
        <v/>
      </c>
      <c r="AH123" s="4">
        <f>AF123-X123</f>
        <v/>
      </c>
      <c r="AI123" s="28" t="n"/>
      <c r="AJ123" s="59" t="n"/>
      <c r="AK123" s="59" t="n"/>
      <c r="AL123" s="59">
        <f>IFERROR(V123/N123,"-")</f>
        <v/>
      </c>
      <c r="AM123" s="59">
        <f>IFERROR(AF123/O123,"-")</f>
        <v/>
      </c>
      <c r="AN123" s="59">
        <f>IFERROR(X123/P123,"-")</f>
        <v/>
      </c>
      <c r="AO123" s="59">
        <f>IFERROR(1-X123/AP123,"-")</f>
        <v/>
      </c>
      <c r="AP123" s="4">
        <f>IFERROR(ROUND($AF123*R123/$O123,0),"-")</f>
        <v/>
      </c>
      <c r="AQ123" s="4">
        <f>IF(S123="","-",S123)</f>
        <v/>
      </c>
      <c r="AR123" s="4">
        <f>IF(T123="","-",T123)</f>
        <v/>
      </c>
      <c r="AS123" s="4" t="n">
        <v>0</v>
      </c>
      <c r="AT123" s="4" t="inlineStr">
        <is>
          <t>3485101</t>
        </is>
      </c>
      <c r="AU123" s="4" t="n"/>
      <c r="AV123" s="4" t="n"/>
      <c r="AW123" s="4" t="inlineStr">
        <is>
          <t>1箱（50枚入）</t>
        </is>
      </c>
      <c r="AX123" s="4" t="n">
        <v>3140</v>
      </c>
      <c r="AY123" s="4">
        <f>IF(AU123="",AX123,AU123/AV123*AX123)</f>
        <v/>
      </c>
      <c r="AZ123" s="19" t="n">
        <v>4</v>
      </c>
      <c r="BA123" s="19" t="n">
        <v>1</v>
      </c>
      <c r="BB123" s="16" t="n">
        <v>1120</v>
      </c>
      <c r="BC123" s="0" t="n">
        <v>3140</v>
      </c>
      <c r="BD123" s="0">
        <f>IFERROR(BC123*AN123,"-")</f>
        <v/>
      </c>
      <c r="BE123" s="0" t="n">
        <v>2362</v>
      </c>
      <c r="BF123" s="0">
        <f>IFERROR(BE123*AN123,"-")</f>
        <v/>
      </c>
      <c r="BG123" s="0" t="inlineStr">
        <is>
          <t>アイリスオーヤマ ラミネートフィルム横型 A4 50枚入250μ LFTY-25A450(539614) 1箱(50枚入)</t>
        </is>
      </c>
    </row>
    <row r="124">
      <c r="A124" s="0">
        <f>TEXT(F124,"000000")</f>
        <v/>
      </c>
      <c r="B124" s="3" t="n">
        <v>56</v>
      </c>
      <c r="C124" s="3" t="n">
        <v>56</v>
      </c>
      <c r="D124" s="4" t="inlineStr">
        <is>
          <t>J20313</t>
        </is>
      </c>
      <c r="E124" s="4">
        <f>TEXT(D124,"000000")</f>
        <v/>
      </c>
      <c r="F124" s="4" t="inlineStr">
        <is>
          <t>J20313</t>
        </is>
      </c>
      <c r="G124" s="4">
        <f>E124&amp;J124</f>
        <v/>
      </c>
      <c r="H124" s="4" t="inlineStr">
        <is>
          <t>ｱｲﾘｽｵｰﾔﾏ/ﾗﾐﾈｰﾄﾌｨﾙﾑ A3ｻｲｽﾞ 150μ(ﾐｸﾛﾝ) 50枚入/LZ-5A</t>
        </is>
      </c>
      <c r="I124" s="58" t="n">
        <v>4905009427529</v>
      </c>
      <c r="J124" s="58" t="n">
        <v>5</v>
      </c>
      <c r="K124" s="58" t="n"/>
      <c r="L124" s="58" t="n">
        <v>1</v>
      </c>
      <c r="M124" s="58" t="n">
        <v>1</v>
      </c>
      <c r="N124" s="4" t="n">
        <v>0</v>
      </c>
      <c r="O124" s="4" t="n">
        <v>2580</v>
      </c>
      <c r="P124" s="4" t="n">
        <v>1900</v>
      </c>
      <c r="Q124" s="59">
        <f>IFERROR(1-P124/O124,"-")</f>
        <v/>
      </c>
      <c r="R124" s="4" t="inlineStr">
        <is>
          <t>-</t>
        </is>
      </c>
      <c r="S124" s="4" t="inlineStr">
        <is>
          <t>-</t>
        </is>
      </c>
      <c r="T124" s="4" t="inlineStr">
        <is>
          <t>-</t>
        </is>
      </c>
      <c r="U124" s="4" t="n">
        <v>0</v>
      </c>
      <c r="V124" s="4">
        <f>IF(Y124="",U124,U124*Y124)</f>
        <v/>
      </c>
      <c r="W124" s="4" t="n">
        <v>2280</v>
      </c>
      <c r="X124" s="4">
        <f>IF(Y124="",W124,W124*Y124)</f>
        <v/>
      </c>
      <c r="Y124" s="4" t="n"/>
      <c r="Z124" s="21">
        <f>ROUND(O124*AN124,0)</f>
        <v/>
      </c>
      <c r="AA124" s="59">
        <f>IFERROR(1-X124/Z124,"-")</f>
        <v/>
      </c>
      <c r="AB124" s="4" t="n">
        <v>9.75</v>
      </c>
      <c r="AC124" s="4">
        <f>AY124</f>
        <v/>
      </c>
      <c r="AD124" s="4">
        <f>IFERROR(AC124*AN124,"-")</f>
        <v/>
      </c>
      <c r="AE124" s="59">
        <f>IFERROR(1-X124/AD124,"-")</f>
        <v/>
      </c>
      <c r="AF124" s="7" t="n">
        <v>2854</v>
      </c>
      <c r="AG124" s="59">
        <f>1-X124/AF124</f>
        <v/>
      </c>
      <c r="AH124" s="4">
        <f>AF124-X124</f>
        <v/>
      </c>
      <c r="AI124" s="28" t="n"/>
      <c r="AJ124" s="59" t="n"/>
      <c r="AK124" s="59" t="n"/>
      <c r="AL124" s="59">
        <f>IFERROR(V124/N124,"-")</f>
        <v/>
      </c>
      <c r="AM124" s="59">
        <f>IFERROR(AF124/O124,"-")</f>
        <v/>
      </c>
      <c r="AN124" s="59">
        <f>IFERROR(X124/P124,"-")</f>
        <v/>
      </c>
      <c r="AO124" s="59">
        <f>IFERROR(1-X124/AP124,"-")</f>
        <v/>
      </c>
      <c r="AP124" s="4">
        <f>IFERROR(ROUND($AF124*R124/$O124,0),"-")</f>
        <v/>
      </c>
      <c r="AQ124" s="4">
        <f>IF(S124="","-",S124)</f>
        <v/>
      </c>
      <c r="AR124" s="4">
        <f>IF(T124="","-",T124)</f>
        <v/>
      </c>
      <c r="AS124" s="4" t="n">
        <v>0</v>
      </c>
      <c r="AT124" s="4" t="inlineStr">
        <is>
          <t>5997600</t>
        </is>
      </c>
      <c r="AU124" s="4" t="n"/>
      <c r="AV124" s="4" t="n"/>
      <c r="AW124" s="4" t="inlineStr">
        <is>
          <t>1箱（50枚入）</t>
        </is>
      </c>
      <c r="AX124" s="4" t="n">
        <v>2855</v>
      </c>
      <c r="AY124" s="4">
        <f>IF(AU124="",AX124,AU124/AV124*AX124)</f>
        <v/>
      </c>
      <c r="AZ124" s="19" t="n">
        <v>4</v>
      </c>
      <c r="BA124" s="19" t="n">
        <v>1</v>
      </c>
      <c r="BB124" s="16" t="n">
        <v>1120</v>
      </c>
      <c r="BC124" s="0" t="inlineStr">
        <is>
          <t>-</t>
        </is>
      </c>
      <c r="BD124" s="0">
        <f>IFERROR(BC124*AN124,"-")</f>
        <v/>
      </c>
      <c r="BE124" s="0" t="n">
        <v>3610</v>
      </c>
      <c r="BF124" s="0">
        <f>IFERROR(BE124*AN124,"-")</f>
        <v/>
      </c>
      <c r="BG124" s="0" t="inlineStr">
        <is>
          <t>アイリスオーヤマ　ラミネートフィルム　A3サイズ　150μ(ミクロン)　LZ-5A350　1箱（50枚入）</t>
        </is>
      </c>
    </row>
    <row r="125">
      <c r="A125" s="0">
        <f>TEXT(F125,"000000")</f>
        <v/>
      </c>
      <c r="B125" s="3" t="n">
        <v>25</v>
      </c>
      <c r="C125" s="3" t="n">
        <v>25</v>
      </c>
      <c r="D125" s="4" t="n">
        <v>671666</v>
      </c>
      <c r="E125" s="4">
        <f>TEXT(D125,"000000")</f>
        <v/>
      </c>
      <c r="F125" s="4" t="n">
        <v>671666</v>
      </c>
      <c r="G125" s="4">
        <f>E125&amp;J125</f>
        <v/>
      </c>
      <c r="H125" s="4" t="inlineStr">
        <is>
          <t>ｱｲﾘｽｵｰﾔﾏ/ﾗﾐﾈｰﾄﾌｨﾙﾑ A3ｻｲｽﾞ 250μ(ﾐｸﾛﾝ) 50枚入/LZ-25</t>
        </is>
      </c>
      <c r="I125" s="58" t="n">
        <v>4905009715558</v>
      </c>
      <c r="J125" s="58" t="n">
        <v>5</v>
      </c>
      <c r="K125" s="58" t="n"/>
      <c r="L125" s="58" t="n">
        <v>1</v>
      </c>
      <c r="M125" s="58" t="n">
        <v>1</v>
      </c>
      <c r="N125" s="4" t="n">
        <v>0</v>
      </c>
      <c r="O125" s="4" t="n">
        <v>3359</v>
      </c>
      <c r="P125" s="4" t="n">
        <v>1996</v>
      </c>
      <c r="Q125" s="59">
        <f>IFERROR(1-P125/O125,"-")</f>
        <v/>
      </c>
      <c r="R125" s="4" t="inlineStr">
        <is>
          <t>-</t>
        </is>
      </c>
      <c r="S125" s="4" t="inlineStr">
        <is>
          <t>-</t>
        </is>
      </c>
      <c r="T125" s="4" t="inlineStr">
        <is>
          <t>-</t>
        </is>
      </c>
      <c r="U125" s="4" t="n">
        <v>0</v>
      </c>
      <c r="V125" s="4">
        <f>IF(Y125="",U125,U125*Y125)</f>
        <v/>
      </c>
      <c r="W125" s="4" t="n">
        <v>2395</v>
      </c>
      <c r="X125" s="4">
        <f>IF(Y125="",W125,W125*Y125)</f>
        <v/>
      </c>
      <c r="Y125" s="4" t="n"/>
      <c r="Z125" s="21">
        <f>ROUND(O125*AN125,0)</f>
        <v/>
      </c>
      <c r="AA125" s="59">
        <f>IFERROR(1-X125/Z125,"-")</f>
        <v/>
      </c>
      <c r="AB125" s="4" t="n">
        <v>11.25</v>
      </c>
      <c r="AC125" s="4">
        <f>AY125</f>
        <v/>
      </c>
      <c r="AD125" s="4">
        <f>IFERROR(AC125*AN125,"-")</f>
        <v/>
      </c>
      <c r="AE125" s="59">
        <f>IFERROR(1-X125/AD125,"-")</f>
        <v/>
      </c>
      <c r="AF125" s="7" t="n">
        <v>3359</v>
      </c>
      <c r="AG125" s="59">
        <f>1-X125/AF125</f>
        <v/>
      </c>
      <c r="AH125" s="4">
        <f>AF125-X125</f>
        <v/>
      </c>
      <c r="AI125" s="28" t="n"/>
      <c r="AJ125" s="59" t="n"/>
      <c r="AK125" s="59" t="n"/>
      <c r="AL125" s="59">
        <f>IFERROR(V125/N125,"-")</f>
        <v/>
      </c>
      <c r="AM125" s="59">
        <f>IFERROR(AF125/O125,"-")</f>
        <v/>
      </c>
      <c r="AN125" s="59">
        <f>IFERROR(X125/P125,"-")</f>
        <v/>
      </c>
      <c r="AO125" s="59">
        <f>IFERROR(1-X125/AP125,"-")</f>
        <v/>
      </c>
      <c r="AP125" s="4">
        <f>IFERROR(ROUND($AF125*R125/$O125,0),"-")</f>
        <v/>
      </c>
      <c r="AQ125" s="4">
        <f>IF(S125="","-",S125)</f>
        <v/>
      </c>
      <c r="AR125" s="4">
        <f>IF(T125="","-",T125)</f>
        <v/>
      </c>
      <c r="AS125" s="4" t="inlineStr">
        <is>
          <t>34/364</t>
        </is>
      </c>
      <c r="AT125" s="4" t="inlineStr">
        <is>
          <t>-</t>
        </is>
      </c>
      <c r="AU125" s="4" t="n"/>
      <c r="AV125" s="4" t="n"/>
      <c r="AW125" s="4" t="inlineStr">
        <is>
          <t>-</t>
        </is>
      </c>
      <c r="AX125" s="4" t="inlineStr">
        <is>
          <t>-</t>
        </is>
      </c>
      <c r="AY125" s="4">
        <f>IF(AU125="",AX125,AU125/AV125*AX125)</f>
        <v/>
      </c>
      <c r="AZ125" s="19" t="n">
        <v>4</v>
      </c>
      <c r="BA125" s="19" t="n">
        <v>1</v>
      </c>
      <c r="BB125" s="16" t="n">
        <v>1120</v>
      </c>
      <c r="BC125" s="0" t="inlineStr">
        <is>
          <t>-</t>
        </is>
      </c>
      <c r="BD125" s="0">
        <f>IFERROR(BC125*AN125,"-")</f>
        <v/>
      </c>
      <c r="BE125" s="0" t="n">
        <v>3116</v>
      </c>
      <c r="BF125" s="0">
        <f>IFERROR(BE125*AN125,"-")</f>
        <v/>
      </c>
      <c r="BG125" s="0" t="inlineStr">
        <is>
          <t>-</t>
        </is>
      </c>
    </row>
    <row r="126">
      <c r="A126" s="0">
        <f>TEXT(F126,"000000")</f>
        <v/>
      </c>
      <c r="B126" s="3" t="n">
        <v>15</v>
      </c>
      <c r="C126" s="3" t="n">
        <v>15</v>
      </c>
      <c r="D126" s="4" t="n">
        <v>620885</v>
      </c>
      <c r="E126" s="4">
        <f>TEXT(D126,"000000")</f>
        <v/>
      </c>
      <c r="F126" s="4" t="n">
        <v>620885</v>
      </c>
      <c r="G126" s="4">
        <f>E126&amp;J126</f>
        <v/>
      </c>
      <c r="H126" s="4" t="inlineStr">
        <is>
          <t>ｱｲﾘｽｵｰﾔﾏ/ﾗﾐﾈｰﾄﾌｨﾙﾑ A4ｻｲｽﾞ 横型 150μ(ﾐｸﾛﾝ) 100枚入</t>
        </is>
      </c>
      <c r="I126" s="58" t="n">
        <v>4905009452828</v>
      </c>
      <c r="J126" s="58" t="n">
        <v>5</v>
      </c>
      <c r="K126" s="58" t="n"/>
      <c r="L126" s="58" t="n">
        <v>1</v>
      </c>
      <c r="M126" s="58" t="n">
        <v>1</v>
      </c>
      <c r="N126" s="4" t="n">
        <v>0</v>
      </c>
      <c r="O126" s="4" t="n">
        <v>4158</v>
      </c>
      <c r="P126" s="4" t="n">
        <v>2000</v>
      </c>
      <c r="Q126" s="59">
        <f>IFERROR(1-P126/O126,"-")</f>
        <v/>
      </c>
      <c r="R126" s="4" t="inlineStr">
        <is>
          <t>-</t>
        </is>
      </c>
      <c r="S126" s="4" t="inlineStr">
        <is>
          <t>-</t>
        </is>
      </c>
      <c r="T126" s="4" t="inlineStr">
        <is>
          <t>-</t>
        </is>
      </c>
      <c r="U126" s="4" t="n">
        <v>0</v>
      </c>
      <c r="V126" s="4">
        <f>IF(Y126="",U126,U126*Y126)</f>
        <v/>
      </c>
      <c r="W126" s="4" t="n">
        <v>2400</v>
      </c>
      <c r="X126" s="4">
        <f>IF(Y126="",W126,W126*Y126)</f>
        <v/>
      </c>
      <c r="Y126" s="4" t="n"/>
      <c r="Z126" s="21">
        <f>ROUND(O126*AN126,0)</f>
        <v/>
      </c>
      <c r="AA126" s="59">
        <f>IFERROR(1-X126/Z126,"-")</f>
        <v/>
      </c>
      <c r="AB126" s="4" t="n">
        <v>0.75</v>
      </c>
      <c r="AC126" s="4">
        <f>AY126</f>
        <v/>
      </c>
      <c r="AD126" s="4">
        <f>IFERROR(AC126*AN126,"-")</f>
        <v/>
      </c>
      <c r="AE126" s="59">
        <f>IFERROR(1-X126/AD126,"-")</f>
        <v/>
      </c>
      <c r="AF126" s="7" t="n">
        <v>4158</v>
      </c>
      <c r="AG126" s="59">
        <f>1-X126/AF126</f>
        <v/>
      </c>
      <c r="AH126" s="4">
        <f>AF126-X126</f>
        <v/>
      </c>
      <c r="AI126" s="28" t="n"/>
      <c r="AJ126" s="59" t="n"/>
      <c r="AK126" s="59" t="n"/>
      <c r="AL126" s="59">
        <f>IFERROR(V126/N126,"-")</f>
        <v/>
      </c>
      <c r="AM126" s="59">
        <f>IFERROR(AF126/O126,"-")</f>
        <v/>
      </c>
      <c r="AN126" s="59">
        <f>IFERROR(X126/P126,"-")</f>
        <v/>
      </c>
      <c r="AO126" s="59">
        <f>IFERROR(1-X126/AP126,"-")</f>
        <v/>
      </c>
      <c r="AP126" s="4">
        <f>IFERROR(ROUND($AF126*R126/$O126,0),"-")</f>
        <v/>
      </c>
      <c r="AQ126" s="4">
        <f>IF(S126="","-",S126)</f>
        <v/>
      </c>
      <c r="AR126" s="4">
        <f>IF(T126="","-",T126)</f>
        <v/>
      </c>
      <c r="AS126" s="4" t="inlineStr">
        <is>
          <t>34/363</t>
        </is>
      </c>
      <c r="AT126" s="4" t="inlineStr">
        <is>
          <t>-</t>
        </is>
      </c>
      <c r="AU126" s="4" t="n"/>
      <c r="AV126" s="4" t="n"/>
      <c r="AW126" s="4" t="inlineStr">
        <is>
          <t>-</t>
        </is>
      </c>
      <c r="AX126" s="4" t="inlineStr">
        <is>
          <t>-</t>
        </is>
      </c>
      <c r="AY126" s="4">
        <f>IF(AU126="",AX126,AU126/AV126*AX126)</f>
        <v/>
      </c>
      <c r="AZ126" s="19" t="n">
        <v>4</v>
      </c>
      <c r="BA126" s="19" t="n">
        <v>1</v>
      </c>
      <c r="BB126" s="16" t="n">
        <v>1120</v>
      </c>
      <c r="BC126" s="0" t="inlineStr">
        <is>
          <t>-</t>
        </is>
      </c>
      <c r="BD126" s="0">
        <f>IFERROR(BC126*AN126,"-")</f>
        <v/>
      </c>
      <c r="BE126" s="0" t="n">
        <v>3718</v>
      </c>
      <c r="BF126" s="0">
        <f>IFERROR(BE126*AN126,"-")</f>
        <v/>
      </c>
      <c r="BG126" s="0" t="inlineStr">
        <is>
          <t>-</t>
        </is>
      </c>
    </row>
    <row r="127">
      <c r="A127" s="0">
        <f>TEXT(F127,"000000")</f>
        <v/>
      </c>
      <c r="B127" s="3" t="n">
        <v>20</v>
      </c>
      <c r="C127" s="3" t="n">
        <v>20</v>
      </c>
      <c r="D127" s="4" t="n">
        <v>671660</v>
      </c>
      <c r="E127" s="4">
        <f>TEXT(D127,"000000")</f>
        <v/>
      </c>
      <c r="F127" s="4" t="n">
        <v>671660</v>
      </c>
      <c r="G127" s="4">
        <f>E127&amp;J127</f>
        <v/>
      </c>
      <c r="H127" s="4" t="inlineStr">
        <is>
          <t>ｱｲﾘｽｵｰﾔﾏ/ﾗﾐﾈｰﾄﾌｨﾙﾑ B4ｻｲｽﾞ 片面ﾏｯﾄ 100μ(ﾐｸﾛﾝ) 100</t>
        </is>
      </c>
      <c r="I127" s="58" t="n">
        <v>4905009710270</v>
      </c>
      <c r="J127" s="58" t="n">
        <v>5</v>
      </c>
      <c r="K127" s="58" t="n"/>
      <c r="L127" s="58" t="n">
        <v>1</v>
      </c>
      <c r="M127" s="58" t="n">
        <v>1</v>
      </c>
      <c r="N127" s="4" t="n">
        <v>0</v>
      </c>
      <c r="O127" s="4" t="n">
        <v>4122</v>
      </c>
      <c r="P127" s="4" t="n">
        <v>2200</v>
      </c>
      <c r="Q127" s="59">
        <f>IFERROR(1-P127/O127,"-")</f>
        <v/>
      </c>
      <c r="R127" s="4" t="inlineStr">
        <is>
          <t>-</t>
        </is>
      </c>
      <c r="S127" s="4" t="inlineStr">
        <is>
          <t>-</t>
        </is>
      </c>
      <c r="T127" s="4" t="inlineStr">
        <is>
          <t>-</t>
        </is>
      </c>
      <c r="U127" s="4" t="n">
        <v>0</v>
      </c>
      <c r="V127" s="4">
        <f>IF(Y127="",U127,U127*Y127)</f>
        <v/>
      </c>
      <c r="W127" s="4" t="n">
        <v>2640</v>
      </c>
      <c r="X127" s="4">
        <f>IF(Y127="",W127,W127*Y127)</f>
        <v/>
      </c>
      <c r="Y127" s="4" t="n"/>
      <c r="Z127" s="21">
        <f>ROUND(O127*AN127,0)</f>
        <v/>
      </c>
      <c r="AA127" s="59">
        <f>IFERROR(1-X127/Z127,"-")</f>
        <v/>
      </c>
      <c r="AB127" s="4" t="n">
        <v>0.75</v>
      </c>
      <c r="AC127" s="4">
        <f>AY127</f>
        <v/>
      </c>
      <c r="AD127" s="4">
        <f>IFERROR(AC127*AN127,"-")</f>
        <v/>
      </c>
      <c r="AE127" s="59">
        <f>IFERROR(1-X127/AD127,"-")</f>
        <v/>
      </c>
      <c r="AF127" s="7" t="n">
        <v>4081</v>
      </c>
      <c r="AG127" s="59">
        <f>1-X127/AF127</f>
        <v/>
      </c>
      <c r="AH127" s="4">
        <f>AF127-X127</f>
        <v/>
      </c>
      <c r="AI127" s="28" t="n"/>
      <c r="AJ127" s="59" t="n"/>
      <c r="AK127" s="59" t="n"/>
      <c r="AL127" s="59">
        <f>IFERROR(V127/N127,"-")</f>
        <v/>
      </c>
      <c r="AM127" s="59">
        <f>IFERROR(AF127/O127,"-")</f>
        <v/>
      </c>
      <c r="AN127" s="59">
        <f>IFERROR(X127/P127,"-")</f>
        <v/>
      </c>
      <c r="AO127" s="59">
        <f>IFERROR(1-X127/AP127,"-")</f>
        <v/>
      </c>
      <c r="AP127" s="4">
        <f>IFERROR(ROUND($AF127*R127/$O127,0),"-")</f>
        <v/>
      </c>
      <c r="AQ127" s="4">
        <f>IF(S127="","-",S127)</f>
        <v/>
      </c>
      <c r="AR127" s="4">
        <f>IF(T127="","-",T127)</f>
        <v/>
      </c>
      <c r="AS127" s="4" t="inlineStr">
        <is>
          <t>34/364</t>
        </is>
      </c>
      <c r="AT127" s="4" t="inlineStr">
        <is>
          <t>7790984</t>
        </is>
      </c>
      <c r="AU127" s="4" t="n"/>
      <c r="AV127" s="4" t="n"/>
      <c r="AW127" s="4" t="inlineStr">
        <is>
          <t>1個</t>
        </is>
      </c>
      <c r="AX127" s="4" t="n">
        <v>4082</v>
      </c>
      <c r="AY127" s="4">
        <f>IF(AU127="",AX127,AU127/AV127*AX127)</f>
        <v/>
      </c>
      <c r="AZ127" s="19" t="n">
        <v>4</v>
      </c>
      <c r="BA127" s="19" t="n">
        <v>1</v>
      </c>
      <c r="BB127" s="16" t="n">
        <v>1120</v>
      </c>
      <c r="BC127" s="0" t="inlineStr">
        <is>
          <t>-</t>
        </is>
      </c>
      <c r="BD127" s="0">
        <f>IFERROR(BC127*AN127,"-")</f>
        <v/>
      </c>
      <c r="BE127" s="0" t="n">
        <v>6699</v>
      </c>
      <c r="BF127" s="0">
        <f>IFERROR(BE127*AN127,"-")</f>
        <v/>
      </c>
      <c r="BG127" s="0" t="inlineStr">
        <is>
          <t>アイリスオーヤマ　ラミネートフィルム　B4サイズ　片面マット　100μ(ミクロン)　LZM-B4100　100枚入　1個</t>
        </is>
      </c>
    </row>
    <row r="128">
      <c r="A128" s="0">
        <f>TEXT(F128,"000000")</f>
        <v/>
      </c>
      <c r="B128" s="3" t="n">
        <v>83</v>
      </c>
      <c r="C128" s="3" t="n">
        <v>83</v>
      </c>
      <c r="D128" s="4" t="n">
        <v>669464</v>
      </c>
      <c r="E128" s="4">
        <f>TEXT(D128,"000000")</f>
        <v/>
      </c>
      <c r="F128" s="4" t="n">
        <v>669464</v>
      </c>
      <c r="G128" s="4">
        <f>E128&amp;J128</f>
        <v/>
      </c>
      <c r="H128" s="4" t="inlineStr">
        <is>
          <t>ｱｲﾘｽｵｰﾔﾏ/ﾗﾐﾈｰﾄﾌｨﾙﾑ 100μ A4ｻｲｽﾞ 300枚/LFT-A4300</t>
        </is>
      </c>
      <c r="I128" s="58" t="n">
        <v>4905009834211</v>
      </c>
      <c r="J128" s="58" t="n">
        <v>5</v>
      </c>
      <c r="K128" s="58" t="n"/>
      <c r="L128" s="58" t="n">
        <v>1</v>
      </c>
      <c r="M128" s="58" t="n">
        <v>1</v>
      </c>
      <c r="N128" s="4" t="n">
        <v>0</v>
      </c>
      <c r="O128" s="4" t="n">
        <v>4900</v>
      </c>
      <c r="P128" s="4" t="n">
        <v>2300</v>
      </c>
      <c r="Q128" s="59">
        <f>IFERROR(1-P128/O128,"-")</f>
        <v/>
      </c>
      <c r="R128" s="4" t="n">
        <v>4667</v>
      </c>
      <c r="S128" s="4" t="n">
        <v>3</v>
      </c>
      <c r="T128" s="4" t="n">
        <v>99999</v>
      </c>
      <c r="U128" s="4" t="n">
        <v>0</v>
      </c>
      <c r="V128" s="4">
        <f>IF(Y128="",U128,U128*Y128)</f>
        <v/>
      </c>
      <c r="W128" s="4" t="n">
        <v>2760</v>
      </c>
      <c r="X128" s="4">
        <f>IF(Y128="",W128,W128*Y128)</f>
        <v/>
      </c>
      <c r="Y128" s="4" t="n"/>
      <c r="Z128" s="21">
        <f>ROUND(O128*AN128,0)</f>
        <v/>
      </c>
      <c r="AA128" s="59">
        <f>IFERROR(1-X128/Z128,"-")</f>
        <v/>
      </c>
      <c r="AB128" s="4" t="n">
        <v>23</v>
      </c>
      <c r="AC128" s="4">
        <f>AY128</f>
        <v/>
      </c>
      <c r="AD128" s="4">
        <f>IFERROR(AC128*AN128,"-")</f>
        <v/>
      </c>
      <c r="AE128" s="59">
        <f>IFERROR(1-X128/AD128,"-")</f>
        <v/>
      </c>
      <c r="AF128" s="7" t="n">
        <v>4909</v>
      </c>
      <c r="AG128" s="59">
        <f>1-X128/AF128</f>
        <v/>
      </c>
      <c r="AH128" s="4">
        <f>AF128-X128</f>
        <v/>
      </c>
      <c r="AI128" s="28" t="n"/>
      <c r="AJ128" s="59" t="n"/>
      <c r="AK128" s="59" t="n"/>
      <c r="AL128" s="60">
        <f>IFERROR(V128/N128,"-")</f>
        <v/>
      </c>
      <c r="AM128" s="59">
        <f>IFERROR(AF128/O128,"-")</f>
        <v/>
      </c>
      <c r="AN128" s="59">
        <f>IFERROR(X128/P128,"-")</f>
        <v/>
      </c>
      <c r="AO128" s="59">
        <f>IFERROR(1-X128/AP128,"-")</f>
        <v/>
      </c>
      <c r="AP128" s="4" t="n">
        <v>4700</v>
      </c>
      <c r="AQ128" s="4">
        <f>IF(S128="","-",S128)</f>
        <v/>
      </c>
      <c r="AR128" s="4">
        <f>IF(T128="","-",T128)</f>
        <v/>
      </c>
      <c r="AS128" s="4" t="inlineStr">
        <is>
          <t>34/363</t>
        </is>
      </c>
      <c r="AT128" s="4" t="inlineStr">
        <is>
          <t>3485077</t>
        </is>
      </c>
      <c r="AU128" s="4" t="n"/>
      <c r="AV128" s="4" t="n"/>
      <c r="AW128" s="4" t="inlineStr">
        <is>
          <t>1箱（300枚入）</t>
        </is>
      </c>
      <c r="AX128" s="4" t="n">
        <v>4910</v>
      </c>
      <c r="AY128" s="4">
        <f>IF(AU128="",AX128,AU128/AV128*AX128)</f>
        <v/>
      </c>
      <c r="AZ128" s="19" t="n">
        <v>4</v>
      </c>
      <c r="BA128" s="19" t="n">
        <v>1</v>
      </c>
      <c r="BB128" s="16" t="n">
        <v>1120</v>
      </c>
      <c r="BC128" s="0" t="inlineStr">
        <is>
          <t>-</t>
        </is>
      </c>
      <c r="BD128" s="0">
        <f>IFERROR(BC128*AN128,"-")</f>
        <v/>
      </c>
      <c r="BE128" s="0" t="n">
        <v>7562</v>
      </c>
      <c r="BF128" s="0">
        <f>IFERROR(BE128*AN128,"-")</f>
        <v/>
      </c>
      <c r="BG128" s="0" t="inlineStr">
        <is>
          <t>アイリスオーヤマ　ラミネートフィルム　A4サイズ　帯電防止剤配合(静電気防止)　100μ(ミクロン)　LFT-A4300　1箱（300枚入）</t>
        </is>
      </c>
    </row>
    <row r="129">
      <c r="A129" s="0">
        <f>TEXT(F129,"000000")</f>
        <v/>
      </c>
      <c r="B129" s="3" t="n">
        <v>78</v>
      </c>
      <c r="C129" s="3" t="n">
        <v>78</v>
      </c>
      <c r="D129" s="4" t="inlineStr">
        <is>
          <t>J596WD</t>
        </is>
      </c>
      <c r="E129" s="4">
        <f>TEXT(D129,"000000")</f>
        <v/>
      </c>
      <c r="F129" s="4" t="inlineStr">
        <is>
          <t>J596WD</t>
        </is>
      </c>
      <c r="G129" s="4">
        <f>E129&amp;J129</f>
        <v/>
      </c>
      <c r="H129" s="4" t="inlineStr">
        <is>
          <t>ｱｲﾘｽｵｰﾔﾏ/ﾗﾐﾈｰﾀｰ A4 本体 2本ﾛｰﾗｰ ﾎﾜｲﾄ/LM42D-W</t>
        </is>
      </c>
      <c r="I129" s="58" t="n">
        <v>4967576705578</v>
      </c>
      <c r="J129" s="58" t="n">
        <v>5</v>
      </c>
      <c r="K129" s="58" t="n"/>
      <c r="L129" s="58" t="n">
        <v>1</v>
      </c>
      <c r="M129" s="58" t="n">
        <v>1</v>
      </c>
      <c r="N129" s="4" t="n">
        <v>0</v>
      </c>
      <c r="O129" s="4" t="n">
        <v>5450</v>
      </c>
      <c r="P129" s="4" t="n">
        <v>2600</v>
      </c>
      <c r="Q129" s="59">
        <f>IFERROR(1-P129/O129,"-")</f>
        <v/>
      </c>
      <c r="R129" s="4" t="inlineStr">
        <is>
          <t>-</t>
        </is>
      </c>
      <c r="S129" s="4" t="inlineStr">
        <is>
          <t>-</t>
        </is>
      </c>
      <c r="T129" s="4" t="inlineStr">
        <is>
          <t>-</t>
        </is>
      </c>
      <c r="U129" s="4" t="n">
        <v>0</v>
      </c>
      <c r="V129" s="4">
        <f>IF(Y129="",U129,U129*Y129)</f>
        <v/>
      </c>
      <c r="W129" s="4" t="n">
        <v>2795</v>
      </c>
      <c r="X129" s="4">
        <f>IF(Y129="",W129,W129*Y129)</f>
        <v/>
      </c>
      <c r="Y129" s="4" t="n"/>
      <c r="Z129" s="21">
        <f>ROUND(O129*AN129,0)</f>
        <v/>
      </c>
      <c r="AA129" s="59">
        <f>IFERROR(1-X129/Z129,"-")</f>
        <v/>
      </c>
      <c r="AB129" s="4" t="n">
        <v>1</v>
      </c>
      <c r="AC129" s="4">
        <f>AY129</f>
        <v/>
      </c>
      <c r="AD129" s="4">
        <f>IFERROR(AC129*AN129,"-")</f>
        <v/>
      </c>
      <c r="AE129" s="59">
        <f>IFERROR(1-X129/AD129,"-")</f>
        <v/>
      </c>
      <c r="AF129" s="7" t="n">
        <v>5454</v>
      </c>
      <c r="AG129" s="59">
        <f>1-X129/AF129</f>
        <v/>
      </c>
      <c r="AH129" s="4">
        <f>AF129-X129</f>
        <v/>
      </c>
      <c r="AI129" s="28" t="n"/>
      <c r="AJ129" s="59" t="n"/>
      <c r="AK129" s="59" t="n"/>
      <c r="AL129" s="59">
        <f>IFERROR(V129/N129,"-")</f>
        <v/>
      </c>
      <c r="AM129" s="59">
        <f>IFERROR(AF129/O129,"-")</f>
        <v/>
      </c>
      <c r="AN129" s="59">
        <f>IFERROR(X129/P129,"-")</f>
        <v/>
      </c>
      <c r="AO129" s="59">
        <f>IFERROR(1-X129/AP129,"-")</f>
        <v/>
      </c>
      <c r="AP129" s="4">
        <f>IFERROR(ROUND($AF129*R129/$O129,0),"-")</f>
        <v/>
      </c>
      <c r="AQ129" s="4">
        <f>IF(S129="","-",S129)</f>
        <v/>
      </c>
      <c r="AR129" s="4">
        <f>IF(T129="","-",T129)</f>
        <v/>
      </c>
      <c r="AS129" s="4" t="n">
        <v>0</v>
      </c>
      <c r="AT129" s="4" t="inlineStr">
        <is>
          <t>AJE3914</t>
        </is>
      </c>
      <c r="AU129" s="4" t="n"/>
      <c r="AV129" s="4" t="n"/>
      <c r="AW129" s="4" t="inlineStr">
        <is>
          <t>1台</t>
        </is>
      </c>
      <c r="AX129" s="4" t="n">
        <v>5455</v>
      </c>
      <c r="AY129" s="4">
        <f>IF(AU129="",AX129,AU129/AV129*AX129)</f>
        <v/>
      </c>
      <c r="AZ129" s="19" t="n">
        <v>4</v>
      </c>
      <c r="BA129" s="19" t="n">
        <v>1</v>
      </c>
      <c r="BB129" s="16" t="n">
        <v>1120</v>
      </c>
      <c r="BC129" s="0" t="inlineStr">
        <is>
          <t>-</t>
        </is>
      </c>
      <c r="BD129" s="0">
        <f>IFERROR(BC129*AN129,"-")</f>
        <v/>
      </c>
      <c r="BE129" s="0" t="n">
        <v>4982</v>
      </c>
      <c r="BF129" s="0">
        <f>IFERROR(BE129*AN129,"-")</f>
        <v/>
      </c>
      <c r="BG129" s="0" t="inlineStr">
        <is>
          <t>アイリスオーヤマ A4ラミネーター LM42D-W 1台</t>
        </is>
      </c>
    </row>
    <row r="130">
      <c r="A130" s="0">
        <f>TEXT(F130,"000000")</f>
        <v/>
      </c>
      <c r="B130" s="3" t="n">
        <v>89</v>
      </c>
      <c r="C130" s="3" t="n">
        <v>89</v>
      </c>
      <c r="D130" s="4" t="n">
        <v>669472</v>
      </c>
      <c r="E130" s="4">
        <f>TEXT(D130,"000000")</f>
        <v/>
      </c>
      <c r="F130" s="4" t="n">
        <v>669472</v>
      </c>
      <c r="G130" s="4">
        <f>E130&amp;J130</f>
        <v/>
      </c>
      <c r="H130" s="4" t="inlineStr">
        <is>
          <t>ｱｲﾘｽｵｰﾔﾏ/ﾗﾐﾈｰﾄﾌｨﾙﾑ 150μ B4ｻｲｽﾞ100枚/LFT-5B4100</t>
        </is>
      </c>
      <c r="I130" s="58" t="n">
        <v>4905009834266</v>
      </c>
      <c r="J130" s="58" t="n">
        <v>5</v>
      </c>
      <c r="K130" s="58" t="n"/>
      <c r="L130" s="58" t="n">
        <v>1</v>
      </c>
      <c r="M130" s="58" t="n">
        <v>1</v>
      </c>
      <c r="N130" s="4" t="n">
        <v>0</v>
      </c>
      <c r="O130" s="4" t="n">
        <v>6408</v>
      </c>
      <c r="P130" s="4" t="n">
        <v>2900</v>
      </c>
      <c r="Q130" s="59">
        <f>IFERROR(1-P130/O130,"-")</f>
        <v/>
      </c>
      <c r="R130" s="4" t="inlineStr">
        <is>
          <t>-</t>
        </is>
      </c>
      <c r="S130" s="4" t="inlineStr">
        <is>
          <t>-</t>
        </is>
      </c>
      <c r="T130" s="4" t="inlineStr">
        <is>
          <t>-</t>
        </is>
      </c>
      <c r="U130" s="4" t="n">
        <v>0</v>
      </c>
      <c r="V130" s="4">
        <f>IF(Y130="",U130,U130*Y130)</f>
        <v/>
      </c>
      <c r="W130" s="4" t="n">
        <v>3480</v>
      </c>
      <c r="X130" s="4">
        <f>IF(Y130="",W130,W130*Y130)</f>
        <v/>
      </c>
      <c r="Y130" s="4" t="n"/>
      <c r="Z130" s="21">
        <f>ROUND(O130*AN130,0)</f>
        <v/>
      </c>
      <c r="AA130" s="59">
        <f>IFERROR(1-X130/Z130,"-")</f>
        <v/>
      </c>
      <c r="AB130" s="4" t="n">
        <v>2</v>
      </c>
      <c r="AC130" s="4">
        <f>AY130</f>
        <v/>
      </c>
      <c r="AD130" s="4">
        <f>IFERROR(AC130*AN130,"-")</f>
        <v/>
      </c>
      <c r="AE130" s="59">
        <f>IFERROR(1-X130/AD130,"-")</f>
        <v/>
      </c>
      <c r="AF130" s="7" t="n">
        <v>6345</v>
      </c>
      <c r="AG130" s="59">
        <f>1-X130/AF130</f>
        <v/>
      </c>
      <c r="AH130" s="4">
        <f>AF130-X130</f>
        <v/>
      </c>
      <c r="AI130" s="28" t="n"/>
      <c r="AJ130" s="59" t="n"/>
      <c r="AK130" s="59" t="n"/>
      <c r="AL130" s="59">
        <f>IFERROR(V130/N130,"-")</f>
        <v/>
      </c>
      <c r="AM130" s="59">
        <f>IFERROR(AF130/O130,"-")</f>
        <v/>
      </c>
      <c r="AN130" s="59">
        <f>IFERROR(X130/P130,"-")</f>
        <v/>
      </c>
      <c r="AO130" s="59">
        <f>IFERROR(1-X130/AP130,"-")</f>
        <v/>
      </c>
      <c r="AP130" s="4">
        <f>IFERROR(ROUND($AF130*R130/$O130,0),"-")</f>
        <v/>
      </c>
      <c r="AQ130" s="4">
        <f>IF(S130="","-",S130)</f>
        <v/>
      </c>
      <c r="AR130" s="4">
        <f>IF(T130="","-",T130)</f>
        <v/>
      </c>
      <c r="AS130" s="4" t="inlineStr">
        <is>
          <t>34/363</t>
        </is>
      </c>
      <c r="AT130" s="4" t="inlineStr">
        <is>
          <t>3485095</t>
        </is>
      </c>
      <c r="AU130" s="4" t="n"/>
      <c r="AV130" s="4" t="n"/>
      <c r="AW130" s="4" t="inlineStr">
        <is>
          <t>1箱（100枚入）</t>
        </is>
      </c>
      <c r="AX130" s="4" t="n">
        <v>6346</v>
      </c>
      <c r="AY130" s="4">
        <f>IF(AU130="",AX130,AU130/AV130*AX130)</f>
        <v/>
      </c>
      <c r="AZ130" s="19" t="n">
        <v>4</v>
      </c>
      <c r="BA130" s="19" t="n">
        <v>1</v>
      </c>
      <c r="BB130" s="16" t="n">
        <v>1120</v>
      </c>
      <c r="BC130" s="0" t="inlineStr">
        <is>
          <t>-</t>
        </is>
      </c>
      <c r="BD130" s="0">
        <f>IFERROR(BC130*AN130,"-")</f>
        <v/>
      </c>
      <c r="BE130" s="0" t="n">
        <v>7717</v>
      </c>
      <c r="BF130" s="0">
        <f>IFERROR(BE130*AN130,"-")</f>
        <v/>
      </c>
      <c r="BG130" s="0" t="inlineStr">
        <is>
          <t>アイリスオーヤマ ラミネートフィルム B4 100枚入150μ LFT-5B4100 1箱(100枚入)</t>
        </is>
      </c>
    </row>
    <row r="131">
      <c r="A131" s="0">
        <f>TEXT(F131,"000000")</f>
        <v/>
      </c>
      <c r="B131" s="3" t="n">
        <v>77</v>
      </c>
      <c r="C131" s="3" t="n">
        <v>77</v>
      </c>
      <c r="D131" s="35" t="inlineStr">
        <is>
          <t>J595WD</t>
        </is>
      </c>
      <c r="E131" s="4">
        <f>TEXT(D131,"000000")</f>
        <v/>
      </c>
      <c r="F131" s="4" t="inlineStr">
        <is>
          <t>J595WD</t>
        </is>
      </c>
      <c r="G131" s="4">
        <f>E131&amp;J131</f>
        <v/>
      </c>
      <c r="H131" s="4" t="inlineStr">
        <is>
          <t>ｱｲﾘｽｵｰﾔﾏ/ﾗﾐﾈｰﾀｰ A3 本体 2本ﾛｰﾗｰ ﾎﾜｲﾄ/LM32D-W</t>
        </is>
      </c>
      <c r="I131" s="58" t="n">
        <v>4967576705554</v>
      </c>
      <c r="J131" s="58" t="n">
        <v>5</v>
      </c>
      <c r="K131" s="58" t="n"/>
      <c r="L131" s="58" t="n">
        <v>2</v>
      </c>
      <c r="M131" s="58" t="n">
        <v>2</v>
      </c>
      <c r="N131" s="4" t="n">
        <v>0</v>
      </c>
      <c r="O131" s="4" t="n">
        <v>6360</v>
      </c>
      <c r="P131" s="4" t="n">
        <v>3300</v>
      </c>
      <c r="Q131" s="59">
        <f>IFERROR(1-P131/O131,"-")</f>
        <v/>
      </c>
      <c r="R131" s="4" t="inlineStr">
        <is>
          <t>-</t>
        </is>
      </c>
      <c r="S131" s="4" t="inlineStr">
        <is>
          <t>-</t>
        </is>
      </c>
      <c r="T131" s="4" t="inlineStr">
        <is>
          <t>-</t>
        </is>
      </c>
      <c r="U131" s="4" t="n">
        <v>0</v>
      </c>
      <c r="V131" s="4">
        <f>IF(Y131="",U131,U131*Y131)</f>
        <v/>
      </c>
      <c r="W131" s="4" t="n">
        <v>3498</v>
      </c>
      <c r="X131" s="4">
        <f>IF(Y131="",W131,W131*Y131)</f>
        <v/>
      </c>
      <c r="Y131" s="4" t="n"/>
      <c r="Z131" s="21">
        <f>ROUND(O131*AN131,0)</f>
        <v/>
      </c>
      <c r="AA131" s="59">
        <f>IFERROR(1-X131/Z131,"-")</f>
        <v/>
      </c>
      <c r="AB131" s="4" t="n">
        <v>15.25</v>
      </c>
      <c r="AC131" s="4">
        <f>AY131</f>
        <v/>
      </c>
      <c r="AD131" s="4">
        <f>IFERROR(AC131*AN131,"-")</f>
        <v/>
      </c>
      <c r="AE131" s="59">
        <f>IFERROR(1-X131/AD131,"-")</f>
        <v/>
      </c>
      <c r="AF131" s="7" t="n">
        <v>6363</v>
      </c>
      <c r="AG131" s="59">
        <f>1-X131/AF131</f>
        <v/>
      </c>
      <c r="AH131" s="4">
        <f>AF131-X131</f>
        <v/>
      </c>
      <c r="AI131" s="28" t="n"/>
      <c r="AJ131" s="59" t="n"/>
      <c r="AK131" s="59" t="n"/>
      <c r="AL131" s="59">
        <f>IFERROR(V131/N131,"-")</f>
        <v/>
      </c>
      <c r="AM131" s="59">
        <f>IFERROR(AF131/O131,"-")</f>
        <v/>
      </c>
      <c r="AN131" s="59">
        <f>IFERROR(X131/P131,"-")</f>
        <v/>
      </c>
      <c r="AO131" s="59">
        <f>IFERROR(1-X131/AP131,"-")</f>
        <v/>
      </c>
      <c r="AP131" s="4">
        <f>IFERROR(ROUND($AF131*R131/$O131,0),"-")</f>
        <v/>
      </c>
      <c r="AQ131" s="4">
        <f>IF(S131="","-",S131)</f>
        <v/>
      </c>
      <c r="AR131" s="4">
        <f>IF(T131="","-",T131)</f>
        <v/>
      </c>
      <c r="AS131" s="4" t="n">
        <v>0</v>
      </c>
      <c r="AT131" s="4" t="inlineStr">
        <is>
          <t>AJE3913</t>
        </is>
      </c>
      <c r="AU131" s="4" t="n"/>
      <c r="AV131" s="4" t="n"/>
      <c r="AW131" s="4" t="inlineStr">
        <is>
          <t>1台</t>
        </is>
      </c>
      <c r="AX131" s="4" t="n">
        <v>6364</v>
      </c>
      <c r="AY131" s="4">
        <f>IF(AU131="",AX131,AU131/AV131*AX131)</f>
        <v/>
      </c>
      <c r="AZ131" s="19" t="n">
        <v>4</v>
      </c>
      <c r="BA131" s="19" t="n">
        <v>1</v>
      </c>
      <c r="BB131" s="16" t="n">
        <v>1120</v>
      </c>
      <c r="BC131" s="0" t="inlineStr">
        <is>
          <t>-</t>
        </is>
      </c>
      <c r="BD131" s="0">
        <f>IFERROR(BC131*AN131,"-")</f>
        <v/>
      </c>
      <c r="BE131" s="0" t="n">
        <v>6355</v>
      </c>
      <c r="BF131" s="0">
        <f>IFERROR(BE131*AN131,"-")</f>
        <v/>
      </c>
      <c r="BG131" s="0" t="inlineStr">
        <is>
          <t>アイリスオーヤマ A3ラミネーター LM32D-W 1台</t>
        </is>
      </c>
    </row>
    <row r="132">
      <c r="A132" s="0">
        <f>TEXT(F132,"000000")</f>
        <v/>
      </c>
      <c r="B132" s="3" t="n">
        <v>176</v>
      </c>
      <c r="C132" s="3" t="n">
        <v>77</v>
      </c>
      <c r="D132" s="35" t="inlineStr">
        <is>
          <t>J595WD</t>
        </is>
      </c>
      <c r="E132" s="4">
        <f>TEXT(D132,"000000")</f>
        <v/>
      </c>
      <c r="F132" s="4" t="inlineStr">
        <is>
          <t>5285AY</t>
        </is>
      </c>
      <c r="G132" s="4">
        <f>E132&amp;J132</f>
        <v/>
      </c>
      <c r="H132" s="4" t="inlineStr">
        <is>
          <t>ｱｲﾘｽｵｰﾔﾏ/ﾗﾐﾈｰﾀｰ A3 本体 2本ﾛｰﾗｰ ﾎﾜｲﾄ/LM32D-W</t>
        </is>
      </c>
      <c r="I132" s="58" t="n">
        <v>4967576705554</v>
      </c>
      <c r="J132" s="58" t="n">
        <v>99</v>
      </c>
      <c r="K132" s="58" t="n"/>
      <c r="L132" s="58" t="n"/>
      <c r="M132" s="58" t="n"/>
      <c r="N132" s="4" t="n">
        <v>0</v>
      </c>
      <c r="O132" s="4" t="n">
        <v>5980</v>
      </c>
      <c r="P132" s="4" t="n">
        <v>3300</v>
      </c>
      <c r="Q132" s="59">
        <f>IFERROR(1-P132/O132,"-")</f>
        <v/>
      </c>
      <c r="R132" s="4" t="inlineStr">
        <is>
          <t>-</t>
        </is>
      </c>
      <c r="S132" s="4" t="inlineStr">
        <is>
          <t>-</t>
        </is>
      </c>
      <c r="T132" s="4" t="inlineStr">
        <is>
          <t>-</t>
        </is>
      </c>
      <c r="U132" s="4" t="n">
        <v>0</v>
      </c>
      <c r="V132" s="4">
        <f>IF(Y132="",U132,U132*Y132)</f>
        <v/>
      </c>
      <c r="W132" s="4" t="n">
        <v>3498</v>
      </c>
      <c r="X132" s="4">
        <f>IF(Y132="",W132,W132*Y132)</f>
        <v/>
      </c>
      <c r="Y132" s="4" t="n"/>
      <c r="Z132" s="21">
        <f>ROUND(O132*AN132,0)</f>
        <v/>
      </c>
      <c r="AA132" s="59">
        <f>IFERROR(1-X132/Z132,"-")</f>
        <v/>
      </c>
      <c r="AB132" s="4" t="n">
        <v>15.25</v>
      </c>
      <c r="AC132" s="4">
        <f>AY132</f>
        <v/>
      </c>
      <c r="AD132" s="4">
        <f>IFERROR(AC132*AN132,"-")</f>
        <v/>
      </c>
      <c r="AE132" s="59">
        <f>IFERROR(1-X132/AD132,"-")</f>
        <v/>
      </c>
      <c r="AF132" s="7" t="n">
        <v>6363</v>
      </c>
      <c r="AG132" s="59">
        <f>1-X132/AF132</f>
        <v/>
      </c>
      <c r="AH132" s="4">
        <f>AF132-X132</f>
        <v/>
      </c>
      <c r="AI132" s="28" t="n"/>
      <c r="AJ132" s="59" t="n"/>
      <c r="AK132" s="59" t="n"/>
      <c r="AL132" s="59">
        <f>IFERROR(V132/N132,"-")</f>
        <v/>
      </c>
      <c r="AM132" s="59">
        <f>IFERROR(AF132/O132,"-")</f>
        <v/>
      </c>
      <c r="AN132" s="59">
        <f>IFERROR(X132/P132,"-")</f>
        <v/>
      </c>
      <c r="AO132" s="59">
        <f>IFERROR(1-X132/AP132,"-")</f>
        <v/>
      </c>
      <c r="AP132" s="4">
        <f>IFERROR(ROUND($AF132*R132/$O132,0),"-")</f>
        <v/>
      </c>
      <c r="AQ132" s="4">
        <f>IF(S132="","-",S132)</f>
        <v/>
      </c>
      <c r="AR132" s="4">
        <f>IF(T132="","-",T132)</f>
        <v/>
      </c>
      <c r="AS132" s="4" t="n">
        <v>0</v>
      </c>
      <c r="AT132" s="4" t="inlineStr">
        <is>
          <t>AJE3913</t>
        </is>
      </c>
      <c r="AU132" s="4" t="n"/>
      <c r="AV132" s="4" t="n"/>
      <c r="AW132" s="4" t="inlineStr">
        <is>
          <t>1台</t>
        </is>
      </c>
      <c r="AX132" s="4" t="n">
        <v>6364</v>
      </c>
      <c r="AY132" s="4">
        <f>IF(AU132="",AX132,AU132/AV132*AX132)</f>
        <v/>
      </c>
      <c r="AZ132" s="19" t="n">
        <v>4</v>
      </c>
      <c r="BA132" s="19" t="n">
        <v>1</v>
      </c>
      <c r="BB132" s="16" t="n">
        <v>1120</v>
      </c>
      <c r="BC132" s="0" t="inlineStr">
        <is>
          <t>-</t>
        </is>
      </c>
      <c r="BD132" s="0">
        <f>IFERROR(BC132*AN132,"-")</f>
        <v/>
      </c>
      <c r="BE132" s="0" t="n">
        <v>6355</v>
      </c>
      <c r="BF132" s="0">
        <f>IFERROR(BE132*AN132,"-")</f>
        <v/>
      </c>
      <c r="BG132" s="0" t="inlineStr">
        <is>
          <t>アイリスオーヤマ A3ラミネーター LM32D-W 1台</t>
        </is>
      </c>
    </row>
    <row r="133">
      <c r="A133" s="0">
        <f>TEXT(F133,"000000")</f>
        <v/>
      </c>
      <c r="B133" s="3" t="n">
        <v>28</v>
      </c>
      <c r="C133" s="3" t="n">
        <v>28</v>
      </c>
      <c r="D133" s="4" t="inlineStr">
        <is>
          <t>J012WM</t>
        </is>
      </c>
      <c r="E133" s="4">
        <f>TEXT(D133,"000000")</f>
        <v/>
      </c>
      <c r="F133" s="4" t="inlineStr">
        <is>
          <t>J012WM</t>
        </is>
      </c>
      <c r="G133" s="4">
        <f>E133&amp;J133</f>
        <v/>
      </c>
      <c r="H133" s="4" t="inlineStr">
        <is>
          <t>ｱｲﾘｽｵｰﾔﾏ/ﾗﾐﾈｰﾄﾌｨﾙﾑ A3ｻｲｽﾞ 片面ﾏｯﾄ 100μ(ﾐｸﾛﾝ) 100</t>
        </is>
      </c>
      <c r="I133" s="58" t="n">
        <v>4905009710287</v>
      </c>
      <c r="J133" s="58" t="n">
        <v>5</v>
      </c>
      <c r="K133" s="58" t="n"/>
      <c r="L133" s="58" t="n">
        <v>1</v>
      </c>
      <c r="M133" s="58" t="n">
        <v>1</v>
      </c>
      <c r="N133" s="4" t="n">
        <v>0</v>
      </c>
      <c r="O133" s="4" t="n">
        <v>3770</v>
      </c>
      <c r="P133" s="4" t="n">
        <v>3000</v>
      </c>
      <c r="Q133" s="59">
        <f>IFERROR(1-P133/O133,"-")</f>
        <v/>
      </c>
      <c r="R133" s="4" t="inlineStr">
        <is>
          <t>-</t>
        </is>
      </c>
      <c r="S133" s="4" t="inlineStr">
        <is>
          <t>-</t>
        </is>
      </c>
      <c r="T133" s="4" t="inlineStr">
        <is>
          <t>-</t>
        </is>
      </c>
      <c r="U133" s="4" t="n">
        <v>0</v>
      </c>
      <c r="V133" s="4">
        <f>IF(Y133="",U133,U133*Y133)</f>
        <v/>
      </c>
      <c r="W133" s="4" t="n">
        <v>3600</v>
      </c>
      <c r="X133" s="4">
        <f>IF(Y133="",W133,W133*Y133)</f>
        <v/>
      </c>
      <c r="Y133" s="4" t="n"/>
      <c r="Z133" s="21">
        <f>ROUND(O133*AN133,0)</f>
        <v/>
      </c>
      <c r="AA133" s="59">
        <f>IFERROR(1-X133/Z133,"-")</f>
        <v/>
      </c>
      <c r="AB133" s="4" t="n">
        <v>4</v>
      </c>
      <c r="AC133" s="4">
        <f>AY133</f>
        <v/>
      </c>
      <c r="AD133" s="4">
        <f>IFERROR(AC133*AN133,"-")</f>
        <v/>
      </c>
      <c r="AE133" s="59">
        <f>IFERROR(1-X133/AD133,"-")</f>
        <v/>
      </c>
      <c r="AF133" s="7" t="n">
        <v>7236</v>
      </c>
      <c r="AG133" s="59">
        <f>1-X133/AF133</f>
        <v/>
      </c>
      <c r="AH133" s="4">
        <f>AF133-X133</f>
        <v/>
      </c>
      <c r="AI133" s="28" t="n"/>
      <c r="AJ133" s="59" t="n"/>
      <c r="AK133" s="59" t="n"/>
      <c r="AL133" s="59">
        <f>IFERROR(V133/N133,"-")</f>
        <v/>
      </c>
      <c r="AM133" s="59">
        <f>IFERROR(AF133/O133,"-")</f>
        <v/>
      </c>
      <c r="AN133" s="59">
        <f>IFERROR(X133/P133,"-")</f>
        <v/>
      </c>
      <c r="AO133" s="59">
        <f>IFERROR(1-X133/AP133,"-")</f>
        <v/>
      </c>
      <c r="AP133" s="4">
        <f>IFERROR(ROUND($AF133*R133/$O133,0),"-")</f>
        <v/>
      </c>
      <c r="AQ133" s="4">
        <f>IF(S133="","-",S133)</f>
        <v/>
      </c>
      <c r="AR133" s="4">
        <f>IF(T133="","-",T133)</f>
        <v/>
      </c>
      <c r="AS133" s="4" t="n">
        <v>0</v>
      </c>
      <c r="AT133" s="4" t="inlineStr">
        <is>
          <t>2020316</t>
        </is>
      </c>
      <c r="AU133" s="4" t="n"/>
      <c r="AV133" s="4" t="n"/>
      <c r="AW133" s="4" t="inlineStr">
        <is>
          <t>1箱（100枚入）</t>
        </is>
      </c>
      <c r="AX133" s="4" t="n">
        <v>7237</v>
      </c>
      <c r="AY133" s="4">
        <f>IF(AU133="",AX133,AU133/AV133*AX133)</f>
        <v/>
      </c>
      <c r="AZ133" s="19" t="n">
        <v>4</v>
      </c>
      <c r="BA133" s="19" t="n">
        <v>1</v>
      </c>
      <c r="BB133" s="16" t="n">
        <v>1120</v>
      </c>
      <c r="BC133" s="0" t="inlineStr">
        <is>
          <t>-</t>
        </is>
      </c>
      <c r="BD133" s="0">
        <f>IFERROR(BC133*AN133,"-")</f>
        <v/>
      </c>
      <c r="BE133" s="0" t="n">
        <v>7709</v>
      </c>
      <c r="BF133" s="0">
        <f>IFERROR(BE133*AN133,"-")</f>
        <v/>
      </c>
      <c r="BG133" s="0" t="inlineStr">
        <is>
          <t>アイリスオーヤマ　ラミネートフィルム　A3サイズ　片面マット　100μ(ミクロン)　LZM-A3100　1箱(100枚入)</t>
        </is>
      </c>
    </row>
    <row r="134">
      <c r="A134" s="0">
        <f>TEXT(F134,"000000")</f>
        <v/>
      </c>
      <c r="B134" s="3" t="n">
        <v>55</v>
      </c>
      <c r="C134" s="3" t="n">
        <v>55</v>
      </c>
      <c r="D134" s="4" t="inlineStr">
        <is>
          <t>J20312</t>
        </is>
      </c>
      <c r="E134" s="4">
        <f>TEXT(D134,"000000")</f>
        <v/>
      </c>
      <c r="F134" s="4" t="inlineStr">
        <is>
          <t>J20312</t>
        </is>
      </c>
      <c r="G134" s="4">
        <f>E134&amp;J134</f>
        <v/>
      </c>
      <c r="H134" s="4" t="inlineStr">
        <is>
          <t>ｱｲﾘｽｵｰﾔﾏ/ﾗﾐﾈｰﾄﾌｨﾙﾑ B4ｻｲｽﾞ 150μ(ﾐｸﾛﾝ) 100枚入/LZ-5</t>
        </is>
      </c>
      <c r="I134" s="58" t="n">
        <v>4905009427512</v>
      </c>
      <c r="J134" s="58" t="n">
        <v>5</v>
      </c>
      <c r="K134" s="58" t="n"/>
      <c r="L134" s="58" t="n">
        <v>1</v>
      </c>
      <c r="M134" s="58" t="n">
        <v>1</v>
      </c>
      <c r="N134" s="4" t="n">
        <v>0</v>
      </c>
      <c r="O134" s="4" t="n">
        <v>5151</v>
      </c>
      <c r="P134" s="4" t="n">
        <v>3000</v>
      </c>
      <c r="Q134" s="59">
        <f>IFERROR(1-P134/O134,"-")</f>
        <v/>
      </c>
      <c r="R134" s="4" t="inlineStr">
        <is>
          <t>-</t>
        </is>
      </c>
      <c r="S134" s="4" t="inlineStr">
        <is>
          <t>-</t>
        </is>
      </c>
      <c r="T134" s="4" t="inlineStr">
        <is>
          <t>-</t>
        </is>
      </c>
      <c r="U134" s="4" t="n">
        <v>0</v>
      </c>
      <c r="V134" s="4">
        <f>IF(Y134="",U134,U134*Y134)</f>
        <v/>
      </c>
      <c r="W134" s="4" t="n">
        <v>3600</v>
      </c>
      <c r="X134" s="4">
        <f>IF(Y134="",W134,W134*Y134)</f>
        <v/>
      </c>
      <c r="Y134" s="4" t="n"/>
      <c r="Z134" s="21">
        <f>ROUND(O134*AN134,0)</f>
        <v/>
      </c>
      <c r="AA134" s="59">
        <f>IFERROR(1-X134/Z134,"-")</f>
        <v/>
      </c>
      <c r="AB134" s="4" t="n">
        <v>0.25</v>
      </c>
      <c r="AC134" s="4">
        <f>AY134</f>
        <v/>
      </c>
      <c r="AD134" s="4">
        <f>IFERROR(AC134*AN134,"-")</f>
        <v/>
      </c>
      <c r="AE134" s="59">
        <f>IFERROR(1-X134/AD134,"-")</f>
        <v/>
      </c>
      <c r="AF134" s="7" t="n">
        <v>4799</v>
      </c>
      <c r="AG134" s="59">
        <f>1-X134/AF134</f>
        <v/>
      </c>
      <c r="AH134" s="4">
        <f>AF134-X134</f>
        <v/>
      </c>
      <c r="AI134" s="28" t="n"/>
      <c r="AJ134" s="59" t="n"/>
      <c r="AK134" s="59" t="n"/>
      <c r="AL134" s="59">
        <f>IFERROR(V134/N134,"-")</f>
        <v/>
      </c>
      <c r="AM134" s="59">
        <f>IFERROR(AF134/O134,"-")</f>
        <v/>
      </c>
      <c r="AN134" s="59">
        <f>IFERROR(X134/P134,"-")</f>
        <v/>
      </c>
      <c r="AO134" s="59">
        <f>IFERROR(1-X134/AP134,"-")</f>
        <v/>
      </c>
      <c r="AP134" s="4">
        <f>IFERROR(ROUND($AF134*R134/$O134,0),"-")</f>
        <v/>
      </c>
      <c r="AQ134" s="4">
        <f>IF(S134="","-",S134)</f>
        <v/>
      </c>
      <c r="AR134" s="4">
        <f>IF(T134="","-",T134)</f>
        <v/>
      </c>
      <c r="AS134" s="4" t="n">
        <v>0</v>
      </c>
      <c r="AT134" s="4" t="inlineStr">
        <is>
          <t>5997646</t>
        </is>
      </c>
      <c r="AU134" s="4" t="n"/>
      <c r="AV134" s="4" t="n"/>
      <c r="AW134" s="4" t="inlineStr">
        <is>
          <t>1箱（100枚入）</t>
        </is>
      </c>
      <c r="AX134" s="4" t="n">
        <v>4800</v>
      </c>
      <c r="AY134" s="4">
        <f>IF(AU134="",AX134,AU134/AV134*AX134)</f>
        <v/>
      </c>
      <c r="AZ134" s="19" t="n">
        <v>4</v>
      </c>
      <c r="BA134" s="19" t="n">
        <v>8</v>
      </c>
      <c r="BB134" s="16" t="n">
        <v>1120</v>
      </c>
      <c r="BC134" s="0" t="inlineStr">
        <is>
          <t>-</t>
        </is>
      </c>
      <c r="BD134" s="0">
        <f>IFERROR(BC134*AN134,"-")</f>
        <v/>
      </c>
      <c r="BE134" s="0" t="n">
        <v>6116</v>
      </c>
      <c r="BF134" s="0">
        <f>IFERROR(BE134*AN134,"-")</f>
        <v/>
      </c>
      <c r="BG134" s="0" t="inlineStr">
        <is>
          <t>アイリスオーヤマ　ラミネートフィルム　B4サイズ　150μ(ミクロン)　LZ-5B4100　1箱(100枚入)</t>
        </is>
      </c>
    </row>
    <row r="135">
      <c r="A135" s="0">
        <f>TEXT(F135,"000000")</f>
        <v/>
      </c>
      <c r="B135" s="37" t="n">
        <v>67</v>
      </c>
      <c r="C135" s="3" t="n">
        <v>67</v>
      </c>
      <c r="D135" s="4" t="inlineStr">
        <is>
          <t>J20299</t>
        </is>
      </c>
      <c r="E135" s="4">
        <f>TEXT(D135,"000000")</f>
        <v/>
      </c>
      <c r="F135" s="4" t="inlineStr">
        <is>
          <t>J20299</t>
        </is>
      </c>
      <c r="G135" s="4">
        <f>E135&amp;J135</f>
        <v/>
      </c>
      <c r="H135" s="4" t="inlineStr">
        <is>
          <t>ｱｲﾘｽｵｰﾔﾏ/ﾗﾐﾈｰﾄﾌｨﾙﾑ A2ｻｲｽﾞ 100μ(ﾐｸﾛﾝ) 100枚入/LZ-A</t>
        </is>
      </c>
      <c r="I135" s="58" t="n">
        <v>4905009708307</v>
      </c>
      <c r="J135" s="58" t="n">
        <v>5</v>
      </c>
      <c r="K135" s="58" t="n"/>
      <c r="L135" s="58" t="n">
        <v>1</v>
      </c>
      <c r="M135" s="58" t="n">
        <v>1</v>
      </c>
      <c r="N135" s="4" t="n">
        <v>0</v>
      </c>
      <c r="O135" s="4" t="n">
        <v>5273</v>
      </c>
      <c r="P135" s="4" t="n">
        <v>3400</v>
      </c>
      <c r="Q135" s="59">
        <f>IFERROR(1-P135/O135,"-")</f>
        <v/>
      </c>
      <c r="R135" s="4" t="n">
        <v>4910</v>
      </c>
      <c r="S135" s="4" t="n">
        <v>4</v>
      </c>
      <c r="T135" s="4" t="n">
        <v>99999</v>
      </c>
      <c r="U135" s="4" t="n">
        <v>0</v>
      </c>
      <c r="V135" s="4">
        <f>IF(Y135="",U135,U135*Y135)</f>
        <v/>
      </c>
      <c r="W135" s="4" t="n">
        <v>4080</v>
      </c>
      <c r="X135" s="4">
        <f>IF(Y135="",W135,W135*Y135)</f>
        <v/>
      </c>
      <c r="Y135" s="4" t="n"/>
      <c r="Z135" s="21">
        <f>ROUND(O135*AN135,0)</f>
        <v/>
      </c>
      <c r="AA135" s="59">
        <f>IFERROR(1-X135/Z135,"-")</f>
        <v/>
      </c>
      <c r="AB135" s="4" t="n">
        <v>1</v>
      </c>
      <c r="AC135" s="4">
        <f>AY135</f>
        <v/>
      </c>
      <c r="AD135" s="4">
        <f>IFERROR(AC135*AN135,"-")</f>
        <v/>
      </c>
      <c r="AE135" s="59">
        <f>IFERROR(1-X135/AD135,"-")</f>
        <v/>
      </c>
      <c r="AF135" s="7" t="n">
        <v>5399</v>
      </c>
      <c r="AG135" s="59">
        <f>1-X135/AF135</f>
        <v/>
      </c>
      <c r="AH135" s="38">
        <f>AF135-X135</f>
        <v/>
      </c>
      <c r="AI135" s="28" t="n"/>
      <c r="AJ135" s="59" t="n"/>
      <c r="AK135" s="59" t="n"/>
      <c r="AL135" s="60">
        <f>IFERROR(V135/N135,"-")</f>
        <v/>
      </c>
      <c r="AM135" s="59">
        <f>IFERROR(AF135/O135,"-")</f>
        <v/>
      </c>
      <c r="AN135" s="59">
        <f>IFERROR(X135/P135,"-")</f>
        <v/>
      </c>
      <c r="AO135" s="59">
        <f>IFERROR(1-X135/AP135,"-")</f>
        <v/>
      </c>
      <c r="AP135" s="4" t="n">
        <v>6000</v>
      </c>
      <c r="AQ135" s="4">
        <f>IF(S135="","-",S135)</f>
        <v/>
      </c>
      <c r="AR135" s="4">
        <f>IF(T135="","-",T135)</f>
        <v/>
      </c>
      <c r="AS135" s="4" t="n">
        <v>0</v>
      </c>
      <c r="AT135" s="4" t="inlineStr">
        <is>
          <t>P133632</t>
        </is>
      </c>
      <c r="AU135" s="4" t="n"/>
      <c r="AV135" s="4" t="n"/>
      <c r="AW135" s="4" t="inlineStr">
        <is>
          <t>1個</t>
        </is>
      </c>
      <c r="AX135" s="4" t="n">
        <v>5400</v>
      </c>
      <c r="AY135" s="4">
        <f>IF(AU135="",AX135,AU135/AV135*AX135)</f>
        <v/>
      </c>
      <c r="AZ135" s="19" t="n">
        <v>2</v>
      </c>
      <c r="BA135" s="19" t="n">
        <v>8</v>
      </c>
      <c r="BB135" s="16" t="n">
        <v>1120</v>
      </c>
      <c r="BC135" s="0" t="inlineStr">
        <is>
          <t>-</t>
        </is>
      </c>
      <c r="BD135" s="0">
        <f>IFERROR(BC135*AN135,"-")</f>
        <v/>
      </c>
      <c r="BE135" s="0" t="n">
        <v>7035</v>
      </c>
      <c r="BF135" s="0">
        <f>IFERROR(BE135*AN135,"-")</f>
        <v/>
      </c>
      <c r="BG135" s="0" t="inlineStr">
        <is>
          <t>アイリスオーヤマ　ラミネートフィルム　A2サイズ　100μ(ミクロン)　LZ-A2100　100枚入　1個</t>
        </is>
      </c>
    </row>
    <row r="136">
      <c r="A136" s="0">
        <f>TEXT(F136,"000000")</f>
        <v/>
      </c>
      <c r="B136" s="3" t="n">
        <v>36</v>
      </c>
      <c r="C136" s="3" t="n">
        <v>36</v>
      </c>
      <c r="D136" s="4" t="inlineStr">
        <is>
          <t>J20301</t>
        </is>
      </c>
      <c r="E136" s="4">
        <f>TEXT(D136,"000000")</f>
        <v/>
      </c>
      <c r="F136" s="4" t="inlineStr">
        <is>
          <t>J20301</t>
        </is>
      </c>
      <c r="G136" s="4">
        <f>E136&amp;J136</f>
        <v/>
      </c>
      <c r="H136" s="4" t="inlineStr">
        <is>
          <t>ｱｲﾘｽｵｰﾔﾏ/ﾗﾐﾈｰﾄﾌｨﾙﾑ A4ｻｲｽﾞ 100μ(ﾐｸﾛﾝ) 500枚入/LZ-A</t>
        </is>
      </c>
      <c r="I136" s="58" t="n">
        <v>4905009498628</v>
      </c>
      <c r="J136" s="58" t="n">
        <v>5</v>
      </c>
      <c r="K136" s="58" t="n"/>
      <c r="L136" s="58" t="n">
        <v>1</v>
      </c>
      <c r="M136" s="58" t="n">
        <v>1</v>
      </c>
      <c r="N136" s="4" t="n">
        <v>0</v>
      </c>
      <c r="O136" s="4" t="n">
        <v>6336</v>
      </c>
      <c r="P136" s="4" t="n">
        <v>4400</v>
      </c>
      <c r="Q136" s="59">
        <f>IFERROR(1-P136/O136,"-")</f>
        <v/>
      </c>
      <c r="R136" s="4" t="inlineStr">
        <is>
          <t>-</t>
        </is>
      </c>
      <c r="S136" s="4" t="inlineStr">
        <is>
          <t>-</t>
        </is>
      </c>
      <c r="T136" s="4" t="inlineStr">
        <is>
          <t>-</t>
        </is>
      </c>
      <c r="U136" s="4" t="n">
        <v>0</v>
      </c>
      <c r="V136" s="4">
        <f>IF(Y136="",U136,U136*Y136)</f>
        <v/>
      </c>
      <c r="W136" s="4" t="n">
        <v>5040</v>
      </c>
      <c r="X136" s="4">
        <f>IF(Y136="",W136,W136*Y136)</f>
        <v/>
      </c>
      <c r="Y136" s="4" t="n"/>
      <c r="Z136" s="21">
        <f>ROUND(O136*AN136,0)</f>
        <v/>
      </c>
      <c r="AA136" s="59">
        <f>IFERROR(1-X136/Z136,"-")</f>
        <v/>
      </c>
      <c r="AB136" s="4" t="n">
        <v>1.25</v>
      </c>
      <c r="AC136" s="4">
        <f>AY136</f>
        <v/>
      </c>
      <c r="AD136" s="4">
        <f>IFERROR(AC136*AN136,"-")</f>
        <v/>
      </c>
      <c r="AE136" s="59">
        <f>IFERROR(1-X136/AD136,"-")</f>
        <v/>
      </c>
      <c r="AF136" s="7" t="n">
        <v>9527</v>
      </c>
      <c r="AG136" s="59">
        <f>1-X136/AF136</f>
        <v/>
      </c>
      <c r="AH136" s="4">
        <f>AF136-X136</f>
        <v/>
      </c>
      <c r="AI136" s="28" t="n"/>
      <c r="AJ136" s="59" t="n"/>
      <c r="AK136" s="59" t="n"/>
      <c r="AL136" s="59">
        <f>IFERROR(V136/N136,"-")</f>
        <v/>
      </c>
      <c r="AM136" s="59">
        <f>IFERROR(AF136/O136,"-")</f>
        <v/>
      </c>
      <c r="AN136" s="59">
        <f>IFERROR(X136/P136,"-")</f>
        <v/>
      </c>
      <c r="AO136" s="59">
        <f>IFERROR(1-X136/AP136,"-")</f>
        <v/>
      </c>
      <c r="AP136" s="4">
        <f>IFERROR(ROUND($AF136*R136/$O136,0),"-")</f>
        <v/>
      </c>
      <c r="AQ136" s="4">
        <f>IF(S136="","-",S136)</f>
        <v/>
      </c>
      <c r="AR136" s="4">
        <f>IF(T136="","-",T136)</f>
        <v/>
      </c>
      <c r="AS136" s="4" t="n">
        <v>0</v>
      </c>
      <c r="AT136" s="4" t="inlineStr">
        <is>
          <t>314764</t>
        </is>
      </c>
      <c r="AU136" s="4" t="n"/>
      <c r="AV136" s="4" t="n"/>
      <c r="AW136" s="4" t="inlineStr">
        <is>
          <t>1個（500枚入）</t>
        </is>
      </c>
      <c r="AX136" s="4" t="n">
        <v>9528</v>
      </c>
      <c r="AY136" s="4">
        <f>IF(AU136="",AX136,AU136/AV136*AX136)</f>
        <v/>
      </c>
      <c r="AZ136" s="19" t="n">
        <v>4</v>
      </c>
      <c r="BA136" s="19" t="n">
        <v>1</v>
      </c>
      <c r="BB136" s="16" t="n">
        <v>1120</v>
      </c>
      <c r="BC136" s="0" t="inlineStr">
        <is>
          <t>-</t>
        </is>
      </c>
      <c r="BD136" s="0">
        <f>IFERROR(BC136*AN136,"-")</f>
        <v/>
      </c>
      <c r="BE136" s="0" t="n">
        <v>6555</v>
      </c>
      <c r="BF136" s="0">
        <f>IFERROR(BE136*AN136,"-")</f>
        <v/>
      </c>
      <c r="BG136" s="0" t="inlineStr">
        <is>
          <t>アイリスオーヤマ　ラミネートフィルム　A4サイズ　100μ(ミクロン)　LZ-A4500　1個(500枚入)</t>
        </is>
      </c>
    </row>
    <row r="137">
      <c r="A137" s="0">
        <f>TEXT(F137,"000000")</f>
        <v/>
      </c>
      <c r="B137" s="37" t="n">
        <v>86</v>
      </c>
      <c r="C137" s="3" t="n">
        <v>86</v>
      </c>
      <c r="D137" s="4" t="n">
        <v>669469</v>
      </c>
      <c r="E137" s="4">
        <f>TEXT(D137,"000000")</f>
        <v/>
      </c>
      <c r="F137" s="4" t="n">
        <v>669469</v>
      </c>
      <c r="G137" s="4">
        <f>E137&amp;J137</f>
        <v/>
      </c>
      <c r="H137" s="4" t="inlineStr">
        <is>
          <t>ｱｲﾘｽｵｰﾔﾏ/ﾗﾐﾈｰﾄﾌｨﾙﾑ 100μ A3ｻｲｽﾞ 300枚/LFT-A3300</t>
        </is>
      </c>
      <c r="I137" s="58" t="n">
        <v>4905009834228</v>
      </c>
      <c r="J137" s="58" t="n">
        <v>5</v>
      </c>
      <c r="K137" s="58" t="n"/>
      <c r="L137" s="58" t="n">
        <v>1</v>
      </c>
      <c r="M137" s="58" t="n">
        <v>1</v>
      </c>
      <c r="N137" s="4" t="n">
        <v>0</v>
      </c>
      <c r="O137" s="4" t="n">
        <v>8430</v>
      </c>
      <c r="P137" s="4" t="n">
        <v>4500</v>
      </c>
      <c r="Q137" s="59">
        <f>IFERROR(1-P137/O137,"-")</f>
        <v/>
      </c>
      <c r="R137" s="4" t="n">
        <v>8052</v>
      </c>
      <c r="S137" s="4" t="n">
        <v>2</v>
      </c>
      <c r="T137" s="4" t="n">
        <v>99999</v>
      </c>
      <c r="U137" s="4" t="n">
        <v>0</v>
      </c>
      <c r="V137" s="4">
        <f>IF(Y137="",U137,U137*Y137)</f>
        <v/>
      </c>
      <c r="W137" s="4" t="n">
        <v>5400</v>
      </c>
      <c r="X137" s="4">
        <f>IF(Y137="",W137,W137*Y137)</f>
        <v/>
      </c>
      <c r="Y137" s="4" t="n"/>
      <c r="Z137" s="21">
        <f>ROUND(O137*AN137,0)</f>
        <v/>
      </c>
      <c r="AA137" s="59">
        <f>IFERROR(1-X137/Z137,"-")</f>
        <v/>
      </c>
      <c r="AB137" s="4" t="n">
        <v>13.25</v>
      </c>
      <c r="AC137" s="4">
        <f>AY137</f>
        <v/>
      </c>
      <c r="AD137" s="4">
        <f>IFERROR(AC137*AN137,"-")</f>
        <v/>
      </c>
      <c r="AE137" s="59">
        <f>IFERROR(1-X137/AD137,"-")</f>
        <v/>
      </c>
      <c r="AF137" s="7" t="n">
        <v>8436</v>
      </c>
      <c r="AG137" s="59">
        <f>1-X137/AF137</f>
        <v/>
      </c>
      <c r="AH137" s="38">
        <f>AF137-X137</f>
        <v/>
      </c>
      <c r="AI137" s="28" t="n"/>
      <c r="AJ137" s="59" t="n"/>
      <c r="AK137" s="59" t="n"/>
      <c r="AL137" s="60">
        <f>IFERROR(V137/N137,"-")</f>
        <v/>
      </c>
      <c r="AM137" s="59">
        <f>IFERROR(AF137/O137,"-")</f>
        <v/>
      </c>
      <c r="AN137" s="59">
        <f>IFERROR(X137/P137,"-")</f>
        <v/>
      </c>
      <c r="AO137" s="59">
        <f>IFERROR(1-X137/AP137,"-")</f>
        <v/>
      </c>
      <c r="AP137" s="4" t="n">
        <v>9500</v>
      </c>
      <c r="AQ137" s="4">
        <f>IF(S137="","-",S137)</f>
        <v/>
      </c>
      <c r="AR137" s="4">
        <f>IF(T137="","-",T137)</f>
        <v/>
      </c>
      <c r="AS137" s="4" t="inlineStr">
        <is>
          <t>34/363</t>
        </is>
      </c>
      <c r="AT137" s="4" t="inlineStr">
        <is>
          <t>3485086</t>
        </is>
      </c>
      <c r="AU137" s="4" t="n"/>
      <c r="AV137" s="4" t="n"/>
      <c r="AW137" s="4" t="inlineStr">
        <is>
          <t>1箱（300枚入）</t>
        </is>
      </c>
      <c r="AX137" s="4" t="n">
        <v>8437</v>
      </c>
      <c r="AY137" s="4">
        <f>IF(AU137="",AX137,AU137/AV137*AX137)</f>
        <v/>
      </c>
      <c r="AZ137" s="19" t="n">
        <v>2</v>
      </c>
      <c r="BA137" s="19" t="n">
        <v>1</v>
      </c>
      <c r="BB137" s="16" t="n">
        <v>1120</v>
      </c>
      <c r="BC137" s="0" t="inlineStr">
        <is>
          <t>-</t>
        </is>
      </c>
      <c r="BD137" s="0">
        <f>IFERROR(BC137*AN137,"-")</f>
        <v/>
      </c>
      <c r="BE137" s="0" t="n">
        <v>10326</v>
      </c>
      <c r="BF137" s="0">
        <f>IFERROR(BE137*AN137,"-")</f>
        <v/>
      </c>
      <c r="BG137" s="0" t="inlineStr">
        <is>
          <t>アイリスオーヤマ　ラミネートフィルム　A3サイズ　帯電防止剤配合(静電気防止)　100μ(ミクロン)　LFT-A3300　1箱（300枚入）</t>
        </is>
      </c>
    </row>
    <row r="138">
      <c r="A138" s="0">
        <f>TEXT(F138,"000000")</f>
        <v/>
      </c>
      <c r="B138" s="3" t="n">
        <v>75</v>
      </c>
      <c r="C138" s="3" t="n">
        <v>75</v>
      </c>
      <c r="D138" s="4" t="inlineStr">
        <is>
          <t>J4538X</t>
        </is>
      </c>
      <c r="E138" s="4">
        <f>TEXT(D138,"000000")</f>
        <v/>
      </c>
      <c r="F138" s="4" t="inlineStr">
        <is>
          <t>J4538X</t>
        </is>
      </c>
      <c r="G138" s="4">
        <f>E138&amp;J138</f>
        <v/>
      </c>
      <c r="H138" s="4" t="inlineStr">
        <is>
          <t>ｱｲﾘｽｵｰﾔﾏ/高速起動 ﾗﾐﾈｰﾀｰ A3 本体 2本ﾛｰﾗｰ ﾎﾜｲﾄ/HSL-</t>
        </is>
      </c>
      <c r="I138" s="58" t="n">
        <v>4967576667159</v>
      </c>
      <c r="J138" s="58" t="n">
        <v>5</v>
      </c>
      <c r="K138" s="58" t="n"/>
      <c r="L138" s="58" t="n">
        <v>1</v>
      </c>
      <c r="M138" s="58" t="n">
        <v>1</v>
      </c>
      <c r="N138" s="4" t="n">
        <v>0</v>
      </c>
      <c r="O138" s="4" t="n">
        <v>9980</v>
      </c>
      <c r="P138" s="4" t="n">
        <v>7800</v>
      </c>
      <c r="Q138" s="59">
        <f>IFERROR(1-P138/O138,"-")</f>
        <v/>
      </c>
      <c r="R138" s="4" t="inlineStr">
        <is>
          <t>-</t>
        </is>
      </c>
      <c r="S138" s="4" t="inlineStr">
        <is>
          <t>-</t>
        </is>
      </c>
      <c r="T138" s="4" t="inlineStr">
        <is>
          <t>-</t>
        </is>
      </c>
      <c r="U138" s="4" t="n">
        <v>0</v>
      </c>
      <c r="V138" s="4">
        <f>IF(Y138="",U138,U138*Y138)</f>
        <v/>
      </c>
      <c r="W138" s="4" t="n">
        <v>8461</v>
      </c>
      <c r="X138" s="4">
        <f>IF(Y138="",W138,W138*Y138)</f>
        <v/>
      </c>
      <c r="Y138" s="4" t="n"/>
      <c r="Z138" s="21">
        <f>ROUND(O138*AN138,0)</f>
        <v/>
      </c>
      <c r="AA138" s="59">
        <f>IFERROR(1-X138/Z138,"-")</f>
        <v/>
      </c>
      <c r="AB138" s="4" t="n">
        <v>3.25</v>
      </c>
      <c r="AC138" s="4">
        <f>AY138</f>
        <v/>
      </c>
      <c r="AD138" s="4">
        <f>IFERROR(AC138*AN138,"-")</f>
        <v/>
      </c>
      <c r="AE138" s="59">
        <f>IFERROR(1-X138/AD138,"-")</f>
        <v/>
      </c>
      <c r="AF138" s="7" t="n">
        <v>14454</v>
      </c>
      <c r="AG138" s="59">
        <f>1-X138/AF138</f>
        <v/>
      </c>
      <c r="AH138" s="4">
        <f>AF138-X138</f>
        <v/>
      </c>
      <c r="AI138" s="28" t="n"/>
      <c r="AJ138" s="59" t="n"/>
      <c r="AK138" s="59" t="n"/>
      <c r="AL138" s="59">
        <f>IFERROR(V138/N138,"-")</f>
        <v/>
      </c>
      <c r="AM138" s="59">
        <f>IFERROR(AF138/O138,"-")</f>
        <v/>
      </c>
      <c r="AN138" s="59">
        <f>IFERROR(X138/P138,"-")</f>
        <v/>
      </c>
      <c r="AO138" s="59">
        <f>IFERROR(1-X138/AP138,"-")</f>
        <v/>
      </c>
      <c r="AP138" s="4">
        <f>IFERROR(ROUND($AF138*R138/$O138,0),"-")</f>
        <v/>
      </c>
      <c r="AQ138" s="4">
        <f>IF(S138="","-",S138)</f>
        <v/>
      </c>
      <c r="AR138" s="4">
        <f>IF(T138="","-",T138)</f>
        <v/>
      </c>
      <c r="AS138" s="4" t="inlineStr">
        <is>
          <t>34/368</t>
        </is>
      </c>
      <c r="AT138" s="4" t="inlineStr">
        <is>
          <t>EJ18532</t>
        </is>
      </c>
      <c r="AU138" s="4" t="n"/>
      <c r="AV138" s="4" t="n"/>
      <c r="AW138" s="4" t="inlineStr">
        <is>
          <t>1台</t>
        </is>
      </c>
      <c r="AX138" s="4" t="n">
        <v>14455</v>
      </c>
      <c r="AY138" s="4">
        <f>IF(AU138="",AX138,AU138/AV138*AX138)</f>
        <v/>
      </c>
      <c r="AZ138" s="19" t="n">
        <v>4</v>
      </c>
      <c r="BA138" s="19" t="n">
        <v>1</v>
      </c>
      <c r="BB138" s="16" t="n">
        <v>1120</v>
      </c>
      <c r="BC138" s="0" t="inlineStr">
        <is>
          <t>-</t>
        </is>
      </c>
      <c r="BD138" s="0">
        <f>IFERROR(BC138*AN138,"-")</f>
        <v/>
      </c>
      <c r="BE138" s="0" t="n">
        <v>14728</v>
      </c>
      <c r="BF138" s="0">
        <f>IFERROR(BE138*AN138,"-")</f>
        <v/>
      </c>
      <c r="BG138" s="0" t="inlineStr">
        <is>
          <t>A3 高速起動ラミネーター 2本ローラー HSL-A322-W ホワイト 1台 アイリスオーヤマ</t>
        </is>
      </c>
    </row>
    <row r="139">
      <c r="A139" s="0">
        <f>TEXT(F139,"000000")</f>
        <v/>
      </c>
      <c r="B139" s="3" t="n">
        <v>76</v>
      </c>
      <c r="C139" s="3" t="n">
        <v>76</v>
      </c>
      <c r="D139" s="4" t="inlineStr">
        <is>
          <t>J4539X</t>
        </is>
      </c>
      <c r="E139" s="4">
        <f>TEXT(D139,"000000")</f>
        <v/>
      </c>
      <c r="F139" s="4" t="inlineStr">
        <is>
          <t>J4539X</t>
        </is>
      </c>
      <c r="G139" s="4">
        <f>E139&amp;J139</f>
        <v/>
      </c>
      <c r="H139" s="4" t="inlineStr">
        <is>
          <t>ｱｲﾘｽｵｰﾔﾏ/高速起動 ﾗﾐﾈｰﾀｰ A3 本体 2本ﾛｰﾗｰ ﾚｯﾄﾞ/KHSL</t>
        </is>
      </c>
      <c r="I139" s="58" t="n">
        <v>4967576667166</v>
      </c>
      <c r="J139" s="58" t="n">
        <v>5</v>
      </c>
      <c r="K139" s="58" t="n"/>
      <c r="L139" s="58" t="n">
        <v>1</v>
      </c>
      <c r="M139" s="58" t="n">
        <v>1</v>
      </c>
      <c r="N139" s="4" t="n">
        <v>0</v>
      </c>
      <c r="O139" s="4" t="n">
        <v>12156</v>
      </c>
      <c r="P139" s="4" t="n">
        <v>7800</v>
      </c>
      <c r="Q139" s="59">
        <f>IFERROR(1-P139/O139,"-")</f>
        <v/>
      </c>
      <c r="R139" s="4" t="n">
        <v>11300</v>
      </c>
      <c r="S139" s="4" t="n">
        <v>4</v>
      </c>
      <c r="T139" s="4" t="n">
        <v>99999</v>
      </c>
      <c r="U139" s="4" t="n">
        <v>0</v>
      </c>
      <c r="V139" s="4">
        <f>IF(Y139="",U139,U139*Y139)</f>
        <v/>
      </c>
      <c r="W139" s="4" t="n">
        <v>8461</v>
      </c>
      <c r="X139" s="4">
        <f>IF(Y139="",W139,W139*Y139)</f>
        <v/>
      </c>
      <c r="Y139" s="4" t="n"/>
      <c r="Z139" s="21">
        <f>ROUND(O139*AN139,0)</f>
        <v/>
      </c>
      <c r="AA139" s="59">
        <f>IFERROR(1-X139/Z139,"-")</f>
        <v/>
      </c>
      <c r="AB139" s="4" t="n">
        <v>2.25</v>
      </c>
      <c r="AC139" s="4">
        <f>AY139</f>
        <v/>
      </c>
      <c r="AD139" s="4">
        <f>IFERROR(AC139*AN139,"-")</f>
        <v/>
      </c>
      <c r="AE139" s="59">
        <f>IFERROR(1-X139/AD139,"-")</f>
        <v/>
      </c>
      <c r="AF139" s="7" t="n">
        <v>14454</v>
      </c>
      <c r="AG139" s="59">
        <f>1-X139/AF139</f>
        <v/>
      </c>
      <c r="AH139" s="4">
        <f>AF139-X139</f>
        <v/>
      </c>
      <c r="AI139" s="28" t="n"/>
      <c r="AJ139" s="59" t="n"/>
      <c r="AK139" s="59" t="n"/>
      <c r="AL139" s="60">
        <f>IFERROR(V139/N139,"-")</f>
        <v/>
      </c>
      <c r="AM139" s="59">
        <f>IFERROR(AF139/O139,"-")</f>
        <v/>
      </c>
      <c r="AN139" s="59">
        <f>IFERROR(X139/P139,"-")</f>
        <v/>
      </c>
      <c r="AO139" s="59">
        <f>IFERROR(1-X139/AP139,"-")</f>
        <v/>
      </c>
      <c r="AP139" s="4" t="n">
        <v>12800</v>
      </c>
      <c r="AQ139" s="4">
        <f>IF(S139="","-",S139)</f>
        <v/>
      </c>
      <c r="AR139" s="4">
        <f>IF(T139="","-",T139)</f>
        <v/>
      </c>
      <c r="AS139" s="4" t="inlineStr">
        <is>
          <t>34/368</t>
        </is>
      </c>
      <c r="AT139" s="4" t="inlineStr">
        <is>
          <t>EJ18529</t>
        </is>
      </c>
      <c r="AU139" s="4" t="n"/>
      <c r="AV139" s="4" t="n"/>
      <c r="AW139" s="4" t="inlineStr">
        <is>
          <t>1台</t>
        </is>
      </c>
      <c r="AX139" s="4" t="n">
        <v>14455</v>
      </c>
      <c r="AY139" s="4">
        <f>IF(AU139="",AX139,AU139/AV139*AX139)</f>
        <v/>
      </c>
      <c r="AZ139" s="19" t="n">
        <v>4</v>
      </c>
      <c r="BA139" s="19" t="n">
        <v>1</v>
      </c>
      <c r="BB139" s="16" t="n">
        <v>1120</v>
      </c>
      <c r="BC139" s="0" t="inlineStr">
        <is>
          <t>-</t>
        </is>
      </c>
      <c r="BD139" s="0">
        <f>IFERROR(BC139*AN139,"-")</f>
        <v/>
      </c>
      <c r="BE139" s="0" t="n">
        <v>14728</v>
      </c>
      <c r="BF139" s="0">
        <f>IFERROR(BE139*AN139,"-")</f>
        <v/>
      </c>
      <c r="BG139" s="0" t="inlineStr">
        <is>
          <t>A3 高速起動ラミネーター 2本ローラー KHSL-A322-R レッド 1台 アイリスオーヤマ</t>
        </is>
      </c>
    </row>
    <row r="140">
      <c r="A140" s="0">
        <f>TEXT(F140,"000000")</f>
        <v/>
      </c>
      <c r="B140" s="3" t="n">
        <v>6</v>
      </c>
      <c r="C140" s="3" t="n">
        <v>6</v>
      </c>
      <c r="D140" s="4" t="n">
        <v>190560</v>
      </c>
      <c r="E140" s="4">
        <f>TEXT(D140,"000000")</f>
        <v/>
      </c>
      <c r="F140" s="4" t="n">
        <v>190560</v>
      </c>
      <c r="G140" s="4">
        <f>E140&amp;J140</f>
        <v/>
      </c>
      <c r="H140" s="4" t="inlineStr">
        <is>
          <t>ｱｲﾘｽｵｰﾔﾏ/ﾗﾐﾈｰﾀｰ A3 本体 4本ﾛｰﾗｰ ﾎﾜｲﾄ/LFA34AR-W</t>
        </is>
      </c>
      <c r="I140" s="58" t="n">
        <v>4967576232685</v>
      </c>
      <c r="J140" s="58" t="n">
        <v>5</v>
      </c>
      <c r="K140" s="58" t="n"/>
      <c r="L140" s="58" t="n">
        <v>1</v>
      </c>
      <c r="M140" s="58" t="n">
        <v>1</v>
      </c>
      <c r="N140" s="4" t="n">
        <v>0</v>
      </c>
      <c r="O140" s="4" t="n">
        <v>15580</v>
      </c>
      <c r="P140" s="4" t="n">
        <v>8060</v>
      </c>
      <c r="Q140" s="59">
        <f>IFERROR(1-P140/O140,"-")</f>
        <v/>
      </c>
      <c r="R140" s="4" t="n">
        <v>14800</v>
      </c>
      <c r="S140" s="4" t="n">
        <v>4</v>
      </c>
      <c r="T140" s="4" t="n">
        <v>99999</v>
      </c>
      <c r="U140" s="4" t="n">
        <v>0</v>
      </c>
      <c r="V140" s="4">
        <f>IF(Y140="",U140,U140*Y140)</f>
        <v/>
      </c>
      <c r="W140" s="4" t="n">
        <v>8743</v>
      </c>
      <c r="X140" s="4">
        <f>IF(Y140="",W140,W140*Y140)</f>
        <v/>
      </c>
      <c r="Y140" s="4" t="n"/>
      <c r="Z140" s="21">
        <f>ROUND(O140*AN140,0)</f>
        <v/>
      </c>
      <c r="AA140" s="59">
        <f>IFERROR(1-X140/Z140,"-")</f>
        <v/>
      </c>
      <c r="AB140" s="4" t="n">
        <v>3.75</v>
      </c>
      <c r="AC140" s="4">
        <f>AY140</f>
        <v/>
      </c>
      <c r="AD140" s="4">
        <f>IFERROR(AC140*AN140,"-")</f>
        <v/>
      </c>
      <c r="AE140" s="59">
        <f>IFERROR(1-X140/AD140,"-")</f>
        <v/>
      </c>
      <c r="AF140" s="7" t="n">
        <v>15581</v>
      </c>
      <c r="AG140" s="59">
        <f>1-X140/AF140</f>
        <v/>
      </c>
      <c r="AH140" s="4">
        <f>AF140-X140</f>
        <v/>
      </c>
      <c r="AI140" s="28" t="n"/>
      <c r="AJ140" s="59" t="n"/>
      <c r="AK140" s="59" t="n"/>
      <c r="AL140" s="60">
        <f>IFERROR(V140/N140,"-")</f>
        <v/>
      </c>
      <c r="AM140" s="59">
        <f>IFERROR(AF140/O140,"-")</f>
        <v/>
      </c>
      <c r="AN140" s="59">
        <f>IFERROR(X140/P140,"-")</f>
        <v/>
      </c>
      <c r="AO140" s="59">
        <f>IFERROR(1-X140/AP140,"-")</f>
        <v/>
      </c>
      <c r="AP140" s="4" t="n">
        <v>15800</v>
      </c>
      <c r="AQ140" s="4">
        <f>IF(S140="","-",S140)</f>
        <v/>
      </c>
      <c r="AR140" s="4">
        <f>IF(T140="","-",T140)</f>
        <v/>
      </c>
      <c r="AS140" s="4" t="inlineStr">
        <is>
          <t>34/367</t>
        </is>
      </c>
      <c r="AT140" s="4" t="inlineStr">
        <is>
          <t>2878614</t>
        </is>
      </c>
      <c r="AU140" s="4" t="n"/>
      <c r="AV140" s="4" t="n"/>
      <c r="AW140" s="4" t="inlineStr">
        <is>
          <t>1台</t>
        </is>
      </c>
      <c r="AX140" s="4" t="n">
        <v>15582</v>
      </c>
      <c r="AY140" s="4">
        <f>IF(AU140="",AX140,AU140/AV140*AX140)</f>
        <v/>
      </c>
      <c r="AZ140" s="19" t="n">
        <v>4</v>
      </c>
      <c r="BA140" s="19" t="n">
        <v>1</v>
      </c>
      <c r="BB140" s="16" t="n">
        <v>1120</v>
      </c>
      <c r="BC140" s="0" t="inlineStr">
        <is>
          <t>-</t>
        </is>
      </c>
      <c r="BD140" s="0">
        <f>IFERROR(BC140*AN140,"-")</f>
        <v/>
      </c>
      <c r="BE140" s="0" t="n">
        <v>21237</v>
      </c>
      <c r="BF140" s="0">
        <f>IFERROR(BE140*AN140,"-")</f>
        <v/>
      </c>
      <c r="BG140" s="0" t="inlineStr">
        <is>
          <t>A3ラミネーターLFA34AR-W(520736)アイリスオーヤマ4本ローラー</t>
        </is>
      </c>
    </row>
    <row r="141">
      <c r="A141" s="0">
        <f>TEXT(F141,"000000")</f>
        <v/>
      </c>
      <c r="B141" s="3" t="n">
        <v>37</v>
      </c>
      <c r="C141" s="3" t="n">
        <v>37</v>
      </c>
      <c r="D141" s="4" t="inlineStr">
        <is>
          <t>J20302</t>
        </is>
      </c>
      <c r="E141" s="4">
        <f>TEXT(D141,"000000")</f>
        <v/>
      </c>
      <c r="F141" s="4" t="inlineStr">
        <is>
          <t>J20302</t>
        </is>
      </c>
      <c r="G141" s="4">
        <f>E141&amp;J141</f>
        <v/>
      </c>
      <c r="H141" s="4" t="inlineStr">
        <is>
          <t>ｱｲﾘｽｵｰﾔﾏ/ﾗﾐﾈｰﾄﾌｨﾙﾑ A3ｻｲｽﾞ 100μ(ﾐｸﾛﾝ) 500枚入/LZ-A</t>
        </is>
      </c>
      <c r="I141" s="58" t="n">
        <v>4905009498635</v>
      </c>
      <c r="J141" s="58" t="n">
        <v>5</v>
      </c>
      <c r="K141" s="58" t="n"/>
      <c r="L141" s="58" t="n">
        <v>1</v>
      </c>
      <c r="M141" s="58" t="n">
        <v>1</v>
      </c>
      <c r="N141" s="4" t="n">
        <v>0</v>
      </c>
      <c r="O141" s="4" t="n">
        <v>9942</v>
      </c>
      <c r="P141" s="4" t="n">
        <v>8300</v>
      </c>
      <c r="Q141" s="59">
        <f>IFERROR(1-P141/O141,"-")</f>
        <v/>
      </c>
      <c r="R141" s="4" t="inlineStr">
        <is>
          <t>-</t>
        </is>
      </c>
      <c r="S141" s="4" t="inlineStr">
        <is>
          <t>-</t>
        </is>
      </c>
      <c r="T141" s="4" t="inlineStr">
        <is>
          <t>-</t>
        </is>
      </c>
      <c r="U141" s="4" t="n">
        <v>0</v>
      </c>
      <c r="V141" s="4">
        <f>IF(Y141="",U141,U141*Y141)</f>
        <v/>
      </c>
      <c r="W141" s="4" t="n">
        <v>9503</v>
      </c>
      <c r="X141" s="4">
        <f>IF(Y141="",W141,W141*Y141)</f>
        <v/>
      </c>
      <c r="Y141" s="4" t="n"/>
      <c r="Z141" s="21">
        <f>ROUND(O141*AN141,0)</f>
        <v/>
      </c>
      <c r="AA141" s="59">
        <f>IFERROR(1-X141/Z141,"-")</f>
        <v/>
      </c>
      <c r="AB141" s="4" t="n">
        <v>1.75</v>
      </c>
      <c r="AC141" s="4">
        <f>AY141</f>
        <v/>
      </c>
      <c r="AD141" s="4">
        <f>IFERROR(AC141*AN141,"-")</f>
        <v/>
      </c>
      <c r="AE141" s="59">
        <f>IFERROR(1-X141/AD141,"-")</f>
        <v/>
      </c>
      <c r="AF141" s="7" t="n">
        <v>14636</v>
      </c>
      <c r="AG141" s="59">
        <f>1-X141/AF141</f>
        <v/>
      </c>
      <c r="AH141" s="4">
        <f>AF141-X141</f>
        <v/>
      </c>
      <c r="AI141" s="28" t="n"/>
      <c r="AJ141" s="59" t="n"/>
      <c r="AK141" s="59" t="n"/>
      <c r="AL141" s="59">
        <f>IFERROR(V141/N141,"-")</f>
        <v/>
      </c>
      <c r="AM141" s="59">
        <f>IFERROR(AF141/O141,"-")</f>
        <v/>
      </c>
      <c r="AN141" s="59">
        <f>IFERROR(X141/P141,"-")</f>
        <v/>
      </c>
      <c r="AO141" s="59">
        <f>IFERROR(1-X141/AP141,"-")</f>
        <v/>
      </c>
      <c r="AP141" s="4">
        <f>IFERROR(ROUND($AF141*R141/$O141,0),"-")</f>
        <v/>
      </c>
      <c r="AQ141" s="4">
        <f>IF(S141="","-",S141)</f>
        <v/>
      </c>
      <c r="AR141" s="4">
        <f>IF(T141="","-",T141)</f>
        <v/>
      </c>
      <c r="AS141" s="4" t="n">
        <v>0</v>
      </c>
      <c r="AT141" s="4" t="inlineStr">
        <is>
          <t>314791</t>
        </is>
      </c>
      <c r="AU141" s="4" t="n"/>
      <c r="AV141" s="4" t="n"/>
      <c r="AW141" s="4" t="inlineStr">
        <is>
          <t>1個（500枚入）</t>
        </is>
      </c>
      <c r="AX141" s="4" t="n">
        <v>14637</v>
      </c>
      <c r="AY141" s="4">
        <f>IF(AU141="",AX141,AU141/AV141*AX141)</f>
        <v/>
      </c>
      <c r="AZ141" s="19" t="n">
        <v>4</v>
      </c>
      <c r="BA141" s="19" t="n">
        <v>1</v>
      </c>
      <c r="BB141" s="16" t="n">
        <v>1120</v>
      </c>
      <c r="BC141" s="0" t="inlineStr">
        <is>
          <t>-</t>
        </is>
      </c>
      <c r="BD141" s="0">
        <f>IFERROR(BC141*AN141,"-")</f>
        <v/>
      </c>
      <c r="BE141" s="0" t="n">
        <v>16243</v>
      </c>
      <c r="BF141" s="0">
        <f>IFERROR(BE141*AN141,"-")</f>
        <v/>
      </c>
      <c r="BG141" s="0" t="inlineStr">
        <is>
          <t>アイリスオーヤマ　ラミネートフィルム　A3サイズ　100μ(ミクロン)　LZ-A3500　1個(500枚入)</t>
        </is>
      </c>
    </row>
    <row r="142">
      <c r="A142" s="0">
        <f>TEXT(F142,"000000")</f>
        <v/>
      </c>
      <c r="B142" s="3" t="n">
        <v>79</v>
      </c>
      <c r="C142" s="3" t="n">
        <v>79</v>
      </c>
      <c r="D142" s="4" t="inlineStr">
        <is>
          <t>J7643P</t>
        </is>
      </c>
      <c r="E142" s="4">
        <f>TEXT(D142,"000000")</f>
        <v/>
      </c>
      <c r="F142" s="4" t="inlineStr">
        <is>
          <t>J7643P</t>
        </is>
      </c>
      <c r="G142" s="4">
        <f>E142&amp;J142</f>
        <v/>
      </c>
      <c r="H142" s="4" t="inlineStr">
        <is>
          <t>ｱｲﾘｽｵｰﾔﾏ/高速起動 ﾗﾐﾈｰﾀｰ A3 本体 4本ﾛｰﾗｰ ﾎﾜｲﾄ/HSL-</t>
        </is>
      </c>
      <c r="I142" s="58" t="n">
        <v>4967576685160</v>
      </c>
      <c r="J142" s="58" t="n">
        <v>5</v>
      </c>
      <c r="K142" s="58" t="n"/>
      <c r="L142" s="58" t="n">
        <v>1</v>
      </c>
      <c r="M142" s="58" t="n">
        <v>1</v>
      </c>
      <c r="N142" s="4" t="n">
        <v>0</v>
      </c>
      <c r="O142" s="4" t="n">
        <v>14800</v>
      </c>
      <c r="P142" s="4" t="n">
        <v>9700</v>
      </c>
      <c r="Q142" s="59">
        <f>IFERROR(1-P142/O142,"-")</f>
        <v/>
      </c>
      <c r="R142" s="4" t="inlineStr">
        <is>
          <t>-</t>
        </is>
      </c>
      <c r="S142" s="4" t="inlineStr">
        <is>
          <t>-</t>
        </is>
      </c>
      <c r="T142" s="4" t="inlineStr">
        <is>
          <t>-</t>
        </is>
      </c>
      <c r="U142" s="4" t="n">
        <v>0</v>
      </c>
      <c r="V142" s="4">
        <f>IF(Y142="",U142,U142*Y142)</f>
        <v/>
      </c>
      <c r="W142" s="4" t="n">
        <v>10355</v>
      </c>
      <c r="X142" s="4">
        <f>IF(Y142="",W142,W142*Y142)</f>
        <v/>
      </c>
      <c r="Y142" s="4" t="n"/>
      <c r="Z142" s="21">
        <f>ROUND(O142*AN142,0)</f>
        <v/>
      </c>
      <c r="AA142" s="59">
        <f>IFERROR(1-X142/Z142,"-")</f>
        <v/>
      </c>
      <c r="AB142" s="4" t="n">
        <v>7.5</v>
      </c>
      <c r="AC142" s="4">
        <f>AY142</f>
        <v/>
      </c>
      <c r="AD142" s="4">
        <f>IFERROR(AC142*AN142,"-")</f>
        <v/>
      </c>
      <c r="AE142" s="59">
        <f>IFERROR(1-X142/AD142,"-")</f>
        <v/>
      </c>
      <c r="AF142" s="7" t="n">
        <v>18090</v>
      </c>
      <c r="AG142" s="59">
        <f>1-X142/AF142</f>
        <v/>
      </c>
      <c r="AH142" s="4">
        <f>AF142-X142</f>
        <v/>
      </c>
      <c r="AI142" s="28" t="n"/>
      <c r="AJ142" s="59" t="n"/>
      <c r="AK142" s="59" t="n"/>
      <c r="AL142" s="59">
        <f>IFERROR(V142/N142,"-")</f>
        <v/>
      </c>
      <c r="AM142" s="59">
        <f>IFERROR(AF142/O142,"-")</f>
        <v/>
      </c>
      <c r="AN142" s="59">
        <f>IFERROR(X142/P142,"-")</f>
        <v/>
      </c>
      <c r="AO142" s="59">
        <f>IFERROR(1-X142/AP142,"-")</f>
        <v/>
      </c>
      <c r="AP142" s="4">
        <f>IFERROR(ROUND($AF142*R142/$O142,0),"-")</f>
        <v/>
      </c>
      <c r="AQ142" s="4">
        <f>IF(S142="","-",S142)</f>
        <v/>
      </c>
      <c r="AR142" s="4">
        <f>IF(T142="","-",T142)</f>
        <v/>
      </c>
      <c r="AS142" s="4" t="inlineStr">
        <is>
          <t>34/367</t>
        </is>
      </c>
      <c r="AT142" s="4" t="inlineStr">
        <is>
          <t>XP01247</t>
        </is>
      </c>
      <c r="AU142" s="4" t="n"/>
      <c r="AV142" s="4" t="n"/>
      <c r="AW142" s="4" t="inlineStr">
        <is>
          <t>1台</t>
        </is>
      </c>
      <c r="AX142" s="4" t="n">
        <v>18091</v>
      </c>
      <c r="AY142" s="4">
        <f>IF(AU142="",AX142,AU142/AV142*AX142)</f>
        <v/>
      </c>
      <c r="AZ142" s="19" t="n">
        <v>4</v>
      </c>
      <c r="BA142" s="19" t="n">
        <v>1</v>
      </c>
      <c r="BB142" s="16" t="n">
        <v>1120</v>
      </c>
      <c r="BC142" s="0" t="inlineStr">
        <is>
          <t>-</t>
        </is>
      </c>
      <c r="BD142" s="0">
        <f>IFERROR(BC142*AN142,"-")</f>
        <v/>
      </c>
      <c r="BE142" s="0" t="n">
        <v>21364</v>
      </c>
      <c r="BF142" s="0">
        <f>IFERROR(BE142*AN142,"-")</f>
        <v/>
      </c>
      <c r="BG142" s="0" t="inlineStr">
        <is>
          <t>アイリスオーヤマ 高速起動ラミネーター 4本ローラー HSL-A343-W 1台</t>
        </is>
      </c>
    </row>
    <row r="143">
      <c r="A143" s="0">
        <f>TEXT(F143,"000000")</f>
        <v/>
      </c>
      <c r="B143" s="3" t="n">
        <v>32</v>
      </c>
      <c r="C143" s="3" t="n">
        <v>32</v>
      </c>
      <c r="D143" s="4" t="inlineStr">
        <is>
          <t>J20270</t>
        </is>
      </c>
      <c r="E143" s="4">
        <f>TEXT(D143,"000000")</f>
        <v/>
      </c>
      <c r="F143" s="4" t="inlineStr">
        <is>
          <t>J20270</t>
        </is>
      </c>
      <c r="G143" s="4">
        <f>E143&amp;J143</f>
        <v/>
      </c>
      <c r="H143" s="4" t="inlineStr">
        <is>
          <t>ｱｲﾘｽｵｰﾔﾏ/ﾊﾝﾄﾞｼｭﾚｯﾀﾞｰ 手動 (1.5L/A4縦折り) ｽﾄﾚｰﾄｶｯﾄ</t>
        </is>
      </c>
      <c r="I143" s="58" t="n">
        <v>4905009723997</v>
      </c>
      <c r="J143" s="58" t="n">
        <v>5</v>
      </c>
      <c r="K143" s="58" t="n"/>
      <c r="L143" s="58" t="n">
        <v>1</v>
      </c>
      <c r="M143" s="58" t="n">
        <v>1</v>
      </c>
      <c r="N143" s="4" t="n">
        <v>0</v>
      </c>
      <c r="O143" s="4" t="n">
        <v>801</v>
      </c>
      <c r="P143" s="4" t="n">
        <v>550</v>
      </c>
      <c r="Q143" s="59">
        <f>IFERROR(1-P143/O143,"-")</f>
        <v/>
      </c>
      <c r="R143" s="4" t="inlineStr">
        <is>
          <t>-</t>
        </is>
      </c>
      <c r="S143" s="4" t="inlineStr">
        <is>
          <t>-</t>
        </is>
      </c>
      <c r="T143" s="4" t="inlineStr">
        <is>
          <t>-</t>
        </is>
      </c>
      <c r="U143" s="4" t="n">
        <v>0</v>
      </c>
      <c r="V143" s="4">
        <f>IF(Y143="",U143,U143*Y143)</f>
        <v/>
      </c>
      <c r="W143" s="4" t="n">
        <v>618</v>
      </c>
      <c r="X143" s="4">
        <f>IF(Y143="",W143,W143*Y143)</f>
        <v/>
      </c>
      <c r="Y143" s="4" t="n"/>
      <c r="Z143" s="21">
        <f>ROUND(O143*AN143,0)</f>
        <v/>
      </c>
      <c r="AA143" s="59">
        <f>IFERROR(1-X143/Z143,"-")</f>
        <v/>
      </c>
      <c r="AB143" s="4" t="n">
        <v>2.5</v>
      </c>
      <c r="AC143" s="4">
        <f>AY143</f>
        <v/>
      </c>
      <c r="AD143" s="4">
        <f>IFERROR(AC143*AN143,"-")</f>
        <v/>
      </c>
      <c r="AE143" s="59">
        <f>IFERROR(1-X143/AD143,"-")</f>
        <v/>
      </c>
      <c r="AF143" s="7" t="n">
        <v>873</v>
      </c>
      <c r="AG143" s="59">
        <f>1-X143/AF143</f>
        <v/>
      </c>
      <c r="AH143" s="4">
        <f>AF143-X143</f>
        <v/>
      </c>
      <c r="AI143" s="28" t="n"/>
      <c r="AJ143" s="59" t="n"/>
      <c r="AK143" s="59" t="n"/>
      <c r="AL143" s="59">
        <f>IFERROR(V143/N143,"-")</f>
        <v/>
      </c>
      <c r="AM143" s="59">
        <f>IFERROR(AF143/O143,"-")</f>
        <v/>
      </c>
      <c r="AN143" s="59">
        <f>IFERROR(X143/P143,"-")</f>
        <v/>
      </c>
      <c r="AO143" s="59">
        <f>IFERROR(1-X143/AP143,"-")</f>
        <v/>
      </c>
      <c r="AP143" s="4">
        <f>IFERROR(ROUND($AF143*R143/$O143,0),"-")</f>
        <v/>
      </c>
      <c r="AQ143" s="4">
        <f>IF(S143="","-",S143)</f>
        <v/>
      </c>
      <c r="AR143" s="4">
        <f>IF(T143="","-",T143)</f>
        <v/>
      </c>
      <c r="AS143" s="4" t="n">
        <v>0</v>
      </c>
      <c r="AT143" s="4" t="inlineStr">
        <is>
          <t>U042588</t>
        </is>
      </c>
      <c r="AU143" s="4" t="n"/>
      <c r="AV143" s="4" t="n"/>
      <c r="AW143" s="4" t="inlineStr">
        <is>
          <t>1台</t>
        </is>
      </c>
      <c r="AX143" s="4" t="n">
        <v>874</v>
      </c>
      <c r="AY143" s="4">
        <f>IF(AU143="",AX143,AU143/AV143*AX143)</f>
        <v/>
      </c>
      <c r="AZ143" s="19" t="n">
        <v>4</v>
      </c>
      <c r="BA143" s="19" t="n">
        <v>1</v>
      </c>
      <c r="BB143" s="16" t="n">
        <v>1125</v>
      </c>
      <c r="BC143" s="0" t="inlineStr">
        <is>
          <t>-</t>
        </is>
      </c>
      <c r="BD143" s="0">
        <f>IFERROR(BC143*AN143,"-")</f>
        <v/>
      </c>
      <c r="BE143" s="0" t="n">
        <v>930</v>
      </c>
      <c r="BF143" s="0">
        <f>IFERROR(BE143*AN143,"-")</f>
        <v/>
      </c>
      <c r="BG143" s="0" t="inlineStr">
        <is>
          <t>アイリスオーヤマ ハンドシュレッダー  手動 小型シュレッダー 卓上 Ａ4縦折り 1.5L ブルー H62ST １台</t>
        </is>
      </c>
    </row>
    <row r="144">
      <c r="A144" s="0">
        <f>TEXT(F144,"000000")</f>
        <v/>
      </c>
      <c r="B144" s="3" t="n">
        <v>26</v>
      </c>
      <c r="C144" s="3" t="n">
        <v>26</v>
      </c>
      <c r="D144" s="4" t="n">
        <v>685011</v>
      </c>
      <c r="E144" s="4">
        <f>TEXT(D144,"000000")</f>
        <v/>
      </c>
      <c r="F144" s="4" t="n">
        <v>685011</v>
      </c>
      <c r="G144" s="4">
        <f>E144&amp;J144</f>
        <v/>
      </c>
      <c r="H144" s="4" t="inlineStr">
        <is>
          <t>ｱｲﾘｽｵｰﾔﾏ/ﾊﾝﾄﾞｼｭﾚｯﾀﾞｰ (3.2L/手動) ｸﾛｽｶｯﾄ ﾌﾞﾙｰ/ﾎﾜｲﾄ/</t>
        </is>
      </c>
      <c r="I144" s="58" t="n">
        <v>4905009875238</v>
      </c>
      <c r="J144" s="58" t="n">
        <v>5</v>
      </c>
      <c r="K144" s="58" t="n"/>
      <c r="L144" s="58" t="n">
        <v>1</v>
      </c>
      <c r="M144" s="58" t="n">
        <v>1</v>
      </c>
      <c r="N144" s="4" t="n">
        <v>0</v>
      </c>
      <c r="O144" s="4" t="n">
        <v>2744</v>
      </c>
      <c r="P144" s="4" t="n">
        <v>1700</v>
      </c>
      <c r="Q144" s="59">
        <f>IFERROR(1-P144/O144,"-")</f>
        <v/>
      </c>
      <c r="R144" s="4" t="inlineStr">
        <is>
          <t>-</t>
        </is>
      </c>
      <c r="S144" s="4" t="inlineStr">
        <is>
          <t>-</t>
        </is>
      </c>
      <c r="T144" s="4" t="inlineStr">
        <is>
          <t>-</t>
        </is>
      </c>
      <c r="U144" s="4" t="n">
        <v>0</v>
      </c>
      <c r="V144" s="4">
        <f>IF(Y144="",U144,U144*Y144)</f>
        <v/>
      </c>
      <c r="W144" s="4" t="n">
        <v>1905</v>
      </c>
      <c r="X144" s="4">
        <f>IF(Y144="",W144,W144*Y144)</f>
        <v/>
      </c>
      <c r="Y144" s="4" t="n"/>
      <c r="Z144" s="21">
        <f>ROUND(O144*AN144,0)</f>
        <v/>
      </c>
      <c r="AA144" s="59">
        <f>IFERROR(1-X144/Z144,"-")</f>
        <v/>
      </c>
      <c r="AB144" s="4" t="n">
        <v>2.5</v>
      </c>
      <c r="AC144" s="4">
        <f>AY144</f>
        <v/>
      </c>
      <c r="AD144" s="4">
        <f>IFERROR(AC144*AN144,"-")</f>
        <v/>
      </c>
      <c r="AE144" s="59">
        <f>IFERROR(1-X144/AD144,"-")</f>
        <v/>
      </c>
      <c r="AF144" s="7" t="n">
        <v>2663</v>
      </c>
      <c r="AG144" s="59">
        <f>1-X144/AF144</f>
        <v/>
      </c>
      <c r="AH144" s="4">
        <f>AF144-X144</f>
        <v/>
      </c>
      <c r="AI144" s="28" t="n"/>
      <c r="AJ144" s="59" t="n"/>
      <c r="AK144" s="59" t="n"/>
      <c r="AL144" s="59">
        <f>IFERROR(V144/N144,"-")</f>
        <v/>
      </c>
      <c r="AM144" s="59">
        <f>IFERROR(AF144/O144,"-")</f>
        <v/>
      </c>
      <c r="AN144" s="59">
        <f>IFERROR(X144/P144,"-")</f>
        <v/>
      </c>
      <c r="AO144" s="59">
        <f>IFERROR(1-X144/AP144,"-")</f>
        <v/>
      </c>
      <c r="AP144" s="4">
        <f>IFERROR(ROUND($AF144*R144/$O144,0),"-")</f>
        <v/>
      </c>
      <c r="AQ144" s="4">
        <f>IF(S144="","-",S144)</f>
        <v/>
      </c>
      <c r="AR144" s="4">
        <f>IF(T144="","-",T144)</f>
        <v/>
      </c>
      <c r="AS144" s="4" t="inlineStr">
        <is>
          <t>34/338</t>
        </is>
      </c>
      <c r="AT144" s="4" t="inlineStr">
        <is>
          <t>1855615</t>
        </is>
      </c>
      <c r="AU144" s="4" t="n"/>
      <c r="AV144" s="4" t="n"/>
      <c r="AW144" s="4" t="inlineStr">
        <is>
          <t>1台</t>
        </is>
      </c>
      <c r="AX144" s="4" t="n">
        <v>2664</v>
      </c>
      <c r="AY144" s="4">
        <f>IF(AU144="",AX144,AU144/AV144*AX144)</f>
        <v/>
      </c>
      <c r="AZ144" s="19" t="n">
        <v>4</v>
      </c>
      <c r="BA144" s="19" t="n">
        <v>1</v>
      </c>
      <c r="BB144" s="16" t="n">
        <v>1125</v>
      </c>
      <c r="BC144" s="0" t="inlineStr">
        <is>
          <t>-</t>
        </is>
      </c>
      <c r="BD144" s="0">
        <f>IFERROR(BC144*AN144,"-")</f>
        <v/>
      </c>
      <c r="BE144" s="0" t="n">
        <v>3099</v>
      </c>
      <c r="BF144" s="0">
        <f>IFERROR(BE144*AN144,"-")</f>
        <v/>
      </c>
      <c r="BG144" s="0" t="inlineStr">
        <is>
          <t>A4  クロスカットハンドシュレッダー (3.2L/最大細断枚数1枚)  H1ME アイリスオーヤマ</t>
        </is>
      </c>
    </row>
    <row r="145">
      <c r="A145" s="0">
        <f>TEXT(F145,"000000")</f>
        <v/>
      </c>
      <c r="B145" s="3" t="n">
        <v>68</v>
      </c>
      <c r="C145" s="3" t="n">
        <v>68</v>
      </c>
      <c r="D145" s="4" t="inlineStr">
        <is>
          <t>J2859P</t>
        </is>
      </c>
      <c r="E145" s="4">
        <f>TEXT(D145,"000000")</f>
        <v/>
      </c>
      <c r="F145" s="4" t="inlineStr">
        <is>
          <t>J2859P</t>
        </is>
      </c>
      <c r="G145" s="4">
        <f>E145&amp;J145</f>
        <v/>
      </c>
      <c r="H145" s="4" t="inlineStr">
        <is>
          <t>G)ｱｲﾘｽｵｰﾔﾏ/ﾊﾟｰｿﾅﾙｼｭﾚｯﾀﾞｰ (8.7L/最大細断枚数5枚) ｸﾛ</t>
        </is>
      </c>
      <c r="I145" s="58" t="n">
        <v>4967576702423</v>
      </c>
      <c r="J145" s="58" t="n">
        <v>5</v>
      </c>
      <c r="K145" s="58" t="n"/>
      <c r="L145" s="58" t="n">
        <v>1</v>
      </c>
      <c r="M145" s="58" t="n">
        <v>1</v>
      </c>
      <c r="N145" s="4" t="n">
        <v>0</v>
      </c>
      <c r="O145" s="4" t="n">
        <v>4059</v>
      </c>
      <c r="P145" s="4" t="n">
        <v>3050</v>
      </c>
      <c r="Q145" s="59">
        <f>IFERROR(1-P145/O145,"-")</f>
        <v/>
      </c>
      <c r="R145" s="4" t="inlineStr">
        <is>
          <t>-</t>
        </is>
      </c>
      <c r="S145" s="4" t="inlineStr">
        <is>
          <t>-</t>
        </is>
      </c>
      <c r="T145" s="4" t="inlineStr">
        <is>
          <t>-</t>
        </is>
      </c>
      <c r="U145" s="4" t="n">
        <v>0</v>
      </c>
      <c r="V145" s="4">
        <f>IF(Y145="",U145,U145*Y145)</f>
        <v/>
      </c>
      <c r="W145" s="4" t="n">
        <v>3279</v>
      </c>
      <c r="X145" s="4">
        <f>IF(Y145="",W145,W145*Y145)</f>
        <v/>
      </c>
      <c r="Y145" s="4" t="n"/>
      <c r="Z145" s="21">
        <f>ROUND(O145*AN145,0)</f>
        <v/>
      </c>
      <c r="AA145" s="59">
        <f>IFERROR(1-X145/Z145,"-")</f>
        <v/>
      </c>
      <c r="AB145" s="4" t="n">
        <v>5.25</v>
      </c>
      <c r="AC145" s="4">
        <f>AY145</f>
        <v/>
      </c>
      <c r="AD145" s="4">
        <f>IFERROR(AC145*AN145,"-")</f>
        <v/>
      </c>
      <c r="AE145" s="59">
        <f>IFERROR(1-X145/AD145,"-")</f>
        <v/>
      </c>
      <c r="AF145" s="7" t="n">
        <v>4499</v>
      </c>
      <c r="AG145" s="59">
        <f>1-X145/AF145</f>
        <v/>
      </c>
      <c r="AH145" s="4">
        <f>AF145-X145</f>
        <v/>
      </c>
      <c r="AI145" s="28" t="n"/>
      <c r="AJ145" s="59" t="n"/>
      <c r="AK145" s="59" t="n"/>
      <c r="AL145" s="59">
        <f>IFERROR(V145/N145,"-")</f>
        <v/>
      </c>
      <c r="AM145" s="59">
        <f>IFERROR(AF145/O145,"-")</f>
        <v/>
      </c>
      <c r="AN145" s="59">
        <f>IFERROR(X145/P145,"-")</f>
        <v/>
      </c>
      <c r="AO145" s="59">
        <f>IFERROR(1-X145/AP145,"-")</f>
        <v/>
      </c>
      <c r="AP145" s="4">
        <f>IFERROR(ROUND($AF145*R145/$O145,0),"-")</f>
        <v/>
      </c>
      <c r="AQ145" s="4">
        <f>IF(S145="","-",S145)</f>
        <v/>
      </c>
      <c r="AR145" s="4">
        <f>IF(T145="","-",T145)</f>
        <v/>
      </c>
      <c r="AS145" s="4" t="n">
        <v>0</v>
      </c>
      <c r="AT145" s="4" t="inlineStr">
        <is>
          <t>RX66722</t>
        </is>
      </c>
      <c r="AU145" s="4" t="n"/>
      <c r="AV145" s="4" t="n"/>
      <c r="AW145" s="4" t="inlineStr">
        <is>
          <t>1台</t>
        </is>
      </c>
      <c r="AX145" s="4" t="n">
        <v>4500</v>
      </c>
      <c r="AY145" s="4">
        <f>IF(AU145="",AX145,AU145/AV145*AX145)</f>
        <v/>
      </c>
      <c r="AZ145" s="19" t="n">
        <v>4</v>
      </c>
      <c r="BA145" s="19" t="n">
        <v>1</v>
      </c>
      <c r="BB145" s="16" t="n">
        <v>1125</v>
      </c>
      <c r="BC145" s="0" t="inlineStr">
        <is>
          <t>-</t>
        </is>
      </c>
      <c r="BD145" s="0">
        <f>IFERROR(BC145*AN145,"-")</f>
        <v/>
      </c>
      <c r="BE145" s="0" t="n">
        <v>5000</v>
      </c>
      <c r="BF145" s="0">
        <f>IFERROR(BE145*AN145,"-")</f>
        <v/>
      </c>
      <c r="BG145" s="0" t="inlineStr">
        <is>
          <t>アイリスオーヤマ パーソナルシュレッダー P5GCX2 1台</t>
        </is>
      </c>
    </row>
    <row r="146">
      <c r="A146" s="0">
        <f>TEXT(F146,"000000")</f>
        <v/>
      </c>
      <c r="B146" s="3" t="n">
        <v>70</v>
      </c>
      <c r="C146" s="3" t="n">
        <v>70</v>
      </c>
      <c r="D146" s="4" t="inlineStr">
        <is>
          <t>J335MN</t>
        </is>
      </c>
      <c r="E146" s="4">
        <f>TEXT(D146,"000000")</f>
        <v/>
      </c>
      <c r="F146" s="4" t="inlineStr">
        <is>
          <t>J335MN</t>
        </is>
      </c>
      <c r="G146" s="4">
        <f>E146&amp;J146</f>
        <v/>
      </c>
      <c r="H146" s="4" t="inlineStr">
        <is>
          <t>G)ｱｲﾘｽｵｰﾔﾏ/ﾊﾟｰｿﾅﾙｼｭﾚｯﾀﾞｰ (8.9L/最大細断枚数8枚) ｸﾛ</t>
        </is>
      </c>
      <c r="I146" s="58" t="n">
        <v>4967576645416</v>
      </c>
      <c r="J146" s="58" t="n">
        <v>5</v>
      </c>
      <c r="K146" s="58" t="n"/>
      <c r="L146" s="58" t="n">
        <v>1</v>
      </c>
      <c r="M146" s="58" t="n">
        <v>1</v>
      </c>
      <c r="N146" s="4" t="n">
        <v>0</v>
      </c>
      <c r="O146" s="4" t="n">
        <v>5100</v>
      </c>
      <c r="P146" s="4" t="n">
        <v>3750</v>
      </c>
      <c r="Q146" s="59">
        <f>IFERROR(1-P146/O146,"-")</f>
        <v/>
      </c>
      <c r="R146" s="4" t="inlineStr">
        <is>
          <t>-</t>
        </is>
      </c>
      <c r="S146" s="4" t="inlineStr">
        <is>
          <t>-</t>
        </is>
      </c>
      <c r="T146" s="4" t="inlineStr">
        <is>
          <t>-</t>
        </is>
      </c>
      <c r="U146" s="4" t="n">
        <v>0</v>
      </c>
      <c r="V146" s="4">
        <f>IF(Y146="",U146,U146*Y146)</f>
        <v/>
      </c>
      <c r="W146" s="4" t="n">
        <v>4092</v>
      </c>
      <c r="X146" s="4">
        <f>IF(Y146="",W146,W146*Y146)</f>
        <v/>
      </c>
      <c r="Y146" s="4" t="n"/>
      <c r="Z146" s="21">
        <f>ROUND(O146*AN146,0)</f>
        <v/>
      </c>
      <c r="AA146" s="59">
        <f>IFERROR(1-X146/Z146,"-")</f>
        <v/>
      </c>
      <c r="AB146" s="4" t="n">
        <v>1.5</v>
      </c>
      <c r="AC146" s="4">
        <f>AY146</f>
        <v/>
      </c>
      <c r="AD146" s="4">
        <f>IFERROR(AC146*AN146,"-")</f>
        <v/>
      </c>
      <c r="AE146" s="59">
        <f>IFERROR(1-X146/AD146,"-")</f>
        <v/>
      </c>
      <c r="AF146" s="7" t="n">
        <v>6999</v>
      </c>
      <c r="AG146" s="59">
        <f>1-X146/AF146</f>
        <v/>
      </c>
      <c r="AH146" s="4">
        <f>AF146-X146</f>
        <v/>
      </c>
      <c r="AI146" s="28" t="n"/>
      <c r="AJ146" s="59" t="n"/>
      <c r="AK146" s="59" t="n"/>
      <c r="AL146" s="59">
        <f>IFERROR(V146/N146,"-")</f>
        <v/>
      </c>
      <c r="AM146" s="59">
        <f>IFERROR(AF146/O146,"-")</f>
        <v/>
      </c>
      <c r="AN146" s="59">
        <f>IFERROR(X146/P146,"-")</f>
        <v/>
      </c>
      <c r="AO146" s="59">
        <f>IFERROR(1-X146/AP146,"-")</f>
        <v/>
      </c>
      <c r="AP146" s="4">
        <f>IFERROR(ROUND($AF146*R146/$O146,0),"-")</f>
        <v/>
      </c>
      <c r="AQ146" s="4">
        <f>IF(S146="","-",S146)</f>
        <v/>
      </c>
      <c r="AR146" s="4">
        <f>IF(T146="","-",T146)</f>
        <v/>
      </c>
      <c r="AS146" s="4" t="n">
        <v>0</v>
      </c>
      <c r="AT146" s="4" t="inlineStr">
        <is>
          <t>NN89561</t>
        </is>
      </c>
      <c r="AU146" s="4" t="n"/>
      <c r="AV146" s="4" t="n"/>
      <c r="AW146" s="4" t="inlineStr">
        <is>
          <t>1台</t>
        </is>
      </c>
      <c r="AX146" s="4" t="n">
        <v>7000</v>
      </c>
      <c r="AY146" s="4">
        <f>IF(AU146="",AX146,AU146/AV146*AX146)</f>
        <v/>
      </c>
      <c r="AZ146" s="19" t="n">
        <v>4</v>
      </c>
      <c r="BA146" s="19" t="n">
        <v>1</v>
      </c>
      <c r="BB146" s="16" t="n">
        <v>1125</v>
      </c>
      <c r="BC146" s="0" t="inlineStr">
        <is>
          <t>-</t>
        </is>
      </c>
      <c r="BD146" s="0">
        <f>IFERROR(BC146*AN146,"-")</f>
        <v/>
      </c>
      <c r="BE146" s="0" t="n">
        <v>7400</v>
      </c>
      <c r="BF146" s="0">
        <f>IFERROR(BE146*AN146,"-")</f>
        <v/>
      </c>
      <c r="BG146" s="0" t="inlineStr">
        <is>
          <t>アイリスオーヤマ パーソナルシュレッダー （8.9L/最大細断枚数8枚） クロスカット PS-A8C-W 1台</t>
        </is>
      </c>
    </row>
    <row r="147">
      <c r="A147" s="0">
        <f>TEXT(F147,"000000")</f>
        <v/>
      </c>
      <c r="B147" s="3" t="n">
        <v>71</v>
      </c>
      <c r="C147" s="3" t="n">
        <v>71</v>
      </c>
      <c r="D147" s="4" t="inlineStr">
        <is>
          <t>J334MN</t>
        </is>
      </c>
      <c r="E147" s="4">
        <f>TEXT(D147,"000000")</f>
        <v/>
      </c>
      <c r="F147" s="4" t="inlineStr">
        <is>
          <t>J334MN</t>
        </is>
      </c>
      <c r="G147" s="4">
        <f>E147&amp;J147</f>
        <v/>
      </c>
      <c r="H147" s="4" t="inlineStr">
        <is>
          <t>G)ｱｲﾘｽｵｰﾔﾏ/ﾊﾟｰｿﾅﾙｼｭﾚｯﾀﾞｰ (8.9L/最大細断枚数8枚) ｸﾛ</t>
        </is>
      </c>
      <c r="I147" s="58" t="n">
        <v>4967576645409</v>
      </c>
      <c r="J147" s="58" t="n">
        <v>5</v>
      </c>
      <c r="K147" s="58" t="n"/>
      <c r="L147" s="58" t="n">
        <v>1</v>
      </c>
      <c r="M147" s="58" t="n">
        <v>1</v>
      </c>
      <c r="N147" s="4" t="n">
        <v>0</v>
      </c>
      <c r="O147" s="4" t="n">
        <v>5151</v>
      </c>
      <c r="P147" s="4" t="n">
        <v>3750</v>
      </c>
      <c r="Q147" s="59">
        <f>IFERROR(1-P147/O147,"-")</f>
        <v/>
      </c>
      <c r="R147" s="4" t="inlineStr">
        <is>
          <t>-</t>
        </is>
      </c>
      <c r="S147" s="4" t="inlineStr">
        <is>
          <t>-</t>
        </is>
      </c>
      <c r="T147" s="4" t="inlineStr">
        <is>
          <t>-</t>
        </is>
      </c>
      <c r="U147" s="4" t="n">
        <v>0</v>
      </c>
      <c r="V147" s="4">
        <f>IF(Y147="",U147,U147*Y147)</f>
        <v/>
      </c>
      <c r="W147" s="4" t="n">
        <v>4092</v>
      </c>
      <c r="X147" s="4">
        <f>IF(Y147="",W147,W147*Y147)</f>
        <v/>
      </c>
      <c r="Y147" s="4" t="n"/>
      <c r="Z147" s="21">
        <f>ROUND(O147*AN147,0)</f>
        <v/>
      </c>
      <c r="AA147" s="59">
        <f>IFERROR(1-X147/Z147,"-")</f>
        <v/>
      </c>
      <c r="AB147" s="4" t="n">
        <v>0.5</v>
      </c>
      <c r="AC147" s="4">
        <f>AY147</f>
        <v/>
      </c>
      <c r="AD147" s="4">
        <f>IFERROR(AC147*AN147,"-")</f>
        <v/>
      </c>
      <c r="AE147" s="59">
        <f>IFERROR(1-X147/AD147,"-")</f>
        <v/>
      </c>
      <c r="AF147" s="7" t="n">
        <v>6999</v>
      </c>
      <c r="AG147" s="59">
        <f>1-X147/AF147</f>
        <v/>
      </c>
      <c r="AH147" s="4">
        <f>AF147-X147</f>
        <v/>
      </c>
      <c r="AI147" s="28" t="n"/>
      <c r="AJ147" s="59" t="n"/>
      <c r="AK147" s="59" t="n"/>
      <c r="AL147" s="59">
        <f>IFERROR(V147/N147,"-")</f>
        <v/>
      </c>
      <c r="AM147" s="59">
        <f>IFERROR(AF147/O147,"-")</f>
        <v/>
      </c>
      <c r="AN147" s="59">
        <f>IFERROR(X147/P147,"-")</f>
        <v/>
      </c>
      <c r="AO147" s="59">
        <f>IFERROR(1-X147/AP147,"-")</f>
        <v/>
      </c>
      <c r="AP147" s="4">
        <f>IFERROR(ROUND($AF147*R147/$O147,0),"-")</f>
        <v/>
      </c>
      <c r="AQ147" s="4">
        <f>IF(S147="","-",S147)</f>
        <v/>
      </c>
      <c r="AR147" s="4">
        <f>IF(T147="","-",T147)</f>
        <v/>
      </c>
      <c r="AS147" s="4" t="n">
        <v>0</v>
      </c>
      <c r="AT147" s="4" t="inlineStr">
        <is>
          <t>NN89554</t>
        </is>
      </c>
      <c r="AU147" s="4" t="n"/>
      <c r="AV147" s="4" t="n"/>
      <c r="AW147" s="4" t="inlineStr">
        <is>
          <t>1台</t>
        </is>
      </c>
      <c r="AX147" s="4" t="n">
        <v>7000</v>
      </c>
      <c r="AY147" s="4">
        <f>IF(AU147="",AX147,AU147/AV147*AX147)</f>
        <v/>
      </c>
      <c r="AZ147" s="19" t="n">
        <v>4</v>
      </c>
      <c r="BA147" s="19" t="n">
        <v>1</v>
      </c>
      <c r="BB147" s="16" t="n">
        <v>1125</v>
      </c>
      <c r="BC147" s="0" t="inlineStr">
        <is>
          <t>-</t>
        </is>
      </c>
      <c r="BD147" s="0">
        <f>IFERROR(BC147*AN147,"-")</f>
        <v/>
      </c>
      <c r="BE147" s="0" t="n">
        <v>7400</v>
      </c>
      <c r="BF147" s="0">
        <f>IFERROR(BE147*AN147,"-")</f>
        <v/>
      </c>
      <c r="BG147" s="0" t="inlineStr">
        <is>
          <t>アイリスオーヤマ パーソナルシュレッダー （8.9L/最大細断枚数8枚） クロスカット PS-A8C-H 1台</t>
        </is>
      </c>
    </row>
    <row r="148">
      <c r="A148" s="0">
        <f>TEXT(F148,"000000")</f>
        <v/>
      </c>
      <c r="B148" s="3" t="n">
        <v>33</v>
      </c>
      <c r="C148" s="3" t="n">
        <v>33</v>
      </c>
      <c r="D148" s="4" t="inlineStr">
        <is>
          <t>J20271</t>
        </is>
      </c>
      <c r="E148" s="4">
        <f>TEXT(D148,"000000")</f>
        <v/>
      </c>
      <c r="F148" s="4" t="inlineStr">
        <is>
          <t>J20271</t>
        </is>
      </c>
      <c r="G148" s="4">
        <f>E148&amp;J148</f>
        <v/>
      </c>
      <c r="H148" s="4" t="inlineStr">
        <is>
          <t>G)ｱｲﾘｽｵｰﾔﾏ/卓上ｼｭﾚｯﾀﾞｰ (3.55L/最大細断枚数2枚) ｸﾛｽ</t>
        </is>
      </c>
      <c r="I148" s="58" t="n">
        <v>4905009887415</v>
      </c>
      <c r="J148" s="58" t="n">
        <v>5</v>
      </c>
      <c r="K148" s="58" t="n"/>
      <c r="L148" s="58" t="n">
        <v>1</v>
      </c>
      <c r="M148" s="58" t="n">
        <v>1</v>
      </c>
      <c r="N148" s="4" t="n">
        <v>0</v>
      </c>
      <c r="O148" s="4" t="n">
        <v>6460</v>
      </c>
      <c r="P148" s="4" t="n">
        <v>5100</v>
      </c>
      <c r="Q148" s="59">
        <f>IFERROR(1-P148/O148,"-")</f>
        <v/>
      </c>
      <c r="R148" s="4" t="inlineStr">
        <is>
          <t>-</t>
        </is>
      </c>
      <c r="S148" s="4" t="inlineStr">
        <is>
          <t>-</t>
        </is>
      </c>
      <c r="T148" s="4" t="inlineStr">
        <is>
          <t>-</t>
        </is>
      </c>
      <c r="U148" s="4" t="n">
        <v>0</v>
      </c>
      <c r="V148" s="4">
        <f>IF(Y148="",U148,U148*Y148)</f>
        <v/>
      </c>
      <c r="W148" s="4" t="n">
        <v>5440</v>
      </c>
      <c r="X148" s="4">
        <f>IF(Y148="",W148,W148*Y148)</f>
        <v/>
      </c>
      <c r="Y148" s="4" t="n"/>
      <c r="Z148" s="21">
        <f>ROUND(O148*AN148,0)</f>
        <v/>
      </c>
      <c r="AA148" s="59">
        <f>IFERROR(1-X148/Z148,"-")</f>
        <v/>
      </c>
      <c r="AB148" s="4" t="n">
        <v>0</v>
      </c>
      <c r="AC148" s="4">
        <f>AY148</f>
        <v/>
      </c>
      <c r="AD148" s="4">
        <f>IFERROR(AC148*AN148,"-")</f>
        <v/>
      </c>
      <c r="AE148" s="59">
        <f>IFERROR(1-X148/AD148,"-")</f>
        <v/>
      </c>
      <c r="AF148" s="7" t="n">
        <v>7499</v>
      </c>
      <c r="AG148" s="59">
        <f>1-X148/AF148</f>
        <v/>
      </c>
      <c r="AH148" s="4">
        <f>AF148-X148</f>
        <v/>
      </c>
      <c r="AI148" s="28" t="n"/>
      <c r="AJ148" s="59" t="n"/>
      <c r="AK148" s="59" t="n"/>
      <c r="AL148" s="59">
        <f>IFERROR(V148/N148,"-")</f>
        <v/>
      </c>
      <c r="AM148" s="59">
        <f>IFERROR(AF148/O148,"-")</f>
        <v/>
      </c>
      <c r="AN148" s="59">
        <f>IFERROR(X148/P148,"-")</f>
        <v/>
      </c>
      <c r="AO148" s="59">
        <f>IFERROR(1-X148/AP148,"-")</f>
        <v/>
      </c>
      <c r="AP148" s="4">
        <f>IFERROR(ROUND($AF148*R148/$O148,0),"-")</f>
        <v/>
      </c>
      <c r="AQ148" s="4">
        <f>IF(S148="","-",S148)</f>
        <v/>
      </c>
      <c r="AR148" s="4">
        <f>IF(T148="","-",T148)</f>
        <v/>
      </c>
      <c r="AS148" s="4" t="n">
        <v>0</v>
      </c>
      <c r="AT148" s="4" t="inlineStr">
        <is>
          <t>7991561</t>
        </is>
      </c>
      <c r="AU148" s="4" t="n"/>
      <c r="AV148" s="4" t="n"/>
      <c r="AW148" s="4" t="inlineStr">
        <is>
          <t>1台</t>
        </is>
      </c>
      <c r="AX148" s="4" t="n">
        <v>7500</v>
      </c>
      <c r="AY148" s="4">
        <f>IF(AU148="",AX148,AU148/AV148*AX148)</f>
        <v/>
      </c>
      <c r="AZ148" s="19" t="n">
        <v>4</v>
      </c>
      <c r="BA148" s="19" t="n">
        <v>8</v>
      </c>
      <c r="BB148" s="16" t="n">
        <v>1125</v>
      </c>
      <c r="BC148" s="0" t="inlineStr">
        <is>
          <t>-</t>
        </is>
      </c>
      <c r="BD148" s="0">
        <f>IFERROR(BC148*AN148,"-")</f>
        <v/>
      </c>
      <c r="BE148" s="0" t="n">
        <v>8020</v>
      </c>
      <c r="BF148" s="0">
        <f>IFERROR(BE148*AN148,"-")</f>
        <v/>
      </c>
      <c r="BG148" s="0" t="inlineStr">
        <is>
          <t>アイリスオーヤマ 卓上ペーパーシュレッダー P2HT 1台</t>
        </is>
      </c>
    </row>
    <row r="149">
      <c r="A149" s="0">
        <f>TEXT(F149,"000000")</f>
        <v/>
      </c>
      <c r="B149" s="3" t="n">
        <v>72</v>
      </c>
      <c r="C149" s="3" t="n">
        <v>72</v>
      </c>
      <c r="D149" s="4" t="inlineStr">
        <is>
          <t>J337MN</t>
        </is>
      </c>
      <c r="E149" s="4">
        <f>TEXT(D149,"000000")</f>
        <v/>
      </c>
      <c r="F149" s="4" t="inlineStr">
        <is>
          <t>J337MN</t>
        </is>
      </c>
      <c r="G149" s="4">
        <f>E149&amp;J149</f>
        <v/>
      </c>
      <c r="H149" s="4" t="inlineStr">
        <is>
          <t>G)ｱｲﾘｽｵｰﾔﾏ/ﾊﾟｰｿﾅﾙｼｭﾚｯﾀﾞｰ (8.9L/最大細断枚数4枚) ﾏｲ</t>
        </is>
      </c>
      <c r="I149" s="58" t="n">
        <v>4967576645430</v>
      </c>
      <c r="J149" s="58" t="n">
        <v>5</v>
      </c>
      <c r="K149" s="58" t="n"/>
      <c r="L149" s="58" t="n">
        <v>1</v>
      </c>
      <c r="M149" s="58" t="n">
        <v>1</v>
      </c>
      <c r="N149" s="4" t="n">
        <v>0</v>
      </c>
      <c r="O149" s="4" t="n">
        <v>7650</v>
      </c>
      <c r="P149" s="4" t="n">
        <v>5200</v>
      </c>
      <c r="Q149" s="59">
        <f>IFERROR(1-P149/O149,"-")</f>
        <v/>
      </c>
      <c r="R149" s="4" t="inlineStr">
        <is>
          <t>-</t>
        </is>
      </c>
      <c r="S149" s="4" t="inlineStr">
        <is>
          <t>-</t>
        </is>
      </c>
      <c r="T149" s="4" t="inlineStr">
        <is>
          <t>-</t>
        </is>
      </c>
      <c r="U149" s="4" t="n">
        <v>0</v>
      </c>
      <c r="V149" s="4">
        <f>IF(Y149="",U149,U149*Y149)</f>
        <v/>
      </c>
      <c r="W149" s="4" t="n">
        <v>5547</v>
      </c>
      <c r="X149" s="4">
        <f>IF(Y149="",W149,W149*Y149)</f>
        <v/>
      </c>
      <c r="Y149" s="4" t="n"/>
      <c r="Z149" s="21">
        <f>ROUND(O149*AN149,0)</f>
        <v/>
      </c>
      <c r="AA149" s="59">
        <f>IFERROR(1-X149/Z149,"-")</f>
        <v/>
      </c>
      <c r="AB149" s="4" t="n">
        <v>0.25</v>
      </c>
      <c r="AC149" s="4">
        <f>AY149</f>
        <v/>
      </c>
      <c r="AD149" s="4">
        <f>IFERROR(AC149*AN149,"-")</f>
        <v/>
      </c>
      <c r="AE149" s="59">
        <f>IFERROR(1-X149/AD149,"-")</f>
        <v/>
      </c>
      <c r="AF149" s="7" t="n">
        <v>8999</v>
      </c>
      <c r="AG149" s="59">
        <f>1-X149/AF149</f>
        <v/>
      </c>
      <c r="AH149" s="4">
        <f>AF149-X149</f>
        <v/>
      </c>
      <c r="AI149" s="28" t="n"/>
      <c r="AJ149" s="59" t="n"/>
      <c r="AK149" s="59" t="n"/>
      <c r="AL149" s="59">
        <f>IFERROR(V149/N149,"-")</f>
        <v/>
      </c>
      <c r="AM149" s="59">
        <f>IFERROR(AF149/O149,"-")</f>
        <v/>
      </c>
      <c r="AN149" s="59">
        <f>IFERROR(X149/P149,"-")</f>
        <v/>
      </c>
      <c r="AO149" s="59">
        <f>IFERROR(1-X149/AP149,"-")</f>
        <v/>
      </c>
      <c r="AP149" s="4">
        <f>IFERROR(ROUND($AF149*R149/$O149,0),"-")</f>
        <v/>
      </c>
      <c r="AQ149" s="4">
        <f>IF(S149="","-",S149)</f>
        <v/>
      </c>
      <c r="AR149" s="4">
        <f>IF(T149="","-",T149)</f>
        <v/>
      </c>
      <c r="AS149" s="4" t="n">
        <v>0</v>
      </c>
      <c r="AT149" s="4" t="inlineStr">
        <is>
          <t>NN89555</t>
        </is>
      </c>
      <c r="AU149" s="4" t="n"/>
      <c r="AV149" s="4" t="n"/>
      <c r="AW149" s="4" t="inlineStr">
        <is>
          <t>1台</t>
        </is>
      </c>
      <c r="AX149" s="4" t="n">
        <v>9000</v>
      </c>
      <c r="AY149" s="4">
        <f>IF(AU149="",AX149,AU149/AV149*AX149)</f>
        <v/>
      </c>
      <c r="AZ149" s="19" t="n">
        <v>4</v>
      </c>
      <c r="BA149" s="19" t="n">
        <v>8</v>
      </c>
      <c r="BB149" s="16" t="n">
        <v>1125</v>
      </c>
      <c r="BC149" s="0" t="inlineStr">
        <is>
          <t>-</t>
        </is>
      </c>
      <c r="BD149" s="0">
        <f>IFERROR(BC149*AN149,"-")</f>
        <v/>
      </c>
      <c r="BE149" s="0" t="n">
        <v>8910</v>
      </c>
      <c r="BF149" s="0">
        <f>IFERROR(BE149*AN149,"-")</f>
        <v/>
      </c>
      <c r="BG149" s="0" t="inlineStr">
        <is>
          <t>アイリスオーヤマ パーソナルシュレッダー （8.9L/最大細断枚数4枚） マイクロクロスカット PS-A4M-W 1台</t>
        </is>
      </c>
    </row>
    <row r="150">
      <c r="A150" s="0">
        <f>TEXT(F150,"000000")</f>
        <v/>
      </c>
      <c r="B150" s="3" t="n">
        <v>34</v>
      </c>
      <c r="C150" s="3" t="n">
        <v>34</v>
      </c>
      <c r="D150" s="4" t="inlineStr">
        <is>
          <t>J20272</t>
        </is>
      </c>
      <c r="E150" s="4">
        <f>TEXT(D150,"000000")</f>
        <v/>
      </c>
      <c r="F150" s="4" t="inlineStr">
        <is>
          <t>J20272</t>
        </is>
      </c>
      <c r="G150" s="4">
        <f>E150&amp;J150</f>
        <v/>
      </c>
      <c r="H150" s="4" t="inlineStr">
        <is>
          <t>G)ｱｲﾘｽｵｰﾔﾏ/細密ﾎｰﾑｼｭﾚｯﾀﾞｰ (3.0L/最大細断枚数4枚) ﾏ</t>
        </is>
      </c>
      <c r="I150" s="58" t="n">
        <v>4967576178426</v>
      </c>
      <c r="J150" s="58" t="n">
        <v>5</v>
      </c>
      <c r="K150" s="58" t="n"/>
      <c r="L150" s="58" t="n">
        <v>1</v>
      </c>
      <c r="M150" s="58" t="n">
        <v>1</v>
      </c>
      <c r="N150" s="4" t="n">
        <v>0</v>
      </c>
      <c r="O150" s="4" t="n">
        <v>8102</v>
      </c>
      <c r="P150" s="4" t="n">
        <v>5500</v>
      </c>
      <c r="Q150" s="59">
        <f>IFERROR(1-P150/O150,"-")</f>
        <v/>
      </c>
      <c r="R150" s="4" t="inlineStr">
        <is>
          <t>-</t>
        </is>
      </c>
      <c r="S150" s="4" t="inlineStr">
        <is>
          <t>-</t>
        </is>
      </c>
      <c r="T150" s="4" t="inlineStr">
        <is>
          <t>-</t>
        </is>
      </c>
      <c r="U150" s="4" t="n">
        <v>0</v>
      </c>
      <c r="V150" s="4">
        <f>IF(Y150="",U150,U150*Y150)</f>
        <v/>
      </c>
      <c r="W150" s="4" t="n">
        <v>5867</v>
      </c>
      <c r="X150" s="4">
        <f>IF(Y150="",W150,W150*Y150)</f>
        <v/>
      </c>
      <c r="Y150" s="4" t="n"/>
      <c r="Z150" s="21">
        <f>ROUND(O150*AN150,0)</f>
        <v/>
      </c>
      <c r="AA150" s="59">
        <f>IFERROR(1-X150/Z150,"-")</f>
        <v/>
      </c>
      <c r="AB150" s="4" t="n">
        <v>0.5</v>
      </c>
      <c r="AC150" s="4">
        <f>AY150</f>
        <v/>
      </c>
      <c r="AD150" s="4">
        <f>IFERROR(AC150*AN150,"-")</f>
        <v/>
      </c>
      <c r="AE150" s="59">
        <f>IFERROR(1-X150/AD150,"-")</f>
        <v/>
      </c>
      <c r="AF150" s="7" t="n">
        <v>8199</v>
      </c>
      <c r="AG150" s="59">
        <f>1-X150/AF150</f>
        <v/>
      </c>
      <c r="AH150" s="4">
        <f>AF150-X150</f>
        <v/>
      </c>
      <c r="AI150" s="28" t="n"/>
      <c r="AJ150" s="59" t="n"/>
      <c r="AK150" s="59" t="n"/>
      <c r="AL150" s="59">
        <f>IFERROR(V150/N150,"-")</f>
        <v/>
      </c>
      <c r="AM150" s="59">
        <f>IFERROR(AF150/O150,"-")</f>
        <v/>
      </c>
      <c r="AN150" s="59">
        <f>IFERROR(X150/P150,"-")</f>
        <v/>
      </c>
      <c r="AO150" s="59">
        <f>IFERROR(1-X150/AP150,"-")</f>
        <v/>
      </c>
      <c r="AP150" s="4">
        <f>IFERROR(ROUND($AF150*R150/$O150,0),"-")</f>
        <v/>
      </c>
      <c r="AQ150" s="4">
        <f>IF(S150="","-",S150)</f>
        <v/>
      </c>
      <c r="AR150" s="4">
        <f>IF(T150="","-",T150)</f>
        <v/>
      </c>
      <c r="AS150" s="4" t="n">
        <v>0</v>
      </c>
      <c r="AT150" s="4" t="inlineStr">
        <is>
          <t>2895894</t>
        </is>
      </c>
      <c r="AU150" s="4" t="n"/>
      <c r="AV150" s="4" t="n"/>
      <c r="AW150" s="4" t="inlineStr">
        <is>
          <t>1台</t>
        </is>
      </c>
      <c r="AX150" s="4" t="n">
        <v>8200</v>
      </c>
      <c r="AY150" s="4">
        <f>IF(AU150="",AX150,AU150/AV150*AX150)</f>
        <v/>
      </c>
      <c r="AZ150" s="19" t="n">
        <v>4</v>
      </c>
      <c r="BA150" s="19" t="n">
        <v>8</v>
      </c>
      <c r="BB150" s="16" t="n">
        <v>1125</v>
      </c>
      <c r="BC150" s="0" t="inlineStr">
        <is>
          <t>-</t>
        </is>
      </c>
      <c r="BD150" s="0">
        <f>IFERROR(BC150*AN150,"-")</f>
        <v/>
      </c>
      <c r="BE150" s="0" t="n">
        <v>8470</v>
      </c>
      <c r="BF150" s="0">
        <f>IFERROR(BE150*AN150,"-")</f>
        <v/>
      </c>
      <c r="BG150" s="0" t="inlineStr">
        <is>
          <t>アイリスオーヤマ 細密ホームシュレッダー HS4SC 1台</t>
        </is>
      </c>
    </row>
    <row r="151">
      <c r="A151" s="0">
        <f>TEXT(F151,"000000")</f>
        <v/>
      </c>
      <c r="B151" s="37" t="n">
        <v>73</v>
      </c>
      <c r="C151" s="3" t="n">
        <v>73</v>
      </c>
      <c r="D151" s="4" t="inlineStr">
        <is>
          <t>J350WE</t>
        </is>
      </c>
      <c r="E151" s="4">
        <f>TEXT(D151,"000000")</f>
        <v/>
      </c>
      <c r="F151" s="4" t="inlineStr">
        <is>
          <t>J350WE</t>
        </is>
      </c>
      <c r="G151" s="4">
        <f>E151&amp;J151</f>
        <v/>
      </c>
      <c r="H151" s="4" t="inlineStr">
        <is>
          <t>G)ｱｲﾘｽｵｰﾔﾏ/ｵｰﾄﾌｨｰﾄﾞｼｭﾚｯﾀﾞｰ (18.5L/自動細断60枚) ｸﾛ</t>
        </is>
      </c>
      <c r="I151" s="58" t="n">
        <v>4967576698436</v>
      </c>
      <c r="J151" s="58" t="n">
        <v>5</v>
      </c>
      <c r="K151" s="58" t="n"/>
      <c r="L151" s="58" t="n">
        <v>1</v>
      </c>
      <c r="M151" s="58" t="n">
        <v>1</v>
      </c>
      <c r="N151" s="4" t="n">
        <v>0</v>
      </c>
      <c r="O151" s="4" t="n">
        <v>16800</v>
      </c>
      <c r="P151" s="4" t="n">
        <v>11800</v>
      </c>
      <c r="Q151" s="59">
        <f>IFERROR(1-P151/O151,"-")</f>
        <v/>
      </c>
      <c r="R151" s="4" t="inlineStr">
        <is>
          <t>-</t>
        </is>
      </c>
      <c r="S151" s="4" t="inlineStr">
        <is>
          <t>-</t>
        </is>
      </c>
      <c r="T151" s="4" t="inlineStr">
        <is>
          <t>-</t>
        </is>
      </c>
      <c r="U151" s="4" t="n">
        <v>0</v>
      </c>
      <c r="V151" s="4">
        <f>IF(Y151="",U151,U151*Y151)</f>
        <v/>
      </c>
      <c r="W151" s="4" t="n">
        <v>12546</v>
      </c>
      <c r="X151" s="4">
        <f>IF(Y151="",W151,W151*Y151)</f>
        <v/>
      </c>
      <c r="Y151" s="4" t="n"/>
      <c r="Z151" s="21">
        <f>ROUND(O151*AN151,0)</f>
        <v/>
      </c>
      <c r="AA151" s="59">
        <f>IFERROR(1-X151/Z151,"-")</f>
        <v/>
      </c>
      <c r="AB151" s="4" t="n">
        <v>3.5</v>
      </c>
      <c r="AC151" s="4">
        <f>AY151</f>
        <v/>
      </c>
      <c r="AD151" s="4">
        <f>IFERROR(AC151*AN151,"-")</f>
        <v/>
      </c>
      <c r="AE151" s="59">
        <f>IFERROR(1-X151/AD151,"-")</f>
        <v/>
      </c>
      <c r="AF151" s="7" t="n">
        <v>18799</v>
      </c>
      <c r="AG151" s="59">
        <f>1-X151/AF151</f>
        <v/>
      </c>
      <c r="AH151" s="38">
        <f>AF151-X151</f>
        <v/>
      </c>
      <c r="AI151" s="28" t="n"/>
      <c r="AJ151" s="59" t="n"/>
      <c r="AK151" s="59" t="n"/>
      <c r="AL151" s="59">
        <f>IFERROR(V151/N151,"-")</f>
        <v/>
      </c>
      <c r="AM151" s="59">
        <f>IFERROR(AF151/O151,"-")</f>
        <v/>
      </c>
      <c r="AN151" s="59">
        <f>IFERROR(X151/P151,"-")</f>
        <v/>
      </c>
      <c r="AO151" s="59">
        <f>IFERROR(1-X151/AP151,"-")</f>
        <v/>
      </c>
      <c r="AP151" s="4">
        <f>IFERROR(ROUND($AF151*R151/$O151,0),"-")</f>
        <v/>
      </c>
      <c r="AQ151" s="4">
        <f>IF(S151="","-",S151)</f>
        <v/>
      </c>
      <c r="AR151" s="4">
        <f>IF(T151="","-",T151)</f>
        <v/>
      </c>
      <c r="AS151" s="4" t="n">
        <v>0</v>
      </c>
      <c r="AT151" s="4" t="inlineStr">
        <is>
          <t>XR11345</t>
        </is>
      </c>
      <c r="AU151" s="4" t="n"/>
      <c r="AV151" s="4" t="n"/>
      <c r="AW151" s="4" t="inlineStr">
        <is>
          <t>1台</t>
        </is>
      </c>
      <c r="AX151" s="4" t="n">
        <v>18800</v>
      </c>
      <c r="AY151" s="4">
        <f>IF(AU151="",AX151,AU151/AV151*AX151)</f>
        <v/>
      </c>
      <c r="AZ151" s="19" t="n">
        <v>2</v>
      </c>
      <c r="BA151" s="19" t="n">
        <v>1</v>
      </c>
      <c r="BB151" s="16" t="n">
        <v>1125</v>
      </c>
      <c r="BC151" s="0" t="inlineStr">
        <is>
          <t>-</t>
        </is>
      </c>
      <c r="BD151" s="0">
        <f>IFERROR(BC151*AN151,"-")</f>
        <v/>
      </c>
      <c r="BE151" s="0" t="n">
        <v>18891</v>
      </c>
      <c r="BF151" s="0">
        <f>IFERROR(BE151*AN151,"-")</f>
        <v/>
      </c>
      <c r="BG151" s="0" t="inlineStr">
        <is>
          <t>A4 オートフィード クロスカット シュレッダー （18.5L/最大60枚セット） AFSB60C アイリスオーヤマ 1台</t>
        </is>
      </c>
    </row>
    <row r="152">
      <c r="A152" s="0">
        <f>TEXT(F152,"000000")</f>
        <v/>
      </c>
      <c r="B152" s="37" t="n">
        <v>74</v>
      </c>
      <c r="C152" s="3" t="n">
        <v>74</v>
      </c>
      <c r="D152" s="4" t="inlineStr">
        <is>
          <t>J349WE</t>
        </is>
      </c>
      <c r="E152" s="4">
        <f>TEXT(D152,"000000")</f>
        <v/>
      </c>
      <c r="F152" s="4" t="inlineStr">
        <is>
          <t>J349WE</t>
        </is>
      </c>
      <c r="G152" s="4">
        <f>E152&amp;J152</f>
        <v/>
      </c>
      <c r="H152" s="4" t="inlineStr">
        <is>
          <t>G)ｱｲﾘｽｵｰﾔﾏ/ｵﾌｨｽｼｭﾚｯﾀﾞｰ (17L/最大細断枚数10枚) ｸﾛｽｶ</t>
        </is>
      </c>
      <c r="I152" s="58" t="n">
        <v>4967576653008</v>
      </c>
      <c r="J152" s="58" t="n">
        <v>5</v>
      </c>
      <c r="K152" s="58" t="n"/>
      <c r="L152" s="58" t="n">
        <v>1</v>
      </c>
      <c r="M152" s="58" t="n">
        <v>1</v>
      </c>
      <c r="N152" s="4" t="n">
        <v>0</v>
      </c>
      <c r="O152" s="4" t="n">
        <v>18100</v>
      </c>
      <c r="P152" s="4" t="n">
        <v>12500</v>
      </c>
      <c r="Q152" s="59">
        <f>IFERROR(1-P152/O152,"-")</f>
        <v/>
      </c>
      <c r="R152" s="4" t="inlineStr">
        <is>
          <t>-</t>
        </is>
      </c>
      <c r="S152" s="4" t="inlineStr">
        <is>
          <t>-</t>
        </is>
      </c>
      <c r="T152" s="4" t="inlineStr">
        <is>
          <t>-</t>
        </is>
      </c>
      <c r="U152" s="4" t="n">
        <v>0</v>
      </c>
      <c r="V152" s="4">
        <f>IF(Y152="",U152,U152*Y152)</f>
        <v/>
      </c>
      <c r="W152" s="4" t="n">
        <v>13904</v>
      </c>
      <c r="X152" s="4">
        <f>IF(Y152="",W152,W152*Y152)</f>
        <v/>
      </c>
      <c r="Y152" s="4" t="n"/>
      <c r="Z152" s="21">
        <f>ROUND(O152*AN152,0)</f>
        <v/>
      </c>
      <c r="AA152" s="59">
        <f>IFERROR(1-X152/Z152,"-")</f>
        <v/>
      </c>
      <c r="AB152" s="4" t="n">
        <v>1.5</v>
      </c>
      <c r="AC152" s="4">
        <f>AY152</f>
        <v/>
      </c>
      <c r="AD152" s="4">
        <f>IFERROR(AC152*AN152,"-")</f>
        <v/>
      </c>
      <c r="AE152" s="59">
        <f>IFERROR(1-X152/AD152,"-")</f>
        <v/>
      </c>
      <c r="AF152" s="7" t="n">
        <v>18163</v>
      </c>
      <c r="AG152" s="59">
        <f>1-X152/AF152</f>
        <v/>
      </c>
      <c r="AH152" s="38">
        <f>AF152-X152</f>
        <v/>
      </c>
      <c r="AI152" s="28" t="n"/>
      <c r="AJ152" s="59" t="n"/>
      <c r="AK152" s="59" t="n"/>
      <c r="AL152" s="59">
        <f>IFERROR(V152/N152,"-")</f>
        <v/>
      </c>
      <c r="AM152" s="59">
        <f>IFERROR(AF152/O152,"-")</f>
        <v/>
      </c>
      <c r="AN152" s="59">
        <f>IFERROR(X152/P152,"-")</f>
        <v/>
      </c>
      <c r="AO152" s="59">
        <f>IFERROR(1-X152/AP152,"-")</f>
        <v/>
      </c>
      <c r="AP152" s="4">
        <f>IFERROR(ROUND($AF152*R152/$O152,0),"-")</f>
        <v/>
      </c>
      <c r="AQ152" s="4">
        <f>IF(S152="","-",S152)</f>
        <v/>
      </c>
      <c r="AR152" s="4">
        <f>IF(T152="","-",T152)</f>
        <v/>
      </c>
      <c r="AS152" s="4" t="n">
        <v>0</v>
      </c>
      <c r="AT152" s="4" t="inlineStr">
        <is>
          <t>EJ18528</t>
        </is>
      </c>
      <c r="AU152" s="4" t="n"/>
      <c r="AV152" s="4" t="n"/>
      <c r="AW152" s="4" t="inlineStr">
        <is>
          <t>1台</t>
        </is>
      </c>
      <c r="AX152" s="4" t="n">
        <v>18164</v>
      </c>
      <c r="AY152" s="4">
        <f>IF(AU152="",AX152,AU152/AV152*AX152)</f>
        <v/>
      </c>
      <c r="AZ152" s="19" t="n">
        <v>2</v>
      </c>
      <c r="BA152" s="19" t="n">
        <v>1</v>
      </c>
      <c r="BB152" s="16" t="n">
        <v>1125</v>
      </c>
      <c r="BC152" s="0" t="inlineStr">
        <is>
          <t>-</t>
        </is>
      </c>
      <c r="BD152" s="0">
        <f>IFERROR(BC152*AN152,"-")</f>
        <v/>
      </c>
      <c r="BE152" s="0" t="n">
        <v>25000</v>
      </c>
      <c r="BF152" s="0">
        <f>IFERROR(BE152*AN152,"-")</f>
        <v/>
      </c>
      <c r="BG152" s="0" t="inlineStr">
        <is>
          <t>A4 オフィスシュレッダー （17L/最大細断枚数10枚） OS-A17C-W ホワイト アイリスオーヤマ</t>
        </is>
      </c>
    </row>
    <row r="153">
      <c r="A153" s="0">
        <f>TEXT(F153,"000000")</f>
        <v/>
      </c>
      <c r="B153" s="37" t="n">
        <v>29</v>
      </c>
      <c r="C153" s="3" t="n">
        <v>29</v>
      </c>
      <c r="D153" s="4" t="inlineStr">
        <is>
          <t>J0795W</t>
        </is>
      </c>
      <c r="E153" s="4">
        <f>TEXT(D153,"000000")</f>
        <v/>
      </c>
      <c r="F153" s="4" t="inlineStr">
        <is>
          <t>J0795W</t>
        </is>
      </c>
      <c r="G153" s="4">
        <f>E153&amp;J153</f>
        <v/>
      </c>
      <c r="H153" s="4" t="inlineStr">
        <is>
          <t>G)ｱｲﾘｽｵｰﾔﾏ/ｵｰﾄﾌｨｰﾄﾞｼｭﾚｯﾀﾞｰ (18.5L/自動細断60枚) ﾏｲ</t>
        </is>
      </c>
      <c r="I153" s="58" t="n">
        <v>4967576698443</v>
      </c>
      <c r="J153" s="58" t="n">
        <v>5</v>
      </c>
      <c r="K153" s="58" t="n"/>
      <c r="L153" s="58" t="n">
        <v>1</v>
      </c>
      <c r="M153" s="58" t="n">
        <v>1</v>
      </c>
      <c r="N153" s="4" t="n">
        <v>0</v>
      </c>
      <c r="O153" s="4" t="n">
        <v>19800</v>
      </c>
      <c r="P153" s="4" t="n">
        <v>14500</v>
      </c>
      <c r="Q153" s="59">
        <f>IFERROR(1-P153/O153,"-")</f>
        <v/>
      </c>
      <c r="R153" s="4" t="inlineStr">
        <is>
          <t>-</t>
        </is>
      </c>
      <c r="S153" s="4" t="inlineStr">
        <is>
          <t>-</t>
        </is>
      </c>
      <c r="T153" s="4" t="inlineStr">
        <is>
          <t>-</t>
        </is>
      </c>
      <c r="U153" s="4" t="n">
        <v>0</v>
      </c>
      <c r="V153" s="4">
        <f>IF(Y153="",U153,U153*Y153)</f>
        <v/>
      </c>
      <c r="W153" s="4" t="n">
        <v>15232</v>
      </c>
      <c r="X153" s="4">
        <f>IF(Y153="",W153,W153*Y153)</f>
        <v/>
      </c>
      <c r="Y153" s="4" t="n"/>
      <c r="Z153" s="21">
        <f>ROUND(O153*AN153,0)</f>
        <v/>
      </c>
      <c r="AA153" s="59">
        <f>IFERROR(1-X153/Z153,"-")</f>
        <v/>
      </c>
      <c r="AB153" s="4" t="n">
        <v>1.75</v>
      </c>
      <c r="AC153" s="4">
        <f>AY153</f>
        <v/>
      </c>
      <c r="AD153" s="4">
        <f>IFERROR(AC153*AN153,"-")</f>
        <v/>
      </c>
      <c r="AE153" s="59">
        <f>IFERROR(1-X153/AD153,"-")</f>
        <v/>
      </c>
      <c r="AF153" s="7" t="n">
        <v>23799</v>
      </c>
      <c r="AG153" s="59">
        <f>1-X153/AF153</f>
        <v/>
      </c>
      <c r="AH153" s="38">
        <f>AF153-X153</f>
        <v/>
      </c>
      <c r="AI153" s="28" t="n"/>
      <c r="AJ153" s="59" t="n"/>
      <c r="AK153" s="59" t="n"/>
      <c r="AL153" s="59">
        <f>IFERROR(V153/N153,"-")</f>
        <v/>
      </c>
      <c r="AM153" s="59">
        <f>IFERROR(AF153/O153,"-")</f>
        <v/>
      </c>
      <c r="AN153" s="59">
        <f>IFERROR(X153/P153,"-")</f>
        <v/>
      </c>
      <c r="AO153" s="59">
        <f>IFERROR(1-X153/AP153,"-")</f>
        <v/>
      </c>
      <c r="AP153" s="4">
        <f>IFERROR(ROUND($AF153*R153/$O153,0),"-")</f>
        <v/>
      </c>
      <c r="AQ153" s="4">
        <f>IF(S153="","-",S153)</f>
        <v/>
      </c>
      <c r="AR153" s="4">
        <f>IF(T153="","-",T153)</f>
        <v/>
      </c>
      <c r="AS153" s="4" t="inlineStr">
        <is>
          <t>34/331</t>
        </is>
      </c>
      <c r="AT153" s="4" t="inlineStr">
        <is>
          <t>XR11346</t>
        </is>
      </c>
      <c r="AU153" s="4" t="n"/>
      <c r="AV153" s="4" t="n"/>
      <c r="AW153" s="4" t="inlineStr">
        <is>
          <t>1台</t>
        </is>
      </c>
      <c r="AX153" s="4" t="n">
        <v>23800</v>
      </c>
      <c r="AY153" s="4">
        <f>IF(AU153="",AX153,AU153/AV153*AX153)</f>
        <v/>
      </c>
      <c r="AZ153" s="19" t="n">
        <v>2</v>
      </c>
      <c r="BA153" s="19" t="n">
        <v>1</v>
      </c>
      <c r="BB153" s="16" t="n">
        <v>1125</v>
      </c>
      <c r="BC153" s="0" t="inlineStr">
        <is>
          <t>-</t>
        </is>
      </c>
      <c r="BD153" s="0">
        <f>IFERROR(BC153*AN153,"-")</f>
        <v/>
      </c>
      <c r="BE153" s="0" t="n">
        <v>23782</v>
      </c>
      <c r="BF153" s="0">
        <f>IFERROR(BE153*AN153,"-")</f>
        <v/>
      </c>
      <c r="BG153" s="0" t="inlineStr">
        <is>
          <t>A4 オートフィード マイクロクロスカット シュレッダー （18.5L/最大60枚セット） AFSB60M アイリスオーヤマ 1台</t>
        </is>
      </c>
    </row>
    <row r="154">
      <c r="A154" s="0">
        <f>TEXT(F154,"000000")</f>
        <v/>
      </c>
      <c r="B154" s="37" t="n">
        <v>7</v>
      </c>
      <c r="C154" s="3" t="n">
        <v>7</v>
      </c>
      <c r="D154" s="4" t="n">
        <v>192018</v>
      </c>
      <c r="E154" s="4">
        <f>TEXT(D154,"000000")</f>
        <v/>
      </c>
      <c r="F154" s="4" t="n">
        <v>192018</v>
      </c>
      <c r="G154" s="4">
        <f>E154&amp;J154</f>
        <v/>
      </c>
      <c r="H154" s="4" t="inlineStr">
        <is>
          <t>G)ｱｲﾘｽｵｰﾔﾏ/ｵﾌｨｽｼｭﾚｯﾀﾞｰ 細密 (23L/最大細断枚数12枚)</t>
        </is>
      </c>
      <c r="I154" s="58" t="n">
        <v>4967576295376</v>
      </c>
      <c r="J154" s="58" t="n">
        <v>5</v>
      </c>
      <c r="K154" s="58" t="n"/>
      <c r="L154" s="58" t="n">
        <v>1</v>
      </c>
      <c r="M154" s="58" t="n">
        <v>1</v>
      </c>
      <c r="N154" s="4" t="n">
        <v>0</v>
      </c>
      <c r="O154" s="4" t="n">
        <v>22800</v>
      </c>
      <c r="P154" s="4" t="n">
        <v>16300</v>
      </c>
      <c r="Q154" s="59">
        <f>IFERROR(1-P154/O154,"-")</f>
        <v/>
      </c>
      <c r="R154" s="4" t="inlineStr">
        <is>
          <t>-</t>
        </is>
      </c>
      <c r="S154" s="4" t="inlineStr">
        <is>
          <t>-</t>
        </is>
      </c>
      <c r="T154" s="4" t="inlineStr">
        <is>
          <t>-</t>
        </is>
      </c>
      <c r="U154" s="4" t="n">
        <v>0</v>
      </c>
      <c r="V154" s="4">
        <f>IF(Y154="",U154,U154*Y154)</f>
        <v/>
      </c>
      <c r="W154" s="4" t="n">
        <v>17563</v>
      </c>
      <c r="X154" s="4">
        <f>IF(Y154="",W154,W154*Y154)</f>
        <v/>
      </c>
      <c r="Y154" s="4" t="n"/>
      <c r="Z154" s="21">
        <f>ROUND(O154*AN154,0)</f>
        <v/>
      </c>
      <c r="AA154" s="59">
        <f>IFERROR(1-X154/Z154,"-")</f>
        <v/>
      </c>
      <c r="AB154" s="4" t="n">
        <v>3</v>
      </c>
      <c r="AC154" s="4">
        <f>AY154</f>
        <v/>
      </c>
      <c r="AD154" s="4">
        <f>IFERROR(AC154*AN154,"-")</f>
        <v/>
      </c>
      <c r="AE154" s="59">
        <f>IFERROR(1-X154/AD154,"-")</f>
        <v/>
      </c>
      <c r="AF154" s="7" t="n">
        <v>27254</v>
      </c>
      <c r="AG154" s="59">
        <f>1-X154/AF154</f>
        <v/>
      </c>
      <c r="AH154" s="38">
        <f>AF154-X154</f>
        <v/>
      </c>
      <c r="AI154" s="28" t="n"/>
      <c r="AJ154" s="59" t="n"/>
      <c r="AK154" s="59" t="n"/>
      <c r="AL154" s="59">
        <f>IFERROR(V154/N154,"-")</f>
        <v/>
      </c>
      <c r="AM154" s="59">
        <f>IFERROR(AF154/O154,"-")</f>
        <v/>
      </c>
      <c r="AN154" s="59">
        <f>IFERROR(X154/P154,"-")</f>
        <v/>
      </c>
      <c r="AO154" s="59">
        <f>IFERROR(1-X154/AP154,"-")</f>
        <v/>
      </c>
      <c r="AP154" s="4">
        <f>IFERROR(ROUND($AF154*R154/$O154,0),"-")</f>
        <v/>
      </c>
      <c r="AQ154" s="4">
        <f>IF(S154="","-",S154)</f>
        <v/>
      </c>
      <c r="AR154" s="4">
        <f>IF(T154="","-",T154)</f>
        <v/>
      </c>
      <c r="AS154" s="4" t="inlineStr">
        <is>
          <t>34/335</t>
        </is>
      </c>
      <c r="AT154" s="4" t="inlineStr">
        <is>
          <t>5359052</t>
        </is>
      </c>
      <c r="AU154" s="4" t="n"/>
      <c r="AV154" s="4" t="n"/>
      <c r="AW154" s="4" t="inlineStr">
        <is>
          <t>1台</t>
        </is>
      </c>
      <c r="AX154" s="4" t="n">
        <v>27255</v>
      </c>
      <c r="AY154" s="4">
        <f>IF(AU154="",AX154,AU154/AV154*AX154)</f>
        <v/>
      </c>
      <c r="AZ154" s="19" t="n">
        <v>2</v>
      </c>
      <c r="BA154" s="19" t="n">
        <v>1</v>
      </c>
      <c r="BB154" s="16" t="n">
        <v>1125</v>
      </c>
      <c r="BC154" s="0" t="inlineStr">
        <is>
          <t>-</t>
        </is>
      </c>
      <c r="BD154" s="0">
        <f>IFERROR(BC154*AN154,"-")</f>
        <v/>
      </c>
      <c r="BE154" s="0" t="n">
        <v>31819</v>
      </c>
      <c r="BF154" s="0">
        <f>IFERROR(BE154*AN154,"-")</f>
        <v/>
      </c>
      <c r="BG154" s="0" t="inlineStr">
        <is>
          <t>A4  マイクロクロスカットシュレッダー (23L/最大細断枚数12枚)  OF12M アイリスオーヤマ</t>
        </is>
      </c>
    </row>
    <row r="155">
      <c r="A155" s="0">
        <f>TEXT(F155,"000000")</f>
        <v/>
      </c>
      <c r="B155" s="37" t="n">
        <v>69</v>
      </c>
      <c r="C155" s="3" t="n">
        <v>69</v>
      </c>
      <c r="D155" s="4" t="inlineStr">
        <is>
          <t>J2860P</t>
        </is>
      </c>
      <c r="E155" s="4">
        <f>TEXT(D155,"000000")</f>
        <v/>
      </c>
      <c r="F155" s="4" t="inlineStr">
        <is>
          <t>J2860P</t>
        </is>
      </c>
      <c r="G155" s="4">
        <f>E155&amp;J155</f>
        <v/>
      </c>
      <c r="H155" s="4" t="inlineStr">
        <is>
          <t>G)ｱｲﾘｽｵｰﾔﾏ/ｵﾌｨｽｼｭﾚｯﾀﾞｰ (30L/最大細断枚数15枚) ﾏｲｸﾛ</t>
        </is>
      </c>
      <c r="I155" s="58" t="n">
        <v>4967576686617</v>
      </c>
      <c r="J155" s="58" t="n">
        <v>5</v>
      </c>
      <c r="K155" s="58" t="n"/>
      <c r="L155" s="58" t="n">
        <v>1</v>
      </c>
      <c r="M155" s="58" t="n">
        <v>1</v>
      </c>
      <c r="N155" s="4" t="n">
        <v>0</v>
      </c>
      <c r="O155" s="4" t="n">
        <v>37810</v>
      </c>
      <c r="P155" s="4" t="n">
        <v>27500</v>
      </c>
      <c r="Q155" s="59">
        <f>IFERROR(1-P155/O155,"-")</f>
        <v/>
      </c>
      <c r="R155" s="4" t="inlineStr">
        <is>
          <t>-</t>
        </is>
      </c>
      <c r="S155" s="4" t="inlineStr">
        <is>
          <t>-</t>
        </is>
      </c>
      <c r="T155" s="4" t="inlineStr">
        <is>
          <t>-</t>
        </is>
      </c>
      <c r="U155" s="4" t="n">
        <v>0</v>
      </c>
      <c r="V155" s="4">
        <f>IF(Y155="",U155,U155*Y155)</f>
        <v/>
      </c>
      <c r="W155" s="4" t="n">
        <v>28899</v>
      </c>
      <c r="X155" s="4">
        <f>IF(Y155="",W155,W155*Y155)</f>
        <v/>
      </c>
      <c r="Y155" s="4" t="n"/>
      <c r="Z155" s="21">
        <f>ROUND(O155*AN155,0)</f>
        <v/>
      </c>
      <c r="AA155" s="59">
        <f>IFERROR(1-X155/Z155,"-")</f>
        <v/>
      </c>
      <c r="AB155" s="4" t="n">
        <v>0.5</v>
      </c>
      <c r="AC155" s="4">
        <f>AY155</f>
        <v/>
      </c>
      <c r="AD155" s="4">
        <f>IFERROR(AC155*AN155,"-")</f>
        <v/>
      </c>
      <c r="AE155" s="59">
        <f>IFERROR(1-X155/AD155,"-")</f>
        <v/>
      </c>
      <c r="AF155" s="7" t="n">
        <v>46991</v>
      </c>
      <c r="AG155" s="59">
        <f>1-X155/AF155</f>
        <v/>
      </c>
      <c r="AH155" s="38">
        <f>AF155-X155</f>
        <v/>
      </c>
      <c r="AI155" s="28" t="n"/>
      <c r="AJ155" s="59" t="n"/>
      <c r="AK155" s="59" t="n"/>
      <c r="AL155" s="59">
        <f>IFERROR(V155/N155,"-")</f>
        <v/>
      </c>
      <c r="AM155" s="59">
        <f>IFERROR(AF155/O155,"-")</f>
        <v/>
      </c>
      <c r="AN155" s="59">
        <f>IFERROR(X155/P155,"-")</f>
        <v/>
      </c>
      <c r="AO155" s="59">
        <f>IFERROR(1-X155/AP155,"-")</f>
        <v/>
      </c>
      <c r="AP155" s="4">
        <f>IFERROR(ROUND($AF155*R155/$O155,0),"-")</f>
        <v/>
      </c>
      <c r="AQ155" s="4">
        <f>IF(S155="","-",S155)</f>
        <v/>
      </c>
      <c r="AR155" s="4">
        <f>IF(T155="","-",T155)</f>
        <v/>
      </c>
      <c r="AS155" s="4" t="n">
        <v>0</v>
      </c>
      <c r="AT155" s="4" t="inlineStr">
        <is>
          <t>XU29294</t>
        </is>
      </c>
      <c r="AU155" s="4" t="n"/>
      <c r="AV155" s="4" t="n"/>
      <c r="AW155" s="4" t="inlineStr">
        <is>
          <t>1個</t>
        </is>
      </c>
      <c r="AX155" s="4" t="n">
        <v>46992</v>
      </c>
      <c r="AY155" s="4">
        <f>IF(AU155="",AX155,AU155/AV155*AX155)</f>
        <v/>
      </c>
      <c r="AZ155" s="19" t="n">
        <v>2</v>
      </c>
      <c r="BA155" s="19" t="n">
        <v>8</v>
      </c>
      <c r="BB155" s="16" t="n">
        <v>1125</v>
      </c>
      <c r="BC155" s="0" t="inlineStr">
        <is>
          <t>-</t>
        </is>
      </c>
      <c r="BD155" s="0">
        <f>IFERROR(BC155*AN155,"-")</f>
        <v/>
      </c>
      <c r="BE155" s="0" t="n">
        <v>49091</v>
      </c>
      <c r="BF155" s="0">
        <f>IFERROR(BE155*AN155,"-")</f>
        <v/>
      </c>
      <c r="BG155" s="0" t="inlineStr">
        <is>
          <t>アイリスオーヤマ オフィスシュレッダー ホワイト OF15M 1個</t>
        </is>
      </c>
    </row>
    <row r="156">
      <c r="A156" s="0">
        <f>TEXT(F156,"000000")</f>
        <v/>
      </c>
      <c r="B156" s="39" t="n">
        <v>8</v>
      </c>
      <c r="C156" s="3" t="n">
        <v>8</v>
      </c>
      <c r="D156" s="4" t="n">
        <v>386274</v>
      </c>
      <c r="E156" s="4">
        <f>TEXT(D156,"000000")</f>
        <v/>
      </c>
      <c r="F156" s="4" t="n">
        <v>386274</v>
      </c>
      <c r="G156" s="4">
        <f>E156&amp;J156</f>
        <v/>
      </c>
      <c r="H156" s="4" t="inlineStr">
        <is>
          <t>ｱｲﾘｽｵｰﾔﾏ/ｵﾌｨｽｼｭﾚｯﾀﾞｰ (60L/最大細断枚数25枚) ｸﾛｽｶｯﾄ</t>
        </is>
      </c>
      <c r="I156" s="58" t="n">
        <v>4967576507547</v>
      </c>
      <c r="J156" s="58" t="n">
        <v>5</v>
      </c>
      <c r="K156" s="58" t="n"/>
      <c r="L156" s="58" t="n">
        <v>1</v>
      </c>
      <c r="M156" s="58" t="n">
        <v>1</v>
      </c>
      <c r="N156" s="4" t="n">
        <v>0</v>
      </c>
      <c r="O156" s="4" t="n">
        <v>99800</v>
      </c>
      <c r="P156" s="4" t="n">
        <v>68100</v>
      </c>
      <c r="Q156" s="59">
        <f>IFERROR(1-P156/O156,"-")</f>
        <v/>
      </c>
      <c r="R156" s="4" t="n">
        <v>92785</v>
      </c>
      <c r="S156" s="4" t="n">
        <v>3</v>
      </c>
      <c r="T156" s="4" t="n">
        <v>99999</v>
      </c>
      <c r="U156" s="4" t="n">
        <v>0</v>
      </c>
      <c r="V156" s="4">
        <f>IF(Y156="",U156,U156*Y156)</f>
        <v/>
      </c>
      <c r="W156" s="4" t="n">
        <v>73695</v>
      </c>
      <c r="X156" s="4">
        <f>IF(Y156="",W156,W156*Y156)</f>
        <v/>
      </c>
      <c r="Y156" s="4" t="n"/>
      <c r="Z156" s="21">
        <f>ROUND(O156*AN156,0)</f>
        <v/>
      </c>
      <c r="AA156" s="59">
        <f>IFERROR(1-X156/Z156,"-")</f>
        <v/>
      </c>
      <c r="AB156" s="4" t="n">
        <v>0</v>
      </c>
      <c r="AC156" s="4">
        <f>AY156</f>
        <v/>
      </c>
      <c r="AD156" s="4">
        <f>IFERROR(AC156*AN156,"-")</f>
        <v/>
      </c>
      <c r="AE156" s="59">
        <f>IFERROR(1-X156/AD156,"-")</f>
        <v/>
      </c>
      <c r="AF156" s="7" t="n">
        <v>99818</v>
      </c>
      <c r="AG156" s="61">
        <f>1-X156/AF156</f>
        <v/>
      </c>
      <c r="AH156" s="4">
        <f>AF156-X156</f>
        <v/>
      </c>
      <c r="AI156" s="28" t="n"/>
      <c r="AJ156" s="59" t="n"/>
      <c r="AK156" s="59" t="n"/>
      <c r="AL156" s="60">
        <f>IFERROR(V156/N156,"-")</f>
        <v/>
      </c>
      <c r="AM156" s="59">
        <f>IFERROR(AF156/O156,"-")</f>
        <v/>
      </c>
      <c r="AN156" s="59">
        <f>IFERROR(X156/P156,"-")</f>
        <v/>
      </c>
      <c r="AO156" s="59">
        <f>IFERROR(1-X156/AP156,"-")</f>
        <v/>
      </c>
      <c r="AP156" s="4" t="n">
        <v>92000</v>
      </c>
      <c r="AQ156" s="4">
        <f>IF(S156="","-",S156)</f>
        <v/>
      </c>
      <c r="AR156" s="4">
        <f>IF(T156="","-",T156)</f>
        <v/>
      </c>
      <c r="AS156" s="4" t="inlineStr">
        <is>
          <t>34/333</t>
        </is>
      </c>
      <c r="AT156" s="4" t="inlineStr">
        <is>
          <t>U444394</t>
        </is>
      </c>
      <c r="AU156" s="4" t="n"/>
      <c r="AV156" s="4" t="n"/>
      <c r="AW156" s="4" t="inlineStr">
        <is>
          <t>1台</t>
        </is>
      </c>
      <c r="AX156" s="4" t="n">
        <v>99819</v>
      </c>
      <c r="AY156" s="4">
        <f>IF(AU156="",AX156,AU156/AV156*AX156)</f>
        <v/>
      </c>
      <c r="AZ156" s="19" t="n">
        <v>4</v>
      </c>
      <c r="BA156" s="19" t="n">
        <v>9</v>
      </c>
      <c r="BB156" s="16" t="n">
        <v>1125</v>
      </c>
      <c r="BC156" s="0" t="inlineStr">
        <is>
          <t>-</t>
        </is>
      </c>
      <c r="BD156" s="0">
        <f>IFERROR(BC156*AN156,"-")</f>
        <v/>
      </c>
      <c r="BE156" s="0" t="n">
        <v>89546</v>
      </c>
      <c r="BF156" s="0">
        <f>IFERROR(BE156*AN156,"-")</f>
        <v/>
      </c>
      <c r="BG156" s="0" t="inlineStr">
        <is>
          <t>A3 クロスカットシュレッダー （60L/最大細断枚数25枚） OF325C アイリスオーヤマ</t>
        </is>
      </c>
    </row>
    <row r="157">
      <c r="A157" s="0">
        <f>TEXT(F157,"000000")</f>
        <v/>
      </c>
      <c r="B157" s="3" t="n">
        <v>97</v>
      </c>
      <c r="C157" s="3" t="n">
        <v>97</v>
      </c>
      <c r="D157" s="4" t="inlineStr">
        <is>
          <t>J762PY</t>
        </is>
      </c>
      <c r="E157" s="4">
        <f>TEXT(D157,"000000")</f>
        <v/>
      </c>
      <c r="F157" s="4" t="inlineStr">
        <is>
          <t>J762PY</t>
        </is>
      </c>
      <c r="G157" s="4">
        <f>E157&amp;J157</f>
        <v/>
      </c>
      <c r="H157" s="4" t="inlineStr">
        <is>
          <t>ｱｲﾘｽｵｰﾔﾏ/ﾎﾜｲﾄﾎﾞｰﾄﾞ ﾌﾞﾙｰ/NWP-23</t>
        </is>
      </c>
      <c r="I157" s="58" t="n">
        <v>4905009736621</v>
      </c>
      <c r="J157" s="58" t="n">
        <v>5</v>
      </c>
      <c r="K157" s="58" t="n"/>
      <c r="L157" s="58" t="n">
        <v>1</v>
      </c>
      <c r="M157" s="58" t="n">
        <v>1</v>
      </c>
      <c r="N157" s="4" t="n">
        <v>0</v>
      </c>
      <c r="O157" s="4" t="n">
        <v>754</v>
      </c>
      <c r="P157" s="4" t="n">
        <v>530</v>
      </c>
      <c r="Q157" s="59">
        <f>IFERROR(1-P157/O157,"-")</f>
        <v/>
      </c>
      <c r="R157" s="4" t="inlineStr">
        <is>
          <t>-</t>
        </is>
      </c>
      <c r="S157" s="4" t="inlineStr">
        <is>
          <t>-</t>
        </is>
      </c>
      <c r="T157" s="4" t="inlineStr">
        <is>
          <t>-</t>
        </is>
      </c>
      <c r="U157" s="4" t="n">
        <v>0</v>
      </c>
      <c r="V157" s="4">
        <f>IF(Y157="",U157,U157*Y157)</f>
        <v/>
      </c>
      <c r="W157" s="4" t="n">
        <v>546</v>
      </c>
      <c r="X157" s="4">
        <f>IF(Y157="",W157,W157*Y157)</f>
        <v/>
      </c>
      <c r="Y157" s="4" t="n"/>
      <c r="Z157" s="21">
        <f>ROUND(O157*AN157,0)</f>
        <v/>
      </c>
      <c r="AA157" s="59">
        <f>IFERROR(1-X157/Z157,"-")</f>
        <v/>
      </c>
      <c r="AB157" s="4" t="n">
        <v>0.5</v>
      </c>
      <c r="AC157" s="4">
        <f>AY157</f>
        <v/>
      </c>
      <c r="AD157" s="4">
        <f>IFERROR(AC157*AN157,"-")</f>
        <v/>
      </c>
      <c r="AE157" s="59">
        <f>IFERROR(1-X157/AD157,"-")</f>
        <v/>
      </c>
      <c r="AF157" s="7" t="n">
        <v>1375</v>
      </c>
      <c r="AG157" s="59">
        <f>1-X157/AF157</f>
        <v/>
      </c>
      <c r="AH157" s="4">
        <f>AF157-X157</f>
        <v/>
      </c>
      <c r="AI157" s="28" t="n"/>
      <c r="AJ157" s="59" t="n"/>
      <c r="AK157" s="59" t="n"/>
      <c r="AL157" s="59">
        <f>IFERROR(V157/N157,"-")</f>
        <v/>
      </c>
      <c r="AM157" s="59">
        <f>IFERROR(AF157/O157,"-")</f>
        <v/>
      </c>
      <c r="AN157" s="59">
        <f>IFERROR(X157/P157,"-")</f>
        <v/>
      </c>
      <c r="AO157" s="59">
        <f>IFERROR(1-X157/AP157,"-")</f>
        <v/>
      </c>
      <c r="AP157" s="4">
        <f>IFERROR(ROUND($AF157*R157/$O157,0),"-")</f>
        <v/>
      </c>
      <c r="AQ157" s="4">
        <f>IF(S157="","-",S157)</f>
        <v/>
      </c>
      <c r="AR157" s="4">
        <f>IF(T157="","-",T157)</f>
        <v/>
      </c>
      <c r="AS157" s="4" t="n">
        <v>0</v>
      </c>
      <c r="AT157" s="4" t="inlineStr">
        <is>
          <t>ARH9072</t>
        </is>
      </c>
      <c r="AU157" s="4" t="n">
        <v>1</v>
      </c>
      <c r="AV157" s="4" t="n">
        <v>2</v>
      </c>
      <c r="AW157" s="4" t="inlineStr">
        <is>
          <t>1セット（2枚）</t>
        </is>
      </c>
      <c r="AX157" s="4" t="n">
        <v>2752</v>
      </c>
      <c r="AY157" s="4">
        <f>IF(AU157="",AX157,AU157/AV157*AX157)</f>
        <v/>
      </c>
      <c r="AZ157" s="19" t="n">
        <v>4</v>
      </c>
      <c r="BA157" s="19" t="n">
        <v>8</v>
      </c>
      <c r="BB157" s="16" t="n">
        <v>1905</v>
      </c>
      <c r="BC157" s="0" t="inlineStr">
        <is>
          <t>-</t>
        </is>
      </c>
      <c r="BD157" s="0">
        <f>IFERROR(BC157*AN157,"-")</f>
        <v/>
      </c>
      <c r="BE157" s="0" t="n">
        <v>817</v>
      </c>
      <c r="BF157" s="0">
        <f>IFERROR(BE157*AN157,"-")</f>
        <v/>
      </c>
      <c r="BG157" s="0" t="inlineStr">
        <is>
          <t>アイリスオーヤマ ホワイトボード NWPー23 1セット(2枚)（直送品）</t>
        </is>
      </c>
    </row>
    <row r="158">
      <c r="A158" s="0">
        <f>TEXT(F158,"000000")</f>
        <v/>
      </c>
      <c r="B158" s="3" t="n">
        <v>95</v>
      </c>
      <c r="C158" s="3" t="n">
        <v>95</v>
      </c>
      <c r="D158" s="4" t="inlineStr">
        <is>
          <t>J763PY</t>
        </is>
      </c>
      <c r="E158" s="4">
        <f>TEXT(D158,"000000")</f>
        <v/>
      </c>
      <c r="F158" s="4" t="inlineStr">
        <is>
          <t>J763PY</t>
        </is>
      </c>
      <c r="G158" s="4">
        <f>E158&amp;J158</f>
        <v/>
      </c>
      <c r="H158" s="4" t="inlineStr">
        <is>
          <t>ｱｲﾘｽｵｰﾔﾏ/ﾎﾜｲﾄﾎﾞｰﾄﾞ ﾌﾞﾙｰ/NWP-34</t>
        </is>
      </c>
      <c r="I158" s="58" t="n">
        <v>4905009736638</v>
      </c>
      <c r="J158" s="58" t="n">
        <v>5</v>
      </c>
      <c r="K158" s="58" t="n"/>
      <c r="L158" s="58" t="n">
        <v>1</v>
      </c>
      <c r="M158" s="58" t="n">
        <v>1</v>
      </c>
      <c r="N158" s="4" t="n">
        <v>0</v>
      </c>
      <c r="O158" s="4" t="n">
        <v>969</v>
      </c>
      <c r="P158" s="4" t="n">
        <v>730</v>
      </c>
      <c r="Q158" s="59">
        <f>IFERROR(1-P158/O158,"-")</f>
        <v/>
      </c>
      <c r="R158" s="4" t="inlineStr">
        <is>
          <t>-</t>
        </is>
      </c>
      <c r="S158" s="4" t="inlineStr">
        <is>
          <t>-</t>
        </is>
      </c>
      <c r="T158" s="4" t="inlineStr">
        <is>
          <t>-</t>
        </is>
      </c>
      <c r="U158" s="4" t="n">
        <v>0</v>
      </c>
      <c r="V158" s="4">
        <f>IF(Y158="",U158,U158*Y158)</f>
        <v/>
      </c>
      <c r="W158" s="4" t="n">
        <v>752</v>
      </c>
      <c r="X158" s="4">
        <f>IF(Y158="",W158,W158*Y158)</f>
        <v/>
      </c>
      <c r="Y158" s="4" t="n"/>
      <c r="Z158" s="21">
        <f>ROUND(O158*AN158,0)</f>
        <v/>
      </c>
      <c r="AA158" s="59">
        <f>IFERROR(1-X158/Z158,"-")</f>
        <v/>
      </c>
      <c r="AB158" s="4" t="n">
        <v>0</v>
      </c>
      <c r="AC158" s="4">
        <f>AY158</f>
        <v/>
      </c>
      <c r="AD158" s="4">
        <f>IFERROR(AC158*AN158,"-")</f>
        <v/>
      </c>
      <c r="AE158" s="59">
        <f>IFERROR(1-X158/AD158,"-")</f>
        <v/>
      </c>
      <c r="AF158" s="7" t="n">
        <v>1913</v>
      </c>
      <c r="AG158" s="59">
        <f>1-X158/AF158</f>
        <v/>
      </c>
      <c r="AH158" s="4">
        <f>AF158-X158</f>
        <v/>
      </c>
      <c r="AI158" s="28" t="n"/>
      <c r="AJ158" s="59" t="n"/>
      <c r="AK158" s="59" t="n"/>
      <c r="AL158" s="59">
        <f>IFERROR(V158/N158,"-")</f>
        <v/>
      </c>
      <c r="AM158" s="59">
        <f>IFERROR(AF158/O158,"-")</f>
        <v/>
      </c>
      <c r="AN158" s="59">
        <f>IFERROR(X158/P158,"-")</f>
        <v/>
      </c>
      <c r="AO158" s="59">
        <f>IFERROR(1-X158/AP158,"-")</f>
        <v/>
      </c>
      <c r="AP158" s="4">
        <f>IFERROR(ROUND($AF158*R158/$O158,0),"-")</f>
        <v/>
      </c>
      <c r="AQ158" s="4">
        <f>IF(S158="","-",S158)</f>
        <v/>
      </c>
      <c r="AR158" s="4">
        <f>IF(T158="","-",T158)</f>
        <v/>
      </c>
      <c r="AS158" s="4" t="n">
        <v>0</v>
      </c>
      <c r="AT158" s="4" t="inlineStr">
        <is>
          <t>ARH9071</t>
        </is>
      </c>
      <c r="AU158" s="4" t="n">
        <v>1</v>
      </c>
      <c r="AV158" s="4" t="n">
        <v>2</v>
      </c>
      <c r="AW158" s="4" t="inlineStr">
        <is>
          <t>1セット（2枚）</t>
        </is>
      </c>
      <c r="AX158" s="4" t="n">
        <v>3828</v>
      </c>
      <c r="AY158" s="4">
        <f>IF(AU158="",AX158,AU158/AV158*AX158)</f>
        <v/>
      </c>
      <c r="AZ158" s="19" t="n">
        <v>4</v>
      </c>
      <c r="BA158" s="19" t="n">
        <v>8</v>
      </c>
      <c r="BB158" s="16" t="n">
        <v>1905</v>
      </c>
      <c r="BC158" s="0" t="inlineStr">
        <is>
          <t>-</t>
        </is>
      </c>
      <c r="BD158" s="0">
        <f>IFERROR(BC158*AN158,"-")</f>
        <v/>
      </c>
      <c r="BE158" s="0" t="inlineStr">
        <is>
          <t>-</t>
        </is>
      </c>
      <c r="BF158" s="0">
        <f>IFERROR(BE158*AN158,"-")</f>
        <v/>
      </c>
      <c r="BG158" s="0" t="inlineStr">
        <is>
          <t>アイリスオーヤマ ホワイトボード NWPー34 1セット(2枚)（直送品）</t>
        </is>
      </c>
    </row>
    <row r="159">
      <c r="A159" s="0">
        <f>TEXT(F159,"000000")</f>
        <v/>
      </c>
      <c r="B159" s="3" t="n">
        <v>111</v>
      </c>
      <c r="C159" s="3" t="n">
        <v>111</v>
      </c>
      <c r="D159" s="4" t="inlineStr">
        <is>
          <t>J765PY</t>
        </is>
      </c>
      <c r="E159" s="4">
        <f>TEXT(D159,"000000")</f>
        <v/>
      </c>
      <c r="F159" s="4" t="inlineStr">
        <is>
          <t>J765PY</t>
        </is>
      </c>
      <c r="G159" s="4">
        <f>E159&amp;J159</f>
        <v/>
      </c>
      <c r="H159" s="4" t="inlineStr">
        <is>
          <t>ｱｲﾘｽｵｰﾔﾏ/ｳｯﾄﾞﾌﾞﾗｯｸﾎﾞｰﾄﾞ ﾍﾟｱ 300×450×10mm/NBM-34</t>
        </is>
      </c>
      <c r="I159" s="58" t="n">
        <v>4905009736690</v>
      </c>
      <c r="J159" s="58" t="n">
        <v>5</v>
      </c>
      <c r="K159" s="58" t="n"/>
      <c r="L159" s="58" t="n">
        <v>1</v>
      </c>
      <c r="M159" s="58" t="n">
        <v>1</v>
      </c>
      <c r="N159" s="4" t="n">
        <v>0</v>
      </c>
      <c r="O159" s="4" t="n">
        <v>1285</v>
      </c>
      <c r="P159" s="4" t="n">
        <v>900</v>
      </c>
      <c r="Q159" s="59">
        <f>IFERROR(1-P159/O159,"-")</f>
        <v/>
      </c>
      <c r="R159" s="4" t="inlineStr">
        <is>
          <t>-</t>
        </is>
      </c>
      <c r="S159" s="4" t="inlineStr">
        <is>
          <t>-</t>
        </is>
      </c>
      <c r="T159" s="4" t="inlineStr">
        <is>
          <t>-</t>
        </is>
      </c>
      <c r="U159" s="4" t="n">
        <v>0</v>
      </c>
      <c r="V159" s="4">
        <f>IF(Y159="",U159,U159*Y159)</f>
        <v/>
      </c>
      <c r="W159" s="4" t="n">
        <v>928</v>
      </c>
      <c r="X159" s="4">
        <f>IF(Y159="",W159,W159*Y159)</f>
        <v/>
      </c>
      <c r="Y159" s="4" t="n"/>
      <c r="Z159" s="21">
        <f>ROUND(O159*AN159,0)</f>
        <v/>
      </c>
      <c r="AA159" s="59">
        <f>IFERROR(1-X159/Z159,"-")</f>
        <v/>
      </c>
      <c r="AB159" s="4" t="n">
        <v>0.75</v>
      </c>
      <c r="AC159" s="4">
        <f>AY159</f>
        <v/>
      </c>
      <c r="AD159" s="4">
        <f>IFERROR(AC159*AN159,"-")</f>
        <v/>
      </c>
      <c r="AE159" s="59">
        <f>IFERROR(1-X159/AD159,"-")</f>
        <v/>
      </c>
      <c r="AF159" s="7" t="n">
        <v>1285</v>
      </c>
      <c r="AG159" s="59">
        <f>1-X159/AF159</f>
        <v/>
      </c>
      <c r="AH159" s="4">
        <f>AF159-X159</f>
        <v/>
      </c>
      <c r="AI159" s="28" t="n"/>
      <c r="AJ159" s="59" t="n"/>
      <c r="AK159" s="59" t="n"/>
      <c r="AL159" s="59">
        <f>IFERROR(V159/N159,"-")</f>
        <v/>
      </c>
      <c r="AM159" s="59">
        <f>IFERROR(AF159/O159,"-")</f>
        <v/>
      </c>
      <c r="AN159" s="59">
        <f>IFERROR(X159/P159,"-")</f>
        <v/>
      </c>
      <c r="AO159" s="59">
        <f>IFERROR(1-X159/AP159,"-")</f>
        <v/>
      </c>
      <c r="AP159" s="4">
        <f>IFERROR(ROUND($AF159*R159/$O159,0),"-")</f>
        <v/>
      </c>
      <c r="AQ159" s="4">
        <f>IF(S159="","-",S159)</f>
        <v/>
      </c>
      <c r="AR159" s="4">
        <f>IF(T159="","-",T159)</f>
        <v/>
      </c>
      <c r="AS159" s="4" t="n">
        <v>0</v>
      </c>
      <c r="AT159" s="4" t="inlineStr">
        <is>
          <t>-</t>
        </is>
      </c>
      <c r="AU159" s="4" t="n"/>
      <c r="AV159" s="4" t="n"/>
      <c r="AW159" s="4" t="inlineStr">
        <is>
          <t>-</t>
        </is>
      </c>
      <c r="AX159" s="4" t="inlineStr">
        <is>
          <t>-</t>
        </is>
      </c>
      <c r="AY159" s="4">
        <f>IF(AU159="",AX159,AU159/AV159*AX159)</f>
        <v/>
      </c>
      <c r="AZ159" s="19" t="n">
        <v>4</v>
      </c>
      <c r="BA159" s="19" t="n">
        <v>8</v>
      </c>
      <c r="BB159" s="16" t="n">
        <v>1905</v>
      </c>
      <c r="BC159" s="0" t="inlineStr">
        <is>
          <t>-</t>
        </is>
      </c>
      <c r="BD159" s="0">
        <f>IFERROR(BC159*AN159,"-")</f>
        <v/>
      </c>
      <c r="BE159" s="0" t="n">
        <v>1135</v>
      </c>
      <c r="BF159" s="0">
        <f>IFERROR(BE159*AN159,"-")</f>
        <v/>
      </c>
      <c r="BG159" s="0" t="inlineStr">
        <is>
          <t>-</t>
        </is>
      </c>
    </row>
    <row r="160">
      <c r="A160" s="0">
        <f>TEXT(F160,"000000")</f>
        <v/>
      </c>
      <c r="B160" s="37" t="n">
        <v>96</v>
      </c>
      <c r="C160" s="3" t="n">
        <v>96</v>
      </c>
      <c r="D160" s="4" t="n">
        <v>662574</v>
      </c>
      <c r="E160" s="4">
        <f>TEXT(D160,"000000")</f>
        <v/>
      </c>
      <c r="F160" s="4" t="n">
        <v>662574</v>
      </c>
      <c r="G160" s="4">
        <f>E160&amp;J160</f>
        <v/>
      </c>
      <c r="H160" s="4" t="inlineStr">
        <is>
          <t>ｱｲﾘｽｵｰﾔﾏ/ｳｯﾄﾞﾌﾞﾗｯｸﾎﾞｰﾄﾞ 600×450mm/NBM-46</t>
        </is>
      </c>
      <c r="I160" s="58" t="n">
        <v>4905009736706</v>
      </c>
      <c r="J160" s="58" t="n">
        <v>5</v>
      </c>
      <c r="K160" s="58" t="n"/>
      <c r="L160" s="58" t="n">
        <v>1</v>
      </c>
      <c r="M160" s="58" t="n">
        <v>1</v>
      </c>
      <c r="N160" s="4" t="n">
        <v>0</v>
      </c>
      <c r="O160" s="4" t="n">
        <v>2336</v>
      </c>
      <c r="P160" s="4" t="n">
        <v>1320</v>
      </c>
      <c r="Q160" s="59">
        <f>IFERROR(1-P160/O160,"-")</f>
        <v/>
      </c>
      <c r="R160" s="4" t="inlineStr">
        <is>
          <t>-</t>
        </is>
      </c>
      <c r="S160" s="4" t="inlineStr">
        <is>
          <t>-</t>
        </is>
      </c>
      <c r="T160" s="4" t="inlineStr">
        <is>
          <t>-</t>
        </is>
      </c>
      <c r="U160" s="4" t="n">
        <v>0</v>
      </c>
      <c r="V160" s="4">
        <f>IF(Y160="",U160,U160*Y160)</f>
        <v/>
      </c>
      <c r="W160" s="4" t="n">
        <v>1360</v>
      </c>
      <c r="X160" s="4">
        <f>IF(Y160="",W160,W160*Y160)</f>
        <v/>
      </c>
      <c r="Y160" s="4" t="n"/>
      <c r="Z160" s="21">
        <f>ROUND(O160*AN160,0)</f>
        <v/>
      </c>
      <c r="AA160" s="59">
        <f>IFERROR(1-X160/Z160,"-")</f>
        <v/>
      </c>
      <c r="AB160" s="4" t="n">
        <v>4.75</v>
      </c>
      <c r="AC160" s="4">
        <f>AY160</f>
        <v/>
      </c>
      <c r="AD160" s="4">
        <f>IFERROR(AC160*AN160,"-")</f>
        <v/>
      </c>
      <c r="AE160" s="59">
        <f>IFERROR(1-X160/AD160,"-")</f>
        <v/>
      </c>
      <c r="AF160" s="7" t="n">
        <v>1631</v>
      </c>
      <c r="AG160" s="59">
        <f>1-X160/AF160</f>
        <v/>
      </c>
      <c r="AH160" s="38">
        <f>AF160-X160</f>
        <v/>
      </c>
      <c r="AI160" s="28" t="n"/>
      <c r="AJ160" s="59" t="n"/>
      <c r="AK160" s="59" t="n"/>
      <c r="AL160" s="59">
        <f>IFERROR(V160/N160,"-")</f>
        <v/>
      </c>
      <c r="AM160" s="59">
        <f>IFERROR(AF160/O160,"-")</f>
        <v/>
      </c>
      <c r="AN160" s="59">
        <f>IFERROR(X160/P160,"-")</f>
        <v/>
      </c>
      <c r="AO160" s="59">
        <f>IFERROR(1-X160/AP160,"-")</f>
        <v/>
      </c>
      <c r="AP160" s="4">
        <f>IFERROR(ROUND($AF160*R160/$O160,0),"-")</f>
        <v/>
      </c>
      <c r="AQ160" s="4">
        <f>IF(S160="","-",S160)</f>
        <v/>
      </c>
      <c r="AR160" s="4">
        <f>IF(T160="","-",T160)</f>
        <v/>
      </c>
      <c r="AS160" s="4" t="inlineStr">
        <is>
          <t>34/585</t>
        </is>
      </c>
      <c r="AT160" s="4" t="inlineStr">
        <is>
          <t>A018563</t>
        </is>
      </c>
      <c r="AU160" s="4" t="n"/>
      <c r="AV160" s="4" t="n"/>
      <c r="AW160" s="4" t="inlineStr">
        <is>
          <t>1枚</t>
        </is>
      </c>
      <c r="AX160" s="4" t="n">
        <v>1632</v>
      </c>
      <c r="AY160" s="4">
        <f>IF(AU160="",AX160,AU160/AV160*AX160)</f>
        <v/>
      </c>
      <c r="AZ160" s="19" t="n">
        <v>2</v>
      </c>
      <c r="BA160" s="19" t="n">
        <v>1</v>
      </c>
      <c r="BB160" s="16" t="n">
        <v>1905</v>
      </c>
      <c r="BC160" s="0" t="inlineStr">
        <is>
          <t>-</t>
        </is>
      </c>
      <c r="BD160" s="0">
        <f>IFERROR(BC160*AN160,"-")</f>
        <v/>
      </c>
      <c r="BE160" s="0" t="n">
        <v>1555</v>
      </c>
      <c r="BF160" s="0">
        <f>IFERROR(BE160*AN160,"-")</f>
        <v/>
      </c>
      <c r="BG160" s="0" t="inlineStr">
        <is>
          <t>アイリスオーヤマ ウッドブラックボード NBMー46 ペア 1枚（直送品）</t>
        </is>
      </c>
    </row>
    <row r="161">
      <c r="A161" s="0">
        <f>TEXT(F161,"000000")</f>
        <v/>
      </c>
      <c r="B161" s="37" t="n">
        <v>110</v>
      </c>
      <c r="C161" s="3" t="n">
        <v>110</v>
      </c>
      <c r="D161" s="4" t="inlineStr">
        <is>
          <t>J764PY</t>
        </is>
      </c>
      <c r="E161" s="4">
        <f>TEXT(D161,"000000")</f>
        <v/>
      </c>
      <c r="F161" s="4" t="inlineStr">
        <is>
          <t>J764PY</t>
        </is>
      </c>
      <c r="G161" s="4">
        <f>E161&amp;J161</f>
        <v/>
      </c>
      <c r="H161" s="4" t="inlineStr">
        <is>
          <t>ｱｲﾘｽｵｰﾔﾏ/ﾎﾜｲﾄﾎﾞｰﾄﾞ ﾌﾞﾙｰ/NWP-46</t>
        </is>
      </c>
      <c r="I161" s="58" t="n">
        <v>4905009736645</v>
      </c>
      <c r="J161" s="58" t="n">
        <v>5</v>
      </c>
      <c r="K161" s="58" t="n"/>
      <c r="L161" s="58" t="n">
        <v>1</v>
      </c>
      <c r="M161" s="58" t="n">
        <v>1</v>
      </c>
      <c r="N161" s="4" t="n">
        <v>0</v>
      </c>
      <c r="O161" s="4" t="n">
        <v>2416</v>
      </c>
      <c r="P161" s="4" t="n">
        <v>1400</v>
      </c>
      <c r="Q161" s="59">
        <f>IFERROR(1-P161/O161,"-")</f>
        <v/>
      </c>
      <c r="R161" s="4" t="inlineStr">
        <is>
          <t>-</t>
        </is>
      </c>
      <c r="S161" s="4" t="inlineStr">
        <is>
          <t>-</t>
        </is>
      </c>
      <c r="T161" s="4" t="inlineStr">
        <is>
          <t>-</t>
        </is>
      </c>
      <c r="U161" s="4" t="n">
        <v>0</v>
      </c>
      <c r="V161" s="4">
        <f>IF(Y161="",U161,U161*Y161)</f>
        <v/>
      </c>
      <c r="W161" s="4" t="n">
        <v>1443</v>
      </c>
      <c r="X161" s="4">
        <f>IF(Y161="",W161,W161*Y161)</f>
        <v/>
      </c>
      <c r="Y161" s="4" t="n"/>
      <c r="Z161" s="21">
        <f>ROUND(O161*AN161,0)</f>
        <v/>
      </c>
      <c r="AA161" s="59">
        <f>IFERROR(1-X161/Z161,"-")</f>
        <v/>
      </c>
      <c r="AB161" s="4" t="n">
        <v>2.75</v>
      </c>
      <c r="AC161" s="4">
        <f>AY161</f>
        <v/>
      </c>
      <c r="AD161" s="4">
        <f>IFERROR(AC161*AN161,"-")</f>
        <v/>
      </c>
      <c r="AE161" s="59">
        <f>IFERROR(1-X161/AD161,"-")</f>
        <v/>
      </c>
      <c r="AF161" s="7" t="n">
        <v>3613</v>
      </c>
      <c r="AG161" s="59">
        <f>1-X161/AF161</f>
        <v/>
      </c>
      <c r="AH161" s="38">
        <f>AF161-X161</f>
        <v/>
      </c>
      <c r="AI161" s="28" t="n"/>
      <c r="AJ161" s="59" t="n"/>
      <c r="AK161" s="59" t="n"/>
      <c r="AL161" s="59">
        <f>IFERROR(V161/N161,"-")</f>
        <v/>
      </c>
      <c r="AM161" s="59">
        <f>IFERROR(AF161/O161,"-")</f>
        <v/>
      </c>
      <c r="AN161" s="59">
        <f>IFERROR(X161/P161,"-")</f>
        <v/>
      </c>
      <c r="AO161" s="59">
        <f>IFERROR(1-X161/AP161,"-")</f>
        <v/>
      </c>
      <c r="AP161" s="4">
        <f>IFERROR(ROUND($AF161*R161/$O161,0),"-")</f>
        <v/>
      </c>
      <c r="AQ161" s="4">
        <f>IF(S161="","-",S161)</f>
        <v/>
      </c>
      <c r="AR161" s="4">
        <f>IF(T161="","-",T161)</f>
        <v/>
      </c>
      <c r="AS161" s="4" t="n">
        <v>0</v>
      </c>
      <c r="AT161" s="4" t="inlineStr">
        <is>
          <t>ARH9073</t>
        </is>
      </c>
      <c r="AU161" s="4" t="n"/>
      <c r="AV161" s="4" t="n"/>
      <c r="AW161" s="4" t="inlineStr">
        <is>
          <t>1枚</t>
        </is>
      </c>
      <c r="AX161" s="4" t="n">
        <v>3614</v>
      </c>
      <c r="AY161" s="4">
        <f>IF(AU161="",AX161,AU161/AV161*AX161)</f>
        <v/>
      </c>
      <c r="AZ161" s="19" t="n">
        <v>2</v>
      </c>
      <c r="BA161" s="19" t="n">
        <v>8</v>
      </c>
      <c r="BB161" s="16" t="n">
        <v>1905</v>
      </c>
      <c r="BC161" s="0" t="inlineStr">
        <is>
          <t>-</t>
        </is>
      </c>
      <c r="BD161" s="0">
        <f>IFERROR(BC161*AN161,"-")</f>
        <v/>
      </c>
      <c r="BE161" s="0" t="n">
        <v>2190</v>
      </c>
      <c r="BF161" s="0">
        <f>IFERROR(BE161*AN161,"-")</f>
        <v/>
      </c>
      <c r="BG161" s="0" t="inlineStr">
        <is>
          <t>アイリスオーヤマ ホワイトボード NWPー46 1枚（直送品）</t>
        </is>
      </c>
    </row>
    <row r="162">
      <c r="A162" s="0">
        <f>TEXT(F162,"000000")</f>
        <v/>
      </c>
      <c r="B162" s="37" t="n">
        <v>104</v>
      </c>
      <c r="C162" s="3" t="n">
        <v>104</v>
      </c>
      <c r="D162" s="4" t="n">
        <v>415125</v>
      </c>
      <c r="E162" s="4">
        <f>TEXT(D162,"000000")</f>
        <v/>
      </c>
      <c r="F162" s="4" t="n">
        <v>415125</v>
      </c>
      <c r="G162" s="4">
        <f>E162&amp;J162</f>
        <v/>
      </c>
      <c r="H162" s="4" t="inlineStr">
        <is>
          <t>ｱｲﾘｽｵｰﾔﾏ/ｲｰｾﾞﾙ/ESL-1380</t>
        </is>
      </c>
      <c r="I162" s="58" t="n">
        <v>4905009387632</v>
      </c>
      <c r="J162" s="58" t="n">
        <v>5</v>
      </c>
      <c r="K162" s="58" t="n"/>
      <c r="L162" s="58" t="n">
        <v>1</v>
      </c>
      <c r="M162" s="58" t="n">
        <v>1</v>
      </c>
      <c r="N162" s="4" t="n">
        <v>0</v>
      </c>
      <c r="O162" s="4" t="n">
        <v>2740</v>
      </c>
      <c r="P162" s="4" t="n">
        <v>1700</v>
      </c>
      <c r="Q162" s="59">
        <f>IFERROR(1-P162/O162,"-")</f>
        <v/>
      </c>
      <c r="R162" s="4" t="inlineStr">
        <is>
          <t>-</t>
        </is>
      </c>
      <c r="S162" s="4" t="inlineStr">
        <is>
          <t>-</t>
        </is>
      </c>
      <c r="T162" s="4" t="inlineStr">
        <is>
          <t>-</t>
        </is>
      </c>
      <c r="U162" s="4" t="n">
        <v>0</v>
      </c>
      <c r="V162" s="4">
        <f>IF(Y162="",U162,U162*Y162)</f>
        <v/>
      </c>
      <c r="W162" s="4" t="n">
        <v>1752</v>
      </c>
      <c r="X162" s="4">
        <f>IF(Y162="",W162,W162*Y162)</f>
        <v/>
      </c>
      <c r="Y162" s="4" t="n"/>
      <c r="Z162" s="21">
        <f>ROUND(O162*AN162,0)</f>
        <v/>
      </c>
      <c r="AA162" s="59">
        <f>IFERROR(1-X162/Z162,"-")</f>
        <v/>
      </c>
      <c r="AB162" s="4" t="n">
        <v>2.25</v>
      </c>
      <c r="AC162" s="4">
        <f>AY162</f>
        <v/>
      </c>
      <c r="AD162" s="4">
        <f>IFERROR(AC162*AN162,"-")</f>
        <v/>
      </c>
      <c r="AE162" s="59">
        <f>IFERROR(1-X162/AD162,"-")</f>
        <v/>
      </c>
      <c r="AF162" s="7" t="n">
        <v>3029</v>
      </c>
      <c r="AG162" s="59">
        <f>1-X162/AF162</f>
        <v/>
      </c>
      <c r="AH162" s="38">
        <f>AF162-X162</f>
        <v/>
      </c>
      <c r="AI162" s="28" t="n"/>
      <c r="AJ162" s="59" t="n"/>
      <c r="AK162" s="59" t="n"/>
      <c r="AL162" s="59">
        <f>IFERROR(V162/N162,"-")</f>
        <v/>
      </c>
      <c r="AM162" s="59">
        <f>IFERROR(AF162/O162,"-")</f>
        <v/>
      </c>
      <c r="AN162" s="59">
        <f>IFERROR(X162/P162,"-")</f>
        <v/>
      </c>
      <c r="AO162" s="59">
        <f>IFERROR(1-X162/AP162,"-")</f>
        <v/>
      </c>
      <c r="AP162" s="4">
        <f>IFERROR(ROUND($AF162*R162/$O162,0),"-")</f>
        <v/>
      </c>
      <c r="AQ162" s="4">
        <f>IF(S162="","-",S162)</f>
        <v/>
      </c>
      <c r="AR162" s="4">
        <f>IF(T162="","-",T162)</f>
        <v/>
      </c>
      <c r="AS162" s="4" t="inlineStr">
        <is>
          <t>34/586</t>
        </is>
      </c>
      <c r="AT162" s="4" t="inlineStr">
        <is>
          <t>9411642</t>
        </is>
      </c>
      <c r="AU162" s="4" t="n"/>
      <c r="AV162" s="4" t="n"/>
      <c r="AW162" s="4" t="inlineStr">
        <is>
          <t>1個</t>
        </is>
      </c>
      <c r="AX162" s="4" t="n">
        <v>3030</v>
      </c>
      <c r="AY162" s="4">
        <f>IF(AU162="",AX162,AU162/AV162*AX162)</f>
        <v/>
      </c>
      <c r="AZ162" s="19" t="n">
        <v>2</v>
      </c>
      <c r="BA162" s="19" t="n">
        <v>1</v>
      </c>
      <c r="BB162" s="16" t="n">
        <v>1905</v>
      </c>
      <c r="BC162" s="0" t="inlineStr">
        <is>
          <t>-</t>
        </is>
      </c>
      <c r="BD162" s="0">
        <f>IFERROR(BC162*AN162,"-")</f>
        <v/>
      </c>
      <c r="BE162" s="0" t="n">
        <v>2924</v>
      </c>
      <c r="BF162" s="0">
        <f>IFERROR(BE162*AN162,"-")</f>
        <v/>
      </c>
      <c r="BG162" s="0" t="inlineStr">
        <is>
          <t>アイリスオーヤマ イーゼル スタンド 幅68.5×奥行65×高さ104～132cm スチール製 A1 B1 B2対応  ESL-1380 １台</t>
        </is>
      </c>
    </row>
    <row r="163">
      <c r="A163" s="0">
        <f>TEXT(F163,"000000")</f>
        <v/>
      </c>
      <c r="B163" s="37" t="n">
        <v>102</v>
      </c>
      <c r="C163" s="3" t="n">
        <v>102</v>
      </c>
      <c r="D163" s="4" t="inlineStr">
        <is>
          <t>J766PY</t>
        </is>
      </c>
      <c r="E163" s="4">
        <f>TEXT(D163,"000000")</f>
        <v/>
      </c>
      <c r="F163" s="4" t="inlineStr">
        <is>
          <t>J766PY</t>
        </is>
      </c>
      <c r="G163" s="4">
        <f>E163&amp;J163</f>
        <v/>
      </c>
      <c r="H163" s="4" t="inlineStr">
        <is>
          <t>ｱｲﾘｽｵｰﾔﾏ/ｲｰｾﾞﾙ 1200H ﾍﾟｱ/GXB-68</t>
        </is>
      </c>
      <c r="I163" s="58" t="n">
        <v>4905009371556</v>
      </c>
      <c r="J163" s="58" t="n">
        <v>5</v>
      </c>
      <c r="K163" s="58" t="n"/>
      <c r="L163" s="58" t="n">
        <v>1</v>
      </c>
      <c r="M163" s="58" t="n">
        <v>1</v>
      </c>
      <c r="N163" s="4" t="n">
        <v>0</v>
      </c>
      <c r="O163" s="4" t="n">
        <v>3080</v>
      </c>
      <c r="P163" s="4" t="n">
        <v>1740</v>
      </c>
      <c r="Q163" s="59">
        <f>IFERROR(1-P163/O163,"-")</f>
        <v/>
      </c>
      <c r="R163" s="4" t="inlineStr">
        <is>
          <t>-</t>
        </is>
      </c>
      <c r="S163" s="4" t="inlineStr">
        <is>
          <t>-</t>
        </is>
      </c>
      <c r="T163" s="4" t="inlineStr">
        <is>
          <t>-</t>
        </is>
      </c>
      <c r="U163" s="4" t="n">
        <v>0</v>
      </c>
      <c r="V163" s="4">
        <f>IF(Y163="",U163,U163*Y163)</f>
        <v/>
      </c>
      <c r="W163" s="4" t="n">
        <v>1793</v>
      </c>
      <c r="X163" s="4">
        <f>IF(Y163="",W163,W163*Y163)</f>
        <v/>
      </c>
      <c r="Y163" s="4" t="n"/>
      <c r="Z163" s="21">
        <f>ROUND(O163*AN163,0)</f>
        <v/>
      </c>
      <c r="AA163" s="59">
        <f>IFERROR(1-X163/Z163,"-")</f>
        <v/>
      </c>
      <c r="AB163" s="4" t="n">
        <v>0.75</v>
      </c>
      <c r="AC163" s="4">
        <f>AY163</f>
        <v/>
      </c>
      <c r="AD163" s="4">
        <f>IFERROR(AC163*AN163,"-")</f>
        <v/>
      </c>
      <c r="AE163" s="59">
        <f>IFERROR(1-X163/AD163,"-")</f>
        <v/>
      </c>
      <c r="AF163" s="7" t="n">
        <v>2681</v>
      </c>
      <c r="AG163" s="59">
        <f>1-X163/AF163</f>
        <v/>
      </c>
      <c r="AH163" s="38">
        <f>AF163-X163</f>
        <v/>
      </c>
      <c r="AI163" s="28" t="n"/>
      <c r="AJ163" s="59" t="n"/>
      <c r="AK163" s="59" t="n"/>
      <c r="AL163" s="59">
        <f>IFERROR(V163/N163,"-")</f>
        <v/>
      </c>
      <c r="AM163" s="59">
        <f>IFERROR(AF163/O163,"-")</f>
        <v/>
      </c>
      <c r="AN163" s="59">
        <f>IFERROR(X163/P163,"-")</f>
        <v/>
      </c>
      <c r="AO163" s="59">
        <f>IFERROR(1-X163/AP163,"-")</f>
        <v/>
      </c>
      <c r="AP163" s="4">
        <f>IFERROR(ROUND($AF163*R163/$O163,0),"-")</f>
        <v/>
      </c>
      <c r="AQ163" s="4">
        <f>IF(S163="","-",S163)</f>
        <v/>
      </c>
      <c r="AR163" s="4">
        <f>IF(T163="","-",T163)</f>
        <v/>
      </c>
      <c r="AS163" s="4" t="n">
        <v>0</v>
      </c>
      <c r="AT163" s="4" t="inlineStr">
        <is>
          <t>A018570</t>
        </is>
      </c>
      <c r="AU163" s="4" t="n"/>
      <c r="AV163" s="4" t="n"/>
      <c r="AW163" s="4" t="inlineStr">
        <is>
          <t>1台(1個)</t>
        </is>
      </c>
      <c r="AX163" s="4" t="n">
        <v>2682</v>
      </c>
      <c r="AY163" s="4">
        <f>IF(AU163="",AX163,AU163/AV163*AX163)</f>
        <v/>
      </c>
      <c r="AZ163" s="19" t="n">
        <v>2</v>
      </c>
      <c r="BA163" s="19" t="n">
        <v>8</v>
      </c>
      <c r="BB163" s="16" t="n">
        <v>1905</v>
      </c>
      <c r="BC163" s="0" t="inlineStr">
        <is>
          <t>-</t>
        </is>
      </c>
      <c r="BD163" s="0">
        <f>IFERROR(BC163*AN163,"-")</f>
        <v/>
      </c>
      <c r="BE163" s="0" t="n">
        <v>2712</v>
      </c>
      <c r="BF163" s="0">
        <f>IFERROR(BE163*AN163,"-")</f>
        <v/>
      </c>
      <c r="BG163" s="0" t="inlineStr">
        <is>
          <t>アイリスオーヤマ イーゼル1200H GXBー68 ペアー 1台(1個)（直送品）</t>
        </is>
      </c>
    </row>
    <row r="164">
      <c r="A164" s="0">
        <f>TEXT(F164,"000000")</f>
        <v/>
      </c>
      <c r="B164" s="37" t="n">
        <v>108</v>
      </c>
      <c r="C164" s="3" t="n">
        <v>108</v>
      </c>
      <c r="D164" s="4" t="n">
        <v>677029</v>
      </c>
      <c r="E164" s="4">
        <f>TEXT(D164,"000000")</f>
        <v/>
      </c>
      <c r="F164" s="4" t="n">
        <v>677029</v>
      </c>
      <c r="G164" s="4">
        <f>E164&amp;J164</f>
        <v/>
      </c>
      <c r="H164" s="4" t="inlineStr">
        <is>
          <t>ｱｲﾘｽｵｰﾔﾏ/ｲｰｾﾞﾙ1120 ﾅﾁｭﾗﾙ/ESL-1</t>
        </is>
      </c>
      <c r="I164" s="58" t="n">
        <v>4905009712854</v>
      </c>
      <c r="J164" s="58" t="n">
        <v>5</v>
      </c>
      <c r="K164" s="58" t="n"/>
      <c r="L164" s="58" t="n">
        <v>1</v>
      </c>
      <c r="M164" s="58" t="n">
        <v>1</v>
      </c>
      <c r="N164" s="4" t="n">
        <v>0</v>
      </c>
      <c r="O164" s="4" t="n">
        <v>2750</v>
      </c>
      <c r="P164" s="4" t="n">
        <v>1800</v>
      </c>
      <c r="Q164" s="59">
        <f>IFERROR(1-P164/O164,"-")</f>
        <v/>
      </c>
      <c r="R164" s="4" t="inlineStr">
        <is>
          <t>-</t>
        </is>
      </c>
      <c r="S164" s="4" t="inlineStr">
        <is>
          <t>-</t>
        </is>
      </c>
      <c r="T164" s="4" t="inlineStr">
        <is>
          <t>-</t>
        </is>
      </c>
      <c r="U164" s="4" t="n">
        <v>0</v>
      </c>
      <c r="V164" s="4">
        <f>IF(Y164="",U164,U164*Y164)</f>
        <v/>
      </c>
      <c r="W164" s="4" t="n">
        <v>1855</v>
      </c>
      <c r="X164" s="4">
        <f>IF(Y164="",W164,W164*Y164)</f>
        <v/>
      </c>
      <c r="Y164" s="4" t="n"/>
      <c r="Z164" s="21">
        <f>ROUND(O164*AN164,0)</f>
        <v/>
      </c>
      <c r="AA164" s="59">
        <f>IFERROR(1-X164/Z164,"-")</f>
        <v/>
      </c>
      <c r="AB164" s="4" t="n">
        <v>6</v>
      </c>
      <c r="AC164" s="4">
        <f>AY164</f>
        <v/>
      </c>
      <c r="AD164" s="4">
        <f>IFERROR(AC164*AN164,"-")</f>
        <v/>
      </c>
      <c r="AE164" s="59">
        <f>IFERROR(1-X164/AD164,"-")</f>
        <v/>
      </c>
      <c r="AF164" s="7" t="n">
        <v>3163</v>
      </c>
      <c r="AG164" s="59">
        <f>1-X164/AF164</f>
        <v/>
      </c>
      <c r="AH164" s="38">
        <f>AF164-X164</f>
        <v/>
      </c>
      <c r="AI164" s="28" t="n"/>
      <c r="AJ164" s="59" t="n"/>
      <c r="AK164" s="59" t="n"/>
      <c r="AL164" s="59">
        <f>IFERROR(V164/N164,"-")</f>
        <v/>
      </c>
      <c r="AM164" s="59">
        <f>IFERROR(AF164/O164,"-")</f>
        <v/>
      </c>
      <c r="AN164" s="59">
        <f>IFERROR(X164/P164,"-")</f>
        <v/>
      </c>
      <c r="AO164" s="59">
        <f>IFERROR(1-X164/AP164,"-")</f>
        <v/>
      </c>
      <c r="AP164" s="4">
        <f>IFERROR(ROUND($AF164*R164/$O164,0),"-")</f>
        <v/>
      </c>
      <c r="AQ164" s="4">
        <f>IF(S164="","-",S164)</f>
        <v/>
      </c>
      <c r="AR164" s="4">
        <f>IF(T164="","-",T164)</f>
        <v/>
      </c>
      <c r="AS164" s="4" t="inlineStr">
        <is>
          <t>34/586</t>
        </is>
      </c>
      <c r="AT164" s="4" t="inlineStr">
        <is>
          <t>657491</t>
        </is>
      </c>
      <c r="AU164" s="4" t="n"/>
      <c r="AV164" s="4" t="n"/>
      <c r="AW164" s="4" t="inlineStr">
        <is>
          <t>1個</t>
        </is>
      </c>
      <c r="AX164" s="4" t="n">
        <v>3164</v>
      </c>
      <c r="AY164" s="4">
        <f>IF(AU164="",AX164,AU164/AV164*AX164)</f>
        <v/>
      </c>
      <c r="AZ164" s="19" t="n">
        <v>2</v>
      </c>
      <c r="BA164" s="19" t="n">
        <v>1</v>
      </c>
      <c r="BB164" s="16" t="n">
        <v>1905</v>
      </c>
      <c r="BC164" s="0" t="inlineStr">
        <is>
          <t>-</t>
        </is>
      </c>
      <c r="BD164" s="0">
        <f>IFERROR(BC164*AN164,"-")</f>
        <v/>
      </c>
      <c r="BE164" s="0" t="n">
        <v>2727</v>
      </c>
      <c r="BF164" s="0">
        <f>IFERROR(BE164*AN164,"-")</f>
        <v/>
      </c>
      <c r="BG164" s="0" t="inlineStr">
        <is>
          <t>アイリスオーヤマ イーゼル スタンド 1120 幅61×奥行57×高さ111cm 木製 ディスプレイ ナチュラル ESL-1 1台</t>
        </is>
      </c>
    </row>
    <row r="165">
      <c r="A165" s="0">
        <f>TEXT(F165,"000000")</f>
        <v/>
      </c>
      <c r="B165" s="37" t="n">
        <v>109</v>
      </c>
      <c r="C165" s="3" t="n">
        <v>109</v>
      </c>
      <c r="D165" s="4" t="n">
        <v>677030</v>
      </c>
      <c r="E165" s="4">
        <f>TEXT(D165,"000000")</f>
        <v/>
      </c>
      <c r="F165" s="4" t="n">
        <v>677030</v>
      </c>
      <c r="G165" s="4">
        <f>E165&amp;J165</f>
        <v/>
      </c>
      <c r="H165" s="4" t="inlineStr">
        <is>
          <t>ｱｲﾘｽｵｰﾔﾏ/ｲｰｾﾞﾙ1120 ﾀﾞｰｸﾌﾞﾗｳﾝ/ESL-1</t>
        </is>
      </c>
      <c r="I165" s="58" t="n">
        <v>4905009712861</v>
      </c>
      <c r="J165" s="58" t="n">
        <v>5</v>
      </c>
      <c r="K165" s="58" t="n"/>
      <c r="L165" s="58" t="n">
        <v>1</v>
      </c>
      <c r="M165" s="58" t="n">
        <v>1</v>
      </c>
      <c r="N165" s="4" t="n">
        <v>0</v>
      </c>
      <c r="O165" s="4" t="n">
        <v>2750</v>
      </c>
      <c r="P165" s="4" t="n">
        <v>1800</v>
      </c>
      <c r="Q165" s="59">
        <f>IFERROR(1-P165/O165,"-")</f>
        <v/>
      </c>
      <c r="R165" s="4" t="inlineStr">
        <is>
          <t>-</t>
        </is>
      </c>
      <c r="S165" s="4" t="inlineStr">
        <is>
          <t>-</t>
        </is>
      </c>
      <c r="T165" s="4" t="inlineStr">
        <is>
          <t>-</t>
        </is>
      </c>
      <c r="U165" s="4" t="n">
        <v>0</v>
      </c>
      <c r="V165" s="4">
        <f>IF(Y165="",U165,U165*Y165)</f>
        <v/>
      </c>
      <c r="W165" s="4" t="n">
        <v>1855</v>
      </c>
      <c r="X165" s="4">
        <f>IF(Y165="",W165,W165*Y165)</f>
        <v/>
      </c>
      <c r="Y165" s="4" t="n"/>
      <c r="Z165" s="21">
        <f>ROUND(O165*AN165,0)</f>
        <v/>
      </c>
      <c r="AA165" s="59">
        <f>IFERROR(1-X165/Z165,"-")</f>
        <v/>
      </c>
      <c r="AB165" s="4" t="n">
        <v>5.75</v>
      </c>
      <c r="AC165" s="4">
        <f>AY165</f>
        <v/>
      </c>
      <c r="AD165" s="4">
        <f>IFERROR(AC165*AN165,"-")</f>
        <v/>
      </c>
      <c r="AE165" s="59">
        <f>IFERROR(1-X165/AD165,"-")</f>
        <v/>
      </c>
      <c r="AF165" s="7" t="n">
        <v>4299</v>
      </c>
      <c r="AG165" s="59">
        <f>1-X165/AF165</f>
        <v/>
      </c>
      <c r="AH165" s="38">
        <f>AF165-X165</f>
        <v/>
      </c>
      <c r="AI165" s="28" t="n"/>
      <c r="AJ165" s="59" t="n"/>
      <c r="AK165" s="59" t="n"/>
      <c r="AL165" s="59">
        <f>IFERROR(V165/N165,"-")</f>
        <v/>
      </c>
      <c r="AM165" s="59">
        <f>IFERROR(AF165/O165,"-")</f>
        <v/>
      </c>
      <c r="AN165" s="59">
        <f>IFERROR(X165/P165,"-")</f>
        <v/>
      </c>
      <c r="AO165" s="59">
        <f>IFERROR(1-X165/AP165,"-")</f>
        <v/>
      </c>
      <c r="AP165" s="4">
        <f>IFERROR(ROUND($AF165*R165/$O165,0),"-")</f>
        <v/>
      </c>
      <c r="AQ165" s="4">
        <f>IF(S165="","-",S165)</f>
        <v/>
      </c>
      <c r="AR165" s="4">
        <f>IF(T165="","-",T165)</f>
        <v/>
      </c>
      <c r="AS165" s="4" t="inlineStr">
        <is>
          <t>34/586</t>
        </is>
      </c>
      <c r="AT165" s="4" t="inlineStr">
        <is>
          <t>657507</t>
        </is>
      </c>
      <c r="AU165" s="4" t="n"/>
      <c r="AV165" s="4" t="n"/>
      <c r="AW165" s="4" t="inlineStr">
        <is>
          <t>1台</t>
        </is>
      </c>
      <c r="AX165" s="4" t="n">
        <v>4300</v>
      </c>
      <c r="AY165" s="4">
        <f>IF(AU165="",AX165,AU165/AV165*AX165)</f>
        <v/>
      </c>
      <c r="AZ165" s="19" t="n">
        <v>2</v>
      </c>
      <c r="BA165" s="19" t="n">
        <v>1</v>
      </c>
      <c r="BB165" s="16" t="n">
        <v>1905</v>
      </c>
      <c r="BC165" s="0" t="inlineStr">
        <is>
          <t>-</t>
        </is>
      </c>
      <c r="BD165" s="0">
        <f>IFERROR(BC165*AN165,"-")</f>
        <v/>
      </c>
      <c r="BE165" s="0" t="n">
        <v>2727</v>
      </c>
      <c r="BF165" s="0">
        <f>IFERROR(BE165*AN165,"-")</f>
        <v/>
      </c>
      <c r="BG165" s="0" t="inlineStr">
        <is>
          <t>アイリスオーヤマ イーゼル スタンド 1120 幅61×奥行57×高さ111cm 木製 ディスプレイ ダークブラウン ESL-1 １台</t>
        </is>
      </c>
    </row>
    <row r="166">
      <c r="A166" s="0">
        <f>TEXT(F166,"000000")</f>
        <v/>
      </c>
      <c r="B166" s="37" t="n">
        <v>98</v>
      </c>
      <c r="C166" s="3" t="n">
        <v>98</v>
      </c>
      <c r="D166" s="4" t="n">
        <v>677031</v>
      </c>
      <c r="E166" s="4">
        <f>TEXT(D166,"000000")</f>
        <v/>
      </c>
      <c r="F166" s="4" t="n">
        <v>677031</v>
      </c>
      <c r="G166" s="4">
        <f>E166&amp;J166</f>
        <v/>
      </c>
      <c r="H166" s="4" t="inlineStr">
        <is>
          <t>ｱｲﾘｽｵｰﾔﾏ/ｲｰｾﾞﾙ1300 ﾅﾁｭﾗﾙ/ESL-2</t>
        </is>
      </c>
      <c r="I166" s="58" t="n">
        <v>4905009712878</v>
      </c>
      <c r="J166" s="58" t="n">
        <v>5</v>
      </c>
      <c r="K166" s="58" t="n"/>
      <c r="L166" s="58" t="n">
        <v>1</v>
      </c>
      <c r="M166" s="58" t="n">
        <v>1</v>
      </c>
      <c r="N166" s="4" t="n">
        <v>0</v>
      </c>
      <c r="O166" s="4" t="n">
        <v>3774</v>
      </c>
      <c r="P166" s="4" t="n">
        <v>2400</v>
      </c>
      <c r="Q166" s="59">
        <f>IFERROR(1-P166/O166,"-")</f>
        <v/>
      </c>
      <c r="R166" s="4" t="inlineStr">
        <is>
          <t>-</t>
        </is>
      </c>
      <c r="S166" s="4" t="inlineStr">
        <is>
          <t>-</t>
        </is>
      </c>
      <c r="T166" s="4" t="inlineStr">
        <is>
          <t>-</t>
        </is>
      </c>
      <c r="U166" s="4" t="n">
        <v>0</v>
      </c>
      <c r="V166" s="4">
        <f>IF(Y166="",U166,U166*Y166)</f>
        <v/>
      </c>
      <c r="W166" s="4" t="n">
        <v>2473</v>
      </c>
      <c r="X166" s="4">
        <f>IF(Y166="",W166,W166*Y166)</f>
        <v/>
      </c>
      <c r="Y166" s="4" t="n"/>
      <c r="Z166" s="21">
        <f>ROUND(O166*AN166,0)</f>
        <v/>
      </c>
      <c r="AA166" s="59">
        <f>IFERROR(1-X166/Z166,"-")</f>
        <v/>
      </c>
      <c r="AB166" s="4" t="n">
        <v>6</v>
      </c>
      <c r="AC166" s="4">
        <f>AY166</f>
        <v/>
      </c>
      <c r="AD166" s="4">
        <f>IFERROR(AC166*AN166,"-")</f>
        <v/>
      </c>
      <c r="AE166" s="59">
        <f>IFERROR(1-X166/AD166,"-")</f>
        <v/>
      </c>
      <c r="AF166" s="7" t="n">
        <v>5576</v>
      </c>
      <c r="AG166" s="59">
        <f>1-X166/AF166</f>
        <v/>
      </c>
      <c r="AH166" s="38">
        <f>AF166-X166</f>
        <v/>
      </c>
      <c r="AI166" s="28" t="n"/>
      <c r="AJ166" s="59" t="n"/>
      <c r="AK166" s="59" t="n"/>
      <c r="AL166" s="59">
        <f>IFERROR(V166/N166,"-")</f>
        <v/>
      </c>
      <c r="AM166" s="59">
        <f>IFERROR(AF166/O166,"-")</f>
        <v/>
      </c>
      <c r="AN166" s="59">
        <f>IFERROR(X166/P166,"-")</f>
        <v/>
      </c>
      <c r="AO166" s="59">
        <f>IFERROR(1-X166/AP166,"-")</f>
        <v/>
      </c>
      <c r="AP166" s="4">
        <f>IFERROR(ROUND($AF166*R166/$O166,0),"-")</f>
        <v/>
      </c>
      <c r="AQ166" s="4">
        <f>IF(S166="","-",S166)</f>
        <v/>
      </c>
      <c r="AR166" s="4">
        <f>IF(T166="","-",T166)</f>
        <v/>
      </c>
      <c r="AS166" s="4" t="inlineStr">
        <is>
          <t>34/586</t>
        </is>
      </c>
      <c r="AT166" s="4" t="inlineStr">
        <is>
          <t>E360635</t>
        </is>
      </c>
      <c r="AU166" s="4" t="n"/>
      <c r="AV166" s="4" t="n"/>
      <c r="AW166" s="4" t="inlineStr">
        <is>
          <t>1個</t>
        </is>
      </c>
      <c r="AX166" s="4" t="n">
        <v>5577</v>
      </c>
      <c r="AY166" s="4">
        <f>IF(AU166="",AX166,AU166/AV166*AX166)</f>
        <v/>
      </c>
      <c r="AZ166" s="19" t="n">
        <v>2</v>
      </c>
      <c r="BA166" s="19" t="n">
        <v>1</v>
      </c>
      <c r="BB166" s="16" t="n">
        <v>1905</v>
      </c>
      <c r="BC166" s="0" t="inlineStr">
        <is>
          <t>-</t>
        </is>
      </c>
      <c r="BD166" s="0">
        <f>IFERROR(BC166*AN166,"-")</f>
        <v/>
      </c>
      <c r="BE166" s="0" t="n">
        <v>3793</v>
      </c>
      <c r="BF166" s="0">
        <f>IFERROR(BE166*AN166,"-")</f>
        <v/>
      </c>
      <c r="BG166" s="0" t="inlineStr">
        <is>
          <t>アイリスオーヤマ イーゼル1300 ESL-2 1個</t>
        </is>
      </c>
    </row>
    <row r="167">
      <c r="A167" s="0">
        <f>TEXT(F167,"000000")</f>
        <v/>
      </c>
      <c r="B167" s="37" t="n">
        <v>99</v>
      </c>
      <c r="C167" s="3" t="n">
        <v>99</v>
      </c>
      <c r="D167" s="4" t="n">
        <v>677032</v>
      </c>
      <c r="E167" s="4">
        <f>TEXT(D167,"000000")</f>
        <v/>
      </c>
      <c r="F167" s="4" t="n">
        <v>677032</v>
      </c>
      <c r="G167" s="4">
        <f>E167&amp;J167</f>
        <v/>
      </c>
      <c r="H167" s="4" t="inlineStr">
        <is>
          <t>ｱｲﾘｽｵｰﾔﾏ/ｲｰｾﾞﾙ1300 ﾀﾞｰｸﾌﾞﾗｳﾝ/ESL-2</t>
        </is>
      </c>
      <c r="I167" s="58" t="n">
        <v>4905009712885</v>
      </c>
      <c r="J167" s="58" t="n">
        <v>5</v>
      </c>
      <c r="K167" s="58" t="n"/>
      <c r="L167" s="58" t="n">
        <v>1</v>
      </c>
      <c r="M167" s="58" t="n">
        <v>1</v>
      </c>
      <c r="N167" s="4" t="n">
        <v>0</v>
      </c>
      <c r="O167" s="4" t="n">
        <v>3774</v>
      </c>
      <c r="P167" s="4" t="n">
        <v>2400</v>
      </c>
      <c r="Q167" s="59">
        <f>IFERROR(1-P167/O167,"-")</f>
        <v/>
      </c>
      <c r="R167" s="4" t="inlineStr">
        <is>
          <t>-</t>
        </is>
      </c>
      <c r="S167" s="4" t="inlineStr">
        <is>
          <t>-</t>
        </is>
      </c>
      <c r="T167" s="4" t="inlineStr">
        <is>
          <t>-</t>
        </is>
      </c>
      <c r="U167" s="4" t="n">
        <v>0</v>
      </c>
      <c r="V167" s="4">
        <f>IF(Y167="",U167,U167*Y167)</f>
        <v/>
      </c>
      <c r="W167" s="4" t="n">
        <v>2473</v>
      </c>
      <c r="X167" s="4">
        <f>IF(Y167="",W167,W167*Y167)</f>
        <v/>
      </c>
      <c r="Y167" s="4" t="n"/>
      <c r="Z167" s="21">
        <f>ROUND(O167*AN167,0)</f>
        <v/>
      </c>
      <c r="AA167" s="59">
        <f>IFERROR(1-X167/Z167,"-")</f>
        <v/>
      </c>
      <c r="AB167" s="4" t="n">
        <v>4.75</v>
      </c>
      <c r="AC167" s="4">
        <f>AY167</f>
        <v/>
      </c>
      <c r="AD167" s="4">
        <f>IFERROR(AC167*AN167,"-")</f>
        <v/>
      </c>
      <c r="AE167" s="59">
        <f>IFERROR(1-X167/AD167,"-")</f>
        <v/>
      </c>
      <c r="AF167" s="7" t="n">
        <v>4599</v>
      </c>
      <c r="AG167" s="59">
        <f>1-X167/AF167</f>
        <v/>
      </c>
      <c r="AH167" s="38">
        <f>AF167-X167</f>
        <v/>
      </c>
      <c r="AI167" s="28" t="n"/>
      <c r="AJ167" s="59" t="n"/>
      <c r="AK167" s="59" t="n"/>
      <c r="AL167" s="59">
        <f>IFERROR(V167/N167,"-")</f>
        <v/>
      </c>
      <c r="AM167" s="59">
        <f>IFERROR(AF167/O167,"-")</f>
        <v/>
      </c>
      <c r="AN167" s="59">
        <f>IFERROR(X167/P167,"-")</f>
        <v/>
      </c>
      <c r="AO167" s="59">
        <f>IFERROR(1-X167/AP167,"-")</f>
        <v/>
      </c>
      <c r="AP167" s="4">
        <f>IFERROR(ROUND($AF167*R167/$O167,0),"-")</f>
        <v/>
      </c>
      <c r="AQ167" s="4">
        <f>IF(S167="","-",S167)</f>
        <v/>
      </c>
      <c r="AR167" s="4">
        <f>IF(T167="","-",T167)</f>
        <v/>
      </c>
      <c r="AS167" s="4" t="inlineStr">
        <is>
          <t>34/586</t>
        </is>
      </c>
      <c r="AT167" s="4" t="inlineStr">
        <is>
          <t>E360638</t>
        </is>
      </c>
      <c r="AU167" s="4" t="n"/>
      <c r="AV167" s="4" t="n"/>
      <c r="AW167" s="4" t="inlineStr">
        <is>
          <t>1個</t>
        </is>
      </c>
      <c r="AX167" s="4" t="n">
        <v>4600</v>
      </c>
      <c r="AY167" s="4">
        <f>IF(AU167="",AX167,AU167/AV167*AX167)</f>
        <v/>
      </c>
      <c r="AZ167" s="19" t="n">
        <v>2</v>
      </c>
      <c r="BA167" s="19" t="n">
        <v>1</v>
      </c>
      <c r="BB167" s="16" t="n">
        <v>1905</v>
      </c>
      <c r="BC167" s="0" t="n">
        <v>3869</v>
      </c>
      <c r="BD167" s="0">
        <f>IFERROR(BC167*AN167,"-")</f>
        <v/>
      </c>
      <c r="BE167" s="0" t="inlineStr">
        <is>
          <t>-</t>
        </is>
      </c>
      <c r="BF167" s="0">
        <f>IFERROR(BE167*AN167,"-")</f>
        <v/>
      </c>
      <c r="BG167" s="0" t="inlineStr">
        <is>
          <t>アイリスオーヤマ イーゼル1300 ESL-2 1個</t>
        </is>
      </c>
    </row>
    <row r="168">
      <c r="A168" s="0">
        <f>TEXT(F168,"000000")</f>
        <v/>
      </c>
      <c r="B168" s="37" t="n">
        <v>107</v>
      </c>
      <c r="C168" s="3" t="n">
        <v>107</v>
      </c>
      <c r="D168" s="4" t="n">
        <v>662575</v>
      </c>
      <c r="E168" s="4">
        <f>TEXT(D168,"000000")</f>
        <v/>
      </c>
      <c r="F168" s="4" t="n">
        <v>662575</v>
      </c>
      <c r="G168" s="4">
        <f>E168&amp;J168</f>
        <v/>
      </c>
      <c r="H168" s="4" t="inlineStr">
        <is>
          <t>ｱｲﾘｽｵｰﾔﾏ/ｳｯﾄﾞﾌﾞﾗｯｸﾎﾞｰﾄﾞ 900×600mm/NBM-69</t>
        </is>
      </c>
      <c r="I168" s="58" t="n">
        <v>4905009736713</v>
      </c>
      <c r="J168" s="58" t="n">
        <v>5</v>
      </c>
      <c r="K168" s="58" t="n"/>
      <c r="L168" s="58" t="n">
        <v>1</v>
      </c>
      <c r="M168" s="58" t="n">
        <v>1</v>
      </c>
      <c r="N168" s="4" t="n">
        <v>0</v>
      </c>
      <c r="O168" s="4" t="n">
        <v>4000</v>
      </c>
      <c r="P168" s="4" t="n">
        <v>2900</v>
      </c>
      <c r="Q168" s="59">
        <f>IFERROR(1-P168/O168,"-")</f>
        <v/>
      </c>
      <c r="R168" s="4" t="inlineStr">
        <is>
          <t>-</t>
        </is>
      </c>
      <c r="S168" s="4" t="inlineStr">
        <is>
          <t>-</t>
        </is>
      </c>
      <c r="T168" s="4" t="inlineStr">
        <is>
          <t>-</t>
        </is>
      </c>
      <c r="U168" s="4" t="n">
        <v>0</v>
      </c>
      <c r="V168" s="4">
        <f>IF(Y168="",U168,U168*Y168)</f>
        <v/>
      </c>
      <c r="W168" s="4" t="n">
        <v>2988</v>
      </c>
      <c r="X168" s="4">
        <f>IF(Y168="",W168,W168*Y168)</f>
        <v/>
      </c>
      <c r="Y168" s="4" t="n"/>
      <c r="Z168" s="21">
        <f>ROUND(O168*AN168,0)</f>
        <v/>
      </c>
      <c r="AA168" s="59">
        <f>IFERROR(1-X168/Z168,"-")</f>
        <v/>
      </c>
      <c r="AB168" s="4" t="n">
        <v>3.75</v>
      </c>
      <c r="AC168" s="4">
        <f>AY168</f>
        <v/>
      </c>
      <c r="AD168" s="4">
        <f>IFERROR(AC168*AN168,"-")</f>
        <v/>
      </c>
      <c r="AE168" s="59">
        <f>IFERROR(1-X168/AD168,"-")</f>
        <v/>
      </c>
      <c r="AF168" s="7" t="n">
        <v>4000</v>
      </c>
      <c r="AG168" s="59">
        <f>1-X168/AF168</f>
        <v/>
      </c>
      <c r="AH168" s="38">
        <f>AF168-X168</f>
        <v/>
      </c>
      <c r="AI168" s="28" t="n"/>
      <c r="AJ168" s="59" t="n"/>
      <c r="AK168" s="59" t="n"/>
      <c r="AL168" s="59">
        <f>IFERROR(V168/N168,"-")</f>
        <v/>
      </c>
      <c r="AM168" s="59">
        <f>IFERROR(AF168/O168,"-")</f>
        <v/>
      </c>
      <c r="AN168" s="59">
        <f>IFERROR(X168/P168,"-")</f>
        <v/>
      </c>
      <c r="AO168" s="59">
        <f>IFERROR(1-X168/AP168,"-")</f>
        <v/>
      </c>
      <c r="AP168" s="4">
        <f>IFERROR(ROUND($AF168*R168/$O168,0),"-")</f>
        <v/>
      </c>
      <c r="AQ168" s="4">
        <f>IF(S168="","-",S168)</f>
        <v/>
      </c>
      <c r="AR168" s="4">
        <f>IF(T168="","-",T168)</f>
        <v/>
      </c>
      <c r="AS168" s="4" t="inlineStr">
        <is>
          <t>34/585</t>
        </is>
      </c>
      <c r="AT168" s="4" t="inlineStr">
        <is>
          <t>-</t>
        </is>
      </c>
      <c r="AU168" s="4" t="n"/>
      <c r="AV168" s="4" t="n"/>
      <c r="AW168" s="4" t="inlineStr">
        <is>
          <t>-</t>
        </is>
      </c>
      <c r="AX168" s="4" t="inlineStr">
        <is>
          <t>-</t>
        </is>
      </c>
      <c r="AY168" s="4">
        <f>IF(AU168="",AX168,AU168/AV168*AX168)</f>
        <v/>
      </c>
      <c r="AZ168" s="19" t="n">
        <v>2</v>
      </c>
      <c r="BA168" s="19" t="n">
        <v>1</v>
      </c>
      <c r="BB168" s="16" t="n">
        <v>1905</v>
      </c>
      <c r="BC168" s="0" t="inlineStr">
        <is>
          <t>-</t>
        </is>
      </c>
      <c r="BD168" s="0">
        <f>IFERROR(BC168*AN168,"-")</f>
        <v/>
      </c>
      <c r="BE168" s="0" t="n">
        <v>3655</v>
      </c>
      <c r="BF168" s="0">
        <f>IFERROR(BE168*AN168,"-")</f>
        <v/>
      </c>
      <c r="BG168" s="0" t="inlineStr">
        <is>
          <t>-</t>
        </is>
      </c>
    </row>
    <row r="169">
      <c r="A169" s="0">
        <f>TEXT(F169,"000000")</f>
        <v/>
      </c>
      <c r="B169" s="37" t="n">
        <v>106</v>
      </c>
      <c r="C169" s="3" t="n">
        <v>106</v>
      </c>
      <c r="D169" s="4" t="n">
        <v>602735</v>
      </c>
      <c r="E169" s="4">
        <f>TEXT(D169,"000000")</f>
        <v/>
      </c>
      <c r="F169" s="4" t="n">
        <v>602735</v>
      </c>
      <c r="G169" s="4">
        <f>E169&amp;J169</f>
        <v/>
      </c>
      <c r="H169" s="4" t="inlineStr">
        <is>
          <t>ｱｲﾘｽｵｰﾔﾏ/両面ﾌﾞﾗｯｸﾎﾞｰﾄﾞ ﾀﾞｰｸﾌﾞﾗｳﾝ/GXB-77ﾀﾞｰｸﾌﾞﾗｳﾝ</t>
        </is>
      </c>
      <c r="I169" s="58" t="n">
        <v>4905009458073</v>
      </c>
      <c r="J169" s="58" t="n">
        <v>5</v>
      </c>
      <c r="K169" s="58" t="n"/>
      <c r="L169" s="58" t="n">
        <v>1</v>
      </c>
      <c r="M169" s="58" t="n">
        <v>1</v>
      </c>
      <c r="N169" s="4" t="n">
        <v>0</v>
      </c>
      <c r="O169" s="4" t="n">
        <v>5726</v>
      </c>
      <c r="P169" s="4" t="n">
        <v>3600</v>
      </c>
      <c r="Q169" s="59">
        <f>IFERROR(1-P169/O169,"-")</f>
        <v/>
      </c>
      <c r="R169" s="4" t="inlineStr">
        <is>
          <t>-</t>
        </is>
      </c>
      <c r="S169" s="4" t="inlineStr">
        <is>
          <t>-</t>
        </is>
      </c>
      <c r="T169" s="4" t="inlineStr">
        <is>
          <t>-</t>
        </is>
      </c>
      <c r="U169" s="4" t="n">
        <v>0</v>
      </c>
      <c r="V169" s="4">
        <f>IF(Y169="",U169,U169*Y169)</f>
        <v/>
      </c>
      <c r="W169" s="4" t="n">
        <v>3709</v>
      </c>
      <c r="X169" s="4">
        <f>IF(Y169="",W169,W169*Y169)</f>
        <v/>
      </c>
      <c r="Y169" s="4" t="n"/>
      <c r="Z169" s="21">
        <f>ROUND(O169*AN169,0)</f>
        <v/>
      </c>
      <c r="AA169" s="59">
        <f>IFERROR(1-X169/Z169,"-")</f>
        <v/>
      </c>
      <c r="AB169" s="4" t="n">
        <v>2.5</v>
      </c>
      <c r="AC169" s="4">
        <f>AY169</f>
        <v/>
      </c>
      <c r="AD169" s="4">
        <f>IFERROR(AC169*AN169,"-")</f>
        <v/>
      </c>
      <c r="AE169" s="59">
        <f>IFERROR(1-X169/AD169,"-")</f>
        <v/>
      </c>
      <c r="AF169" s="7" t="n">
        <v>6169</v>
      </c>
      <c r="AG169" s="59">
        <f>1-X169/AF169</f>
        <v/>
      </c>
      <c r="AH169" s="38">
        <f>AF169-X169</f>
        <v/>
      </c>
      <c r="AI169" s="28" t="n"/>
      <c r="AJ169" s="59" t="n"/>
      <c r="AK169" s="59" t="n"/>
      <c r="AL169" s="59">
        <f>IFERROR(V169/N169,"-")</f>
        <v/>
      </c>
      <c r="AM169" s="59">
        <f>IFERROR(AF169/O169,"-")</f>
        <v/>
      </c>
      <c r="AN169" s="59">
        <f>IFERROR(X169/P169,"-")</f>
        <v/>
      </c>
      <c r="AO169" s="59">
        <f>IFERROR(1-X169/AP169,"-")</f>
        <v/>
      </c>
      <c r="AP169" s="4">
        <f>IFERROR(ROUND($AF169*R169/$O169,0),"-")</f>
        <v/>
      </c>
      <c r="AQ169" s="4">
        <f>IF(S169="","-",S169)</f>
        <v/>
      </c>
      <c r="AR169" s="4">
        <f>IF(T169="","-",T169)</f>
        <v/>
      </c>
      <c r="AS169" s="4" t="inlineStr">
        <is>
          <t>34/585</t>
        </is>
      </c>
      <c r="AT169" s="4" t="inlineStr">
        <is>
          <t>X299064</t>
        </is>
      </c>
      <c r="AU169" s="4" t="n"/>
      <c r="AV169" s="4" t="n"/>
      <c r="AW169" s="4" t="inlineStr">
        <is>
          <t>1台</t>
        </is>
      </c>
      <c r="AX169" s="4" t="n">
        <v>6170</v>
      </c>
      <c r="AY169" s="4">
        <f>IF(AU169="",AX169,AU169/AV169*AX169)</f>
        <v/>
      </c>
      <c r="AZ169" s="19" t="n">
        <v>2</v>
      </c>
      <c r="BA169" s="19" t="n">
        <v>1</v>
      </c>
      <c r="BB169" s="16" t="n">
        <v>1905</v>
      </c>
      <c r="BC169" s="0" t="inlineStr">
        <is>
          <t>-</t>
        </is>
      </c>
      <c r="BD169" s="0">
        <f>IFERROR(BC169*AN169,"-")</f>
        <v/>
      </c>
      <c r="BE169" s="0" t="n">
        <v>6148</v>
      </c>
      <c r="BF169" s="0">
        <f>IFERROR(BE169*AN169,"-")</f>
        <v/>
      </c>
      <c r="BG169" s="0" t="inlineStr">
        <is>
          <t>アイリスオーヤマ 両面ブラックボード (A型ブラックボード) 幅52×奥行58×高さ82cm 天然木 ウェルカムボード ダークブラウン GXB-77 １台</t>
        </is>
      </c>
    </row>
    <row r="170">
      <c r="A170" s="0">
        <f>TEXT(F170,"000000")</f>
        <v/>
      </c>
      <c r="B170" s="39" t="n">
        <v>101</v>
      </c>
      <c r="C170" s="3" t="n">
        <v>101</v>
      </c>
      <c r="D170" s="4" t="n">
        <v>626165</v>
      </c>
      <c r="E170" s="4">
        <f>TEXT(D170,"000000")</f>
        <v/>
      </c>
      <c r="F170" s="4" t="n">
        <v>626165</v>
      </c>
      <c r="G170" s="4">
        <f>E170&amp;J170</f>
        <v/>
      </c>
      <c r="H170" s="4" t="inlineStr">
        <is>
          <t>ｱｲﾘｽｵｰﾔﾏ/ｱﾙﾐﾌﾚｰﾑﾎﾜｲﾄﾎﾞｰﾄﾞ 1200×900mm/AWB-912</t>
        </is>
      </c>
      <c r="I170" s="58" t="n">
        <v>4905009612215</v>
      </c>
      <c r="J170" s="58" t="n">
        <v>5</v>
      </c>
      <c r="K170" s="58" t="n"/>
      <c r="L170" s="58" t="n">
        <v>1</v>
      </c>
      <c r="M170" s="58" t="n">
        <v>1</v>
      </c>
      <c r="N170" s="4" t="n">
        <v>0</v>
      </c>
      <c r="O170" s="4" t="n">
        <v>12821</v>
      </c>
      <c r="P170" s="4" t="n">
        <v>9000</v>
      </c>
      <c r="Q170" s="59">
        <f>IFERROR(1-P170/O170,"-")</f>
        <v/>
      </c>
      <c r="R170" s="4" t="inlineStr">
        <is>
          <t>-</t>
        </is>
      </c>
      <c r="S170" s="4" t="inlineStr">
        <is>
          <t>-</t>
        </is>
      </c>
      <c r="T170" s="4" t="inlineStr">
        <is>
          <t>-</t>
        </is>
      </c>
      <c r="U170" s="4" t="n">
        <v>0</v>
      </c>
      <c r="V170" s="4">
        <f>IF(Y170="",U170,U170*Y170)</f>
        <v/>
      </c>
      <c r="W170" s="4" t="n">
        <v>9271</v>
      </c>
      <c r="X170" s="4">
        <f>IF(Y170="",W170,W170*Y170)</f>
        <v/>
      </c>
      <c r="Y170" s="4" t="n"/>
      <c r="Z170" s="21">
        <f>ROUND(O170*AN170,0)</f>
        <v/>
      </c>
      <c r="AA170" s="59">
        <f>IFERROR(1-X170/Z170,"-")</f>
        <v/>
      </c>
      <c r="AB170" s="4" t="n">
        <v>0</v>
      </c>
      <c r="AC170" s="4">
        <f>AY170</f>
        <v/>
      </c>
      <c r="AD170" s="4">
        <f>IFERROR(AC170*AN170,"-")</f>
        <v/>
      </c>
      <c r="AE170" s="59">
        <f>IFERROR(1-X170/AD170,"-")</f>
        <v/>
      </c>
      <c r="AF170" s="7" t="n">
        <v>12821</v>
      </c>
      <c r="AG170" s="61">
        <f>1-X170/AF170</f>
        <v/>
      </c>
      <c r="AH170" s="4">
        <f>AF170-X170</f>
        <v/>
      </c>
      <c r="AI170" s="28" t="n"/>
      <c r="AJ170" s="59" t="n"/>
      <c r="AK170" s="59" t="n"/>
      <c r="AL170" s="59">
        <f>IFERROR(V170/N170,"-")</f>
        <v/>
      </c>
      <c r="AM170" s="59">
        <f>IFERROR(AF170/O170,"-")</f>
        <v/>
      </c>
      <c r="AN170" s="59">
        <f>IFERROR(X170/P170,"-")</f>
        <v/>
      </c>
      <c r="AO170" s="59">
        <f>IFERROR(1-X170/AP170,"-")</f>
        <v/>
      </c>
      <c r="AP170" s="4">
        <f>IFERROR(ROUND($AF170*R170/$O170,0),"-")</f>
        <v/>
      </c>
      <c r="AQ170" s="4">
        <f>IF(S170="","-",S170)</f>
        <v/>
      </c>
      <c r="AR170" s="4">
        <f>IF(T170="","-",T170)</f>
        <v/>
      </c>
      <c r="AS170" s="4" t="inlineStr">
        <is>
          <t>26/313</t>
        </is>
      </c>
      <c r="AT170" s="4" t="inlineStr">
        <is>
          <t>-</t>
        </is>
      </c>
      <c r="AU170" s="4" t="n"/>
      <c r="AV170" s="4" t="n"/>
      <c r="AW170" s="4" t="inlineStr">
        <is>
          <t>-</t>
        </is>
      </c>
      <c r="AX170" s="4" t="inlineStr">
        <is>
          <t>-</t>
        </is>
      </c>
      <c r="AY170" s="4">
        <f>IF(AU170="",AX170,AU170/AV170*AX170)</f>
        <v/>
      </c>
      <c r="AZ170" s="19" t="n">
        <v>4</v>
      </c>
      <c r="BA170" s="19" t="n">
        <v>9</v>
      </c>
      <c r="BB170" s="16" t="n">
        <v>1905</v>
      </c>
      <c r="BC170" s="0" t="inlineStr">
        <is>
          <t>-</t>
        </is>
      </c>
      <c r="BD170" s="0">
        <f>IFERROR(BC170*AN170,"-")</f>
        <v/>
      </c>
      <c r="BE170" s="0" t="n">
        <v>12090</v>
      </c>
      <c r="BF170" s="0">
        <f>IFERROR(BE170*AN170,"-")</f>
        <v/>
      </c>
      <c r="BG170" s="0" t="inlineStr">
        <is>
          <t>-</t>
        </is>
      </c>
    </row>
    <row r="171">
      <c r="A171" s="0">
        <f>TEXT(F171,"000000")</f>
        <v/>
      </c>
      <c r="B171" s="39" t="n">
        <v>100</v>
      </c>
      <c r="C171" s="3" t="n">
        <v>100</v>
      </c>
      <c r="D171" s="4" t="n">
        <v>675035</v>
      </c>
      <c r="E171" s="4">
        <f>TEXT(D171,"000000")</f>
        <v/>
      </c>
      <c r="F171" s="4" t="n">
        <v>675035</v>
      </c>
      <c r="G171" s="4">
        <f>E171&amp;J171</f>
        <v/>
      </c>
      <c r="H171" s="4" t="inlineStr">
        <is>
          <t>ｱｲﾘｽｵｰﾔﾏ/ｱﾙﾐﾌﾚｰﾑﾎﾜｲﾄﾎﾞｰﾄﾞ 1800×900mm/AWB-918</t>
        </is>
      </c>
      <c r="I171" s="58" t="n">
        <v>4905009612222</v>
      </c>
      <c r="J171" s="58" t="n">
        <v>5</v>
      </c>
      <c r="K171" s="58" t="n"/>
      <c r="L171" s="58" t="n">
        <v>1</v>
      </c>
      <c r="M171" s="58" t="n">
        <v>1</v>
      </c>
      <c r="N171" s="4" t="n">
        <v>0</v>
      </c>
      <c r="O171" s="4" t="n">
        <v>15267</v>
      </c>
      <c r="P171" s="4" t="n">
        <v>11500</v>
      </c>
      <c r="Q171" s="59">
        <f>IFERROR(1-P171/O171,"-")</f>
        <v/>
      </c>
      <c r="R171" s="4" t="inlineStr">
        <is>
          <t>-</t>
        </is>
      </c>
      <c r="S171" s="4" t="inlineStr">
        <is>
          <t>-</t>
        </is>
      </c>
      <c r="T171" s="4" t="inlineStr">
        <is>
          <t>-</t>
        </is>
      </c>
      <c r="U171" s="4" t="n">
        <v>0</v>
      </c>
      <c r="V171" s="4">
        <f>IF(Y171="",U171,U171*Y171)</f>
        <v/>
      </c>
      <c r="W171" s="4" t="n">
        <v>11846</v>
      </c>
      <c r="X171" s="4">
        <f>IF(Y171="",W171,W171*Y171)</f>
        <v/>
      </c>
      <c r="Y171" s="4" t="n"/>
      <c r="Z171" s="21">
        <f>ROUND(O171*AN171,0)</f>
        <v/>
      </c>
      <c r="AA171" s="59">
        <f>IFERROR(1-X171/Z171,"-")</f>
        <v/>
      </c>
      <c r="AB171" s="4" t="n">
        <v>0</v>
      </c>
      <c r="AC171" s="4">
        <f>AY171</f>
        <v/>
      </c>
      <c r="AD171" s="4">
        <f>IFERROR(AC171*AN171,"-")</f>
        <v/>
      </c>
      <c r="AE171" s="59">
        <f>IFERROR(1-X171/AD171,"-")</f>
        <v/>
      </c>
      <c r="AF171" s="7" t="n">
        <v>15267</v>
      </c>
      <c r="AG171" s="61">
        <f>1-X171/AF171</f>
        <v/>
      </c>
      <c r="AH171" s="4">
        <f>AF171-X171</f>
        <v/>
      </c>
      <c r="AI171" s="28" t="n"/>
      <c r="AJ171" s="59" t="n"/>
      <c r="AK171" s="59" t="n"/>
      <c r="AL171" s="59">
        <f>IFERROR(V171/N171,"-")</f>
        <v/>
      </c>
      <c r="AM171" s="59">
        <f>IFERROR(AF171/O171,"-")</f>
        <v/>
      </c>
      <c r="AN171" s="59">
        <f>IFERROR(X171/P171,"-")</f>
        <v/>
      </c>
      <c r="AO171" s="59">
        <f>IFERROR(1-X171/AP171,"-")</f>
        <v/>
      </c>
      <c r="AP171" s="4">
        <f>IFERROR(ROUND($AF171*R171/$O171,0),"-")</f>
        <v/>
      </c>
      <c r="AQ171" s="4">
        <f>IF(S171="","-",S171)</f>
        <v/>
      </c>
      <c r="AR171" s="4">
        <f>IF(T171="","-",T171)</f>
        <v/>
      </c>
      <c r="AS171" s="4" t="inlineStr">
        <is>
          <t>31/209</t>
        </is>
      </c>
      <c r="AT171" s="4" t="inlineStr">
        <is>
          <t>-</t>
        </is>
      </c>
      <c r="AU171" s="4" t="n"/>
      <c r="AV171" s="4" t="n"/>
      <c r="AW171" s="4" t="inlineStr">
        <is>
          <t>-</t>
        </is>
      </c>
      <c r="AX171" s="4" t="inlineStr">
        <is>
          <t>-</t>
        </is>
      </c>
      <c r="AY171" s="4">
        <f>IF(AU171="",AX171,AU171/AV171*AX171)</f>
        <v/>
      </c>
      <c r="AZ171" s="19" t="n">
        <v>4</v>
      </c>
      <c r="BA171" s="19" t="n">
        <v>9</v>
      </c>
      <c r="BB171" s="16" t="n">
        <v>1905</v>
      </c>
      <c r="BC171" s="0" t="inlineStr">
        <is>
          <t>-</t>
        </is>
      </c>
      <c r="BD171" s="0">
        <f>IFERROR(BC171*AN171,"-")</f>
        <v/>
      </c>
      <c r="BE171" s="0" t="inlineStr">
        <is>
          <t>-</t>
        </is>
      </c>
      <c r="BF171" s="0">
        <f>IFERROR(BE171*AN171,"-")</f>
        <v/>
      </c>
      <c r="BG171" s="0" t="inlineStr">
        <is>
          <t>-</t>
        </is>
      </c>
    </row>
    <row r="172">
      <c r="A172" s="0">
        <f>TEXT(F172,"000000")</f>
        <v/>
      </c>
      <c r="B172" s="3" t="n">
        <v>112</v>
      </c>
      <c r="C172" s="3" t="n">
        <v>112</v>
      </c>
      <c r="D172" s="4" t="n">
        <v>541278</v>
      </c>
      <c r="E172" s="4">
        <f>TEXT(D172,"000000")</f>
        <v/>
      </c>
      <c r="F172" s="4" t="n">
        <v>541278</v>
      </c>
      <c r="G172" s="4">
        <f>E172&amp;J172</f>
        <v/>
      </c>
      <c r="H172" s="4" t="inlineStr">
        <is>
          <t>ｱｲﾘｽｵｰﾔﾏ/ｺﾙｸﾎﾞｰﾄﾞ 450×300mm/CRB-3045</t>
        </is>
      </c>
      <c r="I172" s="58" t="n">
        <v>4905009680696</v>
      </c>
      <c r="J172" s="58" t="n">
        <v>5</v>
      </c>
      <c r="K172" s="58" t="n"/>
      <c r="L172" s="58" t="n">
        <v>1</v>
      </c>
      <c r="M172" s="58" t="n">
        <v>1</v>
      </c>
      <c r="N172" s="4" t="n">
        <v>0</v>
      </c>
      <c r="O172" s="4" t="n">
        <v>600</v>
      </c>
      <c r="P172" s="4" t="n">
        <v>320</v>
      </c>
      <c r="Q172" s="59">
        <f>IFERROR(1-P172/O172,"-")</f>
        <v/>
      </c>
      <c r="R172" s="4" t="inlineStr">
        <is>
          <t>-</t>
        </is>
      </c>
      <c r="S172" s="4" t="inlineStr">
        <is>
          <t>-</t>
        </is>
      </c>
      <c r="T172" s="4" t="inlineStr">
        <is>
          <t>-</t>
        </is>
      </c>
      <c r="U172" s="4" t="n">
        <v>0</v>
      </c>
      <c r="V172" s="4">
        <f>IF(Y172="",U172,U172*Y172)</f>
        <v/>
      </c>
      <c r="W172" s="4" t="n">
        <v>336</v>
      </c>
      <c r="X172" s="4">
        <f>IF(Y172="",W172,W172*Y172)</f>
        <v/>
      </c>
      <c r="Y172" s="4" t="n"/>
      <c r="Z172" s="21">
        <f>ROUND(O172*AN172,0)</f>
        <v/>
      </c>
      <c r="AA172" s="59">
        <f>IFERROR(1-X172/Z172,"-")</f>
        <v/>
      </c>
      <c r="AB172" s="4" t="n">
        <v>20.25</v>
      </c>
      <c r="AC172" s="4">
        <f>AY172</f>
        <v/>
      </c>
      <c r="AD172" s="4">
        <f>IFERROR(AC172*AN172,"-")</f>
        <v/>
      </c>
      <c r="AE172" s="59">
        <f>IFERROR(1-X172/AD172,"-")</f>
        <v/>
      </c>
      <c r="AF172" s="7" t="n">
        <v>599</v>
      </c>
      <c r="AG172" s="59">
        <f>1-X172/AF172</f>
        <v/>
      </c>
      <c r="AH172" s="4">
        <f>AF172-X172</f>
        <v/>
      </c>
      <c r="AI172" s="28" t="n"/>
      <c r="AJ172" s="59" t="n"/>
      <c r="AK172" s="59" t="n"/>
      <c r="AL172" s="59">
        <f>IFERROR(V172/N172,"-")</f>
        <v/>
      </c>
      <c r="AM172" s="59">
        <f>IFERROR(AF172/O172,"-")</f>
        <v/>
      </c>
      <c r="AN172" s="59">
        <f>IFERROR(X172/P172,"-")</f>
        <v/>
      </c>
      <c r="AO172" s="59">
        <f>IFERROR(1-X172/AP172,"-")</f>
        <v/>
      </c>
      <c r="AP172" s="4">
        <f>IFERROR(ROUND($AF172*R172/$O172,0),"-")</f>
        <v/>
      </c>
      <c r="AQ172" s="4">
        <f>IF(S172="","-",S172)</f>
        <v/>
      </c>
      <c r="AR172" s="4">
        <f>IF(T172="","-",T172)</f>
        <v/>
      </c>
      <c r="AS172" s="4" t="inlineStr">
        <is>
          <t>34/221</t>
        </is>
      </c>
      <c r="AT172" s="4" t="inlineStr">
        <is>
          <t>X299028</t>
        </is>
      </c>
      <c r="AU172" s="4" t="n"/>
      <c r="AV172" s="4" t="n"/>
      <c r="AW172" s="4" t="inlineStr">
        <is>
          <t>1枚</t>
        </is>
      </c>
      <c r="AX172" s="4" t="n">
        <v>600</v>
      </c>
      <c r="AY172" s="4">
        <f>IF(AU172="",AX172,AU172/AV172*AX172)</f>
        <v/>
      </c>
      <c r="AZ172" s="19" t="n">
        <v>4</v>
      </c>
      <c r="BA172" s="19" t="n">
        <v>1</v>
      </c>
      <c r="BB172" s="16" t="n">
        <v>1910</v>
      </c>
      <c r="BC172" s="0" t="inlineStr">
        <is>
          <t>-</t>
        </is>
      </c>
      <c r="BD172" s="0">
        <f>IFERROR(BC172*AN172,"-")</f>
        <v/>
      </c>
      <c r="BE172" s="0" t="n">
        <v>464</v>
      </c>
      <c r="BF172" s="0">
        <f>IFERROR(BE172*AN172,"-")</f>
        <v/>
      </c>
      <c r="BG172" s="0" t="inlineStr">
        <is>
          <t>アイリスオーヤマ コルクボード CRB-3045 ナチュラル 1枚</t>
        </is>
      </c>
    </row>
    <row r="173">
      <c r="A173" s="0">
        <f>TEXT(F173,"000000")</f>
        <v/>
      </c>
      <c r="B173" s="37" t="n">
        <v>113</v>
      </c>
      <c r="C173" s="3" t="n">
        <v>113</v>
      </c>
      <c r="D173" s="4" t="n">
        <v>541287</v>
      </c>
      <c r="E173" s="4">
        <f>TEXT(D173,"000000")</f>
        <v/>
      </c>
      <c r="F173" s="4" t="n">
        <v>541287</v>
      </c>
      <c r="G173" s="4">
        <f>E173&amp;J173</f>
        <v/>
      </c>
      <c r="H173" s="4" t="inlineStr">
        <is>
          <t>ｱｲﾘｽｵｰﾔﾏ/ｺﾙｸﾎﾞｰﾄﾞ 600×450mm/CRB-4560</t>
        </is>
      </c>
      <c r="I173" s="58" t="n">
        <v>4905009680702</v>
      </c>
      <c r="J173" s="58" t="n">
        <v>5</v>
      </c>
      <c r="K173" s="58" t="n"/>
      <c r="L173" s="58" t="n">
        <v>1</v>
      </c>
      <c r="M173" s="58" t="n">
        <v>1</v>
      </c>
      <c r="N173" s="4" t="n">
        <v>0</v>
      </c>
      <c r="O173" s="4" t="n">
        <v>1435</v>
      </c>
      <c r="P173" s="4" t="n">
        <v>510</v>
      </c>
      <c r="Q173" s="59">
        <f>IFERROR(1-P173/O173,"-")</f>
        <v/>
      </c>
      <c r="R173" s="4" t="inlineStr">
        <is>
          <t>-</t>
        </is>
      </c>
      <c r="S173" s="4" t="inlineStr">
        <is>
          <t>-</t>
        </is>
      </c>
      <c r="T173" s="4" t="inlineStr">
        <is>
          <t>-</t>
        </is>
      </c>
      <c r="U173" s="4" t="n">
        <v>0</v>
      </c>
      <c r="V173" s="4">
        <f>IF(Y173="",U173,U173*Y173)</f>
        <v/>
      </c>
      <c r="W173" s="4" t="n">
        <v>536</v>
      </c>
      <c r="X173" s="4">
        <f>IF(Y173="",W173,W173*Y173)</f>
        <v/>
      </c>
      <c r="Y173" s="4" t="n"/>
      <c r="Z173" s="21">
        <f>ROUND(O173*AN173,0)</f>
        <v/>
      </c>
      <c r="AA173" s="59">
        <f>IFERROR(1-X173/Z173,"-")</f>
        <v/>
      </c>
      <c r="AB173" s="4" t="n">
        <v>4.75</v>
      </c>
      <c r="AC173" s="4">
        <f>AY173</f>
        <v/>
      </c>
      <c r="AD173" s="4">
        <f>IFERROR(AC173*AN173,"-")</f>
        <v/>
      </c>
      <c r="AE173" s="59">
        <f>IFERROR(1-X173/AD173,"-")</f>
        <v/>
      </c>
      <c r="AF173" s="7" t="n">
        <v>1201</v>
      </c>
      <c r="AG173" s="59">
        <f>1-X173/AF173</f>
        <v/>
      </c>
      <c r="AH173" s="38">
        <f>AF173-X173</f>
        <v/>
      </c>
      <c r="AI173" s="28" t="n"/>
      <c r="AJ173" s="59" t="n"/>
      <c r="AK173" s="59" t="n"/>
      <c r="AL173" s="59">
        <f>IFERROR(V173/N173,"-")</f>
        <v/>
      </c>
      <c r="AM173" s="59">
        <f>IFERROR(AF173/O173,"-")</f>
        <v/>
      </c>
      <c r="AN173" s="59">
        <f>IFERROR(X173/P173,"-")</f>
        <v/>
      </c>
      <c r="AO173" s="59">
        <f>IFERROR(1-X173/AP173,"-")</f>
        <v/>
      </c>
      <c r="AP173" s="4">
        <f>IFERROR(ROUND($AF173*R173/$O173,0),"-")</f>
        <v/>
      </c>
      <c r="AQ173" s="4">
        <f>IF(S173="","-",S173)</f>
        <v/>
      </c>
      <c r="AR173" s="4">
        <f>IF(T173="","-",T173)</f>
        <v/>
      </c>
      <c r="AS173" s="4" t="inlineStr">
        <is>
          <t>34/221</t>
        </is>
      </c>
      <c r="AT173" s="4" t="inlineStr">
        <is>
          <t>ARH8779</t>
        </is>
      </c>
      <c r="AU173" s="4" t="n">
        <v>1</v>
      </c>
      <c r="AV173" s="4" t="n">
        <v>3</v>
      </c>
      <c r="AW173" s="4" t="inlineStr">
        <is>
          <t>1セット（3枚）</t>
        </is>
      </c>
      <c r="AX173" s="4" t="n">
        <v>3606</v>
      </c>
      <c r="AY173" s="4">
        <f>IF(AU173="",AX173,AU173/AV173*AX173)</f>
        <v/>
      </c>
      <c r="AZ173" s="19" t="n">
        <v>2</v>
      </c>
      <c r="BA173" s="19" t="n">
        <v>1</v>
      </c>
      <c r="BB173" s="16" t="n">
        <v>1910</v>
      </c>
      <c r="BC173" s="0" t="inlineStr">
        <is>
          <t>-</t>
        </is>
      </c>
      <c r="BD173" s="0">
        <f>IFERROR(BC173*AN173,"-")</f>
        <v/>
      </c>
      <c r="BE173" s="0" t="n">
        <v>630</v>
      </c>
      <c r="BF173" s="0">
        <f>IFERROR(BE173*AN173,"-")</f>
        <v/>
      </c>
      <c r="BG173" s="0" t="inlineStr">
        <is>
          <t>アイリスオーヤマ コルクボード CRB-4560 1セット(3枚)（直送品）</t>
        </is>
      </c>
    </row>
    <row r="174">
      <c r="A174" s="0">
        <f>TEXT(F174,"000000")</f>
        <v/>
      </c>
      <c r="B174" s="37" t="n">
        <v>114</v>
      </c>
      <c r="C174" s="3" t="n">
        <v>114</v>
      </c>
      <c r="D174" s="4" t="n">
        <v>541305</v>
      </c>
      <c r="E174" s="4">
        <f>TEXT(D174,"000000")</f>
        <v/>
      </c>
      <c r="F174" s="4" t="n">
        <v>541305</v>
      </c>
      <c r="G174" s="4">
        <f>E174&amp;J174</f>
        <v/>
      </c>
      <c r="H174" s="4" t="inlineStr">
        <is>
          <t>ｱｲﾘｽｵｰﾔﾏ/ｺﾙｸﾎﾞｰﾄﾞ 900×600mm/CRB-6090</t>
        </is>
      </c>
      <c r="I174" s="58" t="n">
        <v>4905009680726</v>
      </c>
      <c r="J174" s="58" t="n">
        <v>5</v>
      </c>
      <c r="K174" s="58" t="n"/>
      <c r="L174" s="58" t="n">
        <v>1</v>
      </c>
      <c r="M174" s="58" t="n">
        <v>1</v>
      </c>
      <c r="N174" s="4" t="n">
        <v>0</v>
      </c>
      <c r="O174" s="4" t="n">
        <v>2050</v>
      </c>
      <c r="P174" s="4" t="n">
        <v>1050</v>
      </c>
      <c r="Q174" s="59">
        <f>IFERROR(1-P174/O174,"-")</f>
        <v/>
      </c>
      <c r="R174" s="4" t="inlineStr">
        <is>
          <t>-</t>
        </is>
      </c>
      <c r="S174" s="4" t="inlineStr">
        <is>
          <t>-</t>
        </is>
      </c>
      <c r="T174" s="4" t="inlineStr">
        <is>
          <t>-</t>
        </is>
      </c>
      <c r="U174" s="4" t="n">
        <v>0</v>
      </c>
      <c r="V174" s="4">
        <f>IF(Y174="",U174,U174*Y174)</f>
        <v/>
      </c>
      <c r="W174" s="4" t="n">
        <v>1103</v>
      </c>
      <c r="X174" s="4">
        <f>IF(Y174="",W174,W174*Y174)</f>
        <v/>
      </c>
      <c r="Y174" s="4" t="n"/>
      <c r="Z174" s="21">
        <f>ROUND(O174*AN174,0)</f>
        <v/>
      </c>
      <c r="AA174" s="59">
        <f>IFERROR(1-X174/Z174,"-")</f>
        <v/>
      </c>
      <c r="AB174" s="4" t="n">
        <v>10.25</v>
      </c>
      <c r="AC174" s="4">
        <f>AY174</f>
        <v/>
      </c>
      <c r="AD174" s="4">
        <f>IFERROR(AC174*AN174,"-")</f>
        <v/>
      </c>
      <c r="AE174" s="59">
        <f>IFERROR(1-X174/AD174,"-")</f>
        <v/>
      </c>
      <c r="AF174" s="7" t="n">
        <v>2529</v>
      </c>
      <c r="AG174" s="59">
        <f>1-X174/AF174</f>
        <v/>
      </c>
      <c r="AH174" s="38">
        <f>AF174-X174</f>
        <v/>
      </c>
      <c r="AI174" s="28" t="n"/>
      <c r="AJ174" s="59" t="n"/>
      <c r="AK174" s="59" t="n"/>
      <c r="AL174" s="59">
        <f>IFERROR(V174/N174,"-")</f>
        <v/>
      </c>
      <c r="AM174" s="59">
        <f>IFERROR(AF174/O174,"-")</f>
        <v/>
      </c>
      <c r="AN174" s="59">
        <f>IFERROR(X174/P174,"-")</f>
        <v/>
      </c>
      <c r="AO174" s="59">
        <f>IFERROR(1-X174/AP174,"-")</f>
        <v/>
      </c>
      <c r="AP174" s="4">
        <f>IFERROR(ROUND($AF174*R174/$O174,0),"-")</f>
        <v/>
      </c>
      <c r="AQ174" s="4">
        <f>IF(S174="","-",S174)</f>
        <v/>
      </c>
      <c r="AR174" s="4">
        <f>IF(T174="","-",T174)</f>
        <v/>
      </c>
      <c r="AS174" s="4" t="inlineStr">
        <is>
          <t>34/221</t>
        </is>
      </c>
      <c r="AT174" s="4" t="inlineStr">
        <is>
          <t>ARH8781</t>
        </is>
      </c>
      <c r="AU174" s="4" t="n">
        <v>1</v>
      </c>
      <c r="AV174" s="4" t="n">
        <v>2</v>
      </c>
      <c r="AW174" s="4" t="inlineStr">
        <is>
          <t>1セット（2枚）</t>
        </is>
      </c>
      <c r="AX174" s="4" t="n">
        <v>5060</v>
      </c>
      <c r="AY174" s="4">
        <f>IF(AU174="",AX174,AU174/AV174*AX174)</f>
        <v/>
      </c>
      <c r="AZ174" s="19" t="n">
        <v>2</v>
      </c>
      <c r="BA174" s="19" t="n">
        <v>1</v>
      </c>
      <c r="BB174" s="16" t="n">
        <v>1910</v>
      </c>
      <c r="BC174" s="0" t="inlineStr">
        <is>
          <t>-</t>
        </is>
      </c>
      <c r="BD174" s="0">
        <f>IFERROR(BC174*AN174,"-")</f>
        <v/>
      </c>
      <c r="BE174" s="0" t="n">
        <v>1345</v>
      </c>
      <c r="BF174" s="0">
        <f>IFERROR(BE174*AN174,"-")</f>
        <v/>
      </c>
      <c r="BG174" s="0" t="inlineStr">
        <is>
          <t>アイリスオーヤマ コルクボード CRB-6090 1セット(2枚)（直送品）</t>
        </is>
      </c>
    </row>
    <row r="175">
      <c r="A175" s="0">
        <f>TEXT(F175,"000000")</f>
        <v/>
      </c>
      <c r="B175" s="37" t="n">
        <v>105</v>
      </c>
      <c r="C175" s="3" t="n">
        <v>105</v>
      </c>
      <c r="D175" s="4" t="inlineStr">
        <is>
          <t>7236AM</t>
        </is>
      </c>
      <c r="E175" s="4">
        <f>TEXT(D175,"000000")</f>
        <v/>
      </c>
      <c r="F175" s="4" t="inlineStr">
        <is>
          <t>7236AM</t>
        </is>
      </c>
      <c r="G175" s="4">
        <f>E175&amp;J175</f>
        <v/>
      </c>
      <c r="H175" s="4" t="inlineStr">
        <is>
          <t>ｱｲﾘｽｵｰﾔﾏ/ﾊﾟﾈﾙｽﾀﾝﾄﾞ/PNS-1330</t>
        </is>
      </c>
      <c r="I175" s="58" t="n">
        <v>4905009387649</v>
      </c>
      <c r="J175" s="58" t="n">
        <v>5</v>
      </c>
      <c r="K175" s="58" t="n"/>
      <c r="L175" s="58" t="n">
        <v>1</v>
      </c>
      <c r="M175" s="58" t="n">
        <v>1</v>
      </c>
      <c r="N175" s="4" t="n">
        <v>0</v>
      </c>
      <c r="O175" s="4" t="n">
        <v>3980</v>
      </c>
      <c r="P175" s="4" t="n">
        <v>2500</v>
      </c>
      <c r="Q175" s="59">
        <f>IFERROR(1-P175/O175,"-")</f>
        <v/>
      </c>
      <c r="R175" s="4" t="inlineStr">
        <is>
          <t>-</t>
        </is>
      </c>
      <c r="S175" s="4" t="inlineStr">
        <is>
          <t>-</t>
        </is>
      </c>
      <c r="T175" s="4" t="inlineStr">
        <is>
          <t>-</t>
        </is>
      </c>
      <c r="U175" s="4" t="n">
        <v>0</v>
      </c>
      <c r="V175" s="4">
        <f>IF(Y175="",U175,U175*Y175)</f>
        <v/>
      </c>
      <c r="W175" s="4" t="n">
        <v>2576</v>
      </c>
      <c r="X175" s="4">
        <f>IF(Y175="",W175,W175*Y175)</f>
        <v/>
      </c>
      <c r="Y175" s="4" t="n"/>
      <c r="Z175" s="21">
        <f>ROUND(O175*AN175,0)</f>
        <v/>
      </c>
      <c r="AA175" s="59">
        <f>IFERROR(1-X175/Z175,"-")</f>
        <v/>
      </c>
      <c r="AB175" s="4" t="n">
        <v>0.75</v>
      </c>
      <c r="AC175" s="4">
        <f>AY175</f>
        <v/>
      </c>
      <c r="AD175" s="4">
        <f>IFERROR(AC175*AN175,"-")</f>
        <v/>
      </c>
      <c r="AE175" s="59">
        <f>IFERROR(1-X175/AD175,"-")</f>
        <v/>
      </c>
      <c r="AF175" s="7" t="n">
        <v>4578</v>
      </c>
      <c r="AG175" s="59">
        <f>1-X175/AF175</f>
        <v/>
      </c>
      <c r="AH175" s="38">
        <f>AF175-X175</f>
        <v/>
      </c>
      <c r="AI175" s="28" t="n"/>
      <c r="AJ175" s="59" t="n"/>
      <c r="AK175" s="59" t="n"/>
      <c r="AL175" s="59">
        <f>IFERROR(V175/N175,"-")</f>
        <v/>
      </c>
      <c r="AM175" s="59">
        <f>IFERROR(AF175/O175,"-")</f>
        <v/>
      </c>
      <c r="AN175" s="59">
        <f>IFERROR(X175/P175,"-")</f>
        <v/>
      </c>
      <c r="AO175" s="59">
        <f>IFERROR(1-X175/AP175,"-")</f>
        <v/>
      </c>
      <c r="AP175" s="4">
        <f>IFERROR(ROUND($AF175*R175/$O175,0),"-")</f>
        <v/>
      </c>
      <c r="AQ175" s="4">
        <f>IF(S175="","-",S175)</f>
        <v/>
      </c>
      <c r="AR175" s="4">
        <f>IF(T175="","-",T175)</f>
        <v/>
      </c>
      <c r="AS175" s="4" t="n">
        <v>0</v>
      </c>
      <c r="AT175" s="4" t="inlineStr">
        <is>
          <t>9411670</t>
        </is>
      </c>
      <c r="AU175" s="4" t="n"/>
      <c r="AV175" s="4" t="n"/>
      <c r="AW175" s="4" t="inlineStr">
        <is>
          <t>1台</t>
        </is>
      </c>
      <c r="AX175" s="4" t="n">
        <v>4579</v>
      </c>
      <c r="AY175" s="4">
        <f>IF(AU175="",AX175,AU175/AV175*AX175)</f>
        <v/>
      </c>
      <c r="AZ175" s="19" t="n">
        <v>2</v>
      </c>
      <c r="BA175" s="19" t="n">
        <v>1</v>
      </c>
      <c r="BB175" s="16" t="n">
        <v>1910</v>
      </c>
      <c r="BC175" s="0" t="inlineStr">
        <is>
          <t>-</t>
        </is>
      </c>
      <c r="BD175" s="0">
        <f>IFERROR(BC175*AN175,"-")</f>
        <v/>
      </c>
      <c r="BE175" s="0" t="n">
        <v>3705</v>
      </c>
      <c r="BF175" s="0">
        <f>IFERROR(BE175*AN175,"-")</f>
        <v/>
      </c>
      <c r="BG175" s="0" t="inlineStr">
        <is>
          <t>アイリスオーヤマ パネルスタンド（ポスタースタンド) 幅48.4×奥行52.9×高さ103～132cm A1 B1 B2対応 シルバー PNS-1330 １台</t>
        </is>
      </c>
    </row>
    <row r="176">
      <c r="A176" s="0">
        <f>TEXT(F176,"000000")</f>
        <v/>
      </c>
      <c r="B176" s="39" t="n">
        <v>115</v>
      </c>
      <c r="C176" s="3" t="n">
        <v>115</v>
      </c>
      <c r="D176" s="4" t="n">
        <v>541314</v>
      </c>
      <c r="E176" s="4">
        <f>TEXT(D176,"000000")</f>
        <v/>
      </c>
      <c r="F176" s="4" t="n">
        <v>541314</v>
      </c>
      <c r="G176" s="4">
        <f>E176&amp;J176</f>
        <v/>
      </c>
      <c r="H176" s="4" t="inlineStr">
        <is>
          <t>ｱｲﾘｽｵｰﾔﾏ/ｺﾙｸﾎﾞｰﾄﾞ 1200×900mm/CRB-9012</t>
        </is>
      </c>
      <c r="I176" s="58" t="n">
        <v>4905009680733</v>
      </c>
      <c r="J176" s="58" t="n">
        <v>5</v>
      </c>
      <c r="K176" s="58" t="n"/>
      <c r="L176" s="58" t="n">
        <v>1</v>
      </c>
      <c r="M176" s="58" t="n">
        <v>1</v>
      </c>
      <c r="N176" s="4" t="n">
        <v>0</v>
      </c>
      <c r="O176" s="4" t="n">
        <v>4600</v>
      </c>
      <c r="P176" s="4" t="n">
        <v>3500</v>
      </c>
      <c r="Q176" s="59">
        <f>IFERROR(1-P176/O176,"-")</f>
        <v/>
      </c>
      <c r="R176" s="4" t="inlineStr">
        <is>
          <t>-</t>
        </is>
      </c>
      <c r="S176" s="4" t="inlineStr">
        <is>
          <t>-</t>
        </is>
      </c>
      <c r="T176" s="4" t="inlineStr">
        <is>
          <t>-</t>
        </is>
      </c>
      <c r="U176" s="4" t="n">
        <v>0</v>
      </c>
      <c r="V176" s="4">
        <f>IF(Y176="",U176,U176*Y176)</f>
        <v/>
      </c>
      <c r="W176" s="4" t="n">
        <v>3675</v>
      </c>
      <c r="X176" s="4">
        <f>IF(Y176="",W176,W176*Y176)</f>
        <v/>
      </c>
      <c r="Y176" s="4" t="n"/>
      <c r="Z176" s="21">
        <f>ROUND(O176*AN176,0)</f>
        <v/>
      </c>
      <c r="AA176" s="59">
        <f>IFERROR(1-X176/Z176,"-")</f>
        <v/>
      </c>
      <c r="AB176" s="4" t="n">
        <v>0</v>
      </c>
      <c r="AC176" s="4">
        <f>AY176</f>
        <v/>
      </c>
      <c r="AD176" s="4">
        <f>IFERROR(AC176*AN176,"-")</f>
        <v/>
      </c>
      <c r="AE176" s="59">
        <f>IFERROR(1-X176/AD176,"-")</f>
        <v/>
      </c>
      <c r="AF176" s="7" t="n">
        <v>4324</v>
      </c>
      <c r="AG176" s="61">
        <f>1-X176/AF176</f>
        <v/>
      </c>
      <c r="AH176" s="4">
        <f>AF176-X176</f>
        <v/>
      </c>
      <c r="AI176" s="28" t="n"/>
      <c r="AJ176" s="59" t="n"/>
      <c r="AK176" s="59" t="n"/>
      <c r="AL176" s="59">
        <f>IFERROR(V176/N176,"-")</f>
        <v/>
      </c>
      <c r="AM176" s="59">
        <f>IFERROR(AF176/O176,"-")</f>
        <v/>
      </c>
      <c r="AN176" s="59">
        <f>IFERROR(X176/P176,"-")</f>
        <v/>
      </c>
      <c r="AO176" s="59">
        <f>IFERROR(1-X176/AP176,"-")</f>
        <v/>
      </c>
      <c r="AP176" s="4">
        <f>IFERROR(ROUND($AF176*R176/$O176,0),"-")</f>
        <v/>
      </c>
      <c r="AQ176" s="4">
        <f>IF(S176="","-",S176)</f>
        <v/>
      </c>
      <c r="AR176" s="4">
        <f>IF(T176="","-",T176)</f>
        <v/>
      </c>
      <c r="AS176" s="4" t="inlineStr">
        <is>
          <t>34/221</t>
        </is>
      </c>
      <c r="AT176" s="4" t="inlineStr">
        <is>
          <t>X298999</t>
        </is>
      </c>
      <c r="AU176" s="4" t="n"/>
      <c r="AV176" s="4" t="n"/>
      <c r="AW176" s="4" t="inlineStr">
        <is>
          <t>1枚</t>
        </is>
      </c>
      <c r="AX176" s="4" t="n">
        <v>3637</v>
      </c>
      <c r="AY176" s="4">
        <f>IF(AU176="",AX176,AU176/AV176*AX176)</f>
        <v/>
      </c>
      <c r="AZ176" s="19" t="n">
        <v>4</v>
      </c>
      <c r="BA176" s="19" t="n">
        <v>9</v>
      </c>
      <c r="BB176" s="16" t="n">
        <v>1910</v>
      </c>
      <c r="BC176" s="0" t="inlineStr">
        <is>
          <t>-</t>
        </is>
      </c>
      <c r="BD176" s="0">
        <f>IFERROR(BC176*AN176,"-")</f>
        <v/>
      </c>
      <c r="BE176" s="0" t="n">
        <v>2080</v>
      </c>
      <c r="BF176" s="0">
        <f>IFERROR(BE176*AN176,"-")</f>
        <v/>
      </c>
      <c r="BG176" s="0" t="inlineStr">
        <is>
          <t>アイリスオーヤマ コルクボード CRB-9012 ナチュラル 1枚</t>
        </is>
      </c>
    </row>
    <row r="177">
      <c r="A177" s="0">
        <f>TEXT(F177,"000000")</f>
        <v/>
      </c>
      <c r="B177" s="39" t="n">
        <v>103</v>
      </c>
      <c r="C177" s="3" t="n">
        <v>103</v>
      </c>
      <c r="D177" s="4" t="n">
        <v>191718</v>
      </c>
      <c r="E177" s="4">
        <f>TEXT(D177,"000000")</f>
        <v/>
      </c>
      <c r="F177" s="4" t="n">
        <v>191718</v>
      </c>
      <c r="G177" s="4">
        <f>E177&amp;J177</f>
        <v/>
      </c>
      <c r="H177" s="4" t="inlineStr">
        <is>
          <t>ｱｲﾘｽｵｰﾔﾏ/ﾊﾟﾈﾙｽﾀﾝﾄﾞ(ｷｬｽﾀｰなし) ｼﾙﾊﾞｰ/PNS-1420</t>
        </is>
      </c>
      <c r="I177" s="58" t="n">
        <v>4905009517947</v>
      </c>
      <c r="J177" s="58" t="n">
        <v>5</v>
      </c>
      <c r="K177" s="58" t="n"/>
      <c r="L177" s="58" t="n">
        <v>1</v>
      </c>
      <c r="M177" s="58" t="n">
        <v>1</v>
      </c>
      <c r="N177" s="4" t="n">
        <v>0</v>
      </c>
      <c r="O177" s="4" t="n">
        <v>9560</v>
      </c>
      <c r="P177" s="4" t="n">
        <v>8000</v>
      </c>
      <c r="Q177" s="59">
        <f>IFERROR(1-P177/O177,"-")</f>
        <v/>
      </c>
      <c r="R177" s="4" t="inlineStr">
        <is>
          <t>-</t>
        </is>
      </c>
      <c r="S177" s="4" t="inlineStr">
        <is>
          <t>-</t>
        </is>
      </c>
      <c r="T177" s="4" t="inlineStr">
        <is>
          <t>-</t>
        </is>
      </c>
      <c r="U177" s="4" t="n">
        <v>0</v>
      </c>
      <c r="V177" s="4">
        <f>IF(Y177="",U177,U177*Y177)</f>
        <v/>
      </c>
      <c r="W177" s="4" t="n">
        <v>8241</v>
      </c>
      <c r="X177" s="4">
        <f>IF(Y177="",W177,W177*Y177)</f>
        <v/>
      </c>
      <c r="Y177" s="4" t="n"/>
      <c r="Z177" s="21">
        <f>ROUND(O177*AN177,0)</f>
        <v/>
      </c>
      <c r="AA177" s="59">
        <f>IFERROR(1-X177/Z177,"-")</f>
        <v/>
      </c>
      <c r="AB177" s="4" t="n">
        <v>0</v>
      </c>
      <c r="AC177" s="4">
        <f>AY177</f>
        <v/>
      </c>
      <c r="AD177" s="4">
        <f>IFERROR(AC177*AN177,"-")</f>
        <v/>
      </c>
      <c r="AE177" s="59">
        <f>IFERROR(1-X177/AD177,"-")</f>
        <v/>
      </c>
      <c r="AF177" s="7" t="n">
        <v>9695</v>
      </c>
      <c r="AG177" s="61">
        <f>1-X177/AF177</f>
        <v/>
      </c>
      <c r="AH177" s="4">
        <f>AF177-X177</f>
        <v/>
      </c>
      <c r="AI177" s="28" t="n"/>
      <c r="AJ177" s="59" t="n"/>
      <c r="AK177" s="59" t="n"/>
      <c r="AL177" s="59">
        <f>IFERROR(V177/N177,"-")</f>
        <v/>
      </c>
      <c r="AM177" s="59">
        <f>IFERROR(AF177/O177,"-")</f>
        <v/>
      </c>
      <c r="AN177" s="59">
        <f>IFERROR(X177/P177,"-")</f>
        <v/>
      </c>
      <c r="AO177" s="59">
        <f>IFERROR(1-X177/AP177,"-")</f>
        <v/>
      </c>
      <c r="AP177" s="4">
        <f>IFERROR(ROUND($AF177*R177/$O177,0),"-")</f>
        <v/>
      </c>
      <c r="AQ177" s="4">
        <f>IF(S177="","-",S177)</f>
        <v/>
      </c>
      <c r="AR177" s="4">
        <f>IF(T177="","-",T177)</f>
        <v/>
      </c>
      <c r="AS177" s="4" t="n">
        <v>0</v>
      </c>
      <c r="AT177" s="4" t="inlineStr">
        <is>
          <t>134461</t>
        </is>
      </c>
      <c r="AU177" s="4" t="n"/>
      <c r="AV177" s="4" t="n"/>
      <c r="AW177" s="4" t="inlineStr">
        <is>
          <t>1台</t>
        </is>
      </c>
      <c r="AX177" s="4" t="n">
        <v>9334</v>
      </c>
      <c r="AY177" s="4">
        <f>IF(AU177="",AX177,AU177/AV177*AX177)</f>
        <v/>
      </c>
      <c r="AZ177" s="19" t="n">
        <v>4</v>
      </c>
      <c r="BA177" s="19" t="n">
        <v>9</v>
      </c>
      <c r="BB177" s="16" t="n">
        <v>1910</v>
      </c>
      <c r="BC177" s="0" t="inlineStr">
        <is>
          <t>-</t>
        </is>
      </c>
      <c r="BD177" s="0">
        <f>IFERROR(BC177*AN177,"-")</f>
        <v/>
      </c>
      <c r="BE177" s="0" t="inlineStr">
        <is>
          <t>-</t>
        </is>
      </c>
      <c r="BF177" s="0">
        <f>IFERROR(BE177*AN177,"-")</f>
        <v/>
      </c>
      <c r="BG177" s="0" t="inlineStr">
        <is>
          <t>アイリスオーヤマ パネルスタンド(スチール) PNS-1420 1台</t>
        </is>
      </c>
    </row>
  </sheetData>
  <mergeCells count="3">
    <mergeCell ref="N2:Q2"/>
    <mergeCell ref="L2:M2"/>
    <mergeCell ref="U1:X1"/>
  </mergeCells>
  <conditionalFormatting sqref="AD4:AD177">
    <cfRule type="cellIs" priority="2" operator="lessThan" dxfId="0">
      <formula>$AF4</formula>
    </cfRule>
  </conditionalFormatting>
  <conditionalFormatting sqref="AF4:AF177">
    <cfRule type="cellIs" priority="4" operator="greaterThan" dxfId="1">
      <formula>$V4</formula>
    </cfRule>
  </conditionalFormatting>
  <conditionalFormatting sqref="AG4:AG177">
    <cfRule type="cellIs" priority="1" operator="lessThan" dxfId="0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フォーレスト007</dc:creator>
  <dcterms:created xmlns:dcterms="http://purl.org/dc/terms/" xmlns:xsi="http://www.w3.org/2001/XMLSchema-instance" xsi:type="dcterms:W3CDTF">2022-07-07T00:08:53Z</dcterms:created>
  <dcterms:modified xmlns:dcterms="http://purl.org/dc/terms/" xmlns:xsi="http://www.w3.org/2001/XMLSchema-instance" xsi:type="dcterms:W3CDTF">2026-07-24T07:24:33Z</dcterms:modified>
  <cp:lastModifiedBy>須永 英里子</cp:lastModifiedBy>
</cp:coreProperties>
</file>