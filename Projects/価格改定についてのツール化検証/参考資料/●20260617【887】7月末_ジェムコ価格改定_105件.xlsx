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ｼﾞ_ジェムコ_887\価格改定\20260617_7月末\"/>
    </mc:Choice>
  </mc:AlternateContent>
  <xr:revisionPtr revIDLastSave="0" documentId="13_ncr:1_{2F1ACD5D-0718-4F02-A680-DB5E99422CB6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J11" i="1" l="1"/>
  <c r="AH11" i="1" s="1"/>
  <c r="BJ27" i="1"/>
  <c r="AH27" i="1" s="1"/>
  <c r="BJ35" i="1"/>
  <c r="AH35" i="1" s="1"/>
  <c r="BJ43" i="1"/>
  <c r="AH43" i="1" s="1"/>
  <c r="BJ51" i="1"/>
  <c r="AH51" i="1" s="1"/>
  <c r="BJ59" i="1"/>
  <c r="AH59" i="1" s="1"/>
  <c r="BJ66" i="1"/>
  <c r="AH66" i="1" s="1"/>
  <c r="BJ71" i="1"/>
  <c r="AH71" i="1" s="1"/>
  <c r="BJ75" i="1"/>
  <c r="AH75" i="1" s="1"/>
  <c r="BJ82" i="1"/>
  <c r="AH82" i="1" s="1"/>
  <c r="BJ83" i="1"/>
  <c r="AH83" i="1" s="1"/>
  <c r="BJ86" i="1"/>
  <c r="AH86" i="1" s="1"/>
  <c r="BJ91" i="1"/>
  <c r="AH91" i="1" s="1"/>
  <c r="BJ96" i="1"/>
  <c r="AH96" i="1" s="1"/>
  <c r="BJ98" i="1"/>
  <c r="AH98" i="1" s="1"/>
  <c r="BJ99" i="1"/>
  <c r="AH99" i="1" s="1"/>
  <c r="BJ101" i="1"/>
  <c r="AH101" i="1" s="1"/>
  <c r="BJ102" i="1"/>
  <c r="AH102" i="1" s="1"/>
  <c r="BJ103" i="1"/>
  <c r="AH103" i="1" s="1"/>
  <c r="BJ104" i="1"/>
  <c r="AH104" i="1" s="1"/>
  <c r="BJ105" i="1"/>
  <c r="AH105" i="1" s="1"/>
  <c r="BJ107" i="1"/>
  <c r="AH107" i="1" s="1"/>
  <c r="BJ4" i="1"/>
  <c r="AH4" i="1" s="1"/>
  <c r="P45" i="1"/>
  <c r="AR46" i="1"/>
  <c r="P46" i="1"/>
  <c r="AR47" i="1"/>
  <c r="P47" i="1"/>
  <c r="AR49" i="1"/>
  <c r="P49" i="1"/>
  <c r="AR50" i="1"/>
  <c r="P51" i="1"/>
  <c r="AR52" i="1"/>
  <c r="P54" i="1"/>
  <c r="AR55" i="1"/>
  <c r="AR57" i="1"/>
  <c r="AR58" i="1"/>
  <c r="AR60" i="1"/>
  <c r="P60" i="1"/>
  <c r="AR62" i="1"/>
  <c r="AR63" i="1"/>
  <c r="P66" i="1"/>
  <c r="AR67" i="1"/>
  <c r="P68" i="1"/>
  <c r="AR70" i="1"/>
  <c r="AR71" i="1"/>
  <c r="P71" i="1"/>
  <c r="P73" i="1"/>
  <c r="P75" i="1"/>
  <c r="AR76" i="1"/>
  <c r="P76" i="1"/>
  <c r="AR78" i="1"/>
  <c r="AR79" i="1"/>
  <c r="P79" i="1"/>
  <c r="AR80" i="1"/>
  <c r="AR81" i="1"/>
  <c r="AR84" i="1"/>
  <c r="P84" i="1"/>
  <c r="AR86" i="1"/>
  <c r="P86" i="1"/>
  <c r="AR87" i="1"/>
  <c r="P87" i="1"/>
  <c r="P89" i="1"/>
  <c r="AR90" i="1"/>
  <c r="P91" i="1"/>
  <c r="AR92" i="1"/>
  <c r="P92" i="1"/>
  <c r="P95" i="1"/>
  <c r="P96" i="1"/>
  <c r="AR97" i="1"/>
  <c r="P97" i="1"/>
  <c r="P98" i="1"/>
  <c r="AR100" i="1"/>
  <c r="P100" i="1"/>
  <c r="AR102" i="1"/>
  <c r="P102" i="1"/>
  <c r="AR103" i="1"/>
  <c r="P103" i="1"/>
  <c r="P105" i="1"/>
  <c r="P107" i="1"/>
  <c r="AR108" i="1"/>
  <c r="P108" i="1"/>
  <c r="AR4" i="1"/>
  <c r="BJ19" i="1"/>
  <c r="AH19" i="1" s="1"/>
  <c r="AR19" i="1"/>
  <c r="AC19" i="1"/>
  <c r="AA19" i="1"/>
  <c r="AQ19" i="1" s="1"/>
  <c r="P19" i="1"/>
  <c r="D19" i="1"/>
  <c r="F19" i="1" s="1"/>
  <c r="BJ20" i="1"/>
  <c r="AH20" i="1" s="1"/>
  <c r="AR20" i="1"/>
  <c r="AC20" i="1"/>
  <c r="AL20" i="1" s="1"/>
  <c r="AA20" i="1"/>
  <c r="AQ20" i="1" s="1"/>
  <c r="P20" i="1"/>
  <c r="D20" i="1"/>
  <c r="F20" i="1" s="1"/>
  <c r="BJ18" i="1"/>
  <c r="AH18" i="1" s="1"/>
  <c r="AR18" i="1"/>
  <c r="AC18" i="1"/>
  <c r="AL18" i="1" s="1"/>
  <c r="AA18" i="1"/>
  <c r="AQ18" i="1" s="1"/>
  <c r="P18" i="1"/>
  <c r="D18" i="1"/>
  <c r="F18" i="1" s="1"/>
  <c r="BJ17" i="1"/>
  <c r="AH17" i="1" s="1"/>
  <c r="AR17" i="1"/>
  <c r="AC17" i="1"/>
  <c r="AL17" i="1" s="1"/>
  <c r="AA17" i="1"/>
  <c r="AQ17" i="1" s="1"/>
  <c r="P17" i="1"/>
  <c r="D17" i="1"/>
  <c r="F17" i="1" s="1"/>
  <c r="BJ16" i="1"/>
  <c r="AH16" i="1" s="1"/>
  <c r="AR16" i="1"/>
  <c r="AC16" i="1"/>
  <c r="AA16" i="1"/>
  <c r="AQ16" i="1" s="1"/>
  <c r="P16" i="1"/>
  <c r="D16" i="1"/>
  <c r="F16" i="1" s="1"/>
  <c r="BJ15" i="1"/>
  <c r="AH15" i="1" s="1"/>
  <c r="AR15" i="1"/>
  <c r="AC15" i="1"/>
  <c r="AA15" i="1"/>
  <c r="AQ15" i="1" s="1"/>
  <c r="P15" i="1"/>
  <c r="D15" i="1"/>
  <c r="F15" i="1" s="1"/>
  <c r="BJ14" i="1"/>
  <c r="AH14" i="1" s="1"/>
  <c r="AR14" i="1"/>
  <c r="AC14" i="1"/>
  <c r="AL14" i="1" s="1"/>
  <c r="AA14" i="1"/>
  <c r="AQ14" i="1" s="1"/>
  <c r="P14" i="1"/>
  <c r="D14" i="1"/>
  <c r="F14" i="1" s="1"/>
  <c r="BJ13" i="1"/>
  <c r="AH13" i="1" s="1"/>
  <c r="AR13" i="1"/>
  <c r="AC13" i="1"/>
  <c r="AL13" i="1" s="1"/>
  <c r="AA13" i="1"/>
  <c r="AQ13" i="1" s="1"/>
  <c r="P13" i="1"/>
  <c r="D13" i="1"/>
  <c r="F13" i="1" s="1"/>
  <c r="BJ12" i="1"/>
  <c r="AH12" i="1" s="1"/>
  <c r="AR12" i="1"/>
  <c r="AC12" i="1"/>
  <c r="AA12" i="1"/>
  <c r="AQ12" i="1" s="1"/>
  <c r="P12" i="1"/>
  <c r="D12" i="1"/>
  <c r="F12" i="1" s="1"/>
  <c r="AR11" i="1"/>
  <c r="AC11" i="1"/>
  <c r="AL11" i="1" s="1"/>
  <c r="AA11" i="1"/>
  <c r="AQ11" i="1" s="1"/>
  <c r="P11" i="1"/>
  <c r="D11" i="1"/>
  <c r="F11" i="1" s="1"/>
  <c r="BJ9" i="1"/>
  <c r="AH9" i="1" s="1"/>
  <c r="AR9" i="1"/>
  <c r="AC9" i="1"/>
  <c r="AL9" i="1" s="1"/>
  <c r="AA9" i="1"/>
  <c r="AQ9" i="1" s="1"/>
  <c r="P9" i="1"/>
  <c r="D9" i="1"/>
  <c r="F9" i="1" s="1"/>
  <c r="AR75" i="1"/>
  <c r="AC75" i="1"/>
  <c r="AL75" i="1" s="1"/>
  <c r="AA75" i="1"/>
  <c r="D75" i="1"/>
  <c r="F75" i="1" s="1"/>
  <c r="BJ23" i="1"/>
  <c r="AH23" i="1" s="1"/>
  <c r="AR23" i="1"/>
  <c r="AC23" i="1"/>
  <c r="AA23" i="1"/>
  <c r="AQ23" i="1" s="1"/>
  <c r="P23" i="1"/>
  <c r="D23" i="1"/>
  <c r="F23" i="1" s="1"/>
  <c r="BJ74" i="1"/>
  <c r="AH74" i="1" s="1"/>
  <c r="AC74" i="1"/>
  <c r="AA74" i="1"/>
  <c r="D74" i="1"/>
  <c r="F74" i="1" s="1"/>
  <c r="AC86" i="1"/>
  <c r="AL86" i="1" s="1"/>
  <c r="AA86" i="1"/>
  <c r="AQ86" i="1" s="1"/>
  <c r="D86" i="1"/>
  <c r="F86" i="1" s="1"/>
  <c r="BJ77" i="1"/>
  <c r="AH77" i="1" s="1"/>
  <c r="AR77" i="1"/>
  <c r="AC77" i="1"/>
  <c r="AL77" i="1" s="1"/>
  <c r="AA77" i="1"/>
  <c r="P77" i="1"/>
  <c r="D77" i="1"/>
  <c r="F77" i="1" s="1"/>
  <c r="BJ94" i="1"/>
  <c r="AH94" i="1" s="1"/>
  <c r="AR94" i="1"/>
  <c r="AC94" i="1"/>
  <c r="AA94" i="1"/>
  <c r="AQ94" i="1" s="1"/>
  <c r="P94" i="1"/>
  <c r="D94" i="1"/>
  <c r="F94" i="1" s="1"/>
  <c r="AR83" i="1"/>
  <c r="AC83" i="1"/>
  <c r="AL83" i="1" s="1"/>
  <c r="AA83" i="1"/>
  <c r="AQ83" i="1" s="1"/>
  <c r="P83" i="1"/>
  <c r="D83" i="1"/>
  <c r="F83" i="1" s="1"/>
  <c r="BJ92" i="1"/>
  <c r="AH92" i="1" s="1"/>
  <c r="AC92" i="1"/>
  <c r="AL92" i="1" s="1"/>
  <c r="AA92" i="1"/>
  <c r="D92" i="1"/>
  <c r="F92" i="1" s="1"/>
  <c r="AR98" i="1"/>
  <c r="AC98" i="1"/>
  <c r="AA98" i="1"/>
  <c r="D98" i="1"/>
  <c r="F98" i="1" s="1"/>
  <c r="BJ53" i="1"/>
  <c r="AH53" i="1" s="1"/>
  <c r="AR53" i="1"/>
  <c r="AC53" i="1"/>
  <c r="AL53" i="1" s="1"/>
  <c r="AA53" i="1"/>
  <c r="AQ53" i="1" s="1"/>
  <c r="P53" i="1"/>
  <c r="D53" i="1"/>
  <c r="F53" i="1" s="1"/>
  <c r="AC82" i="1"/>
  <c r="AA82" i="1"/>
  <c r="D82" i="1"/>
  <c r="F82" i="1" s="1"/>
  <c r="BJ22" i="1"/>
  <c r="AH22" i="1" s="1"/>
  <c r="AR22" i="1"/>
  <c r="AC22" i="1"/>
  <c r="AL22" i="1" s="1"/>
  <c r="AA22" i="1"/>
  <c r="AQ22" i="1" s="1"/>
  <c r="P22" i="1"/>
  <c r="D22" i="1"/>
  <c r="F22" i="1" s="1"/>
  <c r="BJ45" i="1"/>
  <c r="AH45" i="1" s="1"/>
  <c r="AR45" i="1"/>
  <c r="AC45" i="1"/>
  <c r="AA45" i="1"/>
  <c r="D45" i="1"/>
  <c r="F45" i="1" s="1"/>
  <c r="AR59" i="1"/>
  <c r="AC59" i="1"/>
  <c r="AL59" i="1" s="1"/>
  <c r="AA59" i="1"/>
  <c r="AQ59" i="1" s="1"/>
  <c r="P59" i="1"/>
  <c r="D59" i="1"/>
  <c r="F59" i="1" s="1"/>
  <c r="BJ78" i="1"/>
  <c r="AH78" i="1" s="1"/>
  <c r="AC78" i="1"/>
  <c r="AL78" i="1" s="1"/>
  <c r="AA78" i="1"/>
  <c r="AQ78" i="1" s="1"/>
  <c r="P78" i="1"/>
  <c r="D78" i="1"/>
  <c r="F78" i="1" s="1"/>
  <c r="BJ42" i="1"/>
  <c r="AH42" i="1" s="1"/>
  <c r="AR42" i="1"/>
  <c r="AC42" i="1"/>
  <c r="AL42" i="1" s="1"/>
  <c r="AA42" i="1"/>
  <c r="AQ42" i="1" s="1"/>
  <c r="P42" i="1"/>
  <c r="D42" i="1"/>
  <c r="F42" i="1" s="1"/>
  <c r="BJ21" i="1"/>
  <c r="AH21" i="1" s="1"/>
  <c r="AR21" i="1"/>
  <c r="AC21" i="1"/>
  <c r="AA21" i="1"/>
  <c r="AQ21" i="1" s="1"/>
  <c r="P21" i="1"/>
  <c r="D21" i="1"/>
  <c r="F21" i="1" s="1"/>
  <c r="BJ40" i="1"/>
  <c r="AH40" i="1" s="1"/>
  <c r="AR40" i="1"/>
  <c r="AC40" i="1"/>
  <c r="AL40" i="1" s="1"/>
  <c r="AA40" i="1"/>
  <c r="AQ40" i="1" s="1"/>
  <c r="P40" i="1"/>
  <c r="D40" i="1"/>
  <c r="F40" i="1" s="1"/>
  <c r="BJ76" i="1"/>
  <c r="AH76" i="1" s="1"/>
  <c r="AC76" i="1"/>
  <c r="AL76" i="1" s="1"/>
  <c r="AA76" i="1"/>
  <c r="AQ76" i="1" s="1"/>
  <c r="D76" i="1"/>
  <c r="F76" i="1" s="1"/>
  <c r="BJ49" i="1"/>
  <c r="AH49" i="1" s="1"/>
  <c r="AC49" i="1"/>
  <c r="AL49" i="1" s="1"/>
  <c r="AA49" i="1"/>
  <c r="D49" i="1"/>
  <c r="F49" i="1" s="1"/>
  <c r="BJ89" i="1"/>
  <c r="AH89" i="1" s="1"/>
  <c r="AR89" i="1"/>
  <c r="AC89" i="1"/>
  <c r="AA89" i="1"/>
  <c r="D89" i="1"/>
  <c r="F89" i="1" s="1"/>
  <c r="BJ84" i="1"/>
  <c r="AH84" i="1" s="1"/>
  <c r="AC84" i="1"/>
  <c r="AL84" i="1" s="1"/>
  <c r="AA84" i="1"/>
  <c r="AQ84" i="1" s="1"/>
  <c r="D84" i="1"/>
  <c r="F84" i="1" s="1"/>
  <c r="BJ81" i="1"/>
  <c r="AH81" i="1" s="1"/>
  <c r="AC81" i="1"/>
  <c r="AL81" i="1" s="1"/>
  <c r="AA81" i="1"/>
  <c r="AQ81" i="1" s="1"/>
  <c r="P81" i="1"/>
  <c r="D81" i="1"/>
  <c r="F81" i="1" s="1"/>
  <c r="BJ80" i="1"/>
  <c r="AH80" i="1" s="1"/>
  <c r="AC80" i="1"/>
  <c r="AL80" i="1" s="1"/>
  <c r="AA80" i="1"/>
  <c r="AQ80" i="1" s="1"/>
  <c r="P80" i="1"/>
  <c r="D80" i="1"/>
  <c r="F80" i="1" s="1"/>
  <c r="BJ44" i="1"/>
  <c r="AH44" i="1" s="1"/>
  <c r="AR44" i="1"/>
  <c r="AC44" i="1"/>
  <c r="AA44" i="1"/>
  <c r="AQ44" i="1" s="1"/>
  <c r="P44" i="1"/>
  <c r="D44" i="1"/>
  <c r="F44" i="1" s="1"/>
  <c r="BJ41" i="1"/>
  <c r="AH41" i="1" s="1"/>
  <c r="AR41" i="1"/>
  <c r="AC41" i="1"/>
  <c r="AA41" i="1"/>
  <c r="AQ41" i="1" s="1"/>
  <c r="P41" i="1"/>
  <c r="D41" i="1"/>
  <c r="F41" i="1" s="1"/>
  <c r="BJ39" i="1"/>
  <c r="AH39" i="1" s="1"/>
  <c r="AR39" i="1"/>
  <c r="AC39" i="1"/>
  <c r="AM39" i="1" s="1"/>
  <c r="AA39" i="1"/>
  <c r="AQ39" i="1" s="1"/>
  <c r="P39" i="1"/>
  <c r="D39" i="1"/>
  <c r="F39" i="1" s="1"/>
  <c r="BJ61" i="1"/>
  <c r="AH61" i="1" s="1"/>
  <c r="AR61" i="1"/>
  <c r="AC61" i="1"/>
  <c r="AS61" i="1" s="1"/>
  <c r="AA61" i="1"/>
  <c r="P61" i="1"/>
  <c r="D61" i="1"/>
  <c r="F61" i="1" s="1"/>
  <c r="AR51" i="1"/>
  <c r="AC51" i="1"/>
  <c r="AL51" i="1" s="1"/>
  <c r="AA51" i="1"/>
  <c r="D51" i="1"/>
  <c r="F51" i="1" s="1"/>
  <c r="BJ58" i="1"/>
  <c r="AH58" i="1" s="1"/>
  <c r="AC58" i="1"/>
  <c r="AL58" i="1" s="1"/>
  <c r="AA58" i="1"/>
  <c r="D58" i="1"/>
  <c r="F58" i="1" s="1"/>
  <c r="BJ6" i="1"/>
  <c r="AH6" i="1" s="1"/>
  <c r="AR6" i="1"/>
  <c r="AC6" i="1"/>
  <c r="AL6" i="1" s="1"/>
  <c r="AA6" i="1"/>
  <c r="AQ6" i="1" s="1"/>
  <c r="P6" i="1"/>
  <c r="D6" i="1"/>
  <c r="F6" i="1" s="1"/>
  <c r="BJ8" i="1"/>
  <c r="AH8" i="1" s="1"/>
  <c r="AR8" i="1"/>
  <c r="AC8" i="1"/>
  <c r="AA8" i="1"/>
  <c r="AQ8" i="1" s="1"/>
  <c r="P8" i="1"/>
  <c r="D8" i="1"/>
  <c r="F8" i="1" s="1"/>
  <c r="BJ7" i="1"/>
  <c r="AH7" i="1" s="1"/>
  <c r="AR7" i="1"/>
  <c r="AC7" i="1"/>
  <c r="AA7" i="1"/>
  <c r="AQ7" i="1" s="1"/>
  <c r="P7" i="1"/>
  <c r="D7" i="1"/>
  <c r="F7" i="1" s="1"/>
  <c r="BJ10" i="1"/>
  <c r="AH10" i="1" s="1"/>
  <c r="AR10" i="1"/>
  <c r="AC10" i="1"/>
  <c r="AL10" i="1" s="1"/>
  <c r="AA10" i="1"/>
  <c r="AQ10" i="1" s="1"/>
  <c r="P10" i="1"/>
  <c r="D10" i="1"/>
  <c r="F10" i="1" s="1"/>
  <c r="BJ5" i="1"/>
  <c r="AH5" i="1" s="1"/>
  <c r="AR5" i="1"/>
  <c r="AC5" i="1"/>
  <c r="AL5" i="1" s="1"/>
  <c r="AA5" i="1"/>
  <c r="AQ5" i="1" s="1"/>
  <c r="P5" i="1"/>
  <c r="D5" i="1"/>
  <c r="F5" i="1" s="1"/>
  <c r="AC4" i="1"/>
  <c r="AA4" i="1"/>
  <c r="D4" i="1"/>
  <c r="F4" i="1" s="1"/>
  <c r="BJ72" i="1"/>
  <c r="AH72" i="1" s="1"/>
  <c r="AR72" i="1"/>
  <c r="AC72" i="1"/>
  <c r="AL72" i="1" s="1"/>
  <c r="AA72" i="1"/>
  <c r="AQ72" i="1" s="1"/>
  <c r="P72" i="1"/>
  <c r="D72" i="1"/>
  <c r="F72" i="1" s="1"/>
  <c r="BJ57" i="1"/>
  <c r="AH57" i="1" s="1"/>
  <c r="AC57" i="1"/>
  <c r="AL57" i="1" s="1"/>
  <c r="AA57" i="1"/>
  <c r="AQ57" i="1" s="1"/>
  <c r="P57" i="1"/>
  <c r="D57" i="1"/>
  <c r="F57" i="1" s="1"/>
  <c r="AC102" i="1"/>
  <c r="AL102" i="1" s="1"/>
  <c r="AA102" i="1"/>
  <c r="AQ102" i="1" s="1"/>
  <c r="D102" i="1"/>
  <c r="F102" i="1" s="1"/>
  <c r="AR91" i="1"/>
  <c r="AC91" i="1"/>
  <c r="AL91" i="1" s="1"/>
  <c r="AA91" i="1"/>
  <c r="D91" i="1"/>
  <c r="F91" i="1" s="1"/>
  <c r="BJ85" i="1"/>
  <c r="AH85" i="1" s="1"/>
  <c r="AR85" i="1"/>
  <c r="AC85" i="1"/>
  <c r="AL85" i="1" s="1"/>
  <c r="AA85" i="1"/>
  <c r="P85" i="1"/>
  <c r="D85" i="1"/>
  <c r="F85" i="1" s="1"/>
  <c r="AR101" i="1"/>
  <c r="AC101" i="1"/>
  <c r="AL101" i="1" s="1"/>
  <c r="AA101" i="1"/>
  <c r="P101" i="1"/>
  <c r="D101" i="1"/>
  <c r="F101" i="1" s="1"/>
  <c r="BJ97" i="1"/>
  <c r="AH97" i="1" s="1"/>
  <c r="AC97" i="1"/>
  <c r="AA97" i="1"/>
  <c r="D97" i="1"/>
  <c r="F97" i="1" s="1"/>
  <c r="AR96" i="1"/>
  <c r="AC96" i="1"/>
  <c r="AL96" i="1" s="1"/>
  <c r="AA96" i="1"/>
  <c r="AQ96" i="1" s="1"/>
  <c r="D96" i="1"/>
  <c r="F96" i="1" s="1"/>
  <c r="BJ65" i="1"/>
  <c r="AH65" i="1" s="1"/>
  <c r="AR65" i="1"/>
  <c r="AC65" i="1"/>
  <c r="AA65" i="1"/>
  <c r="AQ65" i="1" s="1"/>
  <c r="P65" i="1"/>
  <c r="D65" i="1"/>
  <c r="F65" i="1" s="1"/>
  <c r="BJ64" i="1"/>
  <c r="AH64" i="1" s="1"/>
  <c r="AR64" i="1"/>
  <c r="AC64" i="1"/>
  <c r="AL64" i="1" s="1"/>
  <c r="AA64" i="1"/>
  <c r="AQ64" i="1" s="1"/>
  <c r="P64" i="1"/>
  <c r="D64" i="1"/>
  <c r="F64" i="1" s="1"/>
  <c r="BJ55" i="1"/>
  <c r="AH55" i="1" s="1"/>
  <c r="AC55" i="1"/>
  <c r="AL55" i="1" s="1"/>
  <c r="AA55" i="1"/>
  <c r="D55" i="1"/>
  <c r="F55" i="1" s="1"/>
  <c r="BJ54" i="1"/>
  <c r="AH54" i="1" s="1"/>
  <c r="AR54" i="1"/>
  <c r="AC54" i="1"/>
  <c r="AA54" i="1"/>
  <c r="D54" i="1"/>
  <c r="F54" i="1" s="1"/>
  <c r="BJ48" i="1"/>
  <c r="AH48" i="1" s="1"/>
  <c r="AR48" i="1"/>
  <c r="AC48" i="1"/>
  <c r="AL48" i="1" s="1"/>
  <c r="AA48" i="1"/>
  <c r="AQ48" i="1" s="1"/>
  <c r="P48" i="1"/>
  <c r="D48" i="1"/>
  <c r="F48" i="1" s="1"/>
  <c r="BJ47" i="1"/>
  <c r="AH47" i="1" s="1"/>
  <c r="AC47" i="1"/>
  <c r="AA47" i="1"/>
  <c r="D47" i="1"/>
  <c r="F47" i="1" s="1"/>
  <c r="BJ46" i="1"/>
  <c r="AH46" i="1" s="1"/>
  <c r="AC46" i="1"/>
  <c r="AL46" i="1" s="1"/>
  <c r="AA46" i="1"/>
  <c r="D46" i="1"/>
  <c r="F46" i="1" s="1"/>
  <c r="AR43" i="1"/>
  <c r="AC43" i="1"/>
  <c r="AA43" i="1"/>
  <c r="AQ43" i="1" s="1"/>
  <c r="P43" i="1"/>
  <c r="D43" i="1"/>
  <c r="F43" i="1" s="1"/>
  <c r="BJ100" i="1"/>
  <c r="AH100" i="1" s="1"/>
  <c r="AC100" i="1"/>
  <c r="AL100" i="1" s="1"/>
  <c r="AA100" i="1"/>
  <c r="AQ100" i="1" s="1"/>
  <c r="D100" i="1"/>
  <c r="F100" i="1" s="1"/>
  <c r="AR99" i="1"/>
  <c r="AC99" i="1"/>
  <c r="AA99" i="1"/>
  <c r="AQ99" i="1" s="1"/>
  <c r="P99" i="1"/>
  <c r="D99" i="1"/>
  <c r="F99" i="1" s="1"/>
  <c r="AR27" i="1"/>
  <c r="AC27" i="1"/>
  <c r="AL27" i="1" s="1"/>
  <c r="AA27" i="1"/>
  <c r="AQ27" i="1" s="1"/>
  <c r="P27" i="1"/>
  <c r="D27" i="1"/>
  <c r="F27" i="1" s="1"/>
  <c r="BJ33" i="1"/>
  <c r="AH33" i="1" s="1"/>
  <c r="AR33" i="1"/>
  <c r="AC33" i="1"/>
  <c r="AA33" i="1"/>
  <c r="AQ33" i="1" s="1"/>
  <c r="P33" i="1"/>
  <c r="D33" i="1"/>
  <c r="F33" i="1" s="1"/>
  <c r="BJ38" i="1"/>
  <c r="AH38" i="1" s="1"/>
  <c r="AR38" i="1"/>
  <c r="AC38" i="1"/>
  <c r="AL38" i="1" s="1"/>
  <c r="AA38" i="1"/>
  <c r="AQ38" i="1" s="1"/>
  <c r="P38" i="1"/>
  <c r="D38" i="1"/>
  <c r="F38" i="1" s="1"/>
  <c r="BJ37" i="1"/>
  <c r="AH37" i="1" s="1"/>
  <c r="AR37" i="1"/>
  <c r="AC37" i="1"/>
  <c r="AA37" i="1"/>
  <c r="AQ37" i="1" s="1"/>
  <c r="P37" i="1"/>
  <c r="D37" i="1"/>
  <c r="F37" i="1" s="1"/>
  <c r="BJ36" i="1"/>
  <c r="AH36" i="1" s="1"/>
  <c r="AR36" i="1"/>
  <c r="AC36" i="1"/>
  <c r="AL36" i="1" s="1"/>
  <c r="AA36" i="1"/>
  <c r="AQ36" i="1" s="1"/>
  <c r="P36" i="1"/>
  <c r="D36" i="1"/>
  <c r="F36" i="1" s="1"/>
  <c r="AR35" i="1"/>
  <c r="AC35" i="1"/>
  <c r="AA35" i="1"/>
  <c r="AQ35" i="1" s="1"/>
  <c r="P35" i="1"/>
  <c r="D35" i="1"/>
  <c r="F35" i="1" s="1"/>
  <c r="BJ26" i="1"/>
  <c r="AH26" i="1" s="1"/>
  <c r="AR26" i="1"/>
  <c r="AC26" i="1"/>
  <c r="AL26" i="1" s="1"/>
  <c r="AA26" i="1"/>
  <c r="AQ26" i="1" s="1"/>
  <c r="P26" i="1"/>
  <c r="D26" i="1"/>
  <c r="F26" i="1" s="1"/>
  <c r="BJ32" i="1"/>
  <c r="AH32" i="1" s="1"/>
  <c r="AR32" i="1"/>
  <c r="AC32" i="1"/>
  <c r="AA32" i="1"/>
  <c r="AQ32" i="1" s="1"/>
  <c r="P32" i="1"/>
  <c r="D32" i="1"/>
  <c r="F32" i="1" s="1"/>
  <c r="BJ28" i="1"/>
  <c r="AH28" i="1" s="1"/>
  <c r="AR28" i="1"/>
  <c r="AC28" i="1"/>
  <c r="AL28" i="1" s="1"/>
  <c r="AA28" i="1"/>
  <c r="AQ28" i="1" s="1"/>
  <c r="P28" i="1"/>
  <c r="D28" i="1"/>
  <c r="F28" i="1" s="1"/>
  <c r="BJ31" i="1"/>
  <c r="AH31" i="1" s="1"/>
  <c r="AR31" i="1"/>
  <c r="AC31" i="1"/>
  <c r="AM31" i="1" s="1"/>
  <c r="AA31" i="1"/>
  <c r="AQ31" i="1" s="1"/>
  <c r="P31" i="1"/>
  <c r="D31" i="1"/>
  <c r="F31" i="1" s="1"/>
  <c r="BJ30" i="1"/>
  <c r="AH30" i="1" s="1"/>
  <c r="AR30" i="1"/>
  <c r="AC30" i="1"/>
  <c r="AM30" i="1" s="1"/>
  <c r="AA30" i="1"/>
  <c r="AQ30" i="1" s="1"/>
  <c r="P30" i="1"/>
  <c r="D30" i="1"/>
  <c r="F30" i="1" s="1"/>
  <c r="BJ29" i="1"/>
  <c r="AH29" i="1" s="1"/>
  <c r="AR29" i="1"/>
  <c r="AC29" i="1"/>
  <c r="AM29" i="1" s="1"/>
  <c r="AA29" i="1"/>
  <c r="AQ29" i="1" s="1"/>
  <c r="P29" i="1"/>
  <c r="D29" i="1"/>
  <c r="F29" i="1" s="1"/>
  <c r="BJ25" i="1"/>
  <c r="AH25" i="1" s="1"/>
  <c r="AR25" i="1"/>
  <c r="AC25" i="1"/>
  <c r="AM25" i="1" s="1"/>
  <c r="AA25" i="1"/>
  <c r="AQ25" i="1" s="1"/>
  <c r="P25" i="1"/>
  <c r="D25" i="1"/>
  <c r="F25" i="1" s="1"/>
  <c r="AR105" i="1"/>
  <c r="AC105" i="1"/>
  <c r="AM105" i="1" s="1"/>
  <c r="AA105" i="1"/>
  <c r="D105" i="1"/>
  <c r="F105" i="1" s="1"/>
  <c r="AR104" i="1"/>
  <c r="AC104" i="1"/>
  <c r="AM104" i="1" s="1"/>
  <c r="AA104" i="1"/>
  <c r="AQ104" i="1" s="1"/>
  <c r="P104" i="1"/>
  <c r="D104" i="1"/>
  <c r="F104" i="1" s="1"/>
  <c r="AC103" i="1"/>
  <c r="AM103" i="1" s="1"/>
  <c r="AA103" i="1"/>
  <c r="D103" i="1"/>
  <c r="F103" i="1" s="1"/>
  <c r="BJ34" i="1"/>
  <c r="AH34" i="1" s="1"/>
  <c r="AR34" i="1"/>
  <c r="AC34" i="1"/>
  <c r="AM34" i="1" s="1"/>
  <c r="AA34" i="1"/>
  <c r="AQ34" i="1" s="1"/>
  <c r="P34" i="1"/>
  <c r="D34" i="1"/>
  <c r="F34" i="1" s="1"/>
  <c r="BJ24" i="1"/>
  <c r="AH24" i="1" s="1"/>
  <c r="AR24" i="1"/>
  <c r="AC24" i="1"/>
  <c r="AM24" i="1" s="1"/>
  <c r="AA24" i="1"/>
  <c r="AQ24" i="1" s="1"/>
  <c r="P24" i="1"/>
  <c r="D24" i="1"/>
  <c r="F24" i="1" s="1"/>
  <c r="BJ93" i="1"/>
  <c r="AH93" i="1" s="1"/>
  <c r="AR93" i="1"/>
  <c r="AC93" i="1"/>
  <c r="AM93" i="1" s="1"/>
  <c r="AA93" i="1"/>
  <c r="P93" i="1"/>
  <c r="D93" i="1"/>
  <c r="F93" i="1" s="1"/>
  <c r="BJ69" i="1"/>
  <c r="AH69" i="1" s="1"/>
  <c r="AR69" i="1"/>
  <c r="AC69" i="1"/>
  <c r="AM69" i="1" s="1"/>
  <c r="AA69" i="1"/>
  <c r="P69" i="1"/>
  <c r="D69" i="1"/>
  <c r="F69" i="1" s="1"/>
  <c r="BJ67" i="1"/>
  <c r="AH67" i="1" s="1"/>
  <c r="AC67" i="1"/>
  <c r="AM67" i="1" s="1"/>
  <c r="AA67" i="1"/>
  <c r="AQ67" i="1" s="1"/>
  <c r="P67" i="1"/>
  <c r="D67" i="1"/>
  <c r="F67" i="1" s="1"/>
  <c r="P62" i="1"/>
  <c r="P88" i="1"/>
  <c r="P56" i="1"/>
  <c r="P50" i="1"/>
  <c r="P70" i="1"/>
  <c r="P52" i="1"/>
  <c r="AR95" i="1"/>
  <c r="AR88" i="1"/>
  <c r="AR56" i="1"/>
  <c r="AR107" i="1"/>
  <c r="AR73" i="1"/>
  <c r="AR68" i="1"/>
  <c r="AC71" i="1"/>
  <c r="AA71" i="1"/>
  <c r="AQ71" i="1" s="1"/>
  <c r="D71" i="1"/>
  <c r="F71" i="1" s="1"/>
  <c r="BJ70" i="1"/>
  <c r="AH70" i="1" s="1"/>
  <c r="AC70" i="1"/>
  <c r="AM70" i="1" s="1"/>
  <c r="AA70" i="1"/>
  <c r="AQ70" i="1" s="1"/>
  <c r="D70" i="1"/>
  <c r="F70" i="1" s="1"/>
  <c r="BJ68" i="1"/>
  <c r="AH68" i="1" s="1"/>
  <c r="AC68" i="1"/>
  <c r="AA68" i="1"/>
  <c r="AQ68" i="1" s="1"/>
  <c r="D68" i="1"/>
  <c r="F68" i="1" s="1"/>
  <c r="BJ73" i="1"/>
  <c r="AH73" i="1" s="1"/>
  <c r="AC73" i="1"/>
  <c r="AM73" i="1" s="1"/>
  <c r="AA73" i="1"/>
  <c r="D73" i="1"/>
  <c r="F73" i="1" s="1"/>
  <c r="AC66" i="1"/>
  <c r="AL66" i="1" s="1"/>
  <c r="AA66" i="1"/>
  <c r="D66" i="1"/>
  <c r="F66" i="1" s="1"/>
  <c r="AC107" i="1"/>
  <c r="AL107" i="1" s="1"/>
  <c r="AA107" i="1"/>
  <c r="AQ107" i="1" s="1"/>
  <c r="D107" i="1"/>
  <c r="F107" i="1" s="1"/>
  <c r="BJ108" i="1"/>
  <c r="AH108" i="1" s="1"/>
  <c r="AC108" i="1"/>
  <c r="AM108" i="1" s="1"/>
  <c r="AA108" i="1"/>
  <c r="AQ108" i="1" s="1"/>
  <c r="D108" i="1"/>
  <c r="F108" i="1" s="1"/>
  <c r="BJ79" i="1"/>
  <c r="AH79" i="1" s="1"/>
  <c r="AC79" i="1"/>
  <c r="AM79" i="1" s="1"/>
  <c r="AA79" i="1"/>
  <c r="D79" i="1"/>
  <c r="F79" i="1" s="1"/>
  <c r="BJ50" i="1"/>
  <c r="AH50" i="1" s="1"/>
  <c r="AC50" i="1"/>
  <c r="AA50" i="1"/>
  <c r="D50" i="1"/>
  <c r="F50" i="1" s="1"/>
  <c r="AV52" i="1"/>
  <c r="AU52" i="1"/>
  <c r="P90" i="1" l="1"/>
  <c r="AR66" i="1"/>
  <c r="AQ93" i="1"/>
  <c r="AQ85" i="1"/>
  <c r="P58" i="1"/>
  <c r="P106" i="1"/>
  <c r="AR106" i="1"/>
  <c r="AQ50" i="1"/>
  <c r="AQ66" i="1"/>
  <c r="AQ58" i="1"/>
  <c r="AR82" i="1"/>
  <c r="P82" i="1"/>
  <c r="AR74" i="1"/>
  <c r="P74" i="1"/>
  <c r="P63" i="1"/>
  <c r="P55" i="1"/>
  <c r="AQ69" i="1"/>
  <c r="AQ103" i="1"/>
  <c r="AQ47" i="1"/>
  <c r="AQ101" i="1"/>
  <c r="AQ82" i="1"/>
  <c r="AQ74" i="1"/>
  <c r="AT52" i="1"/>
  <c r="AQ79" i="1"/>
  <c r="AQ73" i="1"/>
  <c r="AQ46" i="1"/>
  <c r="AQ55" i="1"/>
  <c r="AQ97" i="1"/>
  <c r="AQ61" i="1"/>
  <c r="AQ49" i="1"/>
  <c r="AQ92" i="1"/>
  <c r="AQ105" i="1"/>
  <c r="AQ54" i="1"/>
  <c r="AQ91" i="1"/>
  <c r="AQ51" i="1"/>
  <c r="AQ89" i="1"/>
  <c r="AQ45" i="1"/>
  <c r="AQ98" i="1"/>
  <c r="AQ77" i="1"/>
  <c r="AQ75" i="1"/>
  <c r="P4" i="1"/>
  <c r="AQ4" i="1"/>
  <c r="AE61" i="1"/>
  <c r="AF61" i="1" s="1"/>
  <c r="BS61" i="1"/>
  <c r="BP61" i="1"/>
  <c r="AL105" i="1"/>
  <c r="AS93" i="1"/>
  <c r="AS104" i="1"/>
  <c r="AI104" i="1" s="1"/>
  <c r="AJ104" i="1" s="1"/>
  <c r="AL93" i="1"/>
  <c r="AS24" i="1"/>
  <c r="AS103" i="1"/>
  <c r="AS107" i="1"/>
  <c r="AL104" i="1"/>
  <c r="AL39" i="1"/>
  <c r="AL24" i="1"/>
  <c r="AS105" i="1"/>
  <c r="AS39" i="1"/>
  <c r="AS7" i="1"/>
  <c r="AM7" i="1"/>
  <c r="AS31" i="1"/>
  <c r="AS85" i="1"/>
  <c r="AM85" i="1"/>
  <c r="AS79" i="1"/>
  <c r="AE79" i="1" s="1"/>
  <c r="AF79" i="1" s="1"/>
  <c r="AL69" i="1"/>
  <c r="AS34" i="1"/>
  <c r="AL29" i="1"/>
  <c r="AS64" i="1"/>
  <c r="AM64" i="1"/>
  <c r="AS57" i="1"/>
  <c r="AM57" i="1"/>
  <c r="AS10" i="1"/>
  <c r="AM10" i="1"/>
  <c r="AS58" i="1"/>
  <c r="AM58" i="1"/>
  <c r="AI61" i="1"/>
  <c r="AJ61" i="1" s="1"/>
  <c r="AS76" i="1"/>
  <c r="AM76" i="1"/>
  <c r="AS66" i="1"/>
  <c r="AE66" i="1" s="1"/>
  <c r="AF66" i="1" s="1"/>
  <c r="AS68" i="1"/>
  <c r="AL67" i="1"/>
  <c r="AL25" i="1"/>
  <c r="AS30" i="1"/>
  <c r="AS32" i="1"/>
  <c r="AM32" i="1"/>
  <c r="AS35" i="1"/>
  <c r="AM35" i="1"/>
  <c r="AS37" i="1"/>
  <c r="AM37" i="1"/>
  <c r="AS33" i="1"/>
  <c r="AM33" i="1"/>
  <c r="AS99" i="1"/>
  <c r="AM99" i="1"/>
  <c r="AS43" i="1"/>
  <c r="AM43" i="1"/>
  <c r="AS47" i="1"/>
  <c r="AM47" i="1"/>
  <c r="AS54" i="1"/>
  <c r="AM54" i="1"/>
  <c r="AS97" i="1"/>
  <c r="AM97" i="1"/>
  <c r="AS69" i="1"/>
  <c r="AM61" i="1"/>
  <c r="AL61" i="1"/>
  <c r="AS19" i="1"/>
  <c r="AM19" i="1"/>
  <c r="AL19" i="1"/>
  <c r="AS73" i="1"/>
  <c r="AS67" i="1"/>
  <c r="AL103" i="1"/>
  <c r="AS25" i="1"/>
  <c r="AL31" i="1"/>
  <c r="AL97" i="1"/>
  <c r="AS101" i="1"/>
  <c r="AM101" i="1"/>
  <c r="AS4" i="1"/>
  <c r="AM4" i="1"/>
  <c r="AL7" i="1"/>
  <c r="AS8" i="1"/>
  <c r="AM8" i="1"/>
  <c r="AS82" i="1"/>
  <c r="AM82" i="1"/>
  <c r="AS12" i="1"/>
  <c r="AM12" i="1"/>
  <c r="AL12" i="1"/>
  <c r="AS15" i="1"/>
  <c r="AM15" i="1"/>
  <c r="AL15" i="1"/>
  <c r="AM51" i="1"/>
  <c r="AS51" i="1"/>
  <c r="AS50" i="1"/>
  <c r="AS65" i="1"/>
  <c r="AM65" i="1"/>
  <c r="AS108" i="1"/>
  <c r="AL34" i="1"/>
  <c r="AS28" i="1"/>
  <c r="AM28" i="1"/>
  <c r="AL32" i="1"/>
  <c r="AS26" i="1"/>
  <c r="AM26" i="1"/>
  <c r="AL35" i="1"/>
  <c r="AS36" i="1"/>
  <c r="AM36" i="1"/>
  <c r="AL37" i="1"/>
  <c r="AS38" i="1"/>
  <c r="AM38" i="1"/>
  <c r="AL33" i="1"/>
  <c r="AS27" i="1"/>
  <c r="AM27" i="1"/>
  <c r="AL99" i="1"/>
  <c r="AS100" i="1"/>
  <c r="AM100" i="1"/>
  <c r="AL43" i="1"/>
  <c r="AS46" i="1"/>
  <c r="AM46" i="1"/>
  <c r="AL47" i="1"/>
  <c r="AS48" i="1"/>
  <c r="AM48" i="1"/>
  <c r="AL54" i="1"/>
  <c r="AS55" i="1"/>
  <c r="AM55" i="1"/>
  <c r="AS102" i="1"/>
  <c r="AM102" i="1"/>
  <c r="AL82" i="1"/>
  <c r="AS94" i="1"/>
  <c r="AM94" i="1"/>
  <c r="AL94" i="1"/>
  <c r="AS74" i="1"/>
  <c r="AM74" i="1"/>
  <c r="AL74" i="1"/>
  <c r="AS91" i="1"/>
  <c r="AM91" i="1"/>
  <c r="AS72" i="1"/>
  <c r="AM72" i="1"/>
  <c r="AS78" i="1"/>
  <c r="AM78" i="1"/>
  <c r="AS71" i="1"/>
  <c r="AS29" i="1"/>
  <c r="AS70" i="1"/>
  <c r="AL30" i="1"/>
  <c r="AL65" i="1"/>
  <c r="AS96" i="1"/>
  <c r="AM96" i="1"/>
  <c r="AL4" i="1"/>
  <c r="AS5" i="1"/>
  <c r="AM5" i="1"/>
  <c r="AL8" i="1"/>
  <c r="AS6" i="1"/>
  <c r="AM6" i="1"/>
  <c r="AS41" i="1"/>
  <c r="AM41" i="1"/>
  <c r="AL41" i="1"/>
  <c r="AS81" i="1"/>
  <c r="AM81" i="1"/>
  <c r="AS77" i="1"/>
  <c r="AM77" i="1"/>
  <c r="AS13" i="1"/>
  <c r="AM13" i="1"/>
  <c r="AS84" i="1"/>
  <c r="AM84" i="1"/>
  <c r="AS40" i="1"/>
  <c r="AM40" i="1"/>
  <c r="AS59" i="1"/>
  <c r="AM59" i="1"/>
  <c r="AS53" i="1"/>
  <c r="AM53" i="1"/>
  <c r="AS86" i="1"/>
  <c r="AM86" i="1"/>
  <c r="AS14" i="1"/>
  <c r="AM14" i="1"/>
  <c r="AS44" i="1"/>
  <c r="AM44" i="1"/>
  <c r="AS89" i="1"/>
  <c r="AM89" i="1"/>
  <c r="AS21" i="1"/>
  <c r="AM21" i="1"/>
  <c r="AS45" i="1"/>
  <c r="AM45" i="1"/>
  <c r="AS98" i="1"/>
  <c r="AM98" i="1"/>
  <c r="AS23" i="1"/>
  <c r="AM23" i="1"/>
  <c r="AS16" i="1"/>
  <c r="AM16" i="1"/>
  <c r="AS75" i="1"/>
  <c r="AM75" i="1"/>
  <c r="AI12" i="1"/>
  <c r="AJ12" i="1" s="1"/>
  <c r="AS17" i="1"/>
  <c r="AM17" i="1"/>
  <c r="AS80" i="1"/>
  <c r="AM80" i="1"/>
  <c r="AS49" i="1"/>
  <c r="AM49" i="1"/>
  <c r="AS42" i="1"/>
  <c r="AM42" i="1"/>
  <c r="AS22" i="1"/>
  <c r="AM22" i="1"/>
  <c r="AS92" i="1"/>
  <c r="AM92" i="1"/>
  <c r="AL23" i="1"/>
  <c r="AS9" i="1"/>
  <c r="AM9" i="1"/>
  <c r="AL16" i="1"/>
  <c r="AS18" i="1"/>
  <c r="AM18" i="1"/>
  <c r="AL44" i="1"/>
  <c r="AL89" i="1"/>
  <c r="AL21" i="1"/>
  <c r="AL45" i="1"/>
  <c r="AL98" i="1"/>
  <c r="AS83" i="1"/>
  <c r="AM83" i="1"/>
  <c r="AS11" i="1"/>
  <c r="AM11" i="1"/>
  <c r="AS20" i="1"/>
  <c r="AM20" i="1"/>
  <c r="AL70" i="1"/>
  <c r="AL50" i="1"/>
  <c r="AL79" i="1"/>
  <c r="AM50" i="1"/>
  <c r="AL71" i="1"/>
  <c r="AM71" i="1"/>
  <c r="AM66" i="1"/>
  <c r="AL108" i="1"/>
  <c r="AM107" i="1"/>
  <c r="AL68" i="1"/>
  <c r="AE107" i="1"/>
  <c r="AF107" i="1" s="1"/>
  <c r="AL73" i="1"/>
  <c r="AM68" i="1"/>
  <c r="AE45" i="1" l="1"/>
  <c r="AF45" i="1" s="1"/>
  <c r="BS45" i="1"/>
  <c r="BP45" i="1"/>
  <c r="AE81" i="1"/>
  <c r="AF81" i="1" s="1"/>
  <c r="BS81" i="1"/>
  <c r="BP81" i="1"/>
  <c r="AI71" i="1"/>
  <c r="AJ71" i="1" s="1"/>
  <c r="BS71" i="1"/>
  <c r="BP71" i="1"/>
  <c r="AE74" i="1"/>
  <c r="AF74" i="1" s="1"/>
  <c r="BS74" i="1"/>
  <c r="BP74" i="1"/>
  <c r="AE19" i="1"/>
  <c r="AF19" i="1" s="1"/>
  <c r="BS19" i="1"/>
  <c r="BP19" i="1"/>
  <c r="AE24" i="1"/>
  <c r="AF24" i="1" s="1"/>
  <c r="BS24" i="1"/>
  <c r="BP24" i="1"/>
  <c r="AE20" i="1"/>
  <c r="AF20" i="1" s="1"/>
  <c r="BS20" i="1"/>
  <c r="BP20" i="1"/>
  <c r="AE16" i="1"/>
  <c r="AF16" i="1" s="1"/>
  <c r="BS16" i="1"/>
  <c r="BP16" i="1"/>
  <c r="AE21" i="1"/>
  <c r="AF21" i="1" s="1"/>
  <c r="BS21" i="1"/>
  <c r="BP21" i="1"/>
  <c r="AE86" i="1"/>
  <c r="AF86" i="1" s="1"/>
  <c r="BS86" i="1"/>
  <c r="BP86" i="1"/>
  <c r="AE84" i="1"/>
  <c r="AF84" i="1" s="1"/>
  <c r="BS84" i="1"/>
  <c r="BP84" i="1"/>
  <c r="AE78" i="1"/>
  <c r="AF78" i="1" s="1"/>
  <c r="BP78" i="1"/>
  <c r="BS78" i="1"/>
  <c r="BS100" i="1"/>
  <c r="BP100" i="1"/>
  <c r="BS47" i="1"/>
  <c r="BP47" i="1"/>
  <c r="BS37" i="1"/>
  <c r="BP37" i="1"/>
  <c r="AI68" i="1"/>
  <c r="AJ68" i="1" s="1"/>
  <c r="BP68" i="1"/>
  <c r="BS68" i="1"/>
  <c r="AE10" i="1"/>
  <c r="AF10" i="1" s="1"/>
  <c r="BS10" i="1"/>
  <c r="BP10" i="1"/>
  <c r="AI79" i="1"/>
  <c r="AJ79" i="1" s="1"/>
  <c r="BS79" i="1"/>
  <c r="BP79" i="1"/>
  <c r="AE13" i="1"/>
  <c r="AF13" i="1" s="1"/>
  <c r="BS13" i="1"/>
  <c r="BP13" i="1"/>
  <c r="AE9" i="1"/>
  <c r="AF9" i="1" s="1"/>
  <c r="BS9" i="1"/>
  <c r="BP9" i="1"/>
  <c r="AE75" i="1"/>
  <c r="AF75" i="1" s="1"/>
  <c r="BP75" i="1"/>
  <c r="BS75" i="1"/>
  <c r="AE14" i="1"/>
  <c r="AF14" i="1" s="1"/>
  <c r="BS14" i="1"/>
  <c r="BP14" i="1"/>
  <c r="AE40" i="1"/>
  <c r="AF40" i="1" s="1"/>
  <c r="BS40" i="1"/>
  <c r="BP40" i="1"/>
  <c r="AE5" i="1"/>
  <c r="AF5" i="1" s="1"/>
  <c r="BS5" i="1"/>
  <c r="BP5" i="1"/>
  <c r="BS38" i="1"/>
  <c r="BP38" i="1"/>
  <c r="AE101" i="1"/>
  <c r="AF101" i="1" s="1"/>
  <c r="BS101" i="1"/>
  <c r="BP101" i="1"/>
  <c r="BS54" i="1"/>
  <c r="BP54" i="1"/>
  <c r="BS33" i="1"/>
  <c r="BP33" i="1"/>
  <c r="AE58" i="1"/>
  <c r="AF58" i="1" s="1"/>
  <c r="BP58" i="1"/>
  <c r="BS58" i="1"/>
  <c r="AE34" i="1"/>
  <c r="AF34" i="1" s="1"/>
  <c r="BS34" i="1"/>
  <c r="BP34" i="1"/>
  <c r="AE39" i="1"/>
  <c r="AF39" i="1" s="1"/>
  <c r="BS39" i="1"/>
  <c r="BP39" i="1"/>
  <c r="BS103" i="1"/>
  <c r="BP103" i="1"/>
  <c r="AE49" i="1"/>
  <c r="AF49" i="1" s="1"/>
  <c r="BS49" i="1"/>
  <c r="BP49" i="1"/>
  <c r="AE55" i="1"/>
  <c r="AF55" i="1" s="1"/>
  <c r="BS55" i="1"/>
  <c r="BP55" i="1"/>
  <c r="BP28" i="1"/>
  <c r="BS28" i="1"/>
  <c r="AE105" i="1"/>
  <c r="AF105" i="1" s="1"/>
  <c r="BS105" i="1"/>
  <c r="BP105" i="1"/>
  <c r="AE92" i="1"/>
  <c r="AF92" i="1" s="1"/>
  <c r="BS92" i="1"/>
  <c r="BP92" i="1"/>
  <c r="AE80" i="1"/>
  <c r="AF80" i="1" s="1"/>
  <c r="BS80" i="1"/>
  <c r="BP80" i="1"/>
  <c r="AE41" i="1"/>
  <c r="AF41" i="1" s="1"/>
  <c r="BS41" i="1"/>
  <c r="BP41" i="1"/>
  <c r="AE96" i="1"/>
  <c r="AF96" i="1" s="1"/>
  <c r="BS96" i="1"/>
  <c r="BP96" i="1"/>
  <c r="BS36" i="1"/>
  <c r="BP36" i="1"/>
  <c r="AI108" i="1"/>
  <c r="AJ108" i="1" s="1"/>
  <c r="BS108" i="1"/>
  <c r="BP108" i="1"/>
  <c r="AE15" i="1"/>
  <c r="AF15" i="1" s="1"/>
  <c r="BS15" i="1"/>
  <c r="BP15" i="1"/>
  <c r="AE8" i="1"/>
  <c r="AF8" i="1" s="1"/>
  <c r="BS8" i="1"/>
  <c r="BP8" i="1"/>
  <c r="BS25" i="1"/>
  <c r="BP25" i="1"/>
  <c r="AI66" i="1"/>
  <c r="AJ66" i="1" s="1"/>
  <c r="BS66" i="1"/>
  <c r="BP66" i="1"/>
  <c r="AE104" i="1"/>
  <c r="AF104" i="1" s="1"/>
  <c r="BS104" i="1"/>
  <c r="BP104" i="1"/>
  <c r="AE72" i="1"/>
  <c r="AF72" i="1" s="1"/>
  <c r="BS72" i="1"/>
  <c r="BP72" i="1"/>
  <c r="AE11" i="1"/>
  <c r="AF11" i="1" s="1"/>
  <c r="BS11" i="1"/>
  <c r="BP11" i="1"/>
  <c r="AE53" i="1"/>
  <c r="AF53" i="1" s="1"/>
  <c r="BS53" i="1"/>
  <c r="BP53" i="1"/>
  <c r="BS48" i="1"/>
  <c r="BP48" i="1"/>
  <c r="BS43" i="1"/>
  <c r="BP43" i="1"/>
  <c r="AE57" i="1"/>
  <c r="AF57" i="1" s="1"/>
  <c r="BS57" i="1"/>
  <c r="BP57" i="1"/>
  <c r="AE85" i="1"/>
  <c r="AF85" i="1" s="1"/>
  <c r="BS85" i="1"/>
  <c r="BP85" i="1"/>
  <c r="AE93" i="1"/>
  <c r="AF93" i="1" s="1"/>
  <c r="BS93" i="1"/>
  <c r="BP93" i="1"/>
  <c r="AE18" i="1"/>
  <c r="AF18" i="1" s="1"/>
  <c r="BS18" i="1"/>
  <c r="BP18" i="1"/>
  <c r="AE17" i="1"/>
  <c r="AF17" i="1" s="1"/>
  <c r="BP17" i="1"/>
  <c r="BS17" i="1"/>
  <c r="AE6" i="1"/>
  <c r="AF6" i="1" s="1"/>
  <c r="BS6" i="1"/>
  <c r="BP6" i="1"/>
  <c r="AE65" i="1"/>
  <c r="AF65" i="1" s="1"/>
  <c r="BS65" i="1"/>
  <c r="BP65" i="1"/>
  <c r="BS67" i="1"/>
  <c r="BP67" i="1"/>
  <c r="AE76" i="1"/>
  <c r="AF76" i="1" s="1"/>
  <c r="BS76" i="1"/>
  <c r="BP76" i="1"/>
  <c r="BS31" i="1"/>
  <c r="BP31" i="1"/>
  <c r="AE83" i="1"/>
  <c r="AF83" i="1" s="1"/>
  <c r="BS83" i="1"/>
  <c r="BP83" i="1"/>
  <c r="AE98" i="1"/>
  <c r="AF98" i="1" s="1"/>
  <c r="BS98" i="1"/>
  <c r="BP98" i="1"/>
  <c r="AE44" i="1"/>
  <c r="AF44" i="1" s="1"/>
  <c r="BS44" i="1"/>
  <c r="BP44" i="1"/>
  <c r="AE59" i="1"/>
  <c r="AF59" i="1" s="1"/>
  <c r="BP59" i="1"/>
  <c r="BS59" i="1"/>
  <c r="AE77" i="1"/>
  <c r="AF77" i="1" s="1"/>
  <c r="BS77" i="1"/>
  <c r="BP77" i="1"/>
  <c r="AI70" i="1"/>
  <c r="AJ70" i="1" s="1"/>
  <c r="BS70" i="1"/>
  <c r="BP70" i="1"/>
  <c r="AE91" i="1"/>
  <c r="AF91" i="1" s="1"/>
  <c r="BS91" i="1"/>
  <c r="BP91" i="1"/>
  <c r="BS26" i="1"/>
  <c r="BP26" i="1"/>
  <c r="AI50" i="1"/>
  <c r="AJ50" i="1" s="1"/>
  <c r="BS50" i="1"/>
  <c r="BP50" i="1"/>
  <c r="AE12" i="1"/>
  <c r="AF12" i="1" s="1"/>
  <c r="BP12" i="1"/>
  <c r="BS12" i="1"/>
  <c r="AE4" i="1"/>
  <c r="AF4" i="1" s="1"/>
  <c r="BS4" i="1"/>
  <c r="BP4" i="1"/>
  <c r="AI73" i="1"/>
  <c r="AJ73" i="1" s="1"/>
  <c r="BP73" i="1"/>
  <c r="BS73" i="1"/>
  <c r="AE97" i="1"/>
  <c r="AF97" i="1" s="1"/>
  <c r="BS97" i="1"/>
  <c r="BP97" i="1"/>
  <c r="BS99" i="1"/>
  <c r="BP99" i="1"/>
  <c r="BP32" i="1"/>
  <c r="BS32" i="1"/>
  <c r="AE64" i="1"/>
  <c r="AF64" i="1" s="1"/>
  <c r="BP64" i="1"/>
  <c r="BS64" i="1"/>
  <c r="AI107" i="1"/>
  <c r="AJ107" i="1" s="1"/>
  <c r="BS107" i="1"/>
  <c r="BP107" i="1"/>
  <c r="AE23" i="1"/>
  <c r="AF23" i="1" s="1"/>
  <c r="BS23" i="1"/>
  <c r="BP23" i="1"/>
  <c r="AE94" i="1"/>
  <c r="AF94" i="1" s="1"/>
  <c r="BS94" i="1"/>
  <c r="BP94" i="1"/>
  <c r="BS69" i="1"/>
  <c r="BP69" i="1"/>
  <c r="BS35" i="1"/>
  <c r="BP35" i="1"/>
  <c r="AE22" i="1"/>
  <c r="AF22" i="1" s="1"/>
  <c r="BS22" i="1"/>
  <c r="BP22" i="1"/>
  <c r="BP27" i="1"/>
  <c r="BS27" i="1"/>
  <c r="AE42" i="1"/>
  <c r="AF42" i="1" s="1"/>
  <c r="BS42" i="1"/>
  <c r="BP42" i="1"/>
  <c r="BS29" i="1"/>
  <c r="BP29" i="1"/>
  <c r="AE102" i="1"/>
  <c r="AF102" i="1" s="1"/>
  <c r="BS102" i="1"/>
  <c r="BP102" i="1"/>
  <c r="BS46" i="1"/>
  <c r="BP46" i="1"/>
  <c r="AE51" i="1"/>
  <c r="AF51" i="1" s="1"/>
  <c r="BP51" i="1"/>
  <c r="BS51" i="1"/>
  <c r="AE30" i="1"/>
  <c r="AF30" i="1" s="1"/>
  <c r="BP30" i="1"/>
  <c r="BS30" i="1"/>
  <c r="AE7" i="1"/>
  <c r="AF7" i="1" s="1"/>
  <c r="BP7" i="1"/>
  <c r="BS7" i="1"/>
  <c r="AE89" i="1"/>
  <c r="AF89" i="1" s="1"/>
  <c r="BS89" i="1"/>
  <c r="BP89" i="1"/>
  <c r="AE82" i="1"/>
  <c r="AF82" i="1" s="1"/>
  <c r="BS82" i="1"/>
  <c r="BP82" i="1"/>
  <c r="AI93" i="1"/>
  <c r="AJ93" i="1" s="1"/>
  <c r="AI78" i="1"/>
  <c r="AJ78" i="1" s="1"/>
  <c r="AI24" i="1"/>
  <c r="AJ24" i="1" s="1"/>
  <c r="AI81" i="1"/>
  <c r="AJ81" i="1" s="1"/>
  <c r="AI94" i="1"/>
  <c r="AJ94" i="1" s="1"/>
  <c r="AI85" i="1"/>
  <c r="AJ85" i="1" s="1"/>
  <c r="AI14" i="1"/>
  <c r="AJ14" i="1" s="1"/>
  <c r="AI39" i="1"/>
  <c r="AJ39" i="1" s="1"/>
  <c r="AI9" i="1"/>
  <c r="AJ9" i="1" s="1"/>
  <c r="AE70" i="1"/>
  <c r="AF70" i="1" s="1"/>
  <c r="AI77" i="1"/>
  <c r="AJ77" i="1" s="1"/>
  <c r="AI10" i="1"/>
  <c r="AJ10" i="1" s="1"/>
  <c r="AI86" i="1"/>
  <c r="AJ86" i="1" s="1"/>
  <c r="AI44" i="1"/>
  <c r="AJ44" i="1" s="1"/>
  <c r="AI6" i="1"/>
  <c r="AJ6" i="1" s="1"/>
  <c r="AE108" i="1"/>
  <c r="AF108" i="1" s="1"/>
  <c r="AI49" i="1"/>
  <c r="AJ49" i="1" s="1"/>
  <c r="AI98" i="1"/>
  <c r="AJ98" i="1" s="1"/>
  <c r="AI55" i="1"/>
  <c r="AJ55" i="1" s="1"/>
  <c r="AI7" i="1"/>
  <c r="AJ7" i="1" s="1"/>
  <c r="AI103" i="1"/>
  <c r="AJ103" i="1" s="1"/>
  <c r="AE103" i="1"/>
  <c r="AF103" i="1" s="1"/>
  <c r="AI18" i="1"/>
  <c r="AJ18" i="1" s="1"/>
  <c r="AI58" i="1"/>
  <c r="AJ58" i="1" s="1"/>
  <c r="AI74" i="1"/>
  <c r="AJ74" i="1" s="1"/>
  <c r="AE68" i="1"/>
  <c r="AF68" i="1" s="1"/>
  <c r="AI19" i="1"/>
  <c r="AJ19" i="1" s="1"/>
  <c r="AI13" i="1"/>
  <c r="AJ13" i="1" s="1"/>
  <c r="AI76" i="1"/>
  <c r="AJ76" i="1" s="1"/>
  <c r="AI22" i="1"/>
  <c r="AJ22" i="1" s="1"/>
  <c r="AI16" i="1"/>
  <c r="AJ16" i="1" s="1"/>
  <c r="AI40" i="1"/>
  <c r="AJ40" i="1" s="1"/>
  <c r="AI5" i="1"/>
  <c r="AJ5" i="1" s="1"/>
  <c r="AI11" i="1"/>
  <c r="AJ11" i="1" s="1"/>
  <c r="AI21" i="1"/>
  <c r="AJ21" i="1" s="1"/>
  <c r="AI57" i="1"/>
  <c r="AJ57" i="1" s="1"/>
  <c r="AI65" i="1"/>
  <c r="AJ65" i="1" s="1"/>
  <c r="AI105" i="1"/>
  <c r="AJ105" i="1" s="1"/>
  <c r="AI35" i="1"/>
  <c r="AJ35" i="1" s="1"/>
  <c r="AE35" i="1"/>
  <c r="AF35" i="1" s="1"/>
  <c r="AI75" i="1"/>
  <c r="AJ75" i="1" s="1"/>
  <c r="AI29" i="1"/>
  <c r="AJ29" i="1" s="1"/>
  <c r="AE29" i="1"/>
  <c r="AF29" i="1" s="1"/>
  <c r="AE46" i="1"/>
  <c r="AF46" i="1" s="1"/>
  <c r="AI46" i="1"/>
  <c r="AJ46" i="1" s="1"/>
  <c r="AE27" i="1"/>
  <c r="AF27" i="1" s="1"/>
  <c r="AI27" i="1"/>
  <c r="AJ27" i="1" s="1"/>
  <c r="AE36" i="1"/>
  <c r="AF36" i="1" s="1"/>
  <c r="AI36" i="1"/>
  <c r="AJ36" i="1" s="1"/>
  <c r="AE28" i="1"/>
  <c r="AF28" i="1" s="1"/>
  <c r="AI28" i="1"/>
  <c r="AJ28" i="1" s="1"/>
  <c r="AI8" i="1"/>
  <c r="AJ8" i="1" s="1"/>
  <c r="AI84" i="1"/>
  <c r="AJ84" i="1" s="1"/>
  <c r="AE67" i="1"/>
  <c r="AF67" i="1" s="1"/>
  <c r="AI67" i="1"/>
  <c r="AJ67" i="1" s="1"/>
  <c r="AI47" i="1"/>
  <c r="AJ47" i="1" s="1"/>
  <c r="AE47" i="1"/>
  <c r="AF47" i="1" s="1"/>
  <c r="AI92" i="1"/>
  <c r="AJ92" i="1" s="1"/>
  <c r="AI51" i="1"/>
  <c r="AJ51" i="1" s="1"/>
  <c r="AI45" i="1"/>
  <c r="AJ45" i="1" s="1"/>
  <c r="AI89" i="1"/>
  <c r="AJ89" i="1" s="1"/>
  <c r="AI4" i="1"/>
  <c r="AJ4" i="1" s="1"/>
  <c r="AE33" i="1"/>
  <c r="AF33" i="1" s="1"/>
  <c r="AI33" i="1"/>
  <c r="AJ33" i="1" s="1"/>
  <c r="AI59" i="1"/>
  <c r="AJ59" i="1" s="1"/>
  <c r="AI20" i="1"/>
  <c r="AJ20" i="1" s="1"/>
  <c r="AI83" i="1"/>
  <c r="AJ83" i="1" s="1"/>
  <c r="AI42" i="1"/>
  <c r="AJ42" i="1" s="1"/>
  <c r="AI80" i="1"/>
  <c r="AJ80" i="1" s="1"/>
  <c r="AI17" i="1"/>
  <c r="AJ17" i="1" s="1"/>
  <c r="AI102" i="1"/>
  <c r="AJ102" i="1" s="1"/>
  <c r="AI69" i="1"/>
  <c r="AJ69" i="1" s="1"/>
  <c r="AE69" i="1"/>
  <c r="AF69" i="1" s="1"/>
  <c r="AI43" i="1"/>
  <c r="AJ43" i="1" s="1"/>
  <c r="AE43" i="1"/>
  <c r="AF43" i="1" s="1"/>
  <c r="AI97" i="1"/>
  <c r="AJ97" i="1" s="1"/>
  <c r="AI82" i="1"/>
  <c r="AJ82" i="1" s="1"/>
  <c r="AI96" i="1"/>
  <c r="AJ96" i="1" s="1"/>
  <c r="AE48" i="1"/>
  <c r="AF48" i="1" s="1"/>
  <c r="AI48" i="1"/>
  <c r="AJ48" i="1" s="1"/>
  <c r="AE100" i="1"/>
  <c r="AF100" i="1" s="1"/>
  <c r="AI100" i="1"/>
  <c r="AJ100" i="1" s="1"/>
  <c r="AE38" i="1"/>
  <c r="AF38" i="1" s="1"/>
  <c r="AI38" i="1"/>
  <c r="AJ38" i="1" s="1"/>
  <c r="AE26" i="1"/>
  <c r="AF26" i="1" s="1"/>
  <c r="AI26" i="1"/>
  <c r="AJ26" i="1" s="1"/>
  <c r="AI41" i="1"/>
  <c r="AJ41" i="1" s="1"/>
  <c r="AE25" i="1"/>
  <c r="AF25" i="1" s="1"/>
  <c r="AI25" i="1"/>
  <c r="AJ25" i="1" s="1"/>
  <c r="AI37" i="1"/>
  <c r="AJ37" i="1" s="1"/>
  <c r="AE37" i="1"/>
  <c r="AF37" i="1" s="1"/>
  <c r="AI64" i="1"/>
  <c r="AJ64" i="1" s="1"/>
  <c r="AI30" i="1"/>
  <c r="AJ30" i="1" s="1"/>
  <c r="AI34" i="1"/>
  <c r="AJ34" i="1" s="1"/>
  <c r="AI32" i="1"/>
  <c r="AJ32" i="1" s="1"/>
  <c r="AE32" i="1"/>
  <c r="AF32" i="1" s="1"/>
  <c r="AE73" i="1"/>
  <c r="AF73" i="1" s="1"/>
  <c r="AI23" i="1"/>
  <c r="AJ23" i="1" s="1"/>
  <c r="AI53" i="1"/>
  <c r="AJ53" i="1" s="1"/>
  <c r="AI54" i="1"/>
  <c r="AJ54" i="1" s="1"/>
  <c r="AE54" i="1"/>
  <c r="AF54" i="1" s="1"/>
  <c r="AE71" i="1"/>
  <c r="AF71" i="1" s="1"/>
  <c r="AI31" i="1"/>
  <c r="AJ31" i="1" s="1"/>
  <c r="AE31" i="1"/>
  <c r="AF31" i="1" s="1"/>
  <c r="AI101" i="1"/>
  <c r="AJ101" i="1" s="1"/>
  <c r="AI91" i="1"/>
  <c r="AJ91" i="1" s="1"/>
  <c r="AI99" i="1"/>
  <c r="AJ99" i="1" s="1"/>
  <c r="AE99" i="1"/>
  <c r="AF99" i="1" s="1"/>
  <c r="AE50" i="1"/>
  <c r="AF50" i="1" s="1"/>
  <c r="AI72" i="1"/>
  <c r="AJ72" i="1" s="1"/>
  <c r="AI15" i="1"/>
  <c r="AJ15" i="1" s="1"/>
  <c r="BJ90" i="1"/>
  <c r="AH90" i="1" s="1"/>
  <c r="BJ62" i="1"/>
  <c r="AH62" i="1" s="1"/>
  <c r="BJ87" i="1"/>
  <c r="AH87" i="1" s="1"/>
  <c r="BJ63" i="1"/>
  <c r="AH63" i="1" s="1"/>
  <c r="BJ95" i="1"/>
  <c r="AH95" i="1" s="1"/>
  <c r="BJ88" i="1"/>
  <c r="AH88" i="1" s="1"/>
  <c r="BJ56" i="1"/>
  <c r="AH56" i="1" s="1"/>
  <c r="BJ60" i="1"/>
  <c r="AH60" i="1" s="1"/>
  <c r="BJ52" i="1"/>
  <c r="AH52" i="1" s="1"/>
  <c r="AC90" i="1"/>
  <c r="AC62" i="1"/>
  <c r="AC87" i="1"/>
  <c r="AC106" i="1"/>
  <c r="AC63" i="1"/>
  <c r="AC95" i="1"/>
  <c r="AC88" i="1"/>
  <c r="AC56" i="1"/>
  <c r="AC60" i="1"/>
  <c r="AA90" i="1"/>
  <c r="AQ90" i="1" s="1"/>
  <c r="AA62" i="1"/>
  <c r="AQ62" i="1" s="1"/>
  <c r="AA87" i="1"/>
  <c r="AQ87" i="1" s="1"/>
  <c r="AA106" i="1"/>
  <c r="AQ106" i="1" s="1"/>
  <c r="AA63" i="1"/>
  <c r="AQ63" i="1" s="1"/>
  <c r="AA95" i="1"/>
  <c r="AQ95" i="1" s="1"/>
  <c r="AA88" i="1"/>
  <c r="AQ88" i="1" s="1"/>
  <c r="AA56" i="1"/>
  <c r="AQ56" i="1" s="1"/>
  <c r="AA60" i="1"/>
  <c r="AQ60" i="1" s="1"/>
  <c r="D90" i="1"/>
  <c r="F90" i="1" s="1"/>
  <c r="D62" i="1"/>
  <c r="F62" i="1" s="1"/>
  <c r="D87" i="1"/>
  <c r="F87" i="1" s="1"/>
  <c r="D106" i="1"/>
  <c r="F106" i="1" s="1"/>
  <c r="D63" i="1"/>
  <c r="F63" i="1" s="1"/>
  <c r="D95" i="1"/>
  <c r="F95" i="1" s="1"/>
  <c r="D88" i="1"/>
  <c r="F88" i="1" s="1"/>
  <c r="D56" i="1"/>
  <c r="F56" i="1" s="1"/>
  <c r="D60" i="1"/>
  <c r="F60" i="1" s="1"/>
  <c r="D52" i="1"/>
  <c r="F52" i="1" s="1"/>
  <c r="AC52" i="1"/>
  <c r="AA52" i="1"/>
  <c r="AQ52" i="1" s="1"/>
  <c r="BJ106" i="1"/>
  <c r="AH106" i="1" s="1"/>
  <c r="AS60" i="1" l="1"/>
  <c r="AS106" i="1"/>
  <c r="AS87" i="1"/>
  <c r="AS62" i="1"/>
  <c r="AS90" i="1"/>
  <c r="AS56" i="1"/>
  <c r="AS88" i="1"/>
  <c r="AS95" i="1"/>
  <c r="AS52" i="1"/>
  <c r="AE52" i="1" s="1"/>
  <c r="AF52" i="1" s="1"/>
  <c r="AS63" i="1"/>
  <c r="AL60" i="1"/>
  <c r="AL90" i="1"/>
  <c r="AL56" i="1"/>
  <c r="AM95" i="1"/>
  <c r="AL52" i="1"/>
  <c r="AL63" i="1"/>
  <c r="AM106" i="1"/>
  <c r="AM88" i="1"/>
  <c r="AM87" i="1"/>
  <c r="AM62" i="1"/>
  <c r="AL88" i="1"/>
  <c r="AL95" i="1"/>
  <c r="AL106" i="1"/>
  <c r="AM63" i="1"/>
  <c r="AL87" i="1"/>
  <c r="AM60" i="1"/>
  <c r="AM90" i="1"/>
  <c r="AL62" i="1"/>
  <c r="AM56" i="1"/>
  <c r="AO52" i="1"/>
  <c r="AP52" i="1"/>
  <c r="AM52" i="1"/>
  <c r="AI60" i="1" l="1"/>
  <c r="AJ60" i="1" s="1"/>
  <c r="BS60" i="1"/>
  <c r="BP60" i="1"/>
  <c r="AI88" i="1"/>
  <c r="AJ88" i="1" s="1"/>
  <c r="BS88" i="1"/>
  <c r="BP88" i="1"/>
  <c r="AI87" i="1"/>
  <c r="AJ87" i="1" s="1"/>
  <c r="BS87" i="1"/>
  <c r="BP87" i="1"/>
  <c r="AI95" i="1"/>
  <c r="AJ95" i="1" s="1"/>
  <c r="BS95" i="1"/>
  <c r="BP95" i="1"/>
  <c r="AI56" i="1"/>
  <c r="AJ56" i="1" s="1"/>
  <c r="BS56" i="1"/>
  <c r="BP56" i="1"/>
  <c r="BS90" i="1"/>
  <c r="BP90" i="1"/>
  <c r="AI62" i="1"/>
  <c r="AJ62" i="1" s="1"/>
  <c r="BS62" i="1"/>
  <c r="BP62" i="1"/>
  <c r="AE63" i="1"/>
  <c r="AF63" i="1" s="1"/>
  <c r="BP63" i="1"/>
  <c r="BS63" i="1"/>
  <c r="AI106" i="1"/>
  <c r="AJ106" i="1" s="1"/>
  <c r="BS106" i="1"/>
  <c r="BP106" i="1"/>
  <c r="AE87" i="1"/>
  <c r="AF87" i="1" s="1"/>
  <c r="AE60" i="1"/>
  <c r="AF60" i="1" s="1"/>
  <c r="AE95" i="1"/>
  <c r="AF95" i="1" s="1"/>
  <c r="AE62" i="1"/>
  <c r="AF62" i="1" s="1"/>
  <c r="AE88" i="1"/>
  <c r="AF88" i="1" s="1"/>
  <c r="AI63" i="1"/>
  <c r="AJ63" i="1" s="1"/>
  <c r="AI90" i="1"/>
  <c r="AJ90" i="1" s="1"/>
  <c r="AE90" i="1"/>
  <c r="AF90" i="1" s="1"/>
  <c r="AE106" i="1"/>
  <c r="AF106" i="1" s="1"/>
  <c r="AE56" i="1"/>
  <c r="AF56" i="1" s="1"/>
  <c r="AI52" i="1"/>
  <c r="AJ52" i="1" s="1"/>
  <c r="BP52" i="1"/>
  <c r="BS52" i="1"/>
</calcChain>
</file>

<file path=xl/sharedStrings.xml><?xml version="1.0" encoding="utf-8"?>
<sst xmlns="http://schemas.openxmlformats.org/spreadsheetml/2006/main" count="1022" uniqueCount="499">
  <si>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</si>
  <si>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</si>
  <si>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</si>
  <si>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</si>
  <si>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</si>
  <si>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</si>
  <si>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</si>
  <si>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</si>
  <si>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</si>
  <si>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</si>
  <si>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</si>
  <si>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</si>
  <si>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</si>
  <si>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</si>
  <si>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</si>
  <si>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</si>
  <si>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</si>
  <si>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</si>
  <si>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</si>
  <si>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</si>
  <si>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</si>
  <si>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</si>
  <si>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</si>
  <si>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</si>
  <si>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</si>
  <si>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</si>
  <si>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</si>
  <si>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</si>
  <si>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</si>
  <si>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</si>
  <si>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</si>
  <si>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</si>
  <si>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</si>
  <si>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</si>
  <si>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</si>
  <si>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</si>
  <si>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</si>
  <si>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</si>
  <si>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</si>
  <si>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</si>
  <si>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</si>
  <si>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</si>
  <si>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</si>
  <si>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</si>
  <si>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</si>
  <si>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</si>
  <si>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</si>
  <si>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</si>
  <si>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</si>
  <si>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</si>
  <si>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</si>
  <si>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</si>
  <si>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</si>
  <si>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</si>
  <si>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</si>
  <si>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</si>
  <si>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</si>
  <si>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</si>
  <si>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</si>
  <si>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</si>
  <si>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</si>
  <si>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</si>
  <si>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</si>
  <si>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</si>
  <si>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</si>
  <si>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J30580</t>
  </si>
  <si>
    <t>J1702Y</t>
  </si>
  <si>
    <t>J9017X</t>
  </si>
  <si>
    <t>J0792Y</t>
  </si>
  <si>
    <t>J9018X</t>
  </si>
  <si>
    <t>J244SD</t>
  </si>
  <si>
    <t>J322SF</t>
  </si>
  <si>
    <t>J9020X</t>
  </si>
  <si>
    <t>J246SD</t>
  </si>
  <si>
    <t>J247SD</t>
  </si>
  <si>
    <t>J248SD</t>
  </si>
  <si>
    <t>J321SF</t>
  </si>
  <si>
    <t>J250SD</t>
  </si>
  <si>
    <t>J251SD</t>
  </si>
  <si>
    <t>J9022X</t>
  </si>
  <si>
    <t>J9023X</t>
  </si>
  <si>
    <t>J252SD</t>
  </si>
  <si>
    <t>J253SD</t>
  </si>
  <si>
    <t>J7624N</t>
  </si>
  <si>
    <t>J254SD</t>
  </si>
  <si>
    <t>J255SD</t>
  </si>
  <si>
    <t>J256SD</t>
  </si>
  <si>
    <t>J257SD</t>
  </si>
  <si>
    <t>J755WT</t>
  </si>
  <si>
    <t>J258SD</t>
  </si>
  <si>
    <t>J259SD</t>
  </si>
  <si>
    <t>J260SD</t>
  </si>
  <si>
    <t>J759WT</t>
  </si>
  <si>
    <t>J306MS</t>
  </si>
  <si>
    <t>J760WT</t>
  </si>
  <si>
    <t>J326SF</t>
  </si>
  <si>
    <t>J261SD</t>
  </si>
  <si>
    <t>J761WT</t>
  </si>
  <si>
    <t>J9024X</t>
  </si>
  <si>
    <t>J9025X</t>
  </si>
  <si>
    <t>J9026X</t>
  </si>
  <si>
    <t>J9027X</t>
  </si>
  <si>
    <t>J9028X</t>
  </si>
  <si>
    <t>J231SD</t>
  </si>
  <si>
    <t>J232SD</t>
  </si>
  <si>
    <t>J9029X</t>
  </si>
  <si>
    <t>J233SD</t>
  </si>
  <si>
    <t>J995SC</t>
  </si>
  <si>
    <t>J234SD</t>
  </si>
  <si>
    <t>J1697Y</t>
  </si>
  <si>
    <t>J323SF</t>
  </si>
  <si>
    <t>J235SD</t>
  </si>
  <si>
    <t>J236SD</t>
  </si>
  <si>
    <t>J237SD</t>
  </si>
  <si>
    <t>J238SD</t>
  </si>
  <si>
    <t>J239SD</t>
  </si>
  <si>
    <t>J240SD</t>
  </si>
  <si>
    <t>J241SD</t>
  </si>
  <si>
    <t>J242SD</t>
  </si>
  <si>
    <t>J9030X</t>
  </si>
  <si>
    <t>J524SB</t>
  </si>
  <si>
    <t>J1700Y</t>
  </si>
  <si>
    <t>J8602Y</t>
  </si>
  <si>
    <t>J4229R</t>
  </si>
  <si>
    <t>J4230R</t>
  </si>
  <si>
    <t>J4231R</t>
  </si>
  <si>
    <t>J65789</t>
  </si>
  <si>
    <t>J30626</t>
  </si>
  <si>
    <t>J9031X</t>
  </si>
  <si>
    <t>J30559</t>
  </si>
  <si>
    <t>J30587</t>
  </si>
  <si>
    <t>J30584</t>
  </si>
  <si>
    <t>J30565</t>
  </si>
  <si>
    <t>J243SD</t>
  </si>
  <si>
    <t>J1701Y</t>
  </si>
  <si>
    <t>J1703Y</t>
  </si>
  <si>
    <t>J1704Y</t>
  </si>
  <si>
    <t>J9032X</t>
  </si>
  <si>
    <t>J0225Y</t>
  </si>
  <si>
    <t>J20887</t>
  </si>
  <si>
    <t>J20888</t>
  </si>
  <si>
    <t>J20889</t>
  </si>
  <si>
    <t>J20890</t>
  </si>
  <si>
    <t>J20891</t>
  </si>
  <si>
    <t>J20892</t>
  </si>
  <si>
    <t>J20885</t>
  </si>
  <si>
    <t>J20886</t>
  </si>
  <si>
    <t>J20893</t>
  </si>
  <si>
    <t>J20894</t>
  </si>
  <si>
    <t>ﾚｯｸ/粘着 ﾐﾆﾌｯｸ (10入)/H-427</t>
  </si>
  <si>
    <t>ﾚｯｸ/ｼﾘｺﾝﾎﾞﾝﾄﾞ ﾂｰﾙﾌｯｸ ﾜｲﾄﾞ 1個入/H-431</t>
  </si>
  <si>
    <t>ﾚｯｸ/ｼﾝﾌﾟﾙｺｰﾄﾞ止め 40個/H-465</t>
  </si>
  <si>
    <t>ﾚｯｸ/ﾈｼﾞ止めﾌｯｸ ﾀﾞﾌﾞﾙ/H-551</t>
  </si>
  <si>
    <t>ﾚｯｸ/ｽﾃﾝS型ﾐﾆﾌｯｸ 12個/H-556</t>
  </si>
  <si>
    <t>ﾚｯｸ/ｽﾃﾝﾚｽﾌｯｸ ﾊﾝｸﾞ 2個/H-593</t>
  </si>
  <si>
    <t>ﾚｯｸ/おふろﾌｯｸ(ﾌﾟｯｼｭ式吸盤) S 2個入/BB-291</t>
  </si>
  <si>
    <t>ﾚｯｸ/粘着ﾐﾆﾌｯｸ ｽﾃﾝﾚｽ 5個入/H00448</t>
  </si>
  <si>
    <t>ﾚｯｸ/はがせる粘着ﾊﾝｸﾞﾌｯｸ 3個入/H00461</t>
  </si>
  <si>
    <t>ﾚｯｸ/はがせる粘着ｶﾚﾝﾀﾞｰﾌｯｸ 耐荷重500g 4個入/H00465</t>
  </si>
  <si>
    <t>ﾚｯｸ/強力吸着ｼｰﾄﾌｯｸ 小 2個入/H00470</t>
  </si>
  <si>
    <t>ﾚｯｸ/吸盤ﾌｯｸ 3個入/H00489</t>
  </si>
  <si>
    <t>ﾚｯｸ/S字ﾌｯｸｽﾃﾝﾚｽ (中) 8個入/H00504</t>
  </si>
  <si>
    <t>ﾚｯｸ/S字ﾌｯｸｽﾃﾝﾚｽ (大) 6個入/H00505</t>
  </si>
  <si>
    <t>ﾚｯｸ/ﾋﾟﾝﾌｯｸ 4個入 耐荷重1kg ﾎﾜｲﾄ/H00402</t>
  </si>
  <si>
    <t>ﾚｯｸ/ﾋﾟﾝﾌｯｸ 10個入/H00403</t>
  </si>
  <si>
    <t>ﾚｯｸ/ｶﾚﾝﾀﾞｰﾋﾟﾝﾌｯｸ 3個入/H00404</t>
  </si>
  <si>
    <t>ﾚｯｸ/穴の目立たないﾋﾟﾝﾌｯｸ ﾎﾜｲﾄ 3個入/H00405</t>
  </si>
  <si>
    <t>ﾚｯｸ/穴の目立たないﾋﾟﾝﾌｯｸ ﾌﾞﾗｯｸ 3個入/H00405</t>
  </si>
  <si>
    <t>ﾚｯｸ/ﾀﾞﾌﾞﾙﾋﾟﾝﾌｯｸ 3個入/H00406</t>
  </si>
  <si>
    <t>ﾚｯｸ/ﾄﾘﾌﾟﾙﾋﾟﾝﾌｯｸ 3個入/H00407</t>
  </si>
  <si>
    <t>ﾚｯｸ/強力ﾋﾟﾝﾌｯｸ 耐荷重4kg 4個入/H00408</t>
  </si>
  <si>
    <t>ﾚｯｸ/ﾏｸﾞﾈｯﾄﾂｰﾙﾌｯｸ (丸) 2個入 ﾎﾜｲﾄ/H00427</t>
  </si>
  <si>
    <t>ﾚｯｸ/ﾏｸﾞﾈｯﾄﾂｰﾙﾌｯｸ (丸) 4個入 ﾎﾜｲﾄ/H00428</t>
  </si>
  <si>
    <t>ﾚｯｸ/S字ﾌｯｸ (小) 6個入 ﾎﾜｲﾄ/H00501</t>
  </si>
  <si>
    <t>ﾚｯｸ/S字ﾌｯｸ (大) 4個入 ﾎﾜｲﾄ/H00502</t>
  </si>
  <si>
    <t>ﾚｯｸ/S字ﾌｯｸ 大 ﾌﾞﾗｯｸ 4個入/H00502</t>
  </si>
  <si>
    <t>ﾚｯｸ/強力ﾏｸﾞﾈｯﾄﾂｰﾙﾌｯｸ (小) 2個入/H00414</t>
  </si>
  <si>
    <t>ﾚｯｸ/強力ﾏｸﾞﾈｯﾄﾂｰﾙﾌｯｸ ﾜｲﾄﾞ 2個入/H00415</t>
  </si>
  <si>
    <t>ﾚｯｸ/強力ﾏｸﾞﾈｯﾄﾂｰﾙﾌｯｸ (丸) 2個入 ﾎﾜｲﾄ/H00416</t>
  </si>
  <si>
    <t>ﾚｯｸ/強力ﾏｸﾞﾈｯﾄﾂｰﾙﾌｯｸ 丸 ﾌﾞﾗｯｸ 2個入/H00416</t>
  </si>
  <si>
    <t>ﾚｯｸ/強力ﾏｸﾞﾈｯﾄﾊﾝｸﾞﾌｯｸ 2個入り/H00417</t>
  </si>
  <si>
    <t>ﾚｯｸ/強力ﾏｸﾞﾈｯﾄﾊﾝｸﾞﾌｯｸ ﾌﾞﾗｯｸ 2個入/H00417</t>
  </si>
  <si>
    <t>ﾚｯｸ/強力ﾏｸﾞﾈｯﾄﾌﾘｰﾌｯｸ 耐荷重2kg 2個入/H00418</t>
  </si>
  <si>
    <t>ﾚｯｸ/強力ﾏｸﾞﾈｯﾄﾌｯｸ (大) 1個入 ﾎﾜｲﾄ/H00419</t>
  </si>
  <si>
    <t>ﾚｯｸ/強力ﾏｸﾞﾈｯﾄﾌｯｸ 大 ﾌﾞﾗｯｸ 1個入/H00419</t>
  </si>
  <si>
    <t>ﾚｯｸ/強力ﾏｸﾞﾈｯﾄﾌｯｸ 特大 ﾎﾜｲﾄ/H00420</t>
  </si>
  <si>
    <t>ﾚｯｸ/強力ﾏｸﾞﾈｯﾄﾌｯｸ 特大 ﾌﾞﾗｯｸ/H00420</t>
  </si>
  <si>
    <t>ﾚｯｸ/強力ﾏｸﾞﾈｯﾄﾊﾝｸﾞﾌｯｸ ﾒﾀﾙ 小 2個入/H00422</t>
  </si>
  <si>
    <t>ﾚｯｸ/強力ﾏｸﾞﾈｯﾄﾊﾝｸﾞﾌｯｸ ﾒﾀﾙ 中/H00423</t>
  </si>
  <si>
    <t>ﾚｯｸ/ｼﾞｪﾙ吸盤ﾂｰﾙﾌｯｸﾜｲﾄﾞ 中/H00482</t>
  </si>
  <si>
    <t>ﾚｯｸ/ｼﾞｪﾙ吸盤ﾂｰﾙﾌｯｸﾜｲﾄﾞ 大 1個入/H00483</t>
  </si>
  <si>
    <t>ﾚｯｸ/粘着ﾌｯｸ 小 3個入 ﾎﾜｲﾄ/H00431</t>
  </si>
  <si>
    <t>ﾚｯｸ/粘着ﾌｯｸ 中 2個入 ﾎﾜｲﾄ/H00432</t>
  </si>
  <si>
    <t>ﾚｯｸ/粘着ﾌｯｸ 大 2個入 ﾎﾜｲﾄ/H00433</t>
  </si>
  <si>
    <t>ﾚｯｸ/粘着ﾂｰﾙﾌｯｸ 小 3個入/H00434</t>
  </si>
  <si>
    <t>ﾚｯｸ/粘着ﾂｰﾙﾌｯｸﾜｲﾄﾞ 大 3個入 ﾎﾜｲﾄ/H00437</t>
  </si>
  <si>
    <t>ﾚｯｸ/粘着ﾂｰﾙﾌｯｸﾜｲﾄﾞ(大) 3個入 ﾌﾞﾗｯｸ/H00437</t>
  </si>
  <si>
    <t>ﾚｯｸ/粘着ﾂ-ﾙﾌｯｸﾜｲﾄﾞ(大) 耐荷重2kg 6個入/H00438</t>
  </si>
  <si>
    <t>ﾚｯｸ/粘着5連ﾌﾘｰﾌｯｸ 木ﾈｼﾞ付き 1個入/H00443</t>
  </si>
  <si>
    <t>ﾚｯｸ/ﾚﾊﾞｰ式吸盤ﾂｰﾙﾌｯｸ ﾐﾆ 3個入/H00474</t>
  </si>
  <si>
    <t>ﾚｯｸ/ﾚﾊﾞｰ式吸盤ﾂｰﾙﾌｯｸ 小 2個入 ﾎﾜｲﾄ/H00475</t>
  </si>
  <si>
    <t>ﾚｯｸ/ﾚﾊﾞｰ式吸盤ﾂｰﾙﾌｯｸ 小 4個入/H00476</t>
  </si>
  <si>
    <t>ﾚｯｸ/ﾚﾊﾞｰ式吸盤ﾂｰﾙﾌｯｸﾜｲﾄﾞ 中 1個入/H00477</t>
  </si>
  <si>
    <t>ﾚｯｸ/ﾚﾊﾞｰ式吸盤ﾂｰﾙﾌｯｸﾜｲﾄﾞ 大 1個入 ﾎﾜｲﾄ/H00478</t>
  </si>
  <si>
    <t>ﾚｯｸ/ﾚﾊﾞｰ式吸盤5連ﾌｯｸ 可動式 1個入/H00480</t>
  </si>
  <si>
    <t>ﾚｯｸ/粘着帽子ﾌｯｸ ｼｰﾙ付き 2個入/H00460</t>
  </si>
  <si>
    <t>ﾚｯｸ/時計用ﾋﾟﾝﾌｯｸ 2個入/H00413</t>
  </si>
  <si>
    <t>ﾚｯｸ/ｼｰﾙはがし 50mL/H00511</t>
  </si>
  <si>
    <t>ﾚｯｸ/強力ｼｰﾙ&amp;ﾌｯｸはがし 45mL/H00512</t>
  </si>
  <si>
    <t>ﾚｯｸ/ｱﾝﾊﾟﾝﾏﾝ 抗菌 ｽﾗｲﾄﾞ式 3点ｾｯﾄ ｲｴﾛｰ</t>
  </si>
  <si>
    <t>ﾚｯｸ/ｱﾝﾊﾟﾝﾏﾝ 抗菌 ｽﾌﾟｰﾝ ｷｯｽﾞ用/A00248</t>
  </si>
  <si>
    <t>ﾚｯｸ/ｱﾝﾊﾟﾝﾏﾝ 抗菌 ﾌｫｰｸ ｷｯｽﾞ用/A00249</t>
  </si>
  <si>
    <t>ﾚｯｸ/ｱﾝﾊﾟﾝﾏﾝ はし 15cm ｷｯｽﾞ用/A00265</t>
  </si>
  <si>
    <t>ﾚｯｸ/強力吸着ｼｰﾄﾂｰﾙﾌｯｸ M 2個入/H-701</t>
  </si>
  <si>
    <t>ﾚｯｸ/強力 吸着ｼｰﾄ ﾂｰﾙ ﾌｯｸ (S)/H-702</t>
  </si>
  <si>
    <t>ﾚｯｸ/強力吸着ｼｰﾄﾌｯｸ 大 2個入/H-703</t>
  </si>
  <si>
    <t>ﾚｯｸ/ﾍﾟﾀﾝﾌｯｸ 3個入/H-001</t>
  </si>
  <si>
    <t>ﾚｯｸ/ﾎｰﾑﾌｯｸ (中) 粘着ﾃｰﾌﾟ/H-003</t>
  </si>
  <si>
    <t>ﾚｯｸ/ﾃﾞﾗｯｸｽ木目ﾌｯｸ 3個入/H-007</t>
  </si>
  <si>
    <t>ﾚｯｸ/ﾊﾟｲﾌﾟ棚 ﾌｯｸ 丸ﾊﾟｲﾌﾟ用/H-029</t>
  </si>
  <si>
    <t>ﾚｯｸ/金属 ｶﾓｲ掛け ｸｷﾞ/H-045</t>
  </si>
  <si>
    <t>ﾚｯｸ/金属ｺ-ﾄ掛け 2個入/H-048</t>
  </si>
  <si>
    <t>ﾚｯｸ/金属ﾅｹﾞｼ掛け 2個入/H-049</t>
  </si>
  <si>
    <t>ﾚｯｸ/自在ﾌｯｸ 2個入/H-097</t>
  </si>
  <si>
    <t>ﾚｯｸ/ﾐﾆ吸盤ﾌｯｸ 2個入/H-099</t>
  </si>
  <si>
    <t>ﾚｯｸ/ｶﾚﾝﾀﾞ-ﾌｯｸ 5個入/H-123</t>
  </si>
  <si>
    <t>ﾚｯｸ/ﾏｸﾞﾈｯﾄ輪ｺﾞﾑ掛け 500g/H-135</t>
  </si>
  <si>
    <t>ﾚｯｸ/ｶｰﾃﾝ ふさ掛け ﾎﾜｲﾄ 粘着ﾃｰﾌﾟ/H-139</t>
  </si>
  <si>
    <t>ﾚｯｸ/ｸﾘｱ吸盤ﾌｯｸ(大) 2個入/H-272</t>
  </si>
  <si>
    <t>ﾚｯｸ/粘着5連ﾂｰﾙﾌｯｸ 木ﾈｼﾞ付き/H-283</t>
  </si>
  <si>
    <t>ﾚｯｸ/ﾊﾝｸﾞﾌｯｸ(ﾐﾆ) 4個入/H-334</t>
  </si>
  <si>
    <t>ﾚｯｸ/ﾏｸﾞﾈｯﾄﾂｰﾙﾌｯｸ(丸小) 2個入/H-362</t>
  </si>
  <si>
    <t>ﾚｯｸ/ﾈｼﾞ止めｶﾓｲ掛け(ﾜｲﾄﾞ)/H-387</t>
  </si>
  <si>
    <t>ﾚｯｸ/粘着ﾊﾝｸﾞﾌｯｸ 8個入/H-601</t>
  </si>
  <si>
    <t>ﾚｯｸ/強力ﾛｯｸﾋﾟﾝﾌｯｸ L 2個入 石こうﾎﾞｰﾄﾞ用/H-643</t>
  </si>
  <si>
    <t>ﾚｯｸ/あったﾒﾙﾄﾌｯｸ(ﾂｰﾙ) 3個入/H-662</t>
  </si>
  <si>
    <t>ﾚｯｸ/ﾌﾟｯｼｭ式吸盤ﾌｯｸ(L)/H-669</t>
  </si>
  <si>
    <t>ﾚｯｸ/ﾌﾟｯｼｭ式吸盤ﾌｯｸ(S) 2個入/H-670</t>
  </si>
  <si>
    <t>ﾚｯｸ/粘着ｼﾝﾌﾟﾙｺｰﾄﾞ止め(大) 6個入/H-675</t>
  </si>
  <si>
    <t>ﾚｯｸ/広がるﾋﾟﾝﾌｯｸ(ｽﾃﾝ･S) 3個入/H-687</t>
  </si>
  <si>
    <t>ﾚｯｸ/ﾚｯｸｽﾍﾟｱ吸盤5号/O-204</t>
  </si>
  <si>
    <t>ﾚｯｸ/ﾏｸﾞﾈｯﾄ用補助板 吸着ｼｰﾄ 2個入/O-266</t>
  </si>
  <si>
    <t>ﾚｯｸ/吸盤用補助板/O-326</t>
  </si>
  <si>
    <t>ﾚｯｸ/ｱﾝﾊﾟﾝﾏﾝ おぼえばし 15cm/T-279</t>
  </si>
  <si>
    <t>ﾆｯｺｰ/ﾁｬｯｸ付きﾎﾟﾘ袋 0.04×50×70mm 80枚/A-5</t>
  </si>
  <si>
    <t>ﾆｯｺｰ/ﾁｬｯｸ付きﾎﾟﾘ袋 0.04×70×100mm 50枚/C-5</t>
  </si>
  <si>
    <t>ﾆｯｺｰ/ﾁｬｯｸ付きﾎﾟﾘ袋 0.04×85×120mm 40枚/D-5</t>
  </si>
  <si>
    <t>ﾆｯｺｰ/ﾁｬｯｸ付きﾎﾟﾘ袋 0.04×100×140mm 30枚/E-5</t>
  </si>
  <si>
    <t>ﾆｯｺｰ/ﾁｬｯｸ付きﾎﾟﾘ袋 0.04×120×170mm 25枚/F-5</t>
  </si>
  <si>
    <t>ﾆｯｺｰ/ﾁｬｯｸ付きﾎﾟﾘ袋 0.04×140×200mm 20枚/G-5</t>
  </si>
  <si>
    <t>ﾆｯｺｰ/ｽﾗｲﾀﾞｰ式ｼﾞｯﾊﾟｰM 45枚</t>
  </si>
  <si>
    <t>ﾆｯｺｰ/ﾊﾐﾝｸﾞﾊﾟｯｸBOXﾎﾟﾘ袋200枚</t>
  </si>
  <si>
    <t>ﾆｯｺｰ/ﾎﾟﾘ袋箱入200枚×3個ｾｯﾄ/AB-3-3</t>
  </si>
  <si>
    <t>ﾆｯｺｰ/ﾊﾐﾝｸﾞﾊﾟｯｸ 30L 100枚/A-30</t>
  </si>
  <si>
    <t>31/589</t>
  </si>
  <si>
    <t>34/218</t>
  </si>
  <si>
    <t>34/220</t>
  </si>
  <si>
    <t>29/222</t>
  </si>
  <si>
    <t>-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</si>
  <si>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</si>
  <si>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</si>
  <si>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</si>
  <si>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レック 粘着ミニフック 500g H-427 1パック（10個）</t>
  </si>
  <si>
    <t>レック シリコンボンドツールフックワイド 耐荷重10kg H-431 1個</t>
  </si>
  <si>
    <t>レック シンプルコード止め(40入り) 164976 1個</t>
  </si>
  <si>
    <t>レック ネジ止めフック(ダブル) 7kg H-551 1セット(5個)</t>
  </si>
  <si>
    <t>レック S字フックステンレス(小) 5kg H-556 1パック(12個)</t>
  </si>
  <si>
    <t>レック おふろフック（プッシュ式吸盤）S 1パック（2個入）</t>
  </si>
  <si>
    <t>レック 粘着ミニフック ステンレス 耐荷重500g H00448 1パック（5個）</t>
  </si>
  <si>
    <t>レック はがせる粘着ハングフック スイング式 耐荷重500g H00461 1パック（3個）</t>
  </si>
  <si>
    <t>レック はがせる粘着カレンダーフック 耐荷重500g H00465 1パック（4個）</t>
  </si>
  <si>
    <t>レック 強力吸着シートフック（小） はがせる 跡が残らない 耐荷重3kg H00470 1パック（2個）</t>
  </si>
  <si>
    <t>レック 吸盤フック 耐荷重800g H00489 1パック（3個）</t>
  </si>
  <si>
    <t>レック S字フックステンレス（中） 耐荷重7kg H00504 1パック（8個）</t>
  </si>
  <si>
    <t>レック S字フックステンレス（大） 耐荷重9kg H00505 1パック（6個）</t>
  </si>
  <si>
    <t>レック ピンフック ホワイト 耐荷重1kg H00402 1パック（4個）</t>
  </si>
  <si>
    <t>レック ピンフック ホワイト 耐荷重1kg H00403 1パック（10個）</t>
  </si>
  <si>
    <t>レック カレンダーピンフック 耐荷重1.2kg H00404 1パック（3個）</t>
  </si>
  <si>
    <t>レック 穴の目立たないピンフック ホワイト 耐荷重2kg H00405 1パック（3個）</t>
  </si>
  <si>
    <t>レック 穴の目立たないピンフック ブラック 耐荷重2kg H00405 1パック（3個）</t>
  </si>
  <si>
    <t>レック ダブルピンフック 耐荷重2kg H00406 1パック（3個）</t>
  </si>
  <si>
    <t>レック トリプルピンフック 耐荷重3kg H00407 1パック（3個）</t>
  </si>
  <si>
    <t>レック 強力ピンフック 耐荷重4kg H00408 1パック（4個）</t>
  </si>
  <si>
    <t>レック マグネットツールフック（丸） ホワイト 耐荷重1kg H00427 1パック（2個）</t>
  </si>
  <si>
    <t>レック マグネットツールフック（丸） ホワイト 耐荷重1kg H00428 1パック（4個）</t>
  </si>
  <si>
    <t>レック S字フック（小） ホワイト 耐荷重3kg H00501 1パック（6個）</t>
  </si>
  <si>
    <t>レック S字フック（大） ホワイト 耐荷重4kg H00502 1パック（4個）</t>
  </si>
  <si>
    <t>レック S字フック（大） ブラック 耐荷重4kg H00502 1パック（4個）</t>
  </si>
  <si>
    <t>レック 強力マグネットツールフック（小） 耐荷重1kg H00414 1パック（2個）</t>
  </si>
  <si>
    <t>レック 強力マグネットツールフックワイド 耐荷重2kg H00415 1パック（2個）</t>
  </si>
  <si>
    <t>レック 強力マグネットツールフック（丸） ホワイト 耐荷重2kg H00416 1パック（2個）</t>
  </si>
  <si>
    <t>レック 強力マグネットツールフック（丸） ブラック 耐荷重2kg H00416 1パック（2個）</t>
  </si>
  <si>
    <t>レック 強力マグネットハングフック ホワイト スイング式 耐荷重2kg H00417 1パック（2個）</t>
  </si>
  <si>
    <t>レック 強力マグネットハングフック ブラック スイング式 耐荷重2kg H00417 1パック（2個）</t>
  </si>
  <si>
    <t>レック 強力マグネットフリーフック スイング式 耐荷重2kg H00418 1パック（2個）</t>
  </si>
  <si>
    <t>レック 強力マグネットフック（大） ホワイト 耐荷重4kg H00419 1個</t>
  </si>
  <si>
    <t>レック 強力マグネットフック（大） ブラック 耐荷重4kg H00419 1個</t>
  </si>
  <si>
    <t>レック 強力マグネットフック（特大） ホワイト 2段フック 耐荷重6kg H00420 1個</t>
  </si>
  <si>
    <t>レック 強力マグネットフック（特大） ブラック 2段フック 耐荷重6kg H00420 1個</t>
  </si>
  <si>
    <t>レック 強力マグネットハングフック メタル（小） スイング式 耐荷重1.5kg H00422 1パック（2個）</t>
  </si>
  <si>
    <t>レック 強力マグネットハングフック メタル（中） スイング式 耐荷重3kg H00423 1個</t>
  </si>
  <si>
    <t>レック ジェル吸盤ツールフックワイド（中） 強力密着 ザラザラ壁対応 耐荷重2kg H00482 1個</t>
  </si>
  <si>
    <t>レック ジェル吸盤ツールフックワイド（大） 強力密着 ザラザラ壁対応 耐荷重3kg H00483 1個</t>
  </si>
  <si>
    <t>レック 粘着フック（小） ホワイト 耐荷重1kg H00431 1パック（3個）</t>
  </si>
  <si>
    <t>レック 粘着フック（中） 耐荷重1.5kg H00432 1パック（2個）</t>
  </si>
  <si>
    <t>レック 粘着フック（大） 耐荷重2.5kg H00433 1パック（2個）</t>
  </si>
  <si>
    <t>レック 粘着ツールフック（小） 耐荷重1kg H00434 1パック（3個）</t>
  </si>
  <si>
    <t>レック 粘着ツールフックワイド（大） ホワイト 耐荷重2kg H00437 1パック（3個）</t>
  </si>
  <si>
    <t>レック 粘着ツールフックワイド（大） ブラック 耐荷重2kg H00437 1パック（3個）</t>
  </si>
  <si>
    <t>レック 粘着ツールフックワイド（大） ホワイト 耐荷重2kg H00438 1パック（6個）</t>
  </si>
  <si>
    <t>レック 粘着5連フリーフック（木ネジ付き） 耐荷重2.5kg（1本500g） H00443 1個</t>
  </si>
  <si>
    <t>レック レバー式吸盤ツールフック（ミニ） 耐荷重1kg H00474 1パック（3個）</t>
  </si>
  <si>
    <t>レック レバー式吸盤ツールフック（小） ホワイト 耐荷重2kg H00475 1パック（2個）</t>
  </si>
  <si>
    <t>レック レバー式吸盤ツールフック（小） ホワイト 耐荷重2kg H00476 1パック（4個）</t>
  </si>
  <si>
    <t>レック レバー式吸盤ツールフックワイド（中） 耐荷重3kg H00477 1個</t>
  </si>
  <si>
    <t>レック レバー式吸盤ツールフックワイド（大） ホワイト 耐荷重4.5kg H00478 1個</t>
  </si>
  <si>
    <t>レック レバー式吸盤5連フック（可動式） 耐荷重5kg（1本1kg） H00480 1個</t>
  </si>
  <si>
    <t>レック 粘着帽子フック（シール付き） 2段フック 耐荷重3kg H00460 1パック（2個）</t>
  </si>
  <si>
    <t>レック 時計用ピンフック 耐荷重1.5kg H00413 1パック（2個）</t>
  </si>
  <si>
    <t>レック シール剥がし フック剥がし 粘着テープ 449441 1個（直送品）</t>
  </si>
  <si>
    <t>レック 強力シール&amp;フックはがし 泡タイプ H00512 1個</t>
  </si>
  <si>
    <t>ＡＮ抗菌スライド3点セット（Y）アンパンマン すくいやすいスプーン・つかみやすいはし・しっかりさせるフォーク 1個 レック</t>
  </si>
  <si>
    <t>ＡＮ抗菌スプーン アンパンマン すくいやすく飲みやすい 1個 レック</t>
  </si>
  <si>
    <t>ＡＮ抗菌フォーク アンパンマン さしやすく食べやすい 1個 レック</t>
  </si>
  <si>
    <t>レック 箸 15cm アンパンマン 子ども用 竹 446214 1個（直送品）</t>
  </si>
  <si>
    <t>レック 強力吸着シートツールフック（大） 耐荷重5kg H-701 1パック（2個）</t>
  </si>
  <si>
    <t>レック 強力吸着シートツールフック（小） 耐荷重3kg H-702 1パック（2個）</t>
  </si>
  <si>
    <t>レック 強力吸着シートフック（大） はがせる 跡が残らない 耐荷重5kg H-703 1パック（2個）</t>
  </si>
  <si>
    <t>レック 粘着ペタンフック 1.5kg H-001 1パック(3個)</t>
  </si>
  <si>
    <t>レック 粘着ホームフック 2kg H-003 1パック(3個)</t>
  </si>
  <si>
    <t>レック 粘着木目フック 1.5kg H-007 1パック(3個)</t>
  </si>
  <si>
    <t>レック パイプ棚ツールフック クリップとしても使える 1kg H-029 1パック(3個)</t>
  </si>
  <si>
    <t>レック 金属カモイ掛け ブロンズ仕上げ 1.5kg H-045 1パック(2個)</t>
  </si>
  <si>
    <t>レック 金属コート掛け ブロンズ仕上げ 4kg H-048 1セット(10個:2個入×5)</t>
  </si>
  <si>
    <t>レック フック 金属ナゲシ掛け 長押フック 2個入り 109245 1個（直送品）</t>
  </si>
  <si>
    <t>レック 粘着フリーフック スイング式 耐荷重2kg H-097 1パック（2個）</t>
  </si>
  <si>
    <t>レック 吸盤ツールフック(ミニ) 500g H-099 1パック(2個)</t>
  </si>
  <si>
    <t>レック　カレンダーフック　H-123　1パック（5個入）</t>
  </si>
  <si>
    <t>レック マグネット輪ゴム掛け 補助板付き 500g H-135 1セット(5個)</t>
  </si>
  <si>
    <t>レック 粘着カーテンふさ掛け ホワイト 1kg H-139 1パック(2個)</t>
  </si>
  <si>
    <t>レック 吸盤フック（大）補助板付き 耐荷重1kg H-272 1パック（2個）</t>
  </si>
  <si>
    <t>レック 粘着5連ツールフック(木ネジ付き) 2kg(1本400g) H-283 1個</t>
  </si>
  <si>
    <t>レック 粘着ハングフック スイング式 500g H-334 1パック(4個)</t>
  </si>
  <si>
    <t>レック マグネットツールフック(丸小) 500g H-362 1パック(2個)</t>
  </si>
  <si>
    <t>レック ネジ止めカモイ掛け(ワイド) 109388 1個</t>
  </si>
  <si>
    <t>レック 粘着ハングフック スイング式 500g H-601 1パック（8個）</t>
  </si>
  <si>
    <t>レック 強力クロスピンフック(大) ぐらつきにくい 10kg H-643 1パック(2個)</t>
  </si>
  <si>
    <t>レック ホットメルトツールフックワイド 6kg H-662 1パック(3個)</t>
  </si>
  <si>
    <t>レック プッシュ式吸盤フック(大) ボタンを押すと吸着力復活 5kg H-669 1個</t>
  </si>
  <si>
    <t>レック プッシュ式吸盤フック(小) ボタンを押すと吸着力復活 3.5kg H-670 1パック(2個)</t>
  </si>
  <si>
    <t>レック 粘着シンプルコード止め(大) H-675 1パック(6個)</t>
  </si>
  <si>
    <t>レック 広がるピンフック ステンレス しっかり固定 4kg H-687 1パック(3個)</t>
  </si>
  <si>
    <t>レック レックスペア吸盤5号 補助板付き O-204 1パック(2個)</t>
  </si>
  <si>
    <t>レック マグネット用補助板(吸着シート) はがせる 跡が残らない 1kg O-266 1パック(2個)</t>
  </si>
  <si>
    <t>レック 吸盤用補助板(粘着) O-326 1パック(2個)</t>
  </si>
  <si>
    <t>レック トレーニング箸 持ちかた覚え箸 日本製 アンパンマン 15cm 右きき用 キャラクター 273448 1個（直送品）</t>
  </si>
  <si>
    <t>ニッコー A-5 チャック付きポリ袋 1箱(80枚/袋×100袋)（直送品）</t>
  </si>
  <si>
    <t>ニッコー チャック付 ポリ袋 7×10cm C-5 1パック(50枚入)（直送品）</t>
  </si>
  <si>
    <t>ニッコー チャック付 ポリ袋 8.5×12cm D-5 1パック(40枚入)（直送品）</t>
  </si>
  <si>
    <t>ニッコー チャック付 ポリ袋 10×14cm E-5 1パック(30枚入)（直送品）</t>
  </si>
  <si>
    <t>ニッコー チャック付 ポリ袋 12×17cm F-5 1パック(25枚入)（直送品）</t>
  </si>
  <si>
    <t>ニッコー チャック付 ポリ袋 14×20cm G-5 1パック(20枚入)（直送品）</t>
  </si>
  <si>
    <t>ニッコー SZ-45 スライダー式ジッパー冷凍冷蔵保存パックM 1箱(45枚/袋×36袋)（直送品）</t>
  </si>
  <si>
    <t>ニッコー ハミングパック BOXポリ袋(エンボス加工) ヨコ23×タテ34cm AT-2 1ケース(200枚入×40)（直送品）</t>
  </si>
  <si>
    <t>ニッコー AB-3-3 BOXポリ袋 (200枚/箱×3箱入)/セット 1箱(12セット)（直送品）</t>
  </si>
  <si>
    <t>ニッコー A-30 30Lポリ袋半透明 1箱(100枚/袋×16袋)（直送品）</t>
  </si>
  <si>
    <t>EN29563</t>
  </si>
  <si>
    <t>1パック（10個）</t>
  </si>
  <si>
    <t>EW59178</t>
  </si>
  <si>
    <t>1個</t>
  </si>
  <si>
    <t>HN85449</t>
  </si>
  <si>
    <t>EN29558</t>
  </si>
  <si>
    <t>1セット（5個）</t>
  </si>
  <si>
    <t>EN29478</t>
  </si>
  <si>
    <t>1パック（12個）</t>
  </si>
  <si>
    <t>XN71524</t>
  </si>
  <si>
    <t>1パック（2個入）</t>
  </si>
  <si>
    <t>EW60697</t>
  </si>
  <si>
    <t>1パック（5個）</t>
  </si>
  <si>
    <t>EW60685</t>
  </si>
  <si>
    <t>1パック（3個）</t>
  </si>
  <si>
    <t>EW60712</t>
  </si>
  <si>
    <t>1パック（4個）</t>
  </si>
  <si>
    <t>EW59183</t>
  </si>
  <si>
    <t>1パック（2個）</t>
  </si>
  <si>
    <t>EW59170</t>
  </si>
  <si>
    <t>EW59167</t>
  </si>
  <si>
    <t>1パック（8個）</t>
  </si>
  <si>
    <t>EW59175</t>
  </si>
  <si>
    <t>1パック（6個）</t>
  </si>
  <si>
    <t>EW59194</t>
  </si>
  <si>
    <t>EW59181</t>
  </si>
  <si>
    <t>EW59166</t>
  </si>
  <si>
    <t>EW59188</t>
  </si>
  <si>
    <t>EW59186</t>
  </si>
  <si>
    <t>EW59169</t>
  </si>
  <si>
    <t>EW59180</t>
  </si>
  <si>
    <t>EW59162</t>
  </si>
  <si>
    <t>EW60815</t>
  </si>
  <si>
    <t>EW60693</t>
  </si>
  <si>
    <t>EW59192</t>
  </si>
  <si>
    <t>EW59187</t>
  </si>
  <si>
    <t>EW59185</t>
  </si>
  <si>
    <t>EW60689</t>
  </si>
  <si>
    <t>EW60694</t>
  </si>
  <si>
    <t>EW60808</t>
  </si>
  <si>
    <t>EW60814</t>
  </si>
  <si>
    <t>EW60809</t>
  </si>
  <si>
    <t>EW60817</t>
  </si>
  <si>
    <t>EW60692</t>
  </si>
  <si>
    <t>EW60820</t>
  </si>
  <si>
    <t>EW60810</t>
  </si>
  <si>
    <t>EW60816</t>
  </si>
  <si>
    <t>EW60821</t>
  </si>
  <si>
    <t>EW60706</t>
  </si>
  <si>
    <t>EW60703</t>
  </si>
  <si>
    <t>EW59173</t>
  </si>
  <si>
    <t>EW59174</t>
  </si>
  <si>
    <t>EW60819</t>
  </si>
  <si>
    <t>EW60696</t>
  </si>
  <si>
    <t>EW60705</t>
  </si>
  <si>
    <t>EW60699</t>
  </si>
  <si>
    <t>EW60813</t>
  </si>
  <si>
    <t>EW60807</t>
  </si>
  <si>
    <t>EW60701</t>
  </si>
  <si>
    <t>EW59163</t>
  </si>
  <si>
    <t>EW59168</t>
  </si>
  <si>
    <t>EW59193</t>
  </si>
  <si>
    <t>EW59165</t>
  </si>
  <si>
    <t>EW59172</t>
  </si>
  <si>
    <t>EW59189</t>
  </si>
  <si>
    <t>EW59182</t>
  </si>
  <si>
    <t>EW60707</t>
  </si>
  <si>
    <t>EW59159</t>
  </si>
  <si>
    <t>UW32963</t>
  </si>
  <si>
    <t>EW59171</t>
  </si>
  <si>
    <t>UK50800</t>
  </si>
  <si>
    <t>UK50801</t>
  </si>
  <si>
    <t>UK50802</t>
  </si>
  <si>
    <t>UW35663</t>
  </si>
  <si>
    <t>1968539</t>
  </si>
  <si>
    <t>1968557</t>
  </si>
  <si>
    <t>EW59184</t>
  </si>
  <si>
    <t>EN29597</t>
  </si>
  <si>
    <t>EN29569</t>
  </si>
  <si>
    <t>EN29615</t>
  </si>
  <si>
    <t>EN29589</t>
  </si>
  <si>
    <t>EN29595</t>
  </si>
  <si>
    <t>EN29567</t>
  </si>
  <si>
    <t>1セット（10個</t>
  </si>
  <si>
    <t>HN85426</t>
  </si>
  <si>
    <t>EW60691</t>
  </si>
  <si>
    <t>EN29472</t>
  </si>
  <si>
    <t>7918561</t>
  </si>
  <si>
    <t>EN29631</t>
  </si>
  <si>
    <t>EN29602</t>
  </si>
  <si>
    <t>EW59177</t>
  </si>
  <si>
    <t>EN29476</t>
  </si>
  <si>
    <t>EN29474</t>
  </si>
  <si>
    <t>EN29600</t>
  </si>
  <si>
    <t>HN85425</t>
  </si>
  <si>
    <t>EN29475</t>
  </si>
  <si>
    <t>EN29487</t>
  </si>
  <si>
    <t>EN29488</t>
  </si>
  <si>
    <t>EN29614</t>
  </si>
  <si>
    <t>EN29611</t>
  </si>
  <si>
    <t>EN29626</t>
  </si>
  <si>
    <t>EN29652</t>
  </si>
  <si>
    <t>EN29499</t>
  </si>
  <si>
    <t>EN29654</t>
  </si>
  <si>
    <t>EN29492</t>
  </si>
  <si>
    <t>HN86266</t>
  </si>
  <si>
    <t>AKE6429</t>
  </si>
  <si>
    <t>1箱（80枚/袋×100袋）</t>
  </si>
  <si>
    <t>UK42452</t>
  </si>
  <si>
    <t>1パック（50枚入）</t>
  </si>
  <si>
    <t>UK42340</t>
  </si>
  <si>
    <t>1パック（40枚入）</t>
  </si>
  <si>
    <t>UK42448</t>
  </si>
  <si>
    <t>1パック（30枚入）</t>
  </si>
  <si>
    <t>UK42334</t>
  </si>
  <si>
    <t>1パック（25枚入）</t>
  </si>
  <si>
    <t>UK42395</t>
  </si>
  <si>
    <t>1パック（20枚入）</t>
  </si>
  <si>
    <t>AKE6309</t>
  </si>
  <si>
    <t>1箱（45枚/袋×36袋）</t>
  </si>
  <si>
    <t>AWR8571</t>
  </si>
  <si>
    <t>1ケース(200枚入×40)</t>
  </si>
  <si>
    <t>AKE6289</t>
  </si>
  <si>
    <t>1箱（12セット）</t>
  </si>
  <si>
    <t>AKE6455</t>
  </si>
  <si>
    <t>1箱（100枚/袋×16袋）</t>
  </si>
  <si>
    <t>細分類</t>
    <rPh sb="0" eb="3">
      <t>サイブンルイ</t>
    </rPh>
    <phoneticPr fontId="2"/>
  </si>
  <si>
    <t>品目+
FW荷姿</t>
    <rPh sb="0" eb="2">
      <t>ヒンモク</t>
    </rPh>
    <rPh sb="6" eb="8">
      <t>ニスガタ</t>
    </rPh>
    <phoneticPr fontId="2"/>
  </si>
  <si>
    <t>箱バラなし</t>
    <rPh sb="0" eb="1">
      <t>ハコ</t>
    </rPh>
    <phoneticPr fontId="2"/>
  </si>
  <si>
    <t>VDなし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</si>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</sst>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2" xfId="0" applyFill="1" applyBorder="1" applyAlignment="1">
      <alignment vertical="center" wrapText="1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108"/>
  <sheetViews>
    <sheetView tabSelected="1" zoomScale="90" zoomScaleNormal="90" workbookViewId="0">
      <pane xSplit="8" ySplit="5" topLeftCell="M87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57" width="7.625" customWidth="1"/>
    <col min="58" max="58" width="4.875" customWidth="1"/>
    <col min="59" max="60" width="8.875" customWidth="1"/>
    <col min="61" max="64" width="7.625" customWidth="1"/>
    <col min="65" max="65" width="9.5" customWidth="1"/>
    <col min="66" max="66" width="7" hidden="1" customWidth="1" outlineLevel="1"/>
    <col min="67" max="67" width="7.625" customWidth="1" collapsed="1"/>
    <col min="68" max="68" width="7.625" customWidth="1"/>
    <col min="69" max="69" width="7.625" hidden="1" customWidth="1" outlineLevel="1"/>
    <col min="70" max="70" width="7.625" customWidth="1" collapsed="1"/>
    <col min="71" max="71" width="7.625" customWidth="1"/>
  </cols>
  <sheetData>
    <row r="1" spans="1:72" x14ac:dyDescent="0.4">
      <c r="C1" s="29" t="s">
        <v>43</v>
      </c>
      <c r="F1" t="s">
        <v>494</v>
      </c>
      <c r="Z1" s="43" t="s">
        <v>40</v>
      </c>
      <c r="AA1" s="44"/>
      <c r="AB1" s="44"/>
      <c r="AC1" s="45"/>
      <c r="AS1" t="s">
        <v>495</v>
      </c>
    </row>
    <row r="2" spans="1:72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0" t="s">
        <v>31</v>
      </c>
      <c r="L2" s="42"/>
      <c r="M2" s="40" t="s">
        <v>1</v>
      </c>
      <c r="N2" s="41"/>
      <c r="O2" s="41"/>
      <c r="P2" s="42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K2">
        <v>14</v>
      </c>
      <c r="BL2">
        <v>28</v>
      </c>
    </row>
    <row r="3" spans="1:72" ht="75" x14ac:dyDescent="0.4">
      <c r="A3" s="1" t="s">
        <v>51</v>
      </c>
      <c r="B3" s="1" t="s">
        <v>55</v>
      </c>
      <c r="C3" s="2" t="s">
        <v>2</v>
      </c>
      <c r="D3" s="2" t="s">
        <v>6</v>
      </c>
      <c r="E3" s="2" t="s">
        <v>7</v>
      </c>
      <c r="F3" s="46" t="s">
        <v>493</v>
      </c>
      <c r="G3" s="2" t="s">
        <v>0</v>
      </c>
      <c r="H3" s="12" t="s">
        <v>4</v>
      </c>
      <c r="I3" s="12" t="s">
        <v>52</v>
      </c>
      <c r="J3" s="12" t="s">
        <v>53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54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56</v>
      </c>
      <c r="BI3" s="2" t="s">
        <v>496</v>
      </c>
      <c r="BJ3" s="2" t="s">
        <v>12</v>
      </c>
      <c r="BK3" s="18" t="s">
        <v>45</v>
      </c>
      <c r="BL3" s="18" t="s">
        <v>46</v>
      </c>
      <c r="BM3" s="15" t="s">
        <v>492</v>
      </c>
      <c r="BN3" s="38" t="s">
        <v>260</v>
      </c>
      <c r="BO3" s="38" t="s">
        <v>497</v>
      </c>
      <c r="BP3" s="39" t="s">
        <v>57</v>
      </c>
      <c r="BQ3" s="39" t="s">
        <v>261</v>
      </c>
      <c r="BR3" s="39" t="s">
        <v>498</v>
      </c>
      <c r="BS3" s="39" t="s">
        <v>58</v>
      </c>
      <c r="BT3" s="34" t="s">
        <v>50</v>
      </c>
    </row>
    <row r="4" spans="1:72" x14ac:dyDescent="0.4">
      <c r="A4" s="3">
        <v>59</v>
      </c>
      <c r="B4" s="3">
        <v>59</v>
      </c>
      <c r="C4" s="4" t="s">
        <v>120</v>
      </c>
      <c r="D4" s="4" t="str">
        <f t="shared" ref="D4:D35" si="0">TEXT(C4,"000000")</f>
        <v>J524SB</v>
      </c>
      <c r="E4" s="4" t="s">
        <v>120</v>
      </c>
      <c r="F4" s="4" t="str">
        <f>D4&amp;I4</f>
        <v>J524SB5</v>
      </c>
      <c r="G4" s="4" t="s">
        <v>207</v>
      </c>
      <c r="H4" s="5">
        <v>4903320162938</v>
      </c>
      <c r="I4" s="5">
        <v>5</v>
      </c>
      <c r="J4" s="5"/>
      <c r="K4" s="5">
        <v>1</v>
      </c>
      <c r="L4" s="5">
        <v>1</v>
      </c>
      <c r="M4" s="4">
        <v>0</v>
      </c>
      <c r="N4" s="4">
        <v>688</v>
      </c>
      <c r="O4" s="4">
        <v>488</v>
      </c>
      <c r="P4" s="6">
        <f t="shared" ref="P4:P35" si="1">IFERROR(1-O4/N4,"-")</f>
        <v>0.29069767441860461</v>
      </c>
      <c r="Q4" s="4" t="s">
        <v>259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 t="shared" ref="AA4:AA35" si="2">IF(AD4="",Z4,Z4*AD4)</f>
        <v>0</v>
      </c>
      <c r="AB4" s="4">
        <v>537</v>
      </c>
      <c r="AC4" s="4">
        <f t="shared" ref="AC4:AC35" si="3">IF(AD4="",AB4,AB4*AD4)</f>
        <v>537</v>
      </c>
      <c r="AD4" s="4"/>
      <c r="AE4" s="21">
        <f t="shared" ref="AE4:AE35" si="4">ROUND(N4*AS4,0)</f>
        <v>757</v>
      </c>
      <c r="AF4" s="6">
        <f t="shared" ref="AF4:AF35" si="5">IFERROR(1-AC4/AE4,"-")</f>
        <v>0.29062087186261554</v>
      </c>
      <c r="AG4" s="33">
        <v>0.5</v>
      </c>
      <c r="AH4" s="4">
        <f t="shared" ref="AH4:AH35" si="6">BJ4</f>
        <v>742</v>
      </c>
      <c r="AI4" s="33">
        <f t="shared" ref="AI4:AI35" si="7">IFERROR(AH4*AS4,"-")</f>
        <v>816.5040983606558</v>
      </c>
      <c r="AJ4" s="6">
        <f t="shared" ref="AJ4:AJ35" si="8">IFERROR(1-AC4/AI4,"-")</f>
        <v>0.34231805929919146</v>
      </c>
      <c r="AK4" s="7">
        <v>810</v>
      </c>
      <c r="AL4" s="6">
        <f t="shared" ref="AL4:AL35" si="9">1-AC4/AK4</f>
        <v>0.33703703703703702</v>
      </c>
      <c r="AM4" s="4">
        <f t="shared" ref="AM4:AM35" si="10">AK4-AC4</f>
        <v>273</v>
      </c>
      <c r="AN4" s="28"/>
      <c r="AO4" s="6"/>
      <c r="AP4" s="6"/>
      <c r="AQ4" s="6" t="str">
        <f t="shared" ref="AQ4:AQ35" si="11">IFERROR(AA4/M4,"-")</f>
        <v>-</v>
      </c>
      <c r="AR4" s="6">
        <f t="shared" ref="AR4:AR35" si="12">IFERROR(AK4/N4,"-")</f>
        <v>1.1773255813953489</v>
      </c>
      <c r="AS4" s="6">
        <f t="shared" ref="AS4:AS35" si="13">IFERROR(AC4/O4,"-")</f>
        <v>1.1004098360655739</v>
      </c>
      <c r="AT4" s="4"/>
      <c r="AU4" s="4"/>
      <c r="AV4" s="4"/>
      <c r="AW4" s="4"/>
      <c r="AX4" s="4"/>
      <c r="AY4" s="4"/>
      <c r="AZ4" s="4"/>
      <c r="BA4" s="4"/>
      <c r="BB4" s="4"/>
      <c r="BC4" s="4">
        <v>0</v>
      </c>
      <c r="BD4" s="4" t="s">
        <v>434</v>
      </c>
      <c r="BE4" s="4"/>
      <c r="BF4" s="4"/>
      <c r="BG4" s="4" t="s">
        <v>369</v>
      </c>
      <c r="BH4" s="4">
        <v>742</v>
      </c>
      <c r="BI4" s="4">
        <v>742</v>
      </c>
      <c r="BJ4" s="4">
        <f t="shared" ref="BJ4:BJ35" si="14">IF(BE4="",BI4,BE4/BF4*BI4)</f>
        <v>742</v>
      </c>
      <c r="BK4" s="19">
        <v>4</v>
      </c>
      <c r="BL4" s="19">
        <v>8</v>
      </c>
      <c r="BM4" s="16">
        <v>6051065</v>
      </c>
      <c r="BN4" t="s">
        <v>258</v>
      </c>
      <c r="BO4" t="s">
        <v>258</v>
      </c>
      <c r="BP4" t="str">
        <f t="shared" ref="BP4:BP35" si="15">IFERROR(BO4*AS4,"-")</f>
        <v>-</v>
      </c>
      <c r="BQ4">
        <v>1455</v>
      </c>
      <c r="BR4">
        <v>1455</v>
      </c>
      <c r="BS4">
        <f t="shared" ref="BS4:BS35" si="16">IFERROR(BR4*AS4,"-")</f>
        <v>1601.0963114754099</v>
      </c>
      <c r="BT4" s="4" t="s">
        <v>319</v>
      </c>
    </row>
    <row r="5" spans="1:72" x14ac:dyDescent="0.4">
      <c r="A5" s="3">
        <v>60</v>
      </c>
      <c r="B5" s="3">
        <v>60</v>
      </c>
      <c r="C5" s="4" t="s">
        <v>121</v>
      </c>
      <c r="D5" s="4" t="str">
        <f t="shared" si="0"/>
        <v>J1700Y</v>
      </c>
      <c r="E5" s="4" t="s">
        <v>121</v>
      </c>
      <c r="F5" s="4" t="str">
        <f t="shared" ref="F5:F68" si="17">D5&amp;I5</f>
        <v>J1700Y5</v>
      </c>
      <c r="G5" s="4" t="s">
        <v>208</v>
      </c>
      <c r="H5" s="5">
        <v>4903320162945</v>
      </c>
      <c r="I5" s="5">
        <v>5</v>
      </c>
      <c r="J5" s="5"/>
      <c r="K5" s="5">
        <v>1</v>
      </c>
      <c r="L5" s="5">
        <v>1</v>
      </c>
      <c r="M5" s="4">
        <v>0</v>
      </c>
      <c r="N5" s="4">
        <v>734</v>
      </c>
      <c r="O5" s="4">
        <v>513</v>
      </c>
      <c r="P5" s="6">
        <f t="shared" si="1"/>
        <v>0.30108991825613074</v>
      </c>
      <c r="Q5" s="4" t="s">
        <v>259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 t="shared" si="2"/>
        <v>0</v>
      </c>
      <c r="AB5" s="4">
        <v>565</v>
      </c>
      <c r="AC5" s="4">
        <f t="shared" si="3"/>
        <v>565</v>
      </c>
      <c r="AD5" s="4"/>
      <c r="AE5" s="21">
        <f t="shared" si="4"/>
        <v>808</v>
      </c>
      <c r="AF5" s="6">
        <f t="shared" si="5"/>
        <v>0.30074257425742579</v>
      </c>
      <c r="AG5" s="33">
        <v>0</v>
      </c>
      <c r="AH5" s="4">
        <f t="shared" si="6"/>
        <v>809</v>
      </c>
      <c r="AI5" s="33">
        <f t="shared" si="7"/>
        <v>891.00389863547753</v>
      </c>
      <c r="AJ5" s="6">
        <f t="shared" si="8"/>
        <v>0.36588380716934488</v>
      </c>
      <c r="AK5" s="7">
        <v>850</v>
      </c>
      <c r="AL5" s="6">
        <f t="shared" si="9"/>
        <v>0.33529411764705885</v>
      </c>
      <c r="AM5" s="4">
        <f t="shared" si="10"/>
        <v>285</v>
      </c>
      <c r="AN5" s="28"/>
      <c r="AO5" s="6"/>
      <c r="AP5" s="6"/>
      <c r="AQ5" s="6" t="str">
        <f t="shared" si="11"/>
        <v>-</v>
      </c>
      <c r="AR5" s="6">
        <f t="shared" si="12"/>
        <v>1.1580381471389645</v>
      </c>
      <c r="AS5" s="6">
        <f t="shared" si="13"/>
        <v>1.101364522417154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435</v>
      </c>
      <c r="BE5" s="4"/>
      <c r="BF5" s="4"/>
      <c r="BG5" s="4" t="s">
        <v>369</v>
      </c>
      <c r="BH5" s="4">
        <v>809</v>
      </c>
      <c r="BI5" s="4">
        <v>809</v>
      </c>
      <c r="BJ5" s="4">
        <f t="shared" si="14"/>
        <v>809</v>
      </c>
      <c r="BK5" s="19">
        <v>4</v>
      </c>
      <c r="BL5" s="19">
        <v>8</v>
      </c>
      <c r="BM5" s="16">
        <v>6051065</v>
      </c>
      <c r="BN5" t="s">
        <v>258</v>
      </c>
      <c r="BO5" t="s">
        <v>258</v>
      </c>
      <c r="BP5" t="str">
        <f t="shared" si="15"/>
        <v>-</v>
      </c>
      <c r="BQ5">
        <v>800</v>
      </c>
      <c r="BR5">
        <v>800</v>
      </c>
      <c r="BS5">
        <f t="shared" si="16"/>
        <v>881.09161793372323</v>
      </c>
      <c r="BT5" s="4" t="s">
        <v>320</v>
      </c>
    </row>
    <row r="6" spans="1:72" x14ac:dyDescent="0.4">
      <c r="A6" s="3">
        <v>64</v>
      </c>
      <c r="B6" s="3">
        <v>64</v>
      </c>
      <c r="C6" s="17" t="s">
        <v>125</v>
      </c>
      <c r="D6" s="4" t="str">
        <f t="shared" si="0"/>
        <v>J4231R</v>
      </c>
      <c r="E6" s="4" t="s">
        <v>125</v>
      </c>
      <c r="F6" s="4" t="str">
        <f t="shared" si="17"/>
        <v>J4231R5</v>
      </c>
      <c r="G6" s="4" t="s">
        <v>212</v>
      </c>
      <c r="H6" s="5">
        <v>4903320163720</v>
      </c>
      <c r="I6" s="5">
        <v>5</v>
      </c>
      <c r="J6" s="5"/>
      <c r="K6" s="5">
        <v>1</v>
      </c>
      <c r="L6" s="5">
        <v>1</v>
      </c>
      <c r="M6" s="4">
        <v>0</v>
      </c>
      <c r="N6" s="4">
        <v>274</v>
      </c>
      <c r="O6" s="4">
        <v>196</v>
      </c>
      <c r="P6" s="6">
        <f t="shared" si="1"/>
        <v>0.28467153284671531</v>
      </c>
      <c r="Q6" s="4" t="s">
        <v>259</v>
      </c>
      <c r="R6" s="4"/>
      <c r="S6" s="4"/>
      <c r="T6" s="4"/>
      <c r="U6" s="4"/>
      <c r="V6" s="4"/>
      <c r="W6" s="4"/>
      <c r="X6" s="4"/>
      <c r="Y6" s="4"/>
      <c r="Z6" s="4">
        <v>0</v>
      </c>
      <c r="AA6" s="4">
        <f t="shared" si="2"/>
        <v>0</v>
      </c>
      <c r="AB6" s="4">
        <v>216</v>
      </c>
      <c r="AC6" s="4">
        <f t="shared" si="3"/>
        <v>216</v>
      </c>
      <c r="AD6" s="4"/>
      <c r="AE6" s="21">
        <f t="shared" si="4"/>
        <v>302</v>
      </c>
      <c r="AF6" s="6">
        <f t="shared" si="5"/>
        <v>0.28476821192052981</v>
      </c>
      <c r="AG6" s="33">
        <v>0</v>
      </c>
      <c r="AH6" s="4">
        <f t="shared" si="6"/>
        <v>296</v>
      </c>
      <c r="AI6" s="33">
        <f t="shared" si="7"/>
        <v>326.20408163265301</v>
      </c>
      <c r="AJ6" s="6">
        <f t="shared" si="8"/>
        <v>0.33783783783783772</v>
      </c>
      <c r="AK6" s="7">
        <v>325</v>
      </c>
      <c r="AL6" s="6">
        <f t="shared" si="9"/>
        <v>0.33538461538461539</v>
      </c>
      <c r="AM6" s="4">
        <f t="shared" si="10"/>
        <v>109</v>
      </c>
      <c r="AN6" s="28"/>
      <c r="AO6" s="6"/>
      <c r="AP6" s="6"/>
      <c r="AQ6" s="6" t="str">
        <f t="shared" si="11"/>
        <v>-</v>
      </c>
      <c r="AR6" s="6">
        <f t="shared" si="12"/>
        <v>1.1861313868613139</v>
      </c>
      <c r="AS6" s="6">
        <f t="shared" si="13"/>
        <v>1.1020408163265305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439</v>
      </c>
      <c r="BE6" s="4"/>
      <c r="BF6" s="4"/>
      <c r="BG6" s="4" t="s">
        <v>369</v>
      </c>
      <c r="BH6" s="4">
        <v>296</v>
      </c>
      <c r="BI6" s="4">
        <v>296</v>
      </c>
      <c r="BJ6" s="4">
        <f t="shared" si="14"/>
        <v>296</v>
      </c>
      <c r="BK6" s="19">
        <v>4</v>
      </c>
      <c r="BL6" s="19">
        <v>8</v>
      </c>
      <c r="BM6" s="16">
        <v>6209080</v>
      </c>
      <c r="BN6" t="s">
        <v>258</v>
      </c>
      <c r="BO6" t="s">
        <v>258</v>
      </c>
      <c r="BP6" t="str">
        <f t="shared" si="15"/>
        <v>-</v>
      </c>
      <c r="BQ6">
        <v>532</v>
      </c>
      <c r="BR6">
        <v>532</v>
      </c>
      <c r="BS6">
        <f t="shared" si="16"/>
        <v>586.28571428571422</v>
      </c>
      <c r="BT6" s="4" t="s">
        <v>324</v>
      </c>
    </row>
    <row r="7" spans="1:72" x14ac:dyDescent="0.4">
      <c r="A7" s="3">
        <v>62</v>
      </c>
      <c r="B7" s="3">
        <v>62</v>
      </c>
      <c r="C7" s="17" t="s">
        <v>123</v>
      </c>
      <c r="D7" s="4" t="str">
        <f t="shared" si="0"/>
        <v>J4229R</v>
      </c>
      <c r="E7" s="4" t="s">
        <v>123</v>
      </c>
      <c r="F7" s="4" t="str">
        <f t="shared" si="17"/>
        <v>J4229R5</v>
      </c>
      <c r="G7" s="4" t="s">
        <v>210</v>
      </c>
      <c r="H7" s="5">
        <v>4903320163706</v>
      </c>
      <c r="I7" s="5">
        <v>5</v>
      </c>
      <c r="J7" s="5"/>
      <c r="K7" s="5">
        <v>1</v>
      </c>
      <c r="L7" s="5">
        <v>1</v>
      </c>
      <c r="M7" s="4">
        <v>0</v>
      </c>
      <c r="N7" s="4">
        <v>359</v>
      </c>
      <c r="O7" s="4">
        <v>257</v>
      </c>
      <c r="P7" s="6">
        <f t="shared" si="1"/>
        <v>0.28412256267409475</v>
      </c>
      <c r="Q7" s="4" t="s">
        <v>259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 t="shared" si="2"/>
        <v>0</v>
      </c>
      <c r="AB7" s="4">
        <v>283</v>
      </c>
      <c r="AC7" s="4">
        <f t="shared" si="3"/>
        <v>283</v>
      </c>
      <c r="AD7" s="4"/>
      <c r="AE7" s="21">
        <f t="shared" si="4"/>
        <v>395</v>
      </c>
      <c r="AF7" s="6">
        <f t="shared" si="5"/>
        <v>0.28354430379746831</v>
      </c>
      <c r="AG7" s="33">
        <v>0.25</v>
      </c>
      <c r="AH7" s="4">
        <f t="shared" si="6"/>
        <v>408</v>
      </c>
      <c r="AI7" s="33">
        <f t="shared" si="7"/>
        <v>449.27626459143971</v>
      </c>
      <c r="AJ7" s="6">
        <f t="shared" si="8"/>
        <v>0.37009803921568629</v>
      </c>
      <c r="AK7" s="7">
        <v>428</v>
      </c>
      <c r="AL7" s="6">
        <f t="shared" si="9"/>
        <v>0.33878504672897192</v>
      </c>
      <c r="AM7" s="4">
        <f t="shared" si="10"/>
        <v>145</v>
      </c>
      <c r="AN7" s="28"/>
      <c r="AO7" s="6"/>
      <c r="AP7" s="6"/>
      <c r="AQ7" s="6" t="str">
        <f t="shared" si="11"/>
        <v>-</v>
      </c>
      <c r="AR7" s="6">
        <f t="shared" si="12"/>
        <v>1.1922005571030641</v>
      </c>
      <c r="AS7" s="6">
        <f t="shared" si="13"/>
        <v>1.1011673151750974</v>
      </c>
      <c r="AT7" s="4"/>
      <c r="AU7" s="4"/>
      <c r="AV7" s="4"/>
      <c r="AW7" s="4"/>
      <c r="AX7" s="4"/>
      <c r="AY7" s="4"/>
      <c r="AZ7" s="4"/>
      <c r="BA7" s="4"/>
      <c r="BB7" s="4"/>
      <c r="BC7" s="4">
        <v>0</v>
      </c>
      <c r="BD7" s="4" t="s">
        <v>437</v>
      </c>
      <c r="BE7" s="4"/>
      <c r="BF7" s="4"/>
      <c r="BG7" s="4" t="s">
        <v>369</v>
      </c>
      <c r="BH7" s="4">
        <v>408</v>
      </c>
      <c r="BI7" s="4">
        <v>408</v>
      </c>
      <c r="BJ7" s="4">
        <f t="shared" si="14"/>
        <v>408</v>
      </c>
      <c r="BK7" s="19">
        <v>4</v>
      </c>
      <c r="BL7" s="19">
        <v>8</v>
      </c>
      <c r="BM7" s="16">
        <v>6209080</v>
      </c>
      <c r="BN7" t="s">
        <v>258</v>
      </c>
      <c r="BO7" t="s">
        <v>258</v>
      </c>
      <c r="BP7" t="str">
        <f t="shared" si="15"/>
        <v>-</v>
      </c>
      <c r="BQ7">
        <v>606</v>
      </c>
      <c r="BR7">
        <v>606</v>
      </c>
      <c r="BS7">
        <f t="shared" si="16"/>
        <v>667.307392996109</v>
      </c>
      <c r="BT7" s="4" t="s">
        <v>322</v>
      </c>
    </row>
    <row r="8" spans="1:72" x14ac:dyDescent="0.4">
      <c r="A8" s="3">
        <v>63</v>
      </c>
      <c r="B8" s="3">
        <v>63</v>
      </c>
      <c r="C8" s="17" t="s">
        <v>124</v>
      </c>
      <c r="D8" s="4" t="str">
        <f t="shared" si="0"/>
        <v>J4230R</v>
      </c>
      <c r="E8" s="4" t="s">
        <v>124</v>
      </c>
      <c r="F8" s="4" t="str">
        <f t="shared" si="17"/>
        <v>J4230R5</v>
      </c>
      <c r="G8" s="4" t="s">
        <v>211</v>
      </c>
      <c r="H8" s="5">
        <v>4903320163713</v>
      </c>
      <c r="I8" s="5">
        <v>5</v>
      </c>
      <c r="J8" s="5"/>
      <c r="K8" s="5">
        <v>1</v>
      </c>
      <c r="L8" s="5">
        <v>1</v>
      </c>
      <c r="M8" s="4">
        <v>0</v>
      </c>
      <c r="N8" s="4">
        <v>389</v>
      </c>
      <c r="O8" s="4">
        <v>257</v>
      </c>
      <c r="P8" s="6">
        <f t="shared" si="1"/>
        <v>0.33933161953727509</v>
      </c>
      <c r="Q8" s="4" t="s">
        <v>259</v>
      </c>
      <c r="R8" s="4"/>
      <c r="S8" s="4"/>
      <c r="T8" s="4"/>
      <c r="U8" s="4"/>
      <c r="V8" s="4"/>
      <c r="W8" s="4"/>
      <c r="X8" s="4"/>
      <c r="Y8" s="4"/>
      <c r="Z8" s="4">
        <v>0</v>
      </c>
      <c r="AA8" s="4">
        <f t="shared" si="2"/>
        <v>0</v>
      </c>
      <c r="AB8" s="4">
        <v>283</v>
      </c>
      <c r="AC8" s="4">
        <f t="shared" si="3"/>
        <v>283</v>
      </c>
      <c r="AD8" s="4"/>
      <c r="AE8" s="21">
        <f t="shared" si="4"/>
        <v>428</v>
      </c>
      <c r="AF8" s="6">
        <f t="shared" si="5"/>
        <v>0.33878504672897192</v>
      </c>
      <c r="AG8" s="33">
        <v>0.25</v>
      </c>
      <c r="AH8" s="4">
        <f t="shared" si="6"/>
        <v>408</v>
      </c>
      <c r="AI8" s="33">
        <f t="shared" si="7"/>
        <v>449.27626459143971</v>
      </c>
      <c r="AJ8" s="6">
        <f t="shared" si="8"/>
        <v>0.37009803921568629</v>
      </c>
      <c r="AK8" s="7">
        <v>428</v>
      </c>
      <c r="AL8" s="6">
        <f t="shared" si="9"/>
        <v>0.33878504672897192</v>
      </c>
      <c r="AM8" s="4">
        <f t="shared" si="10"/>
        <v>145</v>
      </c>
      <c r="AN8" s="28"/>
      <c r="AO8" s="6"/>
      <c r="AP8" s="6"/>
      <c r="AQ8" s="6" t="str">
        <f t="shared" si="11"/>
        <v>-</v>
      </c>
      <c r="AR8" s="6">
        <f t="shared" si="12"/>
        <v>1.1002570694087404</v>
      </c>
      <c r="AS8" s="6">
        <f t="shared" si="13"/>
        <v>1.1011673151750974</v>
      </c>
      <c r="AT8" s="4"/>
      <c r="AU8" s="4"/>
      <c r="AV8" s="4"/>
      <c r="AW8" s="4"/>
      <c r="AX8" s="4"/>
      <c r="AY8" s="4"/>
      <c r="AZ8" s="4"/>
      <c r="BA8" s="4"/>
      <c r="BB8" s="4"/>
      <c r="BC8" s="4">
        <v>0</v>
      </c>
      <c r="BD8" s="4" t="s">
        <v>438</v>
      </c>
      <c r="BE8" s="4"/>
      <c r="BF8" s="4"/>
      <c r="BG8" s="4" t="s">
        <v>369</v>
      </c>
      <c r="BH8" s="4">
        <v>408</v>
      </c>
      <c r="BI8" s="4">
        <v>408</v>
      </c>
      <c r="BJ8" s="4">
        <f t="shared" si="14"/>
        <v>408</v>
      </c>
      <c r="BK8" s="19">
        <v>4</v>
      </c>
      <c r="BL8" s="19">
        <v>8</v>
      </c>
      <c r="BM8" s="16">
        <v>6209080</v>
      </c>
      <c r="BN8" t="s">
        <v>258</v>
      </c>
      <c r="BO8" t="s">
        <v>258</v>
      </c>
      <c r="BP8" t="str">
        <f t="shared" si="15"/>
        <v>-</v>
      </c>
      <c r="BQ8">
        <v>606</v>
      </c>
      <c r="BR8">
        <v>606</v>
      </c>
      <c r="BS8">
        <f t="shared" si="16"/>
        <v>667.307392996109</v>
      </c>
      <c r="BT8" s="4" t="s">
        <v>323</v>
      </c>
    </row>
    <row r="9" spans="1:72" x14ac:dyDescent="0.4">
      <c r="A9" s="3">
        <v>95</v>
      </c>
      <c r="B9" s="3">
        <v>95</v>
      </c>
      <c r="C9" s="17" t="s">
        <v>138</v>
      </c>
      <c r="D9" s="4" t="str">
        <f t="shared" si="0"/>
        <v>J0225Y</v>
      </c>
      <c r="E9" s="4" t="s">
        <v>138</v>
      </c>
      <c r="F9" s="4" t="str">
        <f t="shared" si="17"/>
        <v>J0225Y5</v>
      </c>
      <c r="G9" s="4" t="s">
        <v>243</v>
      </c>
      <c r="H9" s="5">
        <v>4903320427907</v>
      </c>
      <c r="I9" s="5">
        <v>5</v>
      </c>
      <c r="J9" s="5"/>
      <c r="K9" s="5">
        <v>1</v>
      </c>
      <c r="L9" s="5">
        <v>1</v>
      </c>
      <c r="M9" s="4">
        <v>0</v>
      </c>
      <c r="N9" s="4">
        <v>382</v>
      </c>
      <c r="O9" s="4">
        <v>282</v>
      </c>
      <c r="P9" s="6">
        <f t="shared" si="1"/>
        <v>0.26178010471204194</v>
      </c>
      <c r="Q9" s="4" t="s">
        <v>259</v>
      </c>
      <c r="R9" s="4"/>
      <c r="S9" s="4"/>
      <c r="T9" s="4"/>
      <c r="U9" s="4"/>
      <c r="V9" s="4"/>
      <c r="W9" s="4"/>
      <c r="X9" s="4"/>
      <c r="Y9" s="4"/>
      <c r="Z9" s="4">
        <v>0</v>
      </c>
      <c r="AA9" s="4">
        <f t="shared" si="2"/>
        <v>0</v>
      </c>
      <c r="AB9" s="4">
        <v>312</v>
      </c>
      <c r="AC9" s="4">
        <f t="shared" si="3"/>
        <v>312</v>
      </c>
      <c r="AD9" s="4"/>
      <c r="AE9" s="21">
        <f t="shared" si="4"/>
        <v>423</v>
      </c>
      <c r="AF9" s="6">
        <f t="shared" si="5"/>
        <v>0.26241134751773054</v>
      </c>
      <c r="AG9" s="33">
        <v>2.5</v>
      </c>
      <c r="AH9" s="4">
        <f t="shared" si="6"/>
        <v>591</v>
      </c>
      <c r="AI9" s="33">
        <f t="shared" si="7"/>
        <v>653.87234042553189</v>
      </c>
      <c r="AJ9" s="6">
        <f t="shared" si="8"/>
        <v>0.52284263959390853</v>
      </c>
      <c r="AK9" s="7">
        <v>470</v>
      </c>
      <c r="AL9" s="6">
        <f t="shared" si="9"/>
        <v>0.33617021276595749</v>
      </c>
      <c r="AM9" s="4">
        <f t="shared" si="10"/>
        <v>158</v>
      </c>
      <c r="AN9" s="28"/>
      <c r="AO9" s="6"/>
      <c r="AP9" s="6"/>
      <c r="AQ9" s="6" t="str">
        <f t="shared" si="11"/>
        <v>-</v>
      </c>
      <c r="AR9" s="6">
        <f t="shared" si="12"/>
        <v>1.2303664921465969</v>
      </c>
      <c r="AS9" s="6">
        <f t="shared" si="13"/>
        <v>1.1063829787234043</v>
      </c>
      <c r="AT9" s="4"/>
      <c r="AU9" s="4"/>
      <c r="AV9" s="4"/>
      <c r="AW9" s="4"/>
      <c r="AX9" s="4"/>
      <c r="AY9" s="4"/>
      <c r="AZ9" s="4"/>
      <c r="BA9" s="4"/>
      <c r="BB9" s="4"/>
      <c r="BC9" s="4">
        <v>0</v>
      </c>
      <c r="BD9" s="4" t="s">
        <v>471</v>
      </c>
      <c r="BE9" s="4"/>
      <c r="BF9" s="4"/>
      <c r="BG9" s="4" t="s">
        <v>369</v>
      </c>
      <c r="BH9" s="4">
        <v>591</v>
      </c>
      <c r="BI9" s="4">
        <v>591</v>
      </c>
      <c r="BJ9" s="4">
        <f t="shared" si="14"/>
        <v>591</v>
      </c>
      <c r="BK9" s="19">
        <v>4</v>
      </c>
      <c r="BL9" s="19">
        <v>8</v>
      </c>
      <c r="BM9" s="16">
        <v>6209080</v>
      </c>
      <c r="BN9" t="s">
        <v>258</v>
      </c>
      <c r="BO9" t="s">
        <v>258</v>
      </c>
      <c r="BP9" t="str">
        <f t="shared" si="15"/>
        <v>-</v>
      </c>
      <c r="BQ9">
        <v>833</v>
      </c>
      <c r="BR9">
        <v>833</v>
      </c>
      <c r="BS9">
        <f t="shared" si="16"/>
        <v>921.61702127659578</v>
      </c>
      <c r="BT9" s="4" t="s">
        <v>355</v>
      </c>
    </row>
    <row r="10" spans="1:72" x14ac:dyDescent="0.4">
      <c r="A10" s="3">
        <v>61</v>
      </c>
      <c r="B10" s="3">
        <v>61</v>
      </c>
      <c r="C10" s="4" t="s">
        <v>122</v>
      </c>
      <c r="D10" s="4" t="str">
        <f t="shared" si="0"/>
        <v>J8602Y</v>
      </c>
      <c r="E10" s="4" t="s">
        <v>122</v>
      </c>
      <c r="F10" s="4" t="str">
        <f t="shared" si="17"/>
        <v>J8602Y5</v>
      </c>
      <c r="G10" s="4" t="s">
        <v>209</v>
      </c>
      <c r="H10" s="5">
        <v>4903320163683</v>
      </c>
      <c r="I10" s="5">
        <v>5</v>
      </c>
      <c r="J10" s="5"/>
      <c r="K10" s="5">
        <v>1</v>
      </c>
      <c r="L10" s="5">
        <v>1</v>
      </c>
      <c r="M10" s="4">
        <v>0</v>
      </c>
      <c r="N10" s="4">
        <v>1143</v>
      </c>
      <c r="O10" s="4">
        <v>842</v>
      </c>
      <c r="P10" s="6">
        <f t="shared" si="1"/>
        <v>0.26334208223972</v>
      </c>
      <c r="Q10" s="4" t="s">
        <v>259</v>
      </c>
      <c r="R10" s="4"/>
      <c r="S10" s="4"/>
      <c r="T10" s="4"/>
      <c r="U10" s="4"/>
      <c r="V10" s="4"/>
      <c r="W10" s="4"/>
      <c r="X10" s="4"/>
      <c r="Y10" s="4"/>
      <c r="Z10" s="4">
        <v>0</v>
      </c>
      <c r="AA10" s="4">
        <f t="shared" si="2"/>
        <v>0</v>
      </c>
      <c r="AB10" s="4">
        <v>927</v>
      </c>
      <c r="AC10" s="4">
        <f t="shared" si="3"/>
        <v>927</v>
      </c>
      <c r="AD10" s="4"/>
      <c r="AE10" s="21">
        <f t="shared" si="4"/>
        <v>1258</v>
      </c>
      <c r="AF10" s="6">
        <f t="shared" si="5"/>
        <v>0.26311605723370435</v>
      </c>
      <c r="AG10" s="33">
        <v>0.25</v>
      </c>
      <c r="AH10" s="4">
        <f t="shared" si="6"/>
        <v>1258</v>
      </c>
      <c r="AI10" s="33">
        <f t="shared" si="7"/>
        <v>1384.9952494061758</v>
      </c>
      <c r="AJ10" s="6">
        <f t="shared" si="8"/>
        <v>0.33068362480127189</v>
      </c>
      <c r="AK10" s="7">
        <v>1380</v>
      </c>
      <c r="AL10" s="6">
        <f t="shared" si="9"/>
        <v>0.32826086956521738</v>
      </c>
      <c r="AM10" s="4">
        <f t="shared" si="10"/>
        <v>453</v>
      </c>
      <c r="AN10" s="28"/>
      <c r="AO10" s="6"/>
      <c r="AP10" s="6"/>
      <c r="AQ10" s="6" t="str">
        <f t="shared" si="11"/>
        <v>-</v>
      </c>
      <c r="AR10" s="6">
        <f t="shared" si="12"/>
        <v>1.2073490813648293</v>
      </c>
      <c r="AS10" s="6">
        <f t="shared" si="13"/>
        <v>1.1009501187648456</v>
      </c>
      <c r="AT10" s="4"/>
      <c r="AU10" s="4"/>
      <c r="AV10" s="4"/>
      <c r="AW10" s="4"/>
      <c r="AX10" s="4"/>
      <c r="AY10" s="4"/>
      <c r="AZ10" s="4"/>
      <c r="BA10" s="4"/>
      <c r="BB10" s="4"/>
      <c r="BC10" s="4">
        <v>0</v>
      </c>
      <c r="BD10" s="4" t="s">
        <v>436</v>
      </c>
      <c r="BE10" s="4"/>
      <c r="BF10" s="4"/>
      <c r="BG10" s="4" t="s">
        <v>369</v>
      </c>
      <c r="BH10" s="4">
        <v>1258</v>
      </c>
      <c r="BI10" s="4">
        <v>1258</v>
      </c>
      <c r="BJ10" s="4">
        <f t="shared" si="14"/>
        <v>1258</v>
      </c>
      <c r="BK10" s="19">
        <v>4</v>
      </c>
      <c r="BL10" s="19">
        <v>8</v>
      </c>
      <c r="BM10" s="16">
        <v>6209080</v>
      </c>
      <c r="BN10" t="s">
        <v>258</v>
      </c>
      <c r="BO10" t="s">
        <v>258</v>
      </c>
      <c r="BP10" t="str">
        <f t="shared" si="15"/>
        <v>-</v>
      </c>
      <c r="BQ10">
        <v>1862</v>
      </c>
      <c r="BR10">
        <v>1862</v>
      </c>
      <c r="BS10">
        <f t="shared" si="16"/>
        <v>2049.9691211401423</v>
      </c>
      <c r="BT10" s="4" t="s">
        <v>321</v>
      </c>
    </row>
    <row r="11" spans="1:72" x14ac:dyDescent="0.4">
      <c r="A11" s="3">
        <v>96</v>
      </c>
      <c r="B11" s="3">
        <v>96</v>
      </c>
      <c r="C11" s="4" t="s">
        <v>139</v>
      </c>
      <c r="D11" s="4" t="str">
        <f t="shared" si="0"/>
        <v>J20887</v>
      </c>
      <c r="E11" s="4" t="s">
        <v>139</v>
      </c>
      <c r="F11" s="4" t="str">
        <f t="shared" si="17"/>
        <v>J208875</v>
      </c>
      <c r="G11" s="4" t="s">
        <v>244</v>
      </c>
      <c r="H11" s="5">
        <v>4904182843218</v>
      </c>
      <c r="I11" s="5">
        <v>5</v>
      </c>
      <c r="J11" s="5"/>
      <c r="K11" s="5">
        <v>1</v>
      </c>
      <c r="L11" s="5">
        <v>1</v>
      </c>
      <c r="M11" s="4">
        <v>0</v>
      </c>
      <c r="N11" s="4">
        <v>123</v>
      </c>
      <c r="O11" s="4">
        <v>77</v>
      </c>
      <c r="P11" s="6">
        <f t="shared" si="1"/>
        <v>0.37398373983739841</v>
      </c>
      <c r="Q11" s="4" t="s">
        <v>259</v>
      </c>
      <c r="R11" s="4"/>
      <c r="S11" s="4"/>
      <c r="T11" s="4"/>
      <c r="U11" s="4"/>
      <c r="V11" s="4"/>
      <c r="W11" s="4"/>
      <c r="X11" s="4"/>
      <c r="Y11" s="4"/>
      <c r="Z11" s="4">
        <v>0</v>
      </c>
      <c r="AA11" s="4">
        <f t="shared" si="2"/>
        <v>0</v>
      </c>
      <c r="AB11" s="4">
        <v>91</v>
      </c>
      <c r="AC11" s="4">
        <f t="shared" si="3"/>
        <v>91</v>
      </c>
      <c r="AD11" s="4"/>
      <c r="AE11" s="21">
        <f t="shared" si="4"/>
        <v>145</v>
      </c>
      <c r="AF11" s="6">
        <f t="shared" si="5"/>
        <v>0.37241379310344824</v>
      </c>
      <c r="AG11" s="33">
        <v>19</v>
      </c>
      <c r="AH11" s="4">
        <f t="shared" si="6"/>
        <v>158.89000000000001</v>
      </c>
      <c r="AI11" s="33">
        <f t="shared" si="7"/>
        <v>187.77909090909094</v>
      </c>
      <c r="AJ11" s="6">
        <f t="shared" si="8"/>
        <v>0.51538800427969045</v>
      </c>
      <c r="AK11" s="7">
        <v>145</v>
      </c>
      <c r="AL11" s="6">
        <f t="shared" si="9"/>
        <v>0.37241379310344824</v>
      </c>
      <c r="AM11" s="4">
        <f t="shared" si="10"/>
        <v>54</v>
      </c>
      <c r="AN11" s="28"/>
      <c r="AO11" s="6"/>
      <c r="AP11" s="6"/>
      <c r="AQ11" s="6" t="str">
        <f t="shared" si="11"/>
        <v>-</v>
      </c>
      <c r="AR11" s="6">
        <f t="shared" si="12"/>
        <v>1.1788617886178863</v>
      </c>
      <c r="AS11" s="6">
        <f t="shared" si="13"/>
        <v>1.1818181818181819</v>
      </c>
      <c r="AT11" s="4"/>
      <c r="AU11" s="4"/>
      <c r="AV11" s="4"/>
      <c r="AW11" s="4"/>
      <c r="AX11" s="4"/>
      <c r="AY11" s="4"/>
      <c r="AZ11" s="4"/>
      <c r="BA11" s="4"/>
      <c r="BB11" s="4"/>
      <c r="BC11" s="4">
        <v>0</v>
      </c>
      <c r="BD11" s="4" t="s">
        <v>472</v>
      </c>
      <c r="BE11" s="4">
        <v>1</v>
      </c>
      <c r="BF11" s="4">
        <v>100</v>
      </c>
      <c r="BG11" s="4" t="s">
        <v>473</v>
      </c>
      <c r="BH11" s="4">
        <v>15889</v>
      </c>
      <c r="BI11" s="4">
        <v>15889</v>
      </c>
      <c r="BJ11" s="4">
        <f t="shared" si="14"/>
        <v>158.89000000000001</v>
      </c>
      <c r="BK11" s="19">
        <v>4</v>
      </c>
      <c r="BL11" s="19">
        <v>1</v>
      </c>
      <c r="BM11" s="16">
        <v>18051505</v>
      </c>
      <c r="BN11" t="s">
        <v>258</v>
      </c>
      <c r="BO11" t="s">
        <v>258</v>
      </c>
      <c r="BP11" t="str">
        <f t="shared" si="15"/>
        <v>-</v>
      </c>
      <c r="BQ11" t="s">
        <v>258</v>
      </c>
      <c r="BR11" t="s">
        <v>258</v>
      </c>
      <c r="BS11" t="str">
        <f t="shared" si="16"/>
        <v>-</v>
      </c>
      <c r="BT11" s="4" t="s">
        <v>356</v>
      </c>
    </row>
    <row r="12" spans="1:72" x14ac:dyDescent="0.4">
      <c r="A12" s="3">
        <v>97</v>
      </c>
      <c r="B12" s="3">
        <v>97</v>
      </c>
      <c r="C12" s="4" t="s">
        <v>140</v>
      </c>
      <c r="D12" s="4" t="str">
        <f t="shared" si="0"/>
        <v>J20888</v>
      </c>
      <c r="E12" s="4" t="s">
        <v>140</v>
      </c>
      <c r="F12" s="4" t="str">
        <f t="shared" si="17"/>
        <v>J208885</v>
      </c>
      <c r="G12" s="4" t="s">
        <v>245</v>
      </c>
      <c r="H12" s="5">
        <v>4904182843232</v>
      </c>
      <c r="I12" s="5">
        <v>5</v>
      </c>
      <c r="J12" s="5"/>
      <c r="K12" s="5">
        <v>1</v>
      </c>
      <c r="L12" s="5">
        <v>1</v>
      </c>
      <c r="M12" s="4">
        <v>0</v>
      </c>
      <c r="N12" s="4">
        <v>122</v>
      </c>
      <c r="O12" s="4">
        <v>77</v>
      </c>
      <c r="P12" s="6">
        <f t="shared" si="1"/>
        <v>0.36885245901639341</v>
      </c>
      <c r="Q12" s="4" t="s">
        <v>259</v>
      </c>
      <c r="R12" s="4"/>
      <c r="S12" s="4"/>
      <c r="T12" s="4"/>
      <c r="U12" s="4"/>
      <c r="V12" s="4"/>
      <c r="W12" s="4"/>
      <c r="X12" s="4"/>
      <c r="Y12" s="4"/>
      <c r="Z12" s="4">
        <v>0</v>
      </c>
      <c r="AA12" s="4">
        <f t="shared" si="2"/>
        <v>0</v>
      </c>
      <c r="AB12" s="4">
        <v>91</v>
      </c>
      <c r="AC12" s="4">
        <f t="shared" si="3"/>
        <v>91</v>
      </c>
      <c r="AD12" s="4"/>
      <c r="AE12" s="21">
        <f t="shared" si="4"/>
        <v>144</v>
      </c>
      <c r="AF12" s="6">
        <f t="shared" si="5"/>
        <v>0.36805555555555558</v>
      </c>
      <c r="AG12" s="33">
        <v>5.25</v>
      </c>
      <c r="AH12" s="4">
        <f t="shared" si="6"/>
        <v>145</v>
      </c>
      <c r="AI12" s="33">
        <f t="shared" si="7"/>
        <v>171.36363636363637</v>
      </c>
      <c r="AJ12" s="6">
        <f t="shared" si="8"/>
        <v>0.46896551724137936</v>
      </c>
      <c r="AK12" s="7">
        <v>145</v>
      </c>
      <c r="AL12" s="6">
        <f t="shared" si="9"/>
        <v>0.37241379310344824</v>
      </c>
      <c r="AM12" s="4">
        <f t="shared" si="10"/>
        <v>54</v>
      </c>
      <c r="AN12" s="28"/>
      <c r="AO12" s="6"/>
      <c r="AP12" s="6"/>
      <c r="AQ12" s="6" t="str">
        <f t="shared" si="11"/>
        <v>-</v>
      </c>
      <c r="AR12" s="6">
        <f t="shared" si="12"/>
        <v>1.1885245901639345</v>
      </c>
      <c r="AS12" s="6">
        <f t="shared" si="13"/>
        <v>1.1818181818181819</v>
      </c>
      <c r="AT12" s="4"/>
      <c r="AU12" s="4"/>
      <c r="AV12" s="4"/>
      <c r="AW12" s="4"/>
      <c r="AX12" s="4"/>
      <c r="AY12" s="4"/>
      <c r="AZ12" s="4"/>
      <c r="BA12" s="4"/>
      <c r="BB12" s="4"/>
      <c r="BC12" s="4">
        <v>0</v>
      </c>
      <c r="BD12" s="4" t="s">
        <v>474</v>
      </c>
      <c r="BE12" s="4"/>
      <c r="BF12" s="4"/>
      <c r="BG12" s="4" t="s">
        <v>475</v>
      </c>
      <c r="BH12" s="4">
        <v>120</v>
      </c>
      <c r="BI12" s="4">
        <v>145</v>
      </c>
      <c r="BJ12" s="4">
        <f t="shared" si="14"/>
        <v>145</v>
      </c>
      <c r="BK12" s="19">
        <v>4</v>
      </c>
      <c r="BL12" s="19">
        <v>1</v>
      </c>
      <c r="BM12" s="16">
        <v>18051505</v>
      </c>
      <c r="BN12" t="s">
        <v>258</v>
      </c>
      <c r="BO12" t="s">
        <v>258</v>
      </c>
      <c r="BP12" t="str">
        <f t="shared" si="15"/>
        <v>-</v>
      </c>
      <c r="BQ12" t="s">
        <v>258</v>
      </c>
      <c r="BR12" t="s">
        <v>258</v>
      </c>
      <c r="BS12" t="str">
        <f t="shared" si="16"/>
        <v>-</v>
      </c>
      <c r="BT12" s="4" t="s">
        <v>357</v>
      </c>
    </row>
    <row r="13" spans="1:72" x14ac:dyDescent="0.4">
      <c r="A13" s="3">
        <v>98</v>
      </c>
      <c r="B13" s="3">
        <v>98</v>
      </c>
      <c r="C13" s="4" t="s">
        <v>141</v>
      </c>
      <c r="D13" s="4" t="str">
        <f t="shared" si="0"/>
        <v>J20889</v>
      </c>
      <c r="E13" s="4" t="s">
        <v>141</v>
      </c>
      <c r="F13" s="4" t="str">
        <f t="shared" si="17"/>
        <v>J208895</v>
      </c>
      <c r="G13" s="4" t="s">
        <v>246</v>
      </c>
      <c r="H13" s="5">
        <v>4904182843249</v>
      </c>
      <c r="I13" s="5">
        <v>5</v>
      </c>
      <c r="J13" s="5"/>
      <c r="K13" s="5">
        <v>1</v>
      </c>
      <c r="L13" s="5">
        <v>1</v>
      </c>
      <c r="M13" s="4">
        <v>0</v>
      </c>
      <c r="N13" s="4">
        <v>123</v>
      </c>
      <c r="O13" s="4">
        <v>77</v>
      </c>
      <c r="P13" s="6">
        <f t="shared" si="1"/>
        <v>0.37398373983739841</v>
      </c>
      <c r="Q13" s="4" t="s">
        <v>259</v>
      </c>
      <c r="R13" s="4"/>
      <c r="S13" s="4"/>
      <c r="T13" s="4"/>
      <c r="U13" s="4"/>
      <c r="V13" s="4"/>
      <c r="W13" s="4"/>
      <c r="X13" s="4"/>
      <c r="Y13" s="4"/>
      <c r="Z13" s="4">
        <v>0</v>
      </c>
      <c r="AA13" s="4">
        <f t="shared" si="2"/>
        <v>0</v>
      </c>
      <c r="AB13" s="4">
        <v>91</v>
      </c>
      <c r="AC13" s="4">
        <f t="shared" si="3"/>
        <v>91</v>
      </c>
      <c r="AD13" s="4"/>
      <c r="AE13" s="21">
        <f t="shared" si="4"/>
        <v>145</v>
      </c>
      <c r="AF13" s="6">
        <f t="shared" si="5"/>
        <v>0.37241379310344824</v>
      </c>
      <c r="AG13" s="33">
        <v>3.75</v>
      </c>
      <c r="AH13" s="4">
        <f t="shared" si="6"/>
        <v>145</v>
      </c>
      <c r="AI13" s="33">
        <f t="shared" si="7"/>
        <v>171.36363636363637</v>
      </c>
      <c r="AJ13" s="6">
        <f t="shared" si="8"/>
        <v>0.46896551724137936</v>
      </c>
      <c r="AK13" s="7">
        <v>145</v>
      </c>
      <c r="AL13" s="6">
        <f t="shared" si="9"/>
        <v>0.37241379310344824</v>
      </c>
      <c r="AM13" s="4">
        <f t="shared" si="10"/>
        <v>54</v>
      </c>
      <c r="AN13" s="28"/>
      <c r="AO13" s="6"/>
      <c r="AP13" s="6"/>
      <c r="AQ13" s="6" t="str">
        <f t="shared" si="11"/>
        <v>-</v>
      </c>
      <c r="AR13" s="6">
        <f t="shared" si="12"/>
        <v>1.1788617886178863</v>
      </c>
      <c r="AS13" s="6">
        <f t="shared" si="13"/>
        <v>1.1818181818181819</v>
      </c>
      <c r="AT13" s="4"/>
      <c r="AU13" s="4"/>
      <c r="AV13" s="4"/>
      <c r="AW13" s="4"/>
      <c r="AX13" s="4"/>
      <c r="AY13" s="4"/>
      <c r="AZ13" s="4"/>
      <c r="BA13" s="4"/>
      <c r="BB13" s="4"/>
      <c r="BC13" s="4">
        <v>0</v>
      </c>
      <c r="BD13" s="4" t="s">
        <v>476</v>
      </c>
      <c r="BE13" s="4"/>
      <c r="BF13" s="4"/>
      <c r="BG13" s="4" t="s">
        <v>477</v>
      </c>
      <c r="BH13" s="4">
        <v>120</v>
      </c>
      <c r="BI13" s="4">
        <v>145</v>
      </c>
      <c r="BJ13" s="4">
        <f t="shared" si="14"/>
        <v>145</v>
      </c>
      <c r="BK13" s="19">
        <v>4</v>
      </c>
      <c r="BL13" s="19">
        <v>1</v>
      </c>
      <c r="BM13" s="16">
        <v>18051505</v>
      </c>
      <c r="BN13" t="s">
        <v>258</v>
      </c>
      <c r="BO13" t="s">
        <v>258</v>
      </c>
      <c r="BP13" t="str">
        <f t="shared" si="15"/>
        <v>-</v>
      </c>
      <c r="BQ13" t="s">
        <v>258</v>
      </c>
      <c r="BR13" t="s">
        <v>258</v>
      </c>
      <c r="BS13" t="str">
        <f t="shared" si="16"/>
        <v>-</v>
      </c>
      <c r="BT13" s="4" t="s">
        <v>358</v>
      </c>
    </row>
    <row r="14" spans="1:72" x14ac:dyDescent="0.4">
      <c r="A14" s="3">
        <v>99</v>
      </c>
      <c r="B14" s="3">
        <v>99</v>
      </c>
      <c r="C14" s="4" t="s">
        <v>142</v>
      </c>
      <c r="D14" s="4" t="str">
        <f t="shared" si="0"/>
        <v>J20890</v>
      </c>
      <c r="E14" s="4" t="s">
        <v>142</v>
      </c>
      <c r="F14" s="4" t="str">
        <f t="shared" si="17"/>
        <v>J208905</v>
      </c>
      <c r="G14" s="4" t="s">
        <v>247</v>
      </c>
      <c r="H14" s="5">
        <v>4904182843256</v>
      </c>
      <c r="I14" s="5">
        <v>5</v>
      </c>
      <c r="J14" s="5"/>
      <c r="K14" s="5">
        <v>1</v>
      </c>
      <c r="L14" s="5">
        <v>1</v>
      </c>
      <c r="M14" s="4">
        <v>0</v>
      </c>
      <c r="N14" s="4">
        <v>123</v>
      </c>
      <c r="O14" s="4">
        <v>77</v>
      </c>
      <c r="P14" s="6">
        <f t="shared" si="1"/>
        <v>0.37398373983739841</v>
      </c>
      <c r="Q14" s="4" t="s">
        <v>259</v>
      </c>
      <c r="R14" s="4"/>
      <c r="S14" s="4"/>
      <c r="T14" s="4"/>
      <c r="U14" s="4"/>
      <c r="V14" s="4"/>
      <c r="W14" s="4"/>
      <c r="X14" s="4"/>
      <c r="Y14" s="4"/>
      <c r="Z14" s="4">
        <v>0</v>
      </c>
      <c r="AA14" s="4">
        <f t="shared" si="2"/>
        <v>0</v>
      </c>
      <c r="AB14" s="4">
        <v>91</v>
      </c>
      <c r="AC14" s="4">
        <f t="shared" si="3"/>
        <v>91</v>
      </c>
      <c r="AD14" s="4"/>
      <c r="AE14" s="21">
        <f t="shared" si="4"/>
        <v>145</v>
      </c>
      <c r="AF14" s="6">
        <f t="shared" si="5"/>
        <v>0.37241379310344824</v>
      </c>
      <c r="AG14" s="33">
        <v>2</v>
      </c>
      <c r="AH14" s="4">
        <f t="shared" si="6"/>
        <v>145</v>
      </c>
      <c r="AI14" s="33">
        <f t="shared" si="7"/>
        <v>171.36363636363637</v>
      </c>
      <c r="AJ14" s="6">
        <f t="shared" si="8"/>
        <v>0.46896551724137936</v>
      </c>
      <c r="AK14" s="7">
        <v>145</v>
      </c>
      <c r="AL14" s="6">
        <f t="shared" si="9"/>
        <v>0.37241379310344824</v>
      </c>
      <c r="AM14" s="4">
        <f t="shared" si="10"/>
        <v>54</v>
      </c>
      <c r="AN14" s="28"/>
      <c r="AO14" s="6"/>
      <c r="AP14" s="6"/>
      <c r="AQ14" s="6" t="str">
        <f t="shared" si="11"/>
        <v>-</v>
      </c>
      <c r="AR14" s="6">
        <f t="shared" si="12"/>
        <v>1.1788617886178863</v>
      </c>
      <c r="AS14" s="6">
        <f t="shared" si="13"/>
        <v>1.1818181818181819</v>
      </c>
      <c r="AT14" s="4"/>
      <c r="AU14" s="4"/>
      <c r="AV14" s="4"/>
      <c r="AW14" s="4"/>
      <c r="AX14" s="4"/>
      <c r="AY14" s="4"/>
      <c r="AZ14" s="4"/>
      <c r="BA14" s="4"/>
      <c r="BB14" s="4"/>
      <c r="BC14" s="4">
        <v>0</v>
      </c>
      <c r="BD14" s="4" t="s">
        <v>478</v>
      </c>
      <c r="BE14" s="4"/>
      <c r="BF14" s="4"/>
      <c r="BG14" s="4" t="s">
        <v>479</v>
      </c>
      <c r="BH14" s="4">
        <v>120</v>
      </c>
      <c r="BI14" s="4">
        <v>145</v>
      </c>
      <c r="BJ14" s="4">
        <f t="shared" si="14"/>
        <v>145</v>
      </c>
      <c r="BK14" s="19">
        <v>4</v>
      </c>
      <c r="BL14" s="19">
        <v>1</v>
      </c>
      <c r="BM14" s="16">
        <v>18051505</v>
      </c>
      <c r="BN14" t="s">
        <v>258</v>
      </c>
      <c r="BO14" t="s">
        <v>258</v>
      </c>
      <c r="BP14" t="str">
        <f t="shared" si="15"/>
        <v>-</v>
      </c>
      <c r="BQ14" t="s">
        <v>258</v>
      </c>
      <c r="BR14" t="s">
        <v>258</v>
      </c>
      <c r="BS14" t="str">
        <f t="shared" si="16"/>
        <v>-</v>
      </c>
      <c r="BT14" s="4" t="s">
        <v>359</v>
      </c>
    </row>
    <row r="15" spans="1:72" x14ac:dyDescent="0.4">
      <c r="A15" s="3">
        <v>100</v>
      </c>
      <c r="B15" s="3">
        <v>100</v>
      </c>
      <c r="C15" s="4" t="s">
        <v>143</v>
      </c>
      <c r="D15" s="4" t="str">
        <f t="shared" si="0"/>
        <v>J20891</v>
      </c>
      <c r="E15" s="4" t="s">
        <v>143</v>
      </c>
      <c r="F15" s="4" t="str">
        <f t="shared" si="17"/>
        <v>J208915</v>
      </c>
      <c r="G15" s="4" t="s">
        <v>248</v>
      </c>
      <c r="H15" s="5">
        <v>4904182843263</v>
      </c>
      <c r="I15" s="5">
        <v>5</v>
      </c>
      <c r="J15" s="5"/>
      <c r="K15" s="5">
        <v>1</v>
      </c>
      <c r="L15" s="5">
        <v>1</v>
      </c>
      <c r="M15" s="4">
        <v>0</v>
      </c>
      <c r="N15" s="4">
        <v>123</v>
      </c>
      <c r="O15" s="4">
        <v>77</v>
      </c>
      <c r="P15" s="6">
        <f t="shared" si="1"/>
        <v>0.37398373983739841</v>
      </c>
      <c r="Q15" s="4" t="s">
        <v>259</v>
      </c>
      <c r="R15" s="4"/>
      <c r="S15" s="4"/>
      <c r="T15" s="4"/>
      <c r="U15" s="4"/>
      <c r="V15" s="4"/>
      <c r="W15" s="4"/>
      <c r="X15" s="4"/>
      <c r="Y15" s="4"/>
      <c r="Z15" s="4">
        <v>0</v>
      </c>
      <c r="AA15" s="4">
        <f t="shared" si="2"/>
        <v>0</v>
      </c>
      <c r="AB15" s="4">
        <v>91</v>
      </c>
      <c r="AC15" s="4">
        <f t="shared" si="3"/>
        <v>91</v>
      </c>
      <c r="AD15" s="4"/>
      <c r="AE15" s="21">
        <f t="shared" si="4"/>
        <v>145</v>
      </c>
      <c r="AF15" s="6">
        <f t="shared" si="5"/>
        <v>0.37241379310344824</v>
      </c>
      <c r="AG15" s="33">
        <v>1</v>
      </c>
      <c r="AH15" s="4">
        <f t="shared" si="6"/>
        <v>145</v>
      </c>
      <c r="AI15" s="33">
        <f t="shared" si="7"/>
        <v>171.36363636363637</v>
      </c>
      <c r="AJ15" s="6">
        <f t="shared" si="8"/>
        <v>0.46896551724137936</v>
      </c>
      <c r="AK15" s="7">
        <v>145</v>
      </c>
      <c r="AL15" s="6">
        <f t="shared" si="9"/>
        <v>0.37241379310344824</v>
      </c>
      <c r="AM15" s="4">
        <f t="shared" si="10"/>
        <v>54</v>
      </c>
      <c r="AN15" s="28"/>
      <c r="AO15" s="6"/>
      <c r="AP15" s="6"/>
      <c r="AQ15" s="6" t="str">
        <f t="shared" si="11"/>
        <v>-</v>
      </c>
      <c r="AR15" s="6">
        <f t="shared" si="12"/>
        <v>1.1788617886178863</v>
      </c>
      <c r="AS15" s="6">
        <f t="shared" si="13"/>
        <v>1.1818181818181819</v>
      </c>
      <c r="AT15" s="4"/>
      <c r="AU15" s="4"/>
      <c r="AV15" s="4"/>
      <c r="AW15" s="4"/>
      <c r="AX15" s="4"/>
      <c r="AY15" s="4"/>
      <c r="AZ15" s="4"/>
      <c r="BA15" s="4"/>
      <c r="BB15" s="4"/>
      <c r="BC15" s="4">
        <v>0</v>
      </c>
      <c r="BD15" s="4" t="s">
        <v>480</v>
      </c>
      <c r="BE15" s="4"/>
      <c r="BF15" s="4"/>
      <c r="BG15" s="4" t="s">
        <v>481</v>
      </c>
      <c r="BH15" s="4">
        <v>120</v>
      </c>
      <c r="BI15" s="4">
        <v>145</v>
      </c>
      <c r="BJ15" s="4">
        <f t="shared" si="14"/>
        <v>145</v>
      </c>
      <c r="BK15" s="19">
        <v>4</v>
      </c>
      <c r="BL15" s="19">
        <v>8</v>
      </c>
      <c r="BM15" s="16">
        <v>18051505</v>
      </c>
      <c r="BN15" t="s">
        <v>258</v>
      </c>
      <c r="BO15" t="s">
        <v>258</v>
      </c>
      <c r="BP15" t="str">
        <f t="shared" si="15"/>
        <v>-</v>
      </c>
      <c r="BQ15" t="s">
        <v>258</v>
      </c>
      <c r="BR15" t="s">
        <v>258</v>
      </c>
      <c r="BS15" t="str">
        <f t="shared" si="16"/>
        <v>-</v>
      </c>
      <c r="BT15" s="4" t="s">
        <v>360</v>
      </c>
    </row>
    <row r="16" spans="1:72" x14ac:dyDescent="0.4">
      <c r="A16" s="3">
        <v>101</v>
      </c>
      <c r="B16" s="3">
        <v>101</v>
      </c>
      <c r="C16" s="4" t="s">
        <v>144</v>
      </c>
      <c r="D16" s="4" t="str">
        <f t="shared" si="0"/>
        <v>J20892</v>
      </c>
      <c r="E16" s="4" t="s">
        <v>144</v>
      </c>
      <c r="F16" s="4" t="str">
        <f t="shared" si="17"/>
        <v>J208925</v>
      </c>
      <c r="G16" s="4" t="s">
        <v>249</v>
      </c>
      <c r="H16" s="5">
        <v>4904182843270</v>
      </c>
      <c r="I16" s="5">
        <v>5</v>
      </c>
      <c r="J16" s="5"/>
      <c r="K16" s="5">
        <v>1</v>
      </c>
      <c r="L16" s="5">
        <v>1</v>
      </c>
      <c r="M16" s="4">
        <v>0</v>
      </c>
      <c r="N16" s="4">
        <v>123</v>
      </c>
      <c r="O16" s="4">
        <v>77</v>
      </c>
      <c r="P16" s="6">
        <f t="shared" si="1"/>
        <v>0.37398373983739841</v>
      </c>
      <c r="Q16" s="4" t="s">
        <v>259</v>
      </c>
      <c r="R16" s="4"/>
      <c r="S16" s="4"/>
      <c r="T16" s="4"/>
      <c r="U16" s="4"/>
      <c r="V16" s="4"/>
      <c r="W16" s="4"/>
      <c r="X16" s="4"/>
      <c r="Y16" s="4"/>
      <c r="Z16" s="4">
        <v>0</v>
      </c>
      <c r="AA16" s="4">
        <f t="shared" si="2"/>
        <v>0</v>
      </c>
      <c r="AB16" s="4">
        <v>91</v>
      </c>
      <c r="AC16" s="4">
        <f t="shared" si="3"/>
        <v>91</v>
      </c>
      <c r="AD16" s="4"/>
      <c r="AE16" s="21">
        <f t="shared" si="4"/>
        <v>145</v>
      </c>
      <c r="AF16" s="6">
        <f t="shared" si="5"/>
        <v>0.37241379310344824</v>
      </c>
      <c r="AG16" s="33">
        <v>2.5</v>
      </c>
      <c r="AH16" s="4">
        <f t="shared" si="6"/>
        <v>145</v>
      </c>
      <c r="AI16" s="33">
        <f t="shared" si="7"/>
        <v>171.36363636363637</v>
      </c>
      <c r="AJ16" s="6">
        <f t="shared" si="8"/>
        <v>0.46896551724137936</v>
      </c>
      <c r="AK16" s="7">
        <v>145</v>
      </c>
      <c r="AL16" s="6">
        <f t="shared" si="9"/>
        <v>0.37241379310344824</v>
      </c>
      <c r="AM16" s="4">
        <f t="shared" si="10"/>
        <v>54</v>
      </c>
      <c r="AN16" s="28"/>
      <c r="AO16" s="6"/>
      <c r="AP16" s="6"/>
      <c r="AQ16" s="6" t="str">
        <f t="shared" si="11"/>
        <v>-</v>
      </c>
      <c r="AR16" s="6">
        <f t="shared" si="12"/>
        <v>1.1788617886178863</v>
      </c>
      <c r="AS16" s="6">
        <f t="shared" si="13"/>
        <v>1.1818181818181819</v>
      </c>
      <c r="AT16" s="4"/>
      <c r="AU16" s="4"/>
      <c r="AV16" s="4"/>
      <c r="AW16" s="4"/>
      <c r="AX16" s="4"/>
      <c r="AY16" s="4"/>
      <c r="AZ16" s="4"/>
      <c r="BA16" s="4"/>
      <c r="BB16" s="4"/>
      <c r="BC16" s="4">
        <v>0</v>
      </c>
      <c r="BD16" s="4" t="s">
        <v>482</v>
      </c>
      <c r="BE16" s="4"/>
      <c r="BF16" s="4"/>
      <c r="BG16" s="4" t="s">
        <v>483</v>
      </c>
      <c r="BH16" s="4">
        <v>120</v>
      </c>
      <c r="BI16" s="4">
        <v>145</v>
      </c>
      <c r="BJ16" s="4">
        <f t="shared" si="14"/>
        <v>145</v>
      </c>
      <c r="BK16" s="19">
        <v>4</v>
      </c>
      <c r="BL16" s="19">
        <v>8</v>
      </c>
      <c r="BM16" s="16">
        <v>18051505</v>
      </c>
      <c r="BN16" t="s">
        <v>258</v>
      </c>
      <c r="BO16" t="s">
        <v>258</v>
      </c>
      <c r="BP16" t="str">
        <f t="shared" si="15"/>
        <v>-</v>
      </c>
      <c r="BQ16" t="s">
        <v>258</v>
      </c>
      <c r="BR16" t="s">
        <v>258</v>
      </c>
      <c r="BS16" t="str">
        <f t="shared" si="16"/>
        <v>-</v>
      </c>
      <c r="BT16" s="4" t="s">
        <v>361</v>
      </c>
    </row>
    <row r="17" spans="1:72" x14ac:dyDescent="0.4">
      <c r="A17" s="3">
        <v>102</v>
      </c>
      <c r="B17" s="3">
        <v>102</v>
      </c>
      <c r="C17" s="4" t="s">
        <v>145</v>
      </c>
      <c r="D17" s="4" t="str">
        <f t="shared" si="0"/>
        <v>J20885</v>
      </c>
      <c r="E17" s="4" t="s">
        <v>145</v>
      </c>
      <c r="F17" s="4" t="str">
        <f t="shared" si="17"/>
        <v>J208855</v>
      </c>
      <c r="G17" s="4" t="s">
        <v>250</v>
      </c>
      <c r="H17" s="5">
        <v>4904182848718</v>
      </c>
      <c r="I17" s="5">
        <v>5</v>
      </c>
      <c r="J17" s="5"/>
      <c r="K17" s="5">
        <v>1</v>
      </c>
      <c r="L17" s="5">
        <v>1</v>
      </c>
      <c r="M17" s="4">
        <v>0</v>
      </c>
      <c r="N17" s="4">
        <v>496</v>
      </c>
      <c r="O17" s="4">
        <v>321</v>
      </c>
      <c r="P17" s="6">
        <f t="shared" si="1"/>
        <v>0.35282258064516125</v>
      </c>
      <c r="Q17" s="4" t="s">
        <v>259</v>
      </c>
      <c r="R17" s="4"/>
      <c r="S17" s="4"/>
      <c r="T17" s="4"/>
      <c r="U17" s="4"/>
      <c r="V17" s="4"/>
      <c r="W17" s="4"/>
      <c r="X17" s="4"/>
      <c r="Y17" s="4"/>
      <c r="Z17" s="4">
        <v>0</v>
      </c>
      <c r="AA17" s="4">
        <f t="shared" si="2"/>
        <v>0</v>
      </c>
      <c r="AB17" s="4">
        <v>366</v>
      </c>
      <c r="AC17" s="4">
        <f t="shared" si="3"/>
        <v>366</v>
      </c>
      <c r="AD17" s="4"/>
      <c r="AE17" s="21">
        <f t="shared" si="4"/>
        <v>566</v>
      </c>
      <c r="AF17" s="6">
        <f t="shared" si="5"/>
        <v>0.35335689045936391</v>
      </c>
      <c r="AG17" s="33">
        <v>4.5</v>
      </c>
      <c r="AH17" s="4">
        <f t="shared" si="6"/>
        <v>652.77777777777771</v>
      </c>
      <c r="AI17" s="33">
        <f t="shared" si="7"/>
        <v>744.28868120456889</v>
      </c>
      <c r="AJ17" s="6">
        <f t="shared" si="8"/>
        <v>0.50825531914893607</v>
      </c>
      <c r="AK17" s="7">
        <v>580</v>
      </c>
      <c r="AL17" s="6">
        <f t="shared" si="9"/>
        <v>0.36896551724137927</v>
      </c>
      <c r="AM17" s="4">
        <f t="shared" si="10"/>
        <v>214</v>
      </c>
      <c r="AN17" s="28"/>
      <c r="AO17" s="6"/>
      <c r="AP17" s="6"/>
      <c r="AQ17" s="6" t="str">
        <f t="shared" si="11"/>
        <v>-</v>
      </c>
      <c r="AR17" s="6">
        <f t="shared" si="12"/>
        <v>1.1693548387096775</v>
      </c>
      <c r="AS17" s="6">
        <f t="shared" si="13"/>
        <v>1.1401869158878504</v>
      </c>
      <c r="AT17" s="4"/>
      <c r="AU17" s="4"/>
      <c r="AV17" s="4"/>
      <c r="AW17" s="4"/>
      <c r="AX17" s="4"/>
      <c r="AY17" s="4"/>
      <c r="AZ17" s="4"/>
      <c r="BA17" s="4"/>
      <c r="BB17" s="4"/>
      <c r="BC17" s="4">
        <v>0</v>
      </c>
      <c r="BD17" s="4" t="s">
        <v>484</v>
      </c>
      <c r="BE17" s="4">
        <v>1</v>
      </c>
      <c r="BF17" s="4">
        <v>36</v>
      </c>
      <c r="BG17" s="4" t="s">
        <v>485</v>
      </c>
      <c r="BH17" s="4">
        <v>23500</v>
      </c>
      <c r="BI17" s="4">
        <v>23500</v>
      </c>
      <c r="BJ17" s="4">
        <f t="shared" si="14"/>
        <v>652.77777777777771</v>
      </c>
      <c r="BK17" s="19">
        <v>4</v>
      </c>
      <c r="BL17" s="19">
        <v>1</v>
      </c>
      <c r="BM17" s="16">
        <v>18052005</v>
      </c>
      <c r="BN17" t="s">
        <v>258</v>
      </c>
      <c r="BO17" t="s">
        <v>258</v>
      </c>
      <c r="BP17" t="str">
        <f t="shared" si="15"/>
        <v>-</v>
      </c>
      <c r="BQ17" t="s">
        <v>258</v>
      </c>
      <c r="BR17" t="s">
        <v>258</v>
      </c>
      <c r="BS17" t="str">
        <f t="shared" si="16"/>
        <v>-</v>
      </c>
      <c r="BT17" s="4" t="s">
        <v>362</v>
      </c>
    </row>
    <row r="18" spans="1:72" x14ac:dyDescent="0.4">
      <c r="A18" s="3">
        <v>103</v>
      </c>
      <c r="B18" s="3">
        <v>103</v>
      </c>
      <c r="C18" s="4" t="s">
        <v>146</v>
      </c>
      <c r="D18" s="4" t="str">
        <f t="shared" si="0"/>
        <v>J20886</v>
      </c>
      <c r="E18" s="4" t="s">
        <v>146</v>
      </c>
      <c r="F18" s="4" t="str">
        <f t="shared" si="17"/>
        <v>J208865</v>
      </c>
      <c r="G18" s="4" t="s">
        <v>251</v>
      </c>
      <c r="H18" s="5">
        <v>4904182850452</v>
      </c>
      <c r="I18" s="5">
        <v>5</v>
      </c>
      <c r="J18" s="5"/>
      <c r="K18" s="5">
        <v>1</v>
      </c>
      <c r="L18" s="5">
        <v>1</v>
      </c>
      <c r="M18" s="4">
        <v>0</v>
      </c>
      <c r="N18" s="4">
        <v>324</v>
      </c>
      <c r="O18" s="4">
        <v>206</v>
      </c>
      <c r="P18" s="6">
        <f t="shared" si="1"/>
        <v>0.36419753086419748</v>
      </c>
      <c r="Q18" s="4" t="s">
        <v>259</v>
      </c>
      <c r="R18" s="4"/>
      <c r="S18" s="4"/>
      <c r="T18" s="4"/>
      <c r="U18" s="4"/>
      <c r="V18" s="4"/>
      <c r="W18" s="4"/>
      <c r="X18" s="4"/>
      <c r="Y18" s="4"/>
      <c r="Z18" s="4">
        <v>0</v>
      </c>
      <c r="AA18" s="4">
        <f t="shared" si="2"/>
        <v>0</v>
      </c>
      <c r="AB18" s="4">
        <v>243</v>
      </c>
      <c r="AC18" s="4">
        <f t="shared" si="3"/>
        <v>243</v>
      </c>
      <c r="AD18" s="4"/>
      <c r="AE18" s="21">
        <f t="shared" si="4"/>
        <v>382</v>
      </c>
      <c r="AF18" s="6">
        <f t="shared" si="5"/>
        <v>0.36387434554973819</v>
      </c>
      <c r="AG18" s="33">
        <v>22.75</v>
      </c>
      <c r="AH18" s="4" t="e">
        <f t="shared" si="6"/>
        <v>#VALUE!</v>
      </c>
      <c r="AI18" s="33" t="str">
        <f t="shared" si="7"/>
        <v>-</v>
      </c>
      <c r="AJ18" s="6" t="str">
        <f t="shared" si="8"/>
        <v>-</v>
      </c>
      <c r="AK18" s="7">
        <v>357</v>
      </c>
      <c r="AL18" s="6">
        <f t="shared" si="9"/>
        <v>0.31932773109243695</v>
      </c>
      <c r="AM18" s="4">
        <f t="shared" si="10"/>
        <v>114</v>
      </c>
      <c r="AN18" s="28"/>
      <c r="AO18" s="6"/>
      <c r="AP18" s="6"/>
      <c r="AQ18" s="6" t="str">
        <f t="shared" si="11"/>
        <v>-</v>
      </c>
      <c r="AR18" s="6">
        <f t="shared" si="12"/>
        <v>1.1018518518518519</v>
      </c>
      <c r="AS18" s="6">
        <f t="shared" si="13"/>
        <v>1.1796116504854368</v>
      </c>
      <c r="AT18" s="4"/>
      <c r="AU18" s="4"/>
      <c r="AV18" s="4"/>
      <c r="AW18" s="4"/>
      <c r="AX18" s="4"/>
      <c r="AY18" s="4"/>
      <c r="AZ18" s="4"/>
      <c r="BA18" s="4"/>
      <c r="BB18" s="4"/>
      <c r="BC18" s="4">
        <v>0</v>
      </c>
      <c r="BD18" s="4" t="s">
        <v>486</v>
      </c>
      <c r="BE18" s="4">
        <v>1</v>
      </c>
      <c r="BF18" s="4">
        <v>40</v>
      </c>
      <c r="BG18" s="4" t="s">
        <v>487</v>
      </c>
      <c r="BH18" s="4">
        <v>12120</v>
      </c>
      <c r="BI18" s="4" t="s">
        <v>258</v>
      </c>
      <c r="BJ18" s="4" t="e">
        <f t="shared" si="14"/>
        <v>#VALUE!</v>
      </c>
      <c r="BK18" s="19">
        <v>4</v>
      </c>
      <c r="BL18" s="19">
        <v>1</v>
      </c>
      <c r="BM18" s="16">
        <v>18052505</v>
      </c>
      <c r="BN18" t="s">
        <v>258</v>
      </c>
      <c r="BO18" t="s">
        <v>258</v>
      </c>
      <c r="BP18" t="str">
        <f t="shared" si="15"/>
        <v>-</v>
      </c>
      <c r="BQ18">
        <v>388</v>
      </c>
      <c r="BR18">
        <v>388</v>
      </c>
      <c r="BS18">
        <f t="shared" si="16"/>
        <v>457.68932038834947</v>
      </c>
      <c r="BT18" s="4" t="s">
        <v>363</v>
      </c>
    </row>
    <row r="19" spans="1:72" x14ac:dyDescent="0.4">
      <c r="A19" s="3">
        <v>105</v>
      </c>
      <c r="B19" s="3">
        <v>105</v>
      </c>
      <c r="C19" s="4" t="s">
        <v>148</v>
      </c>
      <c r="D19" s="4" t="str">
        <f t="shared" si="0"/>
        <v>J20894</v>
      </c>
      <c r="E19" s="4" t="s">
        <v>148</v>
      </c>
      <c r="F19" s="4" t="str">
        <f t="shared" si="17"/>
        <v>J208945</v>
      </c>
      <c r="G19" s="4" t="s">
        <v>253</v>
      </c>
      <c r="H19" s="5">
        <v>4904182851268</v>
      </c>
      <c r="I19" s="5">
        <v>5</v>
      </c>
      <c r="J19" s="5"/>
      <c r="K19" s="5">
        <v>1</v>
      </c>
      <c r="L19" s="5">
        <v>1</v>
      </c>
      <c r="M19" s="4">
        <v>0</v>
      </c>
      <c r="N19" s="4">
        <v>552</v>
      </c>
      <c r="O19" s="4">
        <v>400</v>
      </c>
      <c r="P19" s="6">
        <f t="shared" si="1"/>
        <v>0.27536231884057971</v>
      </c>
      <c r="Q19" s="4" t="s">
        <v>259</v>
      </c>
      <c r="R19" s="4"/>
      <c r="S19" s="4"/>
      <c r="T19" s="4"/>
      <c r="U19" s="4"/>
      <c r="V19" s="4"/>
      <c r="W19" s="4"/>
      <c r="X19" s="4"/>
      <c r="Y19" s="4"/>
      <c r="Z19" s="4">
        <v>0</v>
      </c>
      <c r="AA19" s="4">
        <f t="shared" si="2"/>
        <v>0</v>
      </c>
      <c r="AB19" s="4">
        <v>476</v>
      </c>
      <c r="AC19" s="4">
        <f t="shared" si="3"/>
        <v>476</v>
      </c>
      <c r="AD19" s="4"/>
      <c r="AE19" s="21">
        <f t="shared" si="4"/>
        <v>657</v>
      </c>
      <c r="AF19" s="6">
        <f t="shared" si="5"/>
        <v>0.27549467275494677</v>
      </c>
      <c r="AG19" s="33">
        <v>5.75</v>
      </c>
      <c r="AH19" s="4">
        <f t="shared" si="6"/>
        <v>1139.875</v>
      </c>
      <c r="AI19" s="33">
        <f t="shared" si="7"/>
        <v>1356.4512499999998</v>
      </c>
      <c r="AJ19" s="6">
        <f t="shared" si="8"/>
        <v>0.64908432942208572</v>
      </c>
      <c r="AK19" s="7">
        <v>710</v>
      </c>
      <c r="AL19" s="6">
        <f t="shared" si="9"/>
        <v>0.3295774647887324</v>
      </c>
      <c r="AM19" s="4">
        <f t="shared" si="10"/>
        <v>234</v>
      </c>
      <c r="AN19" s="28"/>
      <c r="AO19" s="6"/>
      <c r="AP19" s="6"/>
      <c r="AQ19" s="6" t="str">
        <f t="shared" si="11"/>
        <v>-</v>
      </c>
      <c r="AR19" s="6">
        <f t="shared" si="12"/>
        <v>1.286231884057971</v>
      </c>
      <c r="AS19" s="6">
        <f t="shared" si="13"/>
        <v>1.19</v>
      </c>
      <c r="AT19" s="4"/>
      <c r="AU19" s="4"/>
      <c r="AV19" s="4"/>
      <c r="AW19" s="4"/>
      <c r="AX19" s="4"/>
      <c r="AY19" s="4"/>
      <c r="AZ19" s="4"/>
      <c r="BA19" s="4"/>
      <c r="BB19" s="4"/>
      <c r="BC19" s="4">
        <v>0</v>
      </c>
      <c r="BD19" s="4" t="s">
        <v>490</v>
      </c>
      <c r="BE19" s="4">
        <v>1</v>
      </c>
      <c r="BF19" s="4">
        <v>16</v>
      </c>
      <c r="BG19" s="4" t="s">
        <v>491</v>
      </c>
      <c r="BH19" s="4">
        <v>18238</v>
      </c>
      <c r="BI19" s="4">
        <v>18238</v>
      </c>
      <c r="BJ19" s="4">
        <f t="shared" si="14"/>
        <v>1139.875</v>
      </c>
      <c r="BK19" s="19">
        <v>4</v>
      </c>
      <c r="BL19" s="19">
        <v>1</v>
      </c>
      <c r="BM19" s="16">
        <v>18052505</v>
      </c>
      <c r="BN19" t="s">
        <v>258</v>
      </c>
      <c r="BO19" t="s">
        <v>258</v>
      </c>
      <c r="BP19" t="str">
        <f t="shared" si="15"/>
        <v>-</v>
      </c>
      <c r="BQ19" t="s">
        <v>258</v>
      </c>
      <c r="BR19" t="s">
        <v>258</v>
      </c>
      <c r="BS19" t="str">
        <f t="shared" si="16"/>
        <v>-</v>
      </c>
      <c r="BT19" s="4" t="s">
        <v>365</v>
      </c>
    </row>
    <row r="20" spans="1:72" x14ac:dyDescent="0.4">
      <c r="A20" s="3">
        <v>104</v>
      </c>
      <c r="B20" s="3">
        <v>104</v>
      </c>
      <c r="C20" s="4" t="s">
        <v>147</v>
      </c>
      <c r="D20" s="4" t="str">
        <f t="shared" si="0"/>
        <v>J20893</v>
      </c>
      <c r="E20" s="4" t="s">
        <v>147</v>
      </c>
      <c r="F20" s="4" t="str">
        <f t="shared" si="17"/>
        <v>J208935</v>
      </c>
      <c r="G20" s="4" t="s">
        <v>252</v>
      </c>
      <c r="H20" s="5">
        <v>4904182850599</v>
      </c>
      <c r="I20" s="5">
        <v>5</v>
      </c>
      <c r="J20" s="5"/>
      <c r="K20" s="5">
        <v>1</v>
      </c>
      <c r="L20" s="5">
        <v>1</v>
      </c>
      <c r="M20" s="4">
        <v>0</v>
      </c>
      <c r="N20" s="4">
        <v>1052</v>
      </c>
      <c r="O20" s="4">
        <v>664</v>
      </c>
      <c r="P20" s="6">
        <f t="shared" si="1"/>
        <v>0.36882129277566544</v>
      </c>
      <c r="Q20" s="4" t="s">
        <v>259</v>
      </c>
      <c r="R20" s="4"/>
      <c r="S20" s="4"/>
      <c r="T20" s="4"/>
      <c r="U20" s="4"/>
      <c r="V20" s="4"/>
      <c r="W20" s="4"/>
      <c r="X20" s="4"/>
      <c r="Y20" s="4"/>
      <c r="Z20" s="4">
        <v>0</v>
      </c>
      <c r="AA20" s="4">
        <f t="shared" si="2"/>
        <v>0</v>
      </c>
      <c r="AB20" s="4">
        <v>775</v>
      </c>
      <c r="AC20" s="4">
        <f t="shared" si="3"/>
        <v>775</v>
      </c>
      <c r="AD20" s="4"/>
      <c r="AE20" s="21">
        <f t="shared" si="4"/>
        <v>1228</v>
      </c>
      <c r="AF20" s="6">
        <f t="shared" si="5"/>
        <v>0.36889250814332253</v>
      </c>
      <c r="AG20" s="33">
        <v>5.25</v>
      </c>
      <c r="AH20" s="4">
        <f t="shared" si="6"/>
        <v>1406.5</v>
      </c>
      <c r="AI20" s="33">
        <f t="shared" si="7"/>
        <v>1641.6227409638554</v>
      </c>
      <c r="AJ20" s="6">
        <f t="shared" si="8"/>
        <v>0.52790615001777463</v>
      </c>
      <c r="AK20" s="7">
        <v>1250</v>
      </c>
      <c r="AL20" s="6">
        <f t="shared" si="9"/>
        <v>0.38</v>
      </c>
      <c r="AM20" s="4">
        <f t="shared" si="10"/>
        <v>475</v>
      </c>
      <c r="AN20" s="28"/>
      <c r="AO20" s="6"/>
      <c r="AP20" s="6"/>
      <c r="AQ20" s="6" t="str">
        <f t="shared" si="11"/>
        <v>-</v>
      </c>
      <c r="AR20" s="6">
        <f t="shared" si="12"/>
        <v>1.188212927756654</v>
      </c>
      <c r="AS20" s="6">
        <f t="shared" si="13"/>
        <v>1.1671686746987953</v>
      </c>
      <c r="AT20" s="4"/>
      <c r="AU20" s="4"/>
      <c r="AV20" s="4"/>
      <c r="AW20" s="4"/>
      <c r="AX20" s="4"/>
      <c r="AY20" s="4"/>
      <c r="AZ20" s="4"/>
      <c r="BA20" s="4"/>
      <c r="BB20" s="4"/>
      <c r="BC20" s="4">
        <v>0</v>
      </c>
      <c r="BD20" s="4" t="s">
        <v>488</v>
      </c>
      <c r="BE20" s="4">
        <v>1</v>
      </c>
      <c r="BF20" s="4">
        <v>12</v>
      </c>
      <c r="BG20" s="4" t="s">
        <v>489</v>
      </c>
      <c r="BH20" s="4">
        <v>16878</v>
      </c>
      <c r="BI20" s="4">
        <v>16878</v>
      </c>
      <c r="BJ20" s="4">
        <f t="shared" si="14"/>
        <v>1406.5</v>
      </c>
      <c r="BK20" s="19">
        <v>4</v>
      </c>
      <c r="BL20" s="19">
        <v>1</v>
      </c>
      <c r="BM20" s="16">
        <v>18052505</v>
      </c>
      <c r="BN20" t="s">
        <v>258</v>
      </c>
      <c r="BO20" t="s">
        <v>258</v>
      </c>
      <c r="BP20" t="str">
        <f t="shared" si="15"/>
        <v>-</v>
      </c>
      <c r="BQ20" t="s">
        <v>258</v>
      </c>
      <c r="BR20" t="s">
        <v>258</v>
      </c>
      <c r="BS20" t="str">
        <f t="shared" si="16"/>
        <v>-</v>
      </c>
      <c r="BT20" s="4" t="s">
        <v>364</v>
      </c>
    </row>
    <row r="21" spans="1:72" x14ac:dyDescent="0.4">
      <c r="A21" s="3">
        <v>78</v>
      </c>
      <c r="B21" s="3">
        <v>78</v>
      </c>
      <c r="C21" s="4">
        <v>697169</v>
      </c>
      <c r="D21" s="4" t="str">
        <f t="shared" si="0"/>
        <v>697169</v>
      </c>
      <c r="E21" s="4">
        <v>697169</v>
      </c>
      <c r="F21" s="4" t="str">
        <f t="shared" si="17"/>
        <v>6971695</v>
      </c>
      <c r="G21" s="4" t="s">
        <v>226</v>
      </c>
      <c r="H21" s="5">
        <v>4903320253582</v>
      </c>
      <c r="I21" s="5">
        <v>5</v>
      </c>
      <c r="J21" s="5"/>
      <c r="K21" s="5">
        <v>1</v>
      </c>
      <c r="L21" s="5">
        <v>1</v>
      </c>
      <c r="M21" s="4">
        <v>0</v>
      </c>
      <c r="N21" s="4">
        <v>284</v>
      </c>
      <c r="O21" s="4">
        <v>167</v>
      </c>
      <c r="P21" s="6">
        <f t="shared" si="1"/>
        <v>0.4119718309859155</v>
      </c>
      <c r="Q21" s="4" t="s">
        <v>259</v>
      </c>
      <c r="R21" s="4"/>
      <c r="S21" s="4"/>
      <c r="T21" s="4"/>
      <c r="U21" s="4"/>
      <c r="V21" s="4"/>
      <c r="W21" s="4"/>
      <c r="X21" s="4"/>
      <c r="Y21" s="4"/>
      <c r="Z21" s="4">
        <v>0</v>
      </c>
      <c r="AA21" s="4">
        <f t="shared" si="2"/>
        <v>0</v>
      </c>
      <c r="AB21" s="4">
        <v>188</v>
      </c>
      <c r="AC21" s="4">
        <f t="shared" si="3"/>
        <v>188</v>
      </c>
      <c r="AD21" s="4"/>
      <c r="AE21" s="21">
        <f t="shared" si="4"/>
        <v>320</v>
      </c>
      <c r="AF21" s="6">
        <f t="shared" si="5"/>
        <v>0.41249999999999998</v>
      </c>
      <c r="AG21" s="33">
        <v>2.25</v>
      </c>
      <c r="AH21" s="4" t="e">
        <f t="shared" si="6"/>
        <v>#VALUE!</v>
      </c>
      <c r="AI21" s="33" t="str">
        <f t="shared" si="7"/>
        <v>-</v>
      </c>
      <c r="AJ21" s="6" t="str">
        <f t="shared" si="8"/>
        <v>-</v>
      </c>
      <c r="AK21" s="7">
        <v>320</v>
      </c>
      <c r="AL21" s="6">
        <f t="shared" si="9"/>
        <v>0.41249999999999998</v>
      </c>
      <c r="AM21" s="4">
        <f t="shared" si="10"/>
        <v>132</v>
      </c>
      <c r="AN21" s="28"/>
      <c r="AO21" s="6"/>
      <c r="AP21" s="6"/>
      <c r="AQ21" s="6" t="str">
        <f t="shared" si="11"/>
        <v>-</v>
      </c>
      <c r="AR21" s="6">
        <f t="shared" si="12"/>
        <v>1.1267605633802817</v>
      </c>
      <c r="AS21" s="6">
        <f t="shared" si="13"/>
        <v>1.125748502994012</v>
      </c>
      <c r="AT21" s="4"/>
      <c r="AU21" s="4"/>
      <c r="AV21" s="4"/>
      <c r="AW21" s="4"/>
      <c r="AX21" s="4"/>
      <c r="AY21" s="4"/>
      <c r="AZ21" s="4"/>
      <c r="BA21" s="4"/>
      <c r="BB21" s="4"/>
      <c r="BC21" s="4" t="s">
        <v>257</v>
      </c>
      <c r="BD21" s="4" t="s">
        <v>454</v>
      </c>
      <c r="BE21" s="4">
        <v>1</v>
      </c>
      <c r="BF21" s="4">
        <v>5</v>
      </c>
      <c r="BG21" s="4" t="s">
        <v>372</v>
      </c>
      <c r="BH21" s="4">
        <v>1426</v>
      </c>
      <c r="BI21" s="4" t="s">
        <v>258</v>
      </c>
      <c r="BJ21" s="4" t="e">
        <f t="shared" si="14"/>
        <v>#VALUE!</v>
      </c>
      <c r="BK21" s="19">
        <v>4</v>
      </c>
      <c r="BL21" s="19">
        <v>1</v>
      </c>
      <c r="BM21" s="16">
        <v>19250565</v>
      </c>
      <c r="BN21">
        <v>257</v>
      </c>
      <c r="BO21">
        <v>257</v>
      </c>
      <c r="BP21">
        <f t="shared" si="15"/>
        <v>289.31736526946105</v>
      </c>
      <c r="BQ21" t="s">
        <v>258</v>
      </c>
      <c r="BR21" t="s">
        <v>258</v>
      </c>
      <c r="BS21" t="str">
        <f t="shared" si="16"/>
        <v>-</v>
      </c>
      <c r="BT21" s="4" t="s">
        <v>338</v>
      </c>
    </row>
    <row r="22" spans="1:72" x14ac:dyDescent="0.4">
      <c r="A22" s="3">
        <v>83</v>
      </c>
      <c r="B22" s="3">
        <v>83</v>
      </c>
      <c r="C22" s="4" t="s">
        <v>134</v>
      </c>
      <c r="D22" s="4" t="str">
        <f t="shared" si="0"/>
        <v>J1701Y</v>
      </c>
      <c r="E22" s="4" t="s">
        <v>134</v>
      </c>
      <c r="F22" s="4" t="str">
        <f t="shared" si="17"/>
        <v>J1701Y5</v>
      </c>
      <c r="G22" s="4" t="s">
        <v>231</v>
      </c>
      <c r="H22" s="5">
        <v>4903320276208</v>
      </c>
      <c r="I22" s="5">
        <v>5</v>
      </c>
      <c r="J22" s="5"/>
      <c r="K22" s="5">
        <v>1</v>
      </c>
      <c r="L22" s="5">
        <v>1</v>
      </c>
      <c r="M22" s="4">
        <v>0</v>
      </c>
      <c r="N22" s="4">
        <v>332</v>
      </c>
      <c r="O22" s="4">
        <v>190</v>
      </c>
      <c r="P22" s="6">
        <f t="shared" si="1"/>
        <v>0.42771084337349397</v>
      </c>
      <c r="Q22" s="4" t="s">
        <v>259</v>
      </c>
      <c r="R22" s="4"/>
      <c r="S22" s="4"/>
      <c r="T22" s="4"/>
      <c r="U22" s="4"/>
      <c r="V22" s="4"/>
      <c r="W22" s="4"/>
      <c r="X22" s="4"/>
      <c r="Y22" s="4"/>
      <c r="Z22" s="4">
        <v>0</v>
      </c>
      <c r="AA22" s="4">
        <f t="shared" si="2"/>
        <v>0</v>
      </c>
      <c r="AB22" s="4">
        <v>210</v>
      </c>
      <c r="AC22" s="4">
        <f t="shared" si="3"/>
        <v>210</v>
      </c>
      <c r="AD22" s="4"/>
      <c r="AE22" s="21">
        <f t="shared" si="4"/>
        <v>367</v>
      </c>
      <c r="AF22" s="6">
        <f t="shared" si="5"/>
        <v>0.42779291553133514</v>
      </c>
      <c r="AG22" s="33">
        <v>8.5</v>
      </c>
      <c r="AH22" s="4">
        <f t="shared" si="6"/>
        <v>330</v>
      </c>
      <c r="AI22" s="33">
        <f t="shared" si="7"/>
        <v>364.73684210526318</v>
      </c>
      <c r="AJ22" s="6">
        <f t="shared" si="8"/>
        <v>0.42424242424242431</v>
      </c>
      <c r="AK22" s="7">
        <v>360</v>
      </c>
      <c r="AL22" s="6">
        <f t="shared" si="9"/>
        <v>0.41666666666666663</v>
      </c>
      <c r="AM22" s="4">
        <f t="shared" si="10"/>
        <v>150</v>
      </c>
      <c r="AN22" s="28"/>
      <c r="AO22" s="6"/>
      <c r="AP22" s="6"/>
      <c r="AQ22" s="6" t="str">
        <f t="shared" si="11"/>
        <v>-</v>
      </c>
      <c r="AR22" s="6">
        <f t="shared" si="12"/>
        <v>1.0843373493975903</v>
      </c>
      <c r="AS22" s="6">
        <f t="shared" si="13"/>
        <v>1.1052631578947369</v>
      </c>
      <c r="AT22" s="4"/>
      <c r="AU22" s="4"/>
      <c r="AV22" s="4"/>
      <c r="AW22" s="4"/>
      <c r="AX22" s="4"/>
      <c r="AY22" s="4"/>
      <c r="AZ22" s="4"/>
      <c r="BA22" s="4"/>
      <c r="BB22" s="4"/>
      <c r="BC22" s="4">
        <v>0</v>
      </c>
      <c r="BD22" s="4" t="s">
        <v>459</v>
      </c>
      <c r="BE22" s="4"/>
      <c r="BF22" s="4"/>
      <c r="BG22" s="4" t="s">
        <v>384</v>
      </c>
      <c r="BH22" s="4">
        <v>330</v>
      </c>
      <c r="BI22" s="4">
        <v>330</v>
      </c>
      <c r="BJ22" s="4">
        <f t="shared" si="14"/>
        <v>330</v>
      </c>
      <c r="BK22" s="19">
        <v>4</v>
      </c>
      <c r="BL22" s="19">
        <v>8</v>
      </c>
      <c r="BM22" s="16">
        <v>19250565</v>
      </c>
      <c r="BN22" t="s">
        <v>258</v>
      </c>
      <c r="BO22" t="s">
        <v>258</v>
      </c>
      <c r="BP22" t="str">
        <f t="shared" si="15"/>
        <v>-</v>
      </c>
      <c r="BQ22">
        <v>330</v>
      </c>
      <c r="BR22">
        <v>330</v>
      </c>
      <c r="BS22">
        <f t="shared" si="16"/>
        <v>364.73684210526318</v>
      </c>
      <c r="BT22" s="4" t="s">
        <v>343</v>
      </c>
    </row>
    <row r="23" spans="1:72" x14ac:dyDescent="0.4">
      <c r="A23" s="3">
        <v>93</v>
      </c>
      <c r="B23" s="3">
        <v>93</v>
      </c>
      <c r="C23" s="4" t="s">
        <v>137</v>
      </c>
      <c r="D23" s="4" t="str">
        <f t="shared" si="0"/>
        <v>J9032X</v>
      </c>
      <c r="E23" s="4" t="s">
        <v>137</v>
      </c>
      <c r="F23" s="4" t="str">
        <f t="shared" si="17"/>
        <v>J9032X5</v>
      </c>
      <c r="G23" s="4" t="s">
        <v>241</v>
      </c>
      <c r="H23" s="5">
        <v>4903320386600</v>
      </c>
      <c r="I23" s="5">
        <v>5</v>
      </c>
      <c r="J23" s="5"/>
      <c r="K23" s="5">
        <v>1</v>
      </c>
      <c r="L23" s="5">
        <v>1</v>
      </c>
      <c r="M23" s="4">
        <v>800</v>
      </c>
      <c r="N23" s="4">
        <v>361</v>
      </c>
      <c r="O23" s="4">
        <v>200</v>
      </c>
      <c r="P23" s="6">
        <f t="shared" si="1"/>
        <v>0.445983379501385</v>
      </c>
      <c r="Q23" s="4" t="s">
        <v>259</v>
      </c>
      <c r="R23" s="4"/>
      <c r="S23" s="4"/>
      <c r="T23" s="4"/>
      <c r="U23" s="4"/>
      <c r="V23" s="4"/>
      <c r="W23" s="4"/>
      <c r="X23" s="4"/>
      <c r="Y23" s="4"/>
      <c r="Z23" s="4">
        <v>0</v>
      </c>
      <c r="AA23" s="4">
        <f t="shared" si="2"/>
        <v>0</v>
      </c>
      <c r="AB23" s="4">
        <v>221</v>
      </c>
      <c r="AC23" s="4">
        <f t="shared" si="3"/>
        <v>221</v>
      </c>
      <c r="AD23" s="4"/>
      <c r="AE23" s="21">
        <f t="shared" si="4"/>
        <v>399</v>
      </c>
      <c r="AF23" s="6">
        <f t="shared" si="5"/>
        <v>0.44611528822055135</v>
      </c>
      <c r="AG23" s="33">
        <v>3.5000000000000004</v>
      </c>
      <c r="AH23" s="4">
        <f t="shared" si="6"/>
        <v>350</v>
      </c>
      <c r="AI23" s="33">
        <f t="shared" si="7"/>
        <v>386.75</v>
      </c>
      <c r="AJ23" s="6">
        <f t="shared" si="8"/>
        <v>0.4285714285714286</v>
      </c>
      <c r="AK23" s="7">
        <v>380</v>
      </c>
      <c r="AL23" s="6">
        <f t="shared" si="9"/>
        <v>0.41842105263157892</v>
      </c>
      <c r="AM23" s="4">
        <f t="shared" si="10"/>
        <v>159</v>
      </c>
      <c r="AN23" s="28"/>
      <c r="AO23" s="6"/>
      <c r="AP23" s="6"/>
      <c r="AQ23" s="6">
        <f t="shared" si="11"/>
        <v>0</v>
      </c>
      <c r="AR23" s="6">
        <f t="shared" si="12"/>
        <v>1.0526315789473684</v>
      </c>
      <c r="AS23" s="6">
        <f t="shared" si="13"/>
        <v>1.105</v>
      </c>
      <c r="AT23" s="4"/>
      <c r="AU23" s="4"/>
      <c r="AV23" s="4"/>
      <c r="AW23" s="4"/>
      <c r="AX23" s="4"/>
      <c r="AY23" s="4"/>
      <c r="AZ23" s="4"/>
      <c r="BA23" s="4"/>
      <c r="BB23" s="4"/>
      <c r="BC23" s="4">
        <v>0</v>
      </c>
      <c r="BD23" s="4" t="s">
        <v>469</v>
      </c>
      <c r="BE23" s="4"/>
      <c r="BF23" s="4"/>
      <c r="BG23" s="4" t="s">
        <v>384</v>
      </c>
      <c r="BH23" s="4">
        <v>350</v>
      </c>
      <c r="BI23" s="4">
        <v>350</v>
      </c>
      <c r="BJ23" s="4">
        <f t="shared" si="14"/>
        <v>350</v>
      </c>
      <c r="BK23" s="19">
        <v>4</v>
      </c>
      <c r="BL23" s="19">
        <v>8</v>
      </c>
      <c r="BM23" s="16">
        <v>19250565</v>
      </c>
      <c r="BN23" t="s">
        <v>258</v>
      </c>
      <c r="BO23" t="s">
        <v>258</v>
      </c>
      <c r="BP23" t="str">
        <f t="shared" si="15"/>
        <v>-</v>
      </c>
      <c r="BQ23">
        <v>433</v>
      </c>
      <c r="BR23">
        <v>433</v>
      </c>
      <c r="BS23">
        <f t="shared" si="16"/>
        <v>478.46499999999997</v>
      </c>
      <c r="BT23" s="4" t="s">
        <v>353</v>
      </c>
    </row>
    <row r="24" spans="1:72" x14ac:dyDescent="0.4">
      <c r="A24" s="3">
        <v>23</v>
      </c>
      <c r="B24" s="3">
        <v>23</v>
      </c>
      <c r="C24" s="4" t="s">
        <v>84</v>
      </c>
      <c r="D24" s="4" t="str">
        <f t="shared" si="0"/>
        <v>J254SD</v>
      </c>
      <c r="E24" s="4" t="s">
        <v>84</v>
      </c>
      <c r="F24" s="4" t="str">
        <f t="shared" si="17"/>
        <v>J254SD5</v>
      </c>
      <c r="G24" s="4" t="s">
        <v>171</v>
      </c>
      <c r="H24" s="5">
        <v>4903320162396</v>
      </c>
      <c r="I24" s="5">
        <v>5</v>
      </c>
      <c r="J24" s="5"/>
      <c r="K24" s="5">
        <v>1</v>
      </c>
      <c r="L24" s="5">
        <v>1</v>
      </c>
      <c r="M24" s="4">
        <v>0</v>
      </c>
      <c r="N24" s="4">
        <v>548</v>
      </c>
      <c r="O24" s="4">
        <v>318</v>
      </c>
      <c r="P24" s="6">
        <f t="shared" si="1"/>
        <v>0.41970802919708028</v>
      </c>
      <c r="Q24" s="4" t="s">
        <v>259</v>
      </c>
      <c r="R24" s="4"/>
      <c r="S24" s="4"/>
      <c r="T24" s="4"/>
      <c r="U24" s="4"/>
      <c r="V24" s="4"/>
      <c r="W24" s="4"/>
      <c r="X24" s="4"/>
      <c r="Y24" s="4"/>
      <c r="Z24" s="4">
        <v>0</v>
      </c>
      <c r="AA24" s="4">
        <f t="shared" si="2"/>
        <v>0</v>
      </c>
      <c r="AB24" s="4">
        <v>350</v>
      </c>
      <c r="AC24" s="4">
        <f t="shared" si="3"/>
        <v>350</v>
      </c>
      <c r="AD24" s="4"/>
      <c r="AE24" s="21">
        <f t="shared" si="4"/>
        <v>603</v>
      </c>
      <c r="AF24" s="6">
        <f t="shared" si="5"/>
        <v>0.41956882255389716</v>
      </c>
      <c r="AG24" s="33">
        <v>3.75</v>
      </c>
      <c r="AH24" s="4">
        <f t="shared" si="6"/>
        <v>544</v>
      </c>
      <c r="AI24" s="33">
        <f t="shared" si="7"/>
        <v>598.74213836477986</v>
      </c>
      <c r="AJ24" s="6">
        <f t="shared" si="8"/>
        <v>0.4154411764705882</v>
      </c>
      <c r="AK24" s="7">
        <v>598</v>
      </c>
      <c r="AL24" s="6">
        <f t="shared" si="9"/>
        <v>0.4147157190635451</v>
      </c>
      <c r="AM24" s="4">
        <f t="shared" si="10"/>
        <v>248</v>
      </c>
      <c r="AN24" s="28"/>
      <c r="AO24" s="6"/>
      <c r="AP24" s="6"/>
      <c r="AQ24" s="6" t="str">
        <f t="shared" si="11"/>
        <v>-</v>
      </c>
      <c r="AR24" s="6">
        <f t="shared" si="12"/>
        <v>1.0912408759124088</v>
      </c>
      <c r="AS24" s="6">
        <f t="shared" si="13"/>
        <v>1.10062893081761</v>
      </c>
      <c r="AT24" s="4"/>
      <c r="AU24" s="4"/>
      <c r="AV24" s="4"/>
      <c r="AW24" s="4"/>
      <c r="AX24" s="4"/>
      <c r="AY24" s="4"/>
      <c r="AZ24" s="4"/>
      <c r="BA24" s="4"/>
      <c r="BB24" s="4"/>
      <c r="BC24" s="4" t="s">
        <v>255</v>
      </c>
      <c r="BD24" s="4" t="s">
        <v>398</v>
      </c>
      <c r="BE24" s="4"/>
      <c r="BF24" s="4"/>
      <c r="BG24" s="4" t="s">
        <v>384</v>
      </c>
      <c r="BH24" s="4">
        <v>544</v>
      </c>
      <c r="BI24" s="4">
        <v>544</v>
      </c>
      <c r="BJ24" s="4">
        <f t="shared" si="14"/>
        <v>544</v>
      </c>
      <c r="BK24" s="19">
        <v>4</v>
      </c>
      <c r="BL24" s="19">
        <v>1</v>
      </c>
      <c r="BM24" s="16">
        <v>19250565</v>
      </c>
      <c r="BN24" t="s">
        <v>258</v>
      </c>
      <c r="BO24" t="s">
        <v>258</v>
      </c>
      <c r="BP24" t="str">
        <f t="shared" si="15"/>
        <v>-</v>
      </c>
      <c r="BQ24">
        <v>544</v>
      </c>
      <c r="BR24">
        <v>544</v>
      </c>
      <c r="BS24">
        <f t="shared" si="16"/>
        <v>598.74213836477986</v>
      </c>
      <c r="BT24" s="4" t="s">
        <v>283</v>
      </c>
    </row>
    <row r="25" spans="1:72" x14ac:dyDescent="0.4">
      <c r="A25" s="3">
        <v>28</v>
      </c>
      <c r="B25" s="3">
        <v>28</v>
      </c>
      <c r="C25" s="4" t="s">
        <v>89</v>
      </c>
      <c r="D25" s="4" t="str">
        <f t="shared" si="0"/>
        <v>J258SD</v>
      </c>
      <c r="E25" s="4" t="s">
        <v>89</v>
      </c>
      <c r="F25" s="4" t="str">
        <f t="shared" si="17"/>
        <v>J258SD5</v>
      </c>
      <c r="G25" s="4" t="s">
        <v>176</v>
      </c>
      <c r="H25" s="5">
        <v>4903320162471</v>
      </c>
      <c r="I25" s="5">
        <v>5</v>
      </c>
      <c r="J25" s="5"/>
      <c r="K25" s="5">
        <v>1</v>
      </c>
      <c r="L25" s="5">
        <v>1</v>
      </c>
      <c r="M25" s="4">
        <v>0</v>
      </c>
      <c r="N25" s="4">
        <v>628</v>
      </c>
      <c r="O25" s="4">
        <v>403</v>
      </c>
      <c r="P25" s="6">
        <f t="shared" si="1"/>
        <v>0.35828025477707004</v>
      </c>
      <c r="Q25" s="4" t="s">
        <v>259</v>
      </c>
      <c r="R25" s="4"/>
      <c r="S25" s="4"/>
      <c r="T25" s="4"/>
      <c r="U25" s="4"/>
      <c r="V25" s="4"/>
      <c r="W25" s="4"/>
      <c r="X25" s="4"/>
      <c r="Y25" s="4"/>
      <c r="Z25" s="4">
        <v>0</v>
      </c>
      <c r="AA25" s="4">
        <f t="shared" si="2"/>
        <v>0</v>
      </c>
      <c r="AB25" s="4">
        <v>444</v>
      </c>
      <c r="AC25" s="4">
        <f t="shared" si="3"/>
        <v>444</v>
      </c>
      <c r="AD25" s="4"/>
      <c r="AE25" s="21">
        <f t="shared" si="4"/>
        <v>692</v>
      </c>
      <c r="AF25" s="6">
        <f t="shared" si="5"/>
        <v>0.35838150289017345</v>
      </c>
      <c r="AG25" s="33">
        <v>0.5</v>
      </c>
      <c r="AH25" s="4">
        <f t="shared" si="6"/>
        <v>680</v>
      </c>
      <c r="AI25" s="33">
        <f t="shared" si="7"/>
        <v>749.18114143920593</v>
      </c>
      <c r="AJ25" s="6">
        <f t="shared" si="8"/>
        <v>0.40735294117647058</v>
      </c>
      <c r="AK25" s="7">
        <v>730</v>
      </c>
      <c r="AL25" s="6">
        <f t="shared" si="9"/>
        <v>0.39178082191780816</v>
      </c>
      <c r="AM25" s="4">
        <f t="shared" si="10"/>
        <v>286</v>
      </c>
      <c r="AN25" s="28"/>
      <c r="AO25" s="6"/>
      <c r="AP25" s="6"/>
      <c r="AQ25" s="6" t="str">
        <f t="shared" si="11"/>
        <v>-</v>
      </c>
      <c r="AR25" s="6">
        <f t="shared" si="12"/>
        <v>1.1624203821656052</v>
      </c>
      <c r="AS25" s="6">
        <f t="shared" si="13"/>
        <v>1.1017369727047146</v>
      </c>
      <c r="AT25" s="4"/>
      <c r="AU25" s="4"/>
      <c r="AV25" s="4"/>
      <c r="AW25" s="4"/>
      <c r="AX25" s="4"/>
      <c r="AY25" s="4"/>
      <c r="AZ25" s="4"/>
      <c r="BA25" s="4"/>
      <c r="BB25" s="4"/>
      <c r="BC25" s="4">
        <v>0</v>
      </c>
      <c r="BD25" s="4" t="s">
        <v>403</v>
      </c>
      <c r="BE25" s="4"/>
      <c r="BF25" s="4"/>
      <c r="BG25" s="4" t="s">
        <v>384</v>
      </c>
      <c r="BH25" s="4">
        <v>680</v>
      </c>
      <c r="BI25" s="4">
        <v>680</v>
      </c>
      <c r="BJ25" s="4">
        <f t="shared" si="14"/>
        <v>680</v>
      </c>
      <c r="BK25" s="19">
        <v>4</v>
      </c>
      <c r="BL25" s="19">
        <v>1</v>
      </c>
      <c r="BM25" s="16">
        <v>19250565</v>
      </c>
      <c r="BN25" t="s">
        <v>258</v>
      </c>
      <c r="BO25" t="s">
        <v>258</v>
      </c>
      <c r="BP25" t="str">
        <f t="shared" si="15"/>
        <v>-</v>
      </c>
      <c r="BQ25" t="s">
        <v>258</v>
      </c>
      <c r="BR25" t="s">
        <v>258</v>
      </c>
      <c r="BS25" t="str">
        <f t="shared" si="16"/>
        <v>-</v>
      </c>
      <c r="BT25" s="4" t="s">
        <v>288</v>
      </c>
    </row>
    <row r="26" spans="1:72" x14ac:dyDescent="0.4">
      <c r="A26" s="3">
        <v>34</v>
      </c>
      <c r="B26" s="3">
        <v>34</v>
      </c>
      <c r="C26" s="4" t="s">
        <v>95</v>
      </c>
      <c r="D26" s="4" t="str">
        <f t="shared" si="0"/>
        <v>J326SF</v>
      </c>
      <c r="E26" s="4" t="s">
        <v>95</v>
      </c>
      <c r="F26" s="4" t="str">
        <f t="shared" si="17"/>
        <v>J326SF5</v>
      </c>
      <c r="G26" s="4" t="s">
        <v>182</v>
      </c>
      <c r="H26" s="5">
        <v>4903320162532</v>
      </c>
      <c r="I26" s="5">
        <v>5</v>
      </c>
      <c r="J26" s="5"/>
      <c r="K26" s="5">
        <v>1</v>
      </c>
      <c r="L26" s="5">
        <v>1</v>
      </c>
      <c r="M26" s="4">
        <v>0</v>
      </c>
      <c r="N26" s="4">
        <v>906</v>
      </c>
      <c r="O26" s="4">
        <v>513</v>
      </c>
      <c r="P26" s="6">
        <f t="shared" si="1"/>
        <v>0.43377483443708609</v>
      </c>
      <c r="Q26" s="4" t="s">
        <v>259</v>
      </c>
      <c r="R26" s="4"/>
      <c r="S26" s="4"/>
      <c r="T26" s="4"/>
      <c r="U26" s="4"/>
      <c r="V26" s="4"/>
      <c r="W26" s="4"/>
      <c r="X26" s="4"/>
      <c r="Y26" s="4"/>
      <c r="Z26" s="4">
        <v>0</v>
      </c>
      <c r="AA26" s="4">
        <f t="shared" si="2"/>
        <v>0</v>
      </c>
      <c r="AB26" s="4">
        <v>565</v>
      </c>
      <c r="AC26" s="4">
        <f t="shared" si="3"/>
        <v>565</v>
      </c>
      <c r="AD26" s="4"/>
      <c r="AE26" s="21">
        <f t="shared" si="4"/>
        <v>998</v>
      </c>
      <c r="AF26" s="6">
        <f t="shared" si="5"/>
        <v>0.43386773547094193</v>
      </c>
      <c r="AG26" s="33">
        <v>0</v>
      </c>
      <c r="AH26" s="4">
        <f t="shared" si="6"/>
        <v>891</v>
      </c>
      <c r="AI26" s="33">
        <f t="shared" si="7"/>
        <v>981.31578947368416</v>
      </c>
      <c r="AJ26" s="6">
        <f t="shared" si="8"/>
        <v>0.4242424242424242</v>
      </c>
      <c r="AK26" s="7">
        <v>980</v>
      </c>
      <c r="AL26" s="6">
        <f t="shared" si="9"/>
        <v>0.42346938775510201</v>
      </c>
      <c r="AM26" s="4">
        <f t="shared" si="10"/>
        <v>415</v>
      </c>
      <c r="AN26" s="28"/>
      <c r="AO26" s="6"/>
      <c r="AP26" s="6"/>
      <c r="AQ26" s="6" t="str">
        <f t="shared" si="11"/>
        <v>-</v>
      </c>
      <c r="AR26" s="6">
        <f t="shared" si="12"/>
        <v>1.0816777041942605</v>
      </c>
      <c r="AS26" s="6">
        <f t="shared" si="13"/>
        <v>1.101364522417154</v>
      </c>
      <c r="AT26" s="4"/>
      <c r="AU26" s="4"/>
      <c r="AV26" s="4"/>
      <c r="AW26" s="4"/>
      <c r="AX26" s="4"/>
      <c r="AY26" s="4"/>
      <c r="AZ26" s="4"/>
      <c r="BA26" s="4"/>
      <c r="BB26" s="4"/>
      <c r="BC26" s="4">
        <v>0</v>
      </c>
      <c r="BD26" s="4" t="s">
        <v>409</v>
      </c>
      <c r="BE26" s="4"/>
      <c r="BF26" s="4"/>
      <c r="BG26" s="4" t="s">
        <v>384</v>
      </c>
      <c r="BH26" s="4">
        <v>891</v>
      </c>
      <c r="BI26" s="4">
        <v>891</v>
      </c>
      <c r="BJ26" s="4">
        <f t="shared" si="14"/>
        <v>891</v>
      </c>
      <c r="BK26" s="19">
        <v>4</v>
      </c>
      <c r="BL26" s="19">
        <v>1</v>
      </c>
      <c r="BM26" s="16">
        <v>19250565</v>
      </c>
      <c r="BN26" t="s">
        <v>258</v>
      </c>
      <c r="BO26">
        <v>562</v>
      </c>
      <c r="BP26">
        <f t="shared" si="15"/>
        <v>618.96686159844057</v>
      </c>
      <c r="BQ26" t="s">
        <v>258</v>
      </c>
      <c r="BR26" t="s">
        <v>258</v>
      </c>
      <c r="BS26" t="str">
        <f t="shared" si="16"/>
        <v>-</v>
      </c>
      <c r="BT26" s="4" t="s">
        <v>294</v>
      </c>
    </row>
    <row r="27" spans="1:72" x14ac:dyDescent="0.4">
      <c r="A27" s="3">
        <v>40</v>
      </c>
      <c r="B27" s="3">
        <v>40</v>
      </c>
      <c r="C27" s="4" t="s">
        <v>101</v>
      </c>
      <c r="D27" s="4" t="str">
        <f t="shared" si="0"/>
        <v>J9027X</v>
      </c>
      <c r="E27" s="4" t="s">
        <v>101</v>
      </c>
      <c r="F27" s="4" t="str">
        <f t="shared" si="17"/>
        <v>J9027X5</v>
      </c>
      <c r="G27" s="4" t="s">
        <v>188</v>
      </c>
      <c r="H27" s="5">
        <v>4903320162600</v>
      </c>
      <c r="I27" s="5">
        <v>5</v>
      </c>
      <c r="J27" s="5"/>
      <c r="K27" s="5">
        <v>1</v>
      </c>
      <c r="L27" s="5">
        <v>1</v>
      </c>
      <c r="M27" s="4">
        <v>0</v>
      </c>
      <c r="N27" s="4">
        <v>684</v>
      </c>
      <c r="O27" s="4">
        <v>513</v>
      </c>
      <c r="P27" s="6">
        <f t="shared" si="1"/>
        <v>0.25</v>
      </c>
      <c r="Q27" s="4" t="s">
        <v>259</v>
      </c>
      <c r="R27" s="4"/>
      <c r="S27" s="4"/>
      <c r="T27" s="4"/>
      <c r="U27" s="4"/>
      <c r="V27" s="4"/>
      <c r="W27" s="4"/>
      <c r="X27" s="4"/>
      <c r="Y27" s="4"/>
      <c r="Z27" s="4">
        <v>0</v>
      </c>
      <c r="AA27" s="4">
        <f t="shared" si="2"/>
        <v>0</v>
      </c>
      <c r="AB27" s="4">
        <v>565</v>
      </c>
      <c r="AC27" s="4">
        <f t="shared" si="3"/>
        <v>565</v>
      </c>
      <c r="AD27" s="4"/>
      <c r="AE27" s="21">
        <f t="shared" si="4"/>
        <v>753</v>
      </c>
      <c r="AF27" s="6">
        <f t="shared" si="5"/>
        <v>0.24966799468791501</v>
      </c>
      <c r="AG27" s="33">
        <v>0.25</v>
      </c>
      <c r="AH27" s="4">
        <f t="shared" si="6"/>
        <v>893</v>
      </c>
      <c r="AI27" s="33">
        <f t="shared" si="7"/>
        <v>983.51851851851848</v>
      </c>
      <c r="AJ27" s="6">
        <f t="shared" si="8"/>
        <v>0.42553191489361697</v>
      </c>
      <c r="AK27" s="7">
        <v>980</v>
      </c>
      <c r="AL27" s="6">
        <f t="shared" si="9"/>
        <v>0.42346938775510201</v>
      </c>
      <c r="AM27" s="4">
        <f t="shared" si="10"/>
        <v>415</v>
      </c>
      <c r="AN27" s="28"/>
      <c r="AO27" s="6"/>
      <c r="AP27" s="6"/>
      <c r="AQ27" s="6" t="str">
        <f t="shared" si="11"/>
        <v>-</v>
      </c>
      <c r="AR27" s="6">
        <f t="shared" si="12"/>
        <v>1.432748538011696</v>
      </c>
      <c r="AS27" s="6">
        <f t="shared" si="13"/>
        <v>1.101364522417154</v>
      </c>
      <c r="AT27" s="4"/>
      <c r="AU27" s="4"/>
      <c r="AV27" s="4"/>
      <c r="AW27" s="4"/>
      <c r="AX27" s="4"/>
      <c r="AY27" s="4"/>
      <c r="AZ27" s="4"/>
      <c r="BA27" s="4"/>
      <c r="BB27" s="4"/>
      <c r="BC27" s="4">
        <v>0</v>
      </c>
      <c r="BD27" s="4" t="s">
        <v>415</v>
      </c>
      <c r="BE27" s="4"/>
      <c r="BF27" s="4"/>
      <c r="BG27" s="4" t="s">
        <v>369</v>
      </c>
      <c r="BH27" s="4">
        <v>893</v>
      </c>
      <c r="BI27" s="4">
        <v>893</v>
      </c>
      <c r="BJ27" s="4">
        <f t="shared" si="14"/>
        <v>893</v>
      </c>
      <c r="BK27" s="19">
        <v>4</v>
      </c>
      <c r="BL27" s="19">
        <v>8</v>
      </c>
      <c r="BM27" s="16">
        <v>19250565</v>
      </c>
      <c r="BN27" t="s">
        <v>258</v>
      </c>
      <c r="BO27" t="s">
        <v>258</v>
      </c>
      <c r="BP27" t="str">
        <f t="shared" si="15"/>
        <v>-</v>
      </c>
      <c r="BQ27" t="s">
        <v>258</v>
      </c>
      <c r="BR27" t="s">
        <v>258</v>
      </c>
      <c r="BS27" t="str">
        <f t="shared" si="16"/>
        <v>-</v>
      </c>
      <c r="BT27" s="4" t="s">
        <v>300</v>
      </c>
    </row>
    <row r="28" spans="1:72" x14ac:dyDescent="0.4">
      <c r="A28" s="3">
        <v>32</v>
      </c>
      <c r="B28" s="3">
        <v>32</v>
      </c>
      <c r="C28" s="4" t="s">
        <v>93</v>
      </c>
      <c r="D28" s="4" t="str">
        <f t="shared" si="0"/>
        <v>J306MS</v>
      </c>
      <c r="E28" s="4" t="s">
        <v>93</v>
      </c>
      <c r="F28" s="4" t="str">
        <f t="shared" si="17"/>
        <v>J306MS5</v>
      </c>
      <c r="G28" s="4" t="s">
        <v>180</v>
      </c>
      <c r="H28" s="5">
        <v>4903320162518</v>
      </c>
      <c r="I28" s="5">
        <v>5</v>
      </c>
      <c r="J28" s="5"/>
      <c r="K28" s="5">
        <v>1</v>
      </c>
      <c r="L28" s="5">
        <v>1</v>
      </c>
      <c r="M28" s="4">
        <v>0</v>
      </c>
      <c r="N28" s="4">
        <v>719</v>
      </c>
      <c r="O28" s="4">
        <v>500</v>
      </c>
      <c r="P28" s="6">
        <f t="shared" si="1"/>
        <v>0.30458970792767737</v>
      </c>
      <c r="Q28" s="4" t="s">
        <v>259</v>
      </c>
      <c r="R28" s="4"/>
      <c r="S28" s="4"/>
      <c r="T28" s="4"/>
      <c r="U28" s="4"/>
      <c r="V28" s="4"/>
      <c r="W28" s="4"/>
      <c r="X28" s="4"/>
      <c r="Y28" s="4"/>
      <c r="Z28" s="4">
        <v>0</v>
      </c>
      <c r="AA28" s="4">
        <f t="shared" si="2"/>
        <v>0</v>
      </c>
      <c r="AB28" s="4">
        <v>577</v>
      </c>
      <c r="AC28" s="4">
        <f t="shared" si="3"/>
        <v>577</v>
      </c>
      <c r="AD28" s="4"/>
      <c r="AE28" s="21">
        <f t="shared" si="4"/>
        <v>830</v>
      </c>
      <c r="AF28" s="6">
        <f t="shared" si="5"/>
        <v>0.30481927710843371</v>
      </c>
      <c r="AG28" s="33">
        <v>13.750000000000002</v>
      </c>
      <c r="AH28" s="4">
        <f t="shared" si="6"/>
        <v>891</v>
      </c>
      <c r="AI28" s="33">
        <f t="shared" si="7"/>
        <v>1028.2139999999999</v>
      </c>
      <c r="AJ28" s="6">
        <f t="shared" si="8"/>
        <v>0.4388327721661055</v>
      </c>
      <c r="AK28" s="7">
        <v>900</v>
      </c>
      <c r="AL28" s="6">
        <f t="shared" si="9"/>
        <v>0.35888888888888892</v>
      </c>
      <c r="AM28" s="4">
        <f t="shared" si="10"/>
        <v>323</v>
      </c>
      <c r="AN28" s="28"/>
      <c r="AO28" s="6"/>
      <c r="AP28" s="6"/>
      <c r="AQ28" s="6" t="str">
        <f t="shared" si="11"/>
        <v>-</v>
      </c>
      <c r="AR28" s="6">
        <f t="shared" si="12"/>
        <v>1.2517385257301807</v>
      </c>
      <c r="AS28" s="6">
        <f t="shared" si="13"/>
        <v>1.1539999999999999</v>
      </c>
      <c r="AT28" s="4"/>
      <c r="AU28" s="4"/>
      <c r="AV28" s="4"/>
      <c r="AW28" s="4"/>
      <c r="AX28" s="4"/>
      <c r="AY28" s="4"/>
      <c r="AZ28" s="4"/>
      <c r="BA28" s="4"/>
      <c r="BB28" s="4"/>
      <c r="BC28" s="4" t="s">
        <v>255</v>
      </c>
      <c r="BD28" s="4" t="s">
        <v>407</v>
      </c>
      <c r="BE28" s="4"/>
      <c r="BF28" s="4"/>
      <c r="BG28" s="4" t="s">
        <v>384</v>
      </c>
      <c r="BH28" s="4">
        <v>891</v>
      </c>
      <c r="BI28" s="4">
        <v>891</v>
      </c>
      <c r="BJ28" s="4">
        <f t="shared" si="14"/>
        <v>891</v>
      </c>
      <c r="BK28" s="19">
        <v>4</v>
      </c>
      <c r="BL28" s="19">
        <v>1</v>
      </c>
      <c r="BM28" s="16">
        <v>19250565</v>
      </c>
      <c r="BN28" t="s">
        <v>258</v>
      </c>
      <c r="BO28" t="s">
        <v>258</v>
      </c>
      <c r="BP28" t="str">
        <f t="shared" si="15"/>
        <v>-</v>
      </c>
      <c r="BQ28">
        <v>891</v>
      </c>
      <c r="BR28">
        <v>891</v>
      </c>
      <c r="BS28">
        <f t="shared" si="16"/>
        <v>1028.2139999999999</v>
      </c>
      <c r="BT28" s="4" t="s">
        <v>292</v>
      </c>
    </row>
    <row r="29" spans="1:72" x14ac:dyDescent="0.4">
      <c r="A29" s="3">
        <v>29</v>
      </c>
      <c r="B29" s="3">
        <v>29</v>
      </c>
      <c r="C29" s="4" t="s">
        <v>90</v>
      </c>
      <c r="D29" s="4" t="str">
        <f t="shared" si="0"/>
        <v>J259SD</v>
      </c>
      <c r="E29" s="4" t="s">
        <v>90</v>
      </c>
      <c r="F29" s="4" t="str">
        <f t="shared" si="17"/>
        <v>J259SD5</v>
      </c>
      <c r="G29" s="4" t="s">
        <v>177</v>
      </c>
      <c r="H29" s="5">
        <v>4903320162488</v>
      </c>
      <c r="I29" s="5">
        <v>5</v>
      </c>
      <c r="J29" s="5"/>
      <c r="K29" s="5">
        <v>1</v>
      </c>
      <c r="L29" s="5">
        <v>1</v>
      </c>
      <c r="M29" s="4">
        <v>0</v>
      </c>
      <c r="N29" s="4">
        <v>744</v>
      </c>
      <c r="O29" s="4">
        <v>525</v>
      </c>
      <c r="P29" s="6">
        <f t="shared" si="1"/>
        <v>0.29435483870967738</v>
      </c>
      <c r="Q29" s="4" t="s">
        <v>259</v>
      </c>
      <c r="R29" s="4"/>
      <c r="S29" s="4"/>
      <c r="T29" s="4"/>
      <c r="U29" s="4"/>
      <c r="V29" s="4"/>
      <c r="W29" s="4"/>
      <c r="X29" s="4"/>
      <c r="Y29" s="4"/>
      <c r="Z29" s="4">
        <v>0</v>
      </c>
      <c r="AA29" s="4">
        <f t="shared" si="2"/>
        <v>0</v>
      </c>
      <c r="AB29" s="4">
        <v>578</v>
      </c>
      <c r="AC29" s="4">
        <f t="shared" si="3"/>
        <v>578</v>
      </c>
      <c r="AD29" s="4"/>
      <c r="AE29" s="21">
        <f t="shared" si="4"/>
        <v>819</v>
      </c>
      <c r="AF29" s="6">
        <f t="shared" si="5"/>
        <v>0.29426129426129422</v>
      </c>
      <c r="AG29" s="33">
        <v>2.5</v>
      </c>
      <c r="AH29" s="4">
        <f t="shared" si="6"/>
        <v>891</v>
      </c>
      <c r="AI29" s="33">
        <f t="shared" si="7"/>
        <v>980.94857142857143</v>
      </c>
      <c r="AJ29" s="6">
        <f t="shared" si="8"/>
        <v>0.41077441077441079</v>
      </c>
      <c r="AK29" s="7">
        <v>970</v>
      </c>
      <c r="AL29" s="6">
        <f t="shared" si="9"/>
        <v>0.40412371134020619</v>
      </c>
      <c r="AM29" s="4">
        <f t="shared" si="10"/>
        <v>392</v>
      </c>
      <c r="AN29" s="28"/>
      <c r="AO29" s="6"/>
      <c r="AP29" s="6"/>
      <c r="AQ29" s="6" t="str">
        <f t="shared" si="11"/>
        <v>-</v>
      </c>
      <c r="AR29" s="6">
        <f t="shared" si="12"/>
        <v>1.303763440860215</v>
      </c>
      <c r="AS29" s="6">
        <f t="shared" si="13"/>
        <v>1.1009523809523809</v>
      </c>
      <c r="AT29" s="4"/>
      <c r="AU29" s="4"/>
      <c r="AV29" s="4"/>
      <c r="AW29" s="4"/>
      <c r="AX29" s="4"/>
      <c r="AY29" s="4"/>
      <c r="AZ29" s="4"/>
      <c r="BA29" s="4"/>
      <c r="BB29" s="4"/>
      <c r="BC29" s="4">
        <v>0</v>
      </c>
      <c r="BD29" s="4" t="s">
        <v>404</v>
      </c>
      <c r="BE29" s="4"/>
      <c r="BF29" s="4"/>
      <c r="BG29" s="4" t="s">
        <v>384</v>
      </c>
      <c r="BH29" s="4">
        <v>891</v>
      </c>
      <c r="BI29" s="4">
        <v>891</v>
      </c>
      <c r="BJ29" s="4">
        <f t="shared" si="14"/>
        <v>891</v>
      </c>
      <c r="BK29" s="19">
        <v>4</v>
      </c>
      <c r="BL29" s="19">
        <v>1</v>
      </c>
      <c r="BM29" s="16">
        <v>19250565</v>
      </c>
      <c r="BN29" t="s">
        <v>258</v>
      </c>
      <c r="BO29" t="s">
        <v>258</v>
      </c>
      <c r="BP29" t="str">
        <f t="shared" si="15"/>
        <v>-</v>
      </c>
      <c r="BQ29">
        <v>891</v>
      </c>
      <c r="BR29">
        <v>891</v>
      </c>
      <c r="BS29">
        <f t="shared" si="16"/>
        <v>980.94857142857143</v>
      </c>
      <c r="BT29" s="4" t="s">
        <v>289</v>
      </c>
    </row>
    <row r="30" spans="1:72" x14ac:dyDescent="0.4">
      <c r="A30" s="3">
        <v>30</v>
      </c>
      <c r="B30" s="3">
        <v>30</v>
      </c>
      <c r="C30" s="4" t="s">
        <v>91</v>
      </c>
      <c r="D30" s="4" t="str">
        <f t="shared" si="0"/>
        <v>J260SD</v>
      </c>
      <c r="E30" s="4" t="s">
        <v>91</v>
      </c>
      <c r="F30" s="4" t="str">
        <f t="shared" si="17"/>
        <v>J260SD5</v>
      </c>
      <c r="G30" s="4" t="s">
        <v>178</v>
      </c>
      <c r="H30" s="5">
        <v>4903320162495</v>
      </c>
      <c r="I30" s="5">
        <v>5</v>
      </c>
      <c r="J30" s="5"/>
      <c r="K30" s="5">
        <v>1</v>
      </c>
      <c r="L30" s="5">
        <v>1</v>
      </c>
      <c r="M30" s="4">
        <v>0</v>
      </c>
      <c r="N30" s="4">
        <v>895</v>
      </c>
      <c r="O30" s="4">
        <v>525</v>
      </c>
      <c r="P30" s="6">
        <f t="shared" si="1"/>
        <v>0.41340782122905029</v>
      </c>
      <c r="Q30" s="4" t="s">
        <v>259</v>
      </c>
      <c r="R30" s="4"/>
      <c r="S30" s="4"/>
      <c r="T30" s="4"/>
      <c r="U30" s="4"/>
      <c r="V30" s="4"/>
      <c r="W30" s="4"/>
      <c r="X30" s="4"/>
      <c r="Y30" s="4"/>
      <c r="Z30" s="4">
        <v>0</v>
      </c>
      <c r="AA30" s="4">
        <f t="shared" si="2"/>
        <v>0</v>
      </c>
      <c r="AB30" s="4">
        <v>578</v>
      </c>
      <c r="AC30" s="4">
        <f t="shared" si="3"/>
        <v>578</v>
      </c>
      <c r="AD30" s="4"/>
      <c r="AE30" s="21">
        <f t="shared" si="4"/>
        <v>985</v>
      </c>
      <c r="AF30" s="6">
        <f t="shared" si="5"/>
        <v>0.41319796954314725</v>
      </c>
      <c r="AG30" s="33">
        <v>1</v>
      </c>
      <c r="AH30" s="4">
        <f t="shared" si="6"/>
        <v>891</v>
      </c>
      <c r="AI30" s="33">
        <f t="shared" si="7"/>
        <v>980.94857142857143</v>
      </c>
      <c r="AJ30" s="6">
        <f t="shared" si="8"/>
        <v>0.41077441077441079</v>
      </c>
      <c r="AK30" s="7">
        <v>970</v>
      </c>
      <c r="AL30" s="6">
        <f t="shared" si="9"/>
        <v>0.40412371134020619</v>
      </c>
      <c r="AM30" s="4">
        <f t="shared" si="10"/>
        <v>392</v>
      </c>
      <c r="AN30" s="28"/>
      <c r="AO30" s="6"/>
      <c r="AP30" s="6"/>
      <c r="AQ30" s="6" t="str">
        <f t="shared" si="11"/>
        <v>-</v>
      </c>
      <c r="AR30" s="6">
        <f t="shared" si="12"/>
        <v>1.0837988826815643</v>
      </c>
      <c r="AS30" s="6">
        <f t="shared" si="13"/>
        <v>1.1009523809523809</v>
      </c>
      <c r="AT30" s="4"/>
      <c r="AU30" s="4"/>
      <c r="AV30" s="4"/>
      <c r="AW30" s="4"/>
      <c r="AX30" s="4"/>
      <c r="AY30" s="4"/>
      <c r="AZ30" s="4"/>
      <c r="BA30" s="4"/>
      <c r="BB30" s="4"/>
      <c r="BC30" s="4">
        <v>0</v>
      </c>
      <c r="BD30" s="4" t="s">
        <v>405</v>
      </c>
      <c r="BE30" s="4"/>
      <c r="BF30" s="4"/>
      <c r="BG30" s="4" t="s">
        <v>384</v>
      </c>
      <c r="BH30" s="4">
        <v>891</v>
      </c>
      <c r="BI30" s="4">
        <v>891</v>
      </c>
      <c r="BJ30" s="4">
        <f t="shared" si="14"/>
        <v>891</v>
      </c>
      <c r="BK30" s="19">
        <v>4</v>
      </c>
      <c r="BL30" s="19">
        <v>1</v>
      </c>
      <c r="BM30" s="16">
        <v>19250565</v>
      </c>
      <c r="BN30" t="s">
        <v>258</v>
      </c>
      <c r="BO30" t="s">
        <v>258</v>
      </c>
      <c r="BP30" t="str">
        <f t="shared" si="15"/>
        <v>-</v>
      </c>
      <c r="BQ30">
        <v>891</v>
      </c>
      <c r="BR30">
        <v>891</v>
      </c>
      <c r="BS30">
        <f t="shared" si="16"/>
        <v>980.94857142857143</v>
      </c>
      <c r="BT30" s="4" t="s">
        <v>290</v>
      </c>
    </row>
    <row r="31" spans="1:72" x14ac:dyDescent="0.4">
      <c r="A31" s="3">
        <v>31</v>
      </c>
      <c r="B31" s="3">
        <v>31</v>
      </c>
      <c r="C31" s="4" t="s">
        <v>92</v>
      </c>
      <c r="D31" s="4" t="str">
        <f t="shared" si="0"/>
        <v>J759WT</v>
      </c>
      <c r="E31" s="4" t="s">
        <v>92</v>
      </c>
      <c r="F31" s="4" t="str">
        <f t="shared" si="17"/>
        <v>J759WT5</v>
      </c>
      <c r="G31" s="4" t="s">
        <v>179</v>
      </c>
      <c r="H31" s="5">
        <v>4903320162501</v>
      </c>
      <c r="I31" s="5">
        <v>5</v>
      </c>
      <c r="J31" s="5"/>
      <c r="K31" s="5">
        <v>1</v>
      </c>
      <c r="L31" s="5">
        <v>1</v>
      </c>
      <c r="M31" s="4">
        <v>0</v>
      </c>
      <c r="N31" s="4">
        <v>780</v>
      </c>
      <c r="O31" s="4">
        <v>525</v>
      </c>
      <c r="P31" s="6">
        <f t="shared" si="1"/>
        <v>0.32692307692307687</v>
      </c>
      <c r="Q31" s="4" t="s">
        <v>259</v>
      </c>
      <c r="R31" s="4"/>
      <c r="S31" s="4"/>
      <c r="T31" s="4"/>
      <c r="U31" s="4"/>
      <c r="V31" s="4"/>
      <c r="W31" s="4"/>
      <c r="X31" s="4"/>
      <c r="Y31" s="4"/>
      <c r="Z31" s="4">
        <v>0</v>
      </c>
      <c r="AA31" s="4">
        <f t="shared" si="2"/>
        <v>0</v>
      </c>
      <c r="AB31" s="4">
        <v>578</v>
      </c>
      <c r="AC31" s="4">
        <f t="shared" si="3"/>
        <v>578</v>
      </c>
      <c r="AD31" s="4"/>
      <c r="AE31" s="21">
        <f t="shared" si="4"/>
        <v>859</v>
      </c>
      <c r="AF31" s="6">
        <f t="shared" si="5"/>
        <v>0.32712456344586727</v>
      </c>
      <c r="AG31" s="33">
        <v>0.5</v>
      </c>
      <c r="AH31" s="4">
        <f t="shared" si="6"/>
        <v>891</v>
      </c>
      <c r="AI31" s="33">
        <f t="shared" si="7"/>
        <v>980.94857142857143</v>
      </c>
      <c r="AJ31" s="6">
        <f t="shared" si="8"/>
        <v>0.41077441077441079</v>
      </c>
      <c r="AK31" s="7">
        <v>970</v>
      </c>
      <c r="AL31" s="6">
        <f t="shared" si="9"/>
        <v>0.40412371134020619</v>
      </c>
      <c r="AM31" s="4">
        <f t="shared" si="10"/>
        <v>392</v>
      </c>
      <c r="AN31" s="28"/>
      <c r="AO31" s="6"/>
      <c r="AP31" s="6"/>
      <c r="AQ31" s="6" t="str">
        <f t="shared" si="11"/>
        <v>-</v>
      </c>
      <c r="AR31" s="6">
        <f t="shared" si="12"/>
        <v>1.2435897435897436</v>
      </c>
      <c r="AS31" s="6">
        <f t="shared" si="13"/>
        <v>1.1009523809523809</v>
      </c>
      <c r="AT31" s="4"/>
      <c r="AU31" s="4"/>
      <c r="AV31" s="4"/>
      <c r="AW31" s="4"/>
      <c r="AX31" s="4"/>
      <c r="AY31" s="4"/>
      <c r="AZ31" s="4"/>
      <c r="BA31" s="4"/>
      <c r="BB31" s="4"/>
      <c r="BC31" s="4">
        <v>0</v>
      </c>
      <c r="BD31" s="4" t="s">
        <v>406</v>
      </c>
      <c r="BE31" s="4"/>
      <c r="BF31" s="4"/>
      <c r="BG31" s="4" t="s">
        <v>384</v>
      </c>
      <c r="BH31" s="4">
        <v>891</v>
      </c>
      <c r="BI31" s="4">
        <v>891</v>
      </c>
      <c r="BJ31" s="4">
        <f t="shared" si="14"/>
        <v>891</v>
      </c>
      <c r="BK31" s="19">
        <v>4</v>
      </c>
      <c r="BL31" s="19">
        <v>1</v>
      </c>
      <c r="BM31" s="16">
        <v>19250565</v>
      </c>
      <c r="BN31" t="s">
        <v>258</v>
      </c>
      <c r="BO31" t="s">
        <v>258</v>
      </c>
      <c r="BP31" t="str">
        <f t="shared" si="15"/>
        <v>-</v>
      </c>
      <c r="BQ31" t="s">
        <v>258</v>
      </c>
      <c r="BR31" t="s">
        <v>258</v>
      </c>
      <c r="BS31" t="str">
        <f t="shared" si="16"/>
        <v>-</v>
      </c>
      <c r="BT31" s="4" t="s">
        <v>291</v>
      </c>
    </row>
    <row r="32" spans="1:72" x14ac:dyDescent="0.4">
      <c r="A32" s="3">
        <v>33</v>
      </c>
      <c r="B32" s="3">
        <v>33</v>
      </c>
      <c r="C32" s="4" t="s">
        <v>94</v>
      </c>
      <c r="D32" s="4" t="str">
        <f t="shared" si="0"/>
        <v>J760WT</v>
      </c>
      <c r="E32" s="4" t="s">
        <v>94</v>
      </c>
      <c r="F32" s="4" t="str">
        <f t="shared" si="17"/>
        <v>J760WT5</v>
      </c>
      <c r="G32" s="4" t="s">
        <v>181</v>
      </c>
      <c r="H32" s="5">
        <v>4903320162525</v>
      </c>
      <c r="I32" s="5">
        <v>5</v>
      </c>
      <c r="J32" s="5"/>
      <c r="K32" s="5">
        <v>1</v>
      </c>
      <c r="L32" s="5">
        <v>1</v>
      </c>
      <c r="M32" s="4">
        <v>0</v>
      </c>
      <c r="N32" s="4">
        <v>780</v>
      </c>
      <c r="O32" s="4">
        <v>525</v>
      </c>
      <c r="P32" s="6">
        <f t="shared" si="1"/>
        <v>0.32692307692307687</v>
      </c>
      <c r="Q32" s="4" t="s">
        <v>259</v>
      </c>
      <c r="R32" s="4"/>
      <c r="S32" s="4"/>
      <c r="T32" s="4"/>
      <c r="U32" s="4"/>
      <c r="V32" s="4"/>
      <c r="W32" s="4"/>
      <c r="X32" s="4"/>
      <c r="Y32" s="4"/>
      <c r="Z32" s="4">
        <v>0</v>
      </c>
      <c r="AA32" s="4">
        <f t="shared" si="2"/>
        <v>0</v>
      </c>
      <c r="AB32" s="4">
        <v>578</v>
      </c>
      <c r="AC32" s="4">
        <f t="shared" si="3"/>
        <v>578</v>
      </c>
      <c r="AD32" s="4"/>
      <c r="AE32" s="21">
        <f t="shared" si="4"/>
        <v>859</v>
      </c>
      <c r="AF32" s="6">
        <f t="shared" si="5"/>
        <v>0.32712456344586727</v>
      </c>
      <c r="AG32" s="33">
        <v>1</v>
      </c>
      <c r="AH32" s="4">
        <f t="shared" si="6"/>
        <v>891</v>
      </c>
      <c r="AI32" s="33">
        <f t="shared" si="7"/>
        <v>980.94857142857143</v>
      </c>
      <c r="AJ32" s="6">
        <f t="shared" si="8"/>
        <v>0.41077441077441079</v>
      </c>
      <c r="AK32" s="7">
        <v>970</v>
      </c>
      <c r="AL32" s="6">
        <f t="shared" si="9"/>
        <v>0.40412371134020619</v>
      </c>
      <c r="AM32" s="4">
        <f t="shared" si="10"/>
        <v>392</v>
      </c>
      <c r="AN32" s="28"/>
      <c r="AO32" s="6"/>
      <c r="AP32" s="6"/>
      <c r="AQ32" s="6" t="str">
        <f t="shared" si="11"/>
        <v>-</v>
      </c>
      <c r="AR32" s="6">
        <f t="shared" si="12"/>
        <v>1.2435897435897436</v>
      </c>
      <c r="AS32" s="6">
        <f t="shared" si="13"/>
        <v>1.1009523809523809</v>
      </c>
      <c r="AT32" s="4"/>
      <c r="AU32" s="4"/>
      <c r="AV32" s="4"/>
      <c r="AW32" s="4"/>
      <c r="AX32" s="4"/>
      <c r="AY32" s="4"/>
      <c r="AZ32" s="4"/>
      <c r="BA32" s="4"/>
      <c r="BB32" s="4"/>
      <c r="BC32" s="4">
        <v>0</v>
      </c>
      <c r="BD32" s="4" t="s">
        <v>408</v>
      </c>
      <c r="BE32" s="4"/>
      <c r="BF32" s="4"/>
      <c r="BG32" s="4" t="s">
        <v>384</v>
      </c>
      <c r="BH32" s="4">
        <v>891</v>
      </c>
      <c r="BI32" s="4">
        <v>891</v>
      </c>
      <c r="BJ32" s="4">
        <f t="shared" si="14"/>
        <v>891</v>
      </c>
      <c r="BK32" s="19">
        <v>4</v>
      </c>
      <c r="BL32" s="19">
        <v>1</v>
      </c>
      <c r="BM32" s="16">
        <v>19250565</v>
      </c>
      <c r="BN32" t="s">
        <v>258</v>
      </c>
      <c r="BO32" t="s">
        <v>258</v>
      </c>
      <c r="BP32" t="str">
        <f t="shared" si="15"/>
        <v>-</v>
      </c>
      <c r="BQ32">
        <v>891</v>
      </c>
      <c r="BR32">
        <v>891</v>
      </c>
      <c r="BS32">
        <f t="shared" si="16"/>
        <v>980.94857142857143</v>
      </c>
      <c r="BT32" s="4" t="s">
        <v>293</v>
      </c>
    </row>
    <row r="33" spans="1:72" x14ac:dyDescent="0.4">
      <c r="A33" s="3">
        <v>39</v>
      </c>
      <c r="B33" s="3">
        <v>39</v>
      </c>
      <c r="C33" s="4" t="s">
        <v>100</v>
      </c>
      <c r="D33" s="4" t="str">
        <f t="shared" si="0"/>
        <v>J9026X</v>
      </c>
      <c r="E33" s="4" t="s">
        <v>100</v>
      </c>
      <c r="F33" s="4" t="str">
        <f t="shared" si="17"/>
        <v>J9026X5</v>
      </c>
      <c r="G33" s="4" t="s">
        <v>187</v>
      </c>
      <c r="H33" s="5">
        <v>4903320162594</v>
      </c>
      <c r="I33" s="5">
        <v>5</v>
      </c>
      <c r="J33" s="5"/>
      <c r="K33" s="5">
        <v>1</v>
      </c>
      <c r="L33" s="5">
        <v>1</v>
      </c>
      <c r="M33" s="4">
        <v>0</v>
      </c>
      <c r="N33" s="4">
        <v>1009</v>
      </c>
      <c r="O33" s="4">
        <v>561</v>
      </c>
      <c r="P33" s="6">
        <f t="shared" si="1"/>
        <v>0.44400396432111</v>
      </c>
      <c r="Q33" s="4" t="s">
        <v>259</v>
      </c>
      <c r="R33" s="4"/>
      <c r="S33" s="4"/>
      <c r="T33" s="4"/>
      <c r="U33" s="4"/>
      <c r="V33" s="4"/>
      <c r="W33" s="4"/>
      <c r="X33" s="4"/>
      <c r="Y33" s="4"/>
      <c r="Z33" s="4">
        <v>0</v>
      </c>
      <c r="AA33" s="4">
        <f t="shared" si="2"/>
        <v>0</v>
      </c>
      <c r="AB33" s="4">
        <v>618</v>
      </c>
      <c r="AC33" s="4">
        <f t="shared" si="3"/>
        <v>618</v>
      </c>
      <c r="AD33" s="4"/>
      <c r="AE33" s="21">
        <f t="shared" si="4"/>
        <v>1112</v>
      </c>
      <c r="AF33" s="6">
        <f t="shared" si="5"/>
        <v>0.44424460431654678</v>
      </c>
      <c r="AG33" s="33">
        <v>1</v>
      </c>
      <c r="AH33" s="4">
        <f t="shared" si="6"/>
        <v>982</v>
      </c>
      <c r="AI33" s="33">
        <f t="shared" si="7"/>
        <v>1081.7754010695187</v>
      </c>
      <c r="AJ33" s="6">
        <f t="shared" si="8"/>
        <v>0.42871690427698572</v>
      </c>
      <c r="AK33" s="7">
        <v>1080</v>
      </c>
      <c r="AL33" s="6">
        <f t="shared" si="9"/>
        <v>0.42777777777777781</v>
      </c>
      <c r="AM33" s="4">
        <f t="shared" si="10"/>
        <v>462</v>
      </c>
      <c r="AN33" s="28"/>
      <c r="AO33" s="6"/>
      <c r="AP33" s="6"/>
      <c r="AQ33" s="6" t="str">
        <f t="shared" si="11"/>
        <v>-</v>
      </c>
      <c r="AR33" s="6">
        <f t="shared" si="12"/>
        <v>1.0703666997026759</v>
      </c>
      <c r="AS33" s="6">
        <f t="shared" si="13"/>
        <v>1.1016042780748663</v>
      </c>
      <c r="AT33" s="4"/>
      <c r="AU33" s="4"/>
      <c r="AV33" s="4"/>
      <c r="AW33" s="4"/>
      <c r="AX33" s="4"/>
      <c r="AY33" s="4"/>
      <c r="AZ33" s="4"/>
      <c r="BA33" s="4"/>
      <c r="BB33" s="4"/>
      <c r="BC33" s="4">
        <v>0</v>
      </c>
      <c r="BD33" s="4" t="s">
        <v>414</v>
      </c>
      <c r="BE33" s="4"/>
      <c r="BF33" s="4"/>
      <c r="BG33" s="4" t="s">
        <v>384</v>
      </c>
      <c r="BH33" s="4">
        <v>982</v>
      </c>
      <c r="BI33" s="4">
        <v>982</v>
      </c>
      <c r="BJ33" s="4">
        <f t="shared" si="14"/>
        <v>982</v>
      </c>
      <c r="BK33" s="19">
        <v>4</v>
      </c>
      <c r="BL33" s="19">
        <v>8</v>
      </c>
      <c r="BM33" s="16">
        <v>19250565</v>
      </c>
      <c r="BN33" t="s">
        <v>258</v>
      </c>
      <c r="BO33" t="s">
        <v>258</v>
      </c>
      <c r="BP33" t="str">
        <f t="shared" si="15"/>
        <v>-</v>
      </c>
      <c r="BQ33">
        <v>982</v>
      </c>
      <c r="BR33">
        <v>982</v>
      </c>
      <c r="BS33">
        <f t="shared" si="16"/>
        <v>1081.7754010695187</v>
      </c>
      <c r="BT33" s="4" t="s">
        <v>299</v>
      </c>
    </row>
    <row r="34" spans="1:72" x14ac:dyDescent="0.4">
      <c r="A34" s="3">
        <v>24</v>
      </c>
      <c r="B34" s="3">
        <v>24</v>
      </c>
      <c r="C34" s="4" t="s">
        <v>85</v>
      </c>
      <c r="D34" s="4" t="str">
        <f t="shared" si="0"/>
        <v>J255SD</v>
      </c>
      <c r="E34" s="4" t="s">
        <v>85</v>
      </c>
      <c r="F34" s="4" t="str">
        <f t="shared" si="17"/>
        <v>J255SD5</v>
      </c>
      <c r="G34" s="4" t="s">
        <v>172</v>
      </c>
      <c r="H34" s="5">
        <v>4903320162419</v>
      </c>
      <c r="I34" s="5">
        <v>5</v>
      </c>
      <c r="J34" s="5"/>
      <c r="K34" s="5">
        <v>1</v>
      </c>
      <c r="L34" s="5">
        <v>1</v>
      </c>
      <c r="M34" s="4">
        <v>0</v>
      </c>
      <c r="N34" s="4">
        <v>997</v>
      </c>
      <c r="O34" s="4">
        <v>586</v>
      </c>
      <c r="P34" s="6">
        <f t="shared" si="1"/>
        <v>0.4122367101303912</v>
      </c>
      <c r="Q34" s="4" t="s">
        <v>259</v>
      </c>
      <c r="R34" s="4"/>
      <c r="S34" s="4"/>
      <c r="T34" s="4"/>
      <c r="U34" s="4"/>
      <c r="V34" s="4"/>
      <c r="W34" s="4"/>
      <c r="X34" s="4"/>
      <c r="Y34" s="4"/>
      <c r="Z34" s="4">
        <v>0</v>
      </c>
      <c r="AA34" s="4">
        <f t="shared" si="2"/>
        <v>0</v>
      </c>
      <c r="AB34" s="4">
        <v>645</v>
      </c>
      <c r="AC34" s="4">
        <f t="shared" si="3"/>
        <v>645</v>
      </c>
      <c r="AD34" s="4"/>
      <c r="AE34" s="21">
        <f t="shared" si="4"/>
        <v>1097</v>
      </c>
      <c r="AF34" s="6">
        <f t="shared" si="5"/>
        <v>0.41203281677301729</v>
      </c>
      <c r="AG34" s="33">
        <v>5.25</v>
      </c>
      <c r="AH34" s="4">
        <f t="shared" si="6"/>
        <v>982</v>
      </c>
      <c r="AI34" s="33">
        <f t="shared" si="7"/>
        <v>1080.8703071672355</v>
      </c>
      <c r="AJ34" s="6">
        <f t="shared" si="8"/>
        <v>0.40325865580448061</v>
      </c>
      <c r="AK34" s="7">
        <v>1080</v>
      </c>
      <c r="AL34" s="6">
        <f t="shared" si="9"/>
        <v>0.40277777777777779</v>
      </c>
      <c r="AM34" s="4">
        <f t="shared" si="10"/>
        <v>435</v>
      </c>
      <c r="AN34" s="28"/>
      <c r="AO34" s="6"/>
      <c r="AP34" s="6"/>
      <c r="AQ34" s="6" t="str">
        <f t="shared" si="11"/>
        <v>-</v>
      </c>
      <c r="AR34" s="6">
        <f t="shared" si="12"/>
        <v>1.0832497492477433</v>
      </c>
      <c r="AS34" s="6">
        <f t="shared" si="13"/>
        <v>1.1006825938566553</v>
      </c>
      <c r="AT34" s="4"/>
      <c r="AU34" s="4"/>
      <c r="AV34" s="4"/>
      <c r="AW34" s="4"/>
      <c r="AX34" s="4"/>
      <c r="AY34" s="4"/>
      <c r="AZ34" s="4"/>
      <c r="BA34" s="4"/>
      <c r="BB34" s="4"/>
      <c r="BC34" s="4" t="s">
        <v>255</v>
      </c>
      <c r="BD34" s="4" t="s">
        <v>399</v>
      </c>
      <c r="BE34" s="4"/>
      <c r="BF34" s="4"/>
      <c r="BG34" s="4" t="s">
        <v>382</v>
      </c>
      <c r="BH34" s="4">
        <v>982</v>
      </c>
      <c r="BI34" s="4">
        <v>982</v>
      </c>
      <c r="BJ34" s="4">
        <f t="shared" si="14"/>
        <v>982</v>
      </c>
      <c r="BK34" s="19">
        <v>4</v>
      </c>
      <c r="BL34" s="19">
        <v>1</v>
      </c>
      <c r="BM34" s="16">
        <v>19250565</v>
      </c>
      <c r="BN34">
        <v>635</v>
      </c>
      <c r="BO34">
        <v>635</v>
      </c>
      <c r="BP34">
        <f t="shared" si="15"/>
        <v>698.9334470989761</v>
      </c>
      <c r="BQ34">
        <v>982</v>
      </c>
      <c r="BR34">
        <v>982</v>
      </c>
      <c r="BS34">
        <f t="shared" si="16"/>
        <v>1080.8703071672355</v>
      </c>
      <c r="BT34" s="4" t="s">
        <v>284</v>
      </c>
    </row>
    <row r="35" spans="1:72" x14ac:dyDescent="0.4">
      <c r="A35" s="3">
        <v>35</v>
      </c>
      <c r="B35" s="3">
        <v>35</v>
      </c>
      <c r="C35" s="4" t="s">
        <v>96</v>
      </c>
      <c r="D35" s="4" t="str">
        <f t="shared" si="0"/>
        <v>J261SD</v>
      </c>
      <c r="E35" s="4" t="s">
        <v>96</v>
      </c>
      <c r="F35" s="4" t="str">
        <f t="shared" si="17"/>
        <v>J261SD5</v>
      </c>
      <c r="G35" s="4" t="s">
        <v>183</v>
      </c>
      <c r="H35" s="5">
        <v>4903320162549</v>
      </c>
      <c r="I35" s="5">
        <v>5</v>
      </c>
      <c r="J35" s="5"/>
      <c r="K35" s="5">
        <v>1</v>
      </c>
      <c r="L35" s="5">
        <v>1</v>
      </c>
      <c r="M35" s="4">
        <v>0</v>
      </c>
      <c r="N35" s="4">
        <v>1007</v>
      </c>
      <c r="O35" s="4">
        <v>586</v>
      </c>
      <c r="P35" s="6">
        <f t="shared" si="1"/>
        <v>0.41807348560079449</v>
      </c>
      <c r="Q35" s="4" t="s">
        <v>259</v>
      </c>
      <c r="R35" s="4"/>
      <c r="S35" s="4"/>
      <c r="T35" s="4"/>
      <c r="U35" s="4"/>
      <c r="V35" s="4"/>
      <c r="W35" s="4"/>
      <c r="X35" s="4"/>
      <c r="Y35" s="4"/>
      <c r="Z35" s="4">
        <v>0</v>
      </c>
      <c r="AA35" s="4">
        <f t="shared" si="2"/>
        <v>0</v>
      </c>
      <c r="AB35" s="4">
        <v>645</v>
      </c>
      <c r="AC35" s="4">
        <f t="shared" si="3"/>
        <v>645</v>
      </c>
      <c r="AD35" s="4"/>
      <c r="AE35" s="21">
        <f t="shared" si="4"/>
        <v>1108</v>
      </c>
      <c r="AF35" s="6">
        <f t="shared" si="5"/>
        <v>0.41787003610108309</v>
      </c>
      <c r="AG35" s="33">
        <v>0.5</v>
      </c>
      <c r="AH35" s="4">
        <f t="shared" si="6"/>
        <v>984</v>
      </c>
      <c r="AI35" s="33">
        <f t="shared" si="7"/>
        <v>1083.0716723549488</v>
      </c>
      <c r="AJ35" s="6">
        <f t="shared" si="8"/>
        <v>0.40447154471544711</v>
      </c>
      <c r="AK35" s="7">
        <v>1080</v>
      </c>
      <c r="AL35" s="6">
        <f t="shared" si="9"/>
        <v>0.40277777777777779</v>
      </c>
      <c r="AM35" s="4">
        <f t="shared" si="10"/>
        <v>435</v>
      </c>
      <c r="AN35" s="28"/>
      <c r="AO35" s="6"/>
      <c r="AP35" s="6"/>
      <c r="AQ35" s="6" t="str">
        <f t="shared" si="11"/>
        <v>-</v>
      </c>
      <c r="AR35" s="6">
        <f t="shared" si="12"/>
        <v>1.0724925521350546</v>
      </c>
      <c r="AS35" s="6">
        <f t="shared" si="13"/>
        <v>1.1006825938566553</v>
      </c>
      <c r="AT35" s="4"/>
      <c r="AU35" s="4"/>
      <c r="AV35" s="4"/>
      <c r="AW35" s="4"/>
      <c r="AX35" s="4"/>
      <c r="AY35" s="4"/>
      <c r="AZ35" s="4"/>
      <c r="BA35" s="4"/>
      <c r="BB35" s="4"/>
      <c r="BC35" s="4">
        <v>0</v>
      </c>
      <c r="BD35" s="4" t="s">
        <v>410</v>
      </c>
      <c r="BE35" s="4"/>
      <c r="BF35" s="4"/>
      <c r="BG35" s="4" t="s">
        <v>369</v>
      </c>
      <c r="BH35" s="4">
        <v>984</v>
      </c>
      <c r="BI35" s="4">
        <v>984</v>
      </c>
      <c r="BJ35" s="4">
        <f t="shared" si="14"/>
        <v>984</v>
      </c>
      <c r="BK35" s="19">
        <v>4</v>
      </c>
      <c r="BL35" s="19">
        <v>1</v>
      </c>
      <c r="BM35" s="16">
        <v>19250565</v>
      </c>
      <c r="BN35" t="s">
        <v>258</v>
      </c>
      <c r="BO35" t="s">
        <v>258</v>
      </c>
      <c r="BP35" t="str">
        <f t="shared" si="15"/>
        <v>-</v>
      </c>
      <c r="BQ35">
        <v>982</v>
      </c>
      <c r="BR35">
        <v>982</v>
      </c>
      <c r="BS35">
        <f t="shared" si="16"/>
        <v>1080.8703071672355</v>
      </c>
      <c r="BT35" s="4" t="s">
        <v>295</v>
      </c>
    </row>
    <row r="36" spans="1:72" x14ac:dyDescent="0.4">
      <c r="A36" s="3">
        <v>36</v>
      </c>
      <c r="B36" s="3">
        <v>36</v>
      </c>
      <c r="C36" s="4" t="s">
        <v>97</v>
      </c>
      <c r="D36" s="4" t="str">
        <f t="shared" ref="D36:D67" si="18">TEXT(C36,"000000")</f>
        <v>J761WT</v>
      </c>
      <c r="E36" s="4" t="s">
        <v>97</v>
      </c>
      <c r="F36" s="4" t="str">
        <f t="shared" si="17"/>
        <v>J761WT5</v>
      </c>
      <c r="G36" s="4" t="s">
        <v>184</v>
      </c>
      <c r="H36" s="5">
        <v>4903320162556</v>
      </c>
      <c r="I36" s="5">
        <v>5</v>
      </c>
      <c r="J36" s="5"/>
      <c r="K36" s="5">
        <v>1</v>
      </c>
      <c r="L36" s="5">
        <v>1</v>
      </c>
      <c r="M36" s="4">
        <v>0</v>
      </c>
      <c r="N36" s="4">
        <v>880</v>
      </c>
      <c r="O36" s="4">
        <v>586</v>
      </c>
      <c r="P36" s="6">
        <f t="shared" ref="P36:P67" si="19">IFERROR(1-O36/N36,"-")</f>
        <v>0.33409090909090911</v>
      </c>
      <c r="Q36" s="4" t="s">
        <v>259</v>
      </c>
      <c r="R36" s="4"/>
      <c r="S36" s="4"/>
      <c r="T36" s="4"/>
      <c r="U36" s="4"/>
      <c r="V36" s="4"/>
      <c r="W36" s="4"/>
      <c r="X36" s="4"/>
      <c r="Y36" s="4"/>
      <c r="Z36" s="4">
        <v>0</v>
      </c>
      <c r="AA36" s="4">
        <f t="shared" ref="AA36:AA67" si="20">IF(AD36="",Z36,Z36*AD36)</f>
        <v>0</v>
      </c>
      <c r="AB36" s="4">
        <v>645</v>
      </c>
      <c r="AC36" s="4">
        <f t="shared" ref="AC36:AC67" si="21">IF(AD36="",AB36,AB36*AD36)</f>
        <v>645</v>
      </c>
      <c r="AD36" s="4"/>
      <c r="AE36" s="21">
        <f t="shared" ref="AE36:AE67" si="22">ROUND(N36*AS36,0)</f>
        <v>969</v>
      </c>
      <c r="AF36" s="6">
        <f t="shared" ref="AF36:AF67" si="23">IFERROR(1-AC36/AE36,"-")</f>
        <v>0.33436532507739936</v>
      </c>
      <c r="AG36" s="33">
        <v>0</v>
      </c>
      <c r="AH36" s="4">
        <f t="shared" ref="AH36:AH67" si="24">BJ36</f>
        <v>984</v>
      </c>
      <c r="AI36" s="33">
        <f t="shared" ref="AI36:AI67" si="25">IFERROR(AH36*AS36,"-")</f>
        <v>1083.0716723549488</v>
      </c>
      <c r="AJ36" s="6">
        <f t="shared" ref="AJ36:AJ67" si="26">IFERROR(1-AC36/AI36,"-")</f>
        <v>0.40447154471544711</v>
      </c>
      <c r="AK36" s="7">
        <v>1080</v>
      </c>
      <c r="AL36" s="6">
        <f t="shared" ref="AL36:AL67" si="27">1-AC36/AK36</f>
        <v>0.40277777777777779</v>
      </c>
      <c r="AM36" s="4">
        <f t="shared" ref="AM36:AM67" si="28">AK36-AC36</f>
        <v>435</v>
      </c>
      <c r="AN36" s="28"/>
      <c r="AO36" s="6"/>
      <c r="AP36" s="6"/>
      <c r="AQ36" s="6" t="str">
        <f t="shared" ref="AQ36:AQ67" si="29">IFERROR(AA36/M36,"-")</f>
        <v>-</v>
      </c>
      <c r="AR36" s="6">
        <f t="shared" ref="AR36:AR67" si="30">IFERROR(AK36/N36,"-")</f>
        <v>1.2272727272727273</v>
      </c>
      <c r="AS36" s="6">
        <f t="shared" ref="AS36:AS67" si="31">IFERROR(AC36/O36,"-")</f>
        <v>1.1006825938566553</v>
      </c>
      <c r="AT36" s="4"/>
      <c r="AU36" s="4"/>
      <c r="AV36" s="4"/>
      <c r="AW36" s="4"/>
      <c r="AX36" s="4"/>
      <c r="AY36" s="4"/>
      <c r="AZ36" s="4"/>
      <c r="BA36" s="4"/>
      <c r="BB36" s="4"/>
      <c r="BC36" s="4">
        <v>0</v>
      </c>
      <c r="BD36" s="4" t="s">
        <v>411</v>
      </c>
      <c r="BE36" s="4"/>
      <c r="BF36" s="4"/>
      <c r="BG36" s="4" t="s">
        <v>369</v>
      </c>
      <c r="BH36" s="4">
        <v>984</v>
      </c>
      <c r="BI36" s="4">
        <v>984</v>
      </c>
      <c r="BJ36" s="4">
        <f t="shared" ref="BJ36:BJ67" si="32">IF(BE36="",BI36,BE36/BF36*BI36)</f>
        <v>984</v>
      </c>
      <c r="BK36" s="19">
        <v>4</v>
      </c>
      <c r="BL36" s="19">
        <v>1</v>
      </c>
      <c r="BM36" s="16">
        <v>19250565</v>
      </c>
      <c r="BN36" t="s">
        <v>258</v>
      </c>
      <c r="BO36" t="s">
        <v>258</v>
      </c>
      <c r="BP36" t="str">
        <f t="shared" ref="BP36:BP67" si="33">IFERROR(BO36*AS36,"-")</f>
        <v>-</v>
      </c>
      <c r="BQ36">
        <v>982</v>
      </c>
      <c r="BR36">
        <v>982</v>
      </c>
      <c r="BS36">
        <f t="shared" ref="BS36:BS67" si="34">IFERROR(BR36*AS36,"-")</f>
        <v>1080.8703071672355</v>
      </c>
      <c r="BT36" s="4" t="s">
        <v>296</v>
      </c>
    </row>
    <row r="37" spans="1:72" x14ac:dyDescent="0.4">
      <c r="A37" s="3">
        <v>37</v>
      </c>
      <c r="B37" s="3">
        <v>37</v>
      </c>
      <c r="C37" s="4" t="s">
        <v>98</v>
      </c>
      <c r="D37" s="4" t="str">
        <f t="shared" si="18"/>
        <v>J9024X</v>
      </c>
      <c r="E37" s="4" t="s">
        <v>98</v>
      </c>
      <c r="F37" s="4" t="str">
        <f t="shared" si="17"/>
        <v>J9024X5</v>
      </c>
      <c r="G37" s="4" t="s">
        <v>185</v>
      </c>
      <c r="H37" s="5">
        <v>4903320162563</v>
      </c>
      <c r="I37" s="5">
        <v>5</v>
      </c>
      <c r="J37" s="5"/>
      <c r="K37" s="5">
        <v>1</v>
      </c>
      <c r="L37" s="5">
        <v>1</v>
      </c>
      <c r="M37" s="4">
        <v>0</v>
      </c>
      <c r="N37" s="4">
        <v>1366</v>
      </c>
      <c r="O37" s="4">
        <v>805</v>
      </c>
      <c r="P37" s="6">
        <f t="shared" si="19"/>
        <v>0.41068814055636893</v>
      </c>
      <c r="Q37" s="4" t="s">
        <v>259</v>
      </c>
      <c r="R37" s="4"/>
      <c r="S37" s="4"/>
      <c r="T37" s="4"/>
      <c r="U37" s="4"/>
      <c r="V37" s="4"/>
      <c r="W37" s="4"/>
      <c r="X37" s="4"/>
      <c r="Y37" s="4"/>
      <c r="Z37" s="4">
        <v>0</v>
      </c>
      <c r="AA37" s="4">
        <f t="shared" si="20"/>
        <v>0</v>
      </c>
      <c r="AB37" s="4">
        <v>886</v>
      </c>
      <c r="AC37" s="4">
        <f t="shared" si="21"/>
        <v>886</v>
      </c>
      <c r="AD37" s="4"/>
      <c r="AE37" s="21">
        <f t="shared" si="22"/>
        <v>1503</v>
      </c>
      <c r="AF37" s="6">
        <f t="shared" si="23"/>
        <v>0.4105123087159015</v>
      </c>
      <c r="AG37" s="33">
        <v>0.25</v>
      </c>
      <c r="AH37" s="4">
        <f t="shared" si="24"/>
        <v>1348</v>
      </c>
      <c r="AI37" s="33">
        <f t="shared" si="25"/>
        <v>1483.6372670807452</v>
      </c>
      <c r="AJ37" s="6">
        <f t="shared" si="26"/>
        <v>0.40281899109792285</v>
      </c>
      <c r="AK37" s="7">
        <v>1480</v>
      </c>
      <c r="AL37" s="6">
        <f t="shared" si="27"/>
        <v>0.40135135135135136</v>
      </c>
      <c r="AM37" s="4">
        <f t="shared" si="28"/>
        <v>594</v>
      </c>
      <c r="AN37" s="28"/>
      <c r="AO37" s="6"/>
      <c r="AP37" s="6"/>
      <c r="AQ37" s="6" t="str">
        <f t="shared" si="29"/>
        <v>-</v>
      </c>
      <c r="AR37" s="6">
        <f t="shared" si="30"/>
        <v>1.0834553440702781</v>
      </c>
      <c r="AS37" s="6">
        <f t="shared" si="31"/>
        <v>1.1006211180124224</v>
      </c>
      <c r="AT37" s="4"/>
      <c r="AU37" s="4"/>
      <c r="AV37" s="4"/>
      <c r="AW37" s="4"/>
      <c r="AX37" s="4"/>
      <c r="AY37" s="4"/>
      <c r="AZ37" s="4"/>
      <c r="BA37" s="4"/>
      <c r="BB37" s="4"/>
      <c r="BC37" s="4">
        <v>0</v>
      </c>
      <c r="BD37" s="4" t="s">
        <v>412</v>
      </c>
      <c r="BE37" s="4"/>
      <c r="BF37" s="4"/>
      <c r="BG37" s="4" t="s">
        <v>369</v>
      </c>
      <c r="BH37" s="4">
        <v>1348</v>
      </c>
      <c r="BI37" s="4">
        <v>1348</v>
      </c>
      <c r="BJ37" s="4">
        <f t="shared" si="32"/>
        <v>1348</v>
      </c>
      <c r="BK37" s="19">
        <v>4</v>
      </c>
      <c r="BL37" s="19">
        <v>8</v>
      </c>
      <c r="BM37" s="16">
        <v>19250565</v>
      </c>
      <c r="BN37" t="s">
        <v>258</v>
      </c>
      <c r="BO37" t="s">
        <v>258</v>
      </c>
      <c r="BP37" t="str">
        <f t="shared" si="33"/>
        <v>-</v>
      </c>
      <c r="BQ37" t="s">
        <v>258</v>
      </c>
      <c r="BR37">
        <v>1280</v>
      </c>
      <c r="BS37">
        <f t="shared" si="34"/>
        <v>1408.7950310559006</v>
      </c>
      <c r="BT37" s="4" t="s">
        <v>297</v>
      </c>
    </row>
    <row r="38" spans="1:72" x14ac:dyDescent="0.4">
      <c r="A38" s="3">
        <v>38</v>
      </c>
      <c r="B38" s="3">
        <v>38</v>
      </c>
      <c r="C38" s="4" t="s">
        <v>99</v>
      </c>
      <c r="D38" s="4" t="str">
        <f t="shared" si="18"/>
        <v>J9025X</v>
      </c>
      <c r="E38" s="4" t="s">
        <v>99</v>
      </c>
      <c r="F38" s="4" t="str">
        <f t="shared" si="17"/>
        <v>J9025X5</v>
      </c>
      <c r="G38" s="4" t="s">
        <v>186</v>
      </c>
      <c r="H38" s="5">
        <v>4903320162570</v>
      </c>
      <c r="I38" s="5">
        <v>5</v>
      </c>
      <c r="J38" s="5"/>
      <c r="K38" s="5">
        <v>1</v>
      </c>
      <c r="L38" s="5">
        <v>1</v>
      </c>
      <c r="M38" s="4">
        <v>0</v>
      </c>
      <c r="N38" s="4">
        <v>1273</v>
      </c>
      <c r="O38" s="4">
        <v>805</v>
      </c>
      <c r="P38" s="6">
        <f t="shared" si="19"/>
        <v>0.36763550667714062</v>
      </c>
      <c r="Q38" s="4" t="s">
        <v>259</v>
      </c>
      <c r="R38" s="4"/>
      <c r="S38" s="4"/>
      <c r="T38" s="4"/>
      <c r="U38" s="4"/>
      <c r="V38" s="4"/>
      <c r="W38" s="4"/>
      <c r="X38" s="4"/>
      <c r="Y38" s="4"/>
      <c r="Z38" s="4">
        <v>0</v>
      </c>
      <c r="AA38" s="4">
        <f t="shared" si="20"/>
        <v>0</v>
      </c>
      <c r="AB38" s="4">
        <v>886</v>
      </c>
      <c r="AC38" s="4">
        <f t="shared" si="21"/>
        <v>886</v>
      </c>
      <c r="AD38" s="4"/>
      <c r="AE38" s="21">
        <f t="shared" si="22"/>
        <v>1401</v>
      </c>
      <c r="AF38" s="6">
        <f t="shared" si="23"/>
        <v>0.36759457530335471</v>
      </c>
      <c r="AG38" s="33">
        <v>0</v>
      </c>
      <c r="AH38" s="4">
        <f t="shared" si="24"/>
        <v>1346</v>
      </c>
      <c r="AI38" s="33">
        <f t="shared" si="25"/>
        <v>1481.4360248447206</v>
      </c>
      <c r="AJ38" s="6">
        <f t="shared" si="26"/>
        <v>0.40193164933135217</v>
      </c>
      <c r="AK38" s="7">
        <v>1480</v>
      </c>
      <c r="AL38" s="6">
        <f t="shared" si="27"/>
        <v>0.40135135135135136</v>
      </c>
      <c r="AM38" s="4">
        <f t="shared" si="28"/>
        <v>594</v>
      </c>
      <c r="AN38" s="28"/>
      <c r="AO38" s="6"/>
      <c r="AP38" s="6"/>
      <c r="AQ38" s="6" t="str">
        <f t="shared" si="29"/>
        <v>-</v>
      </c>
      <c r="AR38" s="6">
        <f t="shared" si="30"/>
        <v>1.1626080125687352</v>
      </c>
      <c r="AS38" s="6">
        <f t="shared" si="31"/>
        <v>1.1006211180124224</v>
      </c>
      <c r="AT38" s="4"/>
      <c r="AU38" s="4"/>
      <c r="AV38" s="4"/>
      <c r="AW38" s="4"/>
      <c r="AX38" s="4"/>
      <c r="AY38" s="4"/>
      <c r="AZ38" s="4"/>
      <c r="BA38" s="4"/>
      <c r="BB38" s="4"/>
      <c r="BC38" s="4">
        <v>0</v>
      </c>
      <c r="BD38" s="4" t="s">
        <v>413</v>
      </c>
      <c r="BE38" s="4"/>
      <c r="BF38" s="4"/>
      <c r="BG38" s="4" t="s">
        <v>369</v>
      </c>
      <c r="BH38" s="4">
        <v>1346</v>
      </c>
      <c r="BI38" s="4">
        <v>1346</v>
      </c>
      <c r="BJ38" s="4">
        <f t="shared" si="32"/>
        <v>1346</v>
      </c>
      <c r="BK38" s="19">
        <v>4</v>
      </c>
      <c r="BL38" s="19">
        <v>8</v>
      </c>
      <c r="BM38" s="16">
        <v>19250565</v>
      </c>
      <c r="BN38" t="s">
        <v>258</v>
      </c>
      <c r="BO38" t="s">
        <v>258</v>
      </c>
      <c r="BP38" t="str">
        <f t="shared" si="33"/>
        <v>-</v>
      </c>
      <c r="BQ38" t="s">
        <v>258</v>
      </c>
      <c r="BR38" t="s">
        <v>258</v>
      </c>
      <c r="BS38" t="str">
        <f t="shared" si="34"/>
        <v>-</v>
      </c>
      <c r="BT38" s="4" t="s">
        <v>298</v>
      </c>
    </row>
    <row r="39" spans="1:72" x14ac:dyDescent="0.4">
      <c r="A39" s="3">
        <v>68</v>
      </c>
      <c r="B39" s="3">
        <v>68</v>
      </c>
      <c r="C39" s="4">
        <v>932277</v>
      </c>
      <c r="D39" s="4" t="str">
        <f t="shared" si="18"/>
        <v>932277</v>
      </c>
      <c r="E39" s="4">
        <v>932277</v>
      </c>
      <c r="F39" s="4" t="str">
        <f t="shared" si="17"/>
        <v>9322775</v>
      </c>
      <c r="G39" s="4" t="s">
        <v>216</v>
      </c>
      <c r="H39" s="5">
        <v>4903320240186</v>
      </c>
      <c r="I39" s="5">
        <v>5</v>
      </c>
      <c r="J39" s="5"/>
      <c r="K39" s="5">
        <v>1</v>
      </c>
      <c r="L39" s="5">
        <v>1</v>
      </c>
      <c r="M39" s="4">
        <v>0</v>
      </c>
      <c r="N39" s="4">
        <v>213</v>
      </c>
      <c r="O39" s="4">
        <v>130</v>
      </c>
      <c r="P39" s="6">
        <f t="shared" si="19"/>
        <v>0.38967136150234738</v>
      </c>
      <c r="Q39" s="4" t="s">
        <v>259</v>
      </c>
      <c r="R39" s="4"/>
      <c r="S39" s="4"/>
      <c r="T39" s="4"/>
      <c r="U39" s="4"/>
      <c r="V39" s="4"/>
      <c r="W39" s="4"/>
      <c r="X39" s="4"/>
      <c r="Y39" s="4"/>
      <c r="Z39" s="4">
        <v>0</v>
      </c>
      <c r="AA39" s="4">
        <f t="shared" si="20"/>
        <v>0</v>
      </c>
      <c r="AB39" s="4">
        <v>147</v>
      </c>
      <c r="AC39" s="4">
        <f t="shared" si="21"/>
        <v>147</v>
      </c>
      <c r="AD39" s="4"/>
      <c r="AE39" s="21">
        <f t="shared" si="22"/>
        <v>241</v>
      </c>
      <c r="AF39" s="6">
        <f t="shared" si="23"/>
        <v>0.39004149377593356</v>
      </c>
      <c r="AG39" s="33">
        <v>2.5</v>
      </c>
      <c r="AH39" s="4">
        <f t="shared" si="24"/>
        <v>230</v>
      </c>
      <c r="AI39" s="33">
        <f t="shared" si="25"/>
        <v>260.07692307692309</v>
      </c>
      <c r="AJ39" s="6">
        <f t="shared" si="26"/>
        <v>0.43478260869565222</v>
      </c>
      <c r="AK39" s="7">
        <v>250</v>
      </c>
      <c r="AL39" s="6">
        <f t="shared" si="27"/>
        <v>0.41200000000000003</v>
      </c>
      <c r="AM39" s="4">
        <f t="shared" si="28"/>
        <v>103</v>
      </c>
      <c r="AN39" s="28"/>
      <c r="AO39" s="6"/>
      <c r="AP39" s="6"/>
      <c r="AQ39" s="6" t="str">
        <f t="shared" si="29"/>
        <v>-</v>
      </c>
      <c r="AR39" s="6">
        <f t="shared" si="30"/>
        <v>1.1737089201877935</v>
      </c>
      <c r="AS39" s="6">
        <f t="shared" si="31"/>
        <v>1.1307692307692307</v>
      </c>
      <c r="AT39" s="4"/>
      <c r="AU39" s="4"/>
      <c r="AV39" s="4"/>
      <c r="AW39" s="4"/>
      <c r="AX39" s="4"/>
      <c r="AY39" s="4"/>
      <c r="AZ39" s="4"/>
      <c r="BA39" s="4"/>
      <c r="BB39" s="4"/>
      <c r="BC39" s="4">
        <v>0</v>
      </c>
      <c r="BD39" s="4" t="s">
        <v>443</v>
      </c>
      <c r="BE39" s="4"/>
      <c r="BF39" s="4"/>
      <c r="BG39" s="4" t="s">
        <v>380</v>
      </c>
      <c r="BH39" s="4">
        <v>230</v>
      </c>
      <c r="BI39" s="4">
        <v>230</v>
      </c>
      <c r="BJ39" s="4">
        <f t="shared" si="32"/>
        <v>230</v>
      </c>
      <c r="BK39" s="19">
        <v>4</v>
      </c>
      <c r="BL39" s="19">
        <v>1</v>
      </c>
      <c r="BM39" s="16">
        <v>19251010</v>
      </c>
      <c r="BN39">
        <v>286</v>
      </c>
      <c r="BO39" t="s">
        <v>258</v>
      </c>
      <c r="BP39" t="str">
        <f t="shared" si="33"/>
        <v>-</v>
      </c>
      <c r="BQ39">
        <v>286</v>
      </c>
      <c r="BR39" t="s">
        <v>258</v>
      </c>
      <c r="BS39" t="str">
        <f t="shared" si="34"/>
        <v>-</v>
      </c>
      <c r="BT39" s="4" t="s">
        <v>328</v>
      </c>
    </row>
    <row r="40" spans="1:72" x14ac:dyDescent="0.4">
      <c r="A40" s="3">
        <v>77</v>
      </c>
      <c r="B40" s="3">
        <v>77</v>
      </c>
      <c r="C40" s="4">
        <v>932286</v>
      </c>
      <c r="D40" s="4" t="str">
        <f t="shared" si="18"/>
        <v>932286</v>
      </c>
      <c r="E40" s="4">
        <v>932286</v>
      </c>
      <c r="F40" s="4" t="str">
        <f t="shared" si="17"/>
        <v>9322865</v>
      </c>
      <c r="G40" s="4" t="s">
        <v>225</v>
      </c>
      <c r="H40" s="5">
        <v>4903320252387</v>
      </c>
      <c r="I40" s="5">
        <v>5</v>
      </c>
      <c r="J40" s="5"/>
      <c r="K40" s="5">
        <v>1</v>
      </c>
      <c r="L40" s="5">
        <v>1</v>
      </c>
      <c r="M40" s="4">
        <v>0</v>
      </c>
      <c r="N40" s="4">
        <v>215</v>
      </c>
      <c r="O40" s="4">
        <v>130</v>
      </c>
      <c r="P40" s="6">
        <f t="shared" si="19"/>
        <v>0.39534883720930236</v>
      </c>
      <c r="Q40" s="4" t="s">
        <v>259</v>
      </c>
      <c r="R40" s="4"/>
      <c r="S40" s="4"/>
      <c r="T40" s="4"/>
      <c r="U40" s="4"/>
      <c r="V40" s="4"/>
      <c r="W40" s="4"/>
      <c r="X40" s="4"/>
      <c r="Y40" s="4"/>
      <c r="Z40" s="4">
        <v>0</v>
      </c>
      <c r="AA40" s="4">
        <f t="shared" si="20"/>
        <v>0</v>
      </c>
      <c r="AB40" s="4">
        <v>147</v>
      </c>
      <c r="AC40" s="4">
        <f t="shared" si="21"/>
        <v>147</v>
      </c>
      <c r="AD40" s="4"/>
      <c r="AE40" s="21">
        <f t="shared" si="22"/>
        <v>243</v>
      </c>
      <c r="AF40" s="6">
        <f t="shared" si="23"/>
        <v>0.39506172839506171</v>
      </c>
      <c r="AG40" s="33">
        <v>4.25</v>
      </c>
      <c r="AH40" s="4">
        <f t="shared" si="24"/>
        <v>264</v>
      </c>
      <c r="AI40" s="33">
        <f t="shared" si="25"/>
        <v>298.52307692307693</v>
      </c>
      <c r="AJ40" s="6">
        <f t="shared" si="26"/>
        <v>0.50757575757575757</v>
      </c>
      <c r="AK40" s="7">
        <v>250</v>
      </c>
      <c r="AL40" s="6">
        <f t="shared" si="27"/>
        <v>0.41200000000000003</v>
      </c>
      <c r="AM40" s="4">
        <f t="shared" si="28"/>
        <v>103</v>
      </c>
      <c r="AN40" s="28"/>
      <c r="AO40" s="6"/>
      <c r="AP40" s="6"/>
      <c r="AQ40" s="6" t="str">
        <f t="shared" si="29"/>
        <v>-</v>
      </c>
      <c r="AR40" s="6">
        <f t="shared" si="30"/>
        <v>1.1627906976744187</v>
      </c>
      <c r="AS40" s="6">
        <f t="shared" si="31"/>
        <v>1.1307692307692307</v>
      </c>
      <c r="AT40" s="4"/>
      <c r="AU40" s="4"/>
      <c r="AV40" s="4"/>
      <c r="AW40" s="4"/>
      <c r="AX40" s="4"/>
      <c r="AY40" s="4"/>
      <c r="AZ40" s="4"/>
      <c r="BA40" s="4"/>
      <c r="BB40" s="4"/>
      <c r="BC40" s="4">
        <v>0</v>
      </c>
      <c r="BD40" s="4" t="s">
        <v>453</v>
      </c>
      <c r="BE40" s="4"/>
      <c r="BF40" s="4"/>
      <c r="BG40" s="4" t="s">
        <v>378</v>
      </c>
      <c r="BH40" s="4">
        <v>264</v>
      </c>
      <c r="BI40" s="4">
        <v>264</v>
      </c>
      <c r="BJ40" s="4">
        <f t="shared" si="32"/>
        <v>264</v>
      </c>
      <c r="BK40" s="19">
        <v>4</v>
      </c>
      <c r="BL40" s="19">
        <v>1</v>
      </c>
      <c r="BM40" s="16">
        <v>19251010</v>
      </c>
      <c r="BN40" t="s">
        <v>258</v>
      </c>
      <c r="BO40" t="s">
        <v>258</v>
      </c>
      <c r="BP40" t="str">
        <f t="shared" si="33"/>
        <v>-</v>
      </c>
      <c r="BQ40">
        <v>313</v>
      </c>
      <c r="BR40">
        <v>313</v>
      </c>
      <c r="BS40">
        <f t="shared" si="34"/>
        <v>353.93076923076922</v>
      </c>
      <c r="BT40" s="4" t="s">
        <v>337</v>
      </c>
    </row>
    <row r="41" spans="1:72" x14ac:dyDescent="0.4">
      <c r="A41" s="3">
        <v>69</v>
      </c>
      <c r="B41" s="3">
        <v>69</v>
      </c>
      <c r="C41" s="4" t="s">
        <v>129</v>
      </c>
      <c r="D41" s="4" t="str">
        <f t="shared" si="18"/>
        <v>J30559</v>
      </c>
      <c r="E41" s="4" t="s">
        <v>129</v>
      </c>
      <c r="F41" s="4" t="str">
        <f t="shared" si="17"/>
        <v>J305595</v>
      </c>
      <c r="G41" s="4" t="s">
        <v>217</v>
      </c>
      <c r="H41" s="5">
        <v>4903320240384</v>
      </c>
      <c r="I41" s="5">
        <v>5</v>
      </c>
      <c r="J41" s="5"/>
      <c r="K41" s="5">
        <v>1</v>
      </c>
      <c r="L41" s="5">
        <v>1</v>
      </c>
      <c r="M41" s="4">
        <v>0</v>
      </c>
      <c r="N41" s="4">
        <v>196</v>
      </c>
      <c r="O41" s="4">
        <v>134</v>
      </c>
      <c r="P41" s="6">
        <f t="shared" si="19"/>
        <v>0.31632653061224492</v>
      </c>
      <c r="Q41" s="4" t="s">
        <v>259</v>
      </c>
      <c r="R41" s="4"/>
      <c r="S41" s="4"/>
      <c r="T41" s="4"/>
      <c r="U41" s="4"/>
      <c r="V41" s="4"/>
      <c r="W41" s="4"/>
      <c r="X41" s="4"/>
      <c r="Y41" s="4"/>
      <c r="Z41" s="4">
        <v>0</v>
      </c>
      <c r="AA41" s="4">
        <f t="shared" si="20"/>
        <v>0</v>
      </c>
      <c r="AB41" s="4">
        <v>148</v>
      </c>
      <c r="AC41" s="4">
        <f t="shared" si="21"/>
        <v>148</v>
      </c>
      <c r="AD41" s="4"/>
      <c r="AE41" s="21">
        <f t="shared" si="22"/>
        <v>216</v>
      </c>
      <c r="AF41" s="6">
        <f t="shared" si="23"/>
        <v>0.31481481481481477</v>
      </c>
      <c r="AG41" s="33">
        <v>0.25</v>
      </c>
      <c r="AH41" s="4">
        <f t="shared" si="24"/>
        <v>240</v>
      </c>
      <c r="AI41" s="33">
        <f t="shared" si="25"/>
        <v>265.07462686567169</v>
      </c>
      <c r="AJ41" s="6">
        <f t="shared" si="26"/>
        <v>0.44166666666666676</v>
      </c>
      <c r="AK41" s="7">
        <v>250</v>
      </c>
      <c r="AL41" s="6">
        <f t="shared" si="27"/>
        <v>0.40800000000000003</v>
      </c>
      <c r="AM41" s="4">
        <f t="shared" si="28"/>
        <v>102</v>
      </c>
      <c r="AN41" s="28"/>
      <c r="AO41" s="6"/>
      <c r="AP41" s="6"/>
      <c r="AQ41" s="6" t="str">
        <f t="shared" si="29"/>
        <v>-</v>
      </c>
      <c r="AR41" s="6">
        <f t="shared" si="30"/>
        <v>1.2755102040816326</v>
      </c>
      <c r="AS41" s="6">
        <f t="shared" si="31"/>
        <v>1.1044776119402986</v>
      </c>
      <c r="AT41" s="4"/>
      <c r="AU41" s="4"/>
      <c r="AV41" s="4"/>
      <c r="AW41" s="4"/>
      <c r="AX41" s="4"/>
      <c r="AY41" s="4"/>
      <c r="AZ41" s="4"/>
      <c r="BA41" s="4"/>
      <c r="BB41" s="4"/>
      <c r="BC41" s="4">
        <v>0</v>
      </c>
      <c r="BD41" s="4" t="s">
        <v>444</v>
      </c>
      <c r="BE41" s="4"/>
      <c r="BF41" s="4"/>
      <c r="BG41" s="4" t="s">
        <v>380</v>
      </c>
      <c r="BH41" s="4">
        <v>240</v>
      </c>
      <c r="BI41" s="4">
        <v>240</v>
      </c>
      <c r="BJ41" s="4">
        <f t="shared" si="32"/>
        <v>240</v>
      </c>
      <c r="BK41" s="19">
        <v>4</v>
      </c>
      <c r="BL41" s="19">
        <v>8</v>
      </c>
      <c r="BM41" s="16">
        <v>19251010</v>
      </c>
      <c r="BN41" t="s">
        <v>258</v>
      </c>
      <c r="BO41" t="s">
        <v>258</v>
      </c>
      <c r="BP41" t="str">
        <f t="shared" si="33"/>
        <v>-</v>
      </c>
      <c r="BQ41">
        <v>493</v>
      </c>
      <c r="BR41">
        <v>493</v>
      </c>
      <c r="BS41">
        <f t="shared" si="34"/>
        <v>544.50746268656724</v>
      </c>
      <c r="BT41" s="4" t="s">
        <v>329</v>
      </c>
    </row>
    <row r="42" spans="1:72" x14ac:dyDescent="0.4">
      <c r="A42" s="3">
        <v>79</v>
      </c>
      <c r="B42" s="3">
        <v>79</v>
      </c>
      <c r="C42" s="4" t="s">
        <v>132</v>
      </c>
      <c r="D42" s="4" t="str">
        <f t="shared" si="18"/>
        <v>J30565</v>
      </c>
      <c r="E42" s="4" t="s">
        <v>132</v>
      </c>
      <c r="F42" s="4" t="str">
        <f t="shared" si="17"/>
        <v>J305655</v>
      </c>
      <c r="G42" s="4" t="s">
        <v>227</v>
      </c>
      <c r="H42" s="5">
        <v>4903320253988</v>
      </c>
      <c r="I42" s="5">
        <v>5</v>
      </c>
      <c r="J42" s="5"/>
      <c r="K42" s="5">
        <v>1</v>
      </c>
      <c r="L42" s="5">
        <v>1</v>
      </c>
      <c r="M42" s="4">
        <v>0</v>
      </c>
      <c r="N42" s="4">
        <v>150</v>
      </c>
      <c r="O42" s="4">
        <v>134</v>
      </c>
      <c r="P42" s="6">
        <f t="shared" si="19"/>
        <v>0.10666666666666669</v>
      </c>
      <c r="Q42" s="4" t="s">
        <v>259</v>
      </c>
      <c r="R42" s="4"/>
      <c r="S42" s="4"/>
      <c r="T42" s="4"/>
      <c r="U42" s="4"/>
      <c r="V42" s="4"/>
      <c r="W42" s="4"/>
      <c r="X42" s="4"/>
      <c r="Y42" s="4"/>
      <c r="Z42" s="4">
        <v>0</v>
      </c>
      <c r="AA42" s="4">
        <f t="shared" si="20"/>
        <v>0</v>
      </c>
      <c r="AB42" s="4">
        <v>148</v>
      </c>
      <c r="AC42" s="4">
        <f t="shared" si="21"/>
        <v>148</v>
      </c>
      <c r="AD42" s="4"/>
      <c r="AE42" s="21">
        <f t="shared" si="22"/>
        <v>166</v>
      </c>
      <c r="AF42" s="6">
        <f t="shared" si="23"/>
        <v>0.10843373493975905</v>
      </c>
      <c r="AG42" s="33">
        <v>0.75</v>
      </c>
      <c r="AH42" s="4">
        <f t="shared" si="24"/>
        <v>264</v>
      </c>
      <c r="AI42" s="33">
        <f t="shared" si="25"/>
        <v>291.58208955223881</v>
      </c>
      <c r="AJ42" s="6">
        <f t="shared" si="26"/>
        <v>0.49242424242424243</v>
      </c>
      <c r="AK42" s="7">
        <v>250</v>
      </c>
      <c r="AL42" s="6">
        <f t="shared" si="27"/>
        <v>0.40800000000000003</v>
      </c>
      <c r="AM42" s="4">
        <f t="shared" si="28"/>
        <v>102</v>
      </c>
      <c r="AN42" s="28"/>
      <c r="AO42" s="6"/>
      <c r="AP42" s="6"/>
      <c r="AQ42" s="6" t="str">
        <f t="shared" si="29"/>
        <v>-</v>
      </c>
      <c r="AR42" s="6">
        <f t="shared" si="30"/>
        <v>1.6666666666666667</v>
      </c>
      <c r="AS42" s="6">
        <f t="shared" si="31"/>
        <v>1.1044776119402986</v>
      </c>
      <c r="AT42" s="4"/>
      <c r="AU42" s="4"/>
      <c r="AV42" s="4"/>
      <c r="AW42" s="4"/>
      <c r="AX42" s="4"/>
      <c r="AY42" s="4"/>
      <c r="AZ42" s="4"/>
      <c r="BA42" s="4"/>
      <c r="BB42" s="4"/>
      <c r="BC42" s="4">
        <v>0</v>
      </c>
      <c r="BD42" s="4" t="s">
        <v>455</v>
      </c>
      <c r="BE42" s="4"/>
      <c r="BF42" s="4"/>
      <c r="BG42" s="4" t="s">
        <v>384</v>
      </c>
      <c r="BH42" s="4">
        <v>264</v>
      </c>
      <c r="BI42" s="4">
        <v>264</v>
      </c>
      <c r="BJ42" s="4">
        <f t="shared" si="32"/>
        <v>264</v>
      </c>
      <c r="BK42" s="19">
        <v>4</v>
      </c>
      <c r="BL42" s="19">
        <v>8</v>
      </c>
      <c r="BM42" s="16">
        <v>19251010</v>
      </c>
      <c r="BN42" t="s">
        <v>258</v>
      </c>
      <c r="BO42" t="s">
        <v>258</v>
      </c>
      <c r="BP42" t="str">
        <f t="shared" si="33"/>
        <v>-</v>
      </c>
      <c r="BQ42" t="s">
        <v>258</v>
      </c>
      <c r="BR42">
        <v>286</v>
      </c>
      <c r="BS42">
        <f t="shared" si="34"/>
        <v>315.8805970149254</v>
      </c>
      <c r="BT42" s="4" t="s">
        <v>339</v>
      </c>
    </row>
    <row r="43" spans="1:72" x14ac:dyDescent="0.4">
      <c r="A43" s="3">
        <v>43</v>
      </c>
      <c r="B43" s="3">
        <v>43</v>
      </c>
      <c r="C43" s="4" t="s">
        <v>104</v>
      </c>
      <c r="D43" s="4" t="str">
        <f t="shared" si="18"/>
        <v>J232SD</v>
      </c>
      <c r="E43" s="4" t="s">
        <v>104</v>
      </c>
      <c r="F43" s="4" t="str">
        <f t="shared" si="17"/>
        <v>J232SD5</v>
      </c>
      <c r="G43" s="4" t="s">
        <v>191</v>
      </c>
      <c r="H43" s="5">
        <v>4903320162648</v>
      </c>
      <c r="I43" s="5">
        <v>5</v>
      </c>
      <c r="J43" s="5"/>
      <c r="K43" s="5">
        <v>1</v>
      </c>
      <c r="L43" s="5">
        <v>1</v>
      </c>
      <c r="M43" s="4">
        <v>0</v>
      </c>
      <c r="N43" s="4">
        <v>224</v>
      </c>
      <c r="O43" s="4">
        <v>141</v>
      </c>
      <c r="P43" s="6">
        <f t="shared" si="19"/>
        <v>0.3705357142857143</v>
      </c>
      <c r="Q43" s="4" t="s">
        <v>259</v>
      </c>
      <c r="R43" s="4"/>
      <c r="S43" s="4"/>
      <c r="T43" s="4"/>
      <c r="U43" s="4"/>
      <c r="V43" s="4"/>
      <c r="W43" s="4"/>
      <c r="X43" s="4"/>
      <c r="Y43" s="4"/>
      <c r="Z43" s="4">
        <v>0</v>
      </c>
      <c r="AA43" s="4">
        <f t="shared" si="20"/>
        <v>0</v>
      </c>
      <c r="AB43" s="4">
        <v>156</v>
      </c>
      <c r="AC43" s="4">
        <f t="shared" si="21"/>
        <v>156</v>
      </c>
      <c r="AD43" s="4"/>
      <c r="AE43" s="21">
        <f t="shared" si="22"/>
        <v>248</v>
      </c>
      <c r="AF43" s="6">
        <f t="shared" si="23"/>
        <v>0.37096774193548387</v>
      </c>
      <c r="AG43" s="33">
        <v>2</v>
      </c>
      <c r="AH43" s="4">
        <f t="shared" si="24"/>
        <v>226</v>
      </c>
      <c r="AI43" s="33">
        <f t="shared" si="25"/>
        <v>250.04255319148936</v>
      </c>
      <c r="AJ43" s="6">
        <f t="shared" si="26"/>
        <v>0.37610619469026552</v>
      </c>
      <c r="AK43" s="7">
        <v>250</v>
      </c>
      <c r="AL43" s="6">
        <f t="shared" si="27"/>
        <v>0.376</v>
      </c>
      <c r="AM43" s="4">
        <f t="shared" si="28"/>
        <v>94</v>
      </c>
      <c r="AN43" s="28"/>
      <c r="AO43" s="6"/>
      <c r="AP43" s="6"/>
      <c r="AQ43" s="6" t="str">
        <f t="shared" si="29"/>
        <v>-</v>
      </c>
      <c r="AR43" s="6">
        <f t="shared" si="30"/>
        <v>1.1160714285714286</v>
      </c>
      <c r="AS43" s="6">
        <f t="shared" si="31"/>
        <v>1.1063829787234043</v>
      </c>
      <c r="AT43" s="4"/>
      <c r="AU43" s="4"/>
      <c r="AV43" s="4"/>
      <c r="AW43" s="4"/>
      <c r="AX43" s="4"/>
      <c r="AY43" s="4"/>
      <c r="AZ43" s="4"/>
      <c r="BA43" s="4"/>
      <c r="BB43" s="4"/>
      <c r="BC43" s="4">
        <v>0</v>
      </c>
      <c r="BD43" s="4" t="s">
        <v>418</v>
      </c>
      <c r="BE43" s="4"/>
      <c r="BF43" s="4"/>
      <c r="BG43" s="4" t="s">
        <v>380</v>
      </c>
      <c r="BH43" s="4">
        <v>226</v>
      </c>
      <c r="BI43" s="4">
        <v>226</v>
      </c>
      <c r="BJ43" s="4">
        <f t="shared" si="32"/>
        <v>226</v>
      </c>
      <c r="BK43" s="19">
        <v>4</v>
      </c>
      <c r="BL43" s="19">
        <v>1</v>
      </c>
      <c r="BM43" s="16">
        <v>19251010</v>
      </c>
      <c r="BN43" t="s">
        <v>258</v>
      </c>
      <c r="BO43" t="s">
        <v>258</v>
      </c>
      <c r="BP43" t="str">
        <f t="shared" si="33"/>
        <v>-</v>
      </c>
      <c r="BQ43">
        <v>226</v>
      </c>
      <c r="BR43">
        <v>226</v>
      </c>
      <c r="BS43">
        <f t="shared" si="34"/>
        <v>250.04255319148936</v>
      </c>
      <c r="BT43" s="4" t="s">
        <v>303</v>
      </c>
    </row>
    <row r="44" spans="1:72" x14ac:dyDescent="0.4">
      <c r="A44" s="3">
        <v>70</v>
      </c>
      <c r="B44" s="3">
        <v>70</v>
      </c>
      <c r="C44" s="4">
        <v>932279</v>
      </c>
      <c r="D44" s="4" t="str">
        <f t="shared" si="18"/>
        <v>932279</v>
      </c>
      <c r="E44" s="4">
        <v>932279</v>
      </c>
      <c r="F44" s="4" t="str">
        <f t="shared" si="17"/>
        <v>9322795</v>
      </c>
      <c r="G44" s="4" t="s">
        <v>218</v>
      </c>
      <c r="H44" s="5">
        <v>4903320240704</v>
      </c>
      <c r="I44" s="5">
        <v>5</v>
      </c>
      <c r="J44" s="5"/>
      <c r="K44" s="5">
        <v>1</v>
      </c>
      <c r="L44" s="5">
        <v>1</v>
      </c>
      <c r="M44" s="4">
        <v>0</v>
      </c>
      <c r="N44" s="4">
        <v>236</v>
      </c>
      <c r="O44" s="4">
        <v>155</v>
      </c>
      <c r="P44" s="6">
        <f t="shared" si="19"/>
        <v>0.34322033898305082</v>
      </c>
      <c r="Q44" s="4" t="s">
        <v>259</v>
      </c>
      <c r="R44" s="4"/>
      <c r="S44" s="4"/>
      <c r="T44" s="4"/>
      <c r="U44" s="4"/>
      <c r="V44" s="4"/>
      <c r="W44" s="4"/>
      <c r="X44" s="4"/>
      <c r="Y44" s="4"/>
      <c r="Z44" s="4">
        <v>0</v>
      </c>
      <c r="AA44" s="4">
        <f t="shared" si="20"/>
        <v>0</v>
      </c>
      <c r="AB44" s="4">
        <v>175</v>
      </c>
      <c r="AC44" s="4">
        <f t="shared" si="21"/>
        <v>175</v>
      </c>
      <c r="AD44" s="4"/>
      <c r="AE44" s="21">
        <f t="shared" si="22"/>
        <v>266</v>
      </c>
      <c r="AF44" s="6">
        <f t="shared" si="23"/>
        <v>0.34210526315789469</v>
      </c>
      <c r="AG44" s="33">
        <v>0.25</v>
      </c>
      <c r="AH44" s="4">
        <f t="shared" si="24"/>
        <v>280</v>
      </c>
      <c r="AI44" s="33">
        <f t="shared" si="25"/>
        <v>316.12903225806457</v>
      </c>
      <c r="AJ44" s="6">
        <f t="shared" si="26"/>
        <v>0.44642857142857151</v>
      </c>
      <c r="AK44" s="7">
        <v>280</v>
      </c>
      <c r="AL44" s="6">
        <f t="shared" si="27"/>
        <v>0.375</v>
      </c>
      <c r="AM44" s="4">
        <f t="shared" si="28"/>
        <v>105</v>
      </c>
      <c r="AN44" s="28"/>
      <c r="AO44" s="6"/>
      <c r="AP44" s="6"/>
      <c r="AQ44" s="6" t="str">
        <f t="shared" si="29"/>
        <v>-</v>
      </c>
      <c r="AR44" s="6">
        <f t="shared" si="30"/>
        <v>1.1864406779661016</v>
      </c>
      <c r="AS44" s="6">
        <f t="shared" si="31"/>
        <v>1.1290322580645162</v>
      </c>
      <c r="AT44" s="4"/>
      <c r="AU44" s="4"/>
      <c r="AV44" s="4"/>
      <c r="AW44" s="4"/>
      <c r="AX44" s="4"/>
      <c r="AY44" s="4"/>
      <c r="AZ44" s="4"/>
      <c r="BA44" s="4"/>
      <c r="BB44" s="4"/>
      <c r="BC44" s="4">
        <v>0</v>
      </c>
      <c r="BD44" s="4" t="s">
        <v>445</v>
      </c>
      <c r="BE44" s="4"/>
      <c r="BF44" s="4"/>
      <c r="BG44" s="4" t="s">
        <v>380</v>
      </c>
      <c r="BH44" s="4">
        <v>280</v>
      </c>
      <c r="BI44" s="4">
        <v>280</v>
      </c>
      <c r="BJ44" s="4">
        <f t="shared" si="32"/>
        <v>280</v>
      </c>
      <c r="BK44" s="19">
        <v>4</v>
      </c>
      <c r="BL44" s="19">
        <v>8</v>
      </c>
      <c r="BM44" s="16">
        <v>19251010</v>
      </c>
      <c r="BN44" t="s">
        <v>258</v>
      </c>
      <c r="BO44" t="s">
        <v>258</v>
      </c>
      <c r="BP44" t="str">
        <f t="shared" si="33"/>
        <v>-</v>
      </c>
      <c r="BQ44">
        <v>471</v>
      </c>
      <c r="BR44">
        <v>471</v>
      </c>
      <c r="BS44">
        <f t="shared" si="34"/>
        <v>531.77419354838719</v>
      </c>
      <c r="BT44" s="4" t="s">
        <v>330</v>
      </c>
    </row>
    <row r="45" spans="1:72" x14ac:dyDescent="0.4">
      <c r="A45" s="3">
        <v>82</v>
      </c>
      <c r="B45" s="3">
        <v>82</v>
      </c>
      <c r="C45" s="4">
        <v>932301</v>
      </c>
      <c r="D45" s="4" t="str">
        <f t="shared" si="18"/>
        <v>932301</v>
      </c>
      <c r="E45" s="4">
        <v>932301</v>
      </c>
      <c r="F45" s="4" t="str">
        <f t="shared" si="17"/>
        <v>9323015</v>
      </c>
      <c r="G45" s="4" t="s">
        <v>230</v>
      </c>
      <c r="H45" s="5">
        <v>4903320273481</v>
      </c>
      <c r="I45" s="5">
        <v>5</v>
      </c>
      <c r="J45" s="5"/>
      <c r="K45" s="5">
        <v>1</v>
      </c>
      <c r="L45" s="5">
        <v>1</v>
      </c>
      <c r="M45" s="4">
        <v>0</v>
      </c>
      <c r="N45" s="4">
        <v>236</v>
      </c>
      <c r="O45" s="4">
        <v>155</v>
      </c>
      <c r="P45" s="6">
        <f t="shared" si="19"/>
        <v>0.34322033898305082</v>
      </c>
      <c r="Q45" s="4" t="s">
        <v>259</v>
      </c>
      <c r="R45" s="4"/>
      <c r="S45" s="4"/>
      <c r="T45" s="4"/>
      <c r="U45" s="4"/>
      <c r="V45" s="4"/>
      <c r="W45" s="4"/>
      <c r="X45" s="4"/>
      <c r="Y45" s="4"/>
      <c r="Z45" s="4">
        <v>0</v>
      </c>
      <c r="AA45" s="4">
        <f t="shared" si="20"/>
        <v>0</v>
      </c>
      <c r="AB45" s="4">
        <v>175</v>
      </c>
      <c r="AC45" s="4">
        <f t="shared" si="21"/>
        <v>175</v>
      </c>
      <c r="AD45" s="4"/>
      <c r="AE45" s="21">
        <f t="shared" si="22"/>
        <v>266</v>
      </c>
      <c r="AF45" s="6">
        <f t="shared" si="23"/>
        <v>0.34210526315789469</v>
      </c>
      <c r="AG45" s="33">
        <v>1</v>
      </c>
      <c r="AH45" s="4">
        <f t="shared" si="24"/>
        <v>280</v>
      </c>
      <c r="AI45" s="33">
        <f t="shared" si="25"/>
        <v>316.12903225806457</v>
      </c>
      <c r="AJ45" s="6">
        <f t="shared" si="26"/>
        <v>0.44642857142857151</v>
      </c>
      <c r="AK45" s="7">
        <v>280</v>
      </c>
      <c r="AL45" s="6">
        <f t="shared" si="27"/>
        <v>0.375</v>
      </c>
      <c r="AM45" s="4">
        <f t="shared" si="28"/>
        <v>105</v>
      </c>
      <c r="AN45" s="28"/>
      <c r="AO45" s="6"/>
      <c r="AP45" s="6"/>
      <c r="AQ45" s="6" t="str">
        <f t="shared" si="29"/>
        <v>-</v>
      </c>
      <c r="AR45" s="6">
        <f t="shared" si="30"/>
        <v>1.1864406779661016</v>
      </c>
      <c r="AS45" s="6">
        <f t="shared" si="31"/>
        <v>1.1290322580645162</v>
      </c>
      <c r="AT45" s="4"/>
      <c r="AU45" s="4"/>
      <c r="AV45" s="4"/>
      <c r="AW45" s="4"/>
      <c r="AX45" s="4"/>
      <c r="AY45" s="4"/>
      <c r="AZ45" s="4"/>
      <c r="BA45" s="4"/>
      <c r="BB45" s="4"/>
      <c r="BC45" s="4">
        <v>0</v>
      </c>
      <c r="BD45" s="4" t="s">
        <v>458</v>
      </c>
      <c r="BE45" s="4"/>
      <c r="BF45" s="4"/>
      <c r="BG45" s="4" t="s">
        <v>382</v>
      </c>
      <c r="BH45" s="4">
        <v>280</v>
      </c>
      <c r="BI45" s="4">
        <v>280</v>
      </c>
      <c r="BJ45" s="4">
        <f t="shared" si="32"/>
        <v>280</v>
      </c>
      <c r="BK45" s="19">
        <v>4</v>
      </c>
      <c r="BL45" s="19">
        <v>1</v>
      </c>
      <c r="BM45" s="16">
        <v>19251010</v>
      </c>
      <c r="BN45" t="s">
        <v>258</v>
      </c>
      <c r="BO45" t="s">
        <v>258</v>
      </c>
      <c r="BP45" t="str">
        <f t="shared" si="33"/>
        <v>-</v>
      </c>
      <c r="BQ45">
        <v>471</v>
      </c>
      <c r="BR45">
        <v>471</v>
      </c>
      <c r="BS45">
        <f t="shared" si="34"/>
        <v>531.77419354838719</v>
      </c>
      <c r="BT45" s="4" t="s">
        <v>342</v>
      </c>
    </row>
    <row r="46" spans="1:72" x14ac:dyDescent="0.4">
      <c r="A46" s="3">
        <v>44</v>
      </c>
      <c r="B46" s="3">
        <v>44</v>
      </c>
      <c r="C46" s="4" t="s">
        <v>105</v>
      </c>
      <c r="D46" s="4" t="str">
        <f t="shared" si="18"/>
        <v>J9029X</v>
      </c>
      <c r="E46" s="4" t="s">
        <v>105</v>
      </c>
      <c r="F46" s="4" t="str">
        <f t="shared" si="17"/>
        <v>J9029X5</v>
      </c>
      <c r="G46" s="4" t="s">
        <v>192</v>
      </c>
      <c r="H46" s="5">
        <v>4903320162662</v>
      </c>
      <c r="I46" s="5">
        <v>5</v>
      </c>
      <c r="J46" s="5"/>
      <c r="K46" s="5">
        <v>1</v>
      </c>
      <c r="L46" s="5">
        <v>1</v>
      </c>
      <c r="M46" s="4">
        <v>0</v>
      </c>
      <c r="N46" s="4">
        <v>257</v>
      </c>
      <c r="O46" s="4">
        <v>176</v>
      </c>
      <c r="P46" s="6">
        <f t="shared" si="19"/>
        <v>0.31517509727626458</v>
      </c>
      <c r="Q46" s="4" t="s">
        <v>259</v>
      </c>
      <c r="R46" s="4"/>
      <c r="S46" s="4"/>
      <c r="T46" s="4"/>
      <c r="U46" s="4"/>
      <c r="V46" s="4"/>
      <c r="W46" s="4"/>
      <c r="X46" s="4"/>
      <c r="Y46" s="4"/>
      <c r="Z46" s="4">
        <v>0</v>
      </c>
      <c r="AA46" s="4">
        <f t="shared" si="20"/>
        <v>0</v>
      </c>
      <c r="AB46" s="4">
        <v>195</v>
      </c>
      <c r="AC46" s="4">
        <f t="shared" si="21"/>
        <v>195</v>
      </c>
      <c r="AD46" s="4"/>
      <c r="AE46" s="21">
        <f t="shared" si="22"/>
        <v>285</v>
      </c>
      <c r="AF46" s="6">
        <f t="shared" si="23"/>
        <v>0.31578947368421051</v>
      </c>
      <c r="AG46" s="33">
        <v>0</v>
      </c>
      <c r="AH46" s="4">
        <f t="shared" si="24"/>
        <v>271</v>
      </c>
      <c r="AI46" s="33">
        <f t="shared" si="25"/>
        <v>300.25568181818181</v>
      </c>
      <c r="AJ46" s="6">
        <f t="shared" si="26"/>
        <v>0.35055350553505538</v>
      </c>
      <c r="AK46" s="7">
        <v>300</v>
      </c>
      <c r="AL46" s="6">
        <f t="shared" si="27"/>
        <v>0.35</v>
      </c>
      <c r="AM46" s="4">
        <f t="shared" si="28"/>
        <v>105</v>
      </c>
      <c r="AN46" s="28"/>
      <c r="AO46" s="6"/>
      <c r="AP46" s="6"/>
      <c r="AQ46" s="6" t="str">
        <f t="shared" si="29"/>
        <v>-</v>
      </c>
      <c r="AR46" s="6">
        <f t="shared" si="30"/>
        <v>1.1673151750972763</v>
      </c>
      <c r="AS46" s="6">
        <f t="shared" si="31"/>
        <v>1.1079545454545454</v>
      </c>
      <c r="AT46" s="4"/>
      <c r="AU46" s="4"/>
      <c r="AV46" s="4"/>
      <c r="AW46" s="4"/>
      <c r="AX46" s="4"/>
      <c r="AY46" s="4"/>
      <c r="AZ46" s="4"/>
      <c r="BA46" s="4"/>
      <c r="BB46" s="4"/>
      <c r="BC46" s="4">
        <v>0</v>
      </c>
      <c r="BD46" s="4" t="s">
        <v>419</v>
      </c>
      <c r="BE46" s="4"/>
      <c r="BF46" s="4"/>
      <c r="BG46" s="4" t="s">
        <v>384</v>
      </c>
      <c r="BH46" s="4">
        <v>271</v>
      </c>
      <c r="BI46" s="4">
        <v>271</v>
      </c>
      <c r="BJ46" s="4">
        <f t="shared" si="32"/>
        <v>271</v>
      </c>
      <c r="BK46" s="19">
        <v>4</v>
      </c>
      <c r="BL46" s="19">
        <v>8</v>
      </c>
      <c r="BM46" s="16">
        <v>19251010</v>
      </c>
      <c r="BN46" t="s">
        <v>258</v>
      </c>
      <c r="BO46" t="s">
        <v>258</v>
      </c>
      <c r="BP46" t="str">
        <f t="shared" si="33"/>
        <v>-</v>
      </c>
      <c r="BQ46">
        <v>490</v>
      </c>
      <c r="BR46">
        <v>490</v>
      </c>
      <c r="BS46">
        <f t="shared" si="34"/>
        <v>542.89772727272725</v>
      </c>
      <c r="BT46" s="4" t="s">
        <v>304</v>
      </c>
    </row>
    <row r="47" spans="1:72" x14ac:dyDescent="0.4">
      <c r="A47" s="3">
        <v>45</v>
      </c>
      <c r="B47" s="3">
        <v>45</v>
      </c>
      <c r="C47" s="4" t="s">
        <v>106</v>
      </c>
      <c r="D47" s="4" t="str">
        <f t="shared" si="18"/>
        <v>J233SD</v>
      </c>
      <c r="E47" s="4" t="s">
        <v>106</v>
      </c>
      <c r="F47" s="4" t="str">
        <f t="shared" si="17"/>
        <v>J233SD5</v>
      </c>
      <c r="G47" s="4" t="s">
        <v>193</v>
      </c>
      <c r="H47" s="5">
        <v>4903320162679</v>
      </c>
      <c r="I47" s="5">
        <v>5</v>
      </c>
      <c r="J47" s="5"/>
      <c r="K47" s="5">
        <v>1</v>
      </c>
      <c r="L47" s="5">
        <v>1</v>
      </c>
      <c r="M47" s="4">
        <v>0</v>
      </c>
      <c r="N47" s="4">
        <v>317</v>
      </c>
      <c r="O47" s="4">
        <v>197</v>
      </c>
      <c r="P47" s="6">
        <f t="shared" si="19"/>
        <v>0.37854889589905361</v>
      </c>
      <c r="Q47" s="4" t="s">
        <v>259</v>
      </c>
      <c r="R47" s="4"/>
      <c r="S47" s="4"/>
      <c r="T47" s="4"/>
      <c r="U47" s="4"/>
      <c r="V47" s="4"/>
      <c r="W47" s="4"/>
      <c r="X47" s="4"/>
      <c r="Y47" s="4"/>
      <c r="Z47" s="4">
        <v>0</v>
      </c>
      <c r="AA47" s="4">
        <f t="shared" si="20"/>
        <v>0</v>
      </c>
      <c r="AB47" s="4">
        <v>218</v>
      </c>
      <c r="AC47" s="4">
        <f t="shared" si="21"/>
        <v>218</v>
      </c>
      <c r="AD47" s="4"/>
      <c r="AE47" s="21">
        <f t="shared" si="22"/>
        <v>351</v>
      </c>
      <c r="AF47" s="6">
        <f t="shared" si="23"/>
        <v>0.37891737891737887</v>
      </c>
      <c r="AG47" s="33">
        <v>2.25</v>
      </c>
      <c r="AH47" s="4">
        <f t="shared" si="24"/>
        <v>317</v>
      </c>
      <c r="AI47" s="33">
        <f t="shared" si="25"/>
        <v>350.79187817258884</v>
      </c>
      <c r="AJ47" s="6">
        <f t="shared" si="26"/>
        <v>0.37854889589905361</v>
      </c>
      <c r="AK47" s="7">
        <v>350</v>
      </c>
      <c r="AL47" s="6">
        <f t="shared" si="27"/>
        <v>0.37714285714285711</v>
      </c>
      <c r="AM47" s="4">
        <f t="shared" si="28"/>
        <v>132</v>
      </c>
      <c r="AN47" s="28"/>
      <c r="AO47" s="6"/>
      <c r="AP47" s="6"/>
      <c r="AQ47" s="6" t="str">
        <f t="shared" si="29"/>
        <v>-</v>
      </c>
      <c r="AR47" s="6">
        <f t="shared" si="30"/>
        <v>1.1041009463722398</v>
      </c>
      <c r="AS47" s="6">
        <f t="shared" si="31"/>
        <v>1.1065989847715736</v>
      </c>
      <c r="AT47" s="4"/>
      <c r="AU47" s="4"/>
      <c r="AV47" s="4"/>
      <c r="AW47" s="4"/>
      <c r="AX47" s="4"/>
      <c r="AY47" s="4"/>
      <c r="AZ47" s="4"/>
      <c r="BA47" s="4"/>
      <c r="BB47" s="4"/>
      <c r="BC47" s="4">
        <v>0</v>
      </c>
      <c r="BD47" s="4" t="s">
        <v>420</v>
      </c>
      <c r="BE47" s="4"/>
      <c r="BF47" s="4"/>
      <c r="BG47" s="4" t="s">
        <v>384</v>
      </c>
      <c r="BH47" s="4">
        <v>317</v>
      </c>
      <c r="BI47" s="4">
        <v>317</v>
      </c>
      <c r="BJ47" s="4">
        <f t="shared" si="32"/>
        <v>317</v>
      </c>
      <c r="BK47" s="19">
        <v>4</v>
      </c>
      <c r="BL47" s="19">
        <v>1</v>
      </c>
      <c r="BM47" s="16">
        <v>19251010</v>
      </c>
      <c r="BN47" t="s">
        <v>258</v>
      </c>
      <c r="BO47" t="s">
        <v>258</v>
      </c>
      <c r="BP47" t="str">
        <f t="shared" si="33"/>
        <v>-</v>
      </c>
      <c r="BQ47">
        <v>285</v>
      </c>
      <c r="BR47">
        <v>285</v>
      </c>
      <c r="BS47">
        <f t="shared" si="34"/>
        <v>315.38071065989845</v>
      </c>
      <c r="BT47" s="4" t="s">
        <v>305</v>
      </c>
    </row>
    <row r="48" spans="1:72" x14ac:dyDescent="0.4">
      <c r="A48" s="3">
        <v>46</v>
      </c>
      <c r="B48" s="3">
        <v>46</v>
      </c>
      <c r="C48" s="4" t="s">
        <v>107</v>
      </c>
      <c r="D48" s="4" t="str">
        <f t="shared" si="18"/>
        <v>J995SC</v>
      </c>
      <c r="E48" s="4" t="s">
        <v>107</v>
      </c>
      <c r="F48" s="4" t="str">
        <f t="shared" si="17"/>
        <v>J995SC5</v>
      </c>
      <c r="G48" s="4" t="s">
        <v>194</v>
      </c>
      <c r="H48" s="5">
        <v>4903320162686</v>
      </c>
      <c r="I48" s="5">
        <v>5</v>
      </c>
      <c r="J48" s="5"/>
      <c r="K48" s="5">
        <v>1</v>
      </c>
      <c r="L48" s="5">
        <v>1</v>
      </c>
      <c r="M48" s="4">
        <v>0</v>
      </c>
      <c r="N48" s="4">
        <v>259</v>
      </c>
      <c r="O48" s="4">
        <v>197</v>
      </c>
      <c r="P48" s="6">
        <f t="shared" si="19"/>
        <v>0.23938223938223935</v>
      </c>
      <c r="Q48" s="4" t="s">
        <v>259</v>
      </c>
      <c r="R48" s="4"/>
      <c r="S48" s="4"/>
      <c r="T48" s="4"/>
      <c r="U48" s="4"/>
      <c r="V48" s="4"/>
      <c r="W48" s="4"/>
      <c r="X48" s="4"/>
      <c r="Y48" s="4"/>
      <c r="Z48" s="4">
        <v>0</v>
      </c>
      <c r="AA48" s="4">
        <f t="shared" si="20"/>
        <v>0</v>
      </c>
      <c r="AB48" s="4">
        <v>218</v>
      </c>
      <c r="AC48" s="4">
        <f t="shared" si="21"/>
        <v>218</v>
      </c>
      <c r="AD48" s="4"/>
      <c r="AE48" s="21">
        <f t="shared" si="22"/>
        <v>287</v>
      </c>
      <c r="AF48" s="6">
        <f t="shared" si="23"/>
        <v>0.24041811846689898</v>
      </c>
      <c r="AG48" s="33">
        <v>3.25</v>
      </c>
      <c r="AH48" s="4">
        <f t="shared" si="24"/>
        <v>317</v>
      </c>
      <c r="AI48" s="33">
        <f t="shared" si="25"/>
        <v>350.79187817258884</v>
      </c>
      <c r="AJ48" s="6">
        <f t="shared" si="26"/>
        <v>0.37854889589905361</v>
      </c>
      <c r="AK48" s="7">
        <v>350</v>
      </c>
      <c r="AL48" s="6">
        <f t="shared" si="27"/>
        <v>0.37714285714285711</v>
      </c>
      <c r="AM48" s="4">
        <f t="shared" si="28"/>
        <v>132</v>
      </c>
      <c r="AN48" s="28"/>
      <c r="AO48" s="6"/>
      <c r="AP48" s="6"/>
      <c r="AQ48" s="6" t="str">
        <f t="shared" si="29"/>
        <v>-</v>
      </c>
      <c r="AR48" s="6">
        <f t="shared" si="30"/>
        <v>1.3513513513513513</v>
      </c>
      <c r="AS48" s="6">
        <f t="shared" si="31"/>
        <v>1.1065989847715736</v>
      </c>
      <c r="AT48" s="4"/>
      <c r="AU48" s="4"/>
      <c r="AV48" s="4"/>
      <c r="AW48" s="4"/>
      <c r="AX48" s="4"/>
      <c r="AY48" s="4"/>
      <c r="AZ48" s="4"/>
      <c r="BA48" s="4"/>
      <c r="BB48" s="4"/>
      <c r="BC48" s="4">
        <v>0</v>
      </c>
      <c r="BD48" s="4" t="s">
        <v>421</v>
      </c>
      <c r="BE48" s="4"/>
      <c r="BF48" s="4"/>
      <c r="BG48" s="4" t="s">
        <v>380</v>
      </c>
      <c r="BH48" s="4">
        <v>317</v>
      </c>
      <c r="BI48" s="4">
        <v>317</v>
      </c>
      <c r="BJ48" s="4">
        <f t="shared" si="32"/>
        <v>317</v>
      </c>
      <c r="BK48" s="19">
        <v>4</v>
      </c>
      <c r="BL48" s="19">
        <v>8</v>
      </c>
      <c r="BM48" s="16">
        <v>19251010</v>
      </c>
      <c r="BN48" t="s">
        <v>258</v>
      </c>
      <c r="BO48" t="s">
        <v>258</v>
      </c>
      <c r="BP48" t="str">
        <f t="shared" si="33"/>
        <v>-</v>
      </c>
      <c r="BQ48">
        <v>508</v>
      </c>
      <c r="BR48">
        <v>508</v>
      </c>
      <c r="BS48">
        <f t="shared" si="34"/>
        <v>562.15228426395936</v>
      </c>
      <c r="BT48" s="4" t="s">
        <v>306</v>
      </c>
    </row>
    <row r="49" spans="1:72" x14ac:dyDescent="0.4">
      <c r="A49" s="3">
        <v>75</v>
      </c>
      <c r="B49" s="3">
        <v>75</v>
      </c>
      <c r="C49" s="4">
        <v>932283</v>
      </c>
      <c r="D49" s="4" t="str">
        <f t="shared" si="18"/>
        <v>932283</v>
      </c>
      <c r="E49" s="4">
        <v>932283</v>
      </c>
      <c r="F49" s="4" t="str">
        <f t="shared" si="17"/>
        <v>9322835</v>
      </c>
      <c r="G49" s="4" t="s">
        <v>223</v>
      </c>
      <c r="H49" s="5">
        <v>4903320249783</v>
      </c>
      <c r="I49" s="5">
        <v>5</v>
      </c>
      <c r="J49" s="5"/>
      <c r="K49" s="5">
        <v>1</v>
      </c>
      <c r="L49" s="5">
        <v>1</v>
      </c>
      <c r="M49" s="4">
        <v>0</v>
      </c>
      <c r="N49" s="4">
        <v>333</v>
      </c>
      <c r="O49" s="4">
        <v>200</v>
      </c>
      <c r="P49" s="6">
        <f t="shared" si="19"/>
        <v>0.39939939939939939</v>
      </c>
      <c r="Q49" s="4" t="s">
        <v>259</v>
      </c>
      <c r="R49" s="4"/>
      <c r="S49" s="4"/>
      <c r="T49" s="4"/>
      <c r="U49" s="4"/>
      <c r="V49" s="4"/>
      <c r="W49" s="4"/>
      <c r="X49" s="4"/>
      <c r="Y49" s="4"/>
      <c r="Z49" s="4">
        <v>0</v>
      </c>
      <c r="AA49" s="4">
        <f t="shared" si="20"/>
        <v>0</v>
      </c>
      <c r="AB49" s="4">
        <v>226</v>
      </c>
      <c r="AC49" s="4">
        <f t="shared" si="21"/>
        <v>226</v>
      </c>
      <c r="AD49" s="4"/>
      <c r="AE49" s="21">
        <f t="shared" si="22"/>
        <v>376</v>
      </c>
      <c r="AF49" s="6">
        <f t="shared" si="23"/>
        <v>0.39893617021276595</v>
      </c>
      <c r="AG49" s="33">
        <v>5.75</v>
      </c>
      <c r="AH49" s="4">
        <f t="shared" si="24"/>
        <v>360</v>
      </c>
      <c r="AI49" s="33">
        <f t="shared" si="25"/>
        <v>406.79999999999995</v>
      </c>
      <c r="AJ49" s="6">
        <f t="shared" si="26"/>
        <v>0.44444444444444442</v>
      </c>
      <c r="AK49" s="7">
        <v>380</v>
      </c>
      <c r="AL49" s="6">
        <f t="shared" si="27"/>
        <v>0.40526315789473688</v>
      </c>
      <c r="AM49" s="4">
        <f t="shared" si="28"/>
        <v>154</v>
      </c>
      <c r="AN49" s="28"/>
      <c r="AO49" s="6"/>
      <c r="AP49" s="6"/>
      <c r="AQ49" s="6" t="str">
        <f t="shared" si="29"/>
        <v>-</v>
      </c>
      <c r="AR49" s="6">
        <f t="shared" si="30"/>
        <v>1.1411411411411412</v>
      </c>
      <c r="AS49" s="6">
        <f t="shared" si="31"/>
        <v>1.1299999999999999</v>
      </c>
      <c r="AT49" s="4"/>
      <c r="AU49" s="4"/>
      <c r="AV49" s="4"/>
      <c r="AW49" s="4"/>
      <c r="AX49" s="4"/>
      <c r="AY49" s="4"/>
      <c r="AZ49" s="4"/>
      <c r="BA49" s="4"/>
      <c r="BB49" s="4"/>
      <c r="BC49" s="4">
        <v>0</v>
      </c>
      <c r="BD49" s="4" t="s">
        <v>451</v>
      </c>
      <c r="BE49" s="4"/>
      <c r="BF49" s="4"/>
      <c r="BG49" s="4" t="s">
        <v>384</v>
      </c>
      <c r="BH49" s="4">
        <v>360</v>
      </c>
      <c r="BI49" s="4">
        <v>360</v>
      </c>
      <c r="BJ49" s="4">
        <f t="shared" si="32"/>
        <v>360</v>
      </c>
      <c r="BK49" s="19">
        <v>4</v>
      </c>
      <c r="BL49" s="19">
        <v>1</v>
      </c>
      <c r="BM49" s="16">
        <v>19251010</v>
      </c>
      <c r="BN49">
        <v>324</v>
      </c>
      <c r="BO49">
        <v>324</v>
      </c>
      <c r="BP49">
        <f t="shared" si="33"/>
        <v>366.11999999999995</v>
      </c>
      <c r="BQ49">
        <v>360</v>
      </c>
      <c r="BR49">
        <v>360</v>
      </c>
      <c r="BS49">
        <f t="shared" si="34"/>
        <v>406.79999999999995</v>
      </c>
      <c r="BT49" s="4" t="s">
        <v>335</v>
      </c>
    </row>
    <row r="50" spans="1:72" x14ac:dyDescent="0.4">
      <c r="A50" s="3">
        <v>11</v>
      </c>
      <c r="B50" s="3">
        <v>11</v>
      </c>
      <c r="C50" s="4" t="s">
        <v>72</v>
      </c>
      <c r="D50" s="4" t="str">
        <f t="shared" si="18"/>
        <v>J9020X</v>
      </c>
      <c r="E50" s="4" t="s">
        <v>72</v>
      </c>
      <c r="F50" s="4" t="str">
        <f t="shared" si="17"/>
        <v>J9020X5</v>
      </c>
      <c r="G50" s="4" t="s">
        <v>159</v>
      </c>
      <c r="H50" s="5">
        <v>4903320161894</v>
      </c>
      <c r="I50" s="5">
        <v>5</v>
      </c>
      <c r="J50" s="5"/>
      <c r="K50" s="5">
        <v>1</v>
      </c>
      <c r="L50" s="5">
        <v>1</v>
      </c>
      <c r="M50" s="4">
        <v>0</v>
      </c>
      <c r="N50" s="4">
        <v>316</v>
      </c>
      <c r="O50" s="4">
        <v>211</v>
      </c>
      <c r="P50" s="6">
        <f t="shared" si="19"/>
        <v>0.33227848101265822</v>
      </c>
      <c r="Q50" s="4" t="s">
        <v>259</v>
      </c>
      <c r="R50" s="4"/>
      <c r="S50" s="4"/>
      <c r="T50" s="4"/>
      <c r="U50" s="4"/>
      <c r="V50" s="4"/>
      <c r="W50" s="4"/>
      <c r="X50" s="4"/>
      <c r="Y50" s="4"/>
      <c r="Z50" s="4">
        <v>0</v>
      </c>
      <c r="AA50" s="4">
        <f t="shared" si="20"/>
        <v>0</v>
      </c>
      <c r="AB50" s="4">
        <v>233</v>
      </c>
      <c r="AC50" s="4">
        <f t="shared" si="21"/>
        <v>233</v>
      </c>
      <c r="AD50" s="4"/>
      <c r="AE50" s="21">
        <f t="shared" si="22"/>
        <v>349</v>
      </c>
      <c r="AF50" s="6">
        <f t="shared" si="23"/>
        <v>0.33237822349570201</v>
      </c>
      <c r="AG50" s="33">
        <v>0.5</v>
      </c>
      <c r="AH50" s="4">
        <f t="shared" si="24"/>
        <v>363</v>
      </c>
      <c r="AI50" s="33">
        <f t="shared" si="25"/>
        <v>400.84834123222748</v>
      </c>
      <c r="AJ50" s="6">
        <f t="shared" si="26"/>
        <v>0.41873278236914602</v>
      </c>
      <c r="AK50" s="7">
        <v>380</v>
      </c>
      <c r="AL50" s="6">
        <f t="shared" si="27"/>
        <v>0.38684210526315788</v>
      </c>
      <c r="AM50" s="4">
        <f t="shared" si="28"/>
        <v>147</v>
      </c>
      <c r="AN50" s="28"/>
      <c r="AO50" s="6"/>
      <c r="AP50" s="6"/>
      <c r="AQ50" s="6" t="str">
        <f t="shared" si="29"/>
        <v>-</v>
      </c>
      <c r="AR50" s="6">
        <f t="shared" si="30"/>
        <v>1.2025316455696202</v>
      </c>
      <c r="AS50" s="6">
        <f t="shared" si="31"/>
        <v>1.1042654028436019</v>
      </c>
      <c r="AT50" s="4"/>
      <c r="AU50" s="4"/>
      <c r="AV50" s="4"/>
      <c r="AW50" s="4"/>
      <c r="AX50" s="4"/>
      <c r="AY50" s="4"/>
      <c r="AZ50" s="4"/>
      <c r="BA50" s="4"/>
      <c r="BB50" s="4"/>
      <c r="BC50" s="4">
        <v>0</v>
      </c>
      <c r="BD50" s="4" t="s">
        <v>383</v>
      </c>
      <c r="BE50" s="4"/>
      <c r="BF50" s="4"/>
      <c r="BG50" s="4" t="s">
        <v>384</v>
      </c>
      <c r="BH50" s="4">
        <v>363</v>
      </c>
      <c r="BI50" s="4">
        <v>363</v>
      </c>
      <c r="BJ50" s="4">
        <f t="shared" si="32"/>
        <v>363</v>
      </c>
      <c r="BK50" s="19">
        <v>4</v>
      </c>
      <c r="BL50" s="19">
        <v>8</v>
      </c>
      <c r="BM50" s="16">
        <v>19251010</v>
      </c>
      <c r="BN50" t="s">
        <v>258</v>
      </c>
      <c r="BO50" t="s">
        <v>258</v>
      </c>
      <c r="BP50" t="str">
        <f t="shared" si="33"/>
        <v>-</v>
      </c>
      <c r="BQ50">
        <v>525</v>
      </c>
      <c r="BR50">
        <v>525</v>
      </c>
      <c r="BS50">
        <f t="shared" si="34"/>
        <v>579.73933649289097</v>
      </c>
      <c r="BT50" s="4" t="s">
        <v>271</v>
      </c>
    </row>
    <row r="51" spans="1:72" x14ac:dyDescent="0.4">
      <c r="A51" s="3">
        <v>66</v>
      </c>
      <c r="B51" s="3">
        <v>66</v>
      </c>
      <c r="C51" s="4" t="s">
        <v>127</v>
      </c>
      <c r="D51" s="4" t="str">
        <f t="shared" si="18"/>
        <v>J30626</v>
      </c>
      <c r="E51" s="4" t="s">
        <v>127</v>
      </c>
      <c r="F51" s="4" t="str">
        <f t="shared" si="17"/>
        <v>J306265</v>
      </c>
      <c r="G51" s="4" t="s">
        <v>214</v>
      </c>
      <c r="H51" s="5">
        <v>4903320220201</v>
      </c>
      <c r="I51" s="5">
        <v>5</v>
      </c>
      <c r="J51" s="5"/>
      <c r="K51" s="5">
        <v>1</v>
      </c>
      <c r="L51" s="5">
        <v>1</v>
      </c>
      <c r="M51" s="4">
        <v>0</v>
      </c>
      <c r="N51" s="4">
        <v>295</v>
      </c>
      <c r="O51" s="4">
        <v>215</v>
      </c>
      <c r="P51" s="6">
        <f t="shared" si="19"/>
        <v>0.27118644067796616</v>
      </c>
      <c r="Q51" s="4" t="s">
        <v>259</v>
      </c>
      <c r="R51" s="4"/>
      <c r="S51" s="4"/>
      <c r="T51" s="4"/>
      <c r="U51" s="4"/>
      <c r="V51" s="4"/>
      <c r="W51" s="4"/>
      <c r="X51" s="4"/>
      <c r="Y51" s="4"/>
      <c r="Z51" s="4">
        <v>0</v>
      </c>
      <c r="AA51" s="4">
        <f t="shared" si="20"/>
        <v>0</v>
      </c>
      <c r="AB51" s="4">
        <v>238</v>
      </c>
      <c r="AC51" s="4">
        <f t="shared" si="21"/>
        <v>238</v>
      </c>
      <c r="AD51" s="4"/>
      <c r="AE51" s="21">
        <f t="shared" si="22"/>
        <v>327</v>
      </c>
      <c r="AF51" s="6">
        <f t="shared" si="23"/>
        <v>0.27217125382262997</v>
      </c>
      <c r="AG51" s="33">
        <v>0.5</v>
      </c>
      <c r="AH51" s="4">
        <f t="shared" si="24"/>
        <v>400</v>
      </c>
      <c r="AI51" s="33">
        <f t="shared" si="25"/>
        <v>442.7906976744186</v>
      </c>
      <c r="AJ51" s="6">
        <f t="shared" si="26"/>
        <v>0.46250000000000002</v>
      </c>
      <c r="AK51" s="7">
        <v>380</v>
      </c>
      <c r="AL51" s="6">
        <f t="shared" si="27"/>
        <v>0.37368421052631584</v>
      </c>
      <c r="AM51" s="4">
        <f t="shared" si="28"/>
        <v>142</v>
      </c>
      <c r="AN51" s="28"/>
      <c r="AO51" s="6"/>
      <c r="AP51" s="6"/>
      <c r="AQ51" s="6" t="str">
        <f t="shared" si="29"/>
        <v>-</v>
      </c>
      <c r="AR51" s="6">
        <f t="shared" si="30"/>
        <v>1.2881355932203389</v>
      </c>
      <c r="AS51" s="6">
        <f t="shared" si="31"/>
        <v>1.1069767441860465</v>
      </c>
      <c r="AT51" s="4"/>
      <c r="AU51" s="4"/>
      <c r="AV51" s="4"/>
      <c r="AW51" s="4"/>
      <c r="AX51" s="4"/>
      <c r="AY51" s="4"/>
      <c r="AZ51" s="4"/>
      <c r="BA51" s="4"/>
      <c r="BB51" s="4"/>
      <c r="BC51" s="4">
        <v>0</v>
      </c>
      <c r="BD51" s="4" t="s">
        <v>441</v>
      </c>
      <c r="BE51" s="4"/>
      <c r="BF51" s="4"/>
      <c r="BG51" s="4" t="s">
        <v>384</v>
      </c>
      <c r="BH51" s="4">
        <v>400</v>
      </c>
      <c r="BI51" s="4">
        <v>400</v>
      </c>
      <c r="BJ51" s="4">
        <f t="shared" si="32"/>
        <v>400</v>
      </c>
      <c r="BK51" s="19">
        <v>4</v>
      </c>
      <c r="BL51" s="19">
        <v>8</v>
      </c>
      <c r="BM51" s="16">
        <v>19251010</v>
      </c>
      <c r="BN51" t="s">
        <v>258</v>
      </c>
      <c r="BO51" t="s">
        <v>258</v>
      </c>
      <c r="BP51" t="str">
        <f t="shared" si="33"/>
        <v>-</v>
      </c>
      <c r="BQ51">
        <v>568</v>
      </c>
      <c r="BR51">
        <v>568</v>
      </c>
      <c r="BS51">
        <f t="shared" si="34"/>
        <v>628.7627906976744</v>
      </c>
      <c r="BT51" s="4" t="s">
        <v>326</v>
      </c>
    </row>
    <row r="52" spans="1:72" x14ac:dyDescent="0.4">
      <c r="A52" s="3">
        <v>1</v>
      </c>
      <c r="B52" s="3">
        <v>1</v>
      </c>
      <c r="C52" s="4" t="s">
        <v>65</v>
      </c>
      <c r="D52" s="4" t="str">
        <f t="shared" si="18"/>
        <v>J30580</v>
      </c>
      <c r="E52" s="4" t="s">
        <v>65</v>
      </c>
      <c r="F52" s="4" t="str">
        <f t="shared" si="17"/>
        <v>J305805</v>
      </c>
      <c r="G52" s="4" t="s">
        <v>149</v>
      </c>
      <c r="H52" s="5">
        <v>4903320062788</v>
      </c>
      <c r="I52" s="5">
        <v>5</v>
      </c>
      <c r="J52" s="5"/>
      <c r="K52" s="5">
        <v>1</v>
      </c>
      <c r="L52" s="5">
        <v>1</v>
      </c>
      <c r="M52" s="4">
        <v>0</v>
      </c>
      <c r="N52" s="4">
        <v>360</v>
      </c>
      <c r="O52" s="4">
        <v>229</v>
      </c>
      <c r="P52" s="6">
        <f t="shared" si="19"/>
        <v>0.36388888888888893</v>
      </c>
      <c r="Q52" s="4" t="s">
        <v>259</v>
      </c>
      <c r="R52" s="4"/>
      <c r="S52" s="4"/>
      <c r="T52" s="4"/>
      <c r="U52" s="4"/>
      <c r="V52" s="4"/>
      <c r="W52" s="4"/>
      <c r="X52" s="4"/>
      <c r="Y52" s="4"/>
      <c r="Z52" s="4">
        <v>0</v>
      </c>
      <c r="AA52" s="4">
        <f t="shared" si="20"/>
        <v>0</v>
      </c>
      <c r="AB52" s="4">
        <v>253</v>
      </c>
      <c r="AC52" s="4">
        <f t="shared" si="21"/>
        <v>253</v>
      </c>
      <c r="AD52" s="4"/>
      <c r="AE52" s="21">
        <f t="shared" si="22"/>
        <v>398</v>
      </c>
      <c r="AF52" s="6">
        <f t="shared" si="23"/>
        <v>0.36432160804020097</v>
      </c>
      <c r="AG52" s="33">
        <v>2.25</v>
      </c>
      <c r="AH52" s="4">
        <f t="shared" si="24"/>
        <v>351</v>
      </c>
      <c r="AI52" s="33">
        <f t="shared" si="25"/>
        <v>387.78602620087338</v>
      </c>
      <c r="AJ52" s="6">
        <f t="shared" si="26"/>
        <v>0.3475783475783476</v>
      </c>
      <c r="AK52" s="7">
        <v>386</v>
      </c>
      <c r="AL52" s="6">
        <f t="shared" si="27"/>
        <v>0.34455958549222798</v>
      </c>
      <c r="AM52" s="4">
        <f t="shared" si="28"/>
        <v>133</v>
      </c>
      <c r="AN52" s="28"/>
      <c r="AO52" s="6" t="e">
        <f>1-AC52/AN52</f>
        <v>#DIV/0!</v>
      </c>
      <c r="AP52" s="4">
        <f>AN52-AC52</f>
        <v>-253</v>
      </c>
      <c r="AQ52" s="6" t="str">
        <f t="shared" si="29"/>
        <v>-</v>
      </c>
      <c r="AR52" s="6">
        <f t="shared" si="30"/>
        <v>1.0722222222222222</v>
      </c>
      <c r="AS52" s="6">
        <f t="shared" si="31"/>
        <v>1.1048034934497817</v>
      </c>
      <c r="AT52" s="4" t="str">
        <f>IFERROR(ROUND($AK52*Q52/$N52,0),"-")</f>
        <v>-</v>
      </c>
      <c r="AU52" s="4" t="str">
        <f>IF(R52="","-",R52)</f>
        <v>-</v>
      </c>
      <c r="AV52" s="4" t="str">
        <f>IF(S52="","-",S52)</f>
        <v>-</v>
      </c>
      <c r="AW52" s="4"/>
      <c r="AX52" s="4"/>
      <c r="AY52" s="4"/>
      <c r="AZ52" s="4"/>
      <c r="BA52" s="4"/>
      <c r="BB52" s="4"/>
      <c r="BC52" s="4">
        <v>0</v>
      </c>
      <c r="BD52" s="4" t="s">
        <v>366</v>
      </c>
      <c r="BE52" s="4"/>
      <c r="BF52" s="4"/>
      <c r="BG52" s="4" t="s">
        <v>367</v>
      </c>
      <c r="BH52" s="4">
        <v>351</v>
      </c>
      <c r="BI52" s="4">
        <v>351</v>
      </c>
      <c r="BJ52" s="4">
        <f t="shared" si="32"/>
        <v>351</v>
      </c>
      <c r="BK52" s="19">
        <v>4</v>
      </c>
      <c r="BL52" s="19">
        <v>1</v>
      </c>
      <c r="BM52" s="16">
        <v>19251010</v>
      </c>
      <c r="BN52" t="s">
        <v>258</v>
      </c>
      <c r="BO52" t="s">
        <v>258</v>
      </c>
      <c r="BP52" t="str">
        <f t="shared" si="33"/>
        <v>-</v>
      </c>
      <c r="BQ52">
        <v>350</v>
      </c>
      <c r="BR52">
        <v>350</v>
      </c>
      <c r="BS52">
        <f t="shared" si="34"/>
        <v>386.68122270742361</v>
      </c>
      <c r="BT52" s="4" t="s">
        <v>262</v>
      </c>
    </row>
    <row r="53" spans="1:72" x14ac:dyDescent="0.4">
      <c r="A53" s="3">
        <v>85</v>
      </c>
      <c r="B53" s="3">
        <v>85</v>
      </c>
      <c r="C53" s="4" t="s">
        <v>135</v>
      </c>
      <c r="D53" s="4" t="str">
        <f t="shared" si="18"/>
        <v>J1703Y</v>
      </c>
      <c r="E53" s="4" t="s">
        <v>135</v>
      </c>
      <c r="F53" s="4" t="str">
        <f t="shared" si="17"/>
        <v>J1703Y5</v>
      </c>
      <c r="G53" s="4" t="s">
        <v>233</v>
      </c>
      <c r="H53" s="5">
        <v>4903320310186</v>
      </c>
      <c r="I53" s="5">
        <v>5</v>
      </c>
      <c r="J53" s="5"/>
      <c r="K53" s="5">
        <v>1</v>
      </c>
      <c r="L53" s="5">
        <v>1</v>
      </c>
      <c r="M53" s="4">
        <v>0</v>
      </c>
      <c r="N53" s="4">
        <v>329</v>
      </c>
      <c r="O53" s="4">
        <v>229</v>
      </c>
      <c r="P53" s="6">
        <f t="shared" si="19"/>
        <v>0.30395136778115506</v>
      </c>
      <c r="Q53" s="4" t="s">
        <v>259</v>
      </c>
      <c r="R53" s="4"/>
      <c r="S53" s="4"/>
      <c r="T53" s="4"/>
      <c r="U53" s="4"/>
      <c r="V53" s="4"/>
      <c r="W53" s="4"/>
      <c r="X53" s="4"/>
      <c r="Y53" s="4"/>
      <c r="Z53" s="4">
        <v>0</v>
      </c>
      <c r="AA53" s="4">
        <f t="shared" si="20"/>
        <v>0</v>
      </c>
      <c r="AB53" s="4">
        <v>253</v>
      </c>
      <c r="AC53" s="4">
        <f t="shared" si="21"/>
        <v>253</v>
      </c>
      <c r="AD53" s="4"/>
      <c r="AE53" s="21">
        <f t="shared" si="22"/>
        <v>363</v>
      </c>
      <c r="AF53" s="6">
        <f t="shared" si="23"/>
        <v>0.30303030303030298</v>
      </c>
      <c r="AG53" s="33">
        <v>0.25</v>
      </c>
      <c r="AH53" s="4">
        <f t="shared" si="24"/>
        <v>430</v>
      </c>
      <c r="AI53" s="33">
        <f t="shared" si="25"/>
        <v>475.06550218340612</v>
      </c>
      <c r="AJ53" s="6">
        <f t="shared" si="26"/>
        <v>0.46744186046511627</v>
      </c>
      <c r="AK53" s="7">
        <v>390</v>
      </c>
      <c r="AL53" s="6">
        <f t="shared" si="27"/>
        <v>0.35128205128205126</v>
      </c>
      <c r="AM53" s="4">
        <f t="shared" si="28"/>
        <v>137</v>
      </c>
      <c r="AN53" s="28"/>
      <c r="AO53" s="6"/>
      <c r="AP53" s="6"/>
      <c r="AQ53" s="6" t="str">
        <f t="shared" si="29"/>
        <v>-</v>
      </c>
      <c r="AR53" s="6">
        <f t="shared" si="30"/>
        <v>1.1854103343465046</v>
      </c>
      <c r="AS53" s="6">
        <f t="shared" si="31"/>
        <v>1.1048034934497817</v>
      </c>
      <c r="AT53" s="4"/>
      <c r="AU53" s="4"/>
      <c r="AV53" s="4"/>
      <c r="AW53" s="4"/>
      <c r="AX53" s="4"/>
      <c r="AY53" s="4"/>
      <c r="AZ53" s="4"/>
      <c r="BA53" s="4"/>
      <c r="BB53" s="4"/>
      <c r="BC53" s="4">
        <v>0</v>
      </c>
      <c r="BD53" s="4" t="s">
        <v>461</v>
      </c>
      <c r="BE53" s="4"/>
      <c r="BF53" s="4"/>
      <c r="BG53" s="4" t="s">
        <v>387</v>
      </c>
      <c r="BH53" s="4">
        <v>430</v>
      </c>
      <c r="BI53" s="4">
        <v>430</v>
      </c>
      <c r="BJ53" s="4">
        <f t="shared" si="32"/>
        <v>430</v>
      </c>
      <c r="BK53" s="19">
        <v>4</v>
      </c>
      <c r="BL53" s="19">
        <v>8</v>
      </c>
      <c r="BM53" s="16">
        <v>19251010</v>
      </c>
      <c r="BN53" t="s">
        <v>258</v>
      </c>
      <c r="BO53" t="s">
        <v>258</v>
      </c>
      <c r="BP53" t="str">
        <f t="shared" si="33"/>
        <v>-</v>
      </c>
      <c r="BQ53">
        <v>596</v>
      </c>
      <c r="BR53">
        <v>596</v>
      </c>
      <c r="BS53">
        <f t="shared" si="34"/>
        <v>658.46288209606985</v>
      </c>
      <c r="BT53" s="4" t="s">
        <v>345</v>
      </c>
    </row>
    <row r="54" spans="1:72" x14ac:dyDescent="0.4">
      <c r="A54" s="3">
        <v>47</v>
      </c>
      <c r="B54" s="3">
        <v>47</v>
      </c>
      <c r="C54" s="4" t="s">
        <v>108</v>
      </c>
      <c r="D54" s="4" t="str">
        <f t="shared" si="18"/>
        <v>J234SD</v>
      </c>
      <c r="E54" s="4" t="s">
        <v>108</v>
      </c>
      <c r="F54" s="4" t="str">
        <f t="shared" si="17"/>
        <v>J234SD5</v>
      </c>
      <c r="G54" s="4" t="s">
        <v>195</v>
      </c>
      <c r="H54" s="5">
        <v>4903320162716</v>
      </c>
      <c r="I54" s="5">
        <v>5</v>
      </c>
      <c r="J54" s="5"/>
      <c r="K54" s="5">
        <v>1</v>
      </c>
      <c r="L54" s="5">
        <v>1</v>
      </c>
      <c r="M54" s="4">
        <v>0</v>
      </c>
      <c r="N54" s="4">
        <v>369</v>
      </c>
      <c r="O54" s="4">
        <v>232</v>
      </c>
      <c r="P54" s="6">
        <f t="shared" si="19"/>
        <v>0.37127371273712739</v>
      </c>
      <c r="Q54" s="4" t="s">
        <v>259</v>
      </c>
      <c r="R54" s="4"/>
      <c r="S54" s="4"/>
      <c r="T54" s="4"/>
      <c r="U54" s="4"/>
      <c r="V54" s="4"/>
      <c r="W54" s="4"/>
      <c r="X54" s="4"/>
      <c r="Y54" s="4"/>
      <c r="Z54" s="4">
        <v>0</v>
      </c>
      <c r="AA54" s="4">
        <f t="shared" si="20"/>
        <v>0</v>
      </c>
      <c r="AB54" s="4">
        <v>256</v>
      </c>
      <c r="AC54" s="4">
        <f t="shared" si="21"/>
        <v>256</v>
      </c>
      <c r="AD54" s="4"/>
      <c r="AE54" s="21">
        <f t="shared" si="22"/>
        <v>407</v>
      </c>
      <c r="AF54" s="6">
        <f t="shared" si="23"/>
        <v>0.37100737100737102</v>
      </c>
      <c r="AG54" s="33">
        <v>2.5</v>
      </c>
      <c r="AH54" s="4">
        <f t="shared" si="24"/>
        <v>362</v>
      </c>
      <c r="AI54" s="33">
        <f t="shared" si="25"/>
        <v>399.44827586206895</v>
      </c>
      <c r="AJ54" s="6">
        <f t="shared" si="26"/>
        <v>0.35911602209944748</v>
      </c>
      <c r="AK54" s="7">
        <v>399</v>
      </c>
      <c r="AL54" s="6">
        <f t="shared" si="27"/>
        <v>0.35839598997493738</v>
      </c>
      <c r="AM54" s="4">
        <f t="shared" si="28"/>
        <v>143</v>
      </c>
      <c r="AN54" s="28"/>
      <c r="AO54" s="6"/>
      <c r="AP54" s="6"/>
      <c r="AQ54" s="6" t="str">
        <f t="shared" si="29"/>
        <v>-</v>
      </c>
      <c r="AR54" s="6">
        <f t="shared" si="30"/>
        <v>1.0813008130081301</v>
      </c>
      <c r="AS54" s="6">
        <f t="shared" si="31"/>
        <v>1.103448275862069</v>
      </c>
      <c r="AT54" s="4"/>
      <c r="AU54" s="4"/>
      <c r="AV54" s="4"/>
      <c r="AW54" s="4"/>
      <c r="AX54" s="4"/>
      <c r="AY54" s="4"/>
      <c r="AZ54" s="4"/>
      <c r="BA54" s="4"/>
      <c r="BB54" s="4"/>
      <c r="BC54" s="4">
        <v>0</v>
      </c>
      <c r="BD54" s="4" t="s">
        <v>422</v>
      </c>
      <c r="BE54" s="4"/>
      <c r="BF54" s="4"/>
      <c r="BG54" s="4" t="s">
        <v>380</v>
      </c>
      <c r="BH54" s="4">
        <v>362</v>
      </c>
      <c r="BI54" s="4">
        <v>362</v>
      </c>
      <c r="BJ54" s="4">
        <f t="shared" si="32"/>
        <v>362</v>
      </c>
      <c r="BK54" s="19">
        <v>4</v>
      </c>
      <c r="BL54" s="19">
        <v>1</v>
      </c>
      <c r="BM54" s="16">
        <v>19251010</v>
      </c>
      <c r="BN54" t="s">
        <v>258</v>
      </c>
      <c r="BO54" t="s">
        <v>258</v>
      </c>
      <c r="BP54" t="str">
        <f t="shared" si="33"/>
        <v>-</v>
      </c>
      <c r="BQ54">
        <v>362</v>
      </c>
      <c r="BR54">
        <v>362</v>
      </c>
      <c r="BS54">
        <f t="shared" si="34"/>
        <v>399.44827586206895</v>
      </c>
      <c r="BT54" s="4" t="s">
        <v>307</v>
      </c>
    </row>
    <row r="55" spans="1:72" x14ac:dyDescent="0.4">
      <c r="A55" s="3">
        <v>48</v>
      </c>
      <c r="B55" s="3">
        <v>48</v>
      </c>
      <c r="C55" s="4" t="s">
        <v>109</v>
      </c>
      <c r="D55" s="4" t="str">
        <f t="shared" si="18"/>
        <v>J1697Y</v>
      </c>
      <c r="E55" s="4" t="s">
        <v>109</v>
      </c>
      <c r="F55" s="4" t="str">
        <f t="shared" si="17"/>
        <v>J1697Y5</v>
      </c>
      <c r="G55" s="4" t="s">
        <v>196</v>
      </c>
      <c r="H55" s="5">
        <v>4903320162723</v>
      </c>
      <c r="I55" s="5">
        <v>5</v>
      </c>
      <c r="J55" s="5"/>
      <c r="K55" s="5">
        <v>1</v>
      </c>
      <c r="L55" s="5">
        <v>1</v>
      </c>
      <c r="M55" s="4">
        <v>0</v>
      </c>
      <c r="N55" s="4">
        <v>406</v>
      </c>
      <c r="O55" s="4">
        <v>232</v>
      </c>
      <c r="P55" s="6">
        <f t="shared" si="19"/>
        <v>0.4285714285714286</v>
      </c>
      <c r="Q55" s="4" t="s">
        <v>259</v>
      </c>
      <c r="R55" s="4"/>
      <c r="S55" s="4"/>
      <c r="T55" s="4"/>
      <c r="U55" s="4"/>
      <c r="V55" s="4"/>
      <c r="W55" s="4"/>
      <c r="X55" s="4"/>
      <c r="Y55" s="4"/>
      <c r="Z55" s="4">
        <v>0</v>
      </c>
      <c r="AA55" s="4">
        <f t="shared" si="20"/>
        <v>0</v>
      </c>
      <c r="AB55" s="4">
        <v>256</v>
      </c>
      <c r="AC55" s="4">
        <f t="shared" si="21"/>
        <v>256</v>
      </c>
      <c r="AD55" s="4"/>
      <c r="AE55" s="21">
        <f t="shared" si="22"/>
        <v>448</v>
      </c>
      <c r="AF55" s="6">
        <f t="shared" si="23"/>
        <v>0.4285714285714286</v>
      </c>
      <c r="AG55" s="33">
        <v>0.25</v>
      </c>
      <c r="AH55" s="4">
        <f t="shared" si="24"/>
        <v>362</v>
      </c>
      <c r="AI55" s="33">
        <f t="shared" si="25"/>
        <v>399.44827586206895</v>
      </c>
      <c r="AJ55" s="6">
        <f t="shared" si="26"/>
        <v>0.35911602209944748</v>
      </c>
      <c r="AK55" s="7">
        <v>399</v>
      </c>
      <c r="AL55" s="6">
        <f t="shared" si="27"/>
        <v>0.35839598997493738</v>
      </c>
      <c r="AM55" s="4">
        <f t="shared" si="28"/>
        <v>143</v>
      </c>
      <c r="AN55" s="28"/>
      <c r="AO55" s="6"/>
      <c r="AP55" s="6"/>
      <c r="AQ55" s="6" t="str">
        <f t="shared" si="29"/>
        <v>-</v>
      </c>
      <c r="AR55" s="6">
        <f t="shared" si="30"/>
        <v>0.98275862068965514</v>
      </c>
      <c r="AS55" s="6">
        <f t="shared" si="31"/>
        <v>1.103448275862069</v>
      </c>
      <c r="AT55" s="4"/>
      <c r="AU55" s="4"/>
      <c r="AV55" s="4"/>
      <c r="AW55" s="4"/>
      <c r="AX55" s="4"/>
      <c r="AY55" s="4"/>
      <c r="AZ55" s="4"/>
      <c r="BA55" s="4"/>
      <c r="BB55" s="4"/>
      <c r="BC55" s="4">
        <v>0</v>
      </c>
      <c r="BD55" s="4" t="s">
        <v>423</v>
      </c>
      <c r="BE55" s="4"/>
      <c r="BF55" s="4"/>
      <c r="BG55" s="4" t="s">
        <v>380</v>
      </c>
      <c r="BH55" s="4">
        <v>362</v>
      </c>
      <c r="BI55" s="4">
        <v>362</v>
      </c>
      <c r="BJ55" s="4">
        <f t="shared" si="32"/>
        <v>362</v>
      </c>
      <c r="BK55" s="19">
        <v>4</v>
      </c>
      <c r="BL55" s="19">
        <v>8</v>
      </c>
      <c r="BM55" s="16">
        <v>19251010</v>
      </c>
      <c r="BN55" t="s">
        <v>258</v>
      </c>
      <c r="BO55" t="s">
        <v>258</v>
      </c>
      <c r="BP55" t="str">
        <f t="shared" si="33"/>
        <v>-</v>
      </c>
      <c r="BQ55">
        <v>362</v>
      </c>
      <c r="BR55">
        <v>362</v>
      </c>
      <c r="BS55">
        <f t="shared" si="34"/>
        <v>399.44827586206895</v>
      </c>
      <c r="BT55" s="4" t="s">
        <v>308</v>
      </c>
    </row>
    <row r="56" spans="1:72" x14ac:dyDescent="0.4">
      <c r="A56" s="3">
        <v>9</v>
      </c>
      <c r="B56" s="3">
        <v>9</v>
      </c>
      <c r="C56" s="4" t="s">
        <v>70</v>
      </c>
      <c r="D56" s="4" t="str">
        <f t="shared" si="18"/>
        <v>J244SD</v>
      </c>
      <c r="E56" s="4" t="s">
        <v>70</v>
      </c>
      <c r="F56" s="4" t="str">
        <f t="shared" si="17"/>
        <v>J244SD5</v>
      </c>
      <c r="G56" s="4" t="s">
        <v>157</v>
      </c>
      <c r="H56" s="5">
        <v>4903320161801</v>
      </c>
      <c r="I56" s="5">
        <v>5</v>
      </c>
      <c r="J56" s="5"/>
      <c r="K56" s="5">
        <v>1</v>
      </c>
      <c r="L56" s="5">
        <v>1</v>
      </c>
      <c r="M56" s="4">
        <v>0</v>
      </c>
      <c r="N56" s="4">
        <v>346</v>
      </c>
      <c r="O56" s="4">
        <v>244</v>
      </c>
      <c r="P56" s="6">
        <f t="shared" si="19"/>
        <v>0.2947976878612717</v>
      </c>
      <c r="Q56" s="4" t="s">
        <v>259</v>
      </c>
      <c r="R56" s="4"/>
      <c r="S56" s="4"/>
      <c r="T56" s="4"/>
      <c r="U56" s="4"/>
      <c r="V56" s="4"/>
      <c r="W56" s="4"/>
      <c r="X56" s="4"/>
      <c r="Y56" s="4"/>
      <c r="Z56" s="4">
        <v>0</v>
      </c>
      <c r="AA56" s="4">
        <f t="shared" si="20"/>
        <v>0</v>
      </c>
      <c r="AB56" s="4">
        <v>269</v>
      </c>
      <c r="AC56" s="4">
        <f t="shared" si="21"/>
        <v>269</v>
      </c>
      <c r="AD56" s="4"/>
      <c r="AE56" s="21">
        <f t="shared" si="22"/>
        <v>381</v>
      </c>
      <c r="AF56" s="6">
        <f t="shared" si="23"/>
        <v>0.29396325459317585</v>
      </c>
      <c r="AG56" s="33">
        <v>0.5</v>
      </c>
      <c r="AH56" s="4">
        <f t="shared" si="24"/>
        <v>453</v>
      </c>
      <c r="AI56" s="33">
        <f t="shared" si="25"/>
        <v>499.41393442622956</v>
      </c>
      <c r="AJ56" s="6">
        <f t="shared" si="26"/>
        <v>0.46136865342163358</v>
      </c>
      <c r="AK56" s="7">
        <v>418</v>
      </c>
      <c r="AL56" s="6">
        <f t="shared" si="27"/>
        <v>0.3564593301435407</v>
      </c>
      <c r="AM56" s="4">
        <f t="shared" si="28"/>
        <v>149</v>
      </c>
      <c r="AN56" s="28"/>
      <c r="AO56" s="6"/>
      <c r="AP56" s="6"/>
      <c r="AQ56" s="6" t="str">
        <f t="shared" si="29"/>
        <v>-</v>
      </c>
      <c r="AR56" s="6">
        <f t="shared" si="30"/>
        <v>1.2080924855491328</v>
      </c>
      <c r="AS56" s="6">
        <f t="shared" si="31"/>
        <v>1.1024590163934427</v>
      </c>
      <c r="AT56" s="4"/>
      <c r="AU56" s="4"/>
      <c r="AV56" s="4"/>
      <c r="AW56" s="4"/>
      <c r="AX56" s="4"/>
      <c r="AY56" s="4"/>
      <c r="AZ56" s="4"/>
      <c r="BA56" s="4"/>
      <c r="BB56" s="4"/>
      <c r="BC56" s="4">
        <v>0</v>
      </c>
      <c r="BD56" s="4" t="s">
        <v>379</v>
      </c>
      <c r="BE56" s="4"/>
      <c r="BF56" s="4"/>
      <c r="BG56" s="4" t="s">
        <v>380</v>
      </c>
      <c r="BH56" s="4">
        <v>453</v>
      </c>
      <c r="BI56" s="4">
        <v>453</v>
      </c>
      <c r="BJ56" s="4">
        <f t="shared" si="32"/>
        <v>453</v>
      </c>
      <c r="BK56" s="19">
        <v>4</v>
      </c>
      <c r="BL56" s="19">
        <v>8</v>
      </c>
      <c r="BM56" s="16">
        <v>19251010</v>
      </c>
      <c r="BN56" t="s">
        <v>258</v>
      </c>
      <c r="BO56" t="s">
        <v>258</v>
      </c>
      <c r="BP56" t="str">
        <f t="shared" si="33"/>
        <v>-</v>
      </c>
      <c r="BQ56">
        <v>380</v>
      </c>
      <c r="BR56">
        <v>380</v>
      </c>
      <c r="BS56">
        <f t="shared" si="34"/>
        <v>418.93442622950823</v>
      </c>
      <c r="BT56" s="4" t="s">
        <v>269</v>
      </c>
    </row>
    <row r="57" spans="1:72" x14ac:dyDescent="0.4">
      <c r="A57" s="3">
        <v>57</v>
      </c>
      <c r="B57" s="3">
        <v>57</v>
      </c>
      <c r="C57" s="4" t="s">
        <v>118</v>
      </c>
      <c r="D57" s="4" t="str">
        <f t="shared" si="18"/>
        <v>J242SD</v>
      </c>
      <c r="E57" s="4" t="s">
        <v>118</v>
      </c>
      <c r="F57" s="4" t="str">
        <f t="shared" si="17"/>
        <v>J242SD5</v>
      </c>
      <c r="G57" s="4" t="s">
        <v>205</v>
      </c>
      <c r="H57" s="5">
        <v>4903320162884</v>
      </c>
      <c r="I57" s="5">
        <v>5</v>
      </c>
      <c r="J57" s="5"/>
      <c r="K57" s="5">
        <v>1</v>
      </c>
      <c r="L57" s="5">
        <v>1</v>
      </c>
      <c r="M57" s="4">
        <v>0</v>
      </c>
      <c r="N57" s="4">
        <v>345</v>
      </c>
      <c r="O57" s="4">
        <v>268</v>
      </c>
      <c r="P57" s="6">
        <f t="shared" si="19"/>
        <v>0.22318840579710142</v>
      </c>
      <c r="Q57" s="4" t="s">
        <v>259</v>
      </c>
      <c r="R57" s="4"/>
      <c r="S57" s="4"/>
      <c r="T57" s="4"/>
      <c r="U57" s="4"/>
      <c r="V57" s="4"/>
      <c r="W57" s="4"/>
      <c r="X57" s="4"/>
      <c r="Y57" s="4"/>
      <c r="Z57" s="4">
        <v>0</v>
      </c>
      <c r="AA57" s="4">
        <f t="shared" si="20"/>
        <v>0</v>
      </c>
      <c r="AB57" s="4">
        <v>295</v>
      </c>
      <c r="AC57" s="4">
        <f t="shared" si="21"/>
        <v>295</v>
      </c>
      <c r="AD57" s="4"/>
      <c r="AE57" s="21">
        <f t="shared" si="22"/>
        <v>380</v>
      </c>
      <c r="AF57" s="6">
        <f t="shared" si="23"/>
        <v>0.22368421052631582</v>
      </c>
      <c r="AG57" s="33">
        <v>0</v>
      </c>
      <c r="AH57" s="4">
        <f t="shared" si="24"/>
        <v>453</v>
      </c>
      <c r="AI57" s="33">
        <f t="shared" si="25"/>
        <v>498.63805970149252</v>
      </c>
      <c r="AJ57" s="6">
        <f t="shared" si="26"/>
        <v>0.4083885209713024</v>
      </c>
      <c r="AK57" s="7">
        <v>460</v>
      </c>
      <c r="AL57" s="6">
        <f t="shared" si="27"/>
        <v>0.35869565217391308</v>
      </c>
      <c r="AM57" s="4">
        <f t="shared" si="28"/>
        <v>165</v>
      </c>
      <c r="AN57" s="28"/>
      <c r="AO57" s="6"/>
      <c r="AP57" s="6"/>
      <c r="AQ57" s="6" t="str">
        <f t="shared" si="29"/>
        <v>-</v>
      </c>
      <c r="AR57" s="6">
        <f t="shared" si="30"/>
        <v>1.3333333333333333</v>
      </c>
      <c r="AS57" s="6">
        <f t="shared" si="31"/>
        <v>1.1007462686567164</v>
      </c>
      <c r="AT57" s="4"/>
      <c r="AU57" s="4"/>
      <c r="AV57" s="4"/>
      <c r="AW57" s="4"/>
      <c r="AX57" s="4"/>
      <c r="AY57" s="4"/>
      <c r="AZ57" s="4"/>
      <c r="BA57" s="4"/>
      <c r="BB57" s="4"/>
      <c r="BC57" s="4">
        <v>0</v>
      </c>
      <c r="BD57" s="4" t="s">
        <v>432</v>
      </c>
      <c r="BE57" s="4"/>
      <c r="BF57" s="4"/>
      <c r="BG57" s="4" t="s">
        <v>384</v>
      </c>
      <c r="BH57" s="4">
        <v>453</v>
      </c>
      <c r="BI57" s="4">
        <v>453</v>
      </c>
      <c r="BJ57" s="4">
        <f t="shared" si="32"/>
        <v>453</v>
      </c>
      <c r="BK57" s="19">
        <v>4</v>
      </c>
      <c r="BL57" s="19">
        <v>8</v>
      </c>
      <c r="BM57" s="16">
        <v>19251010</v>
      </c>
      <c r="BN57" t="s">
        <v>258</v>
      </c>
      <c r="BO57" t="s">
        <v>258</v>
      </c>
      <c r="BP57" t="str">
        <f t="shared" si="33"/>
        <v>-</v>
      </c>
      <c r="BQ57">
        <v>584</v>
      </c>
      <c r="BR57">
        <v>584</v>
      </c>
      <c r="BS57">
        <f t="shared" si="34"/>
        <v>642.83582089552237</v>
      </c>
      <c r="BT57" s="4" t="s">
        <v>317</v>
      </c>
    </row>
    <row r="58" spans="1:72" x14ac:dyDescent="0.4">
      <c r="A58" s="3">
        <v>65</v>
      </c>
      <c r="B58" s="3">
        <v>65</v>
      </c>
      <c r="C58" s="4" t="s">
        <v>126</v>
      </c>
      <c r="D58" s="4" t="str">
        <f t="shared" si="18"/>
        <v>J65789</v>
      </c>
      <c r="E58" s="4" t="s">
        <v>126</v>
      </c>
      <c r="F58" s="4" t="str">
        <f t="shared" si="17"/>
        <v>J657895</v>
      </c>
      <c r="G58" s="4" t="s">
        <v>213</v>
      </c>
      <c r="H58" s="5">
        <v>4903320220102</v>
      </c>
      <c r="I58" s="5">
        <v>5</v>
      </c>
      <c r="J58" s="5"/>
      <c r="K58" s="5">
        <v>1</v>
      </c>
      <c r="L58" s="5">
        <v>1</v>
      </c>
      <c r="M58" s="4">
        <v>0</v>
      </c>
      <c r="N58" s="4">
        <v>417</v>
      </c>
      <c r="O58" s="4">
        <v>263</v>
      </c>
      <c r="P58" s="6">
        <f t="shared" si="19"/>
        <v>0.3693045563549161</v>
      </c>
      <c r="Q58" s="4" t="s">
        <v>259</v>
      </c>
      <c r="R58" s="4"/>
      <c r="S58" s="4"/>
      <c r="T58" s="4"/>
      <c r="U58" s="4"/>
      <c r="V58" s="4"/>
      <c r="W58" s="4"/>
      <c r="X58" s="4"/>
      <c r="Y58" s="4"/>
      <c r="Z58" s="4">
        <v>0</v>
      </c>
      <c r="AA58" s="4">
        <f t="shared" si="20"/>
        <v>0</v>
      </c>
      <c r="AB58" s="4">
        <v>296</v>
      </c>
      <c r="AC58" s="4">
        <f t="shared" si="21"/>
        <v>296</v>
      </c>
      <c r="AD58" s="4"/>
      <c r="AE58" s="21">
        <f t="shared" si="22"/>
        <v>469</v>
      </c>
      <c r="AF58" s="6">
        <f t="shared" si="23"/>
        <v>0.36886993603411511</v>
      </c>
      <c r="AG58" s="33">
        <v>9.5</v>
      </c>
      <c r="AH58" s="4">
        <f t="shared" si="24"/>
        <v>470</v>
      </c>
      <c r="AI58" s="33">
        <f t="shared" si="25"/>
        <v>528.97338403041829</v>
      </c>
      <c r="AJ58" s="6">
        <f t="shared" si="26"/>
        <v>0.44042553191489364</v>
      </c>
      <c r="AK58" s="7">
        <v>490</v>
      </c>
      <c r="AL58" s="6">
        <f t="shared" si="27"/>
        <v>0.39591836734693875</v>
      </c>
      <c r="AM58" s="4">
        <f t="shared" si="28"/>
        <v>194</v>
      </c>
      <c r="AN58" s="28"/>
      <c r="AO58" s="6"/>
      <c r="AP58" s="6"/>
      <c r="AQ58" s="6" t="str">
        <f t="shared" si="29"/>
        <v>-</v>
      </c>
      <c r="AR58" s="6">
        <f t="shared" si="30"/>
        <v>1.1750599520383693</v>
      </c>
      <c r="AS58" s="6">
        <f t="shared" si="31"/>
        <v>1.1254752851711027</v>
      </c>
      <c r="AT58" s="4"/>
      <c r="AU58" s="4"/>
      <c r="AV58" s="4"/>
      <c r="AW58" s="4"/>
      <c r="AX58" s="4"/>
      <c r="AY58" s="4"/>
      <c r="AZ58" s="4"/>
      <c r="BA58" s="4"/>
      <c r="BB58" s="4"/>
      <c r="BC58" s="4">
        <v>0</v>
      </c>
      <c r="BD58" s="4" t="s">
        <v>440</v>
      </c>
      <c r="BE58" s="4"/>
      <c r="BF58" s="4"/>
      <c r="BG58" s="4" t="s">
        <v>384</v>
      </c>
      <c r="BH58" s="4">
        <v>470</v>
      </c>
      <c r="BI58" s="4">
        <v>470</v>
      </c>
      <c r="BJ58" s="4">
        <f t="shared" si="32"/>
        <v>470</v>
      </c>
      <c r="BK58" s="19">
        <v>4</v>
      </c>
      <c r="BL58" s="19">
        <v>1</v>
      </c>
      <c r="BM58" s="16">
        <v>19251010</v>
      </c>
      <c r="BN58" t="s">
        <v>258</v>
      </c>
      <c r="BO58" t="s">
        <v>258</v>
      </c>
      <c r="BP58" t="str">
        <f t="shared" si="33"/>
        <v>-</v>
      </c>
      <c r="BQ58">
        <v>788</v>
      </c>
      <c r="BR58">
        <v>788</v>
      </c>
      <c r="BS58">
        <f t="shared" si="34"/>
        <v>886.87452471482891</v>
      </c>
      <c r="BT58" s="4" t="s">
        <v>325</v>
      </c>
    </row>
    <row r="59" spans="1:72" x14ac:dyDescent="0.4">
      <c r="A59" s="3">
        <v>81</v>
      </c>
      <c r="B59" s="3">
        <v>81</v>
      </c>
      <c r="C59" s="4" t="s">
        <v>133</v>
      </c>
      <c r="D59" s="4" t="str">
        <f t="shared" si="18"/>
        <v>J243SD</v>
      </c>
      <c r="E59" s="4" t="s">
        <v>133</v>
      </c>
      <c r="F59" s="4" t="str">
        <f t="shared" si="17"/>
        <v>J243SD5</v>
      </c>
      <c r="G59" s="4" t="s">
        <v>229</v>
      </c>
      <c r="H59" s="5">
        <v>4903320268388</v>
      </c>
      <c r="I59" s="5">
        <v>5</v>
      </c>
      <c r="J59" s="5"/>
      <c r="K59" s="5">
        <v>1</v>
      </c>
      <c r="L59" s="5">
        <v>1</v>
      </c>
      <c r="M59" s="4">
        <v>0</v>
      </c>
      <c r="N59" s="4">
        <v>415</v>
      </c>
      <c r="O59" s="4">
        <v>274</v>
      </c>
      <c r="P59" s="6">
        <f t="shared" si="19"/>
        <v>0.33975903614457836</v>
      </c>
      <c r="Q59" s="4" t="s">
        <v>259</v>
      </c>
      <c r="R59" s="4"/>
      <c r="S59" s="4"/>
      <c r="T59" s="4"/>
      <c r="U59" s="4"/>
      <c r="V59" s="4"/>
      <c r="W59" s="4"/>
      <c r="X59" s="4"/>
      <c r="Y59" s="4"/>
      <c r="Z59" s="4">
        <v>0</v>
      </c>
      <c r="AA59" s="4">
        <f t="shared" si="20"/>
        <v>0</v>
      </c>
      <c r="AB59" s="4">
        <v>303</v>
      </c>
      <c r="AC59" s="4">
        <f t="shared" si="21"/>
        <v>303</v>
      </c>
      <c r="AD59" s="4"/>
      <c r="AE59" s="21">
        <f t="shared" si="22"/>
        <v>459</v>
      </c>
      <c r="AF59" s="6">
        <f t="shared" si="23"/>
        <v>0.33986928104575165</v>
      </c>
      <c r="AG59" s="33">
        <v>0.25</v>
      </c>
      <c r="AH59" s="4">
        <f t="shared" si="24"/>
        <v>520</v>
      </c>
      <c r="AI59" s="33">
        <f t="shared" si="25"/>
        <v>575.03649635036493</v>
      </c>
      <c r="AJ59" s="6">
        <f t="shared" si="26"/>
        <v>0.47307692307692306</v>
      </c>
      <c r="AK59" s="7">
        <v>490</v>
      </c>
      <c r="AL59" s="6">
        <f t="shared" si="27"/>
        <v>0.38163265306122451</v>
      </c>
      <c r="AM59" s="4">
        <f t="shared" si="28"/>
        <v>187</v>
      </c>
      <c r="AN59" s="28"/>
      <c r="AO59" s="6"/>
      <c r="AP59" s="6"/>
      <c r="AQ59" s="6" t="str">
        <f t="shared" si="29"/>
        <v>-</v>
      </c>
      <c r="AR59" s="6">
        <f t="shared" si="30"/>
        <v>1.1807228915662651</v>
      </c>
      <c r="AS59" s="6">
        <f t="shared" si="31"/>
        <v>1.1058394160583942</v>
      </c>
      <c r="AT59" s="4"/>
      <c r="AU59" s="4"/>
      <c r="AV59" s="4"/>
      <c r="AW59" s="4"/>
      <c r="AX59" s="4"/>
      <c r="AY59" s="4"/>
      <c r="AZ59" s="4"/>
      <c r="BA59" s="4"/>
      <c r="BB59" s="4"/>
      <c r="BC59" s="4">
        <v>0</v>
      </c>
      <c r="BD59" s="4" t="s">
        <v>457</v>
      </c>
      <c r="BE59" s="4"/>
      <c r="BF59" s="4"/>
      <c r="BG59" s="4" t="s">
        <v>369</v>
      </c>
      <c r="BH59" s="4">
        <v>520</v>
      </c>
      <c r="BI59" s="4">
        <v>520</v>
      </c>
      <c r="BJ59" s="4">
        <f t="shared" si="32"/>
        <v>520</v>
      </c>
      <c r="BK59" s="19">
        <v>4</v>
      </c>
      <c r="BL59" s="19">
        <v>8</v>
      </c>
      <c r="BM59" s="16">
        <v>19251010</v>
      </c>
      <c r="BN59" t="s">
        <v>258</v>
      </c>
      <c r="BO59" t="s">
        <v>258</v>
      </c>
      <c r="BP59" t="str">
        <f t="shared" si="33"/>
        <v>-</v>
      </c>
      <c r="BQ59" t="s">
        <v>258</v>
      </c>
      <c r="BR59">
        <v>596</v>
      </c>
      <c r="BS59">
        <f t="shared" si="34"/>
        <v>659.08029197080293</v>
      </c>
      <c r="BT59" s="4" t="s">
        <v>341</v>
      </c>
    </row>
    <row r="60" spans="1:72" x14ac:dyDescent="0.4">
      <c r="A60" s="3">
        <v>10</v>
      </c>
      <c r="B60" s="3">
        <v>10</v>
      </c>
      <c r="C60" s="4" t="s">
        <v>71</v>
      </c>
      <c r="D60" s="4" t="str">
        <f t="shared" si="18"/>
        <v>J322SF</v>
      </c>
      <c r="E60" s="4" t="s">
        <v>71</v>
      </c>
      <c r="F60" s="4" t="str">
        <f t="shared" si="17"/>
        <v>J322SF5</v>
      </c>
      <c r="G60" s="4" t="s">
        <v>158</v>
      </c>
      <c r="H60" s="5">
        <v>4903320161849</v>
      </c>
      <c r="I60" s="5">
        <v>5</v>
      </c>
      <c r="J60" s="5"/>
      <c r="K60" s="5">
        <v>1</v>
      </c>
      <c r="L60" s="5">
        <v>1</v>
      </c>
      <c r="M60" s="4">
        <v>0</v>
      </c>
      <c r="N60" s="4">
        <v>461</v>
      </c>
      <c r="O60" s="4">
        <v>281</v>
      </c>
      <c r="P60" s="6">
        <f t="shared" si="19"/>
        <v>0.3904555314533622</v>
      </c>
      <c r="Q60" s="4" t="s">
        <v>259</v>
      </c>
      <c r="R60" s="4"/>
      <c r="S60" s="4"/>
      <c r="T60" s="4"/>
      <c r="U60" s="4"/>
      <c r="V60" s="4"/>
      <c r="W60" s="4"/>
      <c r="X60" s="4"/>
      <c r="Y60" s="4"/>
      <c r="Z60" s="4">
        <v>0</v>
      </c>
      <c r="AA60" s="4">
        <f t="shared" si="20"/>
        <v>0</v>
      </c>
      <c r="AB60" s="4">
        <v>310</v>
      </c>
      <c r="AC60" s="4">
        <f t="shared" si="21"/>
        <v>310</v>
      </c>
      <c r="AD60" s="4"/>
      <c r="AE60" s="21">
        <f t="shared" si="22"/>
        <v>509</v>
      </c>
      <c r="AF60" s="6">
        <f t="shared" si="23"/>
        <v>0.39096267190569745</v>
      </c>
      <c r="AG60" s="33">
        <v>0.5</v>
      </c>
      <c r="AH60" s="4">
        <f t="shared" si="24"/>
        <v>454</v>
      </c>
      <c r="AI60" s="33">
        <f t="shared" si="25"/>
        <v>500.85409252669041</v>
      </c>
      <c r="AJ60" s="6">
        <f t="shared" si="26"/>
        <v>0.38105726872246704</v>
      </c>
      <c r="AK60" s="7">
        <v>500</v>
      </c>
      <c r="AL60" s="6">
        <f t="shared" si="27"/>
        <v>0.38</v>
      </c>
      <c r="AM60" s="4">
        <f t="shared" si="28"/>
        <v>190</v>
      </c>
      <c r="AN60" s="28"/>
      <c r="AO60" s="6"/>
      <c r="AP60" s="6"/>
      <c r="AQ60" s="6" t="str">
        <f t="shared" si="29"/>
        <v>-</v>
      </c>
      <c r="AR60" s="6">
        <f t="shared" si="30"/>
        <v>1.0845986984815619</v>
      </c>
      <c r="AS60" s="6">
        <f t="shared" si="31"/>
        <v>1.103202846975089</v>
      </c>
      <c r="AT60" s="4"/>
      <c r="AU60" s="4"/>
      <c r="AV60" s="4"/>
      <c r="AW60" s="4"/>
      <c r="AX60" s="4"/>
      <c r="AY60" s="4"/>
      <c r="AZ60" s="4"/>
      <c r="BA60" s="4"/>
      <c r="BB60" s="4"/>
      <c r="BC60" s="4">
        <v>0</v>
      </c>
      <c r="BD60" s="4" t="s">
        <v>381</v>
      </c>
      <c r="BE60" s="4"/>
      <c r="BF60" s="4"/>
      <c r="BG60" s="4" t="s">
        <v>382</v>
      </c>
      <c r="BH60" s="4">
        <v>454</v>
      </c>
      <c r="BI60" s="4">
        <v>454</v>
      </c>
      <c r="BJ60" s="4">
        <f t="shared" si="32"/>
        <v>454</v>
      </c>
      <c r="BK60" s="19">
        <v>4</v>
      </c>
      <c r="BL60" s="19">
        <v>1</v>
      </c>
      <c r="BM60" s="16">
        <v>19251010</v>
      </c>
      <c r="BN60" t="s">
        <v>258</v>
      </c>
      <c r="BO60" t="s">
        <v>258</v>
      </c>
      <c r="BP60" t="str">
        <f t="shared" si="33"/>
        <v>-</v>
      </c>
      <c r="BQ60">
        <v>784</v>
      </c>
      <c r="BR60">
        <v>784</v>
      </c>
      <c r="BS60">
        <f t="shared" si="34"/>
        <v>864.91103202846978</v>
      </c>
      <c r="BT60" s="4" t="s">
        <v>270</v>
      </c>
    </row>
    <row r="61" spans="1:72" x14ac:dyDescent="0.4">
      <c r="A61" s="3">
        <v>67</v>
      </c>
      <c r="B61" s="3">
        <v>67</v>
      </c>
      <c r="C61" s="4" t="s">
        <v>128</v>
      </c>
      <c r="D61" s="4" t="str">
        <f t="shared" si="18"/>
        <v>J9031X</v>
      </c>
      <c r="E61" s="4" t="s">
        <v>128</v>
      </c>
      <c r="F61" s="4" t="str">
        <f t="shared" si="17"/>
        <v>J9031X5</v>
      </c>
      <c r="G61" s="4" t="s">
        <v>215</v>
      </c>
      <c r="H61" s="5">
        <v>4903320220300</v>
      </c>
      <c r="I61" s="5">
        <v>5</v>
      </c>
      <c r="J61" s="5"/>
      <c r="K61" s="5">
        <v>1</v>
      </c>
      <c r="L61" s="5">
        <v>1</v>
      </c>
      <c r="M61" s="4">
        <v>0</v>
      </c>
      <c r="N61" s="4">
        <v>412</v>
      </c>
      <c r="O61" s="4">
        <v>281</v>
      </c>
      <c r="P61" s="6">
        <f t="shared" si="19"/>
        <v>0.31796116504854366</v>
      </c>
      <c r="Q61" s="4" t="s">
        <v>259</v>
      </c>
      <c r="R61" s="4"/>
      <c r="S61" s="4"/>
      <c r="T61" s="4"/>
      <c r="U61" s="4"/>
      <c r="V61" s="4"/>
      <c r="W61" s="4"/>
      <c r="X61" s="4"/>
      <c r="Y61" s="4"/>
      <c r="Z61" s="4">
        <v>0</v>
      </c>
      <c r="AA61" s="4">
        <f t="shared" si="20"/>
        <v>0</v>
      </c>
      <c r="AB61" s="4">
        <v>310</v>
      </c>
      <c r="AC61" s="4">
        <f t="shared" si="21"/>
        <v>310</v>
      </c>
      <c r="AD61" s="4"/>
      <c r="AE61" s="21">
        <f t="shared" si="22"/>
        <v>455</v>
      </c>
      <c r="AF61" s="6">
        <f t="shared" si="23"/>
        <v>0.31868131868131866</v>
      </c>
      <c r="AG61" s="33">
        <v>1.25</v>
      </c>
      <c r="AH61" s="4">
        <f t="shared" si="24"/>
        <v>400</v>
      </c>
      <c r="AI61" s="33">
        <f t="shared" si="25"/>
        <v>441.28113879003558</v>
      </c>
      <c r="AJ61" s="6">
        <f t="shared" si="26"/>
        <v>0.29749999999999999</v>
      </c>
      <c r="AK61" s="7">
        <v>480</v>
      </c>
      <c r="AL61" s="6">
        <f t="shared" si="27"/>
        <v>0.35416666666666663</v>
      </c>
      <c r="AM61" s="4">
        <f t="shared" si="28"/>
        <v>170</v>
      </c>
      <c r="AN61" s="28"/>
      <c r="AO61" s="6"/>
      <c r="AP61" s="6"/>
      <c r="AQ61" s="6" t="str">
        <f t="shared" si="29"/>
        <v>-</v>
      </c>
      <c r="AR61" s="6">
        <f t="shared" si="30"/>
        <v>1.1650485436893203</v>
      </c>
      <c r="AS61" s="6">
        <f t="shared" si="31"/>
        <v>1.103202846975089</v>
      </c>
      <c r="AT61" s="4"/>
      <c r="AU61" s="4"/>
      <c r="AV61" s="4"/>
      <c r="AW61" s="4"/>
      <c r="AX61" s="4"/>
      <c r="AY61" s="4"/>
      <c r="AZ61" s="4"/>
      <c r="BA61" s="4"/>
      <c r="BB61" s="4"/>
      <c r="BC61" s="4">
        <v>0</v>
      </c>
      <c r="BD61" s="4" t="s">
        <v>442</v>
      </c>
      <c r="BE61" s="4"/>
      <c r="BF61" s="4"/>
      <c r="BG61" s="4" t="s">
        <v>384</v>
      </c>
      <c r="BH61" s="4">
        <v>400</v>
      </c>
      <c r="BI61" s="4">
        <v>400</v>
      </c>
      <c r="BJ61" s="4">
        <f t="shared" si="32"/>
        <v>400</v>
      </c>
      <c r="BK61" s="19">
        <v>4</v>
      </c>
      <c r="BL61" s="19">
        <v>8</v>
      </c>
      <c r="BM61" s="16">
        <v>19251010</v>
      </c>
      <c r="BN61" t="s">
        <v>258</v>
      </c>
      <c r="BO61" t="s">
        <v>258</v>
      </c>
      <c r="BP61" t="str">
        <f t="shared" si="33"/>
        <v>-</v>
      </c>
      <c r="BQ61">
        <v>586</v>
      </c>
      <c r="BR61">
        <v>586</v>
      </c>
      <c r="BS61">
        <f t="shared" si="34"/>
        <v>646.47686832740214</v>
      </c>
      <c r="BT61" s="4" t="s">
        <v>327</v>
      </c>
    </row>
    <row r="62" spans="1:72" x14ac:dyDescent="0.4">
      <c r="A62" s="3">
        <v>3</v>
      </c>
      <c r="B62" s="3">
        <v>3</v>
      </c>
      <c r="C62" s="4">
        <v>932124</v>
      </c>
      <c r="D62" s="4" t="str">
        <f t="shared" si="18"/>
        <v>932124</v>
      </c>
      <c r="E62" s="4">
        <v>932124</v>
      </c>
      <c r="F62" s="4" t="str">
        <f t="shared" si="17"/>
        <v>9321245</v>
      </c>
      <c r="G62" s="4" t="s">
        <v>151</v>
      </c>
      <c r="H62" s="5">
        <v>4903320066502</v>
      </c>
      <c r="I62" s="5">
        <v>5</v>
      </c>
      <c r="J62" s="5"/>
      <c r="K62" s="5">
        <v>1</v>
      </c>
      <c r="L62" s="5">
        <v>1</v>
      </c>
      <c r="M62" s="4">
        <v>0</v>
      </c>
      <c r="N62" s="4">
        <v>453</v>
      </c>
      <c r="O62" s="4">
        <v>278</v>
      </c>
      <c r="P62" s="6">
        <f t="shared" si="19"/>
        <v>0.38631346578366443</v>
      </c>
      <c r="Q62" s="4" t="s">
        <v>259</v>
      </c>
      <c r="R62" s="4"/>
      <c r="S62" s="4"/>
      <c r="T62" s="4"/>
      <c r="U62" s="4"/>
      <c r="V62" s="4"/>
      <c r="W62" s="4"/>
      <c r="X62" s="4"/>
      <c r="Y62" s="4"/>
      <c r="Z62" s="4">
        <v>0</v>
      </c>
      <c r="AA62" s="4">
        <f t="shared" si="20"/>
        <v>0</v>
      </c>
      <c r="AB62" s="4">
        <v>314</v>
      </c>
      <c r="AC62" s="4">
        <f t="shared" si="21"/>
        <v>314</v>
      </c>
      <c r="AD62" s="4"/>
      <c r="AE62" s="21">
        <f t="shared" si="22"/>
        <v>512</v>
      </c>
      <c r="AF62" s="6">
        <f t="shared" si="23"/>
        <v>0.38671875</v>
      </c>
      <c r="AG62" s="33">
        <v>0.5</v>
      </c>
      <c r="AH62" s="4">
        <f t="shared" si="24"/>
        <v>425</v>
      </c>
      <c r="AI62" s="33">
        <f t="shared" si="25"/>
        <v>480.03597122302159</v>
      </c>
      <c r="AJ62" s="6">
        <f t="shared" si="26"/>
        <v>0.34588235294117653</v>
      </c>
      <c r="AK62" s="7">
        <v>480</v>
      </c>
      <c r="AL62" s="6">
        <f t="shared" si="27"/>
        <v>0.34583333333333333</v>
      </c>
      <c r="AM62" s="4">
        <f t="shared" si="28"/>
        <v>166</v>
      </c>
      <c r="AN62" s="28"/>
      <c r="AO62" s="6"/>
      <c r="AP62" s="6"/>
      <c r="AQ62" s="6" t="str">
        <f t="shared" si="29"/>
        <v>-</v>
      </c>
      <c r="AR62" s="6">
        <f t="shared" si="30"/>
        <v>1.0596026490066226</v>
      </c>
      <c r="AS62" s="6">
        <f t="shared" si="31"/>
        <v>1.1294964028776979</v>
      </c>
      <c r="AT62" s="4"/>
      <c r="AU62" s="4"/>
      <c r="AV62" s="4"/>
      <c r="AW62" s="4"/>
      <c r="AX62" s="4"/>
      <c r="AY62" s="4"/>
      <c r="AZ62" s="4"/>
      <c r="BA62" s="4"/>
      <c r="BB62" s="4"/>
      <c r="BC62" s="4">
        <v>0</v>
      </c>
      <c r="BD62" s="4" t="s">
        <v>370</v>
      </c>
      <c r="BE62" s="4"/>
      <c r="BF62" s="4"/>
      <c r="BG62" s="4" t="s">
        <v>369</v>
      </c>
      <c r="BH62" s="4">
        <v>425</v>
      </c>
      <c r="BI62" s="4">
        <v>425</v>
      </c>
      <c r="BJ62" s="4">
        <f t="shared" si="32"/>
        <v>425</v>
      </c>
      <c r="BK62" s="19">
        <v>4</v>
      </c>
      <c r="BL62" s="19">
        <v>1</v>
      </c>
      <c r="BM62" s="16">
        <v>19251010</v>
      </c>
      <c r="BN62" t="s">
        <v>258</v>
      </c>
      <c r="BO62">
        <v>453</v>
      </c>
      <c r="BP62">
        <f t="shared" si="33"/>
        <v>511.66187050359719</v>
      </c>
      <c r="BQ62">
        <v>500</v>
      </c>
      <c r="BR62">
        <v>500</v>
      </c>
      <c r="BS62">
        <f t="shared" si="34"/>
        <v>564.74820143884892</v>
      </c>
      <c r="BT62" s="4" t="s">
        <v>264</v>
      </c>
    </row>
    <row r="63" spans="1:72" x14ac:dyDescent="0.4">
      <c r="A63" s="3">
        <v>6</v>
      </c>
      <c r="B63" s="3">
        <v>6</v>
      </c>
      <c r="C63" s="4">
        <v>932143</v>
      </c>
      <c r="D63" s="4" t="str">
        <f t="shared" si="18"/>
        <v>932143</v>
      </c>
      <c r="E63" s="4">
        <v>932143</v>
      </c>
      <c r="F63" s="4" t="str">
        <f t="shared" si="17"/>
        <v>9321435</v>
      </c>
      <c r="G63" s="4" t="s">
        <v>154</v>
      </c>
      <c r="H63" s="5">
        <v>4903320079304</v>
      </c>
      <c r="I63" s="5">
        <v>5</v>
      </c>
      <c r="J63" s="5"/>
      <c r="K63" s="5">
        <v>1</v>
      </c>
      <c r="L63" s="5">
        <v>1</v>
      </c>
      <c r="M63" s="4">
        <v>0</v>
      </c>
      <c r="N63" s="4">
        <v>453</v>
      </c>
      <c r="O63" s="4">
        <v>278</v>
      </c>
      <c r="P63" s="6">
        <f t="shared" si="19"/>
        <v>0.38631346578366443</v>
      </c>
      <c r="Q63" s="4" t="s">
        <v>259</v>
      </c>
      <c r="R63" s="4"/>
      <c r="S63" s="4"/>
      <c r="T63" s="4"/>
      <c r="U63" s="4"/>
      <c r="V63" s="4"/>
      <c r="W63" s="4"/>
      <c r="X63" s="4"/>
      <c r="Y63" s="4"/>
      <c r="Z63" s="4">
        <v>0</v>
      </c>
      <c r="AA63" s="4">
        <f t="shared" si="20"/>
        <v>0</v>
      </c>
      <c r="AB63" s="4">
        <v>314</v>
      </c>
      <c r="AC63" s="4">
        <f t="shared" si="21"/>
        <v>314</v>
      </c>
      <c r="AD63" s="4"/>
      <c r="AE63" s="21">
        <f t="shared" si="22"/>
        <v>512</v>
      </c>
      <c r="AF63" s="6">
        <f t="shared" si="23"/>
        <v>0.38671875</v>
      </c>
      <c r="AG63" s="33">
        <v>3.75</v>
      </c>
      <c r="AH63" s="4" t="str">
        <f t="shared" si="24"/>
        <v>-</v>
      </c>
      <c r="AI63" s="33" t="str">
        <f t="shared" si="25"/>
        <v>-</v>
      </c>
      <c r="AJ63" s="6" t="str">
        <f t="shared" si="26"/>
        <v>-</v>
      </c>
      <c r="AK63" s="7">
        <v>480</v>
      </c>
      <c r="AL63" s="6">
        <f t="shared" si="27"/>
        <v>0.34583333333333333</v>
      </c>
      <c r="AM63" s="4">
        <f t="shared" si="28"/>
        <v>166</v>
      </c>
      <c r="AN63" s="28"/>
      <c r="AO63" s="6"/>
      <c r="AP63" s="6"/>
      <c r="AQ63" s="6" t="str">
        <f t="shared" si="29"/>
        <v>-</v>
      </c>
      <c r="AR63" s="6">
        <f t="shared" si="30"/>
        <v>1.0596026490066226</v>
      </c>
      <c r="AS63" s="6">
        <f t="shared" si="31"/>
        <v>1.1294964028776979</v>
      </c>
      <c r="AT63" s="4"/>
      <c r="AU63" s="4"/>
      <c r="AV63" s="4"/>
      <c r="AW63" s="4"/>
      <c r="AX63" s="4"/>
      <c r="AY63" s="4"/>
      <c r="AZ63" s="4"/>
      <c r="BA63" s="4"/>
      <c r="BB63" s="4"/>
      <c r="BC63" s="4">
        <v>0</v>
      </c>
      <c r="BD63" s="4" t="s">
        <v>258</v>
      </c>
      <c r="BE63" s="4"/>
      <c r="BF63" s="4"/>
      <c r="BG63" s="4" t="s">
        <v>258</v>
      </c>
      <c r="BH63" s="4" t="s">
        <v>258</v>
      </c>
      <c r="BI63" s="4" t="s">
        <v>258</v>
      </c>
      <c r="BJ63" s="4" t="str">
        <f t="shared" si="32"/>
        <v>-</v>
      </c>
      <c r="BK63" s="19">
        <v>4</v>
      </c>
      <c r="BL63" s="19">
        <v>1</v>
      </c>
      <c r="BM63" s="16">
        <v>19251010</v>
      </c>
      <c r="BN63" t="s">
        <v>258</v>
      </c>
      <c r="BO63" t="s">
        <v>258</v>
      </c>
      <c r="BP63" t="str">
        <f t="shared" si="33"/>
        <v>-</v>
      </c>
      <c r="BQ63">
        <v>500</v>
      </c>
      <c r="BR63">
        <v>500</v>
      </c>
      <c r="BS63">
        <f t="shared" si="34"/>
        <v>564.74820143884892</v>
      </c>
      <c r="BT63" s="4" t="s">
        <v>258</v>
      </c>
    </row>
    <row r="64" spans="1:72" x14ac:dyDescent="0.4">
      <c r="A64" s="3">
        <v>49</v>
      </c>
      <c r="B64" s="3">
        <v>49</v>
      </c>
      <c r="C64" s="4" t="s">
        <v>110</v>
      </c>
      <c r="D64" s="4" t="str">
        <f t="shared" si="18"/>
        <v>J323SF</v>
      </c>
      <c r="E64" s="4" t="s">
        <v>110</v>
      </c>
      <c r="F64" s="4" t="str">
        <f t="shared" si="17"/>
        <v>J323SF5</v>
      </c>
      <c r="G64" s="4" t="s">
        <v>197</v>
      </c>
      <c r="H64" s="5">
        <v>4903320162730</v>
      </c>
      <c r="I64" s="5">
        <v>5</v>
      </c>
      <c r="J64" s="5"/>
      <c r="K64" s="5">
        <v>1</v>
      </c>
      <c r="L64" s="5">
        <v>1</v>
      </c>
      <c r="M64" s="4">
        <v>0</v>
      </c>
      <c r="N64" s="4">
        <v>640</v>
      </c>
      <c r="O64" s="4">
        <v>366</v>
      </c>
      <c r="P64" s="6">
        <f t="shared" si="19"/>
        <v>0.42812499999999998</v>
      </c>
      <c r="Q64" s="4" t="s">
        <v>259</v>
      </c>
      <c r="R64" s="4"/>
      <c r="S64" s="4"/>
      <c r="T64" s="4"/>
      <c r="U64" s="4"/>
      <c r="V64" s="4"/>
      <c r="W64" s="4"/>
      <c r="X64" s="4"/>
      <c r="Y64" s="4"/>
      <c r="Z64" s="4">
        <v>0</v>
      </c>
      <c r="AA64" s="4">
        <f t="shared" si="20"/>
        <v>0</v>
      </c>
      <c r="AB64" s="4">
        <v>403</v>
      </c>
      <c r="AC64" s="4">
        <f t="shared" si="21"/>
        <v>403</v>
      </c>
      <c r="AD64" s="4"/>
      <c r="AE64" s="21">
        <f t="shared" si="22"/>
        <v>705</v>
      </c>
      <c r="AF64" s="6">
        <f t="shared" si="23"/>
        <v>0.42836879432624109</v>
      </c>
      <c r="AG64" s="33">
        <v>6.25</v>
      </c>
      <c r="AH64" s="4">
        <f t="shared" si="24"/>
        <v>636</v>
      </c>
      <c r="AI64" s="33">
        <f t="shared" si="25"/>
        <v>700.29508196721315</v>
      </c>
      <c r="AJ64" s="6">
        <f t="shared" si="26"/>
        <v>0.42452830188679247</v>
      </c>
      <c r="AK64" s="7">
        <v>698</v>
      </c>
      <c r="AL64" s="6">
        <f t="shared" si="27"/>
        <v>0.42263610315186251</v>
      </c>
      <c r="AM64" s="4">
        <f t="shared" si="28"/>
        <v>295</v>
      </c>
      <c r="AN64" s="28"/>
      <c r="AO64" s="6"/>
      <c r="AP64" s="6"/>
      <c r="AQ64" s="6" t="str">
        <f t="shared" si="29"/>
        <v>-</v>
      </c>
      <c r="AR64" s="6">
        <f t="shared" si="30"/>
        <v>1.090625</v>
      </c>
      <c r="AS64" s="6">
        <f t="shared" si="31"/>
        <v>1.1010928961748634</v>
      </c>
      <c r="AT64" s="4"/>
      <c r="AU64" s="4"/>
      <c r="AV64" s="4"/>
      <c r="AW64" s="4"/>
      <c r="AX64" s="4"/>
      <c r="AY64" s="4"/>
      <c r="AZ64" s="4"/>
      <c r="BA64" s="4"/>
      <c r="BB64" s="4"/>
      <c r="BC64" s="4">
        <v>0</v>
      </c>
      <c r="BD64" s="4" t="s">
        <v>424</v>
      </c>
      <c r="BE64" s="4"/>
      <c r="BF64" s="4"/>
      <c r="BG64" s="4" t="s">
        <v>389</v>
      </c>
      <c r="BH64" s="4">
        <v>636</v>
      </c>
      <c r="BI64" s="4">
        <v>636</v>
      </c>
      <c r="BJ64" s="4">
        <f t="shared" si="32"/>
        <v>636</v>
      </c>
      <c r="BK64" s="19">
        <v>4</v>
      </c>
      <c r="BL64" s="19">
        <v>1</v>
      </c>
      <c r="BM64" s="16">
        <v>19251010</v>
      </c>
      <c r="BN64" t="s">
        <v>258</v>
      </c>
      <c r="BO64" t="s">
        <v>258</v>
      </c>
      <c r="BP64" t="str">
        <f t="shared" si="33"/>
        <v>-</v>
      </c>
      <c r="BQ64">
        <v>635</v>
      </c>
      <c r="BR64">
        <v>635</v>
      </c>
      <c r="BS64">
        <f t="shared" si="34"/>
        <v>699.19398907103823</v>
      </c>
      <c r="BT64" s="4" t="s">
        <v>309</v>
      </c>
    </row>
    <row r="65" spans="1:72" x14ac:dyDescent="0.4">
      <c r="A65" s="3">
        <v>50</v>
      </c>
      <c r="B65" s="3">
        <v>50</v>
      </c>
      <c r="C65" s="4" t="s">
        <v>111</v>
      </c>
      <c r="D65" s="4" t="str">
        <f t="shared" si="18"/>
        <v>J235SD</v>
      </c>
      <c r="E65" s="4" t="s">
        <v>111</v>
      </c>
      <c r="F65" s="4" t="str">
        <f t="shared" si="17"/>
        <v>J235SD5</v>
      </c>
      <c r="G65" s="4" t="s">
        <v>198</v>
      </c>
      <c r="H65" s="5">
        <v>4903320162747</v>
      </c>
      <c r="I65" s="5">
        <v>5</v>
      </c>
      <c r="J65" s="5"/>
      <c r="K65" s="5">
        <v>1</v>
      </c>
      <c r="L65" s="5">
        <v>1</v>
      </c>
      <c r="M65" s="4">
        <v>0</v>
      </c>
      <c r="N65" s="4">
        <v>906</v>
      </c>
      <c r="O65" s="4">
        <v>561</v>
      </c>
      <c r="P65" s="6">
        <f t="shared" si="19"/>
        <v>0.38079470198675491</v>
      </c>
      <c r="Q65" s="4" t="s">
        <v>259</v>
      </c>
      <c r="R65" s="4"/>
      <c r="S65" s="4"/>
      <c r="T65" s="4"/>
      <c r="U65" s="4"/>
      <c r="V65" s="4"/>
      <c r="W65" s="4"/>
      <c r="X65" s="4"/>
      <c r="Y65" s="4"/>
      <c r="Z65" s="4">
        <v>0</v>
      </c>
      <c r="AA65" s="4">
        <f t="shared" si="20"/>
        <v>0</v>
      </c>
      <c r="AB65" s="4">
        <v>618</v>
      </c>
      <c r="AC65" s="4">
        <f t="shared" si="21"/>
        <v>618</v>
      </c>
      <c r="AD65" s="4"/>
      <c r="AE65" s="21">
        <f t="shared" si="22"/>
        <v>998</v>
      </c>
      <c r="AF65" s="6">
        <f t="shared" si="23"/>
        <v>0.38076152304609223</v>
      </c>
      <c r="AG65" s="33">
        <v>0.25</v>
      </c>
      <c r="AH65" s="4">
        <f t="shared" si="24"/>
        <v>899</v>
      </c>
      <c r="AI65" s="33">
        <f t="shared" si="25"/>
        <v>990.34224598930473</v>
      </c>
      <c r="AJ65" s="6">
        <f t="shared" si="26"/>
        <v>0.37597330367074522</v>
      </c>
      <c r="AK65" s="7">
        <v>990</v>
      </c>
      <c r="AL65" s="6">
        <f t="shared" si="27"/>
        <v>0.37575757575757573</v>
      </c>
      <c r="AM65" s="4">
        <f t="shared" si="28"/>
        <v>372</v>
      </c>
      <c r="AN65" s="28"/>
      <c r="AO65" s="6"/>
      <c r="AP65" s="6"/>
      <c r="AQ65" s="6" t="str">
        <f t="shared" si="29"/>
        <v>-</v>
      </c>
      <c r="AR65" s="6">
        <f t="shared" si="30"/>
        <v>1.0927152317880795</v>
      </c>
      <c r="AS65" s="6">
        <f t="shared" si="31"/>
        <v>1.1016042780748663</v>
      </c>
      <c r="AT65" s="4"/>
      <c r="AU65" s="4"/>
      <c r="AV65" s="4"/>
      <c r="AW65" s="4"/>
      <c r="AX65" s="4"/>
      <c r="AY65" s="4"/>
      <c r="AZ65" s="4"/>
      <c r="BA65" s="4"/>
      <c r="BB65" s="4"/>
      <c r="BC65" s="4">
        <v>0</v>
      </c>
      <c r="BD65" s="4" t="s">
        <v>425</v>
      </c>
      <c r="BE65" s="4"/>
      <c r="BF65" s="4"/>
      <c r="BG65" s="4" t="s">
        <v>369</v>
      </c>
      <c r="BH65" s="4">
        <v>899</v>
      </c>
      <c r="BI65" s="4">
        <v>899</v>
      </c>
      <c r="BJ65" s="4">
        <f t="shared" si="32"/>
        <v>899</v>
      </c>
      <c r="BK65" s="19">
        <v>4</v>
      </c>
      <c r="BL65" s="19">
        <v>8</v>
      </c>
      <c r="BM65" s="16">
        <v>19251010</v>
      </c>
      <c r="BN65" t="s">
        <v>258</v>
      </c>
      <c r="BO65" t="s">
        <v>258</v>
      </c>
      <c r="BP65" t="str">
        <f t="shared" si="33"/>
        <v>-</v>
      </c>
      <c r="BQ65">
        <v>1506</v>
      </c>
      <c r="BR65">
        <v>1506</v>
      </c>
      <c r="BS65">
        <f t="shared" si="34"/>
        <v>1659.0160427807486</v>
      </c>
      <c r="BT65" s="4" t="s">
        <v>310</v>
      </c>
    </row>
    <row r="66" spans="1:72" x14ac:dyDescent="0.4">
      <c r="A66" s="3">
        <v>15</v>
      </c>
      <c r="B66" s="3">
        <v>15</v>
      </c>
      <c r="C66" s="4" t="s">
        <v>76</v>
      </c>
      <c r="D66" s="4" t="str">
        <f t="shared" si="18"/>
        <v>J321SF</v>
      </c>
      <c r="E66" s="4" t="s">
        <v>76</v>
      </c>
      <c r="F66" s="4" t="str">
        <f t="shared" si="17"/>
        <v>J321SF5</v>
      </c>
      <c r="G66" s="4" t="s">
        <v>163</v>
      </c>
      <c r="H66" s="5">
        <v>4903320162303</v>
      </c>
      <c r="I66" s="5">
        <v>5</v>
      </c>
      <c r="J66" s="5"/>
      <c r="K66" s="5">
        <v>1</v>
      </c>
      <c r="L66" s="5">
        <v>1</v>
      </c>
      <c r="M66" s="4">
        <v>0</v>
      </c>
      <c r="N66" s="4">
        <v>232</v>
      </c>
      <c r="O66" s="4">
        <v>171</v>
      </c>
      <c r="P66" s="6">
        <f t="shared" si="19"/>
        <v>0.26293103448275867</v>
      </c>
      <c r="Q66" s="4" t="s">
        <v>259</v>
      </c>
      <c r="R66" s="4"/>
      <c r="S66" s="4"/>
      <c r="T66" s="4"/>
      <c r="U66" s="4"/>
      <c r="V66" s="4"/>
      <c r="W66" s="4"/>
      <c r="X66" s="4"/>
      <c r="Y66" s="4"/>
      <c r="Z66" s="4">
        <v>0</v>
      </c>
      <c r="AA66" s="4">
        <f t="shared" si="20"/>
        <v>0</v>
      </c>
      <c r="AB66" s="4">
        <v>189</v>
      </c>
      <c r="AC66" s="4">
        <f t="shared" si="21"/>
        <v>189</v>
      </c>
      <c r="AD66" s="4"/>
      <c r="AE66" s="21">
        <f t="shared" si="22"/>
        <v>256</v>
      </c>
      <c r="AF66" s="6">
        <f t="shared" si="23"/>
        <v>0.26171875</v>
      </c>
      <c r="AG66" s="33">
        <v>0.25</v>
      </c>
      <c r="AH66" s="4">
        <f t="shared" si="24"/>
        <v>317</v>
      </c>
      <c r="AI66" s="33">
        <f t="shared" si="25"/>
        <v>350.36842105263162</v>
      </c>
      <c r="AJ66" s="6">
        <f t="shared" si="26"/>
        <v>0.4605678233438486</v>
      </c>
      <c r="AK66" s="7">
        <v>300</v>
      </c>
      <c r="AL66" s="6">
        <f t="shared" si="27"/>
        <v>0.37</v>
      </c>
      <c r="AM66" s="4">
        <f t="shared" si="28"/>
        <v>111</v>
      </c>
      <c r="AN66" s="28"/>
      <c r="AO66" s="6"/>
      <c r="AP66" s="6"/>
      <c r="AQ66" s="6" t="str">
        <f t="shared" si="29"/>
        <v>-</v>
      </c>
      <c r="AR66" s="6">
        <f t="shared" si="30"/>
        <v>1.2931034482758621</v>
      </c>
      <c r="AS66" s="6">
        <f t="shared" si="31"/>
        <v>1.1052631578947369</v>
      </c>
      <c r="AT66" s="4"/>
      <c r="AU66" s="4"/>
      <c r="AV66" s="4"/>
      <c r="AW66" s="4"/>
      <c r="AX66" s="4"/>
      <c r="AY66" s="4"/>
      <c r="AZ66" s="4"/>
      <c r="BA66" s="4"/>
      <c r="BB66" s="4"/>
      <c r="BC66" s="4">
        <v>0</v>
      </c>
      <c r="BD66" s="4" t="s">
        <v>390</v>
      </c>
      <c r="BE66" s="4"/>
      <c r="BF66" s="4"/>
      <c r="BG66" s="4" t="s">
        <v>382</v>
      </c>
      <c r="BH66" s="4">
        <v>317</v>
      </c>
      <c r="BI66" s="4">
        <v>317</v>
      </c>
      <c r="BJ66" s="4">
        <f t="shared" si="32"/>
        <v>317</v>
      </c>
      <c r="BK66" s="19">
        <v>4</v>
      </c>
      <c r="BL66" s="19">
        <v>8</v>
      </c>
      <c r="BM66" s="16">
        <v>19251505</v>
      </c>
      <c r="BN66" t="s">
        <v>258</v>
      </c>
      <c r="BO66" t="s">
        <v>258</v>
      </c>
      <c r="BP66" t="str">
        <f t="shared" si="33"/>
        <v>-</v>
      </c>
      <c r="BQ66">
        <v>480</v>
      </c>
      <c r="BR66">
        <v>247</v>
      </c>
      <c r="BS66">
        <f t="shared" si="34"/>
        <v>273</v>
      </c>
      <c r="BT66" s="4" t="s">
        <v>275</v>
      </c>
    </row>
    <row r="67" spans="1:72" x14ac:dyDescent="0.4">
      <c r="A67" s="3">
        <v>20</v>
      </c>
      <c r="B67" s="3">
        <v>20</v>
      </c>
      <c r="C67" s="4" t="s">
        <v>81</v>
      </c>
      <c r="D67" s="4" t="str">
        <f t="shared" si="18"/>
        <v>J252SD</v>
      </c>
      <c r="E67" s="4" t="s">
        <v>81</v>
      </c>
      <c r="F67" s="4" t="str">
        <f t="shared" si="17"/>
        <v>J252SD5</v>
      </c>
      <c r="G67" s="4" t="s">
        <v>168</v>
      </c>
      <c r="H67" s="5">
        <v>4903320162365</v>
      </c>
      <c r="I67" s="5">
        <v>5</v>
      </c>
      <c r="J67" s="5"/>
      <c r="K67" s="5">
        <v>1</v>
      </c>
      <c r="L67" s="5">
        <v>1</v>
      </c>
      <c r="M67" s="4">
        <v>0</v>
      </c>
      <c r="N67" s="4">
        <v>317</v>
      </c>
      <c r="O67" s="4">
        <v>176</v>
      </c>
      <c r="P67" s="6">
        <f t="shared" si="19"/>
        <v>0.44479495268138802</v>
      </c>
      <c r="Q67" s="4" t="s">
        <v>259</v>
      </c>
      <c r="R67" s="4"/>
      <c r="S67" s="4"/>
      <c r="T67" s="4"/>
      <c r="U67" s="4"/>
      <c r="V67" s="4"/>
      <c r="W67" s="4"/>
      <c r="X67" s="4"/>
      <c r="Y67" s="4"/>
      <c r="Z67" s="4">
        <v>0</v>
      </c>
      <c r="AA67" s="4">
        <f t="shared" si="20"/>
        <v>0</v>
      </c>
      <c r="AB67" s="4">
        <v>195</v>
      </c>
      <c r="AC67" s="4">
        <f t="shared" si="21"/>
        <v>195</v>
      </c>
      <c r="AD67" s="4"/>
      <c r="AE67" s="21">
        <f t="shared" si="22"/>
        <v>351</v>
      </c>
      <c r="AF67" s="6">
        <f t="shared" si="23"/>
        <v>0.44444444444444442</v>
      </c>
      <c r="AG67" s="33">
        <v>4</v>
      </c>
      <c r="AH67" s="4">
        <f t="shared" si="24"/>
        <v>317</v>
      </c>
      <c r="AI67" s="33">
        <f t="shared" si="25"/>
        <v>351.22159090909088</v>
      </c>
      <c r="AJ67" s="6">
        <f t="shared" si="26"/>
        <v>0.44479495268138791</v>
      </c>
      <c r="AK67" s="7">
        <v>340</v>
      </c>
      <c r="AL67" s="6">
        <f t="shared" si="27"/>
        <v>0.42647058823529416</v>
      </c>
      <c r="AM67" s="4">
        <f t="shared" si="28"/>
        <v>145</v>
      </c>
      <c r="AN67" s="28"/>
      <c r="AO67" s="6"/>
      <c r="AP67" s="6"/>
      <c r="AQ67" s="6" t="str">
        <f t="shared" si="29"/>
        <v>-</v>
      </c>
      <c r="AR67" s="6">
        <f t="shared" si="30"/>
        <v>1.0725552050473186</v>
      </c>
      <c r="AS67" s="6">
        <f t="shared" si="31"/>
        <v>1.1079545454545454</v>
      </c>
      <c r="AT67" s="4"/>
      <c r="AU67" s="4"/>
      <c r="AV67" s="4"/>
      <c r="AW67" s="4"/>
      <c r="AX67" s="4"/>
      <c r="AY67" s="4"/>
      <c r="AZ67" s="4"/>
      <c r="BA67" s="4"/>
      <c r="BB67" s="4"/>
      <c r="BC67" s="4">
        <v>0</v>
      </c>
      <c r="BD67" s="4" t="s">
        <v>395</v>
      </c>
      <c r="BE67" s="4"/>
      <c r="BF67" s="4"/>
      <c r="BG67" s="4" t="s">
        <v>380</v>
      </c>
      <c r="BH67" s="4">
        <v>317</v>
      </c>
      <c r="BI67" s="4">
        <v>317</v>
      </c>
      <c r="BJ67" s="4">
        <f t="shared" si="32"/>
        <v>317</v>
      </c>
      <c r="BK67" s="19">
        <v>4</v>
      </c>
      <c r="BL67" s="19">
        <v>1</v>
      </c>
      <c r="BM67" s="16">
        <v>19251505</v>
      </c>
      <c r="BN67" t="s">
        <v>258</v>
      </c>
      <c r="BO67" t="s">
        <v>258</v>
      </c>
      <c r="BP67" t="str">
        <f t="shared" si="33"/>
        <v>-</v>
      </c>
      <c r="BQ67">
        <v>493</v>
      </c>
      <c r="BR67">
        <v>493</v>
      </c>
      <c r="BS67">
        <f t="shared" si="34"/>
        <v>546.22159090909088</v>
      </c>
      <c r="BT67" s="4" t="s">
        <v>280</v>
      </c>
    </row>
    <row r="68" spans="1:72" x14ac:dyDescent="0.4">
      <c r="A68" s="3">
        <v>17</v>
      </c>
      <c r="B68" s="3">
        <v>17</v>
      </c>
      <c r="C68" s="4" t="s">
        <v>78</v>
      </c>
      <c r="D68" s="4" t="str">
        <f t="shared" ref="D68:D99" si="35">TEXT(C68,"000000")</f>
        <v>J251SD</v>
      </c>
      <c r="E68" s="4" t="s">
        <v>78</v>
      </c>
      <c r="F68" s="4" t="str">
        <f t="shared" si="17"/>
        <v>J251SD5</v>
      </c>
      <c r="G68" s="4" t="s">
        <v>165</v>
      </c>
      <c r="H68" s="5">
        <v>4903320162334</v>
      </c>
      <c r="I68" s="5">
        <v>5</v>
      </c>
      <c r="J68" s="5"/>
      <c r="K68" s="5">
        <v>1</v>
      </c>
      <c r="L68" s="5">
        <v>1</v>
      </c>
      <c r="M68" s="4">
        <v>0</v>
      </c>
      <c r="N68" s="4">
        <v>317</v>
      </c>
      <c r="O68" s="4">
        <v>197</v>
      </c>
      <c r="P68" s="6">
        <f t="shared" ref="P68:P99" si="36">IFERROR(1-O68/N68,"-")</f>
        <v>0.37854889589905361</v>
      </c>
      <c r="Q68" s="4" t="s">
        <v>259</v>
      </c>
      <c r="R68" s="4"/>
      <c r="S68" s="4"/>
      <c r="T68" s="4"/>
      <c r="U68" s="4"/>
      <c r="V68" s="4"/>
      <c r="W68" s="4"/>
      <c r="X68" s="4"/>
      <c r="Y68" s="4"/>
      <c r="Z68" s="4">
        <v>0</v>
      </c>
      <c r="AA68" s="4">
        <f t="shared" ref="AA68:AA99" si="37">IF(AD68="",Z68,Z68*AD68)</f>
        <v>0</v>
      </c>
      <c r="AB68" s="4">
        <v>218</v>
      </c>
      <c r="AC68" s="4">
        <f t="shared" ref="AC68:AC99" si="38">IF(AD68="",AB68,AB68*AD68)</f>
        <v>218</v>
      </c>
      <c r="AD68" s="4"/>
      <c r="AE68" s="21">
        <f t="shared" ref="AE68:AE99" si="39">ROUND(N68*AS68,0)</f>
        <v>351</v>
      </c>
      <c r="AF68" s="6">
        <f t="shared" ref="AF68:AF99" si="40">IFERROR(1-AC68/AE68,"-")</f>
        <v>0.37891737891737887</v>
      </c>
      <c r="AG68" s="33">
        <v>9.75</v>
      </c>
      <c r="AH68" s="4">
        <f t="shared" ref="AH68:AH99" si="41">BJ68</f>
        <v>317</v>
      </c>
      <c r="AI68" s="33">
        <f t="shared" ref="AI68:AI99" si="42">IFERROR(AH68*AS68,"-")</f>
        <v>350.79187817258884</v>
      </c>
      <c r="AJ68" s="6">
        <f t="shared" ref="AJ68:AJ99" si="43">IFERROR(1-AC68/AI68,"-")</f>
        <v>0.37854889589905361</v>
      </c>
      <c r="AK68" s="7">
        <v>350</v>
      </c>
      <c r="AL68" s="6">
        <f t="shared" ref="AL68:AL99" si="44">1-AC68/AK68</f>
        <v>0.37714285714285711</v>
      </c>
      <c r="AM68" s="4">
        <f t="shared" ref="AM68:AM99" si="45">AK68-AC68</f>
        <v>132</v>
      </c>
      <c r="AN68" s="28"/>
      <c r="AO68" s="6"/>
      <c r="AP68" s="6"/>
      <c r="AQ68" s="6" t="str">
        <f t="shared" ref="AQ68:AQ99" si="46">IFERROR(AA68/M68,"-")</f>
        <v>-</v>
      </c>
      <c r="AR68" s="6">
        <f t="shared" ref="AR68:AR99" si="47">IFERROR(AK68/N68,"-")</f>
        <v>1.1041009463722398</v>
      </c>
      <c r="AS68" s="6">
        <f t="shared" ref="AS68:AS99" si="48">IFERROR(AC68/O68,"-")</f>
        <v>1.1065989847715736</v>
      </c>
      <c r="AT68" s="4"/>
      <c r="AU68" s="4"/>
      <c r="AV68" s="4"/>
      <c r="AW68" s="4"/>
      <c r="AX68" s="4"/>
      <c r="AY68" s="4"/>
      <c r="AZ68" s="4"/>
      <c r="BA68" s="4"/>
      <c r="BB68" s="4"/>
      <c r="BC68" s="4">
        <v>0</v>
      </c>
      <c r="BD68" s="4" t="s">
        <v>392</v>
      </c>
      <c r="BE68" s="4"/>
      <c r="BF68" s="4"/>
      <c r="BG68" s="4" t="s">
        <v>380</v>
      </c>
      <c r="BH68" s="4">
        <v>317</v>
      </c>
      <c r="BI68" s="4">
        <v>317</v>
      </c>
      <c r="BJ68" s="4">
        <f t="shared" ref="BJ68:BJ99" si="49">IF(BE68="",BI68,BE68/BF68*BI68)</f>
        <v>317</v>
      </c>
      <c r="BK68" s="19">
        <v>4</v>
      </c>
      <c r="BL68" s="19">
        <v>1</v>
      </c>
      <c r="BM68" s="16">
        <v>19251505</v>
      </c>
      <c r="BN68" t="s">
        <v>258</v>
      </c>
      <c r="BO68" t="s">
        <v>258</v>
      </c>
      <c r="BP68" t="str">
        <f t="shared" ref="BP68:BP99" si="50">IFERROR(BO68*AS68,"-")</f>
        <v>-</v>
      </c>
      <c r="BQ68">
        <v>508</v>
      </c>
      <c r="BR68">
        <v>508</v>
      </c>
      <c r="BS68">
        <f t="shared" ref="BS68:BS99" si="51">IFERROR(BR68*AS68,"-")</f>
        <v>562.15228426395936</v>
      </c>
      <c r="BT68" s="4" t="s">
        <v>277</v>
      </c>
    </row>
    <row r="69" spans="1:72" x14ac:dyDescent="0.4">
      <c r="A69" s="3">
        <v>21</v>
      </c>
      <c r="B69" s="3">
        <v>21</v>
      </c>
      <c r="C69" s="4" t="s">
        <v>82</v>
      </c>
      <c r="D69" s="4" t="str">
        <f t="shared" si="35"/>
        <v>J253SD</v>
      </c>
      <c r="E69" s="4" t="s">
        <v>82</v>
      </c>
      <c r="F69" s="4" t="str">
        <f t="shared" ref="F69:F108" si="52">D69&amp;I69</f>
        <v>J253SD5</v>
      </c>
      <c r="G69" s="4" t="s">
        <v>169</v>
      </c>
      <c r="H69" s="5">
        <v>4903320162372</v>
      </c>
      <c r="I69" s="5">
        <v>5</v>
      </c>
      <c r="J69" s="5"/>
      <c r="K69" s="5">
        <v>1</v>
      </c>
      <c r="L69" s="5">
        <v>1</v>
      </c>
      <c r="M69" s="4">
        <v>0</v>
      </c>
      <c r="N69" s="4">
        <v>369</v>
      </c>
      <c r="O69" s="4">
        <v>232</v>
      </c>
      <c r="P69" s="6">
        <f t="shared" si="36"/>
        <v>0.37127371273712739</v>
      </c>
      <c r="Q69" s="4" t="s">
        <v>259</v>
      </c>
      <c r="R69" s="4"/>
      <c r="S69" s="4"/>
      <c r="T69" s="4"/>
      <c r="U69" s="4"/>
      <c r="V69" s="4"/>
      <c r="W69" s="4"/>
      <c r="X69" s="4"/>
      <c r="Y69" s="4"/>
      <c r="Z69" s="4">
        <v>0</v>
      </c>
      <c r="AA69" s="4">
        <f t="shared" si="37"/>
        <v>0</v>
      </c>
      <c r="AB69" s="4">
        <v>256</v>
      </c>
      <c r="AC69" s="4">
        <f t="shared" si="38"/>
        <v>256</v>
      </c>
      <c r="AD69" s="4"/>
      <c r="AE69" s="21">
        <f t="shared" si="39"/>
        <v>407</v>
      </c>
      <c r="AF69" s="6">
        <f t="shared" si="40"/>
        <v>0.37100737100737102</v>
      </c>
      <c r="AG69" s="33">
        <v>1.5</v>
      </c>
      <c r="AH69" s="4">
        <f t="shared" si="41"/>
        <v>362</v>
      </c>
      <c r="AI69" s="33">
        <f t="shared" si="42"/>
        <v>399.44827586206895</v>
      </c>
      <c r="AJ69" s="6">
        <f t="shared" si="43"/>
        <v>0.35911602209944748</v>
      </c>
      <c r="AK69" s="7">
        <v>398</v>
      </c>
      <c r="AL69" s="6">
        <f t="shared" si="44"/>
        <v>0.35678391959798994</v>
      </c>
      <c r="AM69" s="4">
        <f t="shared" si="45"/>
        <v>142</v>
      </c>
      <c r="AN69" s="28"/>
      <c r="AO69" s="6"/>
      <c r="AP69" s="6"/>
      <c r="AQ69" s="6" t="str">
        <f t="shared" si="46"/>
        <v>-</v>
      </c>
      <c r="AR69" s="6">
        <f t="shared" si="47"/>
        <v>1.0785907859078592</v>
      </c>
      <c r="AS69" s="6">
        <f t="shared" si="48"/>
        <v>1.103448275862069</v>
      </c>
      <c r="AT69" s="4"/>
      <c r="AU69" s="4"/>
      <c r="AV69" s="4"/>
      <c r="AW69" s="4"/>
      <c r="AX69" s="4"/>
      <c r="AY69" s="4"/>
      <c r="AZ69" s="4"/>
      <c r="BA69" s="4"/>
      <c r="BB69" s="4"/>
      <c r="BC69" s="4">
        <v>0</v>
      </c>
      <c r="BD69" s="4" t="s">
        <v>396</v>
      </c>
      <c r="BE69" s="4"/>
      <c r="BF69" s="4"/>
      <c r="BG69" s="4" t="s">
        <v>380</v>
      </c>
      <c r="BH69" s="4">
        <v>362</v>
      </c>
      <c r="BI69" s="4">
        <v>362</v>
      </c>
      <c r="BJ69" s="4">
        <f t="shared" si="49"/>
        <v>362</v>
      </c>
      <c r="BK69" s="19">
        <v>4</v>
      </c>
      <c r="BL69" s="19">
        <v>8</v>
      </c>
      <c r="BM69" s="16">
        <v>19251505</v>
      </c>
      <c r="BN69" t="s">
        <v>258</v>
      </c>
      <c r="BO69" t="s">
        <v>258</v>
      </c>
      <c r="BP69" t="str">
        <f t="shared" si="50"/>
        <v>-</v>
      </c>
      <c r="BQ69">
        <v>555</v>
      </c>
      <c r="BR69">
        <v>555</v>
      </c>
      <c r="BS69">
        <f t="shared" si="51"/>
        <v>612.41379310344826</v>
      </c>
      <c r="BT69" s="4" t="s">
        <v>281</v>
      </c>
    </row>
    <row r="70" spans="1:72" x14ac:dyDescent="0.4">
      <c r="A70" s="3">
        <v>18</v>
      </c>
      <c r="B70" s="3">
        <v>18</v>
      </c>
      <c r="C70" s="4" t="s">
        <v>79</v>
      </c>
      <c r="D70" s="4" t="str">
        <f t="shared" si="35"/>
        <v>J9022X</v>
      </c>
      <c r="E70" s="4" t="s">
        <v>79</v>
      </c>
      <c r="F70" s="4" t="str">
        <f t="shared" si="52"/>
        <v>J9022X5</v>
      </c>
      <c r="G70" s="4" t="s">
        <v>166</v>
      </c>
      <c r="H70" s="5">
        <v>4903320162341</v>
      </c>
      <c r="I70" s="5">
        <v>5</v>
      </c>
      <c r="J70" s="5"/>
      <c r="K70" s="5">
        <v>1</v>
      </c>
      <c r="L70" s="5">
        <v>1</v>
      </c>
      <c r="M70" s="4">
        <v>0</v>
      </c>
      <c r="N70" s="4">
        <v>464</v>
      </c>
      <c r="O70" s="4">
        <v>281</v>
      </c>
      <c r="P70" s="6">
        <f t="shared" si="36"/>
        <v>0.3943965517241379</v>
      </c>
      <c r="Q70" s="4" t="s">
        <v>259</v>
      </c>
      <c r="R70" s="4"/>
      <c r="S70" s="4"/>
      <c r="T70" s="4"/>
      <c r="U70" s="4"/>
      <c r="V70" s="4"/>
      <c r="W70" s="4"/>
      <c r="X70" s="4"/>
      <c r="Y70" s="4"/>
      <c r="Z70" s="4">
        <v>0</v>
      </c>
      <c r="AA70" s="4">
        <f t="shared" si="37"/>
        <v>0</v>
      </c>
      <c r="AB70" s="4">
        <v>310</v>
      </c>
      <c r="AC70" s="4">
        <f t="shared" si="38"/>
        <v>310</v>
      </c>
      <c r="AD70" s="4"/>
      <c r="AE70" s="21">
        <f t="shared" si="39"/>
        <v>512</v>
      </c>
      <c r="AF70" s="6">
        <f t="shared" si="40"/>
        <v>0.39453125</v>
      </c>
      <c r="AG70" s="33">
        <v>1.7500000000000002</v>
      </c>
      <c r="AH70" s="4">
        <f t="shared" si="41"/>
        <v>454</v>
      </c>
      <c r="AI70" s="33">
        <f t="shared" si="42"/>
        <v>500.85409252669041</v>
      </c>
      <c r="AJ70" s="6">
        <f t="shared" si="43"/>
        <v>0.38105726872246704</v>
      </c>
      <c r="AK70" s="7">
        <v>498</v>
      </c>
      <c r="AL70" s="6">
        <f t="shared" si="44"/>
        <v>0.3775100401606426</v>
      </c>
      <c r="AM70" s="4">
        <f t="shared" si="45"/>
        <v>188</v>
      </c>
      <c r="AN70" s="28"/>
      <c r="AO70" s="6"/>
      <c r="AP70" s="6"/>
      <c r="AQ70" s="6" t="str">
        <f t="shared" si="46"/>
        <v>-</v>
      </c>
      <c r="AR70" s="6">
        <f t="shared" si="47"/>
        <v>1.0732758620689655</v>
      </c>
      <c r="AS70" s="6">
        <f t="shared" si="48"/>
        <v>1.103202846975089</v>
      </c>
      <c r="AT70" s="4"/>
      <c r="AU70" s="4"/>
      <c r="AV70" s="4"/>
      <c r="AW70" s="4"/>
      <c r="AX70" s="4"/>
      <c r="AY70" s="4"/>
      <c r="AZ70" s="4"/>
      <c r="BA70" s="4"/>
      <c r="BB70" s="4"/>
      <c r="BC70" s="4">
        <v>0</v>
      </c>
      <c r="BD70" s="4" t="s">
        <v>393</v>
      </c>
      <c r="BE70" s="4"/>
      <c r="BF70" s="4"/>
      <c r="BG70" s="4" t="s">
        <v>380</v>
      </c>
      <c r="BH70" s="4">
        <v>454</v>
      </c>
      <c r="BI70" s="4">
        <v>454</v>
      </c>
      <c r="BJ70" s="4">
        <f t="shared" si="49"/>
        <v>454</v>
      </c>
      <c r="BK70" s="19">
        <v>4</v>
      </c>
      <c r="BL70" s="19">
        <v>1</v>
      </c>
      <c r="BM70" s="16">
        <v>19251505</v>
      </c>
      <c r="BN70" t="s">
        <v>258</v>
      </c>
      <c r="BO70" t="s">
        <v>258</v>
      </c>
      <c r="BP70" t="str">
        <f t="shared" si="50"/>
        <v>-</v>
      </c>
      <c r="BQ70">
        <v>453</v>
      </c>
      <c r="BR70">
        <v>453</v>
      </c>
      <c r="BS70">
        <f t="shared" si="51"/>
        <v>499.75088967971533</v>
      </c>
      <c r="BT70" s="4" t="s">
        <v>278</v>
      </c>
    </row>
    <row r="71" spans="1:72" x14ac:dyDescent="0.4">
      <c r="A71" s="3">
        <v>19</v>
      </c>
      <c r="B71" s="3">
        <v>19</v>
      </c>
      <c r="C71" s="4" t="s">
        <v>80</v>
      </c>
      <c r="D71" s="4" t="str">
        <f t="shared" si="35"/>
        <v>J9023X</v>
      </c>
      <c r="E71" s="4" t="s">
        <v>80</v>
      </c>
      <c r="F71" s="4" t="str">
        <f t="shared" si="52"/>
        <v>J9023X5</v>
      </c>
      <c r="G71" s="4" t="s">
        <v>167</v>
      </c>
      <c r="H71" s="5">
        <v>4903320162358</v>
      </c>
      <c r="I71" s="5">
        <v>5</v>
      </c>
      <c r="J71" s="5"/>
      <c r="K71" s="5">
        <v>1</v>
      </c>
      <c r="L71" s="5">
        <v>1</v>
      </c>
      <c r="M71" s="4">
        <v>0</v>
      </c>
      <c r="N71" s="4">
        <v>390</v>
      </c>
      <c r="O71" s="4">
        <v>281</v>
      </c>
      <c r="P71" s="6">
        <f t="shared" si="36"/>
        <v>0.27948717948717949</v>
      </c>
      <c r="Q71" s="4" t="s">
        <v>259</v>
      </c>
      <c r="R71" s="4"/>
      <c r="S71" s="4"/>
      <c r="T71" s="4"/>
      <c r="U71" s="4"/>
      <c r="V71" s="4"/>
      <c r="W71" s="4"/>
      <c r="X71" s="4"/>
      <c r="Y71" s="4"/>
      <c r="Z71" s="4">
        <v>0</v>
      </c>
      <c r="AA71" s="4">
        <f t="shared" si="37"/>
        <v>0</v>
      </c>
      <c r="AB71" s="4">
        <v>310</v>
      </c>
      <c r="AC71" s="4">
        <f t="shared" si="38"/>
        <v>310</v>
      </c>
      <c r="AD71" s="4"/>
      <c r="AE71" s="21">
        <f t="shared" si="39"/>
        <v>430</v>
      </c>
      <c r="AF71" s="6">
        <f t="shared" si="40"/>
        <v>0.27906976744186052</v>
      </c>
      <c r="AG71" s="33">
        <v>0.25</v>
      </c>
      <c r="AH71" s="4">
        <f t="shared" si="41"/>
        <v>454</v>
      </c>
      <c r="AI71" s="33">
        <f t="shared" si="42"/>
        <v>500.85409252669041</v>
      </c>
      <c r="AJ71" s="6">
        <f t="shared" si="43"/>
        <v>0.38105726872246704</v>
      </c>
      <c r="AK71" s="7">
        <v>498</v>
      </c>
      <c r="AL71" s="6">
        <f t="shared" si="44"/>
        <v>0.3775100401606426</v>
      </c>
      <c r="AM71" s="4">
        <f t="shared" si="45"/>
        <v>188</v>
      </c>
      <c r="AN71" s="28"/>
      <c r="AO71" s="6"/>
      <c r="AP71" s="6"/>
      <c r="AQ71" s="6" t="str">
        <f t="shared" si="46"/>
        <v>-</v>
      </c>
      <c r="AR71" s="6">
        <f t="shared" si="47"/>
        <v>1.2769230769230768</v>
      </c>
      <c r="AS71" s="6">
        <f t="shared" si="48"/>
        <v>1.103202846975089</v>
      </c>
      <c r="AT71" s="4"/>
      <c r="AU71" s="4"/>
      <c r="AV71" s="4"/>
      <c r="AW71" s="4"/>
      <c r="AX71" s="4"/>
      <c r="AY71" s="4"/>
      <c r="AZ71" s="4"/>
      <c r="BA71" s="4"/>
      <c r="BB71" s="4"/>
      <c r="BC71" s="4">
        <v>0</v>
      </c>
      <c r="BD71" s="4" t="s">
        <v>394</v>
      </c>
      <c r="BE71" s="4"/>
      <c r="BF71" s="4"/>
      <c r="BG71" s="4" t="s">
        <v>380</v>
      </c>
      <c r="BH71" s="4">
        <v>454</v>
      </c>
      <c r="BI71" s="4">
        <v>454</v>
      </c>
      <c r="BJ71" s="4">
        <f t="shared" si="49"/>
        <v>454</v>
      </c>
      <c r="BK71" s="19">
        <v>4</v>
      </c>
      <c r="BL71" s="19">
        <v>8</v>
      </c>
      <c r="BM71" s="16">
        <v>19251505</v>
      </c>
      <c r="BN71" t="s">
        <v>258</v>
      </c>
      <c r="BO71" t="s">
        <v>258</v>
      </c>
      <c r="BP71" t="str">
        <f t="shared" si="50"/>
        <v>-</v>
      </c>
      <c r="BQ71">
        <v>453</v>
      </c>
      <c r="BR71">
        <v>453</v>
      </c>
      <c r="BS71">
        <f t="shared" si="51"/>
        <v>499.75088967971533</v>
      </c>
      <c r="BT71" s="4" t="s">
        <v>279</v>
      </c>
    </row>
    <row r="72" spans="1:72" x14ac:dyDescent="0.4">
      <c r="A72" s="3">
        <v>58</v>
      </c>
      <c r="B72" s="3">
        <v>58</v>
      </c>
      <c r="C72" s="4" t="s">
        <v>119</v>
      </c>
      <c r="D72" s="4" t="str">
        <f t="shared" si="35"/>
        <v>J9030X</v>
      </c>
      <c r="E72" s="4" t="s">
        <v>119</v>
      </c>
      <c r="F72" s="4" t="str">
        <f t="shared" si="52"/>
        <v>J9030X5</v>
      </c>
      <c r="G72" s="4" t="s">
        <v>206</v>
      </c>
      <c r="H72" s="5">
        <v>4903320162914</v>
      </c>
      <c r="I72" s="5">
        <v>5</v>
      </c>
      <c r="J72" s="5"/>
      <c r="K72" s="5">
        <v>1</v>
      </c>
      <c r="L72" s="5">
        <v>1</v>
      </c>
      <c r="M72" s="4">
        <v>0</v>
      </c>
      <c r="N72" s="4">
        <v>513</v>
      </c>
      <c r="O72" s="4">
        <v>293</v>
      </c>
      <c r="P72" s="6">
        <f t="shared" si="36"/>
        <v>0.42884990253411304</v>
      </c>
      <c r="Q72" s="4" t="s">
        <v>259</v>
      </c>
      <c r="R72" s="4"/>
      <c r="S72" s="4"/>
      <c r="T72" s="4"/>
      <c r="U72" s="4"/>
      <c r="V72" s="4"/>
      <c r="W72" s="4"/>
      <c r="X72" s="4"/>
      <c r="Y72" s="4"/>
      <c r="Z72" s="4">
        <v>0</v>
      </c>
      <c r="AA72" s="4">
        <f t="shared" si="37"/>
        <v>0</v>
      </c>
      <c r="AB72" s="4">
        <v>323</v>
      </c>
      <c r="AC72" s="4">
        <f t="shared" si="38"/>
        <v>323</v>
      </c>
      <c r="AD72" s="4"/>
      <c r="AE72" s="21">
        <f t="shared" si="39"/>
        <v>566</v>
      </c>
      <c r="AF72" s="6">
        <f t="shared" si="40"/>
        <v>0.42932862190812726</v>
      </c>
      <c r="AG72" s="33">
        <v>0.5</v>
      </c>
      <c r="AH72" s="4">
        <f t="shared" si="41"/>
        <v>500</v>
      </c>
      <c r="AI72" s="33">
        <f t="shared" si="42"/>
        <v>551.19453924914671</v>
      </c>
      <c r="AJ72" s="6">
        <f t="shared" si="43"/>
        <v>0.41399999999999992</v>
      </c>
      <c r="AK72" s="7">
        <v>550</v>
      </c>
      <c r="AL72" s="6">
        <f t="shared" si="44"/>
        <v>0.41272727272727272</v>
      </c>
      <c r="AM72" s="4">
        <f t="shared" si="45"/>
        <v>227</v>
      </c>
      <c r="AN72" s="28"/>
      <c r="AO72" s="6"/>
      <c r="AP72" s="6"/>
      <c r="AQ72" s="6" t="str">
        <f t="shared" si="46"/>
        <v>-</v>
      </c>
      <c r="AR72" s="6">
        <f t="shared" si="47"/>
        <v>1.0721247563352827</v>
      </c>
      <c r="AS72" s="6">
        <f t="shared" si="48"/>
        <v>1.1023890784982935</v>
      </c>
      <c r="AT72" s="4"/>
      <c r="AU72" s="4"/>
      <c r="AV72" s="4"/>
      <c r="AW72" s="4"/>
      <c r="AX72" s="4"/>
      <c r="AY72" s="4"/>
      <c r="AZ72" s="4"/>
      <c r="BA72" s="4"/>
      <c r="BB72" s="4"/>
      <c r="BC72" s="4">
        <v>0</v>
      </c>
      <c r="BD72" s="4" t="s">
        <v>433</v>
      </c>
      <c r="BE72" s="4"/>
      <c r="BF72" s="4"/>
      <c r="BG72" s="4" t="s">
        <v>384</v>
      </c>
      <c r="BH72" s="4">
        <v>500</v>
      </c>
      <c r="BI72" s="4">
        <v>500</v>
      </c>
      <c r="BJ72" s="4">
        <f t="shared" si="49"/>
        <v>500</v>
      </c>
      <c r="BK72" s="19">
        <v>4</v>
      </c>
      <c r="BL72" s="19">
        <v>8</v>
      </c>
      <c r="BM72" s="16">
        <v>19251505</v>
      </c>
      <c r="BN72" t="s">
        <v>258</v>
      </c>
      <c r="BO72" t="s">
        <v>258</v>
      </c>
      <c r="BP72" t="str">
        <f t="shared" si="50"/>
        <v>-</v>
      </c>
      <c r="BQ72">
        <v>798</v>
      </c>
      <c r="BR72">
        <v>798</v>
      </c>
      <c r="BS72">
        <f t="shared" si="51"/>
        <v>879.70648464163821</v>
      </c>
      <c r="BT72" s="4" t="s">
        <v>318</v>
      </c>
    </row>
    <row r="73" spans="1:72" x14ac:dyDescent="0.4">
      <c r="A73" s="3">
        <v>16</v>
      </c>
      <c r="B73" s="3">
        <v>16</v>
      </c>
      <c r="C73" s="4" t="s">
        <v>77</v>
      </c>
      <c r="D73" s="4" t="str">
        <f t="shared" si="35"/>
        <v>J250SD</v>
      </c>
      <c r="E73" s="4" t="s">
        <v>77</v>
      </c>
      <c r="F73" s="4" t="str">
        <f t="shared" si="52"/>
        <v>J250SD5</v>
      </c>
      <c r="G73" s="4" t="s">
        <v>164</v>
      </c>
      <c r="H73" s="5">
        <v>4903320162327</v>
      </c>
      <c r="I73" s="5">
        <v>5</v>
      </c>
      <c r="J73" s="5"/>
      <c r="K73" s="5">
        <v>1</v>
      </c>
      <c r="L73" s="5">
        <v>1</v>
      </c>
      <c r="M73" s="4">
        <v>0</v>
      </c>
      <c r="N73" s="4">
        <v>499</v>
      </c>
      <c r="O73" s="4">
        <v>352</v>
      </c>
      <c r="P73" s="6">
        <f t="shared" si="36"/>
        <v>0.29458917835671339</v>
      </c>
      <c r="Q73" s="4" t="s">
        <v>259</v>
      </c>
      <c r="R73" s="4"/>
      <c r="S73" s="4"/>
      <c r="T73" s="4"/>
      <c r="U73" s="4"/>
      <c r="V73" s="4"/>
      <c r="W73" s="4"/>
      <c r="X73" s="4"/>
      <c r="Y73" s="4"/>
      <c r="Z73" s="4">
        <v>0</v>
      </c>
      <c r="AA73" s="4">
        <f t="shared" si="37"/>
        <v>0</v>
      </c>
      <c r="AB73" s="4">
        <v>388</v>
      </c>
      <c r="AC73" s="4">
        <f t="shared" si="38"/>
        <v>388</v>
      </c>
      <c r="AD73" s="4"/>
      <c r="AE73" s="21">
        <f t="shared" si="39"/>
        <v>550</v>
      </c>
      <c r="AF73" s="6">
        <f t="shared" si="40"/>
        <v>0.29454545454545455</v>
      </c>
      <c r="AG73" s="33">
        <v>1.25</v>
      </c>
      <c r="AH73" s="4">
        <f t="shared" si="41"/>
        <v>635</v>
      </c>
      <c r="AI73" s="33">
        <f t="shared" si="42"/>
        <v>699.94318181818187</v>
      </c>
      <c r="AJ73" s="6">
        <f t="shared" si="43"/>
        <v>0.44566929133858268</v>
      </c>
      <c r="AK73" s="7">
        <v>650</v>
      </c>
      <c r="AL73" s="6">
        <f t="shared" si="44"/>
        <v>0.40307692307692311</v>
      </c>
      <c r="AM73" s="4">
        <f t="shared" si="45"/>
        <v>262</v>
      </c>
      <c r="AN73" s="28"/>
      <c r="AO73" s="6"/>
      <c r="AP73" s="6"/>
      <c r="AQ73" s="6" t="str">
        <f t="shared" si="46"/>
        <v>-</v>
      </c>
      <c r="AR73" s="6">
        <f t="shared" si="47"/>
        <v>1.3026052104208417</v>
      </c>
      <c r="AS73" s="6">
        <f t="shared" si="48"/>
        <v>1.1022727272727273</v>
      </c>
      <c r="AT73" s="4"/>
      <c r="AU73" s="4"/>
      <c r="AV73" s="4"/>
      <c r="AW73" s="4"/>
      <c r="AX73" s="4"/>
      <c r="AY73" s="4"/>
      <c r="AZ73" s="4"/>
      <c r="BA73" s="4"/>
      <c r="BB73" s="4"/>
      <c r="BC73" s="4">
        <v>0</v>
      </c>
      <c r="BD73" s="4" t="s">
        <v>391</v>
      </c>
      <c r="BE73" s="4"/>
      <c r="BF73" s="4"/>
      <c r="BG73" s="4" t="s">
        <v>367</v>
      </c>
      <c r="BH73" s="4">
        <v>635</v>
      </c>
      <c r="BI73" s="4">
        <v>635</v>
      </c>
      <c r="BJ73" s="4">
        <f t="shared" si="49"/>
        <v>635</v>
      </c>
      <c r="BK73" s="19">
        <v>4</v>
      </c>
      <c r="BL73" s="19">
        <v>1</v>
      </c>
      <c r="BM73" s="16">
        <v>19251505</v>
      </c>
      <c r="BN73" t="s">
        <v>258</v>
      </c>
      <c r="BO73" t="s">
        <v>258</v>
      </c>
      <c r="BP73" t="str">
        <f t="shared" si="50"/>
        <v>-</v>
      </c>
      <c r="BQ73">
        <v>869</v>
      </c>
      <c r="BR73">
        <v>869</v>
      </c>
      <c r="BS73">
        <f t="shared" si="51"/>
        <v>957.875</v>
      </c>
      <c r="BT73" s="4" t="s">
        <v>276</v>
      </c>
    </row>
    <row r="74" spans="1:72" x14ac:dyDescent="0.4">
      <c r="A74" s="3">
        <v>92</v>
      </c>
      <c r="B74" s="3">
        <v>92</v>
      </c>
      <c r="C74" s="4">
        <v>932352</v>
      </c>
      <c r="D74" s="4" t="str">
        <f t="shared" si="35"/>
        <v>932352</v>
      </c>
      <c r="E74" s="4">
        <v>932352</v>
      </c>
      <c r="F74" s="4" t="str">
        <f t="shared" si="52"/>
        <v>9323525</v>
      </c>
      <c r="G74" s="4" t="s">
        <v>240</v>
      </c>
      <c r="H74" s="5">
        <v>4903320380400</v>
      </c>
      <c r="I74" s="5">
        <v>5</v>
      </c>
      <c r="J74" s="5"/>
      <c r="K74" s="5">
        <v>1</v>
      </c>
      <c r="L74" s="5">
        <v>1</v>
      </c>
      <c r="M74" s="4">
        <v>0</v>
      </c>
      <c r="N74" s="4">
        <v>143</v>
      </c>
      <c r="O74" s="4">
        <v>85</v>
      </c>
      <c r="P74" s="6">
        <f t="shared" si="36"/>
        <v>0.40559440559440563</v>
      </c>
      <c r="Q74" s="4" t="s">
        <v>259</v>
      </c>
      <c r="R74" s="4"/>
      <c r="S74" s="4"/>
      <c r="T74" s="4"/>
      <c r="U74" s="4"/>
      <c r="V74" s="4"/>
      <c r="W74" s="4"/>
      <c r="X74" s="4"/>
      <c r="Y74" s="4"/>
      <c r="Z74" s="4">
        <v>0</v>
      </c>
      <c r="AA74" s="4">
        <f t="shared" si="37"/>
        <v>0</v>
      </c>
      <c r="AB74" s="4">
        <v>97</v>
      </c>
      <c r="AC74" s="4">
        <f t="shared" si="38"/>
        <v>97</v>
      </c>
      <c r="AD74" s="4"/>
      <c r="AE74" s="21">
        <f t="shared" si="39"/>
        <v>163</v>
      </c>
      <c r="AF74" s="6">
        <f t="shared" si="40"/>
        <v>0.40490797546012269</v>
      </c>
      <c r="AG74" s="33">
        <v>1</v>
      </c>
      <c r="AH74" s="4">
        <f t="shared" si="41"/>
        <v>150</v>
      </c>
      <c r="AI74" s="33">
        <f t="shared" si="42"/>
        <v>171.17647058823528</v>
      </c>
      <c r="AJ74" s="6">
        <f t="shared" si="43"/>
        <v>0.43333333333333324</v>
      </c>
      <c r="AK74" s="7">
        <v>170</v>
      </c>
      <c r="AL74" s="6">
        <f t="shared" si="44"/>
        <v>0.42941176470588238</v>
      </c>
      <c r="AM74" s="4">
        <f t="shared" si="45"/>
        <v>73</v>
      </c>
      <c r="AN74" s="28"/>
      <c r="AO74" s="6"/>
      <c r="AP74" s="6"/>
      <c r="AQ74" s="6" t="str">
        <f t="shared" si="46"/>
        <v>-</v>
      </c>
      <c r="AR74" s="6">
        <f t="shared" si="47"/>
        <v>1.1888111888111887</v>
      </c>
      <c r="AS74" s="6">
        <f t="shared" si="48"/>
        <v>1.1411764705882352</v>
      </c>
      <c r="AT74" s="4"/>
      <c r="AU74" s="4"/>
      <c r="AV74" s="4"/>
      <c r="AW74" s="4"/>
      <c r="AX74" s="4"/>
      <c r="AY74" s="4"/>
      <c r="AZ74" s="4"/>
      <c r="BA74" s="4"/>
      <c r="BB74" s="4"/>
      <c r="BC74" s="4">
        <v>0</v>
      </c>
      <c r="BD74" s="4" t="s">
        <v>468</v>
      </c>
      <c r="BE74" s="4"/>
      <c r="BF74" s="4"/>
      <c r="BG74" s="4" t="s">
        <v>384</v>
      </c>
      <c r="BH74" s="4">
        <v>150</v>
      </c>
      <c r="BI74" s="4">
        <v>150</v>
      </c>
      <c r="BJ74" s="4">
        <f t="shared" si="49"/>
        <v>150</v>
      </c>
      <c r="BK74" s="19">
        <v>4</v>
      </c>
      <c r="BL74" s="19">
        <v>1</v>
      </c>
      <c r="BM74" s="16">
        <v>19251515</v>
      </c>
      <c r="BN74" t="s">
        <v>258</v>
      </c>
      <c r="BO74" t="s">
        <v>258</v>
      </c>
      <c r="BP74" t="str">
        <f t="shared" si="50"/>
        <v>-</v>
      </c>
      <c r="BQ74">
        <v>189</v>
      </c>
      <c r="BR74">
        <v>189</v>
      </c>
      <c r="BS74">
        <f t="shared" si="51"/>
        <v>215.68235294117645</v>
      </c>
      <c r="BT74" s="4" t="s">
        <v>352</v>
      </c>
    </row>
    <row r="75" spans="1:72" x14ac:dyDescent="0.4">
      <c r="A75" s="3">
        <v>94</v>
      </c>
      <c r="B75" s="3">
        <v>94</v>
      </c>
      <c r="C75" s="4">
        <v>367845</v>
      </c>
      <c r="D75" s="4" t="str">
        <f t="shared" si="35"/>
        <v>367845</v>
      </c>
      <c r="E75" s="4">
        <v>367845</v>
      </c>
      <c r="F75" s="4" t="str">
        <f t="shared" si="52"/>
        <v>3678455</v>
      </c>
      <c r="G75" s="4" t="s">
        <v>242</v>
      </c>
      <c r="H75" s="5">
        <v>4903320392601</v>
      </c>
      <c r="I75" s="5">
        <v>5</v>
      </c>
      <c r="J75" s="5"/>
      <c r="K75" s="5">
        <v>1</v>
      </c>
      <c r="L75" s="5">
        <v>1</v>
      </c>
      <c r="M75" s="4">
        <v>0</v>
      </c>
      <c r="N75" s="4">
        <v>209</v>
      </c>
      <c r="O75" s="4">
        <v>131</v>
      </c>
      <c r="P75" s="6">
        <f t="shared" si="36"/>
        <v>0.37320574162679421</v>
      </c>
      <c r="Q75" s="4" t="s">
        <v>259</v>
      </c>
      <c r="R75" s="4"/>
      <c r="S75" s="4"/>
      <c r="T75" s="4"/>
      <c r="U75" s="4"/>
      <c r="V75" s="4"/>
      <c r="W75" s="4"/>
      <c r="X75" s="4"/>
      <c r="Y75" s="4"/>
      <c r="Z75" s="4">
        <v>0</v>
      </c>
      <c r="AA75" s="4">
        <f t="shared" si="37"/>
        <v>0</v>
      </c>
      <c r="AB75" s="4">
        <v>145</v>
      </c>
      <c r="AC75" s="4">
        <f t="shared" si="38"/>
        <v>145</v>
      </c>
      <c r="AD75" s="4"/>
      <c r="AE75" s="21">
        <f t="shared" si="39"/>
        <v>231</v>
      </c>
      <c r="AF75" s="6">
        <f t="shared" si="40"/>
        <v>0.37229437229437234</v>
      </c>
      <c r="AG75" s="33">
        <v>0.5</v>
      </c>
      <c r="AH75" s="4" t="str">
        <f t="shared" si="41"/>
        <v>-</v>
      </c>
      <c r="AI75" s="33" t="str">
        <f t="shared" si="42"/>
        <v>-</v>
      </c>
      <c r="AJ75" s="6" t="str">
        <f t="shared" si="43"/>
        <v>-</v>
      </c>
      <c r="AK75" s="7">
        <v>240</v>
      </c>
      <c r="AL75" s="6">
        <f t="shared" si="44"/>
        <v>0.39583333333333337</v>
      </c>
      <c r="AM75" s="4">
        <f t="shared" si="45"/>
        <v>95</v>
      </c>
      <c r="AN75" s="28"/>
      <c r="AO75" s="6"/>
      <c r="AP75" s="6"/>
      <c r="AQ75" s="6" t="str">
        <f t="shared" si="46"/>
        <v>-</v>
      </c>
      <c r="AR75" s="6">
        <f t="shared" si="47"/>
        <v>1.1483253588516746</v>
      </c>
      <c r="AS75" s="6">
        <f t="shared" si="48"/>
        <v>1.1068702290076335</v>
      </c>
      <c r="AT75" s="4"/>
      <c r="AU75" s="4"/>
      <c r="AV75" s="4"/>
      <c r="AW75" s="4"/>
      <c r="AX75" s="4"/>
      <c r="AY75" s="4"/>
      <c r="AZ75" s="4"/>
      <c r="BA75" s="4"/>
      <c r="BB75" s="4"/>
      <c r="BC75" s="4">
        <v>0</v>
      </c>
      <c r="BD75" s="4" t="s">
        <v>470</v>
      </c>
      <c r="BE75" s="4"/>
      <c r="BF75" s="4"/>
      <c r="BG75" s="4" t="s">
        <v>384</v>
      </c>
      <c r="BH75" s="4">
        <v>230</v>
      </c>
      <c r="BI75" s="4" t="s">
        <v>258</v>
      </c>
      <c r="BJ75" s="4" t="str">
        <f t="shared" si="49"/>
        <v>-</v>
      </c>
      <c r="BK75" s="19">
        <v>4</v>
      </c>
      <c r="BL75" s="19">
        <v>8</v>
      </c>
      <c r="BM75" s="16">
        <v>19251515</v>
      </c>
      <c r="BN75" t="s">
        <v>258</v>
      </c>
      <c r="BO75" t="s">
        <v>258</v>
      </c>
      <c r="BP75" t="str">
        <f t="shared" si="50"/>
        <v>-</v>
      </c>
      <c r="BQ75">
        <v>306</v>
      </c>
      <c r="BR75">
        <v>306</v>
      </c>
      <c r="BS75">
        <f t="shared" si="51"/>
        <v>338.70229007633588</v>
      </c>
      <c r="BT75" s="4" t="s">
        <v>354</v>
      </c>
    </row>
    <row r="76" spans="1:72" x14ac:dyDescent="0.4">
      <c r="A76" s="3">
        <v>76</v>
      </c>
      <c r="B76" s="3">
        <v>76</v>
      </c>
      <c r="C76" s="4">
        <v>932284</v>
      </c>
      <c r="D76" s="4" t="str">
        <f t="shared" si="35"/>
        <v>932284</v>
      </c>
      <c r="E76" s="4">
        <v>932284</v>
      </c>
      <c r="F76" s="4" t="str">
        <f t="shared" si="52"/>
        <v>9322845</v>
      </c>
      <c r="G76" s="4" t="s">
        <v>224</v>
      </c>
      <c r="H76" s="5">
        <v>4903320249981</v>
      </c>
      <c r="I76" s="5">
        <v>5</v>
      </c>
      <c r="J76" s="5"/>
      <c r="K76" s="5">
        <v>1</v>
      </c>
      <c r="L76" s="5">
        <v>1</v>
      </c>
      <c r="M76" s="4">
        <v>0</v>
      </c>
      <c r="N76" s="4">
        <v>215</v>
      </c>
      <c r="O76" s="4">
        <v>130</v>
      </c>
      <c r="P76" s="6">
        <f t="shared" si="36"/>
        <v>0.39534883720930236</v>
      </c>
      <c r="Q76" s="4" t="s">
        <v>259</v>
      </c>
      <c r="R76" s="4"/>
      <c r="S76" s="4"/>
      <c r="T76" s="4"/>
      <c r="U76" s="4"/>
      <c r="V76" s="4"/>
      <c r="W76" s="4"/>
      <c r="X76" s="4"/>
      <c r="Y76" s="4"/>
      <c r="Z76" s="4">
        <v>0</v>
      </c>
      <c r="AA76" s="4">
        <f t="shared" si="37"/>
        <v>0</v>
      </c>
      <c r="AB76" s="4">
        <v>147</v>
      </c>
      <c r="AC76" s="4">
        <f t="shared" si="38"/>
        <v>147</v>
      </c>
      <c r="AD76" s="4"/>
      <c r="AE76" s="21">
        <f t="shared" si="39"/>
        <v>243</v>
      </c>
      <c r="AF76" s="6">
        <f t="shared" si="40"/>
        <v>0.39506172839506171</v>
      </c>
      <c r="AG76" s="33">
        <v>2.25</v>
      </c>
      <c r="AH76" s="4">
        <f t="shared" si="41"/>
        <v>230</v>
      </c>
      <c r="AI76" s="33">
        <f t="shared" si="42"/>
        <v>260.07692307692309</v>
      </c>
      <c r="AJ76" s="6">
        <f t="shared" si="43"/>
        <v>0.43478260869565222</v>
      </c>
      <c r="AK76" s="7">
        <v>245</v>
      </c>
      <c r="AL76" s="6">
        <f t="shared" si="44"/>
        <v>0.4</v>
      </c>
      <c r="AM76" s="4">
        <f t="shared" si="45"/>
        <v>98</v>
      </c>
      <c r="AN76" s="28"/>
      <c r="AO76" s="6"/>
      <c r="AP76" s="6"/>
      <c r="AQ76" s="6" t="str">
        <f t="shared" si="46"/>
        <v>-</v>
      </c>
      <c r="AR76" s="6">
        <f t="shared" si="47"/>
        <v>1.1395348837209303</v>
      </c>
      <c r="AS76" s="6">
        <f t="shared" si="48"/>
        <v>1.1307692307692307</v>
      </c>
      <c r="AT76" s="4"/>
      <c r="AU76" s="4"/>
      <c r="AV76" s="4"/>
      <c r="AW76" s="4"/>
      <c r="AX76" s="4"/>
      <c r="AY76" s="4"/>
      <c r="AZ76" s="4"/>
      <c r="BA76" s="4"/>
      <c r="BB76" s="4"/>
      <c r="BC76" s="4">
        <v>0</v>
      </c>
      <c r="BD76" s="4" t="s">
        <v>452</v>
      </c>
      <c r="BE76" s="4"/>
      <c r="BF76" s="4"/>
      <c r="BG76" s="4" t="s">
        <v>384</v>
      </c>
      <c r="BH76" s="4">
        <v>230</v>
      </c>
      <c r="BI76" s="4">
        <v>230</v>
      </c>
      <c r="BJ76" s="4">
        <f t="shared" si="49"/>
        <v>230</v>
      </c>
      <c r="BK76" s="19">
        <v>4</v>
      </c>
      <c r="BL76" s="19">
        <v>1</v>
      </c>
      <c r="BM76" s="16">
        <v>19251515</v>
      </c>
      <c r="BN76">
        <v>195</v>
      </c>
      <c r="BO76">
        <v>195</v>
      </c>
      <c r="BP76">
        <f t="shared" si="50"/>
        <v>220.5</v>
      </c>
      <c r="BQ76">
        <v>313</v>
      </c>
      <c r="BR76">
        <v>313</v>
      </c>
      <c r="BS76">
        <f t="shared" si="51"/>
        <v>353.93076923076922</v>
      </c>
      <c r="BT76" s="4" t="s">
        <v>336</v>
      </c>
    </row>
    <row r="77" spans="1:72" x14ac:dyDescent="0.4">
      <c r="A77" s="3">
        <v>90</v>
      </c>
      <c r="B77" s="3">
        <v>90</v>
      </c>
      <c r="C77" s="4" t="s">
        <v>136</v>
      </c>
      <c r="D77" s="4" t="str">
        <f t="shared" si="35"/>
        <v>J1704Y</v>
      </c>
      <c r="E77" s="4" t="s">
        <v>136</v>
      </c>
      <c r="F77" s="4" t="str">
        <f t="shared" si="52"/>
        <v>J1704Y5</v>
      </c>
      <c r="G77" s="4" t="s">
        <v>238</v>
      </c>
      <c r="H77" s="5">
        <v>4903320317505</v>
      </c>
      <c r="I77" s="5">
        <v>5</v>
      </c>
      <c r="J77" s="5"/>
      <c r="K77" s="5">
        <v>1</v>
      </c>
      <c r="L77" s="5">
        <v>1</v>
      </c>
      <c r="M77" s="4">
        <v>0</v>
      </c>
      <c r="N77" s="4">
        <v>181</v>
      </c>
      <c r="O77" s="4">
        <v>133</v>
      </c>
      <c r="P77" s="6">
        <f t="shared" si="36"/>
        <v>0.26519337016574585</v>
      </c>
      <c r="Q77" s="4" t="s">
        <v>259</v>
      </c>
      <c r="R77" s="4"/>
      <c r="S77" s="4"/>
      <c r="T77" s="4"/>
      <c r="U77" s="4"/>
      <c r="V77" s="4"/>
      <c r="W77" s="4"/>
      <c r="X77" s="4"/>
      <c r="Y77" s="4"/>
      <c r="Z77" s="4">
        <v>0</v>
      </c>
      <c r="AA77" s="4">
        <f t="shared" si="37"/>
        <v>0</v>
      </c>
      <c r="AB77" s="4">
        <v>147</v>
      </c>
      <c r="AC77" s="4">
        <f t="shared" si="38"/>
        <v>147</v>
      </c>
      <c r="AD77" s="4"/>
      <c r="AE77" s="21">
        <f t="shared" si="39"/>
        <v>200</v>
      </c>
      <c r="AF77" s="6">
        <f t="shared" si="40"/>
        <v>0.26500000000000001</v>
      </c>
      <c r="AG77" s="33">
        <v>2.25</v>
      </c>
      <c r="AH77" s="4">
        <f t="shared" si="41"/>
        <v>264</v>
      </c>
      <c r="AI77" s="33">
        <f t="shared" si="42"/>
        <v>291.78947368421058</v>
      </c>
      <c r="AJ77" s="6">
        <f t="shared" si="43"/>
        <v>0.49621212121212133</v>
      </c>
      <c r="AK77" s="7">
        <v>245</v>
      </c>
      <c r="AL77" s="6">
        <f t="shared" si="44"/>
        <v>0.4</v>
      </c>
      <c r="AM77" s="4">
        <f t="shared" si="45"/>
        <v>98</v>
      </c>
      <c r="AN77" s="28"/>
      <c r="AO77" s="6"/>
      <c r="AP77" s="6"/>
      <c r="AQ77" s="6" t="str">
        <f t="shared" si="46"/>
        <v>-</v>
      </c>
      <c r="AR77" s="6">
        <f t="shared" si="47"/>
        <v>1.3535911602209945</v>
      </c>
      <c r="AS77" s="6">
        <f t="shared" si="48"/>
        <v>1.1052631578947369</v>
      </c>
      <c r="AT77" s="4"/>
      <c r="AU77" s="4"/>
      <c r="AV77" s="4"/>
      <c r="AW77" s="4"/>
      <c r="AX77" s="4"/>
      <c r="AY77" s="4"/>
      <c r="AZ77" s="4"/>
      <c r="BA77" s="4"/>
      <c r="BB77" s="4"/>
      <c r="BC77" s="4">
        <v>0</v>
      </c>
      <c r="BD77" s="4" t="s">
        <v>466</v>
      </c>
      <c r="BE77" s="4"/>
      <c r="BF77" s="4"/>
      <c r="BG77" s="4" t="s">
        <v>389</v>
      </c>
      <c r="BH77" s="4">
        <v>264</v>
      </c>
      <c r="BI77" s="4">
        <v>264</v>
      </c>
      <c r="BJ77" s="4">
        <f t="shared" si="49"/>
        <v>264</v>
      </c>
      <c r="BK77" s="19">
        <v>4</v>
      </c>
      <c r="BL77" s="19">
        <v>1</v>
      </c>
      <c r="BM77" s="16">
        <v>19251515</v>
      </c>
      <c r="BN77">
        <v>180</v>
      </c>
      <c r="BO77" t="s">
        <v>258</v>
      </c>
      <c r="BP77" t="str">
        <f t="shared" si="50"/>
        <v>-</v>
      </c>
      <c r="BQ77">
        <v>230</v>
      </c>
      <c r="BR77">
        <v>230</v>
      </c>
      <c r="BS77">
        <f t="shared" si="51"/>
        <v>254.21052631578951</v>
      </c>
      <c r="BT77" s="4" t="s">
        <v>350</v>
      </c>
    </row>
    <row r="78" spans="1:72" x14ac:dyDescent="0.4">
      <c r="A78" s="3">
        <v>80</v>
      </c>
      <c r="B78" s="3">
        <v>80</v>
      </c>
      <c r="C78" s="4">
        <v>932290</v>
      </c>
      <c r="D78" s="4" t="str">
        <f t="shared" si="35"/>
        <v>932290</v>
      </c>
      <c r="E78" s="4">
        <v>932290</v>
      </c>
      <c r="F78" s="4" t="str">
        <f t="shared" si="52"/>
        <v>9322905</v>
      </c>
      <c r="G78" s="4" t="s">
        <v>228</v>
      </c>
      <c r="H78" s="5">
        <v>4903320267206</v>
      </c>
      <c r="I78" s="5">
        <v>5</v>
      </c>
      <c r="J78" s="5"/>
      <c r="K78" s="5">
        <v>1</v>
      </c>
      <c r="L78" s="5">
        <v>1</v>
      </c>
      <c r="M78" s="4">
        <v>0</v>
      </c>
      <c r="N78" s="4">
        <v>236</v>
      </c>
      <c r="O78" s="4">
        <v>155</v>
      </c>
      <c r="P78" s="6">
        <f t="shared" si="36"/>
        <v>0.34322033898305082</v>
      </c>
      <c r="Q78" s="4" t="s">
        <v>259</v>
      </c>
      <c r="R78" s="4"/>
      <c r="S78" s="4"/>
      <c r="T78" s="4"/>
      <c r="U78" s="4"/>
      <c r="V78" s="4"/>
      <c r="W78" s="4"/>
      <c r="X78" s="4"/>
      <c r="Y78" s="4"/>
      <c r="Z78" s="4">
        <v>0</v>
      </c>
      <c r="AA78" s="4">
        <f t="shared" si="37"/>
        <v>0</v>
      </c>
      <c r="AB78" s="4">
        <v>175</v>
      </c>
      <c r="AC78" s="4">
        <f t="shared" si="38"/>
        <v>175</v>
      </c>
      <c r="AD78" s="4"/>
      <c r="AE78" s="21">
        <f t="shared" si="39"/>
        <v>266</v>
      </c>
      <c r="AF78" s="6">
        <f t="shared" si="40"/>
        <v>0.34210526315789469</v>
      </c>
      <c r="AG78" s="33">
        <v>2.25</v>
      </c>
      <c r="AH78" s="4">
        <f t="shared" si="41"/>
        <v>280</v>
      </c>
      <c r="AI78" s="33">
        <f t="shared" si="42"/>
        <v>316.12903225806457</v>
      </c>
      <c r="AJ78" s="6">
        <f t="shared" si="43"/>
        <v>0.44642857142857151</v>
      </c>
      <c r="AK78" s="7">
        <v>290</v>
      </c>
      <c r="AL78" s="6">
        <f t="shared" si="44"/>
        <v>0.39655172413793105</v>
      </c>
      <c r="AM78" s="4">
        <f t="shared" si="45"/>
        <v>115</v>
      </c>
      <c r="AN78" s="28"/>
      <c r="AO78" s="6"/>
      <c r="AP78" s="6"/>
      <c r="AQ78" s="6" t="str">
        <f t="shared" si="46"/>
        <v>-</v>
      </c>
      <c r="AR78" s="6">
        <f t="shared" si="47"/>
        <v>1.228813559322034</v>
      </c>
      <c r="AS78" s="6">
        <f t="shared" si="48"/>
        <v>1.1290322580645162</v>
      </c>
      <c r="AT78" s="4"/>
      <c r="AU78" s="4"/>
      <c r="AV78" s="4"/>
      <c r="AW78" s="4"/>
      <c r="AX78" s="4"/>
      <c r="AY78" s="4"/>
      <c r="AZ78" s="4"/>
      <c r="BA78" s="4"/>
      <c r="BB78" s="4"/>
      <c r="BC78" s="4">
        <v>0</v>
      </c>
      <c r="BD78" s="4" t="s">
        <v>456</v>
      </c>
      <c r="BE78" s="4"/>
      <c r="BF78" s="4"/>
      <c r="BG78" s="4" t="s">
        <v>384</v>
      </c>
      <c r="BH78" s="4">
        <v>280</v>
      </c>
      <c r="BI78" s="4">
        <v>280</v>
      </c>
      <c r="BJ78" s="4">
        <f t="shared" si="49"/>
        <v>280</v>
      </c>
      <c r="BK78" s="19">
        <v>4</v>
      </c>
      <c r="BL78" s="19">
        <v>1</v>
      </c>
      <c r="BM78" s="16">
        <v>19251515</v>
      </c>
      <c r="BN78" t="s">
        <v>258</v>
      </c>
      <c r="BO78" t="s">
        <v>258</v>
      </c>
      <c r="BP78" t="str">
        <f t="shared" si="50"/>
        <v>-</v>
      </c>
      <c r="BQ78">
        <v>344</v>
      </c>
      <c r="BR78">
        <v>344</v>
      </c>
      <c r="BS78">
        <f t="shared" si="51"/>
        <v>388.38709677419359</v>
      </c>
      <c r="BT78" s="4" t="s">
        <v>340</v>
      </c>
    </row>
    <row r="79" spans="1:72" x14ac:dyDescent="0.4">
      <c r="A79" s="3">
        <v>12</v>
      </c>
      <c r="B79" s="3">
        <v>12</v>
      </c>
      <c r="C79" s="4" t="s">
        <v>73</v>
      </c>
      <c r="D79" s="4" t="str">
        <f t="shared" si="35"/>
        <v>J246SD</v>
      </c>
      <c r="E79" s="4" t="s">
        <v>73</v>
      </c>
      <c r="F79" s="4" t="str">
        <f t="shared" si="52"/>
        <v>J246SD5</v>
      </c>
      <c r="G79" s="4" t="s">
        <v>160</v>
      </c>
      <c r="H79" s="5">
        <v>4903320162006</v>
      </c>
      <c r="I79" s="5">
        <v>5</v>
      </c>
      <c r="J79" s="5"/>
      <c r="K79" s="5">
        <v>1</v>
      </c>
      <c r="L79" s="5">
        <v>1</v>
      </c>
      <c r="M79" s="4">
        <v>0</v>
      </c>
      <c r="N79" s="4">
        <v>317</v>
      </c>
      <c r="O79" s="4">
        <v>183</v>
      </c>
      <c r="P79" s="6">
        <f t="shared" si="36"/>
        <v>0.42271293375394325</v>
      </c>
      <c r="Q79" s="4" t="s">
        <v>259</v>
      </c>
      <c r="R79" s="4"/>
      <c r="S79" s="4"/>
      <c r="T79" s="4"/>
      <c r="U79" s="4"/>
      <c r="V79" s="4"/>
      <c r="W79" s="4"/>
      <c r="X79" s="4"/>
      <c r="Y79" s="4"/>
      <c r="Z79" s="4">
        <v>0</v>
      </c>
      <c r="AA79" s="4">
        <f t="shared" si="37"/>
        <v>0</v>
      </c>
      <c r="AB79" s="4">
        <v>202</v>
      </c>
      <c r="AC79" s="4">
        <f t="shared" si="38"/>
        <v>202</v>
      </c>
      <c r="AD79" s="4"/>
      <c r="AE79" s="21">
        <f t="shared" si="39"/>
        <v>350</v>
      </c>
      <c r="AF79" s="6">
        <f t="shared" si="40"/>
        <v>0.42285714285714282</v>
      </c>
      <c r="AG79" s="33">
        <v>0.25</v>
      </c>
      <c r="AH79" s="4">
        <f t="shared" si="41"/>
        <v>317</v>
      </c>
      <c r="AI79" s="33">
        <f t="shared" si="42"/>
        <v>349.91256830601088</v>
      </c>
      <c r="AJ79" s="6">
        <f t="shared" si="43"/>
        <v>0.42271293375394314</v>
      </c>
      <c r="AK79" s="7">
        <v>340</v>
      </c>
      <c r="AL79" s="6">
        <f t="shared" si="44"/>
        <v>0.40588235294117647</v>
      </c>
      <c r="AM79" s="4">
        <f t="shared" si="45"/>
        <v>138</v>
      </c>
      <c r="AN79" s="28"/>
      <c r="AO79" s="6"/>
      <c r="AP79" s="6"/>
      <c r="AQ79" s="6" t="str">
        <f t="shared" si="46"/>
        <v>-</v>
      </c>
      <c r="AR79" s="6">
        <f t="shared" si="47"/>
        <v>1.0725552050473186</v>
      </c>
      <c r="AS79" s="6">
        <f t="shared" si="48"/>
        <v>1.1038251366120218</v>
      </c>
      <c r="AT79" s="4"/>
      <c r="AU79" s="4"/>
      <c r="AV79" s="4"/>
      <c r="AW79" s="4"/>
      <c r="AX79" s="4"/>
      <c r="AY79" s="4"/>
      <c r="AZ79" s="4"/>
      <c r="BA79" s="4"/>
      <c r="BB79" s="4"/>
      <c r="BC79" s="4">
        <v>0</v>
      </c>
      <c r="BD79" s="4" t="s">
        <v>385</v>
      </c>
      <c r="BE79" s="4"/>
      <c r="BF79" s="4"/>
      <c r="BG79" s="4" t="s">
        <v>380</v>
      </c>
      <c r="BH79" s="4">
        <v>317</v>
      </c>
      <c r="BI79" s="4">
        <v>317</v>
      </c>
      <c r="BJ79" s="4">
        <f t="shared" si="49"/>
        <v>317</v>
      </c>
      <c r="BK79" s="19">
        <v>4</v>
      </c>
      <c r="BL79" s="19">
        <v>1</v>
      </c>
      <c r="BM79" s="16">
        <v>19251515</v>
      </c>
      <c r="BN79" t="s">
        <v>258</v>
      </c>
      <c r="BO79" t="s">
        <v>258</v>
      </c>
      <c r="BP79" t="str">
        <f t="shared" si="50"/>
        <v>-</v>
      </c>
      <c r="BQ79">
        <v>499</v>
      </c>
      <c r="BR79">
        <v>499</v>
      </c>
      <c r="BS79">
        <f t="shared" si="51"/>
        <v>550.80874316939889</v>
      </c>
      <c r="BT79" s="4" t="s">
        <v>272</v>
      </c>
    </row>
    <row r="80" spans="1:72" x14ac:dyDescent="0.4">
      <c r="A80" s="3">
        <v>71</v>
      </c>
      <c r="B80" s="3">
        <v>71</v>
      </c>
      <c r="C80" s="4" t="s">
        <v>130</v>
      </c>
      <c r="D80" s="4" t="str">
        <f t="shared" si="35"/>
        <v>J30587</v>
      </c>
      <c r="E80" s="4" t="s">
        <v>130</v>
      </c>
      <c r="F80" s="4" t="str">
        <f t="shared" si="52"/>
        <v>J305875</v>
      </c>
      <c r="G80" s="4" t="s">
        <v>219</v>
      </c>
      <c r="H80" s="5">
        <v>4903320242982</v>
      </c>
      <c r="I80" s="5">
        <v>5</v>
      </c>
      <c r="J80" s="5"/>
      <c r="K80" s="5">
        <v>1</v>
      </c>
      <c r="L80" s="5">
        <v>1</v>
      </c>
      <c r="M80" s="4">
        <v>0</v>
      </c>
      <c r="N80" s="4">
        <v>278</v>
      </c>
      <c r="O80" s="4">
        <v>190</v>
      </c>
      <c r="P80" s="6">
        <f t="shared" si="36"/>
        <v>0.31654676258992809</v>
      </c>
      <c r="Q80" s="4" t="s">
        <v>259</v>
      </c>
      <c r="R80" s="4"/>
      <c r="S80" s="4"/>
      <c r="T80" s="4"/>
      <c r="U80" s="4"/>
      <c r="V80" s="4"/>
      <c r="W80" s="4"/>
      <c r="X80" s="4"/>
      <c r="Y80" s="4"/>
      <c r="Z80" s="4">
        <v>0</v>
      </c>
      <c r="AA80" s="4">
        <f t="shared" si="37"/>
        <v>0</v>
      </c>
      <c r="AB80" s="4">
        <v>210</v>
      </c>
      <c r="AC80" s="4">
        <f t="shared" si="38"/>
        <v>210</v>
      </c>
      <c r="AD80" s="4"/>
      <c r="AE80" s="21">
        <f t="shared" si="39"/>
        <v>307</v>
      </c>
      <c r="AF80" s="6">
        <f t="shared" si="40"/>
        <v>0.31596091205211729</v>
      </c>
      <c r="AG80" s="33">
        <v>0.5</v>
      </c>
      <c r="AH80" s="4">
        <f t="shared" si="41"/>
        <v>350</v>
      </c>
      <c r="AI80" s="33">
        <f t="shared" si="42"/>
        <v>386.84210526315792</v>
      </c>
      <c r="AJ80" s="6">
        <f t="shared" si="43"/>
        <v>0.45714285714285718</v>
      </c>
      <c r="AK80" s="7">
        <v>350</v>
      </c>
      <c r="AL80" s="6">
        <f t="shared" si="44"/>
        <v>0.4</v>
      </c>
      <c r="AM80" s="4">
        <f t="shared" si="45"/>
        <v>140</v>
      </c>
      <c r="AN80" s="28"/>
      <c r="AO80" s="6"/>
      <c r="AP80" s="6"/>
      <c r="AQ80" s="6" t="str">
        <f t="shared" si="46"/>
        <v>-</v>
      </c>
      <c r="AR80" s="6">
        <f t="shared" si="47"/>
        <v>1.2589928057553956</v>
      </c>
      <c r="AS80" s="6">
        <f t="shared" si="48"/>
        <v>1.1052631578947369</v>
      </c>
      <c r="AT80" s="4"/>
      <c r="AU80" s="4"/>
      <c r="AV80" s="4"/>
      <c r="AW80" s="4"/>
      <c r="AX80" s="4"/>
      <c r="AY80" s="4"/>
      <c r="AZ80" s="4"/>
      <c r="BA80" s="4"/>
      <c r="BB80" s="4"/>
      <c r="BC80" s="4">
        <v>0</v>
      </c>
      <c r="BD80" s="4" t="s">
        <v>446</v>
      </c>
      <c r="BE80" s="4"/>
      <c r="BF80" s="4"/>
      <c r="BG80" s="4" t="s">
        <v>380</v>
      </c>
      <c r="BH80" s="4">
        <v>350</v>
      </c>
      <c r="BI80" s="4">
        <v>350</v>
      </c>
      <c r="BJ80" s="4">
        <f t="shared" si="49"/>
        <v>350</v>
      </c>
      <c r="BK80" s="19">
        <v>4</v>
      </c>
      <c r="BL80" s="19">
        <v>8</v>
      </c>
      <c r="BM80" s="16">
        <v>19251515</v>
      </c>
      <c r="BN80">
        <v>375</v>
      </c>
      <c r="BO80">
        <v>375</v>
      </c>
      <c r="BP80">
        <f t="shared" si="50"/>
        <v>414.47368421052636</v>
      </c>
      <c r="BQ80" t="s">
        <v>258</v>
      </c>
      <c r="BR80" t="s">
        <v>258</v>
      </c>
      <c r="BS80" t="str">
        <f t="shared" si="51"/>
        <v>-</v>
      </c>
      <c r="BT80" s="4" t="s">
        <v>331</v>
      </c>
    </row>
    <row r="81" spans="1:72" x14ac:dyDescent="0.4">
      <c r="A81" s="3">
        <v>72</v>
      </c>
      <c r="B81" s="3">
        <v>72</v>
      </c>
      <c r="C81" s="4" t="s">
        <v>131</v>
      </c>
      <c r="D81" s="4" t="str">
        <f t="shared" si="35"/>
        <v>J30584</v>
      </c>
      <c r="E81" s="4" t="s">
        <v>131</v>
      </c>
      <c r="F81" s="4" t="str">
        <f t="shared" si="52"/>
        <v>J305845</v>
      </c>
      <c r="G81" s="4" t="s">
        <v>220</v>
      </c>
      <c r="H81" s="5">
        <v>4903320244504</v>
      </c>
      <c r="I81" s="5">
        <v>5</v>
      </c>
      <c r="J81" s="5"/>
      <c r="K81" s="5">
        <v>1</v>
      </c>
      <c r="L81" s="5">
        <v>1</v>
      </c>
      <c r="M81" s="4">
        <v>0</v>
      </c>
      <c r="N81" s="4">
        <v>245</v>
      </c>
      <c r="O81" s="4">
        <v>190</v>
      </c>
      <c r="P81" s="6">
        <f t="shared" si="36"/>
        <v>0.22448979591836737</v>
      </c>
      <c r="Q81" s="4" t="s">
        <v>259</v>
      </c>
      <c r="R81" s="4"/>
      <c r="S81" s="4"/>
      <c r="T81" s="4"/>
      <c r="U81" s="4"/>
      <c r="V81" s="4"/>
      <c r="W81" s="4"/>
      <c r="X81" s="4"/>
      <c r="Y81" s="4"/>
      <c r="Z81" s="4">
        <v>0</v>
      </c>
      <c r="AA81" s="4">
        <f t="shared" si="37"/>
        <v>0</v>
      </c>
      <c r="AB81" s="4">
        <v>210</v>
      </c>
      <c r="AC81" s="4">
        <f t="shared" si="38"/>
        <v>210</v>
      </c>
      <c r="AD81" s="4"/>
      <c r="AE81" s="21">
        <f t="shared" si="39"/>
        <v>271</v>
      </c>
      <c r="AF81" s="6">
        <f t="shared" si="40"/>
        <v>0.22509225092250917</v>
      </c>
      <c r="AG81" s="33">
        <v>0</v>
      </c>
      <c r="AH81" s="4">
        <f t="shared" si="41"/>
        <v>350</v>
      </c>
      <c r="AI81" s="33">
        <f t="shared" si="42"/>
        <v>386.84210526315792</v>
      </c>
      <c r="AJ81" s="6">
        <f t="shared" si="43"/>
        <v>0.45714285714285718</v>
      </c>
      <c r="AK81" s="7">
        <v>350</v>
      </c>
      <c r="AL81" s="6">
        <f t="shared" si="44"/>
        <v>0.4</v>
      </c>
      <c r="AM81" s="4">
        <f t="shared" si="45"/>
        <v>140</v>
      </c>
      <c r="AN81" s="28"/>
      <c r="AO81" s="6"/>
      <c r="AP81" s="6"/>
      <c r="AQ81" s="6" t="str">
        <f t="shared" si="46"/>
        <v>-</v>
      </c>
      <c r="AR81" s="6">
        <f t="shared" si="47"/>
        <v>1.4285714285714286</v>
      </c>
      <c r="AS81" s="6">
        <f t="shared" si="48"/>
        <v>1.1052631578947369</v>
      </c>
      <c r="AT81" s="4"/>
      <c r="AU81" s="4"/>
      <c r="AV81" s="4"/>
      <c r="AW81" s="4"/>
      <c r="AX81" s="4"/>
      <c r="AY81" s="4"/>
      <c r="AZ81" s="4"/>
      <c r="BA81" s="4"/>
      <c r="BB81" s="4"/>
      <c r="BC81" s="4">
        <v>0</v>
      </c>
      <c r="BD81" s="4" t="s">
        <v>447</v>
      </c>
      <c r="BE81" s="4"/>
      <c r="BF81" s="4"/>
      <c r="BG81" s="4" t="s">
        <v>384</v>
      </c>
      <c r="BH81" s="4">
        <v>350</v>
      </c>
      <c r="BI81" s="4">
        <v>350</v>
      </c>
      <c r="BJ81" s="4">
        <f t="shared" si="49"/>
        <v>350</v>
      </c>
      <c r="BK81" s="19">
        <v>4</v>
      </c>
      <c r="BL81" s="19">
        <v>8</v>
      </c>
      <c r="BM81" s="16">
        <v>19251515</v>
      </c>
      <c r="BN81" t="s">
        <v>258</v>
      </c>
      <c r="BO81" t="s">
        <v>258</v>
      </c>
      <c r="BP81" t="str">
        <f t="shared" si="50"/>
        <v>-</v>
      </c>
      <c r="BQ81">
        <v>577</v>
      </c>
      <c r="BR81">
        <v>577</v>
      </c>
      <c r="BS81">
        <f t="shared" si="51"/>
        <v>637.73684210526324</v>
      </c>
      <c r="BT81" s="4" t="s">
        <v>332</v>
      </c>
    </row>
    <row r="82" spans="1:72" x14ac:dyDescent="0.4">
      <c r="A82" s="3">
        <v>84</v>
      </c>
      <c r="B82" s="3">
        <v>84</v>
      </c>
      <c r="C82" s="4">
        <v>932306</v>
      </c>
      <c r="D82" s="4" t="str">
        <f t="shared" si="35"/>
        <v>932306</v>
      </c>
      <c r="E82" s="4">
        <v>932306</v>
      </c>
      <c r="F82" s="4" t="str">
        <f t="shared" si="52"/>
        <v>9323065</v>
      </c>
      <c r="G82" s="4" t="s">
        <v>232</v>
      </c>
      <c r="H82" s="5">
        <v>4903320278783</v>
      </c>
      <c r="I82" s="5">
        <v>5</v>
      </c>
      <c r="J82" s="5"/>
      <c r="K82" s="5">
        <v>1</v>
      </c>
      <c r="L82" s="5">
        <v>1</v>
      </c>
      <c r="M82" s="4">
        <v>0</v>
      </c>
      <c r="N82" s="4">
        <v>262</v>
      </c>
      <c r="O82" s="4">
        <v>196</v>
      </c>
      <c r="P82" s="6">
        <f t="shared" si="36"/>
        <v>0.25190839694656486</v>
      </c>
      <c r="Q82" s="4" t="s">
        <v>259</v>
      </c>
      <c r="R82" s="4"/>
      <c r="S82" s="4"/>
      <c r="T82" s="4"/>
      <c r="U82" s="4"/>
      <c r="V82" s="4"/>
      <c r="W82" s="4"/>
      <c r="X82" s="4"/>
      <c r="Y82" s="4"/>
      <c r="Z82" s="4">
        <v>0</v>
      </c>
      <c r="AA82" s="4">
        <f t="shared" si="37"/>
        <v>0</v>
      </c>
      <c r="AB82" s="4">
        <v>221</v>
      </c>
      <c r="AC82" s="4">
        <f t="shared" si="38"/>
        <v>221</v>
      </c>
      <c r="AD82" s="4"/>
      <c r="AE82" s="21">
        <f t="shared" si="39"/>
        <v>295</v>
      </c>
      <c r="AF82" s="6">
        <f t="shared" si="40"/>
        <v>0.25084745762711869</v>
      </c>
      <c r="AG82" s="33">
        <v>4.25</v>
      </c>
      <c r="AH82" s="4">
        <f t="shared" si="41"/>
        <v>301</v>
      </c>
      <c r="AI82" s="33">
        <f t="shared" si="42"/>
        <v>339.39285714285717</v>
      </c>
      <c r="AJ82" s="6">
        <f t="shared" si="43"/>
        <v>0.34883720930232565</v>
      </c>
      <c r="AK82" s="7">
        <v>338</v>
      </c>
      <c r="AL82" s="6">
        <f t="shared" si="44"/>
        <v>0.34615384615384615</v>
      </c>
      <c r="AM82" s="4">
        <f t="shared" si="45"/>
        <v>117</v>
      </c>
      <c r="AN82" s="28"/>
      <c r="AO82" s="6"/>
      <c r="AP82" s="6"/>
      <c r="AQ82" s="6" t="str">
        <f t="shared" si="46"/>
        <v>-</v>
      </c>
      <c r="AR82" s="6">
        <f t="shared" si="47"/>
        <v>1.2900763358778626</v>
      </c>
      <c r="AS82" s="6">
        <f t="shared" si="48"/>
        <v>1.1275510204081634</v>
      </c>
      <c r="AT82" s="4"/>
      <c r="AU82" s="4"/>
      <c r="AV82" s="4"/>
      <c r="AW82" s="4"/>
      <c r="AX82" s="4"/>
      <c r="AY82" s="4"/>
      <c r="AZ82" s="4"/>
      <c r="BA82" s="4"/>
      <c r="BB82" s="4"/>
      <c r="BC82" s="4">
        <v>0</v>
      </c>
      <c r="BD82" s="4" t="s">
        <v>460</v>
      </c>
      <c r="BE82" s="4"/>
      <c r="BF82" s="4"/>
      <c r="BG82" s="4" t="s">
        <v>369</v>
      </c>
      <c r="BH82" s="4">
        <v>301</v>
      </c>
      <c r="BI82" s="4">
        <v>301</v>
      </c>
      <c r="BJ82" s="4">
        <f t="shared" si="49"/>
        <v>301</v>
      </c>
      <c r="BK82" s="19">
        <v>4</v>
      </c>
      <c r="BL82" s="19">
        <v>1</v>
      </c>
      <c r="BM82" s="16">
        <v>19251515</v>
      </c>
      <c r="BN82" t="s">
        <v>258</v>
      </c>
      <c r="BO82" t="s">
        <v>258</v>
      </c>
      <c r="BP82" t="str">
        <f t="shared" si="50"/>
        <v>-</v>
      </c>
      <c r="BQ82">
        <v>516</v>
      </c>
      <c r="BR82">
        <v>516</v>
      </c>
      <c r="BS82">
        <f t="shared" si="51"/>
        <v>581.81632653061229</v>
      </c>
      <c r="BT82" s="4" t="s">
        <v>344</v>
      </c>
    </row>
    <row r="83" spans="1:72" x14ac:dyDescent="0.4">
      <c r="A83" s="3">
        <v>88</v>
      </c>
      <c r="B83" s="3">
        <v>88</v>
      </c>
      <c r="C83" s="4">
        <v>932317</v>
      </c>
      <c r="D83" s="4" t="str">
        <f t="shared" si="35"/>
        <v>932317</v>
      </c>
      <c r="E83" s="4">
        <v>932317</v>
      </c>
      <c r="F83" s="4" t="str">
        <f t="shared" si="52"/>
        <v>9323175</v>
      </c>
      <c r="G83" s="4" t="s">
        <v>236</v>
      </c>
      <c r="H83" s="5">
        <v>4903320316980</v>
      </c>
      <c r="I83" s="5">
        <v>5</v>
      </c>
      <c r="J83" s="5"/>
      <c r="K83" s="5">
        <v>1</v>
      </c>
      <c r="L83" s="5">
        <v>1</v>
      </c>
      <c r="M83" s="4">
        <v>0</v>
      </c>
      <c r="N83" s="4">
        <v>296</v>
      </c>
      <c r="O83" s="4">
        <v>196</v>
      </c>
      <c r="P83" s="6">
        <f t="shared" si="36"/>
        <v>0.33783783783783783</v>
      </c>
      <c r="Q83" s="4" t="s">
        <v>259</v>
      </c>
      <c r="R83" s="4"/>
      <c r="S83" s="4"/>
      <c r="T83" s="4"/>
      <c r="U83" s="4"/>
      <c r="V83" s="4"/>
      <c r="W83" s="4"/>
      <c r="X83" s="4"/>
      <c r="Y83" s="4"/>
      <c r="Z83" s="4">
        <v>0</v>
      </c>
      <c r="AA83" s="4">
        <f t="shared" si="37"/>
        <v>0</v>
      </c>
      <c r="AB83" s="4">
        <v>221</v>
      </c>
      <c r="AC83" s="4">
        <f t="shared" si="38"/>
        <v>221</v>
      </c>
      <c r="AD83" s="4"/>
      <c r="AE83" s="21">
        <f t="shared" si="39"/>
        <v>334</v>
      </c>
      <c r="AF83" s="6">
        <f t="shared" si="40"/>
        <v>0.33832335329341312</v>
      </c>
      <c r="AG83" s="33">
        <v>6</v>
      </c>
      <c r="AH83" s="4">
        <f t="shared" si="41"/>
        <v>370</v>
      </c>
      <c r="AI83" s="33">
        <f t="shared" si="42"/>
        <v>417.19387755102042</v>
      </c>
      <c r="AJ83" s="6">
        <f t="shared" si="43"/>
        <v>0.47027027027027024</v>
      </c>
      <c r="AK83" s="7">
        <v>360</v>
      </c>
      <c r="AL83" s="6">
        <f t="shared" si="44"/>
        <v>0.38611111111111107</v>
      </c>
      <c r="AM83" s="4">
        <f t="shared" si="45"/>
        <v>139</v>
      </c>
      <c r="AN83" s="28"/>
      <c r="AO83" s="6"/>
      <c r="AP83" s="6"/>
      <c r="AQ83" s="6" t="str">
        <f t="shared" si="46"/>
        <v>-</v>
      </c>
      <c r="AR83" s="6">
        <f t="shared" si="47"/>
        <v>1.2162162162162162</v>
      </c>
      <c r="AS83" s="6">
        <f t="shared" si="48"/>
        <v>1.1275510204081634</v>
      </c>
      <c r="AT83" s="4"/>
      <c r="AU83" s="4"/>
      <c r="AV83" s="4"/>
      <c r="AW83" s="4"/>
      <c r="AX83" s="4"/>
      <c r="AY83" s="4"/>
      <c r="AZ83" s="4"/>
      <c r="BA83" s="4"/>
      <c r="BB83" s="4"/>
      <c r="BC83" s="4">
        <v>0</v>
      </c>
      <c r="BD83" s="4" t="s">
        <v>464</v>
      </c>
      <c r="BE83" s="4"/>
      <c r="BF83" s="4"/>
      <c r="BG83" s="4" t="s">
        <v>369</v>
      </c>
      <c r="BH83" s="4">
        <v>370</v>
      </c>
      <c r="BI83" s="4">
        <v>370</v>
      </c>
      <c r="BJ83" s="4">
        <f t="shared" si="49"/>
        <v>370</v>
      </c>
      <c r="BK83" s="19">
        <v>4</v>
      </c>
      <c r="BL83" s="19">
        <v>1</v>
      </c>
      <c r="BM83" s="16">
        <v>19251515</v>
      </c>
      <c r="BN83" t="s">
        <v>258</v>
      </c>
      <c r="BO83" t="s">
        <v>258</v>
      </c>
      <c r="BP83" t="str">
        <f t="shared" si="50"/>
        <v>-</v>
      </c>
      <c r="BQ83">
        <v>350</v>
      </c>
      <c r="BR83">
        <v>350</v>
      </c>
      <c r="BS83">
        <f t="shared" si="51"/>
        <v>394.64285714285717</v>
      </c>
      <c r="BT83" s="4" t="s">
        <v>348</v>
      </c>
    </row>
    <row r="84" spans="1:72" x14ac:dyDescent="0.4">
      <c r="A84" s="3">
        <v>73</v>
      </c>
      <c r="B84" s="3">
        <v>73</v>
      </c>
      <c r="C84" s="4">
        <v>932281</v>
      </c>
      <c r="D84" s="4" t="str">
        <f t="shared" si="35"/>
        <v>932281</v>
      </c>
      <c r="E84" s="4">
        <v>932281</v>
      </c>
      <c r="F84" s="4" t="str">
        <f t="shared" si="52"/>
        <v>9322815</v>
      </c>
      <c r="G84" s="4" t="s">
        <v>221</v>
      </c>
      <c r="H84" s="5">
        <v>4903320244801</v>
      </c>
      <c r="I84" s="5">
        <v>5</v>
      </c>
      <c r="J84" s="5"/>
      <c r="K84" s="5">
        <v>1</v>
      </c>
      <c r="L84" s="5">
        <v>1</v>
      </c>
      <c r="M84" s="4">
        <v>0</v>
      </c>
      <c r="N84" s="4">
        <v>256</v>
      </c>
      <c r="O84" s="4">
        <v>200</v>
      </c>
      <c r="P84" s="6">
        <f t="shared" si="36"/>
        <v>0.21875</v>
      </c>
      <c r="Q84" s="4" t="s">
        <v>259</v>
      </c>
      <c r="R84" s="4"/>
      <c r="S84" s="4"/>
      <c r="T84" s="4"/>
      <c r="U84" s="4"/>
      <c r="V84" s="4"/>
      <c r="W84" s="4"/>
      <c r="X84" s="4"/>
      <c r="Y84" s="4"/>
      <c r="Z84" s="4">
        <v>0</v>
      </c>
      <c r="AA84" s="4">
        <f t="shared" si="37"/>
        <v>0</v>
      </c>
      <c r="AB84" s="4">
        <v>226</v>
      </c>
      <c r="AC84" s="4">
        <f t="shared" si="38"/>
        <v>226</v>
      </c>
      <c r="AD84" s="4"/>
      <c r="AE84" s="21">
        <f t="shared" si="39"/>
        <v>289</v>
      </c>
      <c r="AF84" s="6">
        <f t="shared" si="40"/>
        <v>0.2179930795847751</v>
      </c>
      <c r="AG84" s="33">
        <v>0.5</v>
      </c>
      <c r="AH84" s="4">
        <f t="shared" si="41"/>
        <v>345.20000000000005</v>
      </c>
      <c r="AI84" s="33">
        <f t="shared" si="42"/>
        <v>390.07600000000002</v>
      </c>
      <c r="AJ84" s="6">
        <f t="shared" si="43"/>
        <v>0.42062572421784472</v>
      </c>
      <c r="AK84" s="7">
        <v>350</v>
      </c>
      <c r="AL84" s="6">
        <f t="shared" si="44"/>
        <v>0.35428571428571431</v>
      </c>
      <c r="AM84" s="4">
        <f t="shared" si="45"/>
        <v>124</v>
      </c>
      <c r="AN84" s="28"/>
      <c r="AO84" s="6"/>
      <c r="AP84" s="6"/>
      <c r="AQ84" s="6" t="str">
        <f t="shared" si="46"/>
        <v>-</v>
      </c>
      <c r="AR84" s="6">
        <f t="shared" si="47"/>
        <v>1.3671875</v>
      </c>
      <c r="AS84" s="6">
        <f t="shared" si="48"/>
        <v>1.1299999999999999</v>
      </c>
      <c r="AT84" s="4"/>
      <c r="AU84" s="4"/>
      <c r="AV84" s="4"/>
      <c r="AW84" s="4"/>
      <c r="AX84" s="4"/>
      <c r="AY84" s="4"/>
      <c r="AZ84" s="4"/>
      <c r="BA84" s="4"/>
      <c r="BB84" s="4"/>
      <c r="BC84" s="4">
        <v>0</v>
      </c>
      <c r="BD84" s="4" t="s">
        <v>448</v>
      </c>
      <c r="BE84" s="4">
        <v>2</v>
      </c>
      <c r="BF84" s="4">
        <v>10</v>
      </c>
      <c r="BG84" s="4" t="s">
        <v>449</v>
      </c>
      <c r="BH84" s="4">
        <v>1726</v>
      </c>
      <c r="BI84" s="4">
        <v>1726</v>
      </c>
      <c r="BJ84" s="4">
        <f t="shared" si="49"/>
        <v>345.20000000000005</v>
      </c>
      <c r="BK84" s="19">
        <v>4</v>
      </c>
      <c r="BL84" s="19">
        <v>8</v>
      </c>
      <c r="BM84" s="16">
        <v>19251515</v>
      </c>
      <c r="BN84" t="s">
        <v>258</v>
      </c>
      <c r="BO84" t="s">
        <v>258</v>
      </c>
      <c r="BP84" t="str">
        <f t="shared" si="50"/>
        <v>-</v>
      </c>
      <c r="BQ84">
        <v>520</v>
      </c>
      <c r="BR84">
        <v>520</v>
      </c>
      <c r="BS84">
        <f t="shared" si="51"/>
        <v>587.59999999999991</v>
      </c>
      <c r="BT84" s="4" t="s">
        <v>333</v>
      </c>
    </row>
    <row r="85" spans="1:72" x14ac:dyDescent="0.4">
      <c r="A85" s="3">
        <v>54</v>
      </c>
      <c r="B85" s="3">
        <v>54</v>
      </c>
      <c r="C85" s="4" t="s">
        <v>115</v>
      </c>
      <c r="D85" s="4" t="str">
        <f t="shared" si="35"/>
        <v>J239SD</v>
      </c>
      <c r="E85" s="4" t="s">
        <v>115</v>
      </c>
      <c r="F85" s="4" t="str">
        <f t="shared" si="52"/>
        <v>J239SD5</v>
      </c>
      <c r="G85" s="4" t="s">
        <v>202</v>
      </c>
      <c r="H85" s="5">
        <v>4903320162808</v>
      </c>
      <c r="I85" s="5">
        <v>5</v>
      </c>
      <c r="J85" s="5"/>
      <c r="K85" s="5">
        <v>1</v>
      </c>
      <c r="L85" s="5">
        <v>1</v>
      </c>
      <c r="M85" s="4">
        <v>0</v>
      </c>
      <c r="N85" s="4">
        <v>369</v>
      </c>
      <c r="O85" s="4">
        <v>211</v>
      </c>
      <c r="P85" s="6">
        <f t="shared" si="36"/>
        <v>0.42818428184281843</v>
      </c>
      <c r="Q85" s="4" t="s">
        <v>259</v>
      </c>
      <c r="R85" s="4"/>
      <c r="S85" s="4"/>
      <c r="T85" s="4"/>
      <c r="U85" s="4"/>
      <c r="V85" s="4"/>
      <c r="W85" s="4"/>
      <c r="X85" s="4"/>
      <c r="Y85" s="4"/>
      <c r="Z85" s="4">
        <v>0</v>
      </c>
      <c r="AA85" s="4">
        <f t="shared" si="37"/>
        <v>0</v>
      </c>
      <c r="AB85" s="4">
        <v>233</v>
      </c>
      <c r="AC85" s="4">
        <f t="shared" si="38"/>
        <v>233</v>
      </c>
      <c r="AD85" s="4"/>
      <c r="AE85" s="21">
        <f t="shared" si="39"/>
        <v>407</v>
      </c>
      <c r="AF85" s="6">
        <f t="shared" si="40"/>
        <v>0.4275184275184275</v>
      </c>
      <c r="AG85" s="33">
        <v>4.25</v>
      </c>
      <c r="AH85" s="4">
        <f t="shared" si="41"/>
        <v>362</v>
      </c>
      <c r="AI85" s="33">
        <f t="shared" si="42"/>
        <v>399.74407582938386</v>
      </c>
      <c r="AJ85" s="6">
        <f t="shared" si="43"/>
        <v>0.41712707182320441</v>
      </c>
      <c r="AK85" s="7">
        <v>398</v>
      </c>
      <c r="AL85" s="6">
        <f t="shared" si="44"/>
        <v>0.414572864321608</v>
      </c>
      <c r="AM85" s="4">
        <f t="shared" si="45"/>
        <v>165</v>
      </c>
      <c r="AN85" s="28"/>
      <c r="AO85" s="6"/>
      <c r="AP85" s="6"/>
      <c r="AQ85" s="6" t="str">
        <f t="shared" si="46"/>
        <v>-</v>
      </c>
      <c r="AR85" s="6">
        <f t="shared" si="47"/>
        <v>1.0785907859078592</v>
      </c>
      <c r="AS85" s="6">
        <f t="shared" si="48"/>
        <v>1.1042654028436019</v>
      </c>
      <c r="AT85" s="4"/>
      <c r="AU85" s="4"/>
      <c r="AV85" s="4"/>
      <c r="AW85" s="4"/>
      <c r="AX85" s="4"/>
      <c r="AY85" s="4"/>
      <c r="AZ85" s="4"/>
      <c r="BA85" s="4"/>
      <c r="BB85" s="4"/>
      <c r="BC85" s="4" t="s">
        <v>256</v>
      </c>
      <c r="BD85" s="4" t="s">
        <v>429</v>
      </c>
      <c r="BE85" s="4"/>
      <c r="BF85" s="4"/>
      <c r="BG85" s="4" t="s">
        <v>369</v>
      </c>
      <c r="BH85" s="4">
        <v>362</v>
      </c>
      <c r="BI85" s="4">
        <v>362</v>
      </c>
      <c r="BJ85" s="4">
        <f t="shared" si="49"/>
        <v>362</v>
      </c>
      <c r="BK85" s="19">
        <v>4</v>
      </c>
      <c r="BL85" s="19">
        <v>1</v>
      </c>
      <c r="BM85" s="16">
        <v>19251515</v>
      </c>
      <c r="BN85" t="s">
        <v>258</v>
      </c>
      <c r="BO85" t="s">
        <v>258</v>
      </c>
      <c r="BP85" t="str">
        <f t="shared" si="50"/>
        <v>-</v>
      </c>
      <c r="BQ85">
        <v>362</v>
      </c>
      <c r="BR85">
        <v>362</v>
      </c>
      <c r="BS85">
        <f t="shared" si="51"/>
        <v>399.74407582938386</v>
      </c>
      <c r="BT85" s="4" t="s">
        <v>314</v>
      </c>
    </row>
    <row r="86" spans="1:72" x14ac:dyDescent="0.4">
      <c r="A86" s="3">
        <v>91</v>
      </c>
      <c r="B86" s="3">
        <v>91</v>
      </c>
      <c r="C86" s="4">
        <v>932325</v>
      </c>
      <c r="D86" s="4" t="str">
        <f t="shared" si="35"/>
        <v>932325</v>
      </c>
      <c r="E86" s="4">
        <v>932325</v>
      </c>
      <c r="F86" s="4" t="str">
        <f t="shared" si="52"/>
        <v>9323255</v>
      </c>
      <c r="G86" s="4" t="s">
        <v>239</v>
      </c>
      <c r="H86" s="5">
        <v>4903320318786</v>
      </c>
      <c r="I86" s="5">
        <v>5</v>
      </c>
      <c r="J86" s="5"/>
      <c r="K86" s="5">
        <v>1</v>
      </c>
      <c r="L86" s="5">
        <v>1</v>
      </c>
      <c r="M86" s="4">
        <v>0</v>
      </c>
      <c r="N86" s="4">
        <v>337</v>
      </c>
      <c r="O86" s="4">
        <v>212</v>
      </c>
      <c r="P86" s="6">
        <f t="shared" si="36"/>
        <v>0.37091988130563802</v>
      </c>
      <c r="Q86" s="4" t="s">
        <v>259</v>
      </c>
      <c r="R86" s="4"/>
      <c r="S86" s="4"/>
      <c r="T86" s="4"/>
      <c r="U86" s="4"/>
      <c r="V86" s="4"/>
      <c r="W86" s="4"/>
      <c r="X86" s="4"/>
      <c r="Y86" s="4"/>
      <c r="Z86" s="4">
        <v>0</v>
      </c>
      <c r="AA86" s="4">
        <f t="shared" si="37"/>
        <v>0</v>
      </c>
      <c r="AB86" s="4">
        <v>240</v>
      </c>
      <c r="AC86" s="4">
        <f t="shared" si="38"/>
        <v>240</v>
      </c>
      <c r="AD86" s="4"/>
      <c r="AE86" s="21">
        <f t="shared" si="39"/>
        <v>382</v>
      </c>
      <c r="AF86" s="6">
        <f t="shared" si="40"/>
        <v>0.37172774869109948</v>
      </c>
      <c r="AG86" s="33">
        <v>0.5</v>
      </c>
      <c r="AH86" s="4">
        <f t="shared" si="41"/>
        <v>380</v>
      </c>
      <c r="AI86" s="33">
        <f t="shared" si="42"/>
        <v>430.18867924528303</v>
      </c>
      <c r="AJ86" s="6">
        <f t="shared" si="43"/>
        <v>0.44210526315789478</v>
      </c>
      <c r="AK86" s="7">
        <v>400</v>
      </c>
      <c r="AL86" s="6">
        <f t="shared" si="44"/>
        <v>0.4</v>
      </c>
      <c r="AM86" s="4">
        <f t="shared" si="45"/>
        <v>160</v>
      </c>
      <c r="AN86" s="28"/>
      <c r="AO86" s="6"/>
      <c r="AP86" s="6"/>
      <c r="AQ86" s="6" t="str">
        <f t="shared" si="46"/>
        <v>-</v>
      </c>
      <c r="AR86" s="6">
        <f t="shared" si="47"/>
        <v>1.1869436201780414</v>
      </c>
      <c r="AS86" s="6">
        <f t="shared" si="48"/>
        <v>1.1320754716981132</v>
      </c>
      <c r="AT86" s="4"/>
      <c r="AU86" s="4"/>
      <c r="AV86" s="4"/>
      <c r="AW86" s="4"/>
      <c r="AX86" s="4"/>
      <c r="AY86" s="4"/>
      <c r="AZ86" s="4"/>
      <c r="BA86" s="4"/>
      <c r="BB86" s="4"/>
      <c r="BC86" s="4">
        <v>0</v>
      </c>
      <c r="BD86" s="4" t="s">
        <v>467</v>
      </c>
      <c r="BE86" s="4"/>
      <c r="BF86" s="4"/>
      <c r="BG86" s="4" t="s">
        <v>380</v>
      </c>
      <c r="BH86" s="4">
        <v>380</v>
      </c>
      <c r="BI86" s="4">
        <v>380</v>
      </c>
      <c r="BJ86" s="4">
        <f t="shared" si="49"/>
        <v>380</v>
      </c>
      <c r="BK86" s="19">
        <v>4</v>
      </c>
      <c r="BL86" s="19">
        <v>1</v>
      </c>
      <c r="BM86" s="16">
        <v>19251515</v>
      </c>
      <c r="BN86" t="s">
        <v>258</v>
      </c>
      <c r="BO86" t="s">
        <v>258</v>
      </c>
      <c r="BP86" t="str">
        <f t="shared" si="50"/>
        <v>-</v>
      </c>
      <c r="BQ86">
        <v>561</v>
      </c>
      <c r="BR86">
        <v>561</v>
      </c>
      <c r="BS86">
        <f t="shared" si="51"/>
        <v>635.09433962264154</v>
      </c>
      <c r="BT86" s="4" t="s">
        <v>351</v>
      </c>
    </row>
    <row r="87" spans="1:72" x14ac:dyDescent="0.4">
      <c r="A87" s="3">
        <v>4</v>
      </c>
      <c r="B87" s="3">
        <v>4</v>
      </c>
      <c r="C87" s="4" t="s">
        <v>67</v>
      </c>
      <c r="D87" s="4" t="str">
        <f t="shared" si="35"/>
        <v>J9017X</v>
      </c>
      <c r="E87" s="4" t="s">
        <v>67</v>
      </c>
      <c r="F87" s="4" t="str">
        <f t="shared" si="52"/>
        <v>J9017X5</v>
      </c>
      <c r="G87" s="4" t="s">
        <v>152</v>
      </c>
      <c r="H87" s="5">
        <v>4903320075184</v>
      </c>
      <c r="I87" s="5">
        <v>5</v>
      </c>
      <c r="J87" s="5"/>
      <c r="K87" s="5">
        <v>1</v>
      </c>
      <c r="L87" s="5">
        <v>1</v>
      </c>
      <c r="M87" s="4">
        <v>0</v>
      </c>
      <c r="N87" s="4">
        <v>327</v>
      </c>
      <c r="O87" s="4">
        <v>218</v>
      </c>
      <c r="P87" s="6">
        <f t="shared" si="36"/>
        <v>0.33333333333333337</v>
      </c>
      <c r="Q87" s="4" t="s">
        <v>259</v>
      </c>
      <c r="R87" s="4"/>
      <c r="S87" s="4"/>
      <c r="T87" s="4"/>
      <c r="U87" s="4"/>
      <c r="V87" s="4"/>
      <c r="W87" s="4"/>
      <c r="X87" s="4"/>
      <c r="Y87" s="4"/>
      <c r="Z87" s="4">
        <v>0</v>
      </c>
      <c r="AA87" s="4">
        <f t="shared" si="37"/>
        <v>0</v>
      </c>
      <c r="AB87" s="4">
        <v>241</v>
      </c>
      <c r="AC87" s="4">
        <f t="shared" si="38"/>
        <v>241</v>
      </c>
      <c r="AD87" s="4"/>
      <c r="AE87" s="21">
        <f t="shared" si="39"/>
        <v>362</v>
      </c>
      <c r="AF87" s="6">
        <f t="shared" si="40"/>
        <v>0.33425414364640882</v>
      </c>
      <c r="AG87" s="33">
        <v>0.25</v>
      </c>
      <c r="AH87" s="4">
        <f t="shared" si="41"/>
        <v>361.6</v>
      </c>
      <c r="AI87" s="33">
        <f t="shared" si="42"/>
        <v>399.75045871559632</v>
      </c>
      <c r="AJ87" s="6">
        <f t="shared" si="43"/>
        <v>0.39712389380530977</v>
      </c>
      <c r="AK87" s="7">
        <v>398</v>
      </c>
      <c r="AL87" s="6">
        <f t="shared" si="44"/>
        <v>0.39447236180904521</v>
      </c>
      <c r="AM87" s="4">
        <f t="shared" si="45"/>
        <v>157</v>
      </c>
      <c r="AN87" s="28"/>
      <c r="AO87" s="6"/>
      <c r="AP87" s="6"/>
      <c r="AQ87" s="6" t="str">
        <f t="shared" si="46"/>
        <v>-</v>
      </c>
      <c r="AR87" s="6">
        <f t="shared" si="47"/>
        <v>1.217125382262997</v>
      </c>
      <c r="AS87" s="6">
        <f t="shared" si="48"/>
        <v>1.1055045871559632</v>
      </c>
      <c r="AT87" s="4"/>
      <c r="AU87" s="4"/>
      <c r="AV87" s="4"/>
      <c r="AW87" s="4"/>
      <c r="AX87" s="4"/>
      <c r="AY87" s="4"/>
      <c r="AZ87" s="4"/>
      <c r="BA87" s="4"/>
      <c r="BB87" s="4"/>
      <c r="BC87" s="4">
        <v>0</v>
      </c>
      <c r="BD87" s="4" t="s">
        <v>371</v>
      </c>
      <c r="BE87" s="4">
        <v>1</v>
      </c>
      <c r="BF87" s="4">
        <v>5</v>
      </c>
      <c r="BG87" s="4" t="s">
        <v>372</v>
      </c>
      <c r="BH87" s="4">
        <v>1808</v>
      </c>
      <c r="BI87" s="4">
        <v>1808</v>
      </c>
      <c r="BJ87" s="4">
        <f t="shared" si="49"/>
        <v>361.6</v>
      </c>
      <c r="BK87" s="19">
        <v>4</v>
      </c>
      <c r="BL87" s="19">
        <v>8</v>
      </c>
      <c r="BM87" s="16">
        <v>19251515</v>
      </c>
      <c r="BN87" t="s">
        <v>258</v>
      </c>
      <c r="BO87" t="s">
        <v>258</v>
      </c>
      <c r="BP87" t="str">
        <f t="shared" si="50"/>
        <v>-</v>
      </c>
      <c r="BQ87">
        <v>575</v>
      </c>
      <c r="BR87">
        <v>575</v>
      </c>
      <c r="BS87">
        <f t="shared" si="51"/>
        <v>635.66513761467888</v>
      </c>
      <c r="BT87" s="4" t="s">
        <v>265</v>
      </c>
    </row>
    <row r="88" spans="1:72" x14ac:dyDescent="0.4">
      <c r="A88" s="3">
        <v>8</v>
      </c>
      <c r="B88" s="3">
        <v>8</v>
      </c>
      <c r="C88" s="4" t="s">
        <v>69</v>
      </c>
      <c r="D88" s="4" t="str">
        <f t="shared" si="35"/>
        <v>J9018X</v>
      </c>
      <c r="E88" s="4" t="s">
        <v>69</v>
      </c>
      <c r="F88" s="4" t="str">
        <f t="shared" si="52"/>
        <v>J9018X5</v>
      </c>
      <c r="G88" s="4" t="s">
        <v>156</v>
      </c>
      <c r="H88" s="5">
        <v>4903320161726</v>
      </c>
      <c r="I88" s="5">
        <v>5</v>
      </c>
      <c r="J88" s="5"/>
      <c r="K88" s="5">
        <v>1</v>
      </c>
      <c r="L88" s="5">
        <v>1</v>
      </c>
      <c r="M88" s="4">
        <v>0</v>
      </c>
      <c r="N88" s="4">
        <v>371</v>
      </c>
      <c r="O88" s="4">
        <v>220</v>
      </c>
      <c r="P88" s="6">
        <f t="shared" si="36"/>
        <v>0.40700808625336926</v>
      </c>
      <c r="Q88" s="4" t="s">
        <v>259</v>
      </c>
      <c r="R88" s="4"/>
      <c r="S88" s="4"/>
      <c r="T88" s="4"/>
      <c r="U88" s="4"/>
      <c r="V88" s="4"/>
      <c r="W88" s="4"/>
      <c r="X88" s="4"/>
      <c r="Y88" s="4"/>
      <c r="Z88" s="4">
        <v>0</v>
      </c>
      <c r="AA88" s="4">
        <f t="shared" si="37"/>
        <v>0</v>
      </c>
      <c r="AB88" s="4">
        <v>242</v>
      </c>
      <c r="AC88" s="4">
        <f t="shared" si="38"/>
        <v>242</v>
      </c>
      <c r="AD88" s="4"/>
      <c r="AE88" s="21">
        <f t="shared" si="39"/>
        <v>408</v>
      </c>
      <c r="AF88" s="6">
        <f t="shared" si="40"/>
        <v>0.40686274509803921</v>
      </c>
      <c r="AG88" s="33">
        <v>0</v>
      </c>
      <c r="AH88" s="4">
        <f t="shared" si="41"/>
        <v>363</v>
      </c>
      <c r="AI88" s="33">
        <f t="shared" si="42"/>
        <v>399.3</v>
      </c>
      <c r="AJ88" s="6">
        <f t="shared" si="43"/>
        <v>0.39393939393939392</v>
      </c>
      <c r="AK88" s="7">
        <v>398</v>
      </c>
      <c r="AL88" s="6">
        <f t="shared" si="44"/>
        <v>0.39195979899497491</v>
      </c>
      <c r="AM88" s="4">
        <f t="shared" si="45"/>
        <v>156</v>
      </c>
      <c r="AN88" s="28"/>
      <c r="AO88" s="6"/>
      <c r="AP88" s="6"/>
      <c r="AQ88" s="6" t="str">
        <f t="shared" si="46"/>
        <v>-</v>
      </c>
      <c r="AR88" s="6">
        <f t="shared" si="47"/>
        <v>1.0727762803234502</v>
      </c>
      <c r="AS88" s="6">
        <f t="shared" si="48"/>
        <v>1.1000000000000001</v>
      </c>
      <c r="AT88" s="4"/>
      <c r="AU88" s="4"/>
      <c r="AV88" s="4"/>
      <c r="AW88" s="4"/>
      <c r="AX88" s="4"/>
      <c r="AY88" s="4"/>
      <c r="AZ88" s="4"/>
      <c r="BA88" s="4"/>
      <c r="BB88" s="4"/>
      <c r="BC88" s="4">
        <v>0</v>
      </c>
      <c r="BD88" s="4" t="s">
        <v>377</v>
      </c>
      <c r="BE88" s="4"/>
      <c r="BF88" s="4"/>
      <c r="BG88" s="4" t="s">
        <v>378</v>
      </c>
      <c r="BH88" s="4">
        <v>363</v>
      </c>
      <c r="BI88" s="4">
        <v>363</v>
      </c>
      <c r="BJ88" s="4">
        <f t="shared" si="49"/>
        <v>363</v>
      </c>
      <c r="BK88" s="19">
        <v>4</v>
      </c>
      <c r="BL88" s="19">
        <v>8</v>
      </c>
      <c r="BM88" s="16">
        <v>19251515</v>
      </c>
      <c r="BN88" t="s">
        <v>258</v>
      </c>
      <c r="BO88" t="s">
        <v>258</v>
      </c>
      <c r="BP88" t="str">
        <f t="shared" si="50"/>
        <v>-</v>
      </c>
      <c r="BQ88">
        <v>362</v>
      </c>
      <c r="BR88">
        <v>362</v>
      </c>
      <c r="BS88">
        <f t="shared" si="51"/>
        <v>398.20000000000005</v>
      </c>
      <c r="BT88" s="4" t="s">
        <v>268</v>
      </c>
    </row>
    <row r="89" spans="1:72" x14ac:dyDescent="0.4">
      <c r="A89" s="3">
        <v>74</v>
      </c>
      <c r="B89" s="3">
        <v>74</v>
      </c>
      <c r="C89" s="4">
        <v>932282</v>
      </c>
      <c r="D89" s="4" t="str">
        <f t="shared" si="35"/>
        <v>932282</v>
      </c>
      <c r="E89" s="4">
        <v>932282</v>
      </c>
      <c r="F89" s="4" t="str">
        <f t="shared" si="52"/>
        <v>9322825</v>
      </c>
      <c r="G89" s="4" t="s">
        <v>222</v>
      </c>
      <c r="H89" s="5">
        <v>4903320244900</v>
      </c>
      <c r="I89" s="5">
        <v>5</v>
      </c>
      <c r="J89" s="5"/>
      <c r="K89" s="5">
        <v>1</v>
      </c>
      <c r="L89" s="5">
        <v>1</v>
      </c>
      <c r="M89" s="4">
        <v>0</v>
      </c>
      <c r="N89" s="4">
        <v>334</v>
      </c>
      <c r="O89" s="4">
        <v>223</v>
      </c>
      <c r="P89" s="6">
        <f t="shared" si="36"/>
        <v>0.33233532934131738</v>
      </c>
      <c r="Q89" s="4" t="s">
        <v>259</v>
      </c>
      <c r="R89" s="4"/>
      <c r="S89" s="4"/>
      <c r="T89" s="4"/>
      <c r="U89" s="4"/>
      <c r="V89" s="4"/>
      <c r="W89" s="4"/>
      <c r="X89" s="4"/>
      <c r="Y89" s="4"/>
      <c r="Z89" s="4">
        <v>0</v>
      </c>
      <c r="AA89" s="4">
        <f t="shared" si="37"/>
        <v>0</v>
      </c>
      <c r="AB89" s="4">
        <v>252</v>
      </c>
      <c r="AC89" s="4">
        <f t="shared" si="38"/>
        <v>252</v>
      </c>
      <c r="AD89" s="4"/>
      <c r="AE89" s="21">
        <f t="shared" si="39"/>
        <v>377</v>
      </c>
      <c r="AF89" s="6">
        <f t="shared" si="40"/>
        <v>0.33156498673740054</v>
      </c>
      <c r="AG89" s="33">
        <v>0.25</v>
      </c>
      <c r="AH89" s="4">
        <f t="shared" si="41"/>
        <v>340</v>
      </c>
      <c r="AI89" s="33">
        <f t="shared" si="42"/>
        <v>384.21524663677127</v>
      </c>
      <c r="AJ89" s="6">
        <f t="shared" si="43"/>
        <v>0.34411764705882353</v>
      </c>
      <c r="AK89" s="7">
        <v>384</v>
      </c>
      <c r="AL89" s="6">
        <f t="shared" si="44"/>
        <v>0.34375</v>
      </c>
      <c r="AM89" s="4">
        <f t="shared" si="45"/>
        <v>132</v>
      </c>
      <c r="AN89" s="28"/>
      <c r="AO89" s="6"/>
      <c r="AP89" s="6"/>
      <c r="AQ89" s="6" t="str">
        <f t="shared" si="46"/>
        <v>-</v>
      </c>
      <c r="AR89" s="6">
        <f t="shared" si="47"/>
        <v>1.1497005988023952</v>
      </c>
      <c r="AS89" s="6">
        <f t="shared" si="48"/>
        <v>1.1300448430493273</v>
      </c>
      <c r="AT89" s="4"/>
      <c r="AU89" s="4"/>
      <c r="AV89" s="4"/>
      <c r="AW89" s="4"/>
      <c r="AX89" s="4"/>
      <c r="AY89" s="4"/>
      <c r="AZ89" s="4"/>
      <c r="BA89" s="4"/>
      <c r="BB89" s="4"/>
      <c r="BC89" s="4">
        <v>0</v>
      </c>
      <c r="BD89" s="4" t="s">
        <v>450</v>
      </c>
      <c r="BE89" s="4"/>
      <c r="BF89" s="4"/>
      <c r="BG89" s="4" t="s">
        <v>369</v>
      </c>
      <c r="BH89" s="4">
        <v>340</v>
      </c>
      <c r="BI89" s="4">
        <v>340</v>
      </c>
      <c r="BJ89" s="4">
        <f t="shared" si="49"/>
        <v>340</v>
      </c>
      <c r="BK89" s="19">
        <v>4</v>
      </c>
      <c r="BL89" s="19">
        <v>8</v>
      </c>
      <c r="BM89" s="16">
        <v>19251515</v>
      </c>
      <c r="BN89" t="s">
        <v>258</v>
      </c>
      <c r="BO89" t="s">
        <v>258</v>
      </c>
      <c r="BP89" t="str">
        <f t="shared" si="50"/>
        <v>-</v>
      </c>
      <c r="BQ89">
        <v>559</v>
      </c>
      <c r="BR89">
        <v>559</v>
      </c>
      <c r="BS89">
        <f t="shared" si="51"/>
        <v>631.69506726457394</v>
      </c>
      <c r="BT89" s="4" t="s">
        <v>334</v>
      </c>
    </row>
    <row r="90" spans="1:72" x14ac:dyDescent="0.4">
      <c r="A90" s="3">
        <v>2</v>
      </c>
      <c r="B90" s="3">
        <v>2</v>
      </c>
      <c r="C90" s="4" t="s">
        <v>66</v>
      </c>
      <c r="D90" s="4" t="str">
        <f t="shared" si="35"/>
        <v>J1702Y</v>
      </c>
      <c r="E90" s="4" t="s">
        <v>66</v>
      </c>
      <c r="F90" s="4" t="str">
        <f t="shared" si="52"/>
        <v>J1702Y5</v>
      </c>
      <c r="G90" s="4" t="s">
        <v>150</v>
      </c>
      <c r="H90" s="5">
        <v>4903320063181</v>
      </c>
      <c r="I90" s="5">
        <v>5</v>
      </c>
      <c r="J90" s="5"/>
      <c r="K90" s="5">
        <v>1</v>
      </c>
      <c r="L90" s="5">
        <v>1</v>
      </c>
      <c r="M90" s="4">
        <v>0</v>
      </c>
      <c r="N90" s="4">
        <v>276</v>
      </c>
      <c r="O90" s="4">
        <v>229</v>
      </c>
      <c r="P90" s="6">
        <f t="shared" si="36"/>
        <v>0.17028985507246375</v>
      </c>
      <c r="Q90" s="4" t="s">
        <v>259</v>
      </c>
      <c r="R90" s="4"/>
      <c r="S90" s="4"/>
      <c r="T90" s="4"/>
      <c r="U90" s="4"/>
      <c r="V90" s="4"/>
      <c r="W90" s="4"/>
      <c r="X90" s="4"/>
      <c r="Y90" s="4"/>
      <c r="Z90" s="4">
        <v>0</v>
      </c>
      <c r="AA90" s="4">
        <f t="shared" si="37"/>
        <v>0</v>
      </c>
      <c r="AB90" s="4">
        <v>253</v>
      </c>
      <c r="AC90" s="4">
        <f t="shared" si="38"/>
        <v>253</v>
      </c>
      <c r="AD90" s="4"/>
      <c r="AE90" s="21">
        <f t="shared" si="39"/>
        <v>305</v>
      </c>
      <c r="AF90" s="6">
        <f t="shared" si="40"/>
        <v>0.17049180327868851</v>
      </c>
      <c r="AG90" s="33">
        <v>1.25</v>
      </c>
      <c r="AH90" s="4">
        <f t="shared" si="41"/>
        <v>400</v>
      </c>
      <c r="AI90" s="33">
        <f t="shared" si="42"/>
        <v>441.92139737991266</v>
      </c>
      <c r="AJ90" s="6">
        <f t="shared" si="43"/>
        <v>0.42749999999999999</v>
      </c>
      <c r="AK90" s="7">
        <v>400</v>
      </c>
      <c r="AL90" s="6">
        <f t="shared" si="44"/>
        <v>0.36750000000000005</v>
      </c>
      <c r="AM90" s="4">
        <f t="shared" si="45"/>
        <v>147</v>
      </c>
      <c r="AN90" s="28"/>
      <c r="AO90" s="6"/>
      <c r="AP90" s="6"/>
      <c r="AQ90" s="6" t="str">
        <f t="shared" si="46"/>
        <v>-</v>
      </c>
      <c r="AR90" s="6">
        <f t="shared" si="47"/>
        <v>1.4492753623188406</v>
      </c>
      <c r="AS90" s="6">
        <f t="shared" si="48"/>
        <v>1.1048034934497817</v>
      </c>
      <c r="AT90" s="4"/>
      <c r="AU90" s="4"/>
      <c r="AV90" s="4"/>
      <c r="AW90" s="4"/>
      <c r="AX90" s="4"/>
      <c r="AY90" s="4"/>
      <c r="AZ90" s="4"/>
      <c r="BA90" s="4"/>
      <c r="BB90" s="4"/>
      <c r="BC90" s="4">
        <v>0</v>
      </c>
      <c r="BD90" s="4" t="s">
        <v>368</v>
      </c>
      <c r="BE90" s="4"/>
      <c r="BF90" s="4"/>
      <c r="BG90" s="4" t="s">
        <v>369</v>
      </c>
      <c r="BH90" s="4">
        <v>400</v>
      </c>
      <c r="BI90" s="4">
        <v>400</v>
      </c>
      <c r="BJ90" s="4">
        <f t="shared" si="49"/>
        <v>400</v>
      </c>
      <c r="BK90" s="19">
        <v>4</v>
      </c>
      <c r="BL90" s="19">
        <v>1</v>
      </c>
      <c r="BM90" s="16">
        <v>19251515</v>
      </c>
      <c r="BN90">
        <v>382</v>
      </c>
      <c r="BO90">
        <v>382</v>
      </c>
      <c r="BP90">
        <f t="shared" si="50"/>
        <v>422.03493449781661</v>
      </c>
      <c r="BQ90">
        <v>380</v>
      </c>
      <c r="BR90">
        <v>380</v>
      </c>
      <c r="BS90">
        <f t="shared" si="51"/>
        <v>419.82532751091702</v>
      </c>
      <c r="BT90" s="4" t="s">
        <v>263</v>
      </c>
    </row>
    <row r="91" spans="1:72" x14ac:dyDescent="0.4">
      <c r="A91" s="3">
        <v>55</v>
      </c>
      <c r="B91" s="3">
        <v>55</v>
      </c>
      <c r="C91" s="4" t="s">
        <v>116</v>
      </c>
      <c r="D91" s="4" t="str">
        <f t="shared" si="35"/>
        <v>J240SD</v>
      </c>
      <c r="E91" s="4" t="s">
        <v>116</v>
      </c>
      <c r="F91" s="4" t="str">
        <f t="shared" si="52"/>
        <v>J240SD5</v>
      </c>
      <c r="G91" s="4" t="s">
        <v>203</v>
      </c>
      <c r="H91" s="5">
        <v>4903320162815</v>
      </c>
      <c r="I91" s="5">
        <v>5</v>
      </c>
      <c r="J91" s="5"/>
      <c r="K91" s="5">
        <v>1</v>
      </c>
      <c r="L91" s="5">
        <v>1</v>
      </c>
      <c r="M91" s="4">
        <v>0</v>
      </c>
      <c r="N91" s="4">
        <v>410</v>
      </c>
      <c r="O91" s="4">
        <v>247</v>
      </c>
      <c r="P91" s="6">
        <f t="shared" si="36"/>
        <v>0.39756097560975612</v>
      </c>
      <c r="Q91" s="4" t="s">
        <v>259</v>
      </c>
      <c r="R91" s="4"/>
      <c r="S91" s="4"/>
      <c r="T91" s="4"/>
      <c r="U91" s="4"/>
      <c r="V91" s="4"/>
      <c r="W91" s="4"/>
      <c r="X91" s="4"/>
      <c r="Y91" s="4"/>
      <c r="Z91" s="4">
        <v>0</v>
      </c>
      <c r="AA91" s="4">
        <f t="shared" si="37"/>
        <v>0</v>
      </c>
      <c r="AB91" s="4">
        <v>273</v>
      </c>
      <c r="AC91" s="4">
        <f t="shared" si="38"/>
        <v>273</v>
      </c>
      <c r="AD91" s="4"/>
      <c r="AE91" s="21">
        <f t="shared" si="39"/>
        <v>453</v>
      </c>
      <c r="AF91" s="6">
        <f t="shared" si="40"/>
        <v>0.39735099337748347</v>
      </c>
      <c r="AG91" s="33">
        <v>10.5</v>
      </c>
      <c r="AH91" s="4">
        <f t="shared" si="41"/>
        <v>408</v>
      </c>
      <c r="AI91" s="33">
        <f t="shared" si="42"/>
        <v>450.94736842105266</v>
      </c>
      <c r="AJ91" s="6">
        <f t="shared" si="43"/>
        <v>0.39460784313725494</v>
      </c>
      <c r="AK91" s="7">
        <v>450</v>
      </c>
      <c r="AL91" s="6">
        <f t="shared" si="44"/>
        <v>0.39333333333333331</v>
      </c>
      <c r="AM91" s="4">
        <f t="shared" si="45"/>
        <v>177</v>
      </c>
      <c r="AN91" s="28"/>
      <c r="AO91" s="6"/>
      <c r="AP91" s="6"/>
      <c r="AQ91" s="6" t="str">
        <f t="shared" si="46"/>
        <v>-</v>
      </c>
      <c r="AR91" s="6">
        <f t="shared" si="47"/>
        <v>1.0975609756097562</v>
      </c>
      <c r="AS91" s="6">
        <f t="shared" si="48"/>
        <v>1.1052631578947369</v>
      </c>
      <c r="AT91" s="4"/>
      <c r="AU91" s="4"/>
      <c r="AV91" s="4"/>
      <c r="AW91" s="4"/>
      <c r="AX91" s="4"/>
      <c r="AY91" s="4"/>
      <c r="AZ91" s="4"/>
      <c r="BA91" s="4"/>
      <c r="BB91" s="4"/>
      <c r="BC91" s="4">
        <v>0</v>
      </c>
      <c r="BD91" s="4" t="s">
        <v>430</v>
      </c>
      <c r="BE91" s="4"/>
      <c r="BF91" s="4"/>
      <c r="BG91" s="4" t="s">
        <v>369</v>
      </c>
      <c r="BH91" s="4">
        <v>408</v>
      </c>
      <c r="BI91" s="4">
        <v>408</v>
      </c>
      <c r="BJ91" s="4">
        <f t="shared" si="49"/>
        <v>408</v>
      </c>
      <c r="BK91" s="19">
        <v>4</v>
      </c>
      <c r="BL91" s="19">
        <v>1</v>
      </c>
      <c r="BM91" s="16">
        <v>19251515</v>
      </c>
      <c r="BN91" t="s">
        <v>258</v>
      </c>
      <c r="BO91" t="s">
        <v>258</v>
      </c>
      <c r="BP91" t="str">
        <f t="shared" si="50"/>
        <v>-</v>
      </c>
      <c r="BQ91">
        <v>408</v>
      </c>
      <c r="BR91">
        <v>408</v>
      </c>
      <c r="BS91">
        <f t="shared" si="51"/>
        <v>450.94736842105266</v>
      </c>
      <c r="BT91" s="4" t="s">
        <v>315</v>
      </c>
    </row>
    <row r="92" spans="1:72" x14ac:dyDescent="0.4">
      <c r="A92" s="3">
        <v>87</v>
      </c>
      <c r="B92" s="3">
        <v>87</v>
      </c>
      <c r="C92" s="4">
        <v>932315</v>
      </c>
      <c r="D92" s="4" t="str">
        <f t="shared" si="35"/>
        <v>932315</v>
      </c>
      <c r="E92" s="4">
        <v>932315</v>
      </c>
      <c r="F92" s="4" t="str">
        <f t="shared" si="52"/>
        <v>9323155</v>
      </c>
      <c r="G92" s="4" t="s">
        <v>235</v>
      </c>
      <c r="H92" s="5">
        <v>4903320316287</v>
      </c>
      <c r="I92" s="5">
        <v>5</v>
      </c>
      <c r="J92" s="5"/>
      <c r="K92" s="5">
        <v>1</v>
      </c>
      <c r="L92" s="5">
        <v>1</v>
      </c>
      <c r="M92" s="4">
        <v>0</v>
      </c>
      <c r="N92" s="4">
        <v>338</v>
      </c>
      <c r="O92" s="4">
        <v>250</v>
      </c>
      <c r="P92" s="6">
        <f t="shared" si="36"/>
        <v>0.26035502958579881</v>
      </c>
      <c r="Q92" s="4" t="s">
        <v>259</v>
      </c>
      <c r="R92" s="4"/>
      <c r="S92" s="4"/>
      <c r="T92" s="4"/>
      <c r="U92" s="4"/>
      <c r="V92" s="4"/>
      <c r="W92" s="4"/>
      <c r="X92" s="4"/>
      <c r="Y92" s="4"/>
      <c r="Z92" s="4">
        <v>0</v>
      </c>
      <c r="AA92" s="4">
        <f t="shared" si="37"/>
        <v>0</v>
      </c>
      <c r="AB92" s="4">
        <v>282</v>
      </c>
      <c r="AC92" s="4">
        <f t="shared" si="38"/>
        <v>282</v>
      </c>
      <c r="AD92" s="4"/>
      <c r="AE92" s="21">
        <f t="shared" si="39"/>
        <v>381</v>
      </c>
      <c r="AF92" s="6">
        <f t="shared" si="40"/>
        <v>0.25984251968503935</v>
      </c>
      <c r="AG92" s="33">
        <v>2</v>
      </c>
      <c r="AH92" s="4">
        <f t="shared" si="41"/>
        <v>450</v>
      </c>
      <c r="AI92" s="33">
        <f t="shared" si="42"/>
        <v>507.59999999999997</v>
      </c>
      <c r="AJ92" s="6">
        <f t="shared" si="43"/>
        <v>0.44444444444444442</v>
      </c>
      <c r="AK92" s="7">
        <v>450</v>
      </c>
      <c r="AL92" s="6">
        <f t="shared" si="44"/>
        <v>0.37333333333333329</v>
      </c>
      <c r="AM92" s="4">
        <f t="shared" si="45"/>
        <v>168</v>
      </c>
      <c r="AN92" s="28"/>
      <c r="AO92" s="6"/>
      <c r="AP92" s="6"/>
      <c r="AQ92" s="6" t="str">
        <f t="shared" si="46"/>
        <v>-</v>
      </c>
      <c r="AR92" s="6">
        <f t="shared" si="47"/>
        <v>1.331360946745562</v>
      </c>
      <c r="AS92" s="6">
        <f t="shared" si="48"/>
        <v>1.1279999999999999</v>
      </c>
      <c r="AT92" s="4"/>
      <c r="AU92" s="4"/>
      <c r="AV92" s="4"/>
      <c r="AW92" s="4"/>
      <c r="AX92" s="4"/>
      <c r="AY92" s="4"/>
      <c r="AZ92" s="4"/>
      <c r="BA92" s="4"/>
      <c r="BB92" s="4"/>
      <c r="BC92" s="4">
        <v>0</v>
      </c>
      <c r="BD92" s="4" t="s">
        <v>463</v>
      </c>
      <c r="BE92" s="4"/>
      <c r="BF92" s="4"/>
      <c r="BG92" s="4" t="s">
        <v>380</v>
      </c>
      <c r="BH92" s="4">
        <v>450</v>
      </c>
      <c r="BI92" s="4">
        <v>450</v>
      </c>
      <c r="BJ92" s="4">
        <f t="shared" si="49"/>
        <v>450</v>
      </c>
      <c r="BK92" s="19">
        <v>4</v>
      </c>
      <c r="BL92" s="19">
        <v>8</v>
      </c>
      <c r="BM92" s="16">
        <v>19251515</v>
      </c>
      <c r="BN92" t="s">
        <v>258</v>
      </c>
      <c r="BO92" t="s">
        <v>258</v>
      </c>
      <c r="BP92" t="str">
        <f t="shared" si="50"/>
        <v>-</v>
      </c>
      <c r="BQ92">
        <v>584</v>
      </c>
      <c r="BR92">
        <v>584</v>
      </c>
      <c r="BS92">
        <f t="shared" si="51"/>
        <v>658.75199999999995</v>
      </c>
      <c r="BT92" s="4" t="s">
        <v>347</v>
      </c>
    </row>
    <row r="93" spans="1:72" x14ac:dyDescent="0.4">
      <c r="A93" s="3">
        <v>22</v>
      </c>
      <c r="B93" s="3">
        <v>22</v>
      </c>
      <c r="C93" s="4" t="s">
        <v>83</v>
      </c>
      <c r="D93" s="4" t="str">
        <f t="shared" si="35"/>
        <v>J7624N</v>
      </c>
      <c r="E93" s="4" t="s">
        <v>83</v>
      </c>
      <c r="F93" s="4" t="str">
        <f t="shared" si="52"/>
        <v>J7624N5</v>
      </c>
      <c r="G93" s="4" t="s">
        <v>170</v>
      </c>
      <c r="H93" s="5">
        <v>4903320162389</v>
      </c>
      <c r="I93" s="5">
        <v>5</v>
      </c>
      <c r="J93" s="5"/>
      <c r="K93" s="5">
        <v>1</v>
      </c>
      <c r="L93" s="5">
        <v>1</v>
      </c>
      <c r="M93" s="4">
        <v>0</v>
      </c>
      <c r="N93" s="4">
        <v>464</v>
      </c>
      <c r="O93" s="4">
        <v>281</v>
      </c>
      <c r="P93" s="6">
        <f t="shared" si="36"/>
        <v>0.3943965517241379</v>
      </c>
      <c r="Q93" s="4" t="s">
        <v>259</v>
      </c>
      <c r="R93" s="4"/>
      <c r="S93" s="4"/>
      <c r="T93" s="4"/>
      <c r="U93" s="4"/>
      <c r="V93" s="4"/>
      <c r="W93" s="4"/>
      <c r="X93" s="4"/>
      <c r="Y93" s="4"/>
      <c r="Z93" s="4">
        <v>0</v>
      </c>
      <c r="AA93" s="4">
        <f t="shared" si="37"/>
        <v>0</v>
      </c>
      <c r="AB93" s="4">
        <v>310</v>
      </c>
      <c r="AC93" s="4">
        <f t="shared" si="38"/>
        <v>310</v>
      </c>
      <c r="AD93" s="4"/>
      <c r="AE93" s="21">
        <f t="shared" si="39"/>
        <v>512</v>
      </c>
      <c r="AF93" s="6">
        <f t="shared" si="40"/>
        <v>0.39453125</v>
      </c>
      <c r="AG93" s="33">
        <v>4.25</v>
      </c>
      <c r="AH93" s="4">
        <f t="shared" si="41"/>
        <v>454</v>
      </c>
      <c r="AI93" s="33">
        <f t="shared" si="42"/>
        <v>500.85409252669041</v>
      </c>
      <c r="AJ93" s="6">
        <f t="shared" si="43"/>
        <v>0.38105726872246704</v>
      </c>
      <c r="AK93" s="7">
        <v>460</v>
      </c>
      <c r="AL93" s="6">
        <f t="shared" si="44"/>
        <v>0.32608695652173914</v>
      </c>
      <c r="AM93" s="4">
        <f t="shared" si="45"/>
        <v>150</v>
      </c>
      <c r="AN93" s="28"/>
      <c r="AO93" s="6"/>
      <c r="AP93" s="6"/>
      <c r="AQ93" s="6" t="str">
        <f t="shared" si="46"/>
        <v>-</v>
      </c>
      <c r="AR93" s="6">
        <f t="shared" si="47"/>
        <v>0.99137931034482762</v>
      </c>
      <c r="AS93" s="6">
        <f t="shared" si="48"/>
        <v>1.103202846975089</v>
      </c>
      <c r="AT93" s="4"/>
      <c r="AU93" s="4"/>
      <c r="AV93" s="4"/>
      <c r="AW93" s="4"/>
      <c r="AX93" s="4"/>
      <c r="AY93" s="4"/>
      <c r="AZ93" s="4"/>
      <c r="BA93" s="4"/>
      <c r="BB93" s="4"/>
      <c r="BC93" s="4">
        <v>0</v>
      </c>
      <c r="BD93" s="4" t="s">
        <v>397</v>
      </c>
      <c r="BE93" s="4"/>
      <c r="BF93" s="4"/>
      <c r="BG93" s="4" t="s">
        <v>382</v>
      </c>
      <c r="BH93" s="4">
        <v>454</v>
      </c>
      <c r="BI93" s="4">
        <v>454</v>
      </c>
      <c r="BJ93" s="4">
        <f t="shared" si="49"/>
        <v>454</v>
      </c>
      <c r="BK93" s="19">
        <v>4</v>
      </c>
      <c r="BL93" s="19">
        <v>1</v>
      </c>
      <c r="BM93" s="16">
        <v>19251515</v>
      </c>
      <c r="BN93" t="s">
        <v>258</v>
      </c>
      <c r="BO93" t="s">
        <v>258</v>
      </c>
      <c r="BP93" t="str">
        <f t="shared" si="50"/>
        <v>-</v>
      </c>
      <c r="BQ93">
        <v>608</v>
      </c>
      <c r="BR93">
        <v>418</v>
      </c>
      <c r="BS93">
        <f t="shared" si="51"/>
        <v>461.13879003558719</v>
      </c>
      <c r="BT93" s="4" t="s">
        <v>282</v>
      </c>
    </row>
    <row r="94" spans="1:72" x14ac:dyDescent="0.4">
      <c r="A94" s="3">
        <v>89</v>
      </c>
      <c r="B94" s="3">
        <v>89</v>
      </c>
      <c r="C94" s="4">
        <v>932318</v>
      </c>
      <c r="D94" s="4" t="str">
        <f t="shared" si="35"/>
        <v>932318</v>
      </c>
      <c r="E94" s="4">
        <v>932318</v>
      </c>
      <c r="F94" s="4" t="str">
        <f t="shared" si="52"/>
        <v>9323185</v>
      </c>
      <c r="G94" s="4" t="s">
        <v>237</v>
      </c>
      <c r="H94" s="5">
        <v>4903320317086</v>
      </c>
      <c r="I94" s="5">
        <v>5</v>
      </c>
      <c r="J94" s="5"/>
      <c r="K94" s="5">
        <v>1</v>
      </c>
      <c r="L94" s="5">
        <v>1</v>
      </c>
      <c r="M94" s="4">
        <v>0</v>
      </c>
      <c r="N94" s="4">
        <v>453</v>
      </c>
      <c r="O94" s="4">
        <v>278</v>
      </c>
      <c r="P94" s="6">
        <f t="shared" si="36"/>
        <v>0.38631346578366443</v>
      </c>
      <c r="Q94" s="4" t="s">
        <v>259</v>
      </c>
      <c r="R94" s="4"/>
      <c r="S94" s="4"/>
      <c r="T94" s="4"/>
      <c r="U94" s="4"/>
      <c r="V94" s="4"/>
      <c r="W94" s="4"/>
      <c r="X94" s="4"/>
      <c r="Y94" s="4"/>
      <c r="Z94" s="4">
        <v>0</v>
      </c>
      <c r="AA94" s="4">
        <f t="shared" si="37"/>
        <v>0</v>
      </c>
      <c r="AB94" s="4">
        <v>314</v>
      </c>
      <c r="AC94" s="4">
        <f t="shared" si="38"/>
        <v>314</v>
      </c>
      <c r="AD94" s="4"/>
      <c r="AE94" s="21">
        <f t="shared" si="39"/>
        <v>512</v>
      </c>
      <c r="AF94" s="6">
        <f t="shared" si="40"/>
        <v>0.38671875</v>
      </c>
      <c r="AG94" s="33">
        <v>2.75</v>
      </c>
      <c r="AH94" s="4">
        <f t="shared" si="41"/>
        <v>500</v>
      </c>
      <c r="AI94" s="33">
        <f t="shared" si="42"/>
        <v>564.74820143884892</v>
      </c>
      <c r="AJ94" s="6">
        <f t="shared" si="43"/>
        <v>0.44399999999999995</v>
      </c>
      <c r="AK94" s="7">
        <v>520</v>
      </c>
      <c r="AL94" s="6">
        <f t="shared" si="44"/>
        <v>0.39615384615384619</v>
      </c>
      <c r="AM94" s="4">
        <f t="shared" si="45"/>
        <v>206</v>
      </c>
      <c r="AN94" s="28"/>
      <c r="AO94" s="6"/>
      <c r="AP94" s="6"/>
      <c r="AQ94" s="6" t="str">
        <f t="shared" si="46"/>
        <v>-</v>
      </c>
      <c r="AR94" s="6">
        <f t="shared" si="47"/>
        <v>1.1479028697571745</v>
      </c>
      <c r="AS94" s="6">
        <f t="shared" si="48"/>
        <v>1.1294964028776979</v>
      </c>
      <c r="AT94" s="4"/>
      <c r="AU94" s="4"/>
      <c r="AV94" s="4"/>
      <c r="AW94" s="4"/>
      <c r="AX94" s="4"/>
      <c r="AY94" s="4"/>
      <c r="AZ94" s="4"/>
      <c r="BA94" s="4"/>
      <c r="BB94" s="4"/>
      <c r="BC94" s="4">
        <v>0</v>
      </c>
      <c r="BD94" s="4" t="s">
        <v>465</v>
      </c>
      <c r="BE94" s="4"/>
      <c r="BF94" s="4"/>
      <c r="BG94" s="4" t="s">
        <v>384</v>
      </c>
      <c r="BH94" s="4">
        <v>500</v>
      </c>
      <c r="BI94" s="4">
        <v>500</v>
      </c>
      <c r="BJ94" s="4">
        <f t="shared" si="49"/>
        <v>500</v>
      </c>
      <c r="BK94" s="19">
        <v>4</v>
      </c>
      <c r="BL94" s="19">
        <v>1</v>
      </c>
      <c r="BM94" s="16">
        <v>19251515</v>
      </c>
      <c r="BN94" t="s">
        <v>258</v>
      </c>
      <c r="BO94" t="s">
        <v>258</v>
      </c>
      <c r="BP94" t="str">
        <f t="shared" si="50"/>
        <v>-</v>
      </c>
      <c r="BQ94" t="s">
        <v>258</v>
      </c>
      <c r="BR94" t="s">
        <v>258</v>
      </c>
      <c r="BS94" t="str">
        <f t="shared" si="51"/>
        <v>-</v>
      </c>
      <c r="BT94" s="4" t="s">
        <v>349</v>
      </c>
    </row>
    <row r="95" spans="1:72" x14ac:dyDescent="0.4">
      <c r="A95" s="3">
        <v>7</v>
      </c>
      <c r="B95" s="3">
        <v>7</v>
      </c>
      <c r="C95" s="4" t="s">
        <v>68</v>
      </c>
      <c r="D95" s="4" t="str">
        <f t="shared" si="35"/>
        <v>J0792Y</v>
      </c>
      <c r="E95" s="4" t="s">
        <v>68</v>
      </c>
      <c r="F95" s="4" t="str">
        <f t="shared" si="52"/>
        <v>J0792Y5</v>
      </c>
      <c r="G95" s="4" t="s">
        <v>155</v>
      </c>
      <c r="H95" s="5">
        <v>4903320109100</v>
      </c>
      <c r="I95" s="5">
        <v>5</v>
      </c>
      <c r="J95" s="5"/>
      <c r="K95" s="5">
        <v>1</v>
      </c>
      <c r="L95" s="5">
        <v>1</v>
      </c>
      <c r="M95" s="4">
        <v>0</v>
      </c>
      <c r="N95" s="4">
        <v>422</v>
      </c>
      <c r="O95" s="4">
        <v>285</v>
      </c>
      <c r="P95" s="6">
        <f t="shared" si="36"/>
        <v>0.32464454976303314</v>
      </c>
      <c r="Q95" s="4" t="s">
        <v>259</v>
      </c>
      <c r="R95" s="4"/>
      <c r="S95" s="4"/>
      <c r="T95" s="4"/>
      <c r="U95" s="4"/>
      <c r="V95" s="4"/>
      <c r="W95" s="4"/>
      <c r="X95" s="4"/>
      <c r="Y95" s="4"/>
      <c r="Z95" s="4">
        <v>0</v>
      </c>
      <c r="AA95" s="4">
        <f t="shared" si="37"/>
        <v>0</v>
      </c>
      <c r="AB95" s="4">
        <v>315</v>
      </c>
      <c r="AC95" s="4">
        <f t="shared" si="38"/>
        <v>315</v>
      </c>
      <c r="AD95" s="4"/>
      <c r="AE95" s="21">
        <f t="shared" si="39"/>
        <v>466</v>
      </c>
      <c r="AF95" s="6">
        <f t="shared" si="40"/>
        <v>0.32403433476394849</v>
      </c>
      <c r="AG95" s="33">
        <v>0.75</v>
      </c>
      <c r="AH95" s="4">
        <f t="shared" si="41"/>
        <v>340</v>
      </c>
      <c r="AI95" s="33">
        <f t="shared" si="42"/>
        <v>375.78947368421058</v>
      </c>
      <c r="AJ95" s="6">
        <f t="shared" si="43"/>
        <v>0.16176470588235303</v>
      </c>
      <c r="AK95" s="7">
        <v>500</v>
      </c>
      <c r="AL95" s="6">
        <f t="shared" si="44"/>
        <v>0.37</v>
      </c>
      <c r="AM95" s="4">
        <f t="shared" si="45"/>
        <v>185</v>
      </c>
      <c r="AN95" s="28"/>
      <c r="AO95" s="6"/>
      <c r="AP95" s="6"/>
      <c r="AQ95" s="6" t="str">
        <f t="shared" si="46"/>
        <v>-</v>
      </c>
      <c r="AR95" s="6">
        <f t="shared" si="47"/>
        <v>1.1848341232227488</v>
      </c>
      <c r="AS95" s="6">
        <f t="shared" si="48"/>
        <v>1.1052631578947369</v>
      </c>
      <c r="AT95" s="4"/>
      <c r="AU95" s="4"/>
      <c r="AV95" s="4"/>
      <c r="AW95" s="4"/>
      <c r="AX95" s="4"/>
      <c r="AY95" s="4"/>
      <c r="AZ95" s="4"/>
      <c r="BA95" s="4"/>
      <c r="BB95" s="4"/>
      <c r="BC95" s="4">
        <v>0</v>
      </c>
      <c r="BD95" s="4" t="s">
        <v>375</v>
      </c>
      <c r="BE95" s="4"/>
      <c r="BF95" s="4"/>
      <c r="BG95" s="4" t="s">
        <v>376</v>
      </c>
      <c r="BH95" s="4">
        <v>340</v>
      </c>
      <c r="BI95" s="4">
        <v>340</v>
      </c>
      <c r="BJ95" s="4">
        <f t="shared" si="49"/>
        <v>340</v>
      </c>
      <c r="BK95" s="19">
        <v>4</v>
      </c>
      <c r="BL95" s="19">
        <v>1</v>
      </c>
      <c r="BM95" s="16">
        <v>19251515</v>
      </c>
      <c r="BN95" t="s">
        <v>258</v>
      </c>
      <c r="BO95" t="s">
        <v>258</v>
      </c>
      <c r="BP95" t="str">
        <f t="shared" si="50"/>
        <v>-</v>
      </c>
      <c r="BQ95" t="s">
        <v>258</v>
      </c>
      <c r="BR95" t="s">
        <v>258</v>
      </c>
      <c r="BS95" t="str">
        <f t="shared" si="51"/>
        <v>-</v>
      </c>
      <c r="BT95" s="4" t="s">
        <v>267</v>
      </c>
    </row>
    <row r="96" spans="1:72" x14ac:dyDescent="0.4">
      <c r="A96" s="3">
        <v>51</v>
      </c>
      <c r="B96" s="3">
        <v>51</v>
      </c>
      <c r="C96" s="4" t="s">
        <v>112</v>
      </c>
      <c r="D96" s="4" t="str">
        <f t="shared" si="35"/>
        <v>J236SD</v>
      </c>
      <c r="E96" s="4" t="s">
        <v>112</v>
      </c>
      <c r="F96" s="4" t="str">
        <f t="shared" si="52"/>
        <v>J236SD5</v>
      </c>
      <c r="G96" s="4" t="s">
        <v>199</v>
      </c>
      <c r="H96" s="5">
        <v>4903320162761</v>
      </c>
      <c r="I96" s="5">
        <v>5</v>
      </c>
      <c r="J96" s="5"/>
      <c r="K96" s="5">
        <v>1</v>
      </c>
      <c r="L96" s="5">
        <v>1</v>
      </c>
      <c r="M96" s="4">
        <v>0</v>
      </c>
      <c r="N96" s="4">
        <v>345</v>
      </c>
      <c r="O96" s="4">
        <v>316</v>
      </c>
      <c r="P96" s="6">
        <f t="shared" si="36"/>
        <v>8.4057971014492749E-2</v>
      </c>
      <c r="Q96" s="4" t="s">
        <v>259</v>
      </c>
      <c r="R96" s="4"/>
      <c r="S96" s="4"/>
      <c r="T96" s="4"/>
      <c r="U96" s="4"/>
      <c r="V96" s="4"/>
      <c r="W96" s="4"/>
      <c r="X96" s="4"/>
      <c r="Y96" s="4"/>
      <c r="Z96" s="4">
        <v>0</v>
      </c>
      <c r="AA96" s="4">
        <f t="shared" si="37"/>
        <v>0</v>
      </c>
      <c r="AB96" s="4">
        <v>348</v>
      </c>
      <c r="AC96" s="4">
        <f t="shared" si="38"/>
        <v>348</v>
      </c>
      <c r="AD96" s="4"/>
      <c r="AE96" s="21">
        <f t="shared" si="39"/>
        <v>380</v>
      </c>
      <c r="AF96" s="6">
        <f t="shared" si="40"/>
        <v>8.4210526315789513E-2</v>
      </c>
      <c r="AG96" s="33">
        <v>0.25</v>
      </c>
      <c r="AH96" s="4">
        <f t="shared" si="41"/>
        <v>500</v>
      </c>
      <c r="AI96" s="33">
        <f t="shared" si="42"/>
        <v>550.63291139240516</v>
      </c>
      <c r="AJ96" s="6">
        <f t="shared" si="43"/>
        <v>0.3680000000000001</v>
      </c>
      <c r="AK96" s="7">
        <v>540</v>
      </c>
      <c r="AL96" s="6">
        <f t="shared" si="44"/>
        <v>0.35555555555555551</v>
      </c>
      <c r="AM96" s="4">
        <f t="shared" si="45"/>
        <v>192</v>
      </c>
      <c r="AN96" s="28"/>
      <c r="AO96" s="6"/>
      <c r="AP96" s="6"/>
      <c r="AQ96" s="6" t="str">
        <f t="shared" si="46"/>
        <v>-</v>
      </c>
      <c r="AR96" s="6">
        <f t="shared" si="47"/>
        <v>1.5652173913043479</v>
      </c>
      <c r="AS96" s="6">
        <f t="shared" si="48"/>
        <v>1.1012658227848102</v>
      </c>
      <c r="AT96" s="4"/>
      <c r="AU96" s="4"/>
      <c r="AV96" s="4"/>
      <c r="AW96" s="4"/>
      <c r="AX96" s="4"/>
      <c r="AY96" s="4"/>
      <c r="AZ96" s="4"/>
      <c r="BA96" s="4"/>
      <c r="BB96" s="4"/>
      <c r="BC96" s="4">
        <v>0</v>
      </c>
      <c r="BD96" s="4" t="s">
        <v>426</v>
      </c>
      <c r="BE96" s="4"/>
      <c r="BF96" s="4"/>
      <c r="BG96" s="4" t="s">
        <v>380</v>
      </c>
      <c r="BH96" s="4">
        <v>500</v>
      </c>
      <c r="BI96" s="4">
        <v>500</v>
      </c>
      <c r="BJ96" s="4">
        <f t="shared" si="49"/>
        <v>500</v>
      </c>
      <c r="BK96" s="19">
        <v>4</v>
      </c>
      <c r="BL96" s="19">
        <v>8</v>
      </c>
      <c r="BM96" s="16">
        <v>19251515</v>
      </c>
      <c r="BN96" t="s">
        <v>258</v>
      </c>
      <c r="BO96" t="s">
        <v>258</v>
      </c>
      <c r="BP96" t="str">
        <f t="shared" si="50"/>
        <v>-</v>
      </c>
      <c r="BQ96">
        <v>499</v>
      </c>
      <c r="BR96">
        <v>499</v>
      </c>
      <c r="BS96">
        <f t="shared" si="51"/>
        <v>549.53164556962031</v>
      </c>
      <c r="BT96" s="4" t="s">
        <v>311</v>
      </c>
    </row>
    <row r="97" spans="1:72" x14ac:dyDescent="0.4">
      <c r="A97" s="3">
        <v>52</v>
      </c>
      <c r="B97" s="3">
        <v>52</v>
      </c>
      <c r="C97" s="4" t="s">
        <v>113</v>
      </c>
      <c r="D97" s="4" t="str">
        <f t="shared" si="35"/>
        <v>J237SD</v>
      </c>
      <c r="E97" s="4" t="s">
        <v>113</v>
      </c>
      <c r="F97" s="4" t="str">
        <f t="shared" si="52"/>
        <v>J237SD5</v>
      </c>
      <c r="G97" s="4" t="s">
        <v>200</v>
      </c>
      <c r="H97" s="5">
        <v>4903320162778</v>
      </c>
      <c r="I97" s="5">
        <v>5</v>
      </c>
      <c r="J97" s="5"/>
      <c r="K97" s="5">
        <v>1</v>
      </c>
      <c r="L97" s="5">
        <v>1</v>
      </c>
      <c r="M97" s="4">
        <v>0</v>
      </c>
      <c r="N97" s="4">
        <v>402</v>
      </c>
      <c r="O97" s="4">
        <v>316</v>
      </c>
      <c r="P97" s="6">
        <f t="shared" si="36"/>
        <v>0.21393034825870649</v>
      </c>
      <c r="Q97" s="4" t="s">
        <v>259</v>
      </c>
      <c r="R97" s="4"/>
      <c r="S97" s="4"/>
      <c r="T97" s="4"/>
      <c r="U97" s="4"/>
      <c r="V97" s="4"/>
      <c r="W97" s="4"/>
      <c r="X97" s="4"/>
      <c r="Y97" s="4"/>
      <c r="Z97" s="4">
        <v>0</v>
      </c>
      <c r="AA97" s="4">
        <f t="shared" si="37"/>
        <v>0</v>
      </c>
      <c r="AB97" s="4">
        <v>348</v>
      </c>
      <c r="AC97" s="4">
        <f t="shared" si="38"/>
        <v>348</v>
      </c>
      <c r="AD97" s="4"/>
      <c r="AE97" s="21">
        <f t="shared" si="39"/>
        <v>443</v>
      </c>
      <c r="AF97" s="6">
        <f t="shared" si="40"/>
        <v>0.21444695259593682</v>
      </c>
      <c r="AG97" s="33">
        <v>0.5</v>
      </c>
      <c r="AH97" s="4">
        <f t="shared" si="41"/>
        <v>500</v>
      </c>
      <c r="AI97" s="33">
        <f t="shared" si="42"/>
        <v>550.63291139240516</v>
      </c>
      <c r="AJ97" s="6">
        <f t="shared" si="43"/>
        <v>0.3680000000000001</v>
      </c>
      <c r="AK97" s="7">
        <v>540</v>
      </c>
      <c r="AL97" s="6">
        <f t="shared" si="44"/>
        <v>0.35555555555555551</v>
      </c>
      <c r="AM97" s="4">
        <f t="shared" si="45"/>
        <v>192</v>
      </c>
      <c r="AN97" s="28"/>
      <c r="AO97" s="6"/>
      <c r="AP97" s="6"/>
      <c r="AQ97" s="6" t="str">
        <f t="shared" si="46"/>
        <v>-</v>
      </c>
      <c r="AR97" s="6">
        <f t="shared" si="47"/>
        <v>1.3432835820895523</v>
      </c>
      <c r="AS97" s="6">
        <f t="shared" si="48"/>
        <v>1.1012658227848102</v>
      </c>
      <c r="AT97" s="4"/>
      <c r="AU97" s="4"/>
      <c r="AV97" s="4"/>
      <c r="AW97" s="4"/>
      <c r="AX97" s="4"/>
      <c r="AY97" s="4"/>
      <c r="AZ97" s="4"/>
      <c r="BA97" s="4"/>
      <c r="BB97" s="4"/>
      <c r="BC97" s="4">
        <v>0</v>
      </c>
      <c r="BD97" s="4" t="s">
        <v>427</v>
      </c>
      <c r="BE97" s="4"/>
      <c r="BF97" s="4"/>
      <c r="BG97" s="4" t="s">
        <v>384</v>
      </c>
      <c r="BH97" s="4">
        <v>500</v>
      </c>
      <c r="BI97" s="4">
        <v>500</v>
      </c>
      <c r="BJ97" s="4">
        <f t="shared" si="49"/>
        <v>500</v>
      </c>
      <c r="BK97" s="19">
        <v>4</v>
      </c>
      <c r="BL97" s="19">
        <v>8</v>
      </c>
      <c r="BM97" s="16">
        <v>19251515</v>
      </c>
      <c r="BN97" t="s">
        <v>258</v>
      </c>
      <c r="BO97" t="s">
        <v>258</v>
      </c>
      <c r="BP97" t="str">
        <f t="shared" si="50"/>
        <v>-</v>
      </c>
      <c r="BQ97">
        <v>499</v>
      </c>
      <c r="BR97">
        <v>499</v>
      </c>
      <c r="BS97">
        <f t="shared" si="51"/>
        <v>549.53164556962031</v>
      </c>
      <c r="BT97" s="4" t="s">
        <v>312</v>
      </c>
    </row>
    <row r="98" spans="1:72" x14ac:dyDescent="0.4">
      <c r="A98" s="3">
        <v>86</v>
      </c>
      <c r="B98" s="3">
        <v>86</v>
      </c>
      <c r="C98" s="4">
        <v>150051</v>
      </c>
      <c r="D98" s="4" t="str">
        <f t="shared" si="35"/>
        <v>150051</v>
      </c>
      <c r="E98" s="4">
        <v>150051</v>
      </c>
      <c r="F98" s="4" t="str">
        <f t="shared" si="52"/>
        <v>1500515</v>
      </c>
      <c r="G98" s="4" t="s">
        <v>234</v>
      </c>
      <c r="H98" s="5">
        <v>4903320314382</v>
      </c>
      <c r="I98" s="5">
        <v>5</v>
      </c>
      <c r="J98" s="5"/>
      <c r="K98" s="5">
        <v>1</v>
      </c>
      <c r="L98" s="5">
        <v>1</v>
      </c>
      <c r="M98" s="4">
        <v>700</v>
      </c>
      <c r="N98" s="4">
        <v>508</v>
      </c>
      <c r="O98" s="4">
        <v>343</v>
      </c>
      <c r="P98" s="6">
        <f t="shared" si="36"/>
        <v>0.32480314960629919</v>
      </c>
      <c r="Q98" s="4" t="s">
        <v>259</v>
      </c>
      <c r="R98" s="4"/>
      <c r="S98" s="4"/>
      <c r="T98" s="4"/>
      <c r="U98" s="4"/>
      <c r="V98" s="4"/>
      <c r="W98" s="4"/>
      <c r="X98" s="4"/>
      <c r="Y98" s="4"/>
      <c r="Z98" s="4">
        <v>0</v>
      </c>
      <c r="AA98" s="4">
        <f t="shared" si="37"/>
        <v>0</v>
      </c>
      <c r="AB98" s="4">
        <v>378</v>
      </c>
      <c r="AC98" s="4">
        <f t="shared" si="38"/>
        <v>378</v>
      </c>
      <c r="AD98" s="4"/>
      <c r="AE98" s="21">
        <f t="shared" si="39"/>
        <v>560</v>
      </c>
      <c r="AF98" s="6">
        <f t="shared" si="40"/>
        <v>0.32499999999999996</v>
      </c>
      <c r="AG98" s="33">
        <v>4</v>
      </c>
      <c r="AH98" s="4">
        <f t="shared" si="41"/>
        <v>650</v>
      </c>
      <c r="AI98" s="33">
        <f t="shared" si="42"/>
        <v>716.32653061224482</v>
      </c>
      <c r="AJ98" s="6">
        <f t="shared" si="43"/>
        <v>0.47230769230769221</v>
      </c>
      <c r="AK98" s="7">
        <v>610</v>
      </c>
      <c r="AL98" s="6">
        <f t="shared" si="44"/>
        <v>0.38032786885245906</v>
      </c>
      <c r="AM98" s="4">
        <f t="shared" si="45"/>
        <v>232</v>
      </c>
      <c r="AN98" s="28"/>
      <c r="AO98" s="6"/>
      <c r="AP98" s="6"/>
      <c r="AQ98" s="6">
        <f t="shared" si="46"/>
        <v>0</v>
      </c>
      <c r="AR98" s="6">
        <f t="shared" si="47"/>
        <v>1.2007874015748032</v>
      </c>
      <c r="AS98" s="6">
        <f t="shared" si="48"/>
        <v>1.1020408163265305</v>
      </c>
      <c r="AT98" s="4"/>
      <c r="AU98" s="4"/>
      <c r="AV98" s="4"/>
      <c r="AW98" s="4"/>
      <c r="AX98" s="4"/>
      <c r="AY98" s="4"/>
      <c r="AZ98" s="4"/>
      <c r="BA98" s="4"/>
      <c r="BB98" s="4"/>
      <c r="BC98" s="4">
        <v>0</v>
      </c>
      <c r="BD98" s="4" t="s">
        <v>462</v>
      </c>
      <c r="BE98" s="4"/>
      <c r="BF98" s="4"/>
      <c r="BG98" s="4" t="s">
        <v>384</v>
      </c>
      <c r="BH98" s="4">
        <v>650</v>
      </c>
      <c r="BI98" s="4">
        <v>650</v>
      </c>
      <c r="BJ98" s="4">
        <f t="shared" si="49"/>
        <v>650</v>
      </c>
      <c r="BK98" s="19">
        <v>4</v>
      </c>
      <c r="BL98" s="19">
        <v>1</v>
      </c>
      <c r="BM98" s="16">
        <v>19251515</v>
      </c>
      <c r="BN98" t="s">
        <v>258</v>
      </c>
      <c r="BO98" t="s">
        <v>258</v>
      </c>
      <c r="BP98" t="str">
        <f t="shared" si="50"/>
        <v>-</v>
      </c>
      <c r="BQ98">
        <v>860</v>
      </c>
      <c r="BR98">
        <v>860</v>
      </c>
      <c r="BS98">
        <f t="shared" si="51"/>
        <v>947.75510204081627</v>
      </c>
      <c r="BT98" s="4" t="s">
        <v>346</v>
      </c>
    </row>
    <row r="99" spans="1:72" x14ac:dyDescent="0.4">
      <c r="A99" s="3">
        <v>41</v>
      </c>
      <c r="B99" s="3">
        <v>41</v>
      </c>
      <c r="C99" s="4" t="s">
        <v>102</v>
      </c>
      <c r="D99" s="4" t="str">
        <f t="shared" si="35"/>
        <v>J9028X</v>
      </c>
      <c r="E99" s="4" t="s">
        <v>102</v>
      </c>
      <c r="F99" s="4" t="str">
        <f t="shared" si="52"/>
        <v>J9028X5</v>
      </c>
      <c r="G99" s="4" t="s">
        <v>189</v>
      </c>
      <c r="H99" s="5">
        <v>4903320162624</v>
      </c>
      <c r="I99" s="5">
        <v>5</v>
      </c>
      <c r="J99" s="5"/>
      <c r="K99" s="5">
        <v>1</v>
      </c>
      <c r="L99" s="5">
        <v>1</v>
      </c>
      <c r="M99" s="4">
        <v>0</v>
      </c>
      <c r="N99" s="4">
        <v>599</v>
      </c>
      <c r="O99" s="4">
        <v>452</v>
      </c>
      <c r="P99" s="6">
        <f t="shared" si="36"/>
        <v>0.24540901502504175</v>
      </c>
      <c r="Q99" s="4" t="s">
        <v>259</v>
      </c>
      <c r="R99" s="4"/>
      <c r="S99" s="4"/>
      <c r="T99" s="4"/>
      <c r="U99" s="4"/>
      <c r="V99" s="4"/>
      <c r="W99" s="4"/>
      <c r="X99" s="4"/>
      <c r="Y99" s="4"/>
      <c r="Z99" s="4">
        <v>0</v>
      </c>
      <c r="AA99" s="4">
        <f t="shared" si="37"/>
        <v>0</v>
      </c>
      <c r="AB99" s="4">
        <v>498</v>
      </c>
      <c r="AC99" s="4">
        <f t="shared" si="38"/>
        <v>498</v>
      </c>
      <c r="AD99" s="4"/>
      <c r="AE99" s="21">
        <f t="shared" si="39"/>
        <v>660</v>
      </c>
      <c r="AF99" s="6">
        <f t="shared" si="40"/>
        <v>0.24545454545454548</v>
      </c>
      <c r="AG99" s="33">
        <v>0.25</v>
      </c>
      <c r="AH99" s="4">
        <f t="shared" si="41"/>
        <v>800</v>
      </c>
      <c r="AI99" s="33">
        <f t="shared" si="42"/>
        <v>881.41592920353992</v>
      </c>
      <c r="AJ99" s="6">
        <f t="shared" si="43"/>
        <v>0.43500000000000005</v>
      </c>
      <c r="AK99" s="7">
        <v>780</v>
      </c>
      <c r="AL99" s="6">
        <f t="shared" si="44"/>
        <v>0.36153846153846159</v>
      </c>
      <c r="AM99" s="4">
        <f t="shared" si="45"/>
        <v>282</v>
      </c>
      <c r="AN99" s="28"/>
      <c r="AO99" s="6"/>
      <c r="AP99" s="6"/>
      <c r="AQ99" s="6" t="str">
        <f t="shared" si="46"/>
        <v>-</v>
      </c>
      <c r="AR99" s="6">
        <f t="shared" si="47"/>
        <v>1.3021702838063438</v>
      </c>
      <c r="AS99" s="6">
        <f t="shared" si="48"/>
        <v>1.1017699115044248</v>
      </c>
      <c r="AT99" s="4"/>
      <c r="AU99" s="4"/>
      <c r="AV99" s="4"/>
      <c r="AW99" s="4"/>
      <c r="AX99" s="4"/>
      <c r="AY99" s="4"/>
      <c r="AZ99" s="4"/>
      <c r="BA99" s="4"/>
      <c r="BB99" s="4"/>
      <c r="BC99" s="4">
        <v>0</v>
      </c>
      <c r="BD99" s="4" t="s">
        <v>416</v>
      </c>
      <c r="BE99" s="4"/>
      <c r="BF99" s="4"/>
      <c r="BG99" s="4" t="s">
        <v>369</v>
      </c>
      <c r="BH99" s="4">
        <v>800</v>
      </c>
      <c r="BI99" s="4">
        <v>800</v>
      </c>
      <c r="BJ99" s="4">
        <f t="shared" si="49"/>
        <v>800</v>
      </c>
      <c r="BK99" s="19">
        <v>4</v>
      </c>
      <c r="BL99" s="19">
        <v>8</v>
      </c>
      <c r="BM99" s="16">
        <v>19251515</v>
      </c>
      <c r="BN99" t="s">
        <v>258</v>
      </c>
      <c r="BO99" t="s">
        <v>258</v>
      </c>
      <c r="BP99" t="str">
        <f t="shared" si="50"/>
        <v>-</v>
      </c>
      <c r="BQ99">
        <v>975</v>
      </c>
      <c r="BR99">
        <v>975</v>
      </c>
      <c r="BS99">
        <f t="shared" si="51"/>
        <v>1074.2256637168141</v>
      </c>
      <c r="BT99" s="4" t="s">
        <v>301</v>
      </c>
    </row>
    <row r="100" spans="1:72" x14ac:dyDescent="0.4">
      <c r="A100" s="3">
        <v>42</v>
      </c>
      <c r="B100" s="3">
        <v>42</v>
      </c>
      <c r="C100" s="4" t="s">
        <v>103</v>
      </c>
      <c r="D100" s="4" t="str">
        <f t="shared" ref="D100:D131" si="53">TEXT(C100,"000000")</f>
        <v>J231SD</v>
      </c>
      <c r="E100" s="4" t="s">
        <v>103</v>
      </c>
      <c r="F100" s="4" t="str">
        <f t="shared" si="52"/>
        <v>J231SD5</v>
      </c>
      <c r="G100" s="4" t="s">
        <v>190</v>
      </c>
      <c r="H100" s="5">
        <v>4903320162631</v>
      </c>
      <c r="I100" s="5">
        <v>5</v>
      </c>
      <c r="J100" s="5"/>
      <c r="K100" s="5">
        <v>1</v>
      </c>
      <c r="L100" s="5">
        <v>1</v>
      </c>
      <c r="M100" s="4">
        <v>0</v>
      </c>
      <c r="N100" s="4">
        <v>666</v>
      </c>
      <c r="O100" s="4">
        <v>513</v>
      </c>
      <c r="P100" s="6">
        <f t="shared" ref="P100:P131" si="54">IFERROR(1-O100/N100,"-")</f>
        <v>0.22972972972972971</v>
      </c>
      <c r="Q100" s="4" t="s">
        <v>259</v>
      </c>
      <c r="R100" s="4"/>
      <c r="S100" s="4"/>
      <c r="T100" s="4"/>
      <c r="U100" s="4"/>
      <c r="V100" s="4"/>
      <c r="W100" s="4"/>
      <c r="X100" s="4"/>
      <c r="Y100" s="4"/>
      <c r="Z100" s="4">
        <v>0</v>
      </c>
      <c r="AA100" s="4">
        <f t="shared" ref="AA100:AA131" si="55">IF(AD100="",Z100,Z100*AD100)</f>
        <v>0</v>
      </c>
      <c r="AB100" s="4">
        <v>565</v>
      </c>
      <c r="AC100" s="4">
        <f t="shared" ref="AC100:AC131" si="56">IF(AD100="",AB100,AB100*AD100)</f>
        <v>565</v>
      </c>
      <c r="AD100" s="4"/>
      <c r="AE100" s="21">
        <f t="shared" ref="AE100:AE108" si="57">ROUND(N100*AS100,0)</f>
        <v>734</v>
      </c>
      <c r="AF100" s="6">
        <f t="shared" ref="AF100:AF131" si="58">IFERROR(1-AC100/AE100,"-")</f>
        <v>0.23024523160762944</v>
      </c>
      <c r="AG100" s="33">
        <v>4.25</v>
      </c>
      <c r="AH100" s="4">
        <f t="shared" ref="AH100:AH108" si="59">BJ100</f>
        <v>891</v>
      </c>
      <c r="AI100" s="33">
        <f t="shared" ref="AI100:AI131" si="60">IFERROR(AH100*AS100,"-")</f>
        <v>981.31578947368416</v>
      </c>
      <c r="AJ100" s="6">
        <f t="shared" ref="AJ100:AJ131" si="61">IFERROR(1-AC100/AI100,"-")</f>
        <v>0.4242424242424242</v>
      </c>
      <c r="AK100" s="7">
        <v>900</v>
      </c>
      <c r="AL100" s="6">
        <f t="shared" ref="AL100:AL131" si="62">1-AC100/AK100</f>
        <v>0.37222222222222223</v>
      </c>
      <c r="AM100" s="4">
        <f t="shared" ref="AM100:AM108" si="63">AK100-AC100</f>
        <v>335</v>
      </c>
      <c r="AN100" s="28"/>
      <c r="AO100" s="6"/>
      <c r="AP100" s="6"/>
      <c r="AQ100" s="6" t="str">
        <f t="shared" ref="AQ100:AQ108" si="64">IFERROR(AA100/M100,"-")</f>
        <v>-</v>
      </c>
      <c r="AR100" s="6">
        <f t="shared" ref="AR100:AR108" si="65">IFERROR(AK100/N100,"-")</f>
        <v>1.3513513513513513</v>
      </c>
      <c r="AS100" s="6">
        <f t="shared" ref="AS100:AS108" si="66">IFERROR(AC100/O100,"-")</f>
        <v>1.101364522417154</v>
      </c>
      <c r="AT100" s="4"/>
      <c r="AU100" s="4"/>
      <c r="AV100" s="4"/>
      <c r="AW100" s="4"/>
      <c r="AX100" s="4"/>
      <c r="AY100" s="4"/>
      <c r="AZ100" s="4"/>
      <c r="BA100" s="4"/>
      <c r="BB100" s="4"/>
      <c r="BC100" s="4">
        <v>0</v>
      </c>
      <c r="BD100" s="4" t="s">
        <v>417</v>
      </c>
      <c r="BE100" s="4"/>
      <c r="BF100" s="4"/>
      <c r="BG100" s="4" t="s">
        <v>369</v>
      </c>
      <c r="BH100" s="4">
        <v>891</v>
      </c>
      <c r="BI100" s="4">
        <v>891</v>
      </c>
      <c r="BJ100" s="4">
        <f t="shared" ref="BJ100:BJ131" si="67">IF(BE100="",BI100,BE100/BF100*BI100)</f>
        <v>891</v>
      </c>
      <c r="BK100" s="19">
        <v>4</v>
      </c>
      <c r="BL100" s="19">
        <v>8</v>
      </c>
      <c r="BM100" s="16">
        <v>19251515</v>
      </c>
      <c r="BN100" t="s">
        <v>258</v>
      </c>
      <c r="BO100" t="s">
        <v>258</v>
      </c>
      <c r="BP100" t="str">
        <f t="shared" ref="BP100:BP131" si="68">IFERROR(BO100*AS100,"-")</f>
        <v>-</v>
      </c>
      <c r="BQ100">
        <v>1486</v>
      </c>
      <c r="BR100">
        <v>1486</v>
      </c>
      <c r="BS100">
        <f t="shared" ref="BS100:BS131" si="69">IFERROR(BR100*AS100,"-")</f>
        <v>1636.6276803118908</v>
      </c>
      <c r="BT100" s="4" t="s">
        <v>302</v>
      </c>
    </row>
    <row r="101" spans="1:72" x14ac:dyDescent="0.4">
      <c r="A101" s="3">
        <v>53</v>
      </c>
      <c r="B101" s="3">
        <v>53</v>
      </c>
      <c r="C101" s="4" t="s">
        <v>114</v>
      </c>
      <c r="D101" s="4" t="str">
        <f t="shared" si="53"/>
        <v>J238SD</v>
      </c>
      <c r="E101" s="4" t="s">
        <v>114</v>
      </c>
      <c r="F101" s="4" t="str">
        <f t="shared" si="52"/>
        <v>J238SD5</v>
      </c>
      <c r="G101" s="4" t="s">
        <v>201</v>
      </c>
      <c r="H101" s="5">
        <v>4903320162792</v>
      </c>
      <c r="I101" s="5">
        <v>5</v>
      </c>
      <c r="J101" s="5"/>
      <c r="K101" s="5">
        <v>1</v>
      </c>
      <c r="L101" s="5">
        <v>1</v>
      </c>
      <c r="M101" s="4">
        <v>0</v>
      </c>
      <c r="N101" s="4">
        <v>906</v>
      </c>
      <c r="O101" s="4">
        <v>561</v>
      </c>
      <c r="P101" s="6">
        <f t="shared" si="54"/>
        <v>0.38079470198675491</v>
      </c>
      <c r="Q101" s="4" t="s">
        <v>259</v>
      </c>
      <c r="R101" s="4"/>
      <c r="S101" s="4"/>
      <c r="T101" s="4"/>
      <c r="U101" s="4"/>
      <c r="V101" s="4"/>
      <c r="W101" s="4"/>
      <c r="X101" s="4"/>
      <c r="Y101" s="4"/>
      <c r="Z101" s="4">
        <v>0</v>
      </c>
      <c r="AA101" s="4">
        <f t="shared" si="55"/>
        <v>0</v>
      </c>
      <c r="AB101" s="4">
        <v>618</v>
      </c>
      <c r="AC101" s="4">
        <f t="shared" si="56"/>
        <v>618</v>
      </c>
      <c r="AD101" s="4"/>
      <c r="AE101" s="21">
        <f t="shared" si="57"/>
        <v>998</v>
      </c>
      <c r="AF101" s="6">
        <f t="shared" si="58"/>
        <v>0.38076152304609223</v>
      </c>
      <c r="AG101" s="33">
        <v>1.5</v>
      </c>
      <c r="AH101" s="4">
        <f t="shared" si="59"/>
        <v>893</v>
      </c>
      <c r="AI101" s="33">
        <f t="shared" si="60"/>
        <v>983.73262032085563</v>
      </c>
      <c r="AJ101" s="6">
        <f t="shared" si="61"/>
        <v>0.37178051511758115</v>
      </c>
      <c r="AK101" s="7">
        <v>980</v>
      </c>
      <c r="AL101" s="6">
        <f t="shared" si="62"/>
        <v>0.3693877551020408</v>
      </c>
      <c r="AM101" s="4">
        <f t="shared" si="63"/>
        <v>362</v>
      </c>
      <c r="AN101" s="28"/>
      <c r="AO101" s="6"/>
      <c r="AP101" s="6"/>
      <c r="AQ101" s="6" t="str">
        <f t="shared" si="64"/>
        <v>-</v>
      </c>
      <c r="AR101" s="6">
        <f t="shared" si="65"/>
        <v>1.0816777041942605</v>
      </c>
      <c r="AS101" s="6">
        <f t="shared" si="66"/>
        <v>1.1016042780748663</v>
      </c>
      <c r="AT101" s="4"/>
      <c r="AU101" s="4"/>
      <c r="AV101" s="4"/>
      <c r="AW101" s="4"/>
      <c r="AX101" s="4"/>
      <c r="AY101" s="4"/>
      <c r="AZ101" s="4"/>
      <c r="BA101" s="4"/>
      <c r="BB101" s="4"/>
      <c r="BC101" s="4" t="s">
        <v>256</v>
      </c>
      <c r="BD101" s="4" t="s">
        <v>428</v>
      </c>
      <c r="BE101" s="4"/>
      <c r="BF101" s="4"/>
      <c r="BG101" s="4" t="s">
        <v>382</v>
      </c>
      <c r="BH101" s="4">
        <v>893</v>
      </c>
      <c r="BI101" s="4">
        <v>893</v>
      </c>
      <c r="BJ101" s="4">
        <f t="shared" si="67"/>
        <v>893</v>
      </c>
      <c r="BK101" s="19">
        <v>4</v>
      </c>
      <c r="BL101" s="19">
        <v>1</v>
      </c>
      <c r="BM101" s="16">
        <v>19251515</v>
      </c>
      <c r="BN101" t="s">
        <v>258</v>
      </c>
      <c r="BO101" t="s">
        <v>258</v>
      </c>
      <c r="BP101" t="str">
        <f t="shared" si="68"/>
        <v>-</v>
      </c>
      <c r="BQ101">
        <v>891</v>
      </c>
      <c r="BR101">
        <v>891</v>
      </c>
      <c r="BS101">
        <f t="shared" si="69"/>
        <v>981.52941176470586</v>
      </c>
      <c r="BT101" s="4" t="s">
        <v>313</v>
      </c>
    </row>
    <row r="102" spans="1:72" x14ac:dyDescent="0.4">
      <c r="A102" s="3">
        <v>56</v>
      </c>
      <c r="B102" s="3">
        <v>56</v>
      </c>
      <c r="C102" s="4" t="s">
        <v>117</v>
      </c>
      <c r="D102" s="4" t="str">
        <f t="shared" si="53"/>
        <v>J241SD</v>
      </c>
      <c r="E102" s="4" t="s">
        <v>117</v>
      </c>
      <c r="F102" s="4" t="str">
        <f t="shared" si="52"/>
        <v>J241SD5</v>
      </c>
      <c r="G102" s="4" t="s">
        <v>204</v>
      </c>
      <c r="H102" s="5">
        <v>4903320162839</v>
      </c>
      <c r="I102" s="5">
        <v>5</v>
      </c>
      <c r="J102" s="5"/>
      <c r="K102" s="5">
        <v>1</v>
      </c>
      <c r="L102" s="5">
        <v>1</v>
      </c>
      <c r="M102" s="4">
        <v>0</v>
      </c>
      <c r="N102" s="4">
        <v>1173</v>
      </c>
      <c r="O102" s="4">
        <v>696</v>
      </c>
      <c r="P102" s="6">
        <f t="shared" si="54"/>
        <v>0.40664961636828645</v>
      </c>
      <c r="Q102" s="4" t="s">
        <v>259</v>
      </c>
      <c r="R102" s="4"/>
      <c r="S102" s="4"/>
      <c r="T102" s="4"/>
      <c r="U102" s="4"/>
      <c r="V102" s="4"/>
      <c r="W102" s="4"/>
      <c r="X102" s="4"/>
      <c r="Y102" s="4"/>
      <c r="Z102" s="4">
        <v>0</v>
      </c>
      <c r="AA102" s="4">
        <f t="shared" si="55"/>
        <v>0</v>
      </c>
      <c r="AB102" s="4">
        <v>766</v>
      </c>
      <c r="AC102" s="4">
        <f t="shared" si="56"/>
        <v>766</v>
      </c>
      <c r="AD102" s="4"/>
      <c r="AE102" s="21">
        <f t="shared" si="57"/>
        <v>1291</v>
      </c>
      <c r="AF102" s="6">
        <f t="shared" si="58"/>
        <v>0.40666150271107671</v>
      </c>
      <c r="AG102" s="33">
        <v>0.25</v>
      </c>
      <c r="AH102" s="4">
        <f t="shared" si="59"/>
        <v>1164</v>
      </c>
      <c r="AI102" s="33">
        <f t="shared" si="60"/>
        <v>1281.0689655172414</v>
      </c>
      <c r="AJ102" s="6">
        <f t="shared" si="61"/>
        <v>0.40206185567010311</v>
      </c>
      <c r="AK102" s="7">
        <v>1280</v>
      </c>
      <c r="AL102" s="6">
        <f t="shared" si="62"/>
        <v>0.40156250000000004</v>
      </c>
      <c r="AM102" s="4">
        <f t="shared" si="63"/>
        <v>514</v>
      </c>
      <c r="AN102" s="28"/>
      <c r="AO102" s="6"/>
      <c r="AP102" s="6"/>
      <c r="AQ102" s="6" t="str">
        <f t="shared" si="64"/>
        <v>-</v>
      </c>
      <c r="AR102" s="6">
        <f t="shared" si="65"/>
        <v>1.0912190963341859</v>
      </c>
      <c r="AS102" s="6">
        <f t="shared" si="66"/>
        <v>1.1005747126436782</v>
      </c>
      <c r="AT102" s="4"/>
      <c r="AU102" s="4"/>
      <c r="AV102" s="4"/>
      <c r="AW102" s="4"/>
      <c r="AX102" s="4"/>
      <c r="AY102" s="4"/>
      <c r="AZ102" s="4"/>
      <c r="BA102" s="4"/>
      <c r="BB102" s="4"/>
      <c r="BC102" s="4">
        <v>0</v>
      </c>
      <c r="BD102" s="4" t="s">
        <v>431</v>
      </c>
      <c r="BE102" s="4"/>
      <c r="BF102" s="4"/>
      <c r="BG102" s="4" t="s">
        <v>369</v>
      </c>
      <c r="BH102" s="4">
        <v>1164</v>
      </c>
      <c r="BI102" s="4">
        <v>1164</v>
      </c>
      <c r="BJ102" s="4">
        <f t="shared" si="67"/>
        <v>1164</v>
      </c>
      <c r="BK102" s="19">
        <v>4</v>
      </c>
      <c r="BL102" s="19">
        <v>8</v>
      </c>
      <c r="BM102" s="16">
        <v>19251515</v>
      </c>
      <c r="BN102">
        <v>817</v>
      </c>
      <c r="BO102">
        <v>817</v>
      </c>
      <c r="BP102">
        <f t="shared" si="68"/>
        <v>899.16954022988511</v>
      </c>
      <c r="BQ102">
        <v>1703</v>
      </c>
      <c r="BR102">
        <v>1703</v>
      </c>
      <c r="BS102">
        <f t="shared" si="69"/>
        <v>1874.278735632184</v>
      </c>
      <c r="BT102" s="4" t="s">
        <v>316</v>
      </c>
    </row>
    <row r="103" spans="1:72" x14ac:dyDescent="0.4">
      <c r="A103" s="3">
        <v>25</v>
      </c>
      <c r="B103" s="3">
        <v>25</v>
      </c>
      <c r="C103" s="4" t="s">
        <v>86</v>
      </c>
      <c r="D103" s="4" t="str">
        <f t="shared" si="53"/>
        <v>J256SD</v>
      </c>
      <c r="E103" s="4" t="s">
        <v>86</v>
      </c>
      <c r="F103" s="4" t="str">
        <f t="shared" si="52"/>
        <v>J256SD5</v>
      </c>
      <c r="G103" s="4" t="s">
        <v>173</v>
      </c>
      <c r="H103" s="5">
        <v>4903320162433</v>
      </c>
      <c r="I103" s="5">
        <v>5</v>
      </c>
      <c r="J103" s="5"/>
      <c r="K103" s="5">
        <v>1</v>
      </c>
      <c r="L103" s="5">
        <v>1</v>
      </c>
      <c r="M103" s="4">
        <v>0</v>
      </c>
      <c r="N103" s="4">
        <v>323</v>
      </c>
      <c r="O103" s="4">
        <v>197</v>
      </c>
      <c r="P103" s="6">
        <f t="shared" si="54"/>
        <v>0.3900928792569659</v>
      </c>
      <c r="Q103" s="4" t="s">
        <v>259</v>
      </c>
      <c r="R103" s="4"/>
      <c r="S103" s="4"/>
      <c r="T103" s="4"/>
      <c r="U103" s="4"/>
      <c r="V103" s="4"/>
      <c r="W103" s="4"/>
      <c r="X103" s="4"/>
      <c r="Y103" s="4"/>
      <c r="Z103" s="4">
        <v>0</v>
      </c>
      <c r="AA103" s="4">
        <f t="shared" si="55"/>
        <v>0</v>
      </c>
      <c r="AB103" s="4">
        <v>218</v>
      </c>
      <c r="AC103" s="4">
        <f t="shared" si="56"/>
        <v>218</v>
      </c>
      <c r="AD103" s="4"/>
      <c r="AE103" s="21">
        <f t="shared" si="57"/>
        <v>357</v>
      </c>
      <c r="AF103" s="6">
        <f t="shared" si="58"/>
        <v>0.38935574229691872</v>
      </c>
      <c r="AG103" s="33">
        <v>2</v>
      </c>
      <c r="AH103" s="4">
        <f t="shared" si="59"/>
        <v>317</v>
      </c>
      <c r="AI103" s="33">
        <f t="shared" si="60"/>
        <v>350.79187817258884</v>
      </c>
      <c r="AJ103" s="6">
        <f t="shared" si="61"/>
        <v>0.37854889589905361</v>
      </c>
      <c r="AK103" s="7">
        <v>350</v>
      </c>
      <c r="AL103" s="6">
        <f t="shared" si="62"/>
        <v>0.37714285714285711</v>
      </c>
      <c r="AM103" s="4">
        <f t="shared" si="63"/>
        <v>132</v>
      </c>
      <c r="AN103" s="28"/>
      <c r="AO103" s="6"/>
      <c r="AP103" s="6"/>
      <c r="AQ103" s="6" t="str">
        <f t="shared" si="64"/>
        <v>-</v>
      </c>
      <c r="AR103" s="6">
        <f t="shared" si="65"/>
        <v>1.0835913312693499</v>
      </c>
      <c r="AS103" s="6">
        <f t="shared" si="66"/>
        <v>1.1065989847715736</v>
      </c>
      <c r="AT103" s="4"/>
      <c r="AU103" s="4"/>
      <c r="AV103" s="4"/>
      <c r="AW103" s="4"/>
      <c r="AX103" s="4"/>
      <c r="AY103" s="4"/>
      <c r="AZ103" s="4"/>
      <c r="BA103" s="4"/>
      <c r="BB103" s="4"/>
      <c r="BC103" s="4">
        <v>0</v>
      </c>
      <c r="BD103" s="4" t="s">
        <v>400</v>
      </c>
      <c r="BE103" s="4"/>
      <c r="BF103" s="4"/>
      <c r="BG103" s="4" t="s">
        <v>389</v>
      </c>
      <c r="BH103" s="4">
        <v>317</v>
      </c>
      <c r="BI103" s="4">
        <v>317</v>
      </c>
      <c r="BJ103" s="4">
        <f t="shared" si="67"/>
        <v>317</v>
      </c>
      <c r="BK103" s="19">
        <v>4</v>
      </c>
      <c r="BL103" s="19">
        <v>1</v>
      </c>
      <c r="BM103" s="16">
        <v>19251520</v>
      </c>
      <c r="BN103" t="s">
        <v>258</v>
      </c>
      <c r="BO103" t="s">
        <v>258</v>
      </c>
      <c r="BP103" t="str">
        <f t="shared" si="68"/>
        <v>-</v>
      </c>
      <c r="BQ103">
        <v>317</v>
      </c>
      <c r="BR103">
        <v>317</v>
      </c>
      <c r="BS103">
        <f t="shared" si="69"/>
        <v>350.79187817258884</v>
      </c>
      <c r="BT103" s="4" t="s">
        <v>285</v>
      </c>
    </row>
    <row r="104" spans="1:72" x14ac:dyDescent="0.4">
      <c r="A104" s="3">
        <v>26</v>
      </c>
      <c r="B104" s="3">
        <v>26</v>
      </c>
      <c r="C104" s="4" t="s">
        <v>87</v>
      </c>
      <c r="D104" s="4" t="str">
        <f t="shared" si="53"/>
        <v>J257SD</v>
      </c>
      <c r="E104" s="4" t="s">
        <v>87</v>
      </c>
      <c r="F104" s="4" t="str">
        <f t="shared" si="52"/>
        <v>J257SD5</v>
      </c>
      <c r="G104" s="4" t="s">
        <v>174</v>
      </c>
      <c r="H104" s="5">
        <v>4903320162457</v>
      </c>
      <c r="I104" s="5">
        <v>5</v>
      </c>
      <c r="J104" s="5"/>
      <c r="K104" s="5">
        <v>1</v>
      </c>
      <c r="L104" s="5">
        <v>1</v>
      </c>
      <c r="M104" s="4">
        <v>0</v>
      </c>
      <c r="N104" s="4">
        <v>320</v>
      </c>
      <c r="O104" s="4">
        <v>197</v>
      </c>
      <c r="P104" s="6">
        <f t="shared" si="54"/>
        <v>0.38437500000000002</v>
      </c>
      <c r="Q104" s="4" t="s">
        <v>259</v>
      </c>
      <c r="R104" s="4"/>
      <c r="S104" s="4"/>
      <c r="T104" s="4"/>
      <c r="U104" s="4"/>
      <c r="V104" s="4"/>
      <c r="W104" s="4"/>
      <c r="X104" s="4"/>
      <c r="Y104" s="4"/>
      <c r="Z104" s="4">
        <v>0</v>
      </c>
      <c r="AA104" s="4">
        <f t="shared" si="55"/>
        <v>0</v>
      </c>
      <c r="AB104" s="4">
        <v>218</v>
      </c>
      <c r="AC104" s="4">
        <f t="shared" si="56"/>
        <v>218</v>
      </c>
      <c r="AD104" s="4"/>
      <c r="AE104" s="21">
        <f t="shared" si="57"/>
        <v>354</v>
      </c>
      <c r="AF104" s="6">
        <f t="shared" si="58"/>
        <v>0.38418079096045199</v>
      </c>
      <c r="AG104" s="33">
        <v>5.75</v>
      </c>
      <c r="AH104" s="4">
        <f t="shared" si="59"/>
        <v>317</v>
      </c>
      <c r="AI104" s="33">
        <f t="shared" si="60"/>
        <v>350.79187817258884</v>
      </c>
      <c r="AJ104" s="6">
        <f t="shared" si="61"/>
        <v>0.37854889589905361</v>
      </c>
      <c r="AK104" s="7">
        <v>350</v>
      </c>
      <c r="AL104" s="6">
        <f t="shared" si="62"/>
        <v>0.37714285714285711</v>
      </c>
      <c r="AM104" s="4">
        <f t="shared" si="63"/>
        <v>132</v>
      </c>
      <c r="AN104" s="28"/>
      <c r="AO104" s="6"/>
      <c r="AP104" s="6"/>
      <c r="AQ104" s="6" t="str">
        <f t="shared" si="64"/>
        <v>-</v>
      </c>
      <c r="AR104" s="6">
        <f t="shared" si="65"/>
        <v>1.09375</v>
      </c>
      <c r="AS104" s="6">
        <f t="shared" si="66"/>
        <v>1.1065989847715736</v>
      </c>
      <c r="AT104" s="4"/>
      <c r="AU104" s="4"/>
      <c r="AV104" s="4"/>
      <c r="AW104" s="4"/>
      <c r="AX104" s="4"/>
      <c r="AY104" s="4"/>
      <c r="AZ104" s="4"/>
      <c r="BA104" s="4"/>
      <c r="BB104" s="4"/>
      <c r="BC104" s="4">
        <v>0</v>
      </c>
      <c r="BD104" s="4" t="s">
        <v>401</v>
      </c>
      <c r="BE104" s="4"/>
      <c r="BF104" s="4"/>
      <c r="BG104" s="4" t="s">
        <v>382</v>
      </c>
      <c r="BH104" s="4">
        <v>317</v>
      </c>
      <c r="BI104" s="4">
        <v>317</v>
      </c>
      <c r="BJ104" s="4">
        <f t="shared" si="67"/>
        <v>317</v>
      </c>
      <c r="BK104" s="19">
        <v>4</v>
      </c>
      <c r="BL104" s="19">
        <v>1</v>
      </c>
      <c r="BM104" s="16">
        <v>19251520</v>
      </c>
      <c r="BN104" t="s">
        <v>258</v>
      </c>
      <c r="BO104" t="s">
        <v>258</v>
      </c>
      <c r="BP104" t="str">
        <f t="shared" si="68"/>
        <v>-</v>
      </c>
      <c r="BQ104">
        <v>317</v>
      </c>
      <c r="BR104">
        <v>317</v>
      </c>
      <c r="BS104">
        <f t="shared" si="69"/>
        <v>350.79187817258884</v>
      </c>
      <c r="BT104" s="4" t="s">
        <v>286</v>
      </c>
    </row>
    <row r="105" spans="1:72" x14ac:dyDescent="0.4">
      <c r="A105" s="3">
        <v>27</v>
      </c>
      <c r="B105" s="3">
        <v>27</v>
      </c>
      <c r="C105" s="4" t="s">
        <v>88</v>
      </c>
      <c r="D105" s="4" t="str">
        <f t="shared" si="53"/>
        <v>J755WT</v>
      </c>
      <c r="E105" s="4" t="s">
        <v>88</v>
      </c>
      <c r="F105" s="4" t="str">
        <f t="shared" si="52"/>
        <v>J755WT5</v>
      </c>
      <c r="G105" s="4" t="s">
        <v>175</v>
      </c>
      <c r="H105" s="5">
        <v>4903320162464</v>
      </c>
      <c r="I105" s="5">
        <v>5</v>
      </c>
      <c r="J105" s="5"/>
      <c r="K105" s="5">
        <v>1</v>
      </c>
      <c r="L105" s="5">
        <v>1</v>
      </c>
      <c r="M105" s="4">
        <v>0</v>
      </c>
      <c r="N105" s="4">
        <v>290</v>
      </c>
      <c r="O105" s="4">
        <v>197</v>
      </c>
      <c r="P105" s="6">
        <f t="shared" si="54"/>
        <v>0.32068965517241377</v>
      </c>
      <c r="Q105" s="4" t="s">
        <v>259</v>
      </c>
      <c r="R105" s="4"/>
      <c r="S105" s="4"/>
      <c r="T105" s="4"/>
      <c r="U105" s="4"/>
      <c r="V105" s="4"/>
      <c r="W105" s="4"/>
      <c r="X105" s="4"/>
      <c r="Y105" s="4"/>
      <c r="Z105" s="4">
        <v>0</v>
      </c>
      <c r="AA105" s="4">
        <f t="shared" si="55"/>
        <v>0</v>
      </c>
      <c r="AB105" s="4">
        <v>218</v>
      </c>
      <c r="AC105" s="4">
        <f t="shared" si="56"/>
        <v>218</v>
      </c>
      <c r="AD105" s="4"/>
      <c r="AE105" s="21">
        <f t="shared" si="57"/>
        <v>321</v>
      </c>
      <c r="AF105" s="6">
        <f t="shared" si="58"/>
        <v>0.32087227414330222</v>
      </c>
      <c r="AG105" s="33">
        <v>3</v>
      </c>
      <c r="AH105" s="4">
        <f t="shared" si="59"/>
        <v>317</v>
      </c>
      <c r="AI105" s="33">
        <f t="shared" si="60"/>
        <v>350.79187817258884</v>
      </c>
      <c r="AJ105" s="6">
        <f t="shared" si="61"/>
        <v>0.37854889589905361</v>
      </c>
      <c r="AK105" s="7">
        <v>350</v>
      </c>
      <c r="AL105" s="6">
        <f t="shared" si="62"/>
        <v>0.37714285714285711</v>
      </c>
      <c r="AM105" s="4">
        <f t="shared" si="63"/>
        <v>132</v>
      </c>
      <c r="AN105" s="28"/>
      <c r="AO105" s="6"/>
      <c r="AP105" s="6"/>
      <c r="AQ105" s="6" t="str">
        <f t="shared" si="64"/>
        <v>-</v>
      </c>
      <c r="AR105" s="6">
        <f t="shared" si="65"/>
        <v>1.2068965517241379</v>
      </c>
      <c r="AS105" s="6">
        <f t="shared" si="66"/>
        <v>1.1065989847715736</v>
      </c>
      <c r="AT105" s="4"/>
      <c r="AU105" s="4"/>
      <c r="AV105" s="4"/>
      <c r="AW105" s="4"/>
      <c r="AX105" s="4"/>
      <c r="AY105" s="4"/>
      <c r="AZ105" s="4"/>
      <c r="BA105" s="4"/>
      <c r="BB105" s="4"/>
      <c r="BC105" s="4">
        <v>0</v>
      </c>
      <c r="BD105" s="4" t="s">
        <v>402</v>
      </c>
      <c r="BE105" s="4"/>
      <c r="BF105" s="4"/>
      <c r="BG105" s="4" t="s">
        <v>382</v>
      </c>
      <c r="BH105" s="4">
        <v>317</v>
      </c>
      <c r="BI105" s="4">
        <v>317</v>
      </c>
      <c r="BJ105" s="4">
        <f t="shared" si="67"/>
        <v>317</v>
      </c>
      <c r="BK105" s="19">
        <v>4</v>
      </c>
      <c r="BL105" s="19">
        <v>1</v>
      </c>
      <c r="BM105" s="16">
        <v>19251520</v>
      </c>
      <c r="BN105" t="s">
        <v>258</v>
      </c>
      <c r="BO105" t="s">
        <v>258</v>
      </c>
      <c r="BP105" t="str">
        <f t="shared" si="68"/>
        <v>-</v>
      </c>
      <c r="BQ105">
        <v>317</v>
      </c>
      <c r="BR105">
        <v>317</v>
      </c>
      <c r="BS105">
        <f t="shared" si="69"/>
        <v>350.79187817258884</v>
      </c>
      <c r="BT105" s="4" t="s">
        <v>287</v>
      </c>
    </row>
    <row r="106" spans="1:72" x14ac:dyDescent="0.4">
      <c r="A106" s="3">
        <v>5</v>
      </c>
      <c r="B106" s="3">
        <v>5</v>
      </c>
      <c r="C106" s="4">
        <v>932137</v>
      </c>
      <c r="D106" s="4" t="str">
        <f t="shared" si="53"/>
        <v>932137</v>
      </c>
      <c r="E106" s="4">
        <v>932137</v>
      </c>
      <c r="F106" s="4" t="str">
        <f t="shared" si="52"/>
        <v>9321375</v>
      </c>
      <c r="G106" s="4" t="s">
        <v>153</v>
      </c>
      <c r="H106" s="5">
        <v>4903320075603</v>
      </c>
      <c r="I106" s="5">
        <v>5</v>
      </c>
      <c r="J106" s="5"/>
      <c r="K106" s="5">
        <v>1</v>
      </c>
      <c r="L106" s="5">
        <v>1</v>
      </c>
      <c r="M106" s="4">
        <v>0</v>
      </c>
      <c r="N106" s="4">
        <v>445</v>
      </c>
      <c r="O106" s="4">
        <v>273</v>
      </c>
      <c r="P106" s="6">
        <f t="shared" si="54"/>
        <v>0.38651685393258428</v>
      </c>
      <c r="Q106" s="4" t="s">
        <v>259</v>
      </c>
      <c r="R106" s="4"/>
      <c r="S106" s="4"/>
      <c r="T106" s="4"/>
      <c r="U106" s="4"/>
      <c r="V106" s="4"/>
      <c r="W106" s="4"/>
      <c r="X106" s="4"/>
      <c r="Y106" s="4"/>
      <c r="Z106" s="4">
        <v>0</v>
      </c>
      <c r="AA106" s="4">
        <f t="shared" si="55"/>
        <v>0</v>
      </c>
      <c r="AB106" s="4">
        <v>314</v>
      </c>
      <c r="AC106" s="4">
        <f t="shared" si="56"/>
        <v>314</v>
      </c>
      <c r="AD106" s="4"/>
      <c r="AE106" s="21">
        <f t="shared" si="57"/>
        <v>512</v>
      </c>
      <c r="AF106" s="6">
        <f t="shared" si="58"/>
        <v>0.38671875</v>
      </c>
      <c r="AG106" s="33">
        <v>18.25</v>
      </c>
      <c r="AH106" s="4">
        <f t="shared" si="59"/>
        <v>501</v>
      </c>
      <c r="AI106" s="33">
        <f t="shared" si="60"/>
        <v>576.24175824175825</v>
      </c>
      <c r="AJ106" s="6">
        <f t="shared" si="61"/>
        <v>0.45508982035928147</v>
      </c>
      <c r="AK106" s="7">
        <v>520</v>
      </c>
      <c r="AL106" s="6">
        <f t="shared" si="62"/>
        <v>0.39615384615384619</v>
      </c>
      <c r="AM106" s="4">
        <f t="shared" si="63"/>
        <v>206</v>
      </c>
      <c r="AN106" s="28"/>
      <c r="AO106" s="6"/>
      <c r="AP106" s="6"/>
      <c r="AQ106" s="6" t="str">
        <f t="shared" si="64"/>
        <v>-</v>
      </c>
      <c r="AR106" s="6">
        <f t="shared" si="65"/>
        <v>1.1685393258426966</v>
      </c>
      <c r="AS106" s="6">
        <f t="shared" si="66"/>
        <v>1.1501831501831501</v>
      </c>
      <c r="AT106" s="4"/>
      <c r="AU106" s="4"/>
      <c r="AV106" s="4"/>
      <c r="AW106" s="4"/>
      <c r="AX106" s="4"/>
      <c r="AY106" s="4"/>
      <c r="AZ106" s="4"/>
      <c r="BA106" s="4"/>
      <c r="BB106" s="4"/>
      <c r="BC106" s="4" t="s">
        <v>254</v>
      </c>
      <c r="BD106" s="4" t="s">
        <v>373</v>
      </c>
      <c r="BE106" s="4"/>
      <c r="BF106" s="4"/>
      <c r="BG106" s="4" t="s">
        <v>374</v>
      </c>
      <c r="BH106" s="4">
        <v>501</v>
      </c>
      <c r="BI106" s="4">
        <v>501</v>
      </c>
      <c r="BJ106" s="4">
        <f t="shared" si="67"/>
        <v>501</v>
      </c>
      <c r="BK106" s="19">
        <v>4</v>
      </c>
      <c r="BL106" s="19">
        <v>1</v>
      </c>
      <c r="BM106" s="16">
        <v>19251520</v>
      </c>
      <c r="BN106" t="s">
        <v>258</v>
      </c>
      <c r="BO106" t="s">
        <v>258</v>
      </c>
      <c r="BP106" t="str">
        <f t="shared" si="68"/>
        <v>-</v>
      </c>
      <c r="BQ106">
        <v>500</v>
      </c>
      <c r="BR106">
        <v>500</v>
      </c>
      <c r="BS106">
        <f t="shared" si="69"/>
        <v>575.09157509157501</v>
      </c>
      <c r="BT106" s="4" t="s">
        <v>266</v>
      </c>
    </row>
    <row r="107" spans="1:72" x14ac:dyDescent="0.4">
      <c r="A107" s="3">
        <v>14</v>
      </c>
      <c r="B107" s="3">
        <v>14</v>
      </c>
      <c r="C107" s="4" t="s">
        <v>75</v>
      </c>
      <c r="D107" s="4" t="str">
        <f t="shared" si="53"/>
        <v>J248SD</v>
      </c>
      <c r="E107" s="4" t="s">
        <v>75</v>
      </c>
      <c r="F107" s="4" t="str">
        <f t="shared" si="52"/>
        <v>J248SD5</v>
      </c>
      <c r="G107" s="4" t="s">
        <v>162</v>
      </c>
      <c r="H107" s="5">
        <v>4903320162143</v>
      </c>
      <c r="I107" s="5">
        <v>5</v>
      </c>
      <c r="J107" s="5"/>
      <c r="K107" s="5">
        <v>1</v>
      </c>
      <c r="L107" s="5">
        <v>1</v>
      </c>
      <c r="M107" s="4">
        <v>0</v>
      </c>
      <c r="N107" s="4">
        <v>648</v>
      </c>
      <c r="O107" s="4">
        <v>354</v>
      </c>
      <c r="P107" s="6">
        <f t="shared" si="54"/>
        <v>0.45370370370370372</v>
      </c>
      <c r="Q107" s="4" t="s">
        <v>259</v>
      </c>
      <c r="R107" s="4"/>
      <c r="S107" s="4"/>
      <c r="T107" s="4"/>
      <c r="U107" s="4"/>
      <c r="V107" s="4"/>
      <c r="W107" s="4"/>
      <c r="X107" s="4"/>
      <c r="Y107" s="4"/>
      <c r="Z107" s="4">
        <v>0</v>
      </c>
      <c r="AA107" s="4">
        <f t="shared" si="55"/>
        <v>0</v>
      </c>
      <c r="AB107" s="4">
        <v>390</v>
      </c>
      <c r="AC107" s="4">
        <f t="shared" si="56"/>
        <v>390</v>
      </c>
      <c r="AD107" s="4"/>
      <c r="AE107" s="21">
        <f t="shared" si="57"/>
        <v>714</v>
      </c>
      <c r="AF107" s="6">
        <f t="shared" si="58"/>
        <v>0.45378151260504207</v>
      </c>
      <c r="AG107" s="33">
        <v>14.75</v>
      </c>
      <c r="AH107" s="4">
        <f t="shared" si="59"/>
        <v>640</v>
      </c>
      <c r="AI107" s="33">
        <f t="shared" si="60"/>
        <v>705.0847457627118</v>
      </c>
      <c r="AJ107" s="6">
        <f t="shared" si="61"/>
        <v>0.44687499999999991</v>
      </c>
      <c r="AK107" s="7">
        <v>680</v>
      </c>
      <c r="AL107" s="6">
        <f t="shared" si="62"/>
        <v>0.42647058823529416</v>
      </c>
      <c r="AM107" s="4">
        <f t="shared" si="63"/>
        <v>290</v>
      </c>
      <c r="AN107" s="28"/>
      <c r="AO107" s="6"/>
      <c r="AP107" s="6"/>
      <c r="AQ107" s="6" t="str">
        <f t="shared" si="64"/>
        <v>-</v>
      </c>
      <c r="AR107" s="6">
        <f t="shared" si="65"/>
        <v>1.0493827160493827</v>
      </c>
      <c r="AS107" s="6">
        <f t="shared" si="66"/>
        <v>1.1016949152542372</v>
      </c>
      <c r="AT107" s="4"/>
      <c r="AU107" s="4"/>
      <c r="AV107" s="4"/>
      <c r="AW107" s="4"/>
      <c r="AX107" s="4"/>
      <c r="AY107" s="4"/>
      <c r="AZ107" s="4"/>
      <c r="BA107" s="4"/>
      <c r="BB107" s="4"/>
      <c r="BC107" s="4">
        <v>0</v>
      </c>
      <c r="BD107" s="4" t="s">
        <v>388</v>
      </c>
      <c r="BE107" s="4"/>
      <c r="BF107" s="4"/>
      <c r="BG107" s="4" t="s">
        <v>389</v>
      </c>
      <c r="BH107" s="4">
        <v>640</v>
      </c>
      <c r="BI107" s="4">
        <v>640</v>
      </c>
      <c r="BJ107" s="4">
        <f t="shared" si="67"/>
        <v>640</v>
      </c>
      <c r="BK107" s="19">
        <v>4</v>
      </c>
      <c r="BL107" s="19">
        <v>1</v>
      </c>
      <c r="BM107" s="16">
        <v>19251520</v>
      </c>
      <c r="BN107" t="s">
        <v>258</v>
      </c>
      <c r="BO107" t="s">
        <v>258</v>
      </c>
      <c r="BP107" t="str">
        <f t="shared" si="68"/>
        <v>-</v>
      </c>
      <c r="BQ107">
        <v>635</v>
      </c>
      <c r="BR107">
        <v>635</v>
      </c>
      <c r="BS107">
        <f t="shared" si="69"/>
        <v>699.57627118644064</v>
      </c>
      <c r="BT107" s="4" t="s">
        <v>274</v>
      </c>
    </row>
    <row r="108" spans="1:72" x14ac:dyDescent="0.4">
      <c r="A108" s="3">
        <v>13</v>
      </c>
      <c r="B108" s="3">
        <v>13</v>
      </c>
      <c r="C108" s="4" t="s">
        <v>74</v>
      </c>
      <c r="D108" s="4" t="str">
        <f t="shared" si="53"/>
        <v>J247SD</v>
      </c>
      <c r="E108" s="4" t="s">
        <v>74</v>
      </c>
      <c r="F108" s="4" t="str">
        <f t="shared" si="52"/>
        <v>J247SD5</v>
      </c>
      <c r="G108" s="4" t="s">
        <v>161</v>
      </c>
      <c r="H108" s="5">
        <v>4903320162136</v>
      </c>
      <c r="I108" s="5">
        <v>5</v>
      </c>
      <c r="J108" s="5"/>
      <c r="K108" s="5">
        <v>1</v>
      </c>
      <c r="L108" s="5">
        <v>1</v>
      </c>
      <c r="M108" s="4">
        <v>0</v>
      </c>
      <c r="N108" s="4">
        <v>648</v>
      </c>
      <c r="O108" s="4">
        <v>366</v>
      </c>
      <c r="P108" s="6">
        <f t="shared" si="54"/>
        <v>0.43518518518518523</v>
      </c>
      <c r="Q108" s="4" t="s">
        <v>259</v>
      </c>
      <c r="R108" s="4"/>
      <c r="S108" s="4"/>
      <c r="T108" s="4"/>
      <c r="U108" s="4"/>
      <c r="V108" s="4"/>
      <c r="W108" s="4"/>
      <c r="X108" s="4"/>
      <c r="Y108" s="4"/>
      <c r="Z108" s="4">
        <v>0</v>
      </c>
      <c r="AA108" s="4">
        <f t="shared" si="55"/>
        <v>0</v>
      </c>
      <c r="AB108" s="4">
        <v>403</v>
      </c>
      <c r="AC108" s="4">
        <f t="shared" si="56"/>
        <v>403</v>
      </c>
      <c r="AD108" s="4"/>
      <c r="AE108" s="21">
        <f t="shared" si="57"/>
        <v>714</v>
      </c>
      <c r="AF108" s="6">
        <f t="shared" si="58"/>
        <v>0.43557422969187676</v>
      </c>
      <c r="AG108" s="33">
        <v>6.25</v>
      </c>
      <c r="AH108" s="4">
        <f t="shared" si="59"/>
        <v>640</v>
      </c>
      <c r="AI108" s="33">
        <f t="shared" si="60"/>
        <v>704.6994535519126</v>
      </c>
      <c r="AJ108" s="6">
        <f t="shared" si="61"/>
        <v>0.42812499999999998</v>
      </c>
      <c r="AK108" s="7">
        <v>690</v>
      </c>
      <c r="AL108" s="6">
        <f t="shared" si="62"/>
        <v>0.41594202898550725</v>
      </c>
      <c r="AM108" s="4">
        <f t="shared" si="63"/>
        <v>287</v>
      </c>
      <c r="AN108" s="28"/>
      <c r="AO108" s="6"/>
      <c r="AP108" s="6"/>
      <c r="AQ108" s="6" t="str">
        <f t="shared" si="64"/>
        <v>-</v>
      </c>
      <c r="AR108" s="6">
        <f t="shared" si="65"/>
        <v>1.0648148148148149</v>
      </c>
      <c r="AS108" s="6">
        <f t="shared" si="66"/>
        <v>1.1010928961748634</v>
      </c>
      <c r="AT108" s="4"/>
      <c r="AU108" s="4"/>
      <c r="AV108" s="4"/>
      <c r="AW108" s="4"/>
      <c r="AX108" s="4"/>
      <c r="AY108" s="4"/>
      <c r="AZ108" s="4"/>
      <c r="BA108" s="4"/>
      <c r="BB108" s="4"/>
      <c r="BC108" s="4">
        <v>0</v>
      </c>
      <c r="BD108" s="4" t="s">
        <v>386</v>
      </c>
      <c r="BE108" s="4"/>
      <c r="BF108" s="4"/>
      <c r="BG108" s="4" t="s">
        <v>387</v>
      </c>
      <c r="BH108" s="4">
        <v>640</v>
      </c>
      <c r="BI108" s="4">
        <v>640</v>
      </c>
      <c r="BJ108" s="4">
        <f t="shared" si="67"/>
        <v>640</v>
      </c>
      <c r="BK108" s="19">
        <v>4</v>
      </c>
      <c r="BL108" s="19">
        <v>1</v>
      </c>
      <c r="BM108" s="16">
        <v>19251520</v>
      </c>
      <c r="BN108" t="s">
        <v>258</v>
      </c>
      <c r="BO108" t="s">
        <v>258</v>
      </c>
      <c r="BP108" t="str">
        <f t="shared" si="68"/>
        <v>-</v>
      </c>
      <c r="BQ108">
        <v>635</v>
      </c>
      <c r="BR108">
        <v>635</v>
      </c>
      <c r="BS108">
        <f t="shared" si="69"/>
        <v>699.19398907103823</v>
      </c>
      <c r="BT108" s="4" t="s">
        <v>273</v>
      </c>
    </row>
  </sheetData>
  <autoFilter ref="A3:BT108" xr:uid="{7A1660CF-9003-4B2D-B659-7F339ED5B476}">
    <sortState xmlns:xlrd2="http://schemas.microsoft.com/office/spreadsheetml/2017/richdata2" ref="A4:BT108">
      <sortCondition ref="BM4:BM108"/>
      <sortCondition ref="AB4:AB108"/>
    </sortState>
  </autoFilter>
  <mergeCells count="3">
    <mergeCell ref="M2:P2"/>
    <mergeCell ref="K2:L2"/>
    <mergeCell ref="Z1:AC1"/>
  </mergeCells>
  <phoneticPr fontId="2"/>
  <conditionalFormatting sqref="AK4:AK108">
    <cfRule type="cellIs" dxfId="5" priority="7" operator="greaterThan">
      <formula>$AA4</formula>
    </cfRule>
  </conditionalFormatting>
  <conditionalFormatting sqref="AI4:AI108">
    <cfRule type="cellIs" dxfId="4" priority="5" operator="lessThan">
      <formula>$AK4</formula>
    </cfRule>
  </conditionalFormatting>
  <conditionalFormatting sqref="AL4:AL108">
    <cfRule type="cellIs" dxfId="3" priority="4" operator="lessThan">
      <formula>0.2</formula>
    </cfRule>
  </conditionalFormatting>
  <conditionalFormatting sqref="BI4:BI108">
    <cfRule type="cellIs" dxfId="2" priority="3" operator="notEqual">
      <formula>$BH4</formula>
    </cfRule>
  </conditionalFormatting>
  <conditionalFormatting sqref="BO4:BO108">
    <cfRule type="cellIs" dxfId="1" priority="2" operator="notEqual">
      <formula>$BN4</formula>
    </cfRule>
  </conditionalFormatting>
  <conditionalFormatting sqref="BR4:BR108">
    <cfRule type="cellIs" dxfId="0" priority="1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2026-07-03T02:04:21Z</dcterms:modified>
</cp:coreProperties>
</file>