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ﾁ_中央物産_459.931.8259（916）\価格改定\20260706_7月末\"/>
    </mc:Choice>
  </mc:AlternateContent>
  <xr:revisionPtr revIDLastSave="0" documentId="13_ncr:1_{AA44F469-241D-4481-9304-D6E5779357CB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R7" i="1" l="1"/>
  <c r="P7" i="1"/>
  <c r="AR4" i="1"/>
  <c r="P5" i="1"/>
  <c r="P6" i="1"/>
  <c r="AR5" i="1"/>
  <c r="AR6" i="1"/>
  <c r="AV4" i="1"/>
  <c r="AU4" i="1"/>
  <c r="P4" i="1" l="1"/>
  <c r="AT4" i="1"/>
  <c r="BI5" i="1" l="1"/>
  <c r="AH5" i="1" s="1"/>
  <c r="BI6" i="1"/>
  <c r="AH6" i="1" s="1"/>
  <c r="BI7" i="1"/>
  <c r="AH7" i="1" s="1"/>
  <c r="BI4" i="1"/>
  <c r="AH4" i="1" s="1"/>
  <c r="AC5" i="1"/>
  <c r="AC6" i="1"/>
  <c r="AC7" i="1"/>
  <c r="AA5" i="1"/>
  <c r="AQ5" i="1" s="1"/>
  <c r="AA6" i="1"/>
  <c r="AQ6" i="1" s="1"/>
  <c r="AA7" i="1"/>
  <c r="AQ7" i="1" s="1"/>
  <c r="D5" i="1"/>
  <c r="F5" i="1" s="1"/>
  <c r="D6" i="1"/>
  <c r="F6" i="1" s="1"/>
  <c r="D7" i="1"/>
  <c r="F7" i="1" s="1"/>
  <c r="D4" i="1"/>
  <c r="F4" i="1" s="1"/>
  <c r="AC4" i="1"/>
  <c r="AA4" i="1"/>
  <c r="AQ4" i="1" s="1"/>
  <c r="AS7" i="1" l="1"/>
  <c r="AE7" i="1" s="1"/>
  <c r="AF7" i="1" s="1"/>
  <c r="AS6" i="1"/>
  <c r="AS5" i="1"/>
  <c r="AS4" i="1"/>
  <c r="AE4" i="1" s="1"/>
  <c r="AF4" i="1" s="1"/>
  <c r="AL5" i="1"/>
  <c r="AL4" i="1"/>
  <c r="AM7" i="1"/>
  <c r="AM6" i="1"/>
  <c r="AL7" i="1"/>
  <c r="AM5" i="1"/>
  <c r="AL6" i="1"/>
  <c r="AO4" i="1"/>
  <c r="AP4" i="1"/>
  <c r="AM4" i="1"/>
  <c r="BR5" i="1" l="1"/>
  <c r="BP5" i="1"/>
  <c r="AI6" i="1"/>
  <c r="AJ6" i="1" s="1"/>
  <c r="BR6" i="1"/>
  <c r="BP6" i="1"/>
  <c r="AI7" i="1"/>
  <c r="AJ7" i="1" s="1"/>
  <c r="BR7" i="1"/>
  <c r="BP7" i="1"/>
  <c r="AE6" i="1"/>
  <c r="AF6" i="1" s="1"/>
  <c r="AI4" i="1"/>
  <c r="AJ4" i="1" s="1"/>
  <c r="BP4" i="1"/>
  <c r="BR4" i="1"/>
  <c r="AI5" i="1"/>
  <c r="AJ5" i="1" s="1"/>
  <c r="AE5" i="1"/>
  <c r="AF5" i="1" s="1"/>
</calcChain>
</file>

<file path=xl/sharedStrings.xml><?xml version="1.0" encoding="utf-8"?>
<sst xmlns="http://schemas.openxmlformats.org/spreadsheetml/2006/main" count="116" uniqueCount="94">
  <si>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</si>
  <si>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</si>
  <si>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</si>
  <si>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</si>
  <si>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</si>
  <si>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</si>
  <si>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</si>
  <si>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</si>
  <si>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</si>
  <si>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</si>
  <si>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</si>
  <si>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</si>
  <si>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</si>
  <si>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</si>
  <si>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</si>
  <si>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</si>
  <si>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</si>
  <si>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</si>
  <si>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</si>
  <si>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</si>
  <si>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</si>
  <si>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</si>
  <si>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</si>
  <si>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</si>
  <si>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</si>
  <si>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</si>
  <si>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</si>
  <si>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</si>
  <si>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</si>
  <si>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</si>
  <si>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</si>
  <si>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</si>
  <si>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</si>
  <si>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</si>
  <si>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</si>
  <si>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</si>
  <si>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</si>
  <si>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</si>
  <si>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</si>
  <si>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</si>
  <si>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</si>
  <si>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</si>
  <si>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</si>
  <si>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</si>
  <si>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</si>
  <si>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</si>
  <si>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</si>
  <si>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</si>
  <si>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</si>
  <si>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</si>
  <si>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</si>
  <si>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</si>
  <si>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</si>
  <si>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</si>
  <si>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</si>
  <si>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</si>
  <si>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</si>
  <si>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</si>
  <si>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</si>
  <si>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</si>
  <si>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</si>
  <si>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</si>
  <si>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</si>
  <si>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</si>
  <si>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</si>
  <si>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</si>
  <si>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月売価</t>
    <rPh sb="0" eb="1">
      <t>ガツ</t>
    </rPh>
    <rPh sb="1" eb="3">
      <t>バイカ</t>
    </rPh>
    <phoneticPr fontId="2"/>
  </si>
  <si>
    <t>J191WL</t>
  </si>
  <si>
    <t>J192WL</t>
  </si>
  <si>
    <t>J189WL</t>
  </si>
  <si>
    <t>J9277H</t>
  </si>
  <si>
    <t>ｼﾞｬﾊﾟｯｸｽ/ﾁｬｯｸ付きﾎﾟﾘDｻｲｽﾞ200枚入り/DG-4</t>
  </si>
  <si>
    <t>ｼﾞｬﾊﾟｯｸｽ/ﾁｬｯｸ付きﾎﾟﾘIｻｲｽﾞ100枚/IG-4</t>
  </si>
  <si>
    <t>ｼﾞｬﾊﾟｯｸｽ/ﾁｬｯｸ付きﾎﾟﾘ袋Jｻｲｽﾞ100枚入り/JG-4</t>
  </si>
  <si>
    <t>岩谷ﾏﾃﾘｱﾙ/ｱｲﾗｯﾌﾟUFHD 60枚入 縦35x横25cm/UFHDx60個</t>
  </si>
  <si>
    <t>34/570</t>
  </si>
  <si>
    <t>-</t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</si>
  <si>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</si>
  <si>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</si>
  <si>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EW68323</t>
  </si>
  <si>
    <t>1冊</t>
  </si>
  <si>
    <t>ジャパックス チャック袋付ポリ袋 DG-4 200枚 透明 厚み0.04mm DG-4 1冊</t>
  </si>
  <si>
    <t>ジャパックス チャック袋付ポリ袋 IG-4 100枚 透明 厚み0.04mm IG-4 1冊</t>
  </si>
  <si>
    <t>WN76454</t>
  </si>
  <si>
    <t>ジャパックス チャック袋付ポリ袋 JG-4 100枚 透明 厚み0.04mm JG-4 1冊</t>
  </si>
  <si>
    <t>WN76455</t>
  </si>
  <si>
    <t>アイラップ マチ付きポリ袋/規格袋 HDPE 0.009mm厚 1箱（60個入）</t>
  </si>
  <si>
    <t>AU39483</t>
  </si>
  <si>
    <t>1箱（60個入）</t>
  </si>
  <si>
    <t>仕入先CD</t>
    <rPh sb="0" eb="3">
      <t>シイレサキ</t>
    </rPh>
    <phoneticPr fontId="2"/>
  </si>
  <si>
    <t>仕入先名</t>
    <rPh sb="0" eb="4">
      <t>シイレサキメイ</t>
    </rPh>
    <phoneticPr fontId="2"/>
  </si>
  <si>
    <t>中央物産株式会社</t>
  </si>
  <si>
    <t>中央物産株式会社　久喜直送センター</t>
  </si>
  <si>
    <t>VDなし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</si>
</sst>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3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4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8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6" borderId="3" xfId="0" applyFill="1" applyBorder="1">
      <alignment vertical="center"/>
    </xf>
    <xf numFmtId="177" fontId="0" fillId="6" borderId="4" xfId="0" applyNumberFormat="1" applyFill="1" applyBorder="1">
      <alignment vertical="center"/>
    </xf>
    <xf numFmtId="0" fontId="0" fillId="0" borderId="19" xfId="0" applyFill="1" applyBorder="1">
      <alignment vertical="center"/>
    </xf>
    <xf numFmtId="0" fontId="0" fillId="0" borderId="19" xfId="0" applyBorder="1">
      <alignment vertical="center"/>
    </xf>
    <xf numFmtId="0" fontId="0" fillId="3" borderId="19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S7"/>
  <sheetViews>
    <sheetView tabSelected="1" zoomScale="90" zoomScaleNormal="90" workbookViewId="0">
      <pane xSplit="8" ySplit="5" topLeftCell="AB6" activePane="bottomRight" state="frozen"/>
      <selection pane="topRight" activeCell="G1" sqref="G1"/>
      <selection pane="bottomLeft" activeCell="A5" sqref="A5"/>
      <selection pane="bottomRight" activeCell="AS2" sqref="AS2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30" customWidth="1"/>
    <col min="34" max="34" width="7.625" customWidth="1"/>
    <col min="35" max="35" width="7.625" style="30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70" width="7.625" customWidth="1"/>
  </cols>
  <sheetData>
    <row r="1" spans="1:71" x14ac:dyDescent="0.4">
      <c r="C1" s="29" t="s">
        <v>43</v>
      </c>
      <c r="Z1" s="44" t="s">
        <v>40</v>
      </c>
      <c r="AA1" s="45"/>
      <c r="AB1" s="45"/>
      <c r="AC1" s="46"/>
      <c r="AS1" t="s">
        <v>93</v>
      </c>
    </row>
    <row r="2" spans="1:71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6"/>
      <c r="J2" s="36"/>
      <c r="K2" s="41" t="s">
        <v>31</v>
      </c>
      <c r="L2" s="43"/>
      <c r="M2" s="41" t="s">
        <v>1</v>
      </c>
      <c r="N2" s="42"/>
      <c r="O2" s="42"/>
      <c r="P2" s="43"/>
      <c r="Q2" s="11"/>
      <c r="R2" s="35"/>
      <c r="S2" s="35"/>
      <c r="T2" s="35"/>
      <c r="U2" s="35"/>
      <c r="V2" s="35"/>
      <c r="W2" s="35"/>
      <c r="X2" s="35"/>
      <c r="Y2" s="35"/>
      <c r="Z2" s="23"/>
      <c r="AA2" s="24" t="s">
        <v>34</v>
      </c>
      <c r="AB2" s="24"/>
      <c r="AC2" s="25" t="s">
        <v>34</v>
      </c>
      <c r="AD2" s="10"/>
      <c r="AE2" s="9" t="s">
        <v>39</v>
      </c>
      <c r="AF2" s="11"/>
      <c r="AG2" s="31"/>
      <c r="AH2" s="11"/>
      <c r="AI2" s="31"/>
      <c r="AJ2" s="11"/>
      <c r="AK2" s="22" t="s">
        <v>41</v>
      </c>
      <c r="AL2" s="11"/>
      <c r="AM2" s="11"/>
      <c r="AN2" s="27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71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40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20" t="s">
        <v>14</v>
      </c>
      <c r="AF3" s="2" t="s">
        <v>13</v>
      </c>
      <c r="AG3" s="32" t="s">
        <v>44</v>
      </c>
      <c r="AH3" s="12" t="s">
        <v>64</v>
      </c>
      <c r="AI3" s="37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6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66</v>
      </c>
      <c r="BI3" s="2" t="s">
        <v>12</v>
      </c>
      <c r="BJ3" s="18" t="s">
        <v>45</v>
      </c>
      <c r="BK3" s="18" t="s">
        <v>46</v>
      </c>
      <c r="BL3" s="15" t="s">
        <v>52</v>
      </c>
      <c r="BM3" s="51" t="s">
        <v>89</v>
      </c>
      <c r="BN3" s="51" t="s">
        <v>90</v>
      </c>
      <c r="BO3" s="38" t="s">
        <v>77</v>
      </c>
      <c r="BP3" s="39" t="s">
        <v>57</v>
      </c>
      <c r="BQ3" s="39" t="s">
        <v>78</v>
      </c>
      <c r="BR3" s="39" t="s">
        <v>58</v>
      </c>
      <c r="BS3" s="34" t="s">
        <v>50</v>
      </c>
    </row>
    <row r="4" spans="1:71" x14ac:dyDescent="0.4">
      <c r="A4" s="3">
        <v>1</v>
      </c>
      <c r="B4" s="3">
        <v>1</v>
      </c>
      <c r="C4" s="4" t="s">
        <v>67</v>
      </c>
      <c r="D4" s="4" t="str">
        <f>TEXT(C4,"000000")</f>
        <v>J191WL</v>
      </c>
      <c r="E4" s="4" t="s">
        <v>67</v>
      </c>
      <c r="F4" s="4" t="str">
        <f>D4&amp;I4</f>
        <v>J191WL5</v>
      </c>
      <c r="G4" s="4" t="s">
        <v>71</v>
      </c>
      <c r="H4" s="5">
        <v>4521684310071</v>
      </c>
      <c r="I4" s="5">
        <v>5</v>
      </c>
      <c r="J4" s="5"/>
      <c r="K4" s="5">
        <v>1</v>
      </c>
      <c r="L4" s="5">
        <v>1</v>
      </c>
      <c r="M4" s="4">
        <v>0</v>
      </c>
      <c r="N4" s="4">
        <v>368</v>
      </c>
      <c r="O4" s="4">
        <v>211</v>
      </c>
      <c r="P4" s="6">
        <f>IFERROR(1-O4/N4,"-")</f>
        <v>0.42663043478260865</v>
      </c>
      <c r="Q4" s="4" t="s">
        <v>76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>IF(AD4="",Z4,Z4*AD4)</f>
        <v>0</v>
      </c>
      <c r="AB4" s="4">
        <v>254</v>
      </c>
      <c r="AC4" s="4">
        <f>IF(AD4="",AB4,AB4*AD4)</f>
        <v>254</v>
      </c>
      <c r="AD4" s="4"/>
      <c r="AE4" s="21">
        <f t="shared" ref="AE4:AE7" si="0">ROUND(N4*AS4,0)</f>
        <v>443</v>
      </c>
      <c r="AF4" s="6">
        <f>IFERROR(1-AC4/AE4,"-")</f>
        <v>0.42663656884875845</v>
      </c>
      <c r="AG4" s="33">
        <v>7.2499999999999991</v>
      </c>
      <c r="AH4" s="4">
        <f>BI4</f>
        <v>368</v>
      </c>
      <c r="AI4" s="33">
        <f>IFERROR(AH4*AS4,"-")</f>
        <v>442.99526066350711</v>
      </c>
      <c r="AJ4" s="6">
        <f>IFERROR(1-AC4/AI4,"-")</f>
        <v>0.42663043478260865</v>
      </c>
      <c r="AK4" s="7">
        <v>442</v>
      </c>
      <c r="AL4" s="6">
        <f t="shared" ref="AL4:AL7" si="1">1-AC4/AK4</f>
        <v>0.42533936651583715</v>
      </c>
      <c r="AM4" s="4">
        <f t="shared" ref="AM4:AM7" si="2">AK4-AC4</f>
        <v>188</v>
      </c>
      <c r="AN4" s="28"/>
      <c r="AO4" s="6" t="e">
        <f>1-AC4/AN4</f>
        <v>#DIV/0!</v>
      </c>
      <c r="AP4" s="4">
        <f>AN4-AC4</f>
        <v>-254</v>
      </c>
      <c r="AQ4" s="6" t="str">
        <f>IFERROR(AA4/M4,"-")</f>
        <v>-</v>
      </c>
      <c r="AR4" s="6">
        <f>IFERROR(AK4/N4,"-")</f>
        <v>1.201086956521739</v>
      </c>
      <c r="AS4" s="6">
        <f>IFERROR(AC4/O4,"-")</f>
        <v>1.2037914691943128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>
        <v>0</v>
      </c>
      <c r="BD4" s="4" t="s">
        <v>79</v>
      </c>
      <c r="BE4" s="4"/>
      <c r="BF4" s="4"/>
      <c r="BG4" s="4" t="s">
        <v>80</v>
      </c>
      <c r="BH4" s="4">
        <v>368</v>
      </c>
      <c r="BI4" s="4">
        <f t="shared" ref="BI4:BI5" si="3">IF(BE4="",BH4,BE4/BF4*BH4)</f>
        <v>368</v>
      </c>
      <c r="BJ4" s="19">
        <v>4</v>
      </c>
      <c r="BK4" s="19">
        <v>1</v>
      </c>
      <c r="BL4" s="16">
        <v>18</v>
      </c>
      <c r="BM4" s="50">
        <v>459</v>
      </c>
      <c r="BN4" s="50" t="s">
        <v>91</v>
      </c>
      <c r="BO4" s="49">
        <v>368</v>
      </c>
      <c r="BP4">
        <f>IFERROR(BO4*AS4,"-")</f>
        <v>442.99526066350711</v>
      </c>
      <c r="BQ4">
        <v>892</v>
      </c>
      <c r="BR4">
        <f>IFERROR(BQ4*AS4,"-")</f>
        <v>1073.7819905213271</v>
      </c>
      <c r="BS4" t="s">
        <v>81</v>
      </c>
    </row>
    <row r="5" spans="1:71" x14ac:dyDescent="0.4">
      <c r="A5" s="3">
        <v>2</v>
      </c>
      <c r="B5" s="3">
        <v>2</v>
      </c>
      <c r="C5" s="4" t="s">
        <v>68</v>
      </c>
      <c r="D5" s="4" t="str">
        <f t="shared" ref="D5:D7" si="4">TEXT(C5,"000000")</f>
        <v>J192WL</v>
      </c>
      <c r="E5" s="4" t="s">
        <v>68</v>
      </c>
      <c r="F5" s="4" t="str">
        <f t="shared" ref="F5:F7" si="5">D5&amp;I5</f>
        <v>J192WL5</v>
      </c>
      <c r="G5" s="4" t="s">
        <v>72</v>
      </c>
      <c r="H5" s="5">
        <v>4521684310125</v>
      </c>
      <c r="I5" s="5">
        <v>5</v>
      </c>
      <c r="J5" s="5"/>
      <c r="K5" s="5">
        <v>1</v>
      </c>
      <c r="L5" s="5">
        <v>1</v>
      </c>
      <c r="M5" s="4">
        <v>0</v>
      </c>
      <c r="N5" s="4">
        <v>798</v>
      </c>
      <c r="O5" s="4">
        <v>534</v>
      </c>
      <c r="P5" s="6">
        <f t="shared" ref="P5:P7" si="6">IFERROR(1-O5/N5,"-")</f>
        <v>0.33082706766917291</v>
      </c>
      <c r="Q5" s="4" t="s">
        <v>76</v>
      </c>
      <c r="R5" s="4"/>
      <c r="S5" s="4"/>
      <c r="T5" s="4"/>
      <c r="U5" s="4"/>
      <c r="V5" s="4"/>
      <c r="W5" s="4"/>
      <c r="X5" s="4"/>
      <c r="Y5" s="4"/>
      <c r="Z5" s="4">
        <v>0</v>
      </c>
      <c r="AA5" s="4">
        <f t="shared" ref="AA5:AA7" si="7">IF(AD5="",Z5,Z5*AD5)</f>
        <v>0</v>
      </c>
      <c r="AB5" s="4">
        <v>642</v>
      </c>
      <c r="AC5" s="4">
        <f t="shared" ref="AC5:AC7" si="8">IF(AD5="",AB5,AB5*AD5)</f>
        <v>642</v>
      </c>
      <c r="AD5" s="4"/>
      <c r="AE5" s="21">
        <f t="shared" si="0"/>
        <v>959</v>
      </c>
      <c r="AF5" s="6">
        <f t="shared" ref="AF5:AF7" si="9">IFERROR(1-AC5/AE5,"-")</f>
        <v>0.33055265901981234</v>
      </c>
      <c r="AG5" s="33">
        <v>9.5</v>
      </c>
      <c r="AH5" s="4">
        <f t="shared" ref="AH5:AH7" si="10">BI5</f>
        <v>740</v>
      </c>
      <c r="AI5" s="33">
        <f t="shared" ref="AI5:AI7" si="11">IFERROR(AH5*AS5,"-")</f>
        <v>889.66292134831463</v>
      </c>
      <c r="AJ5" s="6">
        <f t="shared" ref="AJ5:AJ7" si="12">IFERROR(1-AC5/AI5,"-")</f>
        <v>0.27837837837837842</v>
      </c>
      <c r="AK5" s="7">
        <v>959</v>
      </c>
      <c r="AL5" s="6">
        <f t="shared" si="1"/>
        <v>0.33055265901981234</v>
      </c>
      <c r="AM5" s="4">
        <f t="shared" si="2"/>
        <v>317</v>
      </c>
      <c r="AN5" s="28"/>
      <c r="AO5" s="6"/>
      <c r="AP5" s="6"/>
      <c r="AQ5" s="6" t="str">
        <f t="shared" ref="AQ5:AQ7" si="13">IFERROR(AA5/M5,"-")</f>
        <v>-</v>
      </c>
      <c r="AR5" s="6">
        <f t="shared" ref="AR5:AR7" si="14">IFERROR(AK5/N5,"-")</f>
        <v>1.2017543859649122</v>
      </c>
      <c r="AS5" s="6">
        <f t="shared" ref="AS5:AS7" si="15">IFERROR(AC5/O5,"-")</f>
        <v>1.202247191011236</v>
      </c>
      <c r="AT5" s="4"/>
      <c r="AU5" s="4"/>
      <c r="AV5" s="4"/>
      <c r="AW5" s="4"/>
      <c r="AX5" s="4"/>
      <c r="AY5" s="4"/>
      <c r="AZ5" s="4"/>
      <c r="BA5" s="4"/>
      <c r="BB5" s="4"/>
      <c r="BC5" s="4">
        <v>0</v>
      </c>
      <c r="BD5" s="4" t="s">
        <v>83</v>
      </c>
      <c r="BE5" s="4"/>
      <c r="BF5" s="4"/>
      <c r="BG5" s="4" t="s">
        <v>80</v>
      </c>
      <c r="BH5" s="4">
        <v>740</v>
      </c>
      <c r="BI5" s="4">
        <f t="shared" si="3"/>
        <v>740</v>
      </c>
      <c r="BJ5" s="19">
        <v>4</v>
      </c>
      <c r="BK5" s="19">
        <v>1</v>
      </c>
      <c r="BL5" s="16">
        <v>18</v>
      </c>
      <c r="BM5" s="50">
        <v>459</v>
      </c>
      <c r="BN5" s="50" t="s">
        <v>91</v>
      </c>
      <c r="BO5" s="49">
        <v>544</v>
      </c>
      <c r="BP5">
        <f t="shared" ref="BP5:BP7" si="16">IFERROR(BO5*AS5,"-")</f>
        <v>654.02247191011236</v>
      </c>
      <c r="BQ5">
        <v>1777</v>
      </c>
      <c r="BR5">
        <f t="shared" ref="BR5:BR7" si="17">IFERROR(BQ5*AS5,"-")</f>
        <v>2136.3932584269664</v>
      </c>
      <c r="BS5" t="s">
        <v>82</v>
      </c>
    </row>
    <row r="6" spans="1:71" x14ac:dyDescent="0.4">
      <c r="A6" s="3">
        <v>3</v>
      </c>
      <c r="B6" s="3">
        <v>3</v>
      </c>
      <c r="C6" s="17" t="s">
        <v>69</v>
      </c>
      <c r="D6" s="4" t="str">
        <f t="shared" si="4"/>
        <v>J189WL</v>
      </c>
      <c r="E6" s="4" t="s">
        <v>69</v>
      </c>
      <c r="F6" s="4" t="str">
        <f t="shared" si="5"/>
        <v>J189WL5</v>
      </c>
      <c r="G6" s="4" t="s">
        <v>73</v>
      </c>
      <c r="H6" s="5">
        <v>4521684310132</v>
      </c>
      <c r="I6" s="5">
        <v>5</v>
      </c>
      <c r="J6" s="5"/>
      <c r="K6" s="5">
        <v>1</v>
      </c>
      <c r="L6" s="5">
        <v>1</v>
      </c>
      <c r="M6" s="4">
        <v>0</v>
      </c>
      <c r="N6" s="4">
        <v>957</v>
      </c>
      <c r="O6" s="4">
        <v>731</v>
      </c>
      <c r="P6" s="6">
        <f t="shared" si="6"/>
        <v>0.23615464994775337</v>
      </c>
      <c r="Q6" s="4" t="s">
        <v>76</v>
      </c>
      <c r="R6" s="4"/>
      <c r="S6" s="4"/>
      <c r="T6" s="4"/>
      <c r="U6" s="4"/>
      <c r="V6" s="4"/>
      <c r="W6" s="4"/>
      <c r="X6" s="4"/>
      <c r="Y6" s="4"/>
      <c r="Z6" s="4">
        <v>0</v>
      </c>
      <c r="AA6" s="4">
        <f t="shared" si="7"/>
        <v>0</v>
      </c>
      <c r="AB6" s="4">
        <v>879</v>
      </c>
      <c r="AC6" s="4">
        <f t="shared" si="8"/>
        <v>879</v>
      </c>
      <c r="AD6" s="4"/>
      <c r="AE6" s="21">
        <f t="shared" si="0"/>
        <v>1151</v>
      </c>
      <c r="AF6" s="6">
        <f t="shared" si="9"/>
        <v>0.2363162467419635</v>
      </c>
      <c r="AG6" s="33">
        <v>3</v>
      </c>
      <c r="AH6" s="4">
        <f t="shared" si="10"/>
        <v>928</v>
      </c>
      <c r="AI6" s="33">
        <f t="shared" si="11"/>
        <v>1115.8850889192886</v>
      </c>
      <c r="AJ6" s="6">
        <f t="shared" si="12"/>
        <v>0.21228448275862066</v>
      </c>
      <c r="AK6" s="7">
        <v>1300</v>
      </c>
      <c r="AL6" s="6">
        <f t="shared" si="1"/>
        <v>0.32384615384615389</v>
      </c>
      <c r="AM6" s="4">
        <f t="shared" si="2"/>
        <v>421</v>
      </c>
      <c r="AN6" s="28"/>
      <c r="AO6" s="6"/>
      <c r="AP6" s="6"/>
      <c r="AQ6" s="6" t="str">
        <f t="shared" si="13"/>
        <v>-</v>
      </c>
      <c r="AR6" s="6">
        <f t="shared" si="14"/>
        <v>1.3584117032392895</v>
      </c>
      <c r="AS6" s="6">
        <f t="shared" si="15"/>
        <v>1.2024623803009575</v>
      </c>
      <c r="AT6" s="4"/>
      <c r="AU6" s="4"/>
      <c r="AV6" s="4"/>
      <c r="AW6" s="4"/>
      <c r="AX6" s="4"/>
      <c r="AY6" s="4"/>
      <c r="AZ6" s="4"/>
      <c r="BA6" s="4"/>
      <c r="BB6" s="4"/>
      <c r="BC6" s="4">
        <v>0</v>
      </c>
      <c r="BD6" s="4" t="s">
        <v>85</v>
      </c>
      <c r="BE6" s="4"/>
      <c r="BF6" s="4"/>
      <c r="BG6" s="4" t="s">
        <v>80</v>
      </c>
      <c r="BH6" s="4">
        <v>928</v>
      </c>
      <c r="BI6" s="4">
        <f t="shared" ref="BI6:BI7" si="18">IF(BE6="",BH6,BE6/BF6*BH6)</f>
        <v>928</v>
      </c>
      <c r="BJ6" s="19">
        <v>4</v>
      </c>
      <c r="BK6" s="19">
        <v>1</v>
      </c>
      <c r="BL6" s="16">
        <v>18</v>
      </c>
      <c r="BM6" s="50">
        <v>459</v>
      </c>
      <c r="BN6" s="50" t="s">
        <v>91</v>
      </c>
      <c r="BO6" s="49">
        <v>841</v>
      </c>
      <c r="BP6">
        <f t="shared" si="16"/>
        <v>1011.2708618331053</v>
      </c>
      <c r="BQ6">
        <v>2368</v>
      </c>
      <c r="BR6">
        <f t="shared" si="17"/>
        <v>2847.4309165526674</v>
      </c>
      <c r="BS6" t="s">
        <v>84</v>
      </c>
    </row>
    <row r="7" spans="1:71" x14ac:dyDescent="0.4">
      <c r="A7" s="47">
        <v>4</v>
      </c>
      <c r="B7" s="3">
        <v>4</v>
      </c>
      <c r="C7" s="17" t="s">
        <v>70</v>
      </c>
      <c r="D7" s="4" t="str">
        <f t="shared" si="4"/>
        <v>J9277H</v>
      </c>
      <c r="E7" s="4" t="s">
        <v>70</v>
      </c>
      <c r="F7" s="4" t="str">
        <f t="shared" si="5"/>
        <v>J9277H5</v>
      </c>
      <c r="G7" s="4" t="s">
        <v>74</v>
      </c>
      <c r="H7" s="5">
        <v>4901140620010</v>
      </c>
      <c r="I7" s="5">
        <v>5</v>
      </c>
      <c r="J7" s="5"/>
      <c r="K7" s="5">
        <v>3</v>
      </c>
      <c r="L7" s="5">
        <v>1</v>
      </c>
      <c r="M7" s="4">
        <v>0</v>
      </c>
      <c r="N7" s="4">
        <v>10908</v>
      </c>
      <c r="O7" s="4">
        <v>8040</v>
      </c>
      <c r="P7" s="6">
        <f t="shared" si="6"/>
        <v>0.26292629262926293</v>
      </c>
      <c r="Q7" s="4" t="s">
        <v>76</v>
      </c>
      <c r="R7" s="4"/>
      <c r="S7" s="4"/>
      <c r="T7" s="4"/>
      <c r="U7" s="4"/>
      <c r="V7" s="4"/>
      <c r="W7" s="4"/>
      <c r="X7" s="4"/>
      <c r="Y7" s="4"/>
      <c r="Z7" s="4">
        <v>0</v>
      </c>
      <c r="AA7" s="4">
        <f t="shared" si="7"/>
        <v>0</v>
      </c>
      <c r="AB7" s="4">
        <v>151</v>
      </c>
      <c r="AC7" s="4">
        <f t="shared" si="8"/>
        <v>9060</v>
      </c>
      <c r="AD7" s="4">
        <v>60</v>
      </c>
      <c r="AE7" s="21">
        <f t="shared" si="0"/>
        <v>12292</v>
      </c>
      <c r="AF7" s="6">
        <f t="shared" si="9"/>
        <v>0.26293524243410349</v>
      </c>
      <c r="AG7" s="33">
        <v>0</v>
      </c>
      <c r="AH7" s="4">
        <f t="shared" si="10"/>
        <v>9026</v>
      </c>
      <c r="AI7" s="33">
        <f t="shared" si="11"/>
        <v>10171.089552238805</v>
      </c>
      <c r="AJ7" s="6">
        <f t="shared" si="12"/>
        <v>0.10923997341014846</v>
      </c>
      <c r="AK7" s="7">
        <v>12300</v>
      </c>
      <c r="AL7" s="48">
        <f t="shared" si="1"/>
        <v>0.26341463414634148</v>
      </c>
      <c r="AM7" s="4">
        <f t="shared" si="2"/>
        <v>3240</v>
      </c>
      <c r="AN7" s="28"/>
      <c r="AO7" s="6"/>
      <c r="AP7" s="6"/>
      <c r="AQ7" s="6" t="str">
        <f t="shared" si="13"/>
        <v>-</v>
      </c>
      <c r="AR7" s="6">
        <f t="shared" si="14"/>
        <v>1.1276127612761275</v>
      </c>
      <c r="AS7" s="6">
        <f t="shared" si="15"/>
        <v>1.1268656716417911</v>
      </c>
      <c r="AT7" s="4"/>
      <c r="AU7" s="4"/>
      <c r="AV7" s="4"/>
      <c r="AW7" s="4"/>
      <c r="AX7" s="4"/>
      <c r="AY7" s="4"/>
      <c r="AZ7" s="4"/>
      <c r="BA7" s="4"/>
      <c r="BB7" s="4"/>
      <c r="BC7" s="4" t="s">
        <v>75</v>
      </c>
      <c r="BD7" s="4" t="s">
        <v>87</v>
      </c>
      <c r="BE7" s="4"/>
      <c r="BF7" s="4"/>
      <c r="BG7" s="4" t="s">
        <v>88</v>
      </c>
      <c r="BH7" s="4">
        <v>9026</v>
      </c>
      <c r="BI7" s="4">
        <f t="shared" si="18"/>
        <v>9026</v>
      </c>
      <c r="BJ7" s="19">
        <v>4</v>
      </c>
      <c r="BK7" s="19">
        <v>9</v>
      </c>
      <c r="BL7" s="16">
        <v>18</v>
      </c>
      <c r="BM7" s="50">
        <v>9259</v>
      </c>
      <c r="BN7" s="50" t="s">
        <v>92</v>
      </c>
      <c r="BO7" s="49">
        <v>4300</v>
      </c>
      <c r="BP7">
        <f t="shared" si="16"/>
        <v>4845.5223880597014</v>
      </c>
      <c r="BQ7">
        <v>271</v>
      </c>
      <c r="BR7">
        <f t="shared" si="17"/>
        <v>305.3805970149254</v>
      </c>
      <c r="BS7" t="s">
        <v>86</v>
      </c>
    </row>
  </sheetData>
  <autoFilter ref="A3:BS3" xr:uid="{7A1660CF-9003-4B2D-B659-7F339ED5B476}"/>
  <mergeCells count="3">
    <mergeCell ref="M2:P2"/>
    <mergeCell ref="K2:L2"/>
    <mergeCell ref="Z1:AC1"/>
  </mergeCells>
  <phoneticPr fontId="2"/>
  <conditionalFormatting sqref="AK4:AK7">
    <cfRule type="cellIs" dxfId="2" priority="4" operator="greaterThan">
      <formula>$AA4</formula>
    </cfRule>
  </conditionalFormatting>
  <conditionalFormatting sqref="AI4:AI7">
    <cfRule type="cellIs" dxfId="1" priority="2" operator="lessThan">
      <formula>$AK4</formula>
    </cfRule>
  </conditionalFormatting>
  <conditionalFormatting sqref="AL4:AL7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2026-07-06T05:12:47Z</dcterms:modified>
</cp:coreProperties>
</file>