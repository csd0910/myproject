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桜井\"/>
    </mc:Choice>
  </mc:AlternateContent>
  <xr:revisionPtr revIDLastSave="0" documentId="13_ncr:1_{77CDCA10-E1E2-4D5B-8D6C-5FFACEC9D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須永様" sheetId="1" r:id="rId1"/>
    <sheet name="鶴巻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2" i="1"/>
  <c r="Q3" i="1"/>
  <c r="Q4" i="1"/>
  <c r="Q5" i="1"/>
  <c r="Q6" i="1"/>
  <c r="Q7" i="1"/>
  <c r="Q2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<sst xmlns="http://schemas.openxmlformats.org/spreadsheetml/2006/main" count="119" uniqueCount="58">
  <si>
    <t>仕入先コード</t>
  </si>
  <si>
    <t>仕入先名</t>
  </si>
  <si>
    <t>商品番号</t>
  </si>
  <si>
    <t>商品名</t>
  </si>
  <si>
    <t>カタログ掲載</t>
  </si>
  <si>
    <t>メーカー品番・型番</t>
  </si>
  <si>
    <t>ＪＡＮコード1</t>
  </si>
  <si>
    <t>大分類コード</t>
  </si>
  <si>
    <t>大分類名</t>
  </si>
  <si>
    <t>桜井株式会社</t>
  </si>
  <si>
    <t>須永</t>
  </si>
  <si>
    <t>ｻｸﾗｲ/CHA3[100枚入]/ｸﾘｰﾝﾎﾙﾀﾞｰ Uﾀｲﾌﾟ A3</t>
  </si>
  <si>
    <t>CHA3</t>
  </si>
  <si>
    <t>03 ファイル</t>
  </si>
  <si>
    <t>ｻｸﾗｲ/FL302[4本入]/PPC普通紙ﾛｰﾙFL-N薄口297mm*150m</t>
  </si>
  <si>
    <t>FL302</t>
  </si>
  <si>
    <t>鶴巻</t>
  </si>
  <si>
    <t>01 コピー用紙・ＯＡ用紙</t>
  </si>
  <si>
    <t>ｻｸﾗｲ/FL332[2本入]/PPC普通紙ﾛｰﾙFL-N薄口594mm*150m</t>
  </si>
  <si>
    <t>FL332</t>
  </si>
  <si>
    <t>桜井/CHA2[100枚入]/ｸﾘｰﾝﾎﾙﾀﾞｰ Uﾀｲﾌﾟ A2</t>
  </si>
  <si>
    <t>CHA2</t>
  </si>
  <si>
    <t>○</t>
  </si>
  <si>
    <t>ｻｸﾗｲ/IJN64C[4本入]/ｲﾝｸｼﾞｪｯﾄ用紙 普通紙64 297*50M</t>
  </si>
  <si>
    <t>IJN64C</t>
  </si>
  <si>
    <t>04 ノート・紙製品</t>
  </si>
  <si>
    <t>ｻｸﾗｲ/SNA45BR[32枚*10冊入]/ﾆｭｰｽﾀｸﾘﾝRCﾉｰﾄ A4 5mm方眼</t>
  </si>
  <si>
    <t>SNA45BR</t>
  </si>
  <si>
    <t>桜井/SNB512R[10冊入]/ﾆｭｰｽﾀｸﾘﾝRCﾉｰﾄ</t>
  </si>
  <si>
    <t>SNB512R</t>
  </si>
  <si>
    <t>桜井/SCPR[10冊入]/ﾆｭｰｽﾀｸﾘﾝRCﾎﾟｹｯﾄ</t>
  </si>
  <si>
    <t>SCPR</t>
  </si>
  <si>
    <t>桜井/SC75RVB4[250枚*5冊]ﾊﾞｲｵﾚｯﾄ/ﾆｭｰｽﾀｸﾘﾝRC.PPC B4</t>
  </si>
  <si>
    <t>SC75RVB4</t>
  </si>
  <si>
    <t>桜井/IJN64D/CAD用ｲﾝｸｼﾞｪｯﾄ用普通紙64 420mm×50m2本</t>
  </si>
  <si>
    <t>IJN64D</t>
  </si>
  <si>
    <t>ｻｸﾗｲ/IJN64A[2本]/普通紙64</t>
  </si>
  <si>
    <t>IJN64A</t>
  </si>
  <si>
    <t>ｻｸﾗｲ/IJN64B[2本]/普通紙64</t>
  </si>
  <si>
    <t>IJN64B</t>
  </si>
  <si>
    <t>ｻｸﾗｲ/IJE640B[2本]/E再生紙64</t>
  </si>
  <si>
    <t>IJE640B</t>
  </si>
  <si>
    <t>桜井/CHA4/ｸﾘｰﾝﾎﾙﾀﾞｰ Uﾀｲﾌﾟ A4 100枚入</t>
  </si>
  <si>
    <t>CHA4</t>
  </si>
  <si>
    <t>ｻｸﾗｲ/IJS60B[2本]/普通紙70 594mm*50m 70g</t>
  </si>
  <si>
    <t>IJS60B</t>
  </si>
  <si>
    <t>桜井/IJN64Y/CAD用ｲﾝｸｼﾞｪｯﾄ用紙普通紙64 610mm*50m2本</t>
  </si>
  <si>
    <t>IJN64Y</t>
  </si>
  <si>
    <t>J446WK</t>
  </si>
  <si>
    <t>桜井/IJR77B/再生紙70白 1ｹｰｽ(2本入り)</t>
  </si>
  <si>
    <t>IJR77B</t>
  </si>
  <si>
    <t>現希望小売価格</t>
    <rPh sb="0" eb="1">
      <t>ゲン</t>
    </rPh>
    <rPh sb="1" eb="3">
      <t>キボウ</t>
    </rPh>
    <rPh sb="3" eb="5">
      <t>コウリ</t>
    </rPh>
    <rPh sb="5" eb="7">
      <t>カカク</t>
    </rPh>
    <phoneticPr fontId="18"/>
  </si>
  <si>
    <t>改定後希望小売価格</t>
    <rPh sb="0" eb="2">
      <t>カイテイ</t>
    </rPh>
    <rPh sb="2" eb="3">
      <t>ゴ</t>
    </rPh>
    <rPh sb="3" eb="9">
      <t>キボウコウリカカク</t>
    </rPh>
    <phoneticPr fontId="18"/>
  </si>
  <si>
    <t>現御仕切価格</t>
    <rPh sb="0" eb="1">
      <t>ゲン</t>
    </rPh>
    <rPh sb="1" eb="2">
      <t>オ</t>
    </rPh>
    <rPh sb="2" eb="4">
      <t>シキリ</t>
    </rPh>
    <rPh sb="4" eb="6">
      <t>カカク</t>
    </rPh>
    <phoneticPr fontId="18"/>
  </si>
  <si>
    <t>改定後御仕切価格</t>
    <rPh sb="0" eb="2">
      <t>カイテイ</t>
    </rPh>
    <rPh sb="2" eb="3">
      <t>ゴ</t>
    </rPh>
    <rPh sb="3" eb="4">
      <t>オ</t>
    </rPh>
    <rPh sb="4" eb="6">
      <t>シキリ</t>
    </rPh>
    <rPh sb="6" eb="8">
      <t>カカク</t>
    </rPh>
    <phoneticPr fontId="18"/>
  </si>
  <si>
    <t>現御仕切率</t>
    <rPh sb="0" eb="1">
      <t>ゲン</t>
    </rPh>
    <rPh sb="1" eb="2">
      <t>オ</t>
    </rPh>
    <rPh sb="2" eb="4">
      <t>シキリ</t>
    </rPh>
    <rPh sb="4" eb="5">
      <t>リツ</t>
    </rPh>
    <phoneticPr fontId="18"/>
  </si>
  <si>
    <t>改定後御仕切率</t>
    <rPh sb="0" eb="2">
      <t>カイテイ</t>
    </rPh>
    <rPh sb="2" eb="3">
      <t>ゴ</t>
    </rPh>
    <rPh sb="3" eb="4">
      <t>オ</t>
    </rPh>
    <rPh sb="4" eb="6">
      <t>シキリ</t>
    </rPh>
    <rPh sb="6" eb="7">
      <t>リツ</t>
    </rPh>
    <phoneticPr fontId="18"/>
  </si>
  <si>
    <t>現希望小売価格</t>
    <rPh sb="0" eb="1">
      <t>ゲン</t>
    </rPh>
    <rPh sb="1" eb="7">
      <t>キボウコウリカカク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</si>
</sst>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9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177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C1" workbookViewId="0">
      <selection activeCell="D1" sqref="D1"/>
    </sheetView>
  </sheetViews>
  <sheetFormatPr defaultRowHeight="13.5" x14ac:dyDescent="0.15"/>
  <cols>
    <col min="2" max="2" width="13" bestFit="1" customWidth="1"/>
    <col min="4" max="4" width="56.25" bestFit="1" customWidth="1"/>
    <col min="6" max="6" width="17.125" bestFit="1" customWidth="1"/>
    <col min="7" max="7" width="16" customWidth="1"/>
    <col min="8" max="8" width="15.125" bestFit="1" customWidth="1"/>
    <col min="9" max="9" width="13" bestFit="1" customWidth="1"/>
    <col min="10" max="10" width="11" bestFit="1" customWidth="1"/>
    <col min="11" max="11" width="15.125" bestFit="1" customWidth="1"/>
    <col min="12" max="12" width="13" bestFit="1" customWidth="1"/>
    <col min="13" max="13" width="11" bestFit="1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53</v>
      </c>
      <c r="J1" t="s">
        <v>55</v>
      </c>
      <c r="K1" s="7" t="s">
        <v>57</v>
      </c>
      <c r="L1" s="7" t="s">
        <v>53</v>
      </c>
      <c r="M1" t="s">
        <v>55</v>
      </c>
      <c r="N1" t="s">
        <v>7</v>
      </c>
      <c r="O1" t="s">
        <v>8</v>
      </c>
    </row>
    <row r="2" spans="1:18" x14ac:dyDescent="0.15">
      <c r="A2">
        <v>37</v>
      </c>
      <c r="B2" t="s">
        <v>9</v>
      </c>
      <c r="C2">
        <v>115522</v>
      </c>
      <c r="D2" t="s">
        <v>20</v>
      </c>
      <c r="F2" t="s">
        <v>21</v>
      </c>
      <c r="G2" s="1">
        <v>4955888531817</v>
      </c>
      <c r="H2" s="2">
        <v>7500</v>
      </c>
      <c r="I2" s="2">
        <v>4500</v>
      </c>
      <c r="J2" s="4">
        <v>0.6</v>
      </c>
      <c r="K2" s="2">
        <v>8300</v>
      </c>
      <c r="L2" s="2">
        <v>4980</v>
      </c>
      <c r="M2" s="4">
        <v>0.6</v>
      </c>
      <c r="N2" t="s">
        <v>10</v>
      </c>
      <c r="O2" t="s">
        <v>13</v>
      </c>
      <c r="P2" s="8">
        <f>K2/H2</f>
        <v>1.1066666666666667</v>
      </c>
      <c r="Q2" s="8">
        <f>L2/I2</f>
        <v>1.1066666666666667</v>
      </c>
      <c r="R2" s="3">
        <f>Q2-P2</f>
        <v>0</v>
      </c>
    </row>
    <row r="3" spans="1:18" x14ac:dyDescent="0.15">
      <c r="A3">
        <v>37</v>
      </c>
      <c r="B3" t="s">
        <v>9</v>
      </c>
      <c r="C3">
        <v>21332</v>
      </c>
      <c r="D3" t="s">
        <v>11</v>
      </c>
      <c r="F3" t="s">
        <v>12</v>
      </c>
      <c r="G3" s="1">
        <v>4955888531824</v>
      </c>
      <c r="H3" s="2">
        <v>3900</v>
      </c>
      <c r="I3" s="2">
        <v>2340</v>
      </c>
      <c r="J3" s="4">
        <v>0.6</v>
      </c>
      <c r="K3" s="2">
        <v>4400</v>
      </c>
      <c r="L3" s="2">
        <v>2640</v>
      </c>
      <c r="M3" s="4">
        <v>0.6</v>
      </c>
      <c r="N3" t="s">
        <v>10</v>
      </c>
      <c r="O3" t="s">
        <v>13</v>
      </c>
      <c r="P3" s="8">
        <f t="shared" ref="P3:P7" si="0">K3/H3</f>
        <v>1.1282051282051282</v>
      </c>
      <c r="Q3" s="8">
        <f t="shared" ref="Q3:Q7" si="1">L3/I3</f>
        <v>1.1282051282051282</v>
      </c>
      <c r="R3" s="3">
        <f t="shared" ref="R3:R7" si="2">Q3-P3</f>
        <v>0</v>
      </c>
    </row>
    <row r="4" spans="1:18" x14ac:dyDescent="0.15">
      <c r="A4">
        <v>37</v>
      </c>
      <c r="B4" t="s">
        <v>9</v>
      </c>
      <c r="C4">
        <v>683731</v>
      </c>
      <c r="D4" t="s">
        <v>42</v>
      </c>
      <c r="F4" t="s">
        <v>43</v>
      </c>
      <c r="G4" s="1">
        <v>4955888531831</v>
      </c>
      <c r="H4" s="2">
        <v>2200</v>
      </c>
      <c r="I4" s="2">
        <v>1320</v>
      </c>
      <c r="J4" s="4">
        <v>0.6</v>
      </c>
      <c r="K4" s="2">
        <v>2600</v>
      </c>
      <c r="L4" s="2">
        <v>1560</v>
      </c>
      <c r="M4" s="4">
        <v>0.6</v>
      </c>
      <c r="N4" t="s">
        <v>10</v>
      </c>
      <c r="O4" t="s">
        <v>13</v>
      </c>
      <c r="P4" s="8">
        <f t="shared" si="0"/>
        <v>1.1818181818181819</v>
      </c>
      <c r="Q4" s="8">
        <f t="shared" si="1"/>
        <v>1.1818181818181819</v>
      </c>
      <c r="R4" s="3">
        <f t="shared" si="2"/>
        <v>0</v>
      </c>
    </row>
    <row r="5" spans="1:18" x14ac:dyDescent="0.15">
      <c r="A5">
        <v>37</v>
      </c>
      <c r="B5" t="s">
        <v>9</v>
      </c>
      <c r="C5">
        <v>432760</v>
      </c>
      <c r="D5" t="s">
        <v>30</v>
      </c>
      <c r="F5" t="s">
        <v>31</v>
      </c>
      <c r="G5" s="1">
        <v>2001234758680</v>
      </c>
      <c r="H5" s="2">
        <v>4600</v>
      </c>
      <c r="I5" s="2">
        <v>2990</v>
      </c>
      <c r="J5" s="4">
        <v>0.65</v>
      </c>
      <c r="K5" s="2">
        <v>5100</v>
      </c>
      <c r="L5" s="2">
        <v>3315</v>
      </c>
      <c r="M5" s="4">
        <v>0.65</v>
      </c>
      <c r="N5" t="s">
        <v>10</v>
      </c>
      <c r="O5" t="s">
        <v>25</v>
      </c>
      <c r="P5" s="8">
        <f t="shared" si="0"/>
        <v>1.1086956521739131</v>
      </c>
      <c r="Q5" s="8">
        <f t="shared" si="1"/>
        <v>1.1086956521739131</v>
      </c>
      <c r="R5" s="3">
        <f t="shared" si="2"/>
        <v>0</v>
      </c>
    </row>
    <row r="6" spans="1:18" x14ac:dyDescent="0.15">
      <c r="A6">
        <v>37</v>
      </c>
      <c r="B6" t="s">
        <v>9</v>
      </c>
      <c r="C6">
        <v>432701</v>
      </c>
      <c r="D6" t="s">
        <v>26</v>
      </c>
      <c r="F6" t="s">
        <v>27</v>
      </c>
      <c r="G6" s="1">
        <v>4955888625523</v>
      </c>
      <c r="H6" s="2">
        <v>9800</v>
      </c>
      <c r="I6" s="2">
        <v>6370</v>
      </c>
      <c r="J6" s="4">
        <v>0.65</v>
      </c>
      <c r="K6" s="2">
        <v>10800</v>
      </c>
      <c r="L6" s="2">
        <v>7020</v>
      </c>
      <c r="M6" s="4">
        <v>0.65</v>
      </c>
      <c r="N6" t="s">
        <v>10</v>
      </c>
      <c r="O6" t="s">
        <v>25</v>
      </c>
      <c r="P6" s="8">
        <f t="shared" si="0"/>
        <v>1.1020408163265305</v>
      </c>
      <c r="Q6" s="8">
        <f t="shared" si="1"/>
        <v>1.1020408163265305</v>
      </c>
      <c r="R6" s="3">
        <f t="shared" si="2"/>
        <v>0</v>
      </c>
    </row>
    <row r="7" spans="1:18" x14ac:dyDescent="0.15">
      <c r="A7">
        <v>37</v>
      </c>
      <c r="B7" t="s">
        <v>9</v>
      </c>
      <c r="C7">
        <v>432759</v>
      </c>
      <c r="D7" t="s">
        <v>28</v>
      </c>
      <c r="F7" t="s">
        <v>29</v>
      </c>
      <c r="G7" s="1">
        <v>4955888625554</v>
      </c>
      <c r="H7" s="2">
        <v>9800</v>
      </c>
      <c r="I7" s="2">
        <v>6370</v>
      </c>
      <c r="J7" s="4">
        <v>0.65</v>
      </c>
      <c r="K7" s="2">
        <v>10800</v>
      </c>
      <c r="L7" s="2">
        <v>7020</v>
      </c>
      <c r="M7" s="4">
        <v>0.65</v>
      </c>
      <c r="N7" t="s">
        <v>10</v>
      </c>
      <c r="O7" t="s">
        <v>25</v>
      </c>
      <c r="P7" s="8">
        <f t="shared" si="0"/>
        <v>1.1020408163265305</v>
      </c>
      <c r="Q7" s="8">
        <f t="shared" si="1"/>
        <v>1.1020408163265305</v>
      </c>
      <c r="R7" s="3">
        <f t="shared" si="2"/>
        <v>0</v>
      </c>
    </row>
  </sheetData>
  <sortState xmlns:xlrd2="http://schemas.microsoft.com/office/spreadsheetml/2017/richdata2" ref="A2:O40">
    <sortCondition ref="F1:F40"/>
  </sortState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topLeftCell="D1" workbookViewId="0">
      <selection activeCell="K20" sqref="K20"/>
    </sheetView>
  </sheetViews>
  <sheetFormatPr defaultRowHeight="13.5" x14ac:dyDescent="0.15"/>
  <cols>
    <col min="2" max="2" width="13" bestFit="1" customWidth="1"/>
    <col min="4" max="4" width="55.5" bestFit="1" customWidth="1"/>
    <col min="6" max="6" width="14.5" customWidth="1"/>
    <col min="7" max="7" width="16" customWidth="1"/>
    <col min="8" max="8" width="11" bestFit="1" customWidth="1"/>
    <col min="11" max="11" width="11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51</v>
      </c>
      <c r="I1" s="6" t="s">
        <v>53</v>
      </c>
      <c r="J1" s="6" t="s">
        <v>55</v>
      </c>
      <c r="K1" s="5" t="s">
        <v>52</v>
      </c>
      <c r="L1" s="5" t="s">
        <v>54</v>
      </c>
      <c r="M1" s="5" t="s">
        <v>56</v>
      </c>
      <c r="N1" t="s">
        <v>7</v>
      </c>
      <c r="O1" t="s">
        <v>8</v>
      </c>
    </row>
    <row r="2" spans="1:15" x14ac:dyDescent="0.15">
      <c r="A2">
        <v>37</v>
      </c>
      <c r="B2" t="s">
        <v>9</v>
      </c>
      <c r="C2">
        <v>114795</v>
      </c>
      <c r="D2" t="s">
        <v>14</v>
      </c>
      <c r="F2" t="s">
        <v>15</v>
      </c>
      <c r="G2" s="1">
        <v>4955888655087</v>
      </c>
      <c r="H2" s="2">
        <v>13600</v>
      </c>
      <c r="I2" s="2">
        <v>8160</v>
      </c>
      <c r="J2" s="3">
        <v>0.6</v>
      </c>
      <c r="K2" s="2">
        <v>15000</v>
      </c>
      <c r="L2" s="2">
        <v>9000</v>
      </c>
      <c r="M2" s="4">
        <v>0.6</v>
      </c>
      <c r="N2" t="s">
        <v>16</v>
      </c>
      <c r="O2" t="s">
        <v>17</v>
      </c>
    </row>
    <row r="3" spans="1:15" x14ac:dyDescent="0.15">
      <c r="A3">
        <v>37</v>
      </c>
      <c r="B3" t="s">
        <v>9</v>
      </c>
      <c r="C3">
        <v>110027</v>
      </c>
      <c r="D3" t="s">
        <v>18</v>
      </c>
      <c r="F3" t="s">
        <v>19</v>
      </c>
      <c r="G3" s="1">
        <v>4955888654981</v>
      </c>
      <c r="H3" s="2">
        <v>11800</v>
      </c>
      <c r="I3" s="2">
        <v>6490</v>
      </c>
      <c r="J3" s="3">
        <v>0.55000000000000004</v>
      </c>
      <c r="K3" s="2">
        <v>13000</v>
      </c>
      <c r="L3" s="2">
        <v>7150.0000000000009</v>
      </c>
      <c r="M3" s="4">
        <v>0.55000000000000004</v>
      </c>
      <c r="N3" t="s">
        <v>16</v>
      </c>
      <c r="O3" t="s">
        <v>17</v>
      </c>
    </row>
    <row r="4" spans="1:15" x14ac:dyDescent="0.15">
      <c r="A4">
        <v>37</v>
      </c>
      <c r="B4" t="s">
        <v>9</v>
      </c>
      <c r="C4">
        <v>620060</v>
      </c>
      <c r="D4" t="s">
        <v>40</v>
      </c>
      <c r="E4" t="s">
        <v>22</v>
      </c>
      <c r="F4" t="s">
        <v>41</v>
      </c>
      <c r="G4" s="1">
        <v>4955888649987</v>
      </c>
      <c r="H4" s="2">
        <v>9700</v>
      </c>
      <c r="I4" s="2">
        <v>4850</v>
      </c>
      <c r="J4" s="3">
        <v>0.5</v>
      </c>
      <c r="K4" s="2">
        <v>10200</v>
      </c>
      <c r="L4" s="2">
        <v>5100</v>
      </c>
      <c r="M4" s="4">
        <v>0.5</v>
      </c>
      <c r="N4" t="s">
        <v>16</v>
      </c>
      <c r="O4" t="s">
        <v>17</v>
      </c>
    </row>
    <row r="5" spans="1:15" x14ac:dyDescent="0.15">
      <c r="A5">
        <v>37</v>
      </c>
      <c r="B5" t="s">
        <v>9</v>
      </c>
      <c r="C5">
        <v>620058</v>
      </c>
      <c r="D5" t="s">
        <v>36</v>
      </c>
      <c r="E5" t="s">
        <v>22</v>
      </c>
      <c r="F5" t="s">
        <v>37</v>
      </c>
      <c r="G5" s="1">
        <v>4955888653779</v>
      </c>
      <c r="H5" s="2">
        <v>15200</v>
      </c>
      <c r="I5" s="2">
        <v>7600</v>
      </c>
      <c r="J5" s="3">
        <v>0.5</v>
      </c>
      <c r="K5" s="2">
        <v>16700</v>
      </c>
      <c r="L5" s="2">
        <v>8350</v>
      </c>
      <c r="M5" s="4">
        <v>0.5</v>
      </c>
      <c r="N5" t="s">
        <v>16</v>
      </c>
      <c r="O5" t="s">
        <v>17</v>
      </c>
    </row>
    <row r="6" spans="1:15" x14ac:dyDescent="0.15">
      <c r="A6">
        <v>37</v>
      </c>
      <c r="B6" t="s">
        <v>9</v>
      </c>
      <c r="C6">
        <v>620059</v>
      </c>
      <c r="D6" t="s">
        <v>38</v>
      </c>
      <c r="E6" t="s">
        <v>22</v>
      </c>
      <c r="F6" t="s">
        <v>39</v>
      </c>
      <c r="G6" s="1">
        <v>4955888653793</v>
      </c>
      <c r="H6" s="2">
        <v>12100</v>
      </c>
      <c r="I6" s="2">
        <v>6050</v>
      </c>
      <c r="J6" s="3">
        <v>0.5</v>
      </c>
      <c r="K6" s="2">
        <v>13300</v>
      </c>
      <c r="L6" s="2">
        <v>6650</v>
      </c>
      <c r="M6" s="4">
        <v>0.5</v>
      </c>
      <c r="N6" t="s">
        <v>16</v>
      </c>
      <c r="O6" t="s">
        <v>17</v>
      </c>
    </row>
    <row r="7" spans="1:15" x14ac:dyDescent="0.15">
      <c r="A7">
        <v>37</v>
      </c>
      <c r="B7" t="s">
        <v>9</v>
      </c>
      <c r="C7">
        <v>428405</v>
      </c>
      <c r="D7" t="s">
        <v>23</v>
      </c>
      <c r="F7" t="s">
        <v>24</v>
      </c>
      <c r="G7" s="1">
        <v>4955888653816</v>
      </c>
      <c r="H7" s="2">
        <v>12100</v>
      </c>
      <c r="I7" s="2">
        <v>6050</v>
      </c>
      <c r="J7" s="3">
        <v>0.5</v>
      </c>
      <c r="K7" s="2">
        <v>13300</v>
      </c>
      <c r="L7" s="2">
        <v>6650</v>
      </c>
      <c r="M7" s="4">
        <v>0.5</v>
      </c>
      <c r="N7" t="s">
        <v>16</v>
      </c>
      <c r="O7" t="s">
        <v>17</v>
      </c>
    </row>
    <row r="8" spans="1:15" x14ac:dyDescent="0.15">
      <c r="A8">
        <v>37</v>
      </c>
      <c r="B8" t="s">
        <v>9</v>
      </c>
      <c r="C8">
        <v>606151</v>
      </c>
      <c r="D8" t="s">
        <v>34</v>
      </c>
      <c r="F8" t="s">
        <v>35</v>
      </c>
      <c r="G8" s="1">
        <v>4955888653809</v>
      </c>
      <c r="H8" s="2">
        <v>9100</v>
      </c>
      <c r="I8" s="2">
        <v>4550</v>
      </c>
      <c r="J8" s="3">
        <v>0.5</v>
      </c>
      <c r="K8" s="2">
        <v>10000</v>
      </c>
      <c r="L8" s="2">
        <v>5000</v>
      </c>
      <c r="M8" s="4">
        <v>0.5</v>
      </c>
      <c r="N8" t="s">
        <v>16</v>
      </c>
      <c r="O8" t="s">
        <v>17</v>
      </c>
    </row>
    <row r="9" spans="1:15" x14ac:dyDescent="0.15">
      <c r="A9">
        <v>37</v>
      </c>
      <c r="B9" t="s">
        <v>9</v>
      </c>
      <c r="C9">
        <v>686198</v>
      </c>
      <c r="D9" t="s">
        <v>46</v>
      </c>
      <c r="F9" t="s">
        <v>47</v>
      </c>
      <c r="G9" s="1">
        <v>4955888653786</v>
      </c>
      <c r="H9" s="2">
        <v>12500</v>
      </c>
      <c r="I9" s="2">
        <v>6250</v>
      </c>
      <c r="J9" s="3">
        <v>0.5</v>
      </c>
      <c r="K9" s="2">
        <v>13700</v>
      </c>
      <c r="L9" s="2">
        <v>6850</v>
      </c>
      <c r="M9" s="4">
        <v>0.5</v>
      </c>
      <c r="N9" t="s">
        <v>16</v>
      </c>
      <c r="O9" t="s">
        <v>17</v>
      </c>
    </row>
    <row r="10" spans="1:15" x14ac:dyDescent="0.15">
      <c r="A10">
        <v>37</v>
      </c>
      <c r="B10" t="s">
        <v>9</v>
      </c>
      <c r="C10" t="s">
        <v>48</v>
      </c>
      <c r="D10" t="s">
        <v>49</v>
      </c>
      <c r="F10" t="s">
        <v>50</v>
      </c>
      <c r="G10" s="1">
        <v>4955888653946</v>
      </c>
      <c r="H10" s="2">
        <v>9700</v>
      </c>
      <c r="I10" s="2">
        <v>4850</v>
      </c>
      <c r="J10" s="3">
        <v>0.5</v>
      </c>
      <c r="K10" s="2">
        <v>10600</v>
      </c>
      <c r="L10" s="2">
        <v>5300</v>
      </c>
      <c r="M10" s="4">
        <v>0.5</v>
      </c>
      <c r="N10" t="s">
        <v>16</v>
      </c>
      <c r="O10" t="s">
        <v>17</v>
      </c>
    </row>
    <row r="11" spans="1:15" x14ac:dyDescent="0.15">
      <c r="A11">
        <v>37</v>
      </c>
      <c r="B11" t="s">
        <v>9</v>
      </c>
      <c r="C11">
        <v>686375</v>
      </c>
      <c r="D11" t="s">
        <v>44</v>
      </c>
      <c r="F11" t="s">
        <v>45</v>
      </c>
      <c r="G11" s="1">
        <v>4955888653878</v>
      </c>
      <c r="H11" s="2">
        <v>16000</v>
      </c>
      <c r="I11" s="2">
        <v>8800</v>
      </c>
      <c r="J11" s="3">
        <v>0.55000000000000004</v>
      </c>
      <c r="K11" s="2">
        <v>17000</v>
      </c>
      <c r="L11" s="2">
        <v>9350</v>
      </c>
      <c r="M11" s="4">
        <v>0.55000000000000004</v>
      </c>
      <c r="N11" t="s">
        <v>16</v>
      </c>
      <c r="O11" t="s">
        <v>17</v>
      </c>
    </row>
    <row r="12" spans="1:15" x14ac:dyDescent="0.15">
      <c r="A12">
        <v>37</v>
      </c>
      <c r="B12" t="s">
        <v>9</v>
      </c>
      <c r="C12">
        <v>453276</v>
      </c>
      <c r="D12" t="s">
        <v>32</v>
      </c>
      <c r="F12" t="s">
        <v>33</v>
      </c>
      <c r="G12" s="1">
        <v>4955888615869</v>
      </c>
      <c r="H12" s="2">
        <v>21900</v>
      </c>
      <c r="I12" s="2">
        <v>14235</v>
      </c>
      <c r="J12" s="3">
        <v>0.65</v>
      </c>
      <c r="K12" s="2">
        <v>24100</v>
      </c>
      <c r="L12" s="2">
        <v>15665</v>
      </c>
      <c r="M12" s="4">
        <v>0.65</v>
      </c>
      <c r="N12" t="s">
        <v>16</v>
      </c>
      <c r="O12" t="s">
        <v>17</v>
      </c>
    </row>
  </sheetData>
  <sortState xmlns:xlrd2="http://schemas.microsoft.com/office/spreadsheetml/2017/richdata2" ref="A2:O40">
    <sortCondition ref="F1:F40"/>
  </sortState>
  <phoneticPr fontId="18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須永様</vt:lpstr>
      <vt:lpstr>鶴巻様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須永 英里子</cp:lastModifiedBy>
  <cp:lastPrinted>2026-04-24T01:07:23Z</cp:lastPrinted>
  <dcterms:created xsi:type="dcterms:W3CDTF">2026-04-24T00:42:45Z</dcterms:created>
  <dcterms:modified xsi:type="dcterms:W3CDTF">2026-04-24T03:38:38Z</dcterms:modified>
</cp:coreProperties>
</file>