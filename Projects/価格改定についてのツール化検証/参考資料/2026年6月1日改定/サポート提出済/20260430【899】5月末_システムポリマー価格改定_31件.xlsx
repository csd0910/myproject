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商品部\個人フォルダ\須永\価格改定\2026年6月1日改定\サポート提出済\"/>
    </mc:Choice>
  </mc:AlternateContent>
  <xr:revisionPtr revIDLastSave="0" documentId="13_ncr:1_{107B78AE-0119-4D37-9D3C-0DF8267F134E}" xr6:coauthVersionLast="47" xr6:coauthVersionMax="47" xr10:uidLastSave="{00000000-0000-0000-0000-000000000000}"/>
  <bookViews>
    <workbookView xWindow="-120" yWindow="-120" windowWidth="29040" windowHeight="15720" xr2:uid="{CC14108B-38B1-4AF3-A2A8-D32DF8046A97}"/>
  </bookViews>
  <sheets>
    <sheet name="Sheet1" sheetId="1" r:id="rId1"/>
  </sheets>
  <definedNames>
    <definedName name="_xlnm._FilterDatabase" localSheetId="0" hidden="1">Sheet1!$A$3:$BC$3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H5" i="1" l="1"/>
  <c r="AI5" i="1"/>
  <c r="AH6" i="1"/>
  <c r="AI6" i="1"/>
  <c r="AH7" i="1"/>
  <c r="AI7" i="1"/>
  <c r="AH8" i="1"/>
  <c r="AI8" i="1"/>
  <c r="AH9" i="1"/>
  <c r="AI9" i="1"/>
  <c r="AH10" i="1"/>
  <c r="AI10" i="1"/>
  <c r="AH11" i="1"/>
  <c r="AI11" i="1"/>
  <c r="AH12" i="1"/>
  <c r="AI12" i="1"/>
  <c r="AH13" i="1"/>
  <c r="AI13" i="1"/>
  <c r="AH14" i="1"/>
  <c r="AI14" i="1"/>
  <c r="AH15" i="1"/>
  <c r="AI15" i="1"/>
  <c r="AH16" i="1"/>
  <c r="AI16" i="1"/>
  <c r="AH17" i="1"/>
  <c r="AI17" i="1"/>
  <c r="AH18" i="1"/>
  <c r="AI18" i="1"/>
  <c r="AH19" i="1"/>
  <c r="AI19" i="1"/>
  <c r="AH20" i="1"/>
  <c r="AI20" i="1"/>
  <c r="AH21" i="1"/>
  <c r="AI21" i="1"/>
  <c r="AH22" i="1"/>
  <c r="AI22" i="1"/>
  <c r="AH23" i="1"/>
  <c r="AI23" i="1"/>
  <c r="AH24" i="1"/>
  <c r="AI24" i="1"/>
  <c r="AH25" i="1"/>
  <c r="AI25" i="1"/>
  <c r="AH26" i="1"/>
  <c r="AI26" i="1"/>
  <c r="AH27" i="1"/>
  <c r="AI27" i="1"/>
  <c r="AH28" i="1"/>
  <c r="AI28" i="1"/>
  <c r="AH29" i="1"/>
  <c r="AI29" i="1"/>
  <c r="AH30" i="1"/>
  <c r="AI30" i="1"/>
  <c r="AH31" i="1"/>
  <c r="AI31" i="1"/>
  <c r="AH32" i="1"/>
  <c r="AI32" i="1"/>
  <c r="AH33" i="1"/>
  <c r="AI33" i="1"/>
  <c r="AH34" i="1"/>
  <c r="AI34" i="1"/>
  <c r="AW19" i="1" l="1"/>
  <c r="AA19" i="1" s="1"/>
  <c r="AW22" i="1"/>
  <c r="AA22" i="1" s="1"/>
  <c r="AW26" i="1"/>
  <c r="AA26" i="1" s="1"/>
  <c r="AW27" i="1"/>
  <c r="AA27" i="1" s="1"/>
  <c r="AW28" i="1"/>
  <c r="AA28" i="1" s="1"/>
  <c r="AW30" i="1"/>
  <c r="AA30" i="1" s="1"/>
  <c r="AW31" i="1"/>
  <c r="AA31" i="1" s="1"/>
  <c r="AW34" i="1"/>
  <c r="AA34" i="1" s="1"/>
  <c r="AW35" i="1"/>
  <c r="AA35" i="1" s="1"/>
  <c r="AM5" i="1"/>
  <c r="AN5" i="1"/>
  <c r="AO5" i="1"/>
  <c r="AM6" i="1"/>
  <c r="AN6" i="1"/>
  <c r="AO6" i="1"/>
  <c r="AM7" i="1"/>
  <c r="AN7" i="1"/>
  <c r="AO7" i="1"/>
  <c r="AM8" i="1"/>
  <c r="AN8" i="1"/>
  <c r="AO8" i="1"/>
  <c r="AM9" i="1"/>
  <c r="AN9" i="1"/>
  <c r="AO9" i="1"/>
  <c r="AM10" i="1"/>
  <c r="AN10" i="1"/>
  <c r="AO10" i="1"/>
  <c r="AM11" i="1"/>
  <c r="AN11" i="1"/>
  <c r="AO11" i="1"/>
  <c r="AM12" i="1"/>
  <c r="AN12" i="1"/>
  <c r="AO12" i="1"/>
  <c r="AM13" i="1"/>
  <c r="AN13" i="1"/>
  <c r="AO13" i="1"/>
  <c r="AM14" i="1"/>
  <c r="AN14" i="1"/>
  <c r="AO14" i="1"/>
  <c r="AM15" i="1"/>
  <c r="AN15" i="1"/>
  <c r="AO15" i="1"/>
  <c r="AM16" i="1"/>
  <c r="AN16" i="1"/>
  <c r="AO16" i="1"/>
  <c r="AM17" i="1"/>
  <c r="AN17" i="1"/>
  <c r="AO17" i="1"/>
  <c r="AM18" i="1"/>
  <c r="AN18" i="1"/>
  <c r="AO18" i="1"/>
  <c r="AM19" i="1"/>
  <c r="AN19" i="1"/>
  <c r="AO19" i="1"/>
  <c r="AM20" i="1"/>
  <c r="AN20" i="1"/>
  <c r="AO20" i="1"/>
  <c r="AM21" i="1"/>
  <c r="AN21" i="1"/>
  <c r="AO21" i="1"/>
  <c r="AM22" i="1"/>
  <c r="AN22" i="1"/>
  <c r="AO22" i="1"/>
  <c r="AM23" i="1"/>
  <c r="AN23" i="1"/>
  <c r="AO23" i="1"/>
  <c r="AM24" i="1"/>
  <c r="AN24" i="1"/>
  <c r="AO24" i="1"/>
  <c r="AM25" i="1"/>
  <c r="AN25" i="1"/>
  <c r="AO25" i="1"/>
  <c r="AM26" i="1"/>
  <c r="AN26" i="1"/>
  <c r="AO26" i="1"/>
  <c r="AM27" i="1"/>
  <c r="AN27" i="1"/>
  <c r="AO27" i="1"/>
  <c r="AM28" i="1"/>
  <c r="AN28" i="1"/>
  <c r="AO28" i="1"/>
  <c r="AM29" i="1"/>
  <c r="AN29" i="1"/>
  <c r="AO29" i="1"/>
  <c r="AM30" i="1"/>
  <c r="AN30" i="1"/>
  <c r="AO30" i="1"/>
  <c r="AM31" i="1"/>
  <c r="AN31" i="1"/>
  <c r="AO31" i="1"/>
  <c r="AM32" i="1"/>
  <c r="AN32" i="1"/>
  <c r="AO32" i="1"/>
  <c r="AM33" i="1"/>
  <c r="AN33" i="1"/>
  <c r="AO33" i="1"/>
  <c r="AN34" i="1"/>
  <c r="AO34" i="1"/>
  <c r="AM35" i="1"/>
  <c r="AN35" i="1"/>
  <c r="AO35" i="1"/>
  <c r="AO4" i="1"/>
  <c r="AN4" i="1"/>
  <c r="AM4" i="1"/>
  <c r="AW16" i="1"/>
  <c r="AA16" i="1" s="1"/>
  <c r="AW17" i="1"/>
  <c r="AA17" i="1" s="1"/>
  <c r="AW21" i="1"/>
  <c r="AA21" i="1" s="1"/>
  <c r="AW25" i="1"/>
  <c r="AA25" i="1" s="1"/>
  <c r="AW29" i="1"/>
  <c r="AA29" i="1" s="1"/>
  <c r="AK19" i="1"/>
  <c r="AK31" i="1"/>
  <c r="O31" i="1"/>
  <c r="AK32" i="1"/>
  <c r="AK33" i="1"/>
  <c r="AK35" i="1"/>
  <c r="V19" i="1"/>
  <c r="T19" i="1"/>
  <c r="AJ19" i="1" s="1"/>
  <c r="D19" i="1"/>
  <c r="V35" i="1"/>
  <c r="T35" i="1"/>
  <c r="AJ35" i="1" s="1"/>
  <c r="O35" i="1"/>
  <c r="D35" i="1"/>
  <c r="AK34" i="1"/>
  <c r="V34" i="1"/>
  <c r="T34" i="1"/>
  <c r="AJ34" i="1" s="1"/>
  <c r="O34" i="1"/>
  <c r="D34" i="1"/>
  <c r="AW33" i="1"/>
  <c r="AA33" i="1" s="1"/>
  <c r="V33" i="1"/>
  <c r="AL33" i="1" s="1"/>
  <c r="T33" i="1"/>
  <c r="AJ33" i="1" s="1"/>
  <c r="D33" i="1"/>
  <c r="AW32" i="1"/>
  <c r="AA32" i="1" s="1"/>
  <c r="V32" i="1"/>
  <c r="AL32" i="1" s="1"/>
  <c r="X32" i="1" s="1"/>
  <c r="T32" i="1"/>
  <c r="AJ32" i="1" s="1"/>
  <c r="O32" i="1"/>
  <c r="D32" i="1"/>
  <c r="V31" i="1"/>
  <c r="T31" i="1"/>
  <c r="AJ31" i="1" s="1"/>
  <c r="D31" i="1"/>
  <c r="AK30" i="1"/>
  <c r="V30" i="1"/>
  <c r="AL30" i="1" s="1"/>
  <c r="X30" i="1" s="1"/>
  <c r="T30" i="1"/>
  <c r="AJ30" i="1" s="1"/>
  <c r="O30" i="1"/>
  <c r="D30" i="1"/>
  <c r="AK29" i="1"/>
  <c r="V29" i="1"/>
  <c r="AL29" i="1" s="1"/>
  <c r="X29" i="1" s="1"/>
  <c r="T29" i="1"/>
  <c r="AJ29" i="1" s="1"/>
  <c r="O29" i="1"/>
  <c r="D29" i="1"/>
  <c r="AK28" i="1"/>
  <c r="V28" i="1"/>
  <c r="AL28" i="1" s="1"/>
  <c r="X28" i="1" s="1"/>
  <c r="T28" i="1"/>
  <c r="AJ28" i="1" s="1"/>
  <c r="O28" i="1"/>
  <c r="D28" i="1"/>
  <c r="AK27" i="1"/>
  <c r="V27" i="1"/>
  <c r="AL27" i="1" s="1"/>
  <c r="X27" i="1" s="1"/>
  <c r="T27" i="1"/>
  <c r="AJ27" i="1" s="1"/>
  <c r="O27" i="1"/>
  <c r="D27" i="1"/>
  <c r="AK26" i="1"/>
  <c r="V26" i="1"/>
  <c r="AL26" i="1" s="1"/>
  <c r="X26" i="1" s="1"/>
  <c r="T26" i="1"/>
  <c r="AJ26" i="1" s="1"/>
  <c r="O26" i="1"/>
  <c r="D26" i="1"/>
  <c r="AK25" i="1"/>
  <c r="V25" i="1"/>
  <c r="AL25" i="1" s="1"/>
  <c r="X25" i="1" s="1"/>
  <c r="T25" i="1"/>
  <c r="AJ25" i="1" s="1"/>
  <c r="O25" i="1"/>
  <c r="D25" i="1"/>
  <c r="AW24" i="1"/>
  <c r="AA24" i="1" s="1"/>
  <c r="AK24" i="1"/>
  <c r="V24" i="1"/>
  <c r="AL24" i="1" s="1"/>
  <c r="X24" i="1" s="1"/>
  <c r="T24" i="1"/>
  <c r="AJ24" i="1" s="1"/>
  <c r="O24" i="1"/>
  <c r="D24" i="1"/>
  <c r="AW23" i="1"/>
  <c r="AA23" i="1" s="1"/>
  <c r="AK23" i="1"/>
  <c r="V23" i="1"/>
  <c r="AL23" i="1" s="1"/>
  <c r="X23" i="1" s="1"/>
  <c r="Y23" i="1" s="1"/>
  <c r="T23" i="1"/>
  <c r="AJ23" i="1" s="1"/>
  <c r="O23" i="1"/>
  <c r="D23" i="1"/>
  <c r="AK22" i="1"/>
  <c r="V22" i="1"/>
  <c r="AF22" i="1" s="1"/>
  <c r="T22" i="1"/>
  <c r="AJ22" i="1" s="1"/>
  <c r="O22" i="1"/>
  <c r="D22" i="1"/>
  <c r="AK21" i="1"/>
  <c r="V21" i="1"/>
  <c r="T21" i="1"/>
  <c r="AJ21" i="1" s="1"/>
  <c r="O21" i="1"/>
  <c r="D21" i="1"/>
  <c r="AW20" i="1"/>
  <c r="AA20" i="1" s="1"/>
  <c r="AK20" i="1"/>
  <c r="V20" i="1"/>
  <c r="AF20" i="1" s="1"/>
  <c r="T20" i="1"/>
  <c r="AJ20" i="1" s="1"/>
  <c r="O20" i="1"/>
  <c r="D20" i="1"/>
  <c r="AW18" i="1"/>
  <c r="AA18" i="1" s="1"/>
  <c r="AK18" i="1"/>
  <c r="V18" i="1"/>
  <c r="AE18" i="1" s="1"/>
  <c r="T18" i="1"/>
  <c r="AJ18" i="1" s="1"/>
  <c r="O18" i="1"/>
  <c r="D18" i="1"/>
  <c r="AK17" i="1"/>
  <c r="V17" i="1"/>
  <c r="AE17" i="1" s="1"/>
  <c r="T17" i="1"/>
  <c r="AJ17" i="1" s="1"/>
  <c r="O17" i="1"/>
  <c r="D17" i="1"/>
  <c r="AK16" i="1"/>
  <c r="V16" i="1"/>
  <c r="AF16" i="1" s="1"/>
  <c r="T16" i="1"/>
  <c r="AJ16" i="1" s="1"/>
  <c r="O16" i="1"/>
  <c r="D16" i="1"/>
  <c r="AW15" i="1"/>
  <c r="AA15" i="1" s="1"/>
  <c r="AK15" i="1"/>
  <c r="V15" i="1"/>
  <c r="AF15" i="1" s="1"/>
  <c r="T15" i="1"/>
  <c r="AJ15" i="1" s="1"/>
  <c r="O15" i="1"/>
  <c r="D15" i="1"/>
  <c r="AW14" i="1"/>
  <c r="AA14" i="1" s="1"/>
  <c r="AK14" i="1"/>
  <c r="V14" i="1"/>
  <c r="AL14" i="1" s="1"/>
  <c r="X14" i="1" s="1"/>
  <c r="Y14" i="1" s="1"/>
  <c r="T14" i="1"/>
  <c r="AJ14" i="1" s="1"/>
  <c r="O14" i="1"/>
  <c r="D14" i="1"/>
  <c r="AL22" i="1" l="1"/>
  <c r="X22" i="1" s="1"/>
  <c r="Y22" i="1" s="1"/>
  <c r="O19" i="1"/>
  <c r="AL19" i="1"/>
  <c r="X19" i="1" s="1"/>
  <c r="Y19" i="1" s="1"/>
  <c r="AL20" i="1"/>
  <c r="X20" i="1" s="1"/>
  <c r="Y20" i="1" s="1"/>
  <c r="AE22" i="1"/>
  <c r="O33" i="1"/>
  <c r="AB23" i="1"/>
  <c r="AC23" i="1" s="1"/>
  <c r="AL31" i="1"/>
  <c r="X31" i="1" s="1"/>
  <c r="Y31" i="1" s="1"/>
  <c r="X33" i="1"/>
  <c r="Y33" i="1" s="1"/>
  <c r="AL34" i="1"/>
  <c r="X34" i="1" s="1"/>
  <c r="Y34" i="1" s="1"/>
  <c r="AL35" i="1"/>
  <c r="X35" i="1" s="1"/>
  <c r="Y35" i="1" s="1"/>
  <c r="AB24" i="1"/>
  <c r="AC24" i="1" s="1"/>
  <c r="AB25" i="1"/>
  <c r="AC25" i="1" s="1"/>
  <c r="AB26" i="1"/>
  <c r="AC26" i="1" s="1"/>
  <c r="AB27" i="1"/>
  <c r="AC27" i="1" s="1"/>
  <c r="AB28" i="1"/>
  <c r="AC28" i="1" s="1"/>
  <c r="AB29" i="1"/>
  <c r="AC29" i="1" s="1"/>
  <c r="AB30" i="1"/>
  <c r="AC30" i="1" s="1"/>
  <c r="AB32" i="1"/>
  <c r="AC32" i="1" s="1"/>
  <c r="AB33" i="1"/>
  <c r="AC33" i="1" s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19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19" i="1"/>
  <c r="Y24" i="1"/>
  <c r="Y25" i="1"/>
  <c r="Y26" i="1"/>
  <c r="Y27" i="1"/>
  <c r="Y28" i="1"/>
  <c r="Y29" i="1"/>
  <c r="Y30" i="1"/>
  <c r="Y32" i="1"/>
  <c r="AB14" i="1"/>
  <c r="AC14" i="1" s="1"/>
  <c r="AE14" i="1"/>
  <c r="AE15" i="1"/>
  <c r="AF14" i="1"/>
  <c r="AE23" i="1"/>
  <c r="AF23" i="1"/>
  <c r="AF18" i="1"/>
  <c r="AE16" i="1"/>
  <c r="AF17" i="1"/>
  <c r="AL21" i="1"/>
  <c r="AL18" i="1"/>
  <c r="X18" i="1" s="1"/>
  <c r="Y18" i="1" s="1"/>
  <c r="AL16" i="1"/>
  <c r="AE21" i="1"/>
  <c r="AL17" i="1"/>
  <c r="X17" i="1" s="1"/>
  <c r="Y17" i="1" s="1"/>
  <c r="AL15" i="1"/>
  <c r="X15" i="1" s="1"/>
  <c r="Y15" i="1" s="1"/>
  <c r="AE20" i="1"/>
  <c r="AF21" i="1"/>
  <c r="AB22" i="1" l="1"/>
  <c r="AC22" i="1" s="1"/>
  <c r="AB19" i="1"/>
  <c r="AC19" i="1" s="1"/>
  <c r="AB34" i="1"/>
  <c r="AC34" i="1" s="1"/>
  <c r="AB20" i="1"/>
  <c r="AC20" i="1" s="1"/>
  <c r="AB35" i="1"/>
  <c r="AC35" i="1" s="1"/>
  <c r="AB31" i="1"/>
  <c r="AC31" i="1" s="1"/>
  <c r="AB18" i="1"/>
  <c r="AC18" i="1" s="1"/>
  <c r="AB15" i="1"/>
  <c r="AC15" i="1" s="1"/>
  <c r="X16" i="1"/>
  <c r="Y16" i="1" s="1"/>
  <c r="AB16" i="1"/>
  <c r="AC16" i="1" s="1"/>
  <c r="AB17" i="1"/>
  <c r="AC17" i="1" s="1"/>
  <c r="X21" i="1"/>
  <c r="Y21" i="1" s="1"/>
  <c r="AB21" i="1"/>
  <c r="AC21" i="1" s="1"/>
  <c r="AW5" i="1"/>
  <c r="AA5" i="1" s="1"/>
  <c r="AW6" i="1"/>
  <c r="AA6" i="1" s="1"/>
  <c r="AW9" i="1"/>
  <c r="AA9" i="1" s="1"/>
  <c r="AW10" i="1"/>
  <c r="AA10" i="1" s="1"/>
  <c r="AW11" i="1"/>
  <c r="AA11" i="1" s="1"/>
  <c r="AW12" i="1"/>
  <c r="AA12" i="1" s="1"/>
  <c r="AW13" i="1"/>
  <c r="AA13" i="1" s="1"/>
  <c r="AW4" i="1"/>
  <c r="AA4" i="1" s="1"/>
  <c r="V5" i="1"/>
  <c r="V6" i="1"/>
  <c r="V7" i="1"/>
  <c r="V8" i="1"/>
  <c r="V9" i="1"/>
  <c r="V10" i="1"/>
  <c r="V11" i="1"/>
  <c r="V12" i="1"/>
  <c r="V13" i="1"/>
  <c r="T5" i="1"/>
  <c r="AJ5" i="1" s="1"/>
  <c r="T6" i="1"/>
  <c r="AJ6" i="1" s="1"/>
  <c r="T7" i="1"/>
  <c r="AJ7" i="1" s="1"/>
  <c r="T8" i="1"/>
  <c r="AJ8" i="1" s="1"/>
  <c r="T9" i="1"/>
  <c r="AJ9" i="1" s="1"/>
  <c r="T10" i="1"/>
  <c r="AJ10" i="1" s="1"/>
  <c r="T11" i="1"/>
  <c r="AJ11" i="1" s="1"/>
  <c r="T12" i="1"/>
  <c r="AJ12" i="1" s="1"/>
  <c r="T13" i="1"/>
  <c r="AJ13" i="1" s="1"/>
  <c r="D5" i="1"/>
  <c r="D6" i="1"/>
  <c r="D7" i="1"/>
  <c r="D8" i="1"/>
  <c r="D9" i="1"/>
  <c r="D10" i="1"/>
  <c r="D11" i="1"/>
  <c r="D12" i="1"/>
  <c r="D13" i="1"/>
  <c r="D4" i="1"/>
  <c r="V4" i="1"/>
  <c r="T4" i="1"/>
  <c r="AJ4" i="1" s="1"/>
  <c r="AK13" i="1"/>
  <c r="O13" i="1"/>
  <c r="AK12" i="1"/>
  <c r="O12" i="1"/>
  <c r="AK11" i="1"/>
  <c r="O11" i="1"/>
  <c r="AK10" i="1"/>
  <c r="O10" i="1"/>
  <c r="AK4" i="1"/>
  <c r="AK9" i="1"/>
  <c r="O9" i="1"/>
  <c r="AW8" i="1"/>
  <c r="AA8" i="1" s="1"/>
  <c r="AK8" i="1"/>
  <c r="O8" i="1"/>
  <c r="AW7" i="1"/>
  <c r="AA7" i="1" s="1"/>
  <c r="AK7" i="1"/>
  <c r="O7" i="1"/>
  <c r="AK6" i="1"/>
  <c r="O6" i="1"/>
  <c r="AK5" i="1"/>
  <c r="O5" i="1"/>
  <c r="O4" i="1"/>
  <c r="AF7" i="1" l="1"/>
  <c r="AE13" i="1"/>
  <c r="AE5" i="1"/>
  <c r="AF11" i="1"/>
  <c r="AF8" i="1"/>
  <c r="AF10" i="1"/>
  <c r="AL6" i="1"/>
  <c r="X6" i="1" s="1"/>
  <c r="Y6" i="1" s="1"/>
  <c r="AE12" i="1"/>
  <c r="AE4" i="1"/>
  <c r="AE9" i="1"/>
  <c r="AL5" i="1"/>
  <c r="X5" i="1" s="1"/>
  <c r="Y5" i="1" s="1"/>
  <c r="AL10" i="1"/>
  <c r="X10" i="1" s="1"/>
  <c r="Y10" i="1" s="1"/>
  <c r="AL12" i="1"/>
  <c r="X12" i="1" s="1"/>
  <c r="Y12" i="1" s="1"/>
  <c r="AL8" i="1"/>
  <c r="X8" i="1" s="1"/>
  <c r="Y8" i="1" s="1"/>
  <c r="AF6" i="1"/>
  <c r="AL13" i="1"/>
  <c r="X13" i="1" s="1"/>
  <c r="Y13" i="1" s="1"/>
  <c r="AE11" i="1"/>
  <c r="AE10" i="1"/>
  <c r="AE8" i="1"/>
  <c r="AL11" i="1"/>
  <c r="X11" i="1" s="1"/>
  <c r="Y11" i="1" s="1"/>
  <c r="AF9" i="1"/>
  <c r="AL9" i="1"/>
  <c r="X9" i="1" s="1"/>
  <c r="Y9" i="1" s="1"/>
  <c r="AE7" i="1"/>
  <c r="AF13" i="1"/>
  <c r="AF5" i="1"/>
  <c r="AL7" i="1"/>
  <c r="X7" i="1" s="1"/>
  <c r="Y7" i="1" s="1"/>
  <c r="AE6" i="1"/>
  <c r="AF12" i="1"/>
  <c r="AH4" i="1"/>
  <c r="AI4" i="1"/>
  <c r="AF4" i="1"/>
  <c r="AL4" i="1"/>
  <c r="X4" i="1" s="1"/>
  <c r="Y4" i="1" s="1"/>
  <c r="AB6" i="1" l="1"/>
  <c r="AC6" i="1" s="1"/>
  <c r="AB5" i="1"/>
  <c r="AC5" i="1" s="1"/>
  <c r="AB12" i="1"/>
  <c r="AC12" i="1" s="1"/>
  <c r="AB8" i="1"/>
  <c r="AC8" i="1" s="1"/>
  <c r="AB9" i="1"/>
  <c r="AC9" i="1" s="1"/>
  <c r="AB13" i="1"/>
  <c r="AC13" i="1" s="1"/>
  <c r="AB7" i="1"/>
  <c r="AC7" i="1" s="1"/>
  <c r="AB4" i="1"/>
  <c r="AC4" i="1" s="1"/>
  <c r="AB10" i="1"/>
  <c r="AC10" i="1" s="1"/>
  <c r="AB11" i="1"/>
  <c r="AC11" i="1" s="1"/>
</calcChain>
</file>

<file path=xl/sharedStrings.xml><?xml version="1.0" encoding="utf-8"?>
<sst xmlns="http://schemas.openxmlformats.org/spreadsheetml/2006/main" count="410" uniqueCount="170">
  <si>
    <t>商品名</t>
    <rPh sb="0" eb="3">
      <t>ショウヒンメイ</t>
    </rPh>
    <phoneticPr fontId="1"/>
  </si>
  <si>
    <t>小売価格
(税抜）</t>
    <rPh sb="6" eb="8">
      <t>ゼイヌ</t>
    </rPh>
    <phoneticPr fontId="1"/>
  </si>
  <si>
    <t>現行</t>
    <rPh sb="0" eb="2">
      <t>ゲンコウ</t>
    </rPh>
    <phoneticPr fontId="2"/>
  </si>
  <si>
    <t>小売価格
(税抜)</t>
    <rPh sb="6" eb="8">
      <t>ゼイヌ</t>
    </rPh>
    <phoneticPr fontId="1"/>
  </si>
  <si>
    <t>品目CD</t>
    <rPh sb="0" eb="2">
      <t>ヒンモク</t>
    </rPh>
    <phoneticPr fontId="1"/>
  </si>
  <si>
    <t>仕切り</t>
    <rPh sb="0" eb="2">
      <t>シキ</t>
    </rPh>
    <phoneticPr fontId="2"/>
  </si>
  <si>
    <t>換算</t>
    <rPh sb="0" eb="2">
      <t>カンザン</t>
    </rPh>
    <phoneticPr fontId="2"/>
  </si>
  <si>
    <t>JAN</t>
    <phoneticPr fontId="2"/>
  </si>
  <si>
    <t>売価</t>
    <rPh sb="0" eb="2">
      <t>バイカ</t>
    </rPh>
    <phoneticPr fontId="2"/>
  </si>
  <si>
    <t>品目TEXT</t>
    <rPh sb="0" eb="2">
      <t>ヒンモク</t>
    </rPh>
    <phoneticPr fontId="2"/>
  </si>
  <si>
    <t>注文番号</t>
    <rPh sb="0" eb="2">
      <t>チュウモン</t>
    </rPh>
    <rPh sb="2" eb="4">
      <t>バンゴウ</t>
    </rPh>
    <phoneticPr fontId="2"/>
  </si>
  <si>
    <t>カタログ</t>
    <phoneticPr fontId="2"/>
  </si>
  <si>
    <t>アスクル</t>
    <phoneticPr fontId="2"/>
  </si>
  <si>
    <t>FW入数</t>
    <rPh sb="2" eb="4">
      <t>イリスウ</t>
    </rPh>
    <phoneticPr fontId="2"/>
  </si>
  <si>
    <t>アスクル入数</t>
    <rPh sb="4" eb="6">
      <t>イリスウ</t>
    </rPh>
    <phoneticPr fontId="2"/>
  </si>
  <si>
    <t>換算金額</t>
    <rPh sb="0" eb="2">
      <t>カンザン</t>
    </rPh>
    <rPh sb="2" eb="4">
      <t>キンガク</t>
    </rPh>
    <phoneticPr fontId="2"/>
  </si>
  <si>
    <t>粗利率</t>
    <rPh sb="0" eb="3">
      <t>アラリリツ</t>
    </rPh>
    <phoneticPr fontId="2"/>
  </si>
  <si>
    <t>スライド
売価</t>
    <rPh sb="5" eb="7">
      <t>バイカ</t>
    </rPh>
    <phoneticPr fontId="2"/>
  </si>
  <si>
    <t>原価
値上率</t>
    <rPh sb="0" eb="2">
      <t>ゲンカ</t>
    </rPh>
    <rPh sb="3" eb="5">
      <t>ネアゲ</t>
    </rPh>
    <rPh sb="5" eb="6">
      <t>リツ</t>
    </rPh>
    <phoneticPr fontId="2"/>
  </si>
  <si>
    <t>VD2</t>
    <phoneticPr fontId="2"/>
  </si>
  <si>
    <t>VD2始</t>
    <rPh sb="3" eb="4">
      <t>ハジ</t>
    </rPh>
    <phoneticPr fontId="2"/>
  </si>
  <si>
    <t>VD2終</t>
    <rPh sb="3" eb="4">
      <t>オ</t>
    </rPh>
    <phoneticPr fontId="2"/>
  </si>
  <si>
    <t>小売価格
(税抜)
換算</t>
    <rPh sb="6" eb="8">
      <t>ゼイヌ</t>
    </rPh>
    <rPh sb="10" eb="12">
      <t>カンザン</t>
    </rPh>
    <phoneticPr fontId="1"/>
  </si>
  <si>
    <t>仕切り
換算</t>
    <rPh sb="0" eb="2">
      <t>シキ</t>
    </rPh>
    <rPh sb="4" eb="6">
      <t>カンザン</t>
    </rPh>
    <phoneticPr fontId="2"/>
  </si>
  <si>
    <t>JAN
確認</t>
    <rPh sb="4" eb="6">
      <t>カクニン</t>
    </rPh>
    <phoneticPr fontId="2"/>
  </si>
  <si>
    <t>品目
確認</t>
    <rPh sb="0" eb="2">
      <t>ヒンモク</t>
    </rPh>
    <rPh sb="3" eb="5">
      <t>カクニン</t>
    </rPh>
    <phoneticPr fontId="2"/>
  </si>
  <si>
    <t>定価
値上率</t>
    <rPh sb="0" eb="2">
      <t>テイカ</t>
    </rPh>
    <rPh sb="3" eb="5">
      <t>ネアゲ</t>
    </rPh>
    <rPh sb="5" eb="6">
      <t>リツ</t>
    </rPh>
    <phoneticPr fontId="2"/>
  </si>
  <si>
    <t>原価用</t>
    <rPh sb="0" eb="2">
      <t>ゲンカ</t>
    </rPh>
    <rPh sb="2" eb="3">
      <t>ヨウ</t>
    </rPh>
    <phoneticPr fontId="2"/>
  </si>
  <si>
    <t>売価用</t>
    <rPh sb="0" eb="2">
      <t>バイカ</t>
    </rPh>
    <rPh sb="2" eb="3">
      <t>ヨウ</t>
    </rPh>
    <phoneticPr fontId="2"/>
  </si>
  <si>
    <t>VD用</t>
    <rPh sb="2" eb="3">
      <t>ヨウ</t>
    </rPh>
    <phoneticPr fontId="2"/>
  </si>
  <si>
    <t>箱バラ確認</t>
    <rPh sb="0" eb="1">
      <t>ハコ</t>
    </rPh>
    <rPh sb="3" eb="5">
      <t>カクニン</t>
    </rPh>
    <phoneticPr fontId="2"/>
  </si>
  <si>
    <t>売価1</t>
    <rPh sb="0" eb="2">
      <t>バイカ</t>
    </rPh>
    <phoneticPr fontId="2"/>
  </si>
  <si>
    <t>粗利額</t>
    <rPh sb="0" eb="2">
      <t>アラリ</t>
    </rPh>
    <rPh sb="2" eb="3">
      <t>ガク</t>
    </rPh>
    <phoneticPr fontId="2"/>
  </si>
  <si>
    <t>箱バラ用</t>
    <rPh sb="0" eb="1">
      <t>ハコ</t>
    </rPh>
    <rPh sb="3" eb="4">
      <t>ヨウ</t>
    </rPh>
    <phoneticPr fontId="2"/>
  </si>
  <si>
    <t>売価2</t>
    <rPh sb="0" eb="2">
      <t>バイカ</t>
    </rPh>
    <phoneticPr fontId="2"/>
  </si>
  <si>
    <t>売価2
粗利率</t>
    <rPh sb="0" eb="2">
      <t>バイカ</t>
    </rPh>
    <rPh sb="4" eb="7">
      <t>アラリリツ</t>
    </rPh>
    <phoneticPr fontId="2"/>
  </si>
  <si>
    <t>売価2
粗利額</t>
    <rPh sb="0" eb="2">
      <t>バイカ</t>
    </rPh>
    <rPh sb="4" eb="6">
      <t>アラリ</t>
    </rPh>
    <rPh sb="6" eb="7">
      <t>ガク</t>
    </rPh>
    <phoneticPr fontId="2"/>
  </si>
  <si>
    <t>売価1
値上げ率</t>
    <rPh sb="0" eb="2">
      <t>バイカ</t>
    </rPh>
    <rPh sb="4" eb="6">
      <t>ネア</t>
    </rPh>
    <rPh sb="7" eb="8">
      <t>リツ</t>
    </rPh>
    <phoneticPr fontId="2"/>
  </si>
  <si>
    <t>参考</t>
    <rPh sb="0" eb="2">
      <t>サンコウ</t>
    </rPh>
    <phoneticPr fontId="2"/>
  </si>
  <si>
    <t>アスクル
換算売価</t>
    <rPh sb="5" eb="7">
      <t>カンザン</t>
    </rPh>
    <rPh sb="7" eb="9">
      <t>バイカ</t>
    </rPh>
    <phoneticPr fontId="2"/>
  </si>
  <si>
    <t>改定後</t>
    <rPh sb="0" eb="2">
      <t>カイテイ</t>
    </rPh>
    <rPh sb="2" eb="3">
      <t>ゴ</t>
    </rPh>
    <phoneticPr fontId="2"/>
  </si>
  <si>
    <t>263除く</t>
    <rPh sb="3" eb="4">
      <t>ノゾ</t>
    </rPh>
    <phoneticPr fontId="2"/>
  </si>
  <si>
    <t>税込</t>
    <rPh sb="0" eb="2">
      <t>ゼイコミ</t>
    </rPh>
    <phoneticPr fontId="2"/>
  </si>
  <si>
    <t>品目のオレンジは箱バラ</t>
    <rPh sb="0" eb="2">
      <t>ヒンモク</t>
    </rPh>
    <rPh sb="8" eb="9">
      <t>ハコ</t>
    </rPh>
    <phoneticPr fontId="2"/>
  </si>
  <si>
    <t>月販</t>
    <rPh sb="0" eb="2">
      <t>ゲッパン</t>
    </rPh>
    <phoneticPr fontId="2"/>
  </si>
  <si>
    <t>倉庫</t>
    <rPh sb="0" eb="2">
      <t>ソウコ</t>
    </rPh>
    <phoneticPr fontId="2"/>
  </si>
  <si>
    <t>品目群</t>
    <rPh sb="0" eb="3">
      <t>ヒンモクグン</t>
    </rPh>
    <phoneticPr fontId="2"/>
  </si>
  <si>
    <t>たのめーる</t>
    <phoneticPr fontId="2"/>
  </si>
  <si>
    <t>カウネット</t>
    <phoneticPr fontId="2"/>
  </si>
  <si>
    <t>VD2</t>
  </si>
  <si>
    <t>アスクル商品名</t>
    <rPh sb="4" eb="7">
      <t>ショウヒンメイ</t>
    </rPh>
    <phoneticPr fontId="2"/>
  </si>
  <si>
    <t>No.</t>
    <phoneticPr fontId="2"/>
  </si>
  <si>
    <t>大分類</t>
    <rPh sb="0" eb="3">
      <t>ダイブンルイ</t>
    </rPh>
    <phoneticPr fontId="2"/>
  </si>
  <si>
    <t>4月売価</t>
    <rPh sb="1" eb="2">
      <t>ガツ</t>
    </rPh>
    <rPh sb="2" eb="4">
      <t>バイカ</t>
    </rPh>
    <phoneticPr fontId="2"/>
  </si>
  <si>
    <t>荷姿</t>
    <rPh sb="0" eb="2">
      <t>ニスガタ</t>
    </rPh>
    <phoneticPr fontId="2"/>
  </si>
  <si>
    <t>キー</t>
    <phoneticPr fontId="2"/>
  </si>
  <si>
    <t>ｱｽｸﾙ
ｽﾗｲﾄﾞ</t>
    <phoneticPr fontId="2"/>
  </si>
  <si>
    <t>J2568W</t>
  </si>
  <si>
    <t>J2570W</t>
  </si>
  <si>
    <t>J2571W</t>
  </si>
  <si>
    <t>J2572W</t>
  </si>
  <si>
    <t>J2573W</t>
  </si>
  <si>
    <t>J52851</t>
  </si>
  <si>
    <t>J52852</t>
  </si>
  <si>
    <t>J52915</t>
  </si>
  <si>
    <t>J52916</t>
  </si>
  <si>
    <t>J52917</t>
  </si>
  <si>
    <t>J52918</t>
  </si>
  <si>
    <t>J52919</t>
  </si>
  <si>
    <t>J52920</t>
  </si>
  <si>
    <t>J52921</t>
  </si>
  <si>
    <t>J52889</t>
  </si>
  <si>
    <t>J7985P</t>
  </si>
  <si>
    <t>J7986P</t>
  </si>
  <si>
    <t>ｼｽﾃﾑﾎﾟﾘﾏｰ/ﾊﾟﾝﾀﾞ 手さげﾊﾟｯｸ 50枚/PND-1550U</t>
  </si>
  <si>
    <t>34/571</t>
  </si>
  <si>
    <t>ｼｽﾃﾑﾎﾟﾘﾏｰ/ﾊﾟﾝﾀﾞ ｷｯﾁﾝﾊﾟｯｸ 50枚/PND-0150</t>
  </si>
  <si>
    <t>ｼｽﾃﾑﾎﾟﾘﾏｰ/ﾚｼﾞ袋 LP(乳白) No.30 100枚/LP-30</t>
  </si>
  <si>
    <t>ｼｽﾃﾑﾎﾟﾘﾏｰ/猫柄 手提ﾊﾟｯｸBox 横15×ﾏﾁ10×縦36cm 30枚</t>
  </si>
  <si>
    <t>書き込み欄付きﾁｬｯｸ袋B9/PE-A</t>
  </si>
  <si>
    <t>書き込み欄付きﾁｬｯｸ袋A8/PE-B</t>
  </si>
  <si>
    <t>書き込み欄付きﾁｬｯｸ袋B8/PE-C</t>
  </si>
  <si>
    <t>書き込み欄付きﾁｬｯｸ袋A7/PE-D</t>
  </si>
  <si>
    <t>書き込み欄付きﾁｬｯｸ袋B7/PE-E</t>
  </si>
  <si>
    <t>書き込み欄付きﾁｬｯｸ袋A6/PE-F</t>
  </si>
  <si>
    <t>書き込み欄付きﾁｬｯｸ袋B6/PE-G</t>
  </si>
  <si>
    <t>書き込み欄付きﾁｬｯｸ袋A5/PE-H</t>
  </si>
  <si>
    <t>書き込み欄付きﾁｬｯｸ袋B5/PE-I</t>
  </si>
  <si>
    <t>書き込み欄付きﾁｬｯｸ袋A4/PE-J</t>
  </si>
  <si>
    <t>ｼｽﾃﾑﾎﾟﾘﾏｰ/ひも付き手提げ袋 乳白半透明 S 100枚</t>
  </si>
  <si>
    <t>ｼｽﾃﾑﾎﾟﾘﾏｰ/ひも付き手提げ袋 乳白半透明 M 100枚</t>
  </si>
  <si>
    <t>ｼｽﾃﾑﾎﾟﾘﾏｰ/ひも付き手提げ袋 乳白半透明 M100枚×30袋</t>
  </si>
  <si>
    <t>ｼｽﾃﾑﾎﾟﾘﾏｰ/ひも付き手提げ袋 乳白半透明 L 100枚</t>
  </si>
  <si>
    <t>ｼｽﾃﾑﾎﾟﾘﾏｰ/ひも付き手提げ袋 乳白半透明 L100枚×20袋</t>
  </si>
  <si>
    <t>ｼｽﾃﾑﾎﾟﾘﾏｰ/Uｼｰﾙ 細長袋中 100枚×5袋/U-7</t>
  </si>
  <si>
    <t>ｼｽﾃﾑﾎﾟﾘﾏｰ/Uｼｰﾙ 細長袋大 100枚×5袋/U-8</t>
  </si>
  <si>
    <t>ｼｽﾃﾑﾎﾟﾘﾏｰ/Aﾁｬｯｸ収納袋 80枚×250袋/C-4A</t>
  </si>
  <si>
    <t>ｼｽﾃﾑﾎﾟﾘﾏｰ/Bﾁｬｯｸ収納袋 60枚×230袋/C-4B</t>
  </si>
  <si>
    <t>ｼｽﾃﾑﾎﾟﾘﾏｰ/Cﾁｬｯｸ収納袋 50枚×200袋/C-4C</t>
  </si>
  <si>
    <t>ｼｽﾃﾑﾎﾟﾘﾏｰ/Dﾁｬｯｸ収納袋 40枚×180袋/C-4D</t>
  </si>
  <si>
    <t>ｼｽﾃﾑﾎﾟﾘﾏｰ/Eﾁｬｯｸ収納袋 30枚×180袋/C-4E</t>
  </si>
  <si>
    <t>ｼｽﾃﾑﾎﾟﾘﾏｰ/Fﾁｬｯｸ収納袋 25枚×180袋/C-4F</t>
  </si>
  <si>
    <t>ｼｽﾃﾑﾎﾟﾘﾏｰ/Gﾁｬｯｸ収納袋 20枚×180袋/C-4G</t>
  </si>
  <si>
    <t>ｼｽﾃﾑﾎﾟﾘﾏｰ/BOXﾎﾟﾘ 増量220枚×24袋/AH-220</t>
  </si>
  <si>
    <t>ｼｽﾃﾑﾎﾟﾘﾏｰ/ｼﾞｯﾊﾟｰ式ﾎﾟﾘ袋 0.04×400×280mm 100枚/4K</t>
  </si>
  <si>
    <t>J2569W</t>
  </si>
  <si>
    <t>ｼｽﾃﾑﾎﾟﾘﾏｰ/ひも付き手提げ袋 乳白半透明 S100枚×40袋</t>
  </si>
  <si>
    <t>-</t>
  </si>
  <si>
    <t>-</t>
    <phoneticPr fontId="2"/>
  </si>
  <si>
    <t>システムポリマー PND-1550U パンダ柄手提げパック 50枚/(96冊入) PND-1550UI 1箱（直送品）</t>
  </si>
  <si>
    <t>システムポリマー PND-0150 パンダ柄キッチンパック 50枚/(96冊入) PND-0150I 1箱（直送品）</t>
  </si>
  <si>
    <t>システムポリマー/LP-30/レジ袋 LP(乳白) No.30 100枚×10袋　1個（直送品）</t>
  </si>
  <si>
    <t>システムポリマー/CAT-30U/手さげパック ねこ柄の袋 30枚入×96袋　1個（直送品）</t>
  </si>
  <si>
    <t>PE-A ジッパー式ポリ袋100枚 B9size 100枚 (書き込み欄付きチャック袋 メモスペース付き)/(120冊入)（直送品）</t>
  </si>
  <si>
    <t>PE-B ジッパー式ポリ袋100枚 A8size 100枚 (書き込み欄付きチャック袋 メモスペース付き)/(120冊入)（直送品）</t>
  </si>
  <si>
    <t>システムポリマー PE-C ジッパー式ポリ袋100枚 B8size 100枚 (書き込み欄付きチャック袋 メモスペース付き)/(80冊入)（直送品）</t>
  </si>
  <si>
    <t>システムポリマー PE-D ジッパー式ポリ袋100枚 A7size 100枚 (書き込み欄付きチャック袋 メモスペース付き)/(80冊入)（直送品）</t>
  </si>
  <si>
    <t>システムポリマー PE-E ジッパー式ポリ袋100枚 B7size 100枚(書き込み欄付きチャック袋 メモスペース付き)/(60冊入)（直送品）</t>
  </si>
  <si>
    <t>システムポリマー PE-F ジッパー式ポリ袋100枚 A6size 100枚(書き込み欄付きチャック袋 メモスペース付き)/(60冊入)（直送品）</t>
  </si>
  <si>
    <t>システムポリマー PE-G ジッパー式ポリ袋100枚 B6size 100枚 (書き込み欄付きチャック袋 メモスペース付き)/(40冊入)（直送品）</t>
  </si>
  <si>
    <t>システムポリマー PE-H ジッパー式ポリ袋100枚 A5size 100枚(書き込み欄付きチャック袋 メモスペース付き)/(40冊入)（直送品）</t>
  </si>
  <si>
    <t>システムポリマー PE-I ジッパー式ポリ袋 B5size 100枚 (書き込み欄付きチャック袋 メモスペース付き) 1冊</t>
  </si>
  <si>
    <t>システムポリマー ジッパー式ポリ袋 A4size (書き込み欄付きチャック袋 メモスペース付き) PE-J 1冊</t>
  </si>
  <si>
    <t>システムポリマー/U-7/Uシール 細長袋中 100枚×5袋　1個（直送品）</t>
  </si>
  <si>
    <t>システムポリマー/U-8/Uシール 細長袋大 100枚×5袋　1個（直送品）</t>
  </si>
  <si>
    <t>システムポリマー/C-4A/Aチャック収納袋 80枚×250袋　1個（直送品）</t>
  </si>
  <si>
    <t>システムポリマー/C-4B/Bチャック収納袋 60枚×230袋　1個（直送品）</t>
  </si>
  <si>
    <t>システムポリマー/C-4C/Cチャック収納袋 50枚×200袋　1個（直送品）</t>
  </si>
  <si>
    <t>システムポリマー/C-4D/Dチャック収納袋 40枚×180袋　1個（直送品）</t>
  </si>
  <si>
    <t>システムポリマー/C-4E/Eチャック収納袋 30枚×180袋　1個（直送品）</t>
  </si>
  <si>
    <t>システムポリマー/C-4F/Fチャック収納袋 25枚×180袋　1個（直送品）</t>
  </si>
  <si>
    <t>システムポリマー/C-4G/Gチャック収納袋 20枚×180袋　1個（直送品）</t>
  </si>
  <si>
    <t>システムポリマー キューティーBox 保存袋 AH-220 1個(220枚)</t>
  </si>
  <si>
    <t>システムポリマー システムポリマー/4E/ジッパー式ポリ袋 縦140*横100mm 100枚入/袋 4E 1袋</t>
  </si>
  <si>
    <t>システムポリマー/4K/ジッパー式ポリ袋 縦400×横280mm 100枚×10袋　1個（直送品）</t>
  </si>
  <si>
    <t>PE64672</t>
  </si>
  <si>
    <t>1箱</t>
  </si>
  <si>
    <t>PE64670</t>
  </si>
  <si>
    <t>AH98208</t>
  </si>
  <si>
    <t>1個</t>
  </si>
  <si>
    <t>AH97434</t>
  </si>
  <si>
    <t>PE64660</t>
  </si>
  <si>
    <t>PE64662</t>
  </si>
  <si>
    <t>PE64661</t>
  </si>
  <si>
    <t>PE64663</t>
  </si>
  <si>
    <t>PE64664</t>
  </si>
  <si>
    <t>PE64665</t>
  </si>
  <si>
    <t>PE64666</t>
  </si>
  <si>
    <t>PE64667</t>
  </si>
  <si>
    <t>XU18732</t>
  </si>
  <si>
    <t>1冊</t>
  </si>
  <si>
    <t>EX61654</t>
  </si>
  <si>
    <t>AH98126</t>
  </si>
  <si>
    <t>AH97984</t>
  </si>
  <si>
    <t>AH97424</t>
  </si>
  <si>
    <t>AH98132</t>
  </si>
  <si>
    <t>AH97426</t>
  </si>
  <si>
    <t>AH98194</t>
  </si>
  <si>
    <t>AH97427</t>
  </si>
  <si>
    <t>AH97428</t>
  </si>
  <si>
    <t>AH97429</t>
  </si>
  <si>
    <t>UA22557</t>
  </si>
  <si>
    <t>1個（220枚）</t>
  </si>
  <si>
    <t>RR48353</t>
  </si>
  <si>
    <t>1袋</t>
  </si>
  <si>
    <t>AH98204</t>
  </si>
  <si>
    <t>新No.</t>
    <rPh sb="0" eb="1">
      <t>シン</t>
    </rPh>
    <phoneticPr fontId="2"/>
  </si>
  <si>
    <t>PBとの価格差注意</t>
    <rPh sb="4" eb="7">
      <t>カカクサ</t>
    </rPh>
    <rPh sb="7" eb="9">
      <t>チュウイ</t>
    </rPh>
    <phoneticPr fontId="2"/>
  </si>
  <si>
    <t>5月売価</t>
    <rPh sb="1" eb="2">
      <t>ガツ</t>
    </rPh>
    <rPh sb="2" eb="4">
      <t>バイカ</t>
    </rPh>
    <phoneticPr fontId="2"/>
  </si>
  <si>
    <t>ｼｽﾃﾑﾎﾟﾘﾏｰ/ｼﾞｯﾊﾟｰ式ﾎﾟﾘ袋 0.04×140×100mm 100枚/4E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</si>
</sst>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%"/>
  </numFmts>
  <fonts count="3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FF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176" fontId="0" fillId="0" borderId="4" xfId="0" applyNumberFormat="1" applyBorder="1">
      <alignment vertical="center"/>
    </xf>
    <xf numFmtId="177" fontId="0" fillId="0" borderId="4" xfId="0" applyNumberFormat="1" applyBorder="1">
      <alignment vertical="center"/>
    </xf>
    <xf numFmtId="0" fontId="0" fillId="2" borderId="4" xfId="0" applyFill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2" borderId="2" xfId="0" applyFill="1" applyBorder="1">
      <alignment vertical="center"/>
    </xf>
    <xf numFmtId="0" fontId="0" fillId="3" borderId="2" xfId="0" applyFill="1" applyBorder="1" applyAlignment="1">
      <alignment vertical="center" wrapText="1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4" borderId="2" xfId="0" applyFill="1" applyBorder="1" applyAlignment="1">
      <alignment vertical="center" wrapText="1"/>
    </xf>
    <xf numFmtId="0" fontId="0" fillId="4" borderId="4" xfId="0" applyFill="1" applyBorder="1">
      <alignment vertical="center"/>
    </xf>
    <xf numFmtId="0" fontId="0" fillId="2" borderId="6" xfId="0" applyFill="1" applyBorder="1" applyAlignment="1">
      <alignment horizontal="center" vertical="center"/>
    </xf>
    <xf numFmtId="0" fontId="0" fillId="2" borderId="13" xfId="0" applyFill="1" applyBorder="1">
      <alignment vertical="center"/>
    </xf>
    <xf numFmtId="0" fontId="0" fillId="2" borderId="15" xfId="0" applyFill="1" applyBorder="1">
      <alignment vertical="center"/>
    </xf>
    <xf numFmtId="0" fontId="0" fillId="2" borderId="14" xfId="0" applyFill="1" applyBorder="1">
      <alignment vertical="center"/>
    </xf>
    <xf numFmtId="0" fontId="0" fillId="5" borderId="2" xfId="0" applyFill="1" applyBorder="1">
      <alignment vertical="center"/>
    </xf>
    <xf numFmtId="0" fontId="0" fillId="5" borderId="6" xfId="0" applyFill="1" applyBorder="1" applyAlignment="1">
      <alignment horizontal="center" vertical="center"/>
    </xf>
    <xf numFmtId="0" fontId="0" fillId="5" borderId="4" xfId="0" applyFill="1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>
      <alignment vertical="center"/>
    </xf>
    <xf numFmtId="0" fontId="0" fillId="3" borderId="4" xfId="0" applyFill="1" applyBorder="1">
      <alignment vertical="center"/>
    </xf>
    <xf numFmtId="0" fontId="0" fillId="6" borderId="4" xfId="0" applyFill="1" applyBorder="1">
      <alignment vertical="center"/>
    </xf>
    <xf numFmtId="0" fontId="0" fillId="6" borderId="0" xfId="0" applyFill="1">
      <alignment vertical="center"/>
    </xf>
    <xf numFmtId="0" fontId="0" fillId="7" borderId="3" xfId="0" applyFill="1" applyBorder="1">
      <alignment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</cellXfs>
  <cellStyles count="1">
    <cellStyle name="標準" xfId="0" builtinId="0"/>
  </cellStyles>
  <dxfs count="4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FF"/>
      <color rgb="FFCCFF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660CF-9003-4B2D-B659-7F339ED5B476}">
  <dimension ref="A1:BC36"/>
  <sheetViews>
    <sheetView tabSelected="1" zoomScale="90" zoomScaleNormal="90" workbookViewId="0">
      <pane xSplit="7" ySplit="5" topLeftCell="Y13" activePane="bottomRight" state="frozen"/>
      <selection pane="topRight" activeCell="G1" sqref="G1"/>
      <selection pane="bottomLeft" activeCell="A5" sqref="A5"/>
      <selection pane="bottomRight" activeCell="AM36" sqref="AM36"/>
    </sheetView>
  </sheetViews>
  <sheetFormatPr defaultRowHeight="18.75" outlineLevelCol="1" x14ac:dyDescent="0.4"/>
  <cols>
    <col min="1" max="2" width="4.125" customWidth="1"/>
    <col min="6" max="6" width="47.625" customWidth="1"/>
    <col min="7" max="7" width="6.75" customWidth="1"/>
    <col min="8" max="11" width="7.5" hidden="1" customWidth="1" outlineLevel="1"/>
    <col min="12" max="12" width="7.625" customWidth="1" collapsed="1"/>
    <col min="13" max="15" width="7.625" customWidth="1"/>
    <col min="16" max="16" width="5.875" customWidth="1"/>
    <col min="17" max="18" width="7.625" hidden="1" customWidth="1" outlineLevel="1"/>
    <col min="19" max="19" width="7.625" customWidth="1" collapsed="1"/>
    <col min="20" max="22" width="7.625" customWidth="1"/>
    <col min="23" max="23" width="6.125" customWidth="1" collapsed="1"/>
    <col min="24" max="32" width="7.625" customWidth="1"/>
    <col min="33" max="35" width="7.625" customWidth="1" outlineLevel="1"/>
    <col min="36" max="38" width="7.625" customWidth="1"/>
    <col min="39" max="41" width="7.625" customWidth="1" outlineLevel="1"/>
    <col min="42" max="54" width="7.625" customWidth="1"/>
  </cols>
  <sheetData>
    <row r="1" spans="1:55" x14ac:dyDescent="0.4">
      <c r="C1" s="29" t="s">
        <v>43</v>
      </c>
      <c r="S1" s="40" t="s">
        <v>40</v>
      </c>
      <c r="T1" s="41"/>
      <c r="U1" s="41"/>
      <c r="V1" s="42"/>
    </row>
    <row r="2" spans="1:55" x14ac:dyDescent="0.4">
      <c r="C2" s="8" t="s">
        <v>27</v>
      </c>
      <c r="D2" s="9" t="s">
        <v>28</v>
      </c>
      <c r="E2" s="9" t="s">
        <v>29</v>
      </c>
      <c r="F2" s="10"/>
      <c r="G2" s="10"/>
      <c r="H2" s="32"/>
      <c r="I2" s="32"/>
      <c r="J2" s="37" t="s">
        <v>30</v>
      </c>
      <c r="K2" s="39"/>
      <c r="L2" s="37" t="s">
        <v>2</v>
      </c>
      <c r="M2" s="38"/>
      <c r="N2" s="38"/>
      <c r="O2" s="39"/>
      <c r="P2" s="11"/>
      <c r="Q2" s="31"/>
      <c r="R2" s="31"/>
      <c r="S2" s="23"/>
      <c r="T2" s="24" t="s">
        <v>33</v>
      </c>
      <c r="U2" s="24"/>
      <c r="V2" s="25" t="s">
        <v>33</v>
      </c>
      <c r="W2" s="10"/>
      <c r="X2" s="9" t="s">
        <v>38</v>
      </c>
      <c r="Y2" s="11"/>
      <c r="Z2" s="11"/>
      <c r="AA2" s="11"/>
      <c r="AB2" s="11"/>
      <c r="AC2" s="11"/>
      <c r="AD2" s="22" t="s">
        <v>41</v>
      </c>
      <c r="AE2" s="11"/>
      <c r="AF2" s="11"/>
      <c r="AG2" s="27"/>
      <c r="AH2" s="11"/>
      <c r="AI2" s="11"/>
      <c r="AJ2" s="11"/>
      <c r="AK2" s="11"/>
      <c r="AL2" s="11"/>
      <c r="AM2" s="11"/>
      <c r="AN2" s="11"/>
      <c r="AO2" s="11"/>
      <c r="AP2">
        <v>51</v>
      </c>
      <c r="AX2">
        <v>14</v>
      </c>
      <c r="AY2">
        <v>28</v>
      </c>
    </row>
    <row r="3" spans="1:55" ht="75" x14ac:dyDescent="0.4">
      <c r="A3" s="1" t="s">
        <v>51</v>
      </c>
      <c r="B3" s="1" t="s">
        <v>166</v>
      </c>
      <c r="C3" s="2" t="s">
        <v>4</v>
      </c>
      <c r="D3" s="2" t="s">
        <v>9</v>
      </c>
      <c r="E3" s="2" t="s">
        <v>10</v>
      </c>
      <c r="F3" s="2" t="s">
        <v>0</v>
      </c>
      <c r="G3" s="12" t="s">
        <v>7</v>
      </c>
      <c r="H3" s="12" t="s">
        <v>54</v>
      </c>
      <c r="I3" s="12" t="s">
        <v>55</v>
      </c>
      <c r="J3" s="12" t="s">
        <v>24</v>
      </c>
      <c r="K3" s="12" t="s">
        <v>25</v>
      </c>
      <c r="L3" s="12" t="s">
        <v>1</v>
      </c>
      <c r="M3" s="2" t="s">
        <v>8</v>
      </c>
      <c r="N3" s="2" t="s">
        <v>5</v>
      </c>
      <c r="O3" s="2" t="s">
        <v>16</v>
      </c>
      <c r="P3" s="12" t="s">
        <v>49</v>
      </c>
      <c r="Q3" s="12" t="s">
        <v>20</v>
      </c>
      <c r="R3" s="12" t="s">
        <v>21</v>
      </c>
      <c r="S3" s="12" t="s">
        <v>3</v>
      </c>
      <c r="T3" s="12" t="s">
        <v>22</v>
      </c>
      <c r="U3" s="2" t="s">
        <v>5</v>
      </c>
      <c r="V3" s="12" t="s">
        <v>23</v>
      </c>
      <c r="W3" s="14" t="s">
        <v>6</v>
      </c>
      <c r="X3" s="20" t="s">
        <v>17</v>
      </c>
      <c r="Y3" s="2" t="s">
        <v>16</v>
      </c>
      <c r="Z3" s="2" t="s">
        <v>44</v>
      </c>
      <c r="AA3" s="12" t="s">
        <v>39</v>
      </c>
      <c r="AB3" s="12" t="s">
        <v>56</v>
      </c>
      <c r="AC3" s="2" t="s">
        <v>16</v>
      </c>
      <c r="AD3" s="13" t="s">
        <v>31</v>
      </c>
      <c r="AE3" s="2" t="s">
        <v>16</v>
      </c>
      <c r="AF3" s="2" t="s">
        <v>32</v>
      </c>
      <c r="AG3" s="26" t="s">
        <v>34</v>
      </c>
      <c r="AH3" s="12" t="s">
        <v>35</v>
      </c>
      <c r="AI3" s="12" t="s">
        <v>36</v>
      </c>
      <c r="AJ3" s="12" t="s">
        <v>26</v>
      </c>
      <c r="AK3" s="12" t="s">
        <v>37</v>
      </c>
      <c r="AL3" s="12" t="s">
        <v>18</v>
      </c>
      <c r="AM3" s="12" t="s">
        <v>19</v>
      </c>
      <c r="AN3" s="12" t="s">
        <v>20</v>
      </c>
      <c r="AO3" s="12" t="s">
        <v>21</v>
      </c>
      <c r="AP3" s="2" t="s">
        <v>11</v>
      </c>
      <c r="AQ3" s="2" t="s">
        <v>12</v>
      </c>
      <c r="AR3" s="2" t="s">
        <v>13</v>
      </c>
      <c r="AS3" s="2" t="s">
        <v>14</v>
      </c>
      <c r="AT3" s="12" t="s">
        <v>42</v>
      </c>
      <c r="AU3" s="12" t="s">
        <v>53</v>
      </c>
      <c r="AV3" s="2" t="s">
        <v>168</v>
      </c>
      <c r="AW3" s="2" t="s">
        <v>15</v>
      </c>
      <c r="AX3" s="18" t="s">
        <v>45</v>
      </c>
      <c r="AY3" s="18" t="s">
        <v>46</v>
      </c>
      <c r="AZ3" s="15" t="s">
        <v>52</v>
      </c>
      <c r="BA3" s="30" t="s">
        <v>47</v>
      </c>
      <c r="BB3" t="s">
        <v>48</v>
      </c>
      <c r="BC3" t="s">
        <v>50</v>
      </c>
    </row>
    <row r="4" spans="1:55" x14ac:dyDescent="0.4">
      <c r="A4" s="3">
        <v>1</v>
      </c>
      <c r="B4" s="3">
        <v>1</v>
      </c>
      <c r="C4" s="4">
        <v>179400</v>
      </c>
      <c r="D4" s="4" t="str">
        <f t="shared" ref="D4:D35" si="0">TEXT(C4,"000000")</f>
        <v>179400</v>
      </c>
      <c r="E4" s="4">
        <v>179400</v>
      </c>
      <c r="F4" s="4" t="s">
        <v>74</v>
      </c>
      <c r="G4" s="5">
        <v>4997495112386</v>
      </c>
      <c r="H4" s="5"/>
      <c r="I4" s="5"/>
      <c r="J4" s="5">
        <v>1</v>
      </c>
      <c r="K4" s="5">
        <v>1</v>
      </c>
      <c r="L4" s="4">
        <v>0</v>
      </c>
      <c r="M4" s="4">
        <v>162</v>
      </c>
      <c r="N4" s="4">
        <v>102</v>
      </c>
      <c r="O4" s="6">
        <f t="shared" ref="O4:O35" si="1">1-N4/M4</f>
        <v>0.37037037037037035</v>
      </c>
      <c r="P4" s="4" t="s">
        <v>107</v>
      </c>
      <c r="Q4" s="4" t="s">
        <v>107</v>
      </c>
      <c r="R4" s="4" t="s">
        <v>107</v>
      </c>
      <c r="S4" s="4">
        <v>0</v>
      </c>
      <c r="T4" s="4">
        <f t="shared" ref="T4:T35" si="2">IF(W4="",S4,S4*W4)</f>
        <v>0</v>
      </c>
      <c r="U4" s="4">
        <v>115</v>
      </c>
      <c r="V4" s="4">
        <f t="shared" ref="V4:V35" si="3">IF(W4="",U4,U4*W4)</f>
        <v>115</v>
      </c>
      <c r="W4" s="4"/>
      <c r="X4" s="21">
        <f t="shared" ref="X4:X35" si="4">ROUND(M4*AL4,0)</f>
        <v>183</v>
      </c>
      <c r="Y4" s="6">
        <f t="shared" ref="Y4:Y35" si="5">1-V4/X4</f>
        <v>0.37158469945355188</v>
      </c>
      <c r="Z4" s="4">
        <v>50.5</v>
      </c>
      <c r="AA4" s="4">
        <f t="shared" ref="AA4:AA35" si="6">AW4</f>
        <v>179.16666666666666</v>
      </c>
      <c r="AB4" s="4">
        <f t="shared" ref="AB4:AB35" si="7">AA4*AL4</f>
        <v>202.00163398692808</v>
      </c>
      <c r="AC4" s="6">
        <f t="shared" ref="AC4:AC35" si="8">1-V4/AB4</f>
        <v>0.43069767441860463</v>
      </c>
      <c r="AD4" s="7">
        <v>185</v>
      </c>
      <c r="AE4" s="6">
        <f t="shared" ref="AE4:AE35" si="9">1-V4/AD4</f>
        <v>0.3783783783783784</v>
      </c>
      <c r="AF4" s="4">
        <f t="shared" ref="AF4:AF35" si="10">AD4-V4</f>
        <v>70</v>
      </c>
      <c r="AG4" s="28"/>
      <c r="AH4" s="6" t="e">
        <f>1-V4/AG4</f>
        <v>#DIV/0!</v>
      </c>
      <c r="AI4" s="4">
        <f>AG4-V4</f>
        <v>-115</v>
      </c>
      <c r="AJ4" s="6" t="e">
        <f t="shared" ref="AJ4:AJ35" si="11">T4/L4</f>
        <v>#DIV/0!</v>
      </c>
      <c r="AK4" s="6">
        <f t="shared" ref="AK4:AK35" si="12">AD4/M4</f>
        <v>1.1419753086419753</v>
      </c>
      <c r="AL4" s="6">
        <f t="shared" ref="AL4:AL35" si="13">V4/N4</f>
        <v>1.1274509803921569</v>
      </c>
      <c r="AM4" s="4" t="str">
        <f t="shared" ref="AM4:AM35" si="14">IFERROR(ROUND($AD4*P4/$M4,0),"-")</f>
        <v>-</v>
      </c>
      <c r="AN4" s="4" t="str">
        <f t="shared" ref="AN4:AN35" si="15">IF(Q4="","-",Q4)</f>
        <v>-</v>
      </c>
      <c r="AO4" s="4" t="str">
        <f t="shared" ref="AO4:AO35" si="16">IF(R4="","-",R4)</f>
        <v>-</v>
      </c>
      <c r="AP4" s="4">
        <v>0</v>
      </c>
      <c r="AQ4" s="4" t="s">
        <v>135</v>
      </c>
      <c r="AR4" s="4">
        <v>1</v>
      </c>
      <c r="AS4" s="4">
        <v>96</v>
      </c>
      <c r="AT4" s="4" t="s">
        <v>136</v>
      </c>
      <c r="AU4" s="4">
        <v>17200</v>
      </c>
      <c r="AV4" s="4">
        <v>17200</v>
      </c>
      <c r="AW4" s="4">
        <f t="shared" ref="AW4:AW35" si="17">IF(AR4="",AV4,AR4/AS4*AV4)</f>
        <v>179.16666666666666</v>
      </c>
      <c r="AX4" s="19">
        <v>4</v>
      </c>
      <c r="AY4" s="19">
        <v>1</v>
      </c>
      <c r="AZ4" s="16">
        <v>18</v>
      </c>
      <c r="BA4" t="s">
        <v>108</v>
      </c>
      <c r="BB4" t="s">
        <v>107</v>
      </c>
      <c r="BC4" s="4" t="s">
        <v>109</v>
      </c>
    </row>
    <row r="5" spans="1:55" x14ac:dyDescent="0.4">
      <c r="A5" s="3">
        <v>2</v>
      </c>
      <c r="B5" s="3">
        <v>2</v>
      </c>
      <c r="C5" s="4">
        <v>179401</v>
      </c>
      <c r="D5" s="4" t="str">
        <f t="shared" si="0"/>
        <v>179401</v>
      </c>
      <c r="E5" s="4">
        <v>179401</v>
      </c>
      <c r="F5" s="4" t="s">
        <v>76</v>
      </c>
      <c r="G5" s="5">
        <v>4997495112393</v>
      </c>
      <c r="H5" s="5"/>
      <c r="I5" s="5"/>
      <c r="J5" s="5">
        <v>1</v>
      </c>
      <c r="K5" s="5">
        <v>1</v>
      </c>
      <c r="L5" s="4">
        <v>0</v>
      </c>
      <c r="M5" s="4">
        <v>143</v>
      </c>
      <c r="N5" s="4">
        <v>71</v>
      </c>
      <c r="O5" s="6">
        <f t="shared" si="1"/>
        <v>0.50349650349650354</v>
      </c>
      <c r="P5" s="4" t="s">
        <v>107</v>
      </c>
      <c r="Q5" s="4" t="s">
        <v>107</v>
      </c>
      <c r="R5" s="4" t="s">
        <v>107</v>
      </c>
      <c r="S5" s="4">
        <v>0</v>
      </c>
      <c r="T5" s="4">
        <f t="shared" si="2"/>
        <v>0</v>
      </c>
      <c r="U5" s="4">
        <v>84</v>
      </c>
      <c r="V5" s="4">
        <f t="shared" si="3"/>
        <v>84</v>
      </c>
      <c r="W5" s="4"/>
      <c r="X5" s="21">
        <f t="shared" si="4"/>
        <v>169</v>
      </c>
      <c r="Y5" s="6">
        <f t="shared" si="5"/>
        <v>0.50295857988165682</v>
      </c>
      <c r="Z5" s="4">
        <v>25.25</v>
      </c>
      <c r="AA5" s="4">
        <f t="shared" si="6"/>
        <v>179.16666666666666</v>
      </c>
      <c r="AB5" s="4">
        <f t="shared" si="7"/>
        <v>211.97183098591549</v>
      </c>
      <c r="AC5" s="6">
        <f t="shared" si="8"/>
        <v>0.60372093023255813</v>
      </c>
      <c r="AD5" s="7">
        <v>170</v>
      </c>
      <c r="AE5" s="6">
        <f t="shared" si="9"/>
        <v>0.50588235294117645</v>
      </c>
      <c r="AF5" s="4">
        <f t="shared" si="10"/>
        <v>86</v>
      </c>
      <c r="AG5" s="28"/>
      <c r="AH5" s="6" t="e">
        <f t="shared" ref="AH5:AH34" si="18">1-V5/AG5</f>
        <v>#DIV/0!</v>
      </c>
      <c r="AI5" s="4">
        <f t="shared" ref="AI5:AI34" si="19">AG5-V5</f>
        <v>-84</v>
      </c>
      <c r="AJ5" s="6" t="e">
        <f t="shared" si="11"/>
        <v>#DIV/0!</v>
      </c>
      <c r="AK5" s="6">
        <f t="shared" si="12"/>
        <v>1.1888111888111887</v>
      </c>
      <c r="AL5" s="6">
        <f t="shared" si="13"/>
        <v>1.1830985915492958</v>
      </c>
      <c r="AM5" s="4" t="str">
        <f t="shared" si="14"/>
        <v>-</v>
      </c>
      <c r="AN5" s="4" t="str">
        <f t="shared" si="15"/>
        <v>-</v>
      </c>
      <c r="AO5" s="4" t="str">
        <f t="shared" si="16"/>
        <v>-</v>
      </c>
      <c r="AP5" s="4">
        <v>0</v>
      </c>
      <c r="AQ5" s="4" t="s">
        <v>137</v>
      </c>
      <c r="AR5" s="4">
        <v>1</v>
      </c>
      <c r="AS5" s="4">
        <v>96</v>
      </c>
      <c r="AT5" s="4" t="s">
        <v>136</v>
      </c>
      <c r="AU5" s="4">
        <v>17200</v>
      </c>
      <c r="AV5" s="4">
        <v>17200</v>
      </c>
      <c r="AW5" s="4">
        <f t="shared" si="17"/>
        <v>179.16666666666666</v>
      </c>
      <c r="AX5" s="19">
        <v>4</v>
      </c>
      <c r="AY5" s="19">
        <v>1</v>
      </c>
      <c r="AZ5" s="16">
        <v>18</v>
      </c>
      <c r="BA5" t="s">
        <v>108</v>
      </c>
      <c r="BB5" t="s">
        <v>107</v>
      </c>
      <c r="BC5" s="4" t="s">
        <v>110</v>
      </c>
    </row>
    <row r="6" spans="1:55" x14ac:dyDescent="0.4">
      <c r="A6" s="3">
        <v>3</v>
      </c>
      <c r="B6" s="3">
        <v>3</v>
      </c>
      <c r="C6" s="17">
        <v>189438</v>
      </c>
      <c r="D6" s="4" t="str">
        <f t="shared" si="0"/>
        <v>189438</v>
      </c>
      <c r="E6" s="4">
        <v>189438</v>
      </c>
      <c r="F6" s="4" t="s">
        <v>77</v>
      </c>
      <c r="G6" s="5">
        <v>4997090800459</v>
      </c>
      <c r="H6" s="5"/>
      <c r="I6" s="5"/>
      <c r="J6" s="5">
        <v>1</v>
      </c>
      <c r="K6" s="5">
        <v>1</v>
      </c>
      <c r="L6" s="4">
        <v>0</v>
      </c>
      <c r="M6" s="4">
        <v>479</v>
      </c>
      <c r="N6" s="4">
        <v>308</v>
      </c>
      <c r="O6" s="6">
        <f t="shared" si="1"/>
        <v>0.35699373695198333</v>
      </c>
      <c r="P6" s="4" t="s">
        <v>107</v>
      </c>
      <c r="Q6" s="4" t="s">
        <v>107</v>
      </c>
      <c r="R6" s="4" t="s">
        <v>107</v>
      </c>
      <c r="S6" s="4">
        <v>0</v>
      </c>
      <c r="T6" s="4">
        <f t="shared" si="2"/>
        <v>0</v>
      </c>
      <c r="U6" s="4">
        <v>358</v>
      </c>
      <c r="V6" s="4">
        <f t="shared" si="3"/>
        <v>358</v>
      </c>
      <c r="W6" s="4"/>
      <c r="X6" s="21">
        <f t="shared" si="4"/>
        <v>557</v>
      </c>
      <c r="Y6" s="6">
        <f t="shared" si="5"/>
        <v>0.35727109515260325</v>
      </c>
      <c r="Z6" s="4">
        <v>4.25</v>
      </c>
      <c r="AA6" s="4">
        <f t="shared" si="6"/>
        <v>520</v>
      </c>
      <c r="AB6" s="4">
        <f t="shared" si="7"/>
        <v>604.41558441558448</v>
      </c>
      <c r="AC6" s="6">
        <f t="shared" si="8"/>
        <v>0.4076923076923078</v>
      </c>
      <c r="AD6" s="7">
        <v>580</v>
      </c>
      <c r="AE6" s="6">
        <f t="shared" si="9"/>
        <v>0.38275862068965516</v>
      </c>
      <c r="AF6" s="4">
        <f t="shared" si="10"/>
        <v>222</v>
      </c>
      <c r="AG6" s="28"/>
      <c r="AH6" s="6" t="e">
        <f t="shared" si="18"/>
        <v>#DIV/0!</v>
      </c>
      <c r="AI6" s="4">
        <f t="shared" si="19"/>
        <v>-358</v>
      </c>
      <c r="AJ6" s="6" t="e">
        <f t="shared" si="11"/>
        <v>#DIV/0!</v>
      </c>
      <c r="AK6" s="6">
        <f t="shared" si="12"/>
        <v>1.210855949895616</v>
      </c>
      <c r="AL6" s="6">
        <f t="shared" si="13"/>
        <v>1.1623376623376624</v>
      </c>
      <c r="AM6" s="4" t="str">
        <f t="shared" si="14"/>
        <v>-</v>
      </c>
      <c r="AN6" s="4" t="str">
        <f t="shared" si="15"/>
        <v>-</v>
      </c>
      <c r="AO6" s="4" t="str">
        <f t="shared" si="16"/>
        <v>-</v>
      </c>
      <c r="AP6" s="4">
        <v>0</v>
      </c>
      <c r="AQ6" s="4" t="s">
        <v>138</v>
      </c>
      <c r="AR6" s="4">
        <v>1</v>
      </c>
      <c r="AS6" s="4">
        <v>10</v>
      </c>
      <c r="AT6" s="4" t="s">
        <v>139</v>
      </c>
      <c r="AU6" s="4">
        <v>5200</v>
      </c>
      <c r="AV6" s="4">
        <v>5200</v>
      </c>
      <c r="AW6" s="4">
        <f t="shared" si="17"/>
        <v>520</v>
      </c>
      <c r="AX6" s="19">
        <v>4</v>
      </c>
      <c r="AY6" s="19">
        <v>1</v>
      </c>
      <c r="AZ6" s="16">
        <v>18</v>
      </c>
      <c r="BA6" t="s">
        <v>108</v>
      </c>
      <c r="BB6" t="s">
        <v>107</v>
      </c>
      <c r="BC6" s="4" t="s">
        <v>111</v>
      </c>
    </row>
    <row r="7" spans="1:55" x14ac:dyDescent="0.4">
      <c r="A7" s="3">
        <v>4</v>
      </c>
      <c r="B7" s="3">
        <v>4</v>
      </c>
      <c r="C7" s="17">
        <v>393038</v>
      </c>
      <c r="D7" s="4" t="str">
        <f t="shared" si="0"/>
        <v>393038</v>
      </c>
      <c r="E7" s="4">
        <v>393038</v>
      </c>
      <c r="F7" s="4" t="s">
        <v>78</v>
      </c>
      <c r="G7" s="5">
        <v>4997495112461</v>
      </c>
      <c r="H7" s="5"/>
      <c r="I7" s="5"/>
      <c r="J7" s="5">
        <v>1</v>
      </c>
      <c r="K7" s="5">
        <v>1</v>
      </c>
      <c r="L7" s="4">
        <v>0</v>
      </c>
      <c r="M7" s="4">
        <v>108</v>
      </c>
      <c r="N7" s="4">
        <v>56</v>
      </c>
      <c r="O7" s="6">
        <f t="shared" si="1"/>
        <v>0.48148148148148151</v>
      </c>
      <c r="P7" s="4" t="s">
        <v>107</v>
      </c>
      <c r="Q7" s="4" t="s">
        <v>107</v>
      </c>
      <c r="R7" s="4" t="s">
        <v>107</v>
      </c>
      <c r="S7" s="4">
        <v>0</v>
      </c>
      <c r="T7" s="4">
        <f t="shared" si="2"/>
        <v>0</v>
      </c>
      <c r="U7" s="4">
        <v>72</v>
      </c>
      <c r="V7" s="4">
        <f t="shared" si="3"/>
        <v>72</v>
      </c>
      <c r="W7" s="4"/>
      <c r="X7" s="21">
        <f t="shared" si="4"/>
        <v>139</v>
      </c>
      <c r="Y7" s="6">
        <f t="shared" si="5"/>
        <v>0.48201438848920863</v>
      </c>
      <c r="Z7" s="4">
        <v>16.25</v>
      </c>
      <c r="AA7" s="4">
        <f t="shared" si="6"/>
        <v>100</v>
      </c>
      <c r="AB7" s="4">
        <f t="shared" si="7"/>
        <v>128.57142857142858</v>
      </c>
      <c r="AC7" s="6">
        <f t="shared" si="8"/>
        <v>0.44000000000000006</v>
      </c>
      <c r="AD7" s="7">
        <v>140</v>
      </c>
      <c r="AE7" s="6">
        <f t="shared" si="9"/>
        <v>0.48571428571428577</v>
      </c>
      <c r="AF7" s="4">
        <f t="shared" si="10"/>
        <v>68</v>
      </c>
      <c r="AG7" s="28"/>
      <c r="AH7" s="6" t="e">
        <f t="shared" si="18"/>
        <v>#DIV/0!</v>
      </c>
      <c r="AI7" s="4">
        <f t="shared" si="19"/>
        <v>-72</v>
      </c>
      <c r="AJ7" s="6" t="e">
        <f t="shared" si="11"/>
        <v>#DIV/0!</v>
      </c>
      <c r="AK7" s="6">
        <f t="shared" si="12"/>
        <v>1.2962962962962963</v>
      </c>
      <c r="AL7" s="6">
        <f t="shared" si="13"/>
        <v>1.2857142857142858</v>
      </c>
      <c r="AM7" s="4" t="str">
        <f t="shared" si="14"/>
        <v>-</v>
      </c>
      <c r="AN7" s="4" t="str">
        <f t="shared" si="15"/>
        <v>-</v>
      </c>
      <c r="AO7" s="4" t="str">
        <f t="shared" si="16"/>
        <v>-</v>
      </c>
      <c r="AP7" s="4">
        <v>0</v>
      </c>
      <c r="AQ7" s="4" t="s">
        <v>140</v>
      </c>
      <c r="AR7" s="4">
        <v>1</v>
      </c>
      <c r="AS7" s="4">
        <v>96</v>
      </c>
      <c r="AT7" s="4" t="s">
        <v>139</v>
      </c>
      <c r="AU7" s="4">
        <v>9600</v>
      </c>
      <c r="AV7" s="4">
        <v>9600</v>
      </c>
      <c r="AW7" s="4">
        <f t="shared" si="17"/>
        <v>100</v>
      </c>
      <c r="AX7" s="19">
        <v>4</v>
      </c>
      <c r="AY7" s="19">
        <v>1</v>
      </c>
      <c r="AZ7" s="16">
        <v>18</v>
      </c>
      <c r="BA7" t="s">
        <v>108</v>
      </c>
      <c r="BB7" t="s">
        <v>107</v>
      </c>
      <c r="BC7" s="4" t="s">
        <v>112</v>
      </c>
    </row>
    <row r="8" spans="1:55" x14ac:dyDescent="0.4">
      <c r="A8" s="3">
        <v>5</v>
      </c>
      <c r="B8" s="3">
        <v>5</v>
      </c>
      <c r="C8" s="17">
        <v>468866</v>
      </c>
      <c r="D8" s="4" t="str">
        <f t="shared" si="0"/>
        <v>468866</v>
      </c>
      <c r="E8" s="4">
        <v>468866</v>
      </c>
      <c r="F8" s="4" t="s">
        <v>79</v>
      </c>
      <c r="G8" s="5">
        <v>4997495001413</v>
      </c>
      <c r="H8" s="5"/>
      <c r="I8" s="5"/>
      <c r="J8" s="5">
        <v>1</v>
      </c>
      <c r="K8" s="5">
        <v>1</v>
      </c>
      <c r="L8" s="4">
        <v>0</v>
      </c>
      <c r="M8" s="4">
        <v>180</v>
      </c>
      <c r="N8" s="4">
        <v>42</v>
      </c>
      <c r="O8" s="6">
        <f t="shared" si="1"/>
        <v>0.76666666666666661</v>
      </c>
      <c r="P8" s="4" t="s">
        <v>107</v>
      </c>
      <c r="Q8" s="4" t="s">
        <v>107</v>
      </c>
      <c r="R8" s="4" t="s">
        <v>107</v>
      </c>
      <c r="S8" s="4">
        <v>0</v>
      </c>
      <c r="T8" s="4">
        <f t="shared" si="2"/>
        <v>0</v>
      </c>
      <c r="U8" s="4">
        <v>47</v>
      </c>
      <c r="V8" s="4">
        <f t="shared" si="3"/>
        <v>47</v>
      </c>
      <c r="W8" s="4"/>
      <c r="X8" s="21">
        <f t="shared" si="4"/>
        <v>201</v>
      </c>
      <c r="Y8" s="6">
        <f t="shared" si="5"/>
        <v>0.76616915422885579</v>
      </c>
      <c r="Z8" s="4">
        <v>108.5</v>
      </c>
      <c r="AA8" s="4">
        <f t="shared" si="6"/>
        <v>79.166666666666671</v>
      </c>
      <c r="AB8" s="4">
        <f t="shared" si="7"/>
        <v>88.591269841269849</v>
      </c>
      <c r="AC8" s="6">
        <f t="shared" si="8"/>
        <v>0.46947368421052638</v>
      </c>
      <c r="AD8" s="7">
        <v>198</v>
      </c>
      <c r="AE8" s="6">
        <f t="shared" si="9"/>
        <v>0.76262626262626265</v>
      </c>
      <c r="AF8" s="4">
        <f t="shared" si="10"/>
        <v>151</v>
      </c>
      <c r="AG8" s="28"/>
      <c r="AH8" s="6" t="e">
        <f t="shared" si="18"/>
        <v>#DIV/0!</v>
      </c>
      <c r="AI8" s="4">
        <f t="shared" si="19"/>
        <v>-47</v>
      </c>
      <c r="AJ8" s="6" t="e">
        <f t="shared" si="11"/>
        <v>#DIV/0!</v>
      </c>
      <c r="AK8" s="6">
        <f t="shared" si="12"/>
        <v>1.1000000000000001</v>
      </c>
      <c r="AL8" s="6">
        <f t="shared" si="13"/>
        <v>1.1190476190476191</v>
      </c>
      <c r="AM8" s="4" t="str">
        <f t="shared" si="14"/>
        <v>-</v>
      </c>
      <c r="AN8" s="4" t="str">
        <f t="shared" si="15"/>
        <v>-</v>
      </c>
      <c r="AO8" s="4" t="str">
        <f t="shared" si="16"/>
        <v>-</v>
      </c>
      <c r="AP8" s="4" t="s">
        <v>75</v>
      </c>
      <c r="AQ8" s="4" t="s">
        <v>141</v>
      </c>
      <c r="AR8" s="4">
        <v>1</v>
      </c>
      <c r="AS8" s="4">
        <v>120</v>
      </c>
      <c r="AT8" s="4" t="s">
        <v>136</v>
      </c>
      <c r="AU8" s="4">
        <v>9500</v>
      </c>
      <c r="AV8" s="4">
        <v>9500</v>
      </c>
      <c r="AW8" s="4">
        <f t="shared" si="17"/>
        <v>79.166666666666671</v>
      </c>
      <c r="AX8" s="19">
        <v>4</v>
      </c>
      <c r="AY8" s="19">
        <v>1</v>
      </c>
      <c r="AZ8" s="16">
        <v>18</v>
      </c>
      <c r="BA8" t="s">
        <v>108</v>
      </c>
      <c r="BB8" t="s">
        <v>107</v>
      </c>
      <c r="BC8" s="4" t="s">
        <v>113</v>
      </c>
    </row>
    <row r="9" spans="1:55" x14ac:dyDescent="0.4">
      <c r="A9" s="3">
        <v>6</v>
      </c>
      <c r="B9" s="3">
        <v>6</v>
      </c>
      <c r="C9" s="17">
        <v>468877</v>
      </c>
      <c r="D9" s="4" t="str">
        <f t="shared" si="0"/>
        <v>468877</v>
      </c>
      <c r="E9" s="4">
        <v>468877</v>
      </c>
      <c r="F9" s="4" t="s">
        <v>80</v>
      </c>
      <c r="G9" s="5">
        <v>4997495001420</v>
      </c>
      <c r="H9" s="5"/>
      <c r="I9" s="5"/>
      <c r="J9" s="5">
        <v>1</v>
      </c>
      <c r="K9" s="5">
        <v>1</v>
      </c>
      <c r="L9" s="4">
        <v>0</v>
      </c>
      <c r="M9" s="4">
        <v>196</v>
      </c>
      <c r="N9" s="4">
        <v>54</v>
      </c>
      <c r="O9" s="6">
        <f t="shared" si="1"/>
        <v>0.72448979591836737</v>
      </c>
      <c r="P9" s="4" t="s">
        <v>107</v>
      </c>
      <c r="Q9" s="4" t="s">
        <v>107</v>
      </c>
      <c r="R9" s="4" t="s">
        <v>107</v>
      </c>
      <c r="S9" s="4">
        <v>0</v>
      </c>
      <c r="T9" s="4">
        <f t="shared" si="2"/>
        <v>0</v>
      </c>
      <c r="U9" s="4">
        <v>60</v>
      </c>
      <c r="V9" s="4">
        <f t="shared" si="3"/>
        <v>60</v>
      </c>
      <c r="W9" s="4"/>
      <c r="X9" s="21">
        <f t="shared" si="4"/>
        <v>218</v>
      </c>
      <c r="Y9" s="6">
        <f t="shared" si="5"/>
        <v>0.72477064220183485</v>
      </c>
      <c r="Z9" s="4">
        <v>35.5</v>
      </c>
      <c r="AA9" s="4">
        <f t="shared" si="6"/>
        <v>100</v>
      </c>
      <c r="AB9" s="4">
        <f t="shared" si="7"/>
        <v>111.11111111111111</v>
      </c>
      <c r="AC9" s="6">
        <f t="shared" si="8"/>
        <v>0.45999999999999996</v>
      </c>
      <c r="AD9" s="7">
        <v>218</v>
      </c>
      <c r="AE9" s="6">
        <f t="shared" si="9"/>
        <v>0.72477064220183485</v>
      </c>
      <c r="AF9" s="4">
        <f t="shared" si="10"/>
        <v>158</v>
      </c>
      <c r="AG9" s="28"/>
      <c r="AH9" s="6" t="e">
        <f t="shared" si="18"/>
        <v>#DIV/0!</v>
      </c>
      <c r="AI9" s="4">
        <f t="shared" si="19"/>
        <v>-60</v>
      </c>
      <c r="AJ9" s="6" t="e">
        <f t="shared" si="11"/>
        <v>#DIV/0!</v>
      </c>
      <c r="AK9" s="6">
        <f t="shared" si="12"/>
        <v>1.1122448979591837</v>
      </c>
      <c r="AL9" s="6">
        <f t="shared" si="13"/>
        <v>1.1111111111111112</v>
      </c>
      <c r="AM9" s="4" t="str">
        <f t="shared" si="14"/>
        <v>-</v>
      </c>
      <c r="AN9" s="4" t="str">
        <f t="shared" si="15"/>
        <v>-</v>
      </c>
      <c r="AO9" s="4" t="str">
        <f t="shared" si="16"/>
        <v>-</v>
      </c>
      <c r="AP9" s="4" t="s">
        <v>75</v>
      </c>
      <c r="AQ9" s="4" t="s">
        <v>142</v>
      </c>
      <c r="AR9" s="4">
        <v>1</v>
      </c>
      <c r="AS9" s="4">
        <v>120</v>
      </c>
      <c r="AT9" s="4" t="s">
        <v>136</v>
      </c>
      <c r="AU9" s="4">
        <v>12000</v>
      </c>
      <c r="AV9" s="4">
        <v>12000</v>
      </c>
      <c r="AW9" s="4">
        <f t="shared" si="17"/>
        <v>100</v>
      </c>
      <c r="AX9" s="19">
        <v>4</v>
      </c>
      <c r="AY9" s="19">
        <v>1</v>
      </c>
      <c r="AZ9" s="16">
        <v>18</v>
      </c>
      <c r="BA9" t="s">
        <v>108</v>
      </c>
      <c r="BB9" t="s">
        <v>107</v>
      </c>
      <c r="BC9" s="4" t="s">
        <v>114</v>
      </c>
    </row>
    <row r="10" spans="1:55" x14ac:dyDescent="0.4">
      <c r="A10" s="3">
        <v>7</v>
      </c>
      <c r="B10" s="3">
        <v>7</v>
      </c>
      <c r="C10" s="4">
        <v>468992</v>
      </c>
      <c r="D10" s="4" t="str">
        <f t="shared" si="0"/>
        <v>468992</v>
      </c>
      <c r="E10" s="4">
        <v>468992</v>
      </c>
      <c r="F10" s="4" t="s">
        <v>81</v>
      </c>
      <c r="G10" s="5">
        <v>4997495001437</v>
      </c>
      <c r="H10" s="5"/>
      <c r="I10" s="5"/>
      <c r="J10" s="5">
        <v>1</v>
      </c>
      <c r="K10" s="5">
        <v>1</v>
      </c>
      <c r="L10" s="4">
        <v>0</v>
      </c>
      <c r="M10" s="4">
        <v>225</v>
      </c>
      <c r="N10" s="4">
        <v>76</v>
      </c>
      <c r="O10" s="6">
        <f t="shared" si="1"/>
        <v>0.66222222222222227</v>
      </c>
      <c r="P10" s="4" t="s">
        <v>107</v>
      </c>
      <c r="Q10" s="4" t="s">
        <v>107</v>
      </c>
      <c r="R10" s="4" t="s">
        <v>107</v>
      </c>
      <c r="S10" s="4">
        <v>0</v>
      </c>
      <c r="T10" s="4">
        <f t="shared" si="2"/>
        <v>0</v>
      </c>
      <c r="U10" s="4">
        <v>82</v>
      </c>
      <c r="V10" s="4">
        <f t="shared" si="3"/>
        <v>82</v>
      </c>
      <c r="W10" s="4"/>
      <c r="X10" s="21">
        <f t="shared" si="4"/>
        <v>243</v>
      </c>
      <c r="Y10" s="6">
        <f t="shared" si="5"/>
        <v>0.66255144032921809</v>
      </c>
      <c r="Z10" s="4">
        <v>95.75</v>
      </c>
      <c r="AA10" s="4">
        <f t="shared" si="6"/>
        <v>130</v>
      </c>
      <c r="AB10" s="4">
        <f t="shared" si="7"/>
        <v>140.26315789473685</v>
      </c>
      <c r="AC10" s="6">
        <f t="shared" si="8"/>
        <v>0.41538461538461546</v>
      </c>
      <c r="AD10" s="7">
        <v>240</v>
      </c>
      <c r="AE10" s="6">
        <f t="shared" si="9"/>
        <v>0.65833333333333333</v>
      </c>
      <c r="AF10" s="4">
        <f t="shared" si="10"/>
        <v>158</v>
      </c>
      <c r="AG10" s="28"/>
      <c r="AH10" s="6" t="e">
        <f t="shared" si="18"/>
        <v>#DIV/0!</v>
      </c>
      <c r="AI10" s="4">
        <f t="shared" si="19"/>
        <v>-82</v>
      </c>
      <c r="AJ10" s="6" t="e">
        <f t="shared" si="11"/>
        <v>#DIV/0!</v>
      </c>
      <c r="AK10" s="6">
        <f t="shared" si="12"/>
        <v>1.0666666666666667</v>
      </c>
      <c r="AL10" s="6">
        <f t="shared" si="13"/>
        <v>1.0789473684210527</v>
      </c>
      <c r="AM10" s="4" t="str">
        <f t="shared" si="14"/>
        <v>-</v>
      </c>
      <c r="AN10" s="4" t="str">
        <f t="shared" si="15"/>
        <v>-</v>
      </c>
      <c r="AO10" s="4" t="str">
        <f t="shared" si="16"/>
        <v>-</v>
      </c>
      <c r="AP10" s="4" t="s">
        <v>75</v>
      </c>
      <c r="AQ10" s="4" t="s">
        <v>143</v>
      </c>
      <c r="AR10" s="4">
        <v>1</v>
      </c>
      <c r="AS10" s="4">
        <v>80</v>
      </c>
      <c r="AT10" s="4" t="s">
        <v>136</v>
      </c>
      <c r="AU10" s="4">
        <v>10400</v>
      </c>
      <c r="AV10" s="4">
        <v>10400</v>
      </c>
      <c r="AW10" s="4">
        <f t="shared" si="17"/>
        <v>130</v>
      </c>
      <c r="AX10" s="19">
        <v>4</v>
      </c>
      <c r="AY10" s="19">
        <v>1</v>
      </c>
      <c r="AZ10" s="16">
        <v>18</v>
      </c>
      <c r="BA10" t="s">
        <v>108</v>
      </c>
      <c r="BB10" t="s">
        <v>107</v>
      </c>
      <c r="BC10" s="4" t="s">
        <v>115</v>
      </c>
    </row>
    <row r="11" spans="1:55" x14ac:dyDescent="0.4">
      <c r="A11" s="3">
        <v>8</v>
      </c>
      <c r="B11" s="3">
        <v>8</v>
      </c>
      <c r="C11" s="4">
        <v>469108</v>
      </c>
      <c r="D11" s="4" t="str">
        <f t="shared" si="0"/>
        <v>469108</v>
      </c>
      <c r="E11" s="4">
        <v>469108</v>
      </c>
      <c r="F11" s="4" t="s">
        <v>82</v>
      </c>
      <c r="G11" s="5">
        <v>4997495001444</v>
      </c>
      <c r="H11" s="5"/>
      <c r="I11" s="5"/>
      <c r="J11" s="5">
        <v>1</v>
      </c>
      <c r="K11" s="5">
        <v>1</v>
      </c>
      <c r="L11" s="4">
        <v>0</v>
      </c>
      <c r="M11" s="4">
        <v>261</v>
      </c>
      <c r="N11" s="4">
        <v>87</v>
      </c>
      <c r="O11" s="6">
        <f t="shared" si="1"/>
        <v>0.66666666666666674</v>
      </c>
      <c r="P11" s="4" t="s">
        <v>107</v>
      </c>
      <c r="Q11" s="4" t="s">
        <v>107</v>
      </c>
      <c r="R11" s="4" t="s">
        <v>107</v>
      </c>
      <c r="S11" s="4">
        <v>0</v>
      </c>
      <c r="T11" s="4">
        <f t="shared" si="2"/>
        <v>0</v>
      </c>
      <c r="U11" s="4">
        <v>95</v>
      </c>
      <c r="V11" s="4">
        <f t="shared" si="3"/>
        <v>95</v>
      </c>
      <c r="W11" s="4"/>
      <c r="X11" s="21">
        <f t="shared" si="4"/>
        <v>285</v>
      </c>
      <c r="Y11" s="6">
        <f t="shared" si="5"/>
        <v>0.66666666666666674</v>
      </c>
      <c r="Z11" s="4">
        <v>67.75</v>
      </c>
      <c r="AA11" s="4">
        <f t="shared" si="6"/>
        <v>151.25</v>
      </c>
      <c r="AB11" s="4">
        <f t="shared" si="7"/>
        <v>165.15804597701151</v>
      </c>
      <c r="AC11" s="6">
        <f t="shared" si="8"/>
        <v>0.42479338842975212</v>
      </c>
      <c r="AD11" s="7">
        <v>285</v>
      </c>
      <c r="AE11" s="6">
        <f t="shared" si="9"/>
        <v>0.66666666666666674</v>
      </c>
      <c r="AF11" s="4">
        <f t="shared" si="10"/>
        <v>190</v>
      </c>
      <c r="AG11" s="28"/>
      <c r="AH11" s="6" t="e">
        <f t="shared" si="18"/>
        <v>#DIV/0!</v>
      </c>
      <c r="AI11" s="4">
        <f t="shared" si="19"/>
        <v>-95</v>
      </c>
      <c r="AJ11" s="6" t="e">
        <f t="shared" si="11"/>
        <v>#DIV/0!</v>
      </c>
      <c r="AK11" s="6">
        <f t="shared" si="12"/>
        <v>1.0919540229885059</v>
      </c>
      <c r="AL11" s="6">
        <f t="shared" si="13"/>
        <v>1.0919540229885059</v>
      </c>
      <c r="AM11" s="4" t="str">
        <f t="shared" si="14"/>
        <v>-</v>
      </c>
      <c r="AN11" s="4" t="str">
        <f t="shared" si="15"/>
        <v>-</v>
      </c>
      <c r="AO11" s="4" t="str">
        <f t="shared" si="16"/>
        <v>-</v>
      </c>
      <c r="AP11" s="4" t="s">
        <v>75</v>
      </c>
      <c r="AQ11" s="4" t="s">
        <v>144</v>
      </c>
      <c r="AR11" s="4">
        <v>1</v>
      </c>
      <c r="AS11" s="4">
        <v>80</v>
      </c>
      <c r="AT11" s="4" t="s">
        <v>136</v>
      </c>
      <c r="AU11" s="4">
        <v>12100</v>
      </c>
      <c r="AV11" s="4">
        <v>12100</v>
      </c>
      <c r="AW11" s="4">
        <f t="shared" si="17"/>
        <v>151.25</v>
      </c>
      <c r="AX11" s="19">
        <v>4</v>
      </c>
      <c r="AY11" s="19">
        <v>1</v>
      </c>
      <c r="AZ11" s="16">
        <v>18</v>
      </c>
      <c r="BA11" t="s">
        <v>108</v>
      </c>
      <c r="BB11" t="s">
        <v>107</v>
      </c>
      <c r="BC11" s="4" t="s">
        <v>116</v>
      </c>
    </row>
    <row r="12" spans="1:55" x14ac:dyDescent="0.4">
      <c r="A12" s="3">
        <v>9</v>
      </c>
      <c r="B12" s="3">
        <v>9</v>
      </c>
      <c r="C12" s="4">
        <v>469192</v>
      </c>
      <c r="D12" s="4" t="str">
        <f t="shared" si="0"/>
        <v>469192</v>
      </c>
      <c r="E12" s="4">
        <v>469192</v>
      </c>
      <c r="F12" s="4" t="s">
        <v>83</v>
      </c>
      <c r="G12" s="5">
        <v>4997495001451</v>
      </c>
      <c r="H12" s="5"/>
      <c r="I12" s="5"/>
      <c r="J12" s="5">
        <v>1</v>
      </c>
      <c r="K12" s="5">
        <v>1</v>
      </c>
      <c r="L12" s="4">
        <v>0</v>
      </c>
      <c r="M12" s="4">
        <v>313</v>
      </c>
      <c r="N12" s="4">
        <v>105</v>
      </c>
      <c r="O12" s="6">
        <f t="shared" si="1"/>
        <v>0.66453674121405748</v>
      </c>
      <c r="P12" s="4" t="s">
        <v>107</v>
      </c>
      <c r="Q12" s="4" t="s">
        <v>107</v>
      </c>
      <c r="R12" s="4" t="s">
        <v>107</v>
      </c>
      <c r="S12" s="4">
        <v>0</v>
      </c>
      <c r="T12" s="4">
        <f t="shared" si="2"/>
        <v>0</v>
      </c>
      <c r="U12" s="4">
        <v>115</v>
      </c>
      <c r="V12" s="4">
        <f t="shared" si="3"/>
        <v>115</v>
      </c>
      <c r="W12" s="4"/>
      <c r="X12" s="21">
        <f t="shared" si="4"/>
        <v>343</v>
      </c>
      <c r="Y12" s="6">
        <f t="shared" si="5"/>
        <v>0.66472303206997085</v>
      </c>
      <c r="Z12" s="4">
        <v>44</v>
      </c>
      <c r="AA12" s="4">
        <f t="shared" si="6"/>
        <v>183.33333333333334</v>
      </c>
      <c r="AB12" s="4">
        <f t="shared" si="7"/>
        <v>200.79365079365081</v>
      </c>
      <c r="AC12" s="6">
        <f t="shared" si="8"/>
        <v>0.42727272727272736</v>
      </c>
      <c r="AD12" s="7">
        <v>340</v>
      </c>
      <c r="AE12" s="6">
        <f t="shared" si="9"/>
        <v>0.66176470588235292</v>
      </c>
      <c r="AF12" s="4">
        <f t="shared" si="10"/>
        <v>225</v>
      </c>
      <c r="AG12" s="28"/>
      <c r="AH12" s="6" t="e">
        <f t="shared" si="18"/>
        <v>#DIV/0!</v>
      </c>
      <c r="AI12" s="4">
        <f t="shared" si="19"/>
        <v>-115</v>
      </c>
      <c r="AJ12" s="6" t="e">
        <f t="shared" si="11"/>
        <v>#DIV/0!</v>
      </c>
      <c r="AK12" s="6">
        <f t="shared" si="12"/>
        <v>1.0862619808306708</v>
      </c>
      <c r="AL12" s="6">
        <f t="shared" si="13"/>
        <v>1.0952380952380953</v>
      </c>
      <c r="AM12" s="4" t="str">
        <f t="shared" si="14"/>
        <v>-</v>
      </c>
      <c r="AN12" s="4" t="str">
        <f t="shared" si="15"/>
        <v>-</v>
      </c>
      <c r="AO12" s="4" t="str">
        <f t="shared" si="16"/>
        <v>-</v>
      </c>
      <c r="AP12" s="4" t="s">
        <v>75</v>
      </c>
      <c r="AQ12" s="4" t="s">
        <v>145</v>
      </c>
      <c r="AR12" s="4">
        <v>1</v>
      </c>
      <c r="AS12" s="4">
        <v>60</v>
      </c>
      <c r="AT12" s="4" t="s">
        <v>136</v>
      </c>
      <c r="AU12" s="4">
        <v>11000</v>
      </c>
      <c r="AV12" s="4">
        <v>11000</v>
      </c>
      <c r="AW12" s="4">
        <f t="shared" si="17"/>
        <v>183.33333333333334</v>
      </c>
      <c r="AX12" s="19">
        <v>4</v>
      </c>
      <c r="AY12" s="19">
        <v>1</v>
      </c>
      <c r="AZ12" s="16">
        <v>18</v>
      </c>
      <c r="BA12" t="s">
        <v>108</v>
      </c>
      <c r="BB12" t="s">
        <v>107</v>
      </c>
      <c r="BC12" s="4" t="s">
        <v>117</v>
      </c>
    </row>
    <row r="13" spans="1:55" x14ac:dyDescent="0.4">
      <c r="A13" s="3">
        <v>10</v>
      </c>
      <c r="B13" s="3">
        <v>10</v>
      </c>
      <c r="C13" s="4">
        <v>469204</v>
      </c>
      <c r="D13" s="4" t="str">
        <f t="shared" si="0"/>
        <v>469204</v>
      </c>
      <c r="E13" s="4">
        <v>469204</v>
      </c>
      <c r="F13" s="4" t="s">
        <v>84</v>
      </c>
      <c r="G13" s="5">
        <v>4997495001468</v>
      </c>
      <c r="H13" s="5"/>
      <c r="I13" s="5"/>
      <c r="J13" s="5">
        <v>1</v>
      </c>
      <c r="K13" s="5">
        <v>1</v>
      </c>
      <c r="L13" s="4">
        <v>0</v>
      </c>
      <c r="M13" s="4">
        <v>376</v>
      </c>
      <c r="N13" s="4">
        <v>151</v>
      </c>
      <c r="O13" s="6">
        <f t="shared" si="1"/>
        <v>0.59840425531914887</v>
      </c>
      <c r="P13" s="4" t="s">
        <v>107</v>
      </c>
      <c r="Q13" s="4" t="s">
        <v>107</v>
      </c>
      <c r="R13" s="4" t="s">
        <v>107</v>
      </c>
      <c r="S13" s="4">
        <v>0</v>
      </c>
      <c r="T13" s="4">
        <f t="shared" si="2"/>
        <v>0</v>
      </c>
      <c r="U13" s="4">
        <v>171</v>
      </c>
      <c r="V13" s="4">
        <f t="shared" si="3"/>
        <v>171</v>
      </c>
      <c r="W13" s="4"/>
      <c r="X13" s="21">
        <f t="shared" si="4"/>
        <v>426</v>
      </c>
      <c r="Y13" s="6">
        <f t="shared" si="5"/>
        <v>0.59859154929577463</v>
      </c>
      <c r="Z13" s="4">
        <v>48.75</v>
      </c>
      <c r="AA13" s="4">
        <f t="shared" si="6"/>
        <v>261.66666666666669</v>
      </c>
      <c r="AB13" s="4">
        <f t="shared" si="7"/>
        <v>296.3245033112583</v>
      </c>
      <c r="AC13" s="6">
        <f t="shared" si="8"/>
        <v>0.4229299363057325</v>
      </c>
      <c r="AD13" s="7">
        <v>425</v>
      </c>
      <c r="AE13" s="6">
        <f t="shared" si="9"/>
        <v>0.59764705882352942</v>
      </c>
      <c r="AF13" s="4">
        <f t="shared" si="10"/>
        <v>254</v>
      </c>
      <c r="AG13" s="28"/>
      <c r="AH13" s="6" t="e">
        <f t="shared" si="18"/>
        <v>#DIV/0!</v>
      </c>
      <c r="AI13" s="4">
        <f t="shared" si="19"/>
        <v>-171</v>
      </c>
      <c r="AJ13" s="6" t="e">
        <f t="shared" si="11"/>
        <v>#DIV/0!</v>
      </c>
      <c r="AK13" s="6">
        <f t="shared" si="12"/>
        <v>1.1303191489361701</v>
      </c>
      <c r="AL13" s="6">
        <f t="shared" si="13"/>
        <v>1.1324503311258278</v>
      </c>
      <c r="AM13" s="4" t="str">
        <f t="shared" si="14"/>
        <v>-</v>
      </c>
      <c r="AN13" s="4" t="str">
        <f t="shared" si="15"/>
        <v>-</v>
      </c>
      <c r="AO13" s="4" t="str">
        <f t="shared" si="16"/>
        <v>-</v>
      </c>
      <c r="AP13" s="4" t="s">
        <v>75</v>
      </c>
      <c r="AQ13" s="4" t="s">
        <v>146</v>
      </c>
      <c r="AR13" s="4">
        <v>1</v>
      </c>
      <c r="AS13" s="4">
        <v>60</v>
      </c>
      <c r="AT13" s="4" t="s">
        <v>136</v>
      </c>
      <c r="AU13" s="4">
        <v>15700</v>
      </c>
      <c r="AV13" s="4">
        <v>15700</v>
      </c>
      <c r="AW13" s="4">
        <f t="shared" si="17"/>
        <v>261.66666666666669</v>
      </c>
      <c r="AX13" s="19">
        <v>4</v>
      </c>
      <c r="AY13" s="19">
        <v>1</v>
      </c>
      <c r="AZ13" s="16">
        <v>18</v>
      </c>
      <c r="BA13" t="s">
        <v>108</v>
      </c>
      <c r="BB13" t="s">
        <v>107</v>
      </c>
      <c r="BC13" s="4" t="s">
        <v>118</v>
      </c>
    </row>
    <row r="14" spans="1:55" x14ac:dyDescent="0.4">
      <c r="A14" s="3">
        <v>11</v>
      </c>
      <c r="B14" s="3">
        <v>11</v>
      </c>
      <c r="C14" s="4">
        <v>469217</v>
      </c>
      <c r="D14" s="4" t="str">
        <f t="shared" si="0"/>
        <v>469217</v>
      </c>
      <c r="E14" s="4">
        <v>469217</v>
      </c>
      <c r="F14" s="4" t="s">
        <v>85</v>
      </c>
      <c r="G14" s="5">
        <v>4997495001475</v>
      </c>
      <c r="H14" s="5"/>
      <c r="I14" s="5"/>
      <c r="J14" s="5">
        <v>1</v>
      </c>
      <c r="K14" s="5">
        <v>1</v>
      </c>
      <c r="L14" s="4">
        <v>0</v>
      </c>
      <c r="M14" s="4">
        <v>471</v>
      </c>
      <c r="N14" s="4">
        <v>210</v>
      </c>
      <c r="O14" s="6">
        <f t="shared" si="1"/>
        <v>0.55414012738853502</v>
      </c>
      <c r="P14" s="4" t="s">
        <v>107</v>
      </c>
      <c r="Q14" s="4" t="s">
        <v>107</v>
      </c>
      <c r="R14" s="4" t="s">
        <v>107</v>
      </c>
      <c r="S14" s="4">
        <v>0</v>
      </c>
      <c r="T14" s="4">
        <f t="shared" si="2"/>
        <v>0</v>
      </c>
      <c r="U14" s="4">
        <v>231</v>
      </c>
      <c r="V14" s="4">
        <f t="shared" si="3"/>
        <v>231</v>
      </c>
      <c r="W14" s="4"/>
      <c r="X14" s="21">
        <f t="shared" si="4"/>
        <v>518</v>
      </c>
      <c r="Y14" s="6">
        <f t="shared" si="5"/>
        <v>0.55405405405405406</v>
      </c>
      <c r="Z14" s="4">
        <v>25.25</v>
      </c>
      <c r="AA14" s="4">
        <f t="shared" si="6"/>
        <v>360</v>
      </c>
      <c r="AB14" s="4">
        <f t="shared" si="7"/>
        <v>396.00000000000006</v>
      </c>
      <c r="AC14" s="6">
        <f t="shared" si="8"/>
        <v>0.41666666666666674</v>
      </c>
      <c r="AD14" s="7">
        <v>518</v>
      </c>
      <c r="AE14" s="6">
        <f t="shared" si="9"/>
        <v>0.55405405405405406</v>
      </c>
      <c r="AF14" s="4">
        <f t="shared" si="10"/>
        <v>287</v>
      </c>
      <c r="AG14" s="28"/>
      <c r="AH14" s="6" t="e">
        <f t="shared" si="18"/>
        <v>#DIV/0!</v>
      </c>
      <c r="AI14" s="4">
        <f t="shared" si="19"/>
        <v>-231</v>
      </c>
      <c r="AJ14" s="6" t="e">
        <f t="shared" si="11"/>
        <v>#DIV/0!</v>
      </c>
      <c r="AK14" s="6">
        <f t="shared" si="12"/>
        <v>1.0997876857749469</v>
      </c>
      <c r="AL14" s="6">
        <f t="shared" si="13"/>
        <v>1.1000000000000001</v>
      </c>
      <c r="AM14" s="4" t="str">
        <f t="shared" si="14"/>
        <v>-</v>
      </c>
      <c r="AN14" s="4" t="str">
        <f t="shared" si="15"/>
        <v>-</v>
      </c>
      <c r="AO14" s="4" t="str">
        <f t="shared" si="16"/>
        <v>-</v>
      </c>
      <c r="AP14" s="4" t="s">
        <v>75</v>
      </c>
      <c r="AQ14" s="4" t="s">
        <v>147</v>
      </c>
      <c r="AR14" s="4">
        <v>1</v>
      </c>
      <c r="AS14" s="4">
        <v>40</v>
      </c>
      <c r="AT14" s="4" t="s">
        <v>136</v>
      </c>
      <c r="AU14" s="4">
        <v>14400</v>
      </c>
      <c r="AV14" s="4">
        <v>14400</v>
      </c>
      <c r="AW14" s="4">
        <f t="shared" si="17"/>
        <v>360</v>
      </c>
      <c r="AX14" s="19">
        <v>4</v>
      </c>
      <c r="AY14" s="19">
        <v>1</v>
      </c>
      <c r="AZ14" s="16">
        <v>18</v>
      </c>
      <c r="BA14" t="s">
        <v>108</v>
      </c>
      <c r="BB14" t="s">
        <v>107</v>
      </c>
      <c r="BC14" s="4" t="s">
        <v>119</v>
      </c>
    </row>
    <row r="15" spans="1:55" x14ac:dyDescent="0.4">
      <c r="A15" s="3">
        <v>12</v>
      </c>
      <c r="B15" s="3">
        <v>12</v>
      </c>
      <c r="C15" s="4">
        <v>469254</v>
      </c>
      <c r="D15" s="4" t="str">
        <f t="shared" si="0"/>
        <v>469254</v>
      </c>
      <c r="E15" s="4">
        <v>469254</v>
      </c>
      <c r="F15" s="4" t="s">
        <v>86</v>
      </c>
      <c r="G15" s="5">
        <v>4997495001482</v>
      </c>
      <c r="H15" s="5"/>
      <c r="I15" s="5"/>
      <c r="J15" s="5">
        <v>1</v>
      </c>
      <c r="K15" s="5">
        <v>1</v>
      </c>
      <c r="L15" s="4">
        <v>0</v>
      </c>
      <c r="M15" s="4">
        <v>604</v>
      </c>
      <c r="N15" s="4">
        <v>274</v>
      </c>
      <c r="O15" s="6">
        <f t="shared" si="1"/>
        <v>0.54635761589403975</v>
      </c>
      <c r="P15" s="4" t="s">
        <v>107</v>
      </c>
      <c r="Q15" s="4" t="s">
        <v>107</v>
      </c>
      <c r="R15" s="4" t="s">
        <v>107</v>
      </c>
      <c r="S15" s="4">
        <v>0</v>
      </c>
      <c r="T15" s="4">
        <f t="shared" si="2"/>
        <v>0</v>
      </c>
      <c r="U15" s="4">
        <v>313</v>
      </c>
      <c r="V15" s="4">
        <f t="shared" si="3"/>
        <v>313</v>
      </c>
      <c r="W15" s="4"/>
      <c r="X15" s="21">
        <f t="shared" si="4"/>
        <v>690</v>
      </c>
      <c r="Y15" s="6">
        <f t="shared" si="5"/>
        <v>0.54637681159420293</v>
      </c>
      <c r="Z15" s="4">
        <v>54.500000000000007</v>
      </c>
      <c r="AA15" s="4">
        <f t="shared" si="6"/>
        <v>480</v>
      </c>
      <c r="AB15" s="4">
        <f t="shared" si="7"/>
        <v>548.32116788321173</v>
      </c>
      <c r="AC15" s="6">
        <f t="shared" si="8"/>
        <v>0.4291666666666667</v>
      </c>
      <c r="AD15" s="7">
        <v>690</v>
      </c>
      <c r="AE15" s="6">
        <f t="shared" si="9"/>
        <v>0.54637681159420293</v>
      </c>
      <c r="AF15" s="4">
        <f t="shared" si="10"/>
        <v>377</v>
      </c>
      <c r="AG15" s="28"/>
      <c r="AH15" s="6" t="e">
        <f t="shared" si="18"/>
        <v>#DIV/0!</v>
      </c>
      <c r="AI15" s="4">
        <f t="shared" si="19"/>
        <v>-313</v>
      </c>
      <c r="AJ15" s="6" t="e">
        <f t="shared" si="11"/>
        <v>#DIV/0!</v>
      </c>
      <c r="AK15" s="6">
        <f t="shared" si="12"/>
        <v>1.1423841059602649</v>
      </c>
      <c r="AL15" s="6">
        <f t="shared" si="13"/>
        <v>1.1423357664233578</v>
      </c>
      <c r="AM15" s="4" t="str">
        <f t="shared" si="14"/>
        <v>-</v>
      </c>
      <c r="AN15" s="4" t="str">
        <f t="shared" si="15"/>
        <v>-</v>
      </c>
      <c r="AO15" s="4" t="str">
        <f t="shared" si="16"/>
        <v>-</v>
      </c>
      <c r="AP15" s="4" t="s">
        <v>75</v>
      </c>
      <c r="AQ15" s="4" t="s">
        <v>148</v>
      </c>
      <c r="AR15" s="4">
        <v>1</v>
      </c>
      <c r="AS15" s="4">
        <v>40</v>
      </c>
      <c r="AT15" s="4" t="s">
        <v>136</v>
      </c>
      <c r="AU15" s="4">
        <v>19200</v>
      </c>
      <c r="AV15" s="4">
        <v>19200</v>
      </c>
      <c r="AW15" s="4">
        <f t="shared" si="17"/>
        <v>480</v>
      </c>
      <c r="AX15" s="19">
        <v>4</v>
      </c>
      <c r="AY15" s="19">
        <v>1</v>
      </c>
      <c r="AZ15" s="16">
        <v>18</v>
      </c>
      <c r="BA15" t="s">
        <v>108</v>
      </c>
      <c r="BB15" t="s">
        <v>107</v>
      </c>
      <c r="BC15" s="4" t="s">
        <v>120</v>
      </c>
    </row>
    <row r="16" spans="1:55" x14ac:dyDescent="0.4">
      <c r="A16" s="3">
        <v>13</v>
      </c>
      <c r="B16" s="3">
        <v>13</v>
      </c>
      <c r="C16" s="4">
        <v>469311</v>
      </c>
      <c r="D16" s="4" t="str">
        <f t="shared" si="0"/>
        <v>469311</v>
      </c>
      <c r="E16" s="4">
        <v>469311</v>
      </c>
      <c r="F16" s="4" t="s">
        <v>87</v>
      </c>
      <c r="G16" s="5">
        <v>4997495001499</v>
      </c>
      <c r="H16" s="5"/>
      <c r="I16" s="5"/>
      <c r="J16" s="5">
        <v>1</v>
      </c>
      <c r="K16" s="5">
        <v>1</v>
      </c>
      <c r="L16" s="4">
        <v>0</v>
      </c>
      <c r="M16" s="4">
        <v>796</v>
      </c>
      <c r="N16" s="4">
        <v>375</v>
      </c>
      <c r="O16" s="6">
        <f t="shared" si="1"/>
        <v>0.52889447236180898</v>
      </c>
      <c r="P16" s="4" t="s">
        <v>107</v>
      </c>
      <c r="Q16" s="4" t="s">
        <v>107</v>
      </c>
      <c r="R16" s="4" t="s">
        <v>107</v>
      </c>
      <c r="S16" s="4">
        <v>0</v>
      </c>
      <c r="T16" s="4">
        <f t="shared" si="2"/>
        <v>0</v>
      </c>
      <c r="U16" s="4">
        <v>428</v>
      </c>
      <c r="V16" s="4">
        <f t="shared" si="3"/>
        <v>428</v>
      </c>
      <c r="W16" s="4"/>
      <c r="X16" s="21">
        <f t="shared" si="4"/>
        <v>909</v>
      </c>
      <c r="Y16" s="6">
        <f t="shared" si="5"/>
        <v>0.52915291529152908</v>
      </c>
      <c r="Z16" s="4">
        <v>19.5</v>
      </c>
      <c r="AA16" s="4">
        <f t="shared" si="6"/>
        <v>773</v>
      </c>
      <c r="AB16" s="4">
        <f t="shared" si="7"/>
        <v>882.25066666666669</v>
      </c>
      <c r="AC16" s="6">
        <f t="shared" si="8"/>
        <v>0.51487710219922378</v>
      </c>
      <c r="AD16" s="7">
        <v>900</v>
      </c>
      <c r="AE16" s="6">
        <f t="shared" si="9"/>
        <v>0.52444444444444449</v>
      </c>
      <c r="AF16" s="4">
        <f t="shared" si="10"/>
        <v>472</v>
      </c>
      <c r="AG16" s="28"/>
      <c r="AH16" s="6" t="e">
        <f t="shared" si="18"/>
        <v>#DIV/0!</v>
      </c>
      <c r="AI16" s="4">
        <f t="shared" si="19"/>
        <v>-428</v>
      </c>
      <c r="AJ16" s="6" t="e">
        <f t="shared" si="11"/>
        <v>#DIV/0!</v>
      </c>
      <c r="AK16" s="6">
        <f t="shared" si="12"/>
        <v>1.1306532663316582</v>
      </c>
      <c r="AL16" s="6">
        <f t="shared" si="13"/>
        <v>1.1413333333333333</v>
      </c>
      <c r="AM16" s="4" t="str">
        <f t="shared" si="14"/>
        <v>-</v>
      </c>
      <c r="AN16" s="4" t="str">
        <f t="shared" si="15"/>
        <v>-</v>
      </c>
      <c r="AO16" s="4" t="str">
        <f t="shared" si="16"/>
        <v>-</v>
      </c>
      <c r="AP16" s="4" t="s">
        <v>75</v>
      </c>
      <c r="AQ16" s="4" t="s">
        <v>149</v>
      </c>
      <c r="AR16" s="4"/>
      <c r="AS16" s="4"/>
      <c r="AT16" s="4" t="s">
        <v>150</v>
      </c>
      <c r="AU16" s="4">
        <v>773</v>
      </c>
      <c r="AV16" s="4">
        <v>773</v>
      </c>
      <c r="AW16" s="4">
        <f t="shared" si="17"/>
        <v>773</v>
      </c>
      <c r="AX16" s="19">
        <v>4</v>
      </c>
      <c r="AY16" s="19">
        <v>1</v>
      </c>
      <c r="AZ16" s="16">
        <v>18</v>
      </c>
      <c r="BA16" t="s">
        <v>108</v>
      </c>
      <c r="BB16" t="s">
        <v>107</v>
      </c>
      <c r="BC16" s="4" t="s">
        <v>121</v>
      </c>
    </row>
    <row r="17" spans="1:55" x14ac:dyDescent="0.4">
      <c r="A17" s="3">
        <v>14</v>
      </c>
      <c r="B17" s="3">
        <v>14</v>
      </c>
      <c r="C17" s="4">
        <v>469466</v>
      </c>
      <c r="D17" s="4" t="str">
        <f t="shared" si="0"/>
        <v>469466</v>
      </c>
      <c r="E17" s="4">
        <v>469466</v>
      </c>
      <c r="F17" s="4" t="s">
        <v>88</v>
      </c>
      <c r="G17" s="5">
        <v>4997495001505</v>
      </c>
      <c r="H17" s="5"/>
      <c r="I17" s="5"/>
      <c r="J17" s="5">
        <v>1</v>
      </c>
      <c r="K17" s="5">
        <v>1</v>
      </c>
      <c r="L17" s="4">
        <v>0</v>
      </c>
      <c r="M17" s="4">
        <v>935</v>
      </c>
      <c r="N17" s="4">
        <v>555</v>
      </c>
      <c r="O17" s="6">
        <f t="shared" si="1"/>
        <v>0.4064171122994652</v>
      </c>
      <c r="P17" s="4" t="s">
        <v>107</v>
      </c>
      <c r="Q17" s="4" t="s">
        <v>107</v>
      </c>
      <c r="R17" s="4" t="s">
        <v>107</v>
      </c>
      <c r="S17" s="4">
        <v>0</v>
      </c>
      <c r="T17" s="4">
        <f t="shared" si="2"/>
        <v>0</v>
      </c>
      <c r="U17" s="4">
        <v>627</v>
      </c>
      <c r="V17" s="4">
        <f t="shared" si="3"/>
        <v>627</v>
      </c>
      <c r="W17" s="4"/>
      <c r="X17" s="21">
        <f t="shared" si="4"/>
        <v>1056</v>
      </c>
      <c r="Y17" s="6">
        <f t="shared" si="5"/>
        <v>0.40625</v>
      </c>
      <c r="Z17" s="4">
        <v>40.5</v>
      </c>
      <c r="AA17" s="4">
        <f t="shared" si="6"/>
        <v>1056</v>
      </c>
      <c r="AB17" s="4">
        <f t="shared" si="7"/>
        <v>1192.9945945945947</v>
      </c>
      <c r="AC17" s="6">
        <f t="shared" si="8"/>
        <v>0.47443181818181823</v>
      </c>
      <c r="AD17" s="7">
        <v>1100</v>
      </c>
      <c r="AE17" s="6">
        <f t="shared" si="9"/>
        <v>0.43000000000000005</v>
      </c>
      <c r="AF17" s="4">
        <f t="shared" si="10"/>
        <v>473</v>
      </c>
      <c r="AG17" s="28"/>
      <c r="AH17" s="6" t="e">
        <f t="shared" si="18"/>
        <v>#DIV/0!</v>
      </c>
      <c r="AI17" s="4">
        <f t="shared" si="19"/>
        <v>-627</v>
      </c>
      <c r="AJ17" s="6" t="e">
        <f t="shared" si="11"/>
        <v>#DIV/0!</v>
      </c>
      <c r="AK17" s="6">
        <f t="shared" si="12"/>
        <v>1.1764705882352942</v>
      </c>
      <c r="AL17" s="6">
        <f t="shared" si="13"/>
        <v>1.1297297297297297</v>
      </c>
      <c r="AM17" s="4" t="str">
        <f t="shared" si="14"/>
        <v>-</v>
      </c>
      <c r="AN17" s="4" t="str">
        <f t="shared" si="15"/>
        <v>-</v>
      </c>
      <c r="AO17" s="4" t="str">
        <f t="shared" si="16"/>
        <v>-</v>
      </c>
      <c r="AP17" s="4" t="s">
        <v>75</v>
      </c>
      <c r="AQ17" s="4" t="s">
        <v>151</v>
      </c>
      <c r="AR17" s="4"/>
      <c r="AS17" s="4"/>
      <c r="AT17" s="4" t="s">
        <v>150</v>
      </c>
      <c r="AU17" s="4">
        <v>1056</v>
      </c>
      <c r="AV17" s="4">
        <v>1056</v>
      </c>
      <c r="AW17" s="4">
        <f t="shared" si="17"/>
        <v>1056</v>
      </c>
      <c r="AX17" s="19">
        <v>4</v>
      </c>
      <c r="AY17" s="19">
        <v>1</v>
      </c>
      <c r="AZ17" s="16">
        <v>18</v>
      </c>
      <c r="BA17" t="s">
        <v>108</v>
      </c>
      <c r="BB17" t="s">
        <v>107</v>
      </c>
      <c r="BC17" s="4" t="s">
        <v>122</v>
      </c>
    </row>
    <row r="18" spans="1:55" x14ac:dyDescent="0.4">
      <c r="A18" s="3">
        <v>15</v>
      </c>
      <c r="B18" s="3">
        <v>15</v>
      </c>
      <c r="C18" s="33" t="s">
        <v>57</v>
      </c>
      <c r="D18" s="4" t="str">
        <f t="shared" si="0"/>
        <v>J2568W</v>
      </c>
      <c r="E18" s="4" t="s">
        <v>57</v>
      </c>
      <c r="F18" s="4" t="s">
        <v>89</v>
      </c>
      <c r="G18" s="5">
        <v>4589837984166</v>
      </c>
      <c r="H18" s="5"/>
      <c r="I18" s="5"/>
      <c r="J18" s="5">
        <v>2</v>
      </c>
      <c r="K18" s="5">
        <v>2</v>
      </c>
      <c r="L18" s="4">
        <v>0</v>
      </c>
      <c r="M18" s="4">
        <v>180</v>
      </c>
      <c r="N18" s="4">
        <v>95</v>
      </c>
      <c r="O18" s="6">
        <f t="shared" si="1"/>
        <v>0.47222222222222221</v>
      </c>
      <c r="P18" s="4" t="s">
        <v>107</v>
      </c>
      <c r="Q18" s="4" t="s">
        <v>107</v>
      </c>
      <c r="R18" s="4" t="s">
        <v>107</v>
      </c>
      <c r="S18" s="4">
        <v>0</v>
      </c>
      <c r="T18" s="4">
        <f t="shared" si="2"/>
        <v>0</v>
      </c>
      <c r="U18" s="4">
        <v>4180</v>
      </c>
      <c r="V18" s="4">
        <f t="shared" si="3"/>
        <v>104.5</v>
      </c>
      <c r="W18" s="4">
        <v>2.5000000000000001E-2</v>
      </c>
      <c r="X18" s="21">
        <f t="shared" si="4"/>
        <v>198</v>
      </c>
      <c r="Y18" s="6">
        <f t="shared" si="5"/>
        <v>0.47222222222222221</v>
      </c>
      <c r="Z18" s="4">
        <v>4</v>
      </c>
      <c r="AA18" s="4" t="str">
        <f t="shared" si="6"/>
        <v>-</v>
      </c>
      <c r="AB18" s="4" t="e">
        <f t="shared" si="7"/>
        <v>#VALUE!</v>
      </c>
      <c r="AC18" s="6" t="e">
        <f t="shared" si="8"/>
        <v>#VALUE!</v>
      </c>
      <c r="AD18" s="7">
        <v>198</v>
      </c>
      <c r="AE18" s="6">
        <f t="shared" si="9"/>
        <v>0.47222222222222221</v>
      </c>
      <c r="AF18" s="4">
        <f t="shared" si="10"/>
        <v>93.5</v>
      </c>
      <c r="AG18" s="28"/>
      <c r="AH18" s="6" t="e">
        <f t="shared" si="18"/>
        <v>#DIV/0!</v>
      </c>
      <c r="AI18" s="4">
        <f t="shared" si="19"/>
        <v>-104.5</v>
      </c>
      <c r="AJ18" s="6" t="e">
        <f t="shared" si="11"/>
        <v>#DIV/0!</v>
      </c>
      <c r="AK18" s="6">
        <f t="shared" si="12"/>
        <v>1.1000000000000001</v>
      </c>
      <c r="AL18" s="6">
        <f t="shared" si="13"/>
        <v>1.1000000000000001</v>
      </c>
      <c r="AM18" s="4" t="str">
        <f t="shared" si="14"/>
        <v>-</v>
      </c>
      <c r="AN18" s="4" t="str">
        <f t="shared" si="15"/>
        <v>-</v>
      </c>
      <c r="AO18" s="4" t="str">
        <f t="shared" si="16"/>
        <v>-</v>
      </c>
      <c r="AP18" s="4">
        <v>0</v>
      </c>
      <c r="AQ18" s="4" t="s">
        <v>107</v>
      </c>
      <c r="AR18" s="4"/>
      <c r="AS18" s="4"/>
      <c r="AT18" s="4" t="s">
        <v>107</v>
      </c>
      <c r="AU18" s="4" t="s">
        <v>107</v>
      </c>
      <c r="AV18" s="4" t="s">
        <v>107</v>
      </c>
      <c r="AW18" s="4" t="str">
        <f t="shared" si="17"/>
        <v>-</v>
      </c>
      <c r="AX18" s="19">
        <v>4</v>
      </c>
      <c r="AY18" s="19">
        <v>1</v>
      </c>
      <c r="AZ18" s="16">
        <v>18</v>
      </c>
      <c r="BA18" t="s">
        <v>108</v>
      </c>
      <c r="BB18" t="s">
        <v>107</v>
      </c>
      <c r="BC18" s="4" t="s">
        <v>107</v>
      </c>
    </row>
    <row r="19" spans="1:55" x14ac:dyDescent="0.4">
      <c r="A19" s="3">
        <v>32</v>
      </c>
      <c r="B19" s="3">
        <v>15</v>
      </c>
      <c r="C19" s="33" t="s">
        <v>57</v>
      </c>
      <c r="D19" s="4" t="str">
        <f t="shared" si="0"/>
        <v>J2568W</v>
      </c>
      <c r="E19" s="4" t="s">
        <v>105</v>
      </c>
      <c r="F19" s="4" t="s">
        <v>106</v>
      </c>
      <c r="G19" s="5">
        <v>4589837984166</v>
      </c>
      <c r="H19" s="5"/>
      <c r="I19" s="5"/>
      <c r="J19" s="5"/>
      <c r="K19" s="5"/>
      <c r="L19" s="4">
        <v>0</v>
      </c>
      <c r="M19" s="4">
        <v>5470</v>
      </c>
      <c r="N19" s="4">
        <v>3800</v>
      </c>
      <c r="O19" s="6">
        <f t="shared" si="1"/>
        <v>0.30530164533820836</v>
      </c>
      <c r="P19" s="4" t="s">
        <v>107</v>
      </c>
      <c r="Q19" s="4" t="s">
        <v>107</v>
      </c>
      <c r="R19" s="4" t="s">
        <v>107</v>
      </c>
      <c r="S19" s="4">
        <v>0</v>
      </c>
      <c r="T19" s="4">
        <f t="shared" si="2"/>
        <v>0</v>
      </c>
      <c r="U19" s="4">
        <v>4180</v>
      </c>
      <c r="V19" s="4">
        <f t="shared" si="3"/>
        <v>4180</v>
      </c>
      <c r="W19" s="4"/>
      <c r="X19" s="21">
        <f t="shared" si="4"/>
        <v>6017</v>
      </c>
      <c r="Y19" s="6">
        <f t="shared" si="5"/>
        <v>0.30530164533820836</v>
      </c>
      <c r="Z19" s="4">
        <v>4</v>
      </c>
      <c r="AA19" s="4" t="str">
        <f t="shared" si="6"/>
        <v>-</v>
      </c>
      <c r="AB19" s="4" t="e">
        <f t="shared" si="7"/>
        <v>#VALUE!</v>
      </c>
      <c r="AC19" s="6" t="e">
        <f t="shared" si="8"/>
        <v>#VALUE!</v>
      </c>
      <c r="AD19" s="7">
        <v>7500</v>
      </c>
      <c r="AE19" s="6">
        <f t="shared" si="9"/>
        <v>0.44266666666666665</v>
      </c>
      <c r="AF19" s="4">
        <f t="shared" si="10"/>
        <v>3320</v>
      </c>
      <c r="AG19" s="28"/>
      <c r="AH19" s="6" t="e">
        <f t="shared" si="18"/>
        <v>#DIV/0!</v>
      </c>
      <c r="AI19" s="4">
        <f t="shared" si="19"/>
        <v>-4180</v>
      </c>
      <c r="AJ19" s="6" t="e">
        <f t="shared" si="11"/>
        <v>#DIV/0!</v>
      </c>
      <c r="AK19" s="6">
        <f t="shared" si="12"/>
        <v>1.3711151736745886</v>
      </c>
      <c r="AL19" s="6">
        <f t="shared" si="13"/>
        <v>1.1000000000000001</v>
      </c>
      <c r="AM19" s="4" t="str">
        <f t="shared" si="14"/>
        <v>-</v>
      </c>
      <c r="AN19" s="4" t="str">
        <f t="shared" si="15"/>
        <v>-</v>
      </c>
      <c r="AO19" s="4" t="str">
        <f t="shared" si="16"/>
        <v>-</v>
      </c>
      <c r="AP19" s="4">
        <v>0</v>
      </c>
      <c r="AQ19" s="4" t="s">
        <v>107</v>
      </c>
      <c r="AR19" s="4"/>
      <c r="AS19" s="4"/>
      <c r="AT19" s="4" t="s">
        <v>107</v>
      </c>
      <c r="AU19" s="4" t="s">
        <v>107</v>
      </c>
      <c r="AV19" s="4" t="s">
        <v>107</v>
      </c>
      <c r="AW19" s="4" t="str">
        <f t="shared" si="17"/>
        <v>-</v>
      </c>
      <c r="AX19" s="19">
        <v>4</v>
      </c>
      <c r="AY19" s="19">
        <v>1</v>
      </c>
      <c r="AZ19" s="16">
        <v>18</v>
      </c>
      <c r="BA19" t="s">
        <v>108</v>
      </c>
      <c r="BB19" t="s">
        <v>107</v>
      </c>
      <c r="BC19" s="4" t="s">
        <v>107</v>
      </c>
    </row>
    <row r="20" spans="1:55" x14ac:dyDescent="0.4">
      <c r="A20" s="3">
        <v>16</v>
      </c>
      <c r="B20" s="3">
        <v>16</v>
      </c>
      <c r="C20" s="33" t="s">
        <v>58</v>
      </c>
      <c r="D20" s="4" t="str">
        <f t="shared" si="0"/>
        <v>J2570W</v>
      </c>
      <c r="E20" s="4" t="s">
        <v>58</v>
      </c>
      <c r="F20" s="4" t="s">
        <v>90</v>
      </c>
      <c r="G20" s="5">
        <v>4589837984173</v>
      </c>
      <c r="H20" s="5"/>
      <c r="I20" s="5"/>
      <c r="J20" s="5">
        <v>2</v>
      </c>
      <c r="K20" s="5">
        <v>1</v>
      </c>
      <c r="L20" s="4">
        <v>0</v>
      </c>
      <c r="M20" s="4">
        <v>250</v>
      </c>
      <c r="N20" s="4">
        <v>135</v>
      </c>
      <c r="O20" s="6">
        <f t="shared" si="1"/>
        <v>0.45999999999999996</v>
      </c>
      <c r="P20" s="4" t="s">
        <v>107</v>
      </c>
      <c r="Q20" s="4" t="s">
        <v>107</v>
      </c>
      <c r="R20" s="4" t="s">
        <v>107</v>
      </c>
      <c r="S20" s="4">
        <v>0</v>
      </c>
      <c r="T20" s="4">
        <f t="shared" si="2"/>
        <v>0</v>
      </c>
      <c r="U20" s="4">
        <v>4455</v>
      </c>
      <c r="V20" s="4">
        <f t="shared" si="3"/>
        <v>148.49985150000001</v>
      </c>
      <c r="W20" s="4">
        <v>3.3333300000000003E-2</v>
      </c>
      <c r="X20" s="21">
        <f t="shared" si="4"/>
        <v>275</v>
      </c>
      <c r="Y20" s="6">
        <f t="shared" si="5"/>
        <v>0.46000054000000001</v>
      </c>
      <c r="Z20" s="4">
        <v>9.75</v>
      </c>
      <c r="AA20" s="4" t="str">
        <f t="shared" si="6"/>
        <v>-</v>
      </c>
      <c r="AB20" s="4" t="e">
        <f t="shared" si="7"/>
        <v>#VALUE!</v>
      </c>
      <c r="AC20" s="6" t="e">
        <f t="shared" si="8"/>
        <v>#VALUE!</v>
      </c>
      <c r="AD20" s="7">
        <v>275</v>
      </c>
      <c r="AE20" s="6">
        <f t="shared" si="9"/>
        <v>0.46000054000000001</v>
      </c>
      <c r="AF20" s="4">
        <f t="shared" si="10"/>
        <v>126.50014849999999</v>
      </c>
      <c r="AG20" s="28"/>
      <c r="AH20" s="6" t="e">
        <f t="shared" si="18"/>
        <v>#DIV/0!</v>
      </c>
      <c r="AI20" s="4">
        <f t="shared" si="19"/>
        <v>-148.49985150000001</v>
      </c>
      <c r="AJ20" s="6" t="e">
        <f t="shared" si="11"/>
        <v>#DIV/0!</v>
      </c>
      <c r="AK20" s="6">
        <f t="shared" si="12"/>
        <v>1.1000000000000001</v>
      </c>
      <c r="AL20" s="6">
        <f t="shared" si="13"/>
        <v>1.0999989000000001</v>
      </c>
      <c r="AM20" s="4" t="str">
        <f t="shared" si="14"/>
        <v>-</v>
      </c>
      <c r="AN20" s="4" t="str">
        <f t="shared" si="15"/>
        <v>-</v>
      </c>
      <c r="AO20" s="4" t="str">
        <f t="shared" si="16"/>
        <v>-</v>
      </c>
      <c r="AP20" s="4">
        <v>0</v>
      </c>
      <c r="AQ20" s="4" t="s">
        <v>107</v>
      </c>
      <c r="AR20" s="4"/>
      <c r="AS20" s="4"/>
      <c r="AT20" s="4" t="s">
        <v>107</v>
      </c>
      <c r="AU20" s="4" t="s">
        <v>107</v>
      </c>
      <c r="AV20" s="4" t="s">
        <v>107</v>
      </c>
      <c r="AW20" s="4" t="str">
        <f t="shared" si="17"/>
        <v>-</v>
      </c>
      <c r="AX20" s="19">
        <v>4</v>
      </c>
      <c r="AY20" s="19">
        <v>1</v>
      </c>
      <c r="AZ20" s="16">
        <v>18</v>
      </c>
      <c r="BA20" t="s">
        <v>108</v>
      </c>
      <c r="BB20" t="s">
        <v>107</v>
      </c>
      <c r="BC20" s="4" t="s">
        <v>107</v>
      </c>
    </row>
    <row r="21" spans="1:55" x14ac:dyDescent="0.4">
      <c r="A21" s="36">
        <v>17</v>
      </c>
      <c r="B21" s="3">
        <v>17</v>
      </c>
      <c r="C21" s="33" t="s">
        <v>59</v>
      </c>
      <c r="D21" s="4" t="str">
        <f t="shared" si="0"/>
        <v>J2571W</v>
      </c>
      <c r="E21" s="4" t="s">
        <v>59</v>
      </c>
      <c r="F21" s="4" t="s">
        <v>91</v>
      </c>
      <c r="G21" s="5">
        <v>4589837984173</v>
      </c>
      <c r="H21" s="5"/>
      <c r="I21" s="5"/>
      <c r="J21" s="5">
        <v>2</v>
      </c>
      <c r="K21" s="5">
        <v>1</v>
      </c>
      <c r="L21" s="4">
        <v>0</v>
      </c>
      <c r="M21" s="4">
        <v>6745</v>
      </c>
      <c r="N21" s="4">
        <v>4050</v>
      </c>
      <c r="O21" s="6">
        <f t="shared" si="1"/>
        <v>0.39955522609340255</v>
      </c>
      <c r="P21" s="4" t="s">
        <v>107</v>
      </c>
      <c r="Q21" s="4" t="s">
        <v>107</v>
      </c>
      <c r="R21" s="4" t="s">
        <v>107</v>
      </c>
      <c r="S21" s="4">
        <v>0</v>
      </c>
      <c r="T21" s="4">
        <f t="shared" si="2"/>
        <v>0</v>
      </c>
      <c r="U21" s="4">
        <v>4455</v>
      </c>
      <c r="V21" s="4">
        <f t="shared" si="3"/>
        <v>4455</v>
      </c>
      <c r="W21" s="4"/>
      <c r="X21" s="21">
        <f t="shared" si="4"/>
        <v>7420</v>
      </c>
      <c r="Y21" s="6">
        <f t="shared" si="5"/>
        <v>0.39959568733153639</v>
      </c>
      <c r="Z21" s="4">
        <v>0.25</v>
      </c>
      <c r="AA21" s="4" t="str">
        <f t="shared" si="6"/>
        <v>-</v>
      </c>
      <c r="AB21" s="4" t="e">
        <f t="shared" si="7"/>
        <v>#VALUE!</v>
      </c>
      <c r="AC21" s="6" t="e">
        <f t="shared" si="8"/>
        <v>#VALUE!</v>
      </c>
      <c r="AD21" s="7">
        <v>7800</v>
      </c>
      <c r="AE21" s="6">
        <f t="shared" si="9"/>
        <v>0.42884615384615388</v>
      </c>
      <c r="AF21" s="4">
        <f t="shared" si="10"/>
        <v>3345</v>
      </c>
      <c r="AG21" s="28"/>
      <c r="AH21" s="6" t="e">
        <f t="shared" si="18"/>
        <v>#DIV/0!</v>
      </c>
      <c r="AI21" s="4">
        <f t="shared" si="19"/>
        <v>-4455</v>
      </c>
      <c r="AJ21" s="6" t="e">
        <f t="shared" si="11"/>
        <v>#DIV/0!</v>
      </c>
      <c r="AK21" s="6">
        <f t="shared" si="12"/>
        <v>1.1564121571534469</v>
      </c>
      <c r="AL21" s="6">
        <f t="shared" si="13"/>
        <v>1.1000000000000001</v>
      </c>
      <c r="AM21" s="4" t="str">
        <f t="shared" si="14"/>
        <v>-</v>
      </c>
      <c r="AN21" s="4" t="str">
        <f t="shared" si="15"/>
        <v>-</v>
      </c>
      <c r="AO21" s="4" t="str">
        <f t="shared" si="16"/>
        <v>-</v>
      </c>
      <c r="AP21" s="4">
        <v>0</v>
      </c>
      <c r="AQ21" s="4" t="s">
        <v>107</v>
      </c>
      <c r="AR21" s="4"/>
      <c r="AS21" s="4"/>
      <c r="AT21" s="4" t="s">
        <v>107</v>
      </c>
      <c r="AU21" s="4" t="s">
        <v>107</v>
      </c>
      <c r="AV21" s="4" t="s">
        <v>107</v>
      </c>
      <c r="AW21" s="4" t="str">
        <f t="shared" si="17"/>
        <v>-</v>
      </c>
      <c r="AX21" s="19">
        <v>2</v>
      </c>
      <c r="AY21" s="19">
        <v>8</v>
      </c>
      <c r="AZ21" s="16">
        <v>18</v>
      </c>
      <c r="BA21" t="s">
        <v>108</v>
      </c>
      <c r="BB21" t="s">
        <v>107</v>
      </c>
      <c r="BC21" s="4" t="s">
        <v>107</v>
      </c>
    </row>
    <row r="22" spans="1:55" x14ac:dyDescent="0.4">
      <c r="A22" s="3">
        <v>18</v>
      </c>
      <c r="B22" s="3">
        <v>18</v>
      </c>
      <c r="C22" s="33" t="s">
        <v>60</v>
      </c>
      <c r="D22" s="4" t="str">
        <f t="shared" si="0"/>
        <v>J2572W</v>
      </c>
      <c r="E22" s="4" t="s">
        <v>60</v>
      </c>
      <c r="F22" s="4" t="s">
        <v>92</v>
      </c>
      <c r="G22" s="5">
        <v>4589837984180</v>
      </c>
      <c r="H22" s="5"/>
      <c r="I22" s="5"/>
      <c r="J22" s="5">
        <v>2</v>
      </c>
      <c r="K22" s="5">
        <v>1</v>
      </c>
      <c r="L22" s="4">
        <v>0</v>
      </c>
      <c r="M22" s="4">
        <v>343</v>
      </c>
      <c r="N22" s="4">
        <v>185</v>
      </c>
      <c r="O22" s="6">
        <f t="shared" si="1"/>
        <v>0.46064139941690962</v>
      </c>
      <c r="P22" s="4" t="s">
        <v>107</v>
      </c>
      <c r="Q22" s="4" t="s">
        <v>107</v>
      </c>
      <c r="R22" s="4" t="s">
        <v>107</v>
      </c>
      <c r="S22" s="4">
        <v>0</v>
      </c>
      <c r="T22" s="4">
        <f t="shared" si="2"/>
        <v>0</v>
      </c>
      <c r="U22" s="4">
        <v>4070</v>
      </c>
      <c r="V22" s="4">
        <f t="shared" si="3"/>
        <v>203.5</v>
      </c>
      <c r="W22" s="4">
        <v>0.05</v>
      </c>
      <c r="X22" s="21">
        <f t="shared" si="4"/>
        <v>377</v>
      </c>
      <c r="Y22" s="6">
        <f t="shared" si="5"/>
        <v>0.46021220159151188</v>
      </c>
      <c r="Z22" s="4">
        <v>13.750000000000002</v>
      </c>
      <c r="AA22" s="4" t="str">
        <f t="shared" si="6"/>
        <v>-</v>
      </c>
      <c r="AB22" s="4" t="e">
        <f t="shared" si="7"/>
        <v>#VALUE!</v>
      </c>
      <c r="AC22" s="6" t="e">
        <f t="shared" si="8"/>
        <v>#VALUE!</v>
      </c>
      <c r="AD22" s="7">
        <v>378</v>
      </c>
      <c r="AE22" s="6">
        <f t="shared" si="9"/>
        <v>0.46164021164021163</v>
      </c>
      <c r="AF22" s="4">
        <f t="shared" si="10"/>
        <v>174.5</v>
      </c>
      <c r="AG22" s="28"/>
      <c r="AH22" s="6" t="e">
        <f t="shared" si="18"/>
        <v>#DIV/0!</v>
      </c>
      <c r="AI22" s="4">
        <f t="shared" si="19"/>
        <v>-203.5</v>
      </c>
      <c r="AJ22" s="6" t="e">
        <f t="shared" si="11"/>
        <v>#DIV/0!</v>
      </c>
      <c r="AK22" s="6">
        <f t="shared" si="12"/>
        <v>1.1020408163265305</v>
      </c>
      <c r="AL22" s="6">
        <f t="shared" si="13"/>
        <v>1.1000000000000001</v>
      </c>
      <c r="AM22" s="4" t="str">
        <f t="shared" si="14"/>
        <v>-</v>
      </c>
      <c r="AN22" s="4" t="str">
        <f t="shared" si="15"/>
        <v>-</v>
      </c>
      <c r="AO22" s="4" t="str">
        <f t="shared" si="16"/>
        <v>-</v>
      </c>
      <c r="AP22" s="4">
        <v>0</v>
      </c>
      <c r="AQ22" s="4" t="s">
        <v>107</v>
      </c>
      <c r="AR22" s="4"/>
      <c r="AS22" s="4"/>
      <c r="AT22" s="4" t="s">
        <v>107</v>
      </c>
      <c r="AU22" s="4" t="s">
        <v>107</v>
      </c>
      <c r="AV22" s="4" t="s">
        <v>107</v>
      </c>
      <c r="AW22" s="4" t="str">
        <f t="shared" si="17"/>
        <v>-</v>
      </c>
      <c r="AX22" s="19">
        <v>4</v>
      </c>
      <c r="AY22" s="19">
        <v>1</v>
      </c>
      <c r="AZ22" s="16">
        <v>18</v>
      </c>
      <c r="BA22" t="s">
        <v>108</v>
      </c>
      <c r="BB22" t="s">
        <v>107</v>
      </c>
      <c r="BC22" s="4" t="s">
        <v>107</v>
      </c>
    </row>
    <row r="23" spans="1:55" x14ac:dyDescent="0.4">
      <c r="A23" s="36">
        <v>19</v>
      </c>
      <c r="B23" s="3">
        <v>19</v>
      </c>
      <c r="C23" s="33" t="s">
        <v>61</v>
      </c>
      <c r="D23" s="4" t="str">
        <f t="shared" si="0"/>
        <v>J2573W</v>
      </c>
      <c r="E23" s="4" t="s">
        <v>61</v>
      </c>
      <c r="F23" s="4" t="s">
        <v>93</v>
      </c>
      <c r="G23" s="5">
        <v>4589837984180</v>
      </c>
      <c r="H23" s="5"/>
      <c r="I23" s="5"/>
      <c r="J23" s="5">
        <v>2</v>
      </c>
      <c r="K23" s="5">
        <v>1</v>
      </c>
      <c r="L23" s="4">
        <v>0</v>
      </c>
      <c r="M23" s="4">
        <v>6270</v>
      </c>
      <c r="N23" s="4">
        <v>3700</v>
      </c>
      <c r="O23" s="6">
        <f t="shared" si="1"/>
        <v>0.4098883572567783</v>
      </c>
      <c r="P23" s="4" t="s">
        <v>107</v>
      </c>
      <c r="Q23" s="4" t="s">
        <v>107</v>
      </c>
      <c r="R23" s="4" t="s">
        <v>107</v>
      </c>
      <c r="S23" s="4">
        <v>0</v>
      </c>
      <c r="T23" s="4">
        <f t="shared" si="2"/>
        <v>0</v>
      </c>
      <c r="U23" s="4">
        <v>4070</v>
      </c>
      <c r="V23" s="4">
        <f t="shared" si="3"/>
        <v>4070</v>
      </c>
      <c r="W23" s="4"/>
      <c r="X23" s="21">
        <f t="shared" si="4"/>
        <v>6897</v>
      </c>
      <c r="Y23" s="6">
        <f t="shared" si="5"/>
        <v>0.4098883572567783</v>
      </c>
      <c r="Z23" s="4">
        <v>0</v>
      </c>
      <c r="AA23" s="4" t="str">
        <f t="shared" si="6"/>
        <v>-</v>
      </c>
      <c r="AB23" s="4" t="e">
        <f t="shared" si="7"/>
        <v>#VALUE!</v>
      </c>
      <c r="AC23" s="6" t="e">
        <f t="shared" si="8"/>
        <v>#VALUE!</v>
      </c>
      <c r="AD23" s="7">
        <v>7180</v>
      </c>
      <c r="AE23" s="6">
        <f t="shared" si="9"/>
        <v>0.43314763231197773</v>
      </c>
      <c r="AF23" s="4">
        <f t="shared" si="10"/>
        <v>3110</v>
      </c>
      <c r="AG23" s="28"/>
      <c r="AH23" s="6" t="e">
        <f t="shared" si="18"/>
        <v>#DIV/0!</v>
      </c>
      <c r="AI23" s="4">
        <f t="shared" si="19"/>
        <v>-4070</v>
      </c>
      <c r="AJ23" s="6" t="e">
        <f t="shared" si="11"/>
        <v>#DIV/0!</v>
      </c>
      <c r="AK23" s="6">
        <f t="shared" si="12"/>
        <v>1.1451355661881977</v>
      </c>
      <c r="AL23" s="6">
        <f t="shared" si="13"/>
        <v>1.1000000000000001</v>
      </c>
      <c r="AM23" s="4" t="str">
        <f t="shared" si="14"/>
        <v>-</v>
      </c>
      <c r="AN23" s="4" t="str">
        <f t="shared" si="15"/>
        <v>-</v>
      </c>
      <c r="AO23" s="4" t="str">
        <f t="shared" si="16"/>
        <v>-</v>
      </c>
      <c r="AP23" s="4">
        <v>0</v>
      </c>
      <c r="AQ23" s="4" t="s">
        <v>107</v>
      </c>
      <c r="AR23" s="4"/>
      <c r="AS23" s="4"/>
      <c r="AT23" s="4" t="s">
        <v>107</v>
      </c>
      <c r="AU23" s="4" t="s">
        <v>107</v>
      </c>
      <c r="AV23" s="4" t="s">
        <v>107</v>
      </c>
      <c r="AW23" s="4" t="str">
        <f t="shared" si="17"/>
        <v>-</v>
      </c>
      <c r="AX23" s="19">
        <v>2</v>
      </c>
      <c r="AY23" s="19">
        <v>8</v>
      </c>
      <c r="AZ23" s="16">
        <v>18</v>
      </c>
      <c r="BA23" t="s">
        <v>108</v>
      </c>
      <c r="BB23" t="s">
        <v>107</v>
      </c>
      <c r="BC23" s="4" t="s">
        <v>107</v>
      </c>
    </row>
    <row r="24" spans="1:55" x14ac:dyDescent="0.4">
      <c r="A24" s="36">
        <v>20</v>
      </c>
      <c r="B24" s="3">
        <v>20</v>
      </c>
      <c r="C24" s="4" t="s">
        <v>62</v>
      </c>
      <c r="D24" s="4" t="str">
        <f t="shared" si="0"/>
        <v>J52851</v>
      </c>
      <c r="E24" s="4" t="s">
        <v>62</v>
      </c>
      <c r="F24" s="4" t="s">
        <v>94</v>
      </c>
      <c r="G24" s="5">
        <v>4997090000576</v>
      </c>
      <c r="H24" s="5"/>
      <c r="I24" s="5"/>
      <c r="J24" s="5">
        <v>1</v>
      </c>
      <c r="K24" s="5">
        <v>1</v>
      </c>
      <c r="L24" s="4">
        <v>0</v>
      </c>
      <c r="M24" s="4">
        <v>6321</v>
      </c>
      <c r="N24" s="4">
        <v>5290</v>
      </c>
      <c r="O24" s="6">
        <f t="shared" si="1"/>
        <v>0.16310710330643885</v>
      </c>
      <c r="P24" s="4" t="s">
        <v>107</v>
      </c>
      <c r="Q24" s="4" t="s">
        <v>107</v>
      </c>
      <c r="R24" s="4" t="s">
        <v>107</v>
      </c>
      <c r="S24" s="4">
        <v>0</v>
      </c>
      <c r="T24" s="4">
        <f t="shared" si="2"/>
        <v>0</v>
      </c>
      <c r="U24" s="4">
        <v>1079</v>
      </c>
      <c r="V24" s="4">
        <f t="shared" si="3"/>
        <v>5395</v>
      </c>
      <c r="W24" s="4">
        <v>5</v>
      </c>
      <c r="X24" s="21">
        <f t="shared" si="4"/>
        <v>6446</v>
      </c>
      <c r="Y24" s="6">
        <f t="shared" si="5"/>
        <v>0.16304685076016134</v>
      </c>
      <c r="Z24" s="4">
        <v>0</v>
      </c>
      <c r="AA24" s="4">
        <f t="shared" si="6"/>
        <v>10000</v>
      </c>
      <c r="AB24" s="4">
        <f t="shared" si="7"/>
        <v>10198.487712665406</v>
      </c>
      <c r="AC24" s="6">
        <f t="shared" si="8"/>
        <v>0.47099999999999997</v>
      </c>
      <c r="AD24" s="7">
        <v>6980</v>
      </c>
      <c r="AE24" s="6">
        <f t="shared" si="9"/>
        <v>0.22707736389684818</v>
      </c>
      <c r="AF24" s="4">
        <f t="shared" si="10"/>
        <v>1585</v>
      </c>
      <c r="AG24" s="28"/>
      <c r="AH24" s="6" t="e">
        <f t="shared" si="18"/>
        <v>#DIV/0!</v>
      </c>
      <c r="AI24" s="4">
        <f t="shared" si="19"/>
        <v>-5395</v>
      </c>
      <c r="AJ24" s="6" t="e">
        <f t="shared" si="11"/>
        <v>#DIV/0!</v>
      </c>
      <c r="AK24" s="6">
        <f t="shared" si="12"/>
        <v>1.1042556557506724</v>
      </c>
      <c r="AL24" s="6">
        <f t="shared" si="13"/>
        <v>1.0198487712665407</v>
      </c>
      <c r="AM24" s="4" t="str">
        <f t="shared" si="14"/>
        <v>-</v>
      </c>
      <c r="AN24" s="4" t="str">
        <f t="shared" si="15"/>
        <v>-</v>
      </c>
      <c r="AO24" s="4" t="str">
        <f t="shared" si="16"/>
        <v>-</v>
      </c>
      <c r="AP24" s="4">
        <v>0</v>
      </c>
      <c r="AQ24" s="4" t="s">
        <v>152</v>
      </c>
      <c r="AR24" s="4"/>
      <c r="AS24" s="4"/>
      <c r="AT24" s="4" t="s">
        <v>139</v>
      </c>
      <c r="AU24" s="4">
        <v>10000</v>
      </c>
      <c r="AV24" s="4">
        <v>10000</v>
      </c>
      <c r="AW24" s="4">
        <f t="shared" si="17"/>
        <v>10000</v>
      </c>
      <c r="AX24" s="19">
        <v>2</v>
      </c>
      <c r="AY24" s="19">
        <v>8</v>
      </c>
      <c r="AZ24" s="16">
        <v>18</v>
      </c>
      <c r="BA24" t="s">
        <v>108</v>
      </c>
      <c r="BB24" t="s">
        <v>107</v>
      </c>
      <c r="BC24" s="4" t="s">
        <v>123</v>
      </c>
    </row>
    <row r="25" spans="1:55" x14ac:dyDescent="0.4">
      <c r="A25" s="36">
        <v>21</v>
      </c>
      <c r="B25" s="3">
        <v>21</v>
      </c>
      <c r="C25" s="4" t="s">
        <v>63</v>
      </c>
      <c r="D25" s="4" t="str">
        <f t="shared" si="0"/>
        <v>J52852</v>
      </c>
      <c r="E25" s="4" t="s">
        <v>63</v>
      </c>
      <c r="F25" s="4" t="s">
        <v>95</v>
      </c>
      <c r="G25" s="5">
        <v>4997090000583</v>
      </c>
      <c r="H25" s="5"/>
      <c r="I25" s="5"/>
      <c r="J25" s="5">
        <v>1</v>
      </c>
      <c r="K25" s="5">
        <v>1</v>
      </c>
      <c r="L25" s="4">
        <v>0</v>
      </c>
      <c r="M25" s="4">
        <v>8786</v>
      </c>
      <c r="N25" s="4">
        <v>7455</v>
      </c>
      <c r="O25" s="6">
        <f t="shared" si="1"/>
        <v>0.1514910084224903</v>
      </c>
      <c r="P25" s="4" t="s">
        <v>107</v>
      </c>
      <c r="Q25" s="4" t="s">
        <v>107</v>
      </c>
      <c r="R25" s="4" t="s">
        <v>107</v>
      </c>
      <c r="S25" s="4">
        <v>0</v>
      </c>
      <c r="T25" s="4">
        <f t="shared" si="2"/>
        <v>0</v>
      </c>
      <c r="U25" s="4">
        <v>1516</v>
      </c>
      <c r="V25" s="4">
        <f t="shared" si="3"/>
        <v>7580</v>
      </c>
      <c r="W25" s="4">
        <v>5</v>
      </c>
      <c r="X25" s="21">
        <f t="shared" si="4"/>
        <v>8933</v>
      </c>
      <c r="Y25" s="6">
        <f t="shared" si="5"/>
        <v>0.15146087540579878</v>
      </c>
      <c r="Z25" s="4">
        <v>0</v>
      </c>
      <c r="AA25" s="4">
        <f t="shared" si="6"/>
        <v>14100</v>
      </c>
      <c r="AB25" s="4">
        <f t="shared" si="7"/>
        <v>14336.418511066397</v>
      </c>
      <c r="AC25" s="6">
        <f t="shared" si="8"/>
        <v>0.47127659574468084</v>
      </c>
      <c r="AD25" s="7">
        <v>9800</v>
      </c>
      <c r="AE25" s="6">
        <f t="shared" si="9"/>
        <v>0.22653061224489801</v>
      </c>
      <c r="AF25" s="4">
        <f t="shared" si="10"/>
        <v>2220</v>
      </c>
      <c r="AG25" s="28"/>
      <c r="AH25" s="6" t="e">
        <f t="shared" si="18"/>
        <v>#DIV/0!</v>
      </c>
      <c r="AI25" s="4">
        <f t="shared" si="19"/>
        <v>-7580</v>
      </c>
      <c r="AJ25" s="6" t="e">
        <f t="shared" si="11"/>
        <v>#DIV/0!</v>
      </c>
      <c r="AK25" s="6">
        <f t="shared" si="12"/>
        <v>1.1154108809469612</v>
      </c>
      <c r="AL25" s="6">
        <f t="shared" si="13"/>
        <v>1.016767270288397</v>
      </c>
      <c r="AM25" s="4" t="str">
        <f t="shared" si="14"/>
        <v>-</v>
      </c>
      <c r="AN25" s="4" t="str">
        <f t="shared" si="15"/>
        <v>-</v>
      </c>
      <c r="AO25" s="4" t="str">
        <f t="shared" si="16"/>
        <v>-</v>
      </c>
      <c r="AP25" s="4">
        <v>0</v>
      </c>
      <c r="AQ25" s="4" t="s">
        <v>153</v>
      </c>
      <c r="AR25" s="4"/>
      <c r="AS25" s="4"/>
      <c r="AT25" s="4" t="s">
        <v>139</v>
      </c>
      <c r="AU25" s="4">
        <v>14100</v>
      </c>
      <c r="AV25" s="4">
        <v>14100</v>
      </c>
      <c r="AW25" s="4">
        <f t="shared" si="17"/>
        <v>14100</v>
      </c>
      <c r="AX25" s="19">
        <v>2</v>
      </c>
      <c r="AY25" s="19">
        <v>8</v>
      </c>
      <c r="AZ25" s="16">
        <v>18</v>
      </c>
      <c r="BA25" t="s">
        <v>108</v>
      </c>
      <c r="BB25" t="s">
        <v>107</v>
      </c>
      <c r="BC25" s="4" t="s">
        <v>124</v>
      </c>
    </row>
    <row r="26" spans="1:55" x14ac:dyDescent="0.4">
      <c r="A26" s="3">
        <v>22</v>
      </c>
      <c r="B26" s="3">
        <v>22</v>
      </c>
      <c r="C26" s="4" t="s">
        <v>64</v>
      </c>
      <c r="D26" s="4" t="str">
        <f t="shared" si="0"/>
        <v>J52915</v>
      </c>
      <c r="E26" s="4" t="s">
        <v>64</v>
      </c>
      <c r="F26" s="4" t="s">
        <v>96</v>
      </c>
      <c r="G26" s="5">
        <v>4997495000935</v>
      </c>
      <c r="H26" s="5"/>
      <c r="I26" s="5"/>
      <c r="J26" s="5">
        <v>1</v>
      </c>
      <c r="K26" s="5">
        <v>1</v>
      </c>
      <c r="L26" s="4">
        <v>0</v>
      </c>
      <c r="M26" s="4">
        <v>14656</v>
      </c>
      <c r="N26" s="4">
        <v>12750</v>
      </c>
      <c r="O26" s="6">
        <f t="shared" si="1"/>
        <v>0.13004912663755464</v>
      </c>
      <c r="P26" s="4" t="s">
        <v>107</v>
      </c>
      <c r="Q26" s="4" t="s">
        <v>107</v>
      </c>
      <c r="R26" s="4" t="s">
        <v>107</v>
      </c>
      <c r="S26" s="4">
        <v>0</v>
      </c>
      <c r="T26" s="4">
        <f t="shared" si="2"/>
        <v>0</v>
      </c>
      <c r="U26" s="4">
        <v>52</v>
      </c>
      <c r="V26" s="4">
        <f t="shared" si="3"/>
        <v>13000</v>
      </c>
      <c r="W26" s="4">
        <v>250</v>
      </c>
      <c r="X26" s="21">
        <f t="shared" si="4"/>
        <v>14943</v>
      </c>
      <c r="Y26" s="6">
        <f t="shared" si="5"/>
        <v>0.13002743759619884</v>
      </c>
      <c r="Z26" s="4">
        <v>0</v>
      </c>
      <c r="AA26" s="4">
        <f t="shared" si="6"/>
        <v>16700</v>
      </c>
      <c r="AB26" s="4">
        <f t="shared" si="7"/>
        <v>17027.450980392157</v>
      </c>
      <c r="AC26" s="6">
        <f t="shared" si="8"/>
        <v>0.23652694610778446</v>
      </c>
      <c r="AD26" s="7">
        <v>16800</v>
      </c>
      <c r="AE26" s="6">
        <f t="shared" si="9"/>
        <v>0.22619047619047616</v>
      </c>
      <c r="AF26" s="4">
        <f t="shared" si="10"/>
        <v>3800</v>
      </c>
      <c r="AG26" s="28"/>
      <c r="AH26" s="6" t="e">
        <f t="shared" si="18"/>
        <v>#DIV/0!</v>
      </c>
      <c r="AI26" s="4">
        <f t="shared" si="19"/>
        <v>-13000</v>
      </c>
      <c r="AJ26" s="6" t="e">
        <f t="shared" si="11"/>
        <v>#DIV/0!</v>
      </c>
      <c r="AK26" s="6">
        <f t="shared" si="12"/>
        <v>1.1462882096069869</v>
      </c>
      <c r="AL26" s="6">
        <f t="shared" si="13"/>
        <v>1.0196078431372548</v>
      </c>
      <c r="AM26" s="4" t="str">
        <f t="shared" si="14"/>
        <v>-</v>
      </c>
      <c r="AN26" s="4" t="str">
        <f t="shared" si="15"/>
        <v>-</v>
      </c>
      <c r="AO26" s="4" t="str">
        <f t="shared" si="16"/>
        <v>-</v>
      </c>
      <c r="AP26" s="4">
        <v>0</v>
      </c>
      <c r="AQ26" s="4" t="s">
        <v>154</v>
      </c>
      <c r="AR26" s="4"/>
      <c r="AS26" s="4"/>
      <c r="AT26" s="4" t="s">
        <v>139</v>
      </c>
      <c r="AU26" s="4">
        <v>16700</v>
      </c>
      <c r="AV26" s="4">
        <v>16700</v>
      </c>
      <c r="AW26" s="4">
        <f t="shared" si="17"/>
        <v>16700</v>
      </c>
      <c r="AX26" s="19">
        <v>4</v>
      </c>
      <c r="AY26" s="19">
        <v>8</v>
      </c>
      <c r="AZ26" s="16">
        <v>18</v>
      </c>
      <c r="BA26" t="s">
        <v>108</v>
      </c>
      <c r="BB26" t="s">
        <v>107</v>
      </c>
      <c r="BC26" s="4" t="s">
        <v>125</v>
      </c>
    </row>
    <row r="27" spans="1:55" x14ac:dyDescent="0.4">
      <c r="A27" s="3">
        <v>23</v>
      </c>
      <c r="B27" s="3">
        <v>23</v>
      </c>
      <c r="C27" s="4" t="s">
        <v>65</v>
      </c>
      <c r="D27" s="4" t="str">
        <f t="shared" si="0"/>
        <v>J52916</v>
      </c>
      <c r="E27" s="4" t="s">
        <v>65</v>
      </c>
      <c r="F27" s="4" t="s">
        <v>97</v>
      </c>
      <c r="G27" s="5">
        <v>4997495000942</v>
      </c>
      <c r="H27" s="5"/>
      <c r="I27" s="5"/>
      <c r="J27" s="5">
        <v>1</v>
      </c>
      <c r="K27" s="5">
        <v>1</v>
      </c>
      <c r="L27" s="4">
        <v>0</v>
      </c>
      <c r="M27" s="4">
        <v>15081</v>
      </c>
      <c r="N27" s="4">
        <v>10810</v>
      </c>
      <c r="O27" s="6">
        <f t="shared" si="1"/>
        <v>0.28320403156289375</v>
      </c>
      <c r="P27" s="4" t="s">
        <v>107</v>
      </c>
      <c r="Q27" s="4" t="s">
        <v>107</v>
      </c>
      <c r="R27" s="4" t="s">
        <v>107</v>
      </c>
      <c r="S27" s="4">
        <v>0</v>
      </c>
      <c r="T27" s="4">
        <f t="shared" si="2"/>
        <v>0</v>
      </c>
      <c r="U27" s="4">
        <v>48</v>
      </c>
      <c r="V27" s="4">
        <f t="shared" si="3"/>
        <v>11040</v>
      </c>
      <c r="W27" s="4">
        <v>230</v>
      </c>
      <c r="X27" s="21">
        <f t="shared" si="4"/>
        <v>15402</v>
      </c>
      <c r="Y27" s="6">
        <f t="shared" si="5"/>
        <v>0.28320997273081416</v>
      </c>
      <c r="Z27" s="4">
        <v>0</v>
      </c>
      <c r="AA27" s="4">
        <f t="shared" si="6"/>
        <v>15000</v>
      </c>
      <c r="AB27" s="4">
        <f t="shared" si="7"/>
        <v>15319.148936170212</v>
      </c>
      <c r="AC27" s="6">
        <f t="shared" si="8"/>
        <v>0.27933333333333332</v>
      </c>
      <c r="AD27" s="7">
        <v>15300</v>
      </c>
      <c r="AE27" s="6">
        <f t="shared" si="9"/>
        <v>0.27843137254901962</v>
      </c>
      <c r="AF27" s="4">
        <f t="shared" si="10"/>
        <v>4260</v>
      </c>
      <c r="AG27" s="28"/>
      <c r="AH27" s="6" t="e">
        <f t="shared" si="18"/>
        <v>#DIV/0!</v>
      </c>
      <c r="AI27" s="4">
        <f t="shared" si="19"/>
        <v>-11040</v>
      </c>
      <c r="AJ27" s="6" t="e">
        <f t="shared" si="11"/>
        <v>#DIV/0!</v>
      </c>
      <c r="AK27" s="6">
        <f t="shared" si="12"/>
        <v>1.0145215834493735</v>
      </c>
      <c r="AL27" s="6">
        <f t="shared" si="13"/>
        <v>1.0212765957446808</v>
      </c>
      <c r="AM27" s="4" t="str">
        <f t="shared" si="14"/>
        <v>-</v>
      </c>
      <c r="AN27" s="4" t="str">
        <f t="shared" si="15"/>
        <v>-</v>
      </c>
      <c r="AO27" s="4" t="str">
        <f t="shared" si="16"/>
        <v>-</v>
      </c>
      <c r="AP27" s="4">
        <v>0</v>
      </c>
      <c r="AQ27" s="4" t="s">
        <v>155</v>
      </c>
      <c r="AR27" s="4"/>
      <c r="AS27" s="4"/>
      <c r="AT27" s="4" t="s">
        <v>139</v>
      </c>
      <c r="AU27" s="4">
        <v>15000</v>
      </c>
      <c r="AV27" s="4">
        <v>15000</v>
      </c>
      <c r="AW27" s="4">
        <f t="shared" si="17"/>
        <v>15000</v>
      </c>
      <c r="AX27" s="19">
        <v>4</v>
      </c>
      <c r="AY27" s="19">
        <v>8</v>
      </c>
      <c r="AZ27" s="16">
        <v>18</v>
      </c>
      <c r="BA27" t="s">
        <v>108</v>
      </c>
      <c r="BB27" t="s">
        <v>107</v>
      </c>
      <c r="BC27" s="4" t="s">
        <v>126</v>
      </c>
    </row>
    <row r="28" spans="1:55" x14ac:dyDescent="0.4">
      <c r="A28" s="3">
        <v>24</v>
      </c>
      <c r="B28" s="3">
        <v>24</v>
      </c>
      <c r="C28" s="4" t="s">
        <v>66</v>
      </c>
      <c r="D28" s="4" t="str">
        <f t="shared" si="0"/>
        <v>J52917</v>
      </c>
      <c r="E28" s="4" t="s">
        <v>66</v>
      </c>
      <c r="F28" s="4" t="s">
        <v>98</v>
      </c>
      <c r="G28" s="5">
        <v>4997495000959</v>
      </c>
      <c r="H28" s="5"/>
      <c r="I28" s="5"/>
      <c r="J28" s="5">
        <v>1</v>
      </c>
      <c r="K28" s="5">
        <v>1</v>
      </c>
      <c r="L28" s="4">
        <v>0</v>
      </c>
      <c r="M28" s="4">
        <v>11818</v>
      </c>
      <c r="N28" s="4">
        <v>10400</v>
      </c>
      <c r="O28" s="6">
        <f t="shared" si="1"/>
        <v>0.11998646133017432</v>
      </c>
      <c r="P28" s="4" t="s">
        <v>107</v>
      </c>
      <c r="Q28" s="4" t="s">
        <v>107</v>
      </c>
      <c r="R28" s="4" t="s">
        <v>107</v>
      </c>
      <c r="S28" s="4">
        <v>0</v>
      </c>
      <c r="T28" s="4">
        <f t="shared" si="2"/>
        <v>0</v>
      </c>
      <c r="U28" s="4">
        <v>53</v>
      </c>
      <c r="V28" s="4">
        <f t="shared" si="3"/>
        <v>10600</v>
      </c>
      <c r="W28" s="4">
        <v>200</v>
      </c>
      <c r="X28" s="21">
        <f t="shared" si="4"/>
        <v>12045</v>
      </c>
      <c r="Y28" s="6">
        <f t="shared" si="5"/>
        <v>0.11996679119966791</v>
      </c>
      <c r="Z28" s="4">
        <v>0</v>
      </c>
      <c r="AA28" s="4">
        <f t="shared" si="6"/>
        <v>13000</v>
      </c>
      <c r="AB28" s="4">
        <f t="shared" si="7"/>
        <v>13250</v>
      </c>
      <c r="AC28" s="6">
        <f t="shared" si="8"/>
        <v>0.19999999999999996</v>
      </c>
      <c r="AD28" s="7">
        <v>13250</v>
      </c>
      <c r="AE28" s="6">
        <f t="shared" si="9"/>
        <v>0.19999999999999996</v>
      </c>
      <c r="AF28" s="4">
        <f t="shared" si="10"/>
        <v>2650</v>
      </c>
      <c r="AG28" s="28"/>
      <c r="AH28" s="6" t="e">
        <f t="shared" si="18"/>
        <v>#DIV/0!</v>
      </c>
      <c r="AI28" s="4">
        <f t="shared" si="19"/>
        <v>-10600</v>
      </c>
      <c r="AJ28" s="6" t="e">
        <f t="shared" si="11"/>
        <v>#DIV/0!</v>
      </c>
      <c r="AK28" s="6">
        <f t="shared" si="12"/>
        <v>1.1211710949399221</v>
      </c>
      <c r="AL28" s="6">
        <f t="shared" si="13"/>
        <v>1.0192307692307692</v>
      </c>
      <c r="AM28" s="4" t="str">
        <f t="shared" si="14"/>
        <v>-</v>
      </c>
      <c r="AN28" s="4" t="str">
        <f t="shared" si="15"/>
        <v>-</v>
      </c>
      <c r="AO28" s="4" t="str">
        <f t="shared" si="16"/>
        <v>-</v>
      </c>
      <c r="AP28" s="4">
        <v>0</v>
      </c>
      <c r="AQ28" s="4" t="s">
        <v>156</v>
      </c>
      <c r="AR28" s="4"/>
      <c r="AS28" s="4"/>
      <c r="AT28" s="4" t="s">
        <v>139</v>
      </c>
      <c r="AU28" s="4">
        <v>13000</v>
      </c>
      <c r="AV28" s="4">
        <v>13000</v>
      </c>
      <c r="AW28" s="4">
        <f t="shared" si="17"/>
        <v>13000</v>
      </c>
      <c r="AX28" s="19">
        <v>4</v>
      </c>
      <c r="AY28" s="19">
        <v>8</v>
      </c>
      <c r="AZ28" s="16">
        <v>18</v>
      </c>
      <c r="BA28" t="s">
        <v>108</v>
      </c>
      <c r="BB28" t="s">
        <v>107</v>
      </c>
      <c r="BC28" s="4" t="s">
        <v>127</v>
      </c>
    </row>
    <row r="29" spans="1:55" x14ac:dyDescent="0.4">
      <c r="A29" s="3">
        <v>25</v>
      </c>
      <c r="B29" s="3">
        <v>25</v>
      </c>
      <c r="C29" s="4" t="s">
        <v>67</v>
      </c>
      <c r="D29" s="4" t="str">
        <f t="shared" si="0"/>
        <v>J52918</v>
      </c>
      <c r="E29" s="4" t="s">
        <v>67</v>
      </c>
      <c r="F29" s="4" t="s">
        <v>99</v>
      </c>
      <c r="G29" s="5">
        <v>4997495000966</v>
      </c>
      <c r="H29" s="5"/>
      <c r="I29" s="5"/>
      <c r="J29" s="5">
        <v>1</v>
      </c>
      <c r="K29" s="5">
        <v>1</v>
      </c>
      <c r="L29" s="4">
        <v>0</v>
      </c>
      <c r="M29" s="4">
        <v>10046</v>
      </c>
      <c r="N29" s="4">
        <v>8640</v>
      </c>
      <c r="O29" s="6">
        <f t="shared" si="1"/>
        <v>0.13995620147322319</v>
      </c>
      <c r="P29" s="4" t="s">
        <v>107</v>
      </c>
      <c r="Q29" s="4" t="s">
        <v>107</v>
      </c>
      <c r="R29" s="4" t="s">
        <v>107</v>
      </c>
      <c r="S29" s="4">
        <v>0</v>
      </c>
      <c r="T29" s="4">
        <f t="shared" si="2"/>
        <v>0</v>
      </c>
      <c r="U29" s="4">
        <v>49</v>
      </c>
      <c r="V29" s="4">
        <f t="shared" si="3"/>
        <v>8820</v>
      </c>
      <c r="W29" s="4">
        <v>180</v>
      </c>
      <c r="X29" s="21">
        <f t="shared" si="4"/>
        <v>10255</v>
      </c>
      <c r="Y29" s="6">
        <f t="shared" si="5"/>
        <v>0.13993174061433444</v>
      </c>
      <c r="Z29" s="4">
        <v>0</v>
      </c>
      <c r="AA29" s="4">
        <f t="shared" si="6"/>
        <v>12900</v>
      </c>
      <c r="AB29" s="4">
        <f t="shared" si="7"/>
        <v>13168.749999999998</v>
      </c>
      <c r="AC29" s="6">
        <f t="shared" si="8"/>
        <v>0.33023255813953478</v>
      </c>
      <c r="AD29" s="7">
        <v>11400</v>
      </c>
      <c r="AE29" s="6">
        <f t="shared" si="9"/>
        <v>0.22631578947368425</v>
      </c>
      <c r="AF29" s="4">
        <f t="shared" si="10"/>
        <v>2580</v>
      </c>
      <c r="AG29" s="28"/>
      <c r="AH29" s="6" t="e">
        <f t="shared" si="18"/>
        <v>#DIV/0!</v>
      </c>
      <c r="AI29" s="4">
        <f t="shared" si="19"/>
        <v>-8820</v>
      </c>
      <c r="AJ29" s="6" t="e">
        <f t="shared" si="11"/>
        <v>#DIV/0!</v>
      </c>
      <c r="AK29" s="6">
        <f t="shared" si="12"/>
        <v>1.1347800119450528</v>
      </c>
      <c r="AL29" s="6">
        <f t="shared" si="13"/>
        <v>1.0208333333333333</v>
      </c>
      <c r="AM29" s="4" t="str">
        <f t="shared" si="14"/>
        <v>-</v>
      </c>
      <c r="AN29" s="4" t="str">
        <f t="shared" si="15"/>
        <v>-</v>
      </c>
      <c r="AO29" s="4" t="str">
        <f t="shared" si="16"/>
        <v>-</v>
      </c>
      <c r="AP29" s="4">
        <v>0</v>
      </c>
      <c r="AQ29" s="4" t="s">
        <v>157</v>
      </c>
      <c r="AR29" s="4"/>
      <c r="AS29" s="4"/>
      <c r="AT29" s="4" t="s">
        <v>139</v>
      </c>
      <c r="AU29" s="4">
        <v>12900</v>
      </c>
      <c r="AV29" s="4">
        <v>12900</v>
      </c>
      <c r="AW29" s="4">
        <f t="shared" si="17"/>
        <v>12900</v>
      </c>
      <c r="AX29" s="19">
        <v>4</v>
      </c>
      <c r="AY29" s="19">
        <v>8</v>
      </c>
      <c r="AZ29" s="16">
        <v>18</v>
      </c>
      <c r="BA29" t="s">
        <v>108</v>
      </c>
      <c r="BB29" t="s">
        <v>107</v>
      </c>
      <c r="BC29" s="4" t="s">
        <v>128</v>
      </c>
    </row>
    <row r="30" spans="1:55" x14ac:dyDescent="0.4">
      <c r="A30" s="3">
        <v>26</v>
      </c>
      <c r="B30" s="3">
        <v>26</v>
      </c>
      <c r="C30" s="4" t="s">
        <v>68</v>
      </c>
      <c r="D30" s="4" t="str">
        <f t="shared" si="0"/>
        <v>J52919</v>
      </c>
      <c r="E30" s="4" t="s">
        <v>68</v>
      </c>
      <c r="F30" s="4" t="s">
        <v>100</v>
      </c>
      <c r="G30" s="5">
        <v>4997495000973</v>
      </c>
      <c r="H30" s="5"/>
      <c r="I30" s="5"/>
      <c r="J30" s="5">
        <v>1</v>
      </c>
      <c r="K30" s="5">
        <v>1</v>
      </c>
      <c r="L30" s="4">
        <v>0</v>
      </c>
      <c r="M30" s="4">
        <v>10046</v>
      </c>
      <c r="N30" s="4">
        <v>8640</v>
      </c>
      <c r="O30" s="6">
        <f t="shared" si="1"/>
        <v>0.13995620147322319</v>
      </c>
      <c r="P30" s="4" t="s">
        <v>107</v>
      </c>
      <c r="Q30" s="4" t="s">
        <v>107</v>
      </c>
      <c r="R30" s="4" t="s">
        <v>107</v>
      </c>
      <c r="S30" s="4">
        <v>0</v>
      </c>
      <c r="T30" s="4">
        <f t="shared" si="2"/>
        <v>0</v>
      </c>
      <c r="U30" s="4">
        <v>49</v>
      </c>
      <c r="V30" s="4">
        <f t="shared" si="3"/>
        <v>8820</v>
      </c>
      <c r="W30" s="4">
        <v>180</v>
      </c>
      <c r="X30" s="21">
        <f t="shared" si="4"/>
        <v>10255</v>
      </c>
      <c r="Y30" s="6">
        <f t="shared" si="5"/>
        <v>0.13993174061433444</v>
      </c>
      <c r="Z30" s="4">
        <v>0</v>
      </c>
      <c r="AA30" s="4">
        <f t="shared" si="6"/>
        <v>12000</v>
      </c>
      <c r="AB30" s="4">
        <f t="shared" si="7"/>
        <v>12250</v>
      </c>
      <c r="AC30" s="6">
        <f t="shared" si="8"/>
        <v>0.28000000000000003</v>
      </c>
      <c r="AD30" s="7">
        <v>11400</v>
      </c>
      <c r="AE30" s="6">
        <f t="shared" si="9"/>
        <v>0.22631578947368425</v>
      </c>
      <c r="AF30" s="4">
        <f t="shared" si="10"/>
        <v>2580</v>
      </c>
      <c r="AG30" s="28"/>
      <c r="AH30" s="6" t="e">
        <f t="shared" si="18"/>
        <v>#DIV/0!</v>
      </c>
      <c r="AI30" s="4">
        <f t="shared" si="19"/>
        <v>-8820</v>
      </c>
      <c r="AJ30" s="6" t="e">
        <f t="shared" si="11"/>
        <v>#DIV/0!</v>
      </c>
      <c r="AK30" s="6">
        <f t="shared" si="12"/>
        <v>1.1347800119450528</v>
      </c>
      <c r="AL30" s="6">
        <f t="shared" si="13"/>
        <v>1.0208333333333333</v>
      </c>
      <c r="AM30" s="4" t="str">
        <f t="shared" si="14"/>
        <v>-</v>
      </c>
      <c r="AN30" s="4" t="str">
        <f t="shared" si="15"/>
        <v>-</v>
      </c>
      <c r="AO30" s="4" t="str">
        <f t="shared" si="16"/>
        <v>-</v>
      </c>
      <c r="AP30" s="4">
        <v>0</v>
      </c>
      <c r="AQ30" s="4" t="s">
        <v>158</v>
      </c>
      <c r="AR30" s="4"/>
      <c r="AS30" s="4"/>
      <c r="AT30" s="4" t="s">
        <v>139</v>
      </c>
      <c r="AU30" s="4">
        <v>12000</v>
      </c>
      <c r="AV30" s="4">
        <v>12000</v>
      </c>
      <c r="AW30" s="4">
        <f t="shared" si="17"/>
        <v>12000</v>
      </c>
      <c r="AX30" s="19">
        <v>4</v>
      </c>
      <c r="AY30" s="19">
        <v>8</v>
      </c>
      <c r="AZ30" s="16">
        <v>18</v>
      </c>
      <c r="BA30" t="s">
        <v>108</v>
      </c>
      <c r="BB30" t="s">
        <v>107</v>
      </c>
      <c r="BC30" s="4" t="s">
        <v>129</v>
      </c>
    </row>
    <row r="31" spans="1:55" x14ac:dyDescent="0.4">
      <c r="A31" s="3">
        <v>27</v>
      </c>
      <c r="B31" s="3">
        <v>27</v>
      </c>
      <c r="C31" s="4" t="s">
        <v>69</v>
      </c>
      <c r="D31" s="4" t="str">
        <f t="shared" si="0"/>
        <v>J52920</v>
      </c>
      <c r="E31" s="4" t="s">
        <v>69</v>
      </c>
      <c r="F31" s="4" t="s">
        <v>101</v>
      </c>
      <c r="G31" s="5">
        <v>4997495000980</v>
      </c>
      <c r="H31" s="5"/>
      <c r="I31" s="5"/>
      <c r="J31" s="5">
        <v>1</v>
      </c>
      <c r="K31" s="5">
        <v>1</v>
      </c>
      <c r="L31" s="4">
        <v>0</v>
      </c>
      <c r="M31" s="4">
        <v>10046</v>
      </c>
      <c r="N31" s="4">
        <v>8640</v>
      </c>
      <c r="O31" s="6">
        <f t="shared" si="1"/>
        <v>0.13995620147322319</v>
      </c>
      <c r="P31" s="4" t="s">
        <v>107</v>
      </c>
      <c r="Q31" s="4" t="s">
        <v>107</v>
      </c>
      <c r="R31" s="4" t="s">
        <v>107</v>
      </c>
      <c r="S31" s="4">
        <v>0</v>
      </c>
      <c r="T31" s="4">
        <f t="shared" si="2"/>
        <v>0</v>
      </c>
      <c r="U31" s="4">
        <v>49</v>
      </c>
      <c r="V31" s="4">
        <f t="shared" si="3"/>
        <v>8820</v>
      </c>
      <c r="W31" s="4">
        <v>180</v>
      </c>
      <c r="X31" s="21">
        <f t="shared" si="4"/>
        <v>10255</v>
      </c>
      <c r="Y31" s="6">
        <f t="shared" si="5"/>
        <v>0.13993174061433444</v>
      </c>
      <c r="Z31" s="4">
        <v>0</v>
      </c>
      <c r="AA31" s="4">
        <f t="shared" si="6"/>
        <v>12000</v>
      </c>
      <c r="AB31" s="4">
        <f t="shared" si="7"/>
        <v>12250</v>
      </c>
      <c r="AC31" s="6">
        <f t="shared" si="8"/>
        <v>0.28000000000000003</v>
      </c>
      <c r="AD31" s="7">
        <v>11400</v>
      </c>
      <c r="AE31" s="6">
        <f t="shared" si="9"/>
        <v>0.22631578947368425</v>
      </c>
      <c r="AF31" s="4">
        <f t="shared" si="10"/>
        <v>2580</v>
      </c>
      <c r="AG31" s="28"/>
      <c r="AH31" s="6" t="e">
        <f t="shared" si="18"/>
        <v>#DIV/0!</v>
      </c>
      <c r="AI31" s="4">
        <f t="shared" si="19"/>
        <v>-8820</v>
      </c>
      <c r="AJ31" s="6" t="e">
        <f t="shared" si="11"/>
        <v>#DIV/0!</v>
      </c>
      <c r="AK31" s="6">
        <f t="shared" si="12"/>
        <v>1.1347800119450528</v>
      </c>
      <c r="AL31" s="6">
        <f t="shared" si="13"/>
        <v>1.0208333333333333</v>
      </c>
      <c r="AM31" s="4" t="str">
        <f t="shared" si="14"/>
        <v>-</v>
      </c>
      <c r="AN31" s="4" t="str">
        <f t="shared" si="15"/>
        <v>-</v>
      </c>
      <c r="AO31" s="4" t="str">
        <f t="shared" si="16"/>
        <v>-</v>
      </c>
      <c r="AP31" s="4">
        <v>0</v>
      </c>
      <c r="AQ31" s="4" t="s">
        <v>159</v>
      </c>
      <c r="AR31" s="4"/>
      <c r="AS31" s="4"/>
      <c r="AT31" s="4" t="s">
        <v>139</v>
      </c>
      <c r="AU31" s="4">
        <v>12000</v>
      </c>
      <c r="AV31" s="4">
        <v>12000</v>
      </c>
      <c r="AW31" s="4">
        <f t="shared" si="17"/>
        <v>12000</v>
      </c>
      <c r="AX31" s="19">
        <v>4</v>
      </c>
      <c r="AY31" s="19">
        <v>8</v>
      </c>
      <c r="AZ31" s="16">
        <v>18</v>
      </c>
      <c r="BA31" t="s">
        <v>108</v>
      </c>
      <c r="BB31" t="s">
        <v>107</v>
      </c>
      <c r="BC31" s="4" t="s">
        <v>130</v>
      </c>
    </row>
    <row r="32" spans="1:55" x14ac:dyDescent="0.4">
      <c r="A32" s="3">
        <v>28</v>
      </c>
      <c r="B32" s="3">
        <v>28</v>
      </c>
      <c r="C32" s="4" t="s">
        <v>70</v>
      </c>
      <c r="D32" s="4" t="str">
        <f t="shared" si="0"/>
        <v>J52921</v>
      </c>
      <c r="E32" s="4" t="s">
        <v>70</v>
      </c>
      <c r="F32" s="4" t="s">
        <v>102</v>
      </c>
      <c r="G32" s="5">
        <v>4997495000997</v>
      </c>
      <c r="H32" s="5"/>
      <c r="I32" s="5"/>
      <c r="J32" s="5">
        <v>1</v>
      </c>
      <c r="K32" s="5">
        <v>1</v>
      </c>
      <c r="L32" s="4">
        <v>0</v>
      </c>
      <c r="M32" s="4">
        <v>10046</v>
      </c>
      <c r="N32" s="4">
        <v>8640</v>
      </c>
      <c r="O32" s="6">
        <f t="shared" si="1"/>
        <v>0.13995620147322319</v>
      </c>
      <c r="P32" s="4" t="s">
        <v>107</v>
      </c>
      <c r="Q32" s="4" t="s">
        <v>107</v>
      </c>
      <c r="R32" s="4" t="s">
        <v>107</v>
      </c>
      <c r="S32" s="4">
        <v>0</v>
      </c>
      <c r="T32" s="4">
        <f t="shared" si="2"/>
        <v>0</v>
      </c>
      <c r="U32" s="4">
        <v>49</v>
      </c>
      <c r="V32" s="4">
        <f t="shared" si="3"/>
        <v>8820</v>
      </c>
      <c r="W32" s="4">
        <v>180</v>
      </c>
      <c r="X32" s="21">
        <f t="shared" si="4"/>
        <v>10255</v>
      </c>
      <c r="Y32" s="6">
        <f t="shared" si="5"/>
        <v>0.13993174061433444</v>
      </c>
      <c r="Z32" s="4">
        <v>0</v>
      </c>
      <c r="AA32" s="4">
        <f t="shared" si="6"/>
        <v>12000</v>
      </c>
      <c r="AB32" s="4">
        <f t="shared" si="7"/>
        <v>12250</v>
      </c>
      <c r="AC32" s="6">
        <f t="shared" si="8"/>
        <v>0.28000000000000003</v>
      </c>
      <c r="AD32" s="7">
        <v>11400</v>
      </c>
      <c r="AE32" s="6">
        <f t="shared" si="9"/>
        <v>0.22631578947368425</v>
      </c>
      <c r="AF32" s="4">
        <f t="shared" si="10"/>
        <v>2580</v>
      </c>
      <c r="AG32" s="28"/>
      <c r="AH32" s="6" t="e">
        <f t="shared" si="18"/>
        <v>#DIV/0!</v>
      </c>
      <c r="AI32" s="4">
        <f t="shared" si="19"/>
        <v>-8820</v>
      </c>
      <c r="AJ32" s="6" t="e">
        <f t="shared" si="11"/>
        <v>#DIV/0!</v>
      </c>
      <c r="AK32" s="6">
        <f t="shared" si="12"/>
        <v>1.1347800119450528</v>
      </c>
      <c r="AL32" s="6">
        <f t="shared" si="13"/>
        <v>1.0208333333333333</v>
      </c>
      <c r="AM32" s="4" t="str">
        <f t="shared" si="14"/>
        <v>-</v>
      </c>
      <c r="AN32" s="4" t="str">
        <f t="shared" si="15"/>
        <v>-</v>
      </c>
      <c r="AO32" s="4" t="str">
        <f t="shared" si="16"/>
        <v>-</v>
      </c>
      <c r="AP32" s="4">
        <v>0</v>
      </c>
      <c r="AQ32" s="4" t="s">
        <v>160</v>
      </c>
      <c r="AR32" s="4"/>
      <c r="AS32" s="4"/>
      <c r="AT32" s="4" t="s">
        <v>139</v>
      </c>
      <c r="AU32" s="4">
        <v>12000</v>
      </c>
      <c r="AV32" s="4">
        <v>12000</v>
      </c>
      <c r="AW32" s="4">
        <f t="shared" si="17"/>
        <v>12000</v>
      </c>
      <c r="AX32" s="19">
        <v>4</v>
      </c>
      <c r="AY32" s="19">
        <v>8</v>
      </c>
      <c r="AZ32" s="16">
        <v>18</v>
      </c>
      <c r="BA32" t="s">
        <v>108</v>
      </c>
      <c r="BB32" t="s">
        <v>107</v>
      </c>
      <c r="BC32" s="4" t="s">
        <v>131</v>
      </c>
    </row>
    <row r="33" spans="1:55" x14ac:dyDescent="0.4">
      <c r="A33" s="3">
        <v>29</v>
      </c>
      <c r="B33" s="3">
        <v>29</v>
      </c>
      <c r="C33" s="4" t="s">
        <v>71</v>
      </c>
      <c r="D33" s="4" t="str">
        <f t="shared" si="0"/>
        <v>J52889</v>
      </c>
      <c r="E33" s="4" t="s">
        <v>71</v>
      </c>
      <c r="F33" s="4" t="s">
        <v>103</v>
      </c>
      <c r="G33" s="5">
        <v>4997090101624</v>
      </c>
      <c r="H33" s="5"/>
      <c r="I33" s="5"/>
      <c r="J33" s="5">
        <v>1</v>
      </c>
      <c r="K33" s="5">
        <v>1</v>
      </c>
      <c r="L33" s="4">
        <v>0</v>
      </c>
      <c r="M33" s="4">
        <v>5800</v>
      </c>
      <c r="N33" s="4">
        <v>4470</v>
      </c>
      <c r="O33" s="6">
        <f t="shared" si="1"/>
        <v>0.22931034482758617</v>
      </c>
      <c r="P33" s="4" t="s">
        <v>107</v>
      </c>
      <c r="Q33" s="4" t="s">
        <v>107</v>
      </c>
      <c r="R33" s="4" t="s">
        <v>107</v>
      </c>
      <c r="S33" s="4">
        <v>0</v>
      </c>
      <c r="T33" s="4">
        <f t="shared" si="2"/>
        <v>0</v>
      </c>
      <c r="U33" s="4">
        <v>239</v>
      </c>
      <c r="V33" s="4">
        <f t="shared" si="3"/>
        <v>5736</v>
      </c>
      <c r="W33" s="4">
        <v>24</v>
      </c>
      <c r="X33" s="21">
        <f t="shared" si="4"/>
        <v>7443</v>
      </c>
      <c r="Y33" s="6">
        <f t="shared" si="5"/>
        <v>0.22934300685207576</v>
      </c>
      <c r="Z33" s="4">
        <v>0</v>
      </c>
      <c r="AA33" s="4">
        <f t="shared" si="6"/>
        <v>10056</v>
      </c>
      <c r="AB33" s="4">
        <f t="shared" si="7"/>
        <v>12904.075167785235</v>
      </c>
      <c r="AC33" s="6">
        <f t="shared" si="8"/>
        <v>0.5554892601431981</v>
      </c>
      <c r="AD33" s="7">
        <v>7500</v>
      </c>
      <c r="AE33" s="6">
        <f t="shared" si="9"/>
        <v>0.23519999999999996</v>
      </c>
      <c r="AF33" s="4">
        <f t="shared" si="10"/>
        <v>1764</v>
      </c>
      <c r="AG33" s="28"/>
      <c r="AH33" s="6" t="e">
        <f t="shared" si="18"/>
        <v>#DIV/0!</v>
      </c>
      <c r="AI33" s="4">
        <f t="shared" si="19"/>
        <v>-5736</v>
      </c>
      <c r="AJ33" s="6" t="e">
        <f t="shared" si="11"/>
        <v>#DIV/0!</v>
      </c>
      <c r="AK33" s="6">
        <f t="shared" si="12"/>
        <v>1.2931034482758621</v>
      </c>
      <c r="AL33" s="6">
        <f t="shared" si="13"/>
        <v>1.2832214765100671</v>
      </c>
      <c r="AM33" s="4" t="str">
        <f t="shared" si="14"/>
        <v>-</v>
      </c>
      <c r="AN33" s="4" t="str">
        <f t="shared" si="15"/>
        <v>-</v>
      </c>
      <c r="AO33" s="4" t="str">
        <f t="shared" si="16"/>
        <v>-</v>
      </c>
      <c r="AP33" s="4">
        <v>0</v>
      </c>
      <c r="AQ33" s="4" t="s">
        <v>161</v>
      </c>
      <c r="AR33" s="4">
        <v>24</v>
      </c>
      <c r="AS33" s="4">
        <v>1</v>
      </c>
      <c r="AT33" s="4" t="s">
        <v>162</v>
      </c>
      <c r="AU33" s="4">
        <v>419</v>
      </c>
      <c r="AV33" s="4">
        <v>419</v>
      </c>
      <c r="AW33" s="4">
        <f t="shared" si="17"/>
        <v>10056</v>
      </c>
      <c r="AX33" s="19">
        <v>4</v>
      </c>
      <c r="AY33" s="19">
        <v>8</v>
      </c>
      <c r="AZ33" s="16">
        <v>18</v>
      </c>
      <c r="BA33" t="s">
        <v>108</v>
      </c>
      <c r="BB33" t="s">
        <v>107</v>
      </c>
      <c r="BC33" s="4" t="s">
        <v>132</v>
      </c>
    </row>
    <row r="34" spans="1:55" x14ac:dyDescent="0.4">
      <c r="A34" s="3">
        <v>30</v>
      </c>
      <c r="B34" s="3">
        <v>30</v>
      </c>
      <c r="C34" s="4" t="s">
        <v>72</v>
      </c>
      <c r="D34" s="4" t="str">
        <f t="shared" si="0"/>
        <v>J7985P</v>
      </c>
      <c r="E34" s="4" t="s">
        <v>72</v>
      </c>
      <c r="F34" s="34" t="s">
        <v>169</v>
      </c>
      <c r="G34" s="5">
        <v>4997090400246</v>
      </c>
      <c r="H34" s="5"/>
      <c r="I34" s="5"/>
      <c r="J34" s="5">
        <v>1</v>
      </c>
      <c r="K34" s="5">
        <v>1</v>
      </c>
      <c r="L34" s="4">
        <v>0</v>
      </c>
      <c r="M34" s="4">
        <v>209</v>
      </c>
      <c r="N34" s="4">
        <v>101</v>
      </c>
      <c r="O34" s="6">
        <f t="shared" si="1"/>
        <v>0.51674641148325362</v>
      </c>
      <c r="P34" s="4">
        <v>165</v>
      </c>
      <c r="Q34" s="4">
        <v>20</v>
      </c>
      <c r="R34" s="4">
        <v>99999</v>
      </c>
      <c r="S34" s="4">
        <v>0</v>
      </c>
      <c r="T34" s="4">
        <f t="shared" si="2"/>
        <v>0</v>
      </c>
      <c r="U34" s="4">
        <v>105</v>
      </c>
      <c r="V34" s="4">
        <f t="shared" si="3"/>
        <v>105</v>
      </c>
      <c r="W34" s="4"/>
      <c r="X34" s="21">
        <f t="shared" si="4"/>
        <v>217</v>
      </c>
      <c r="Y34" s="6">
        <f t="shared" si="5"/>
        <v>0.5161290322580645</v>
      </c>
      <c r="Z34" s="4">
        <v>93.75</v>
      </c>
      <c r="AA34" s="4">
        <f t="shared" si="6"/>
        <v>186</v>
      </c>
      <c r="AB34" s="4">
        <f t="shared" si="7"/>
        <v>193.36633663366337</v>
      </c>
      <c r="AC34" s="6">
        <f t="shared" si="8"/>
        <v>0.456989247311828</v>
      </c>
      <c r="AD34" s="7">
        <v>218</v>
      </c>
      <c r="AE34" s="6">
        <f t="shared" si="9"/>
        <v>0.51834862385321101</v>
      </c>
      <c r="AF34" s="4">
        <f t="shared" si="10"/>
        <v>113</v>
      </c>
      <c r="AG34" s="28">
        <v>180</v>
      </c>
      <c r="AH34" s="6">
        <f t="shared" si="18"/>
        <v>0.41666666666666663</v>
      </c>
      <c r="AI34" s="4">
        <f t="shared" si="19"/>
        <v>75</v>
      </c>
      <c r="AJ34" s="6" t="e">
        <f t="shared" si="11"/>
        <v>#DIV/0!</v>
      </c>
      <c r="AK34" s="6">
        <f t="shared" si="12"/>
        <v>1.0430622009569377</v>
      </c>
      <c r="AL34" s="6">
        <f t="shared" si="13"/>
        <v>1.0396039603960396</v>
      </c>
      <c r="AM34" s="4">
        <v>188</v>
      </c>
      <c r="AN34" s="4">
        <f t="shared" si="15"/>
        <v>20</v>
      </c>
      <c r="AO34" s="4">
        <f t="shared" si="16"/>
        <v>99999</v>
      </c>
      <c r="AP34" s="4">
        <v>0</v>
      </c>
      <c r="AQ34" s="4" t="s">
        <v>163</v>
      </c>
      <c r="AR34" s="4"/>
      <c r="AS34" s="4"/>
      <c r="AT34" s="4" t="s">
        <v>164</v>
      </c>
      <c r="AU34" s="4">
        <v>186</v>
      </c>
      <c r="AV34" s="4">
        <v>186</v>
      </c>
      <c r="AW34" s="4">
        <f t="shared" si="17"/>
        <v>186</v>
      </c>
      <c r="AX34" s="19">
        <v>4</v>
      </c>
      <c r="AY34" s="19">
        <v>1</v>
      </c>
      <c r="AZ34" s="16">
        <v>18</v>
      </c>
      <c r="BA34" t="s">
        <v>108</v>
      </c>
      <c r="BB34" t="s">
        <v>107</v>
      </c>
      <c r="BC34" s="4" t="s">
        <v>133</v>
      </c>
    </row>
    <row r="35" spans="1:55" x14ac:dyDescent="0.4">
      <c r="A35" s="3">
        <v>31</v>
      </c>
      <c r="B35" s="3">
        <v>31</v>
      </c>
      <c r="C35" s="4" t="s">
        <v>73</v>
      </c>
      <c r="D35" s="4" t="str">
        <f t="shared" si="0"/>
        <v>J7986P</v>
      </c>
      <c r="E35" s="4" t="s">
        <v>73</v>
      </c>
      <c r="F35" s="34" t="s">
        <v>104</v>
      </c>
      <c r="G35" s="5">
        <v>4997090400307</v>
      </c>
      <c r="H35" s="5"/>
      <c r="I35" s="5"/>
      <c r="J35" s="5">
        <v>1</v>
      </c>
      <c r="K35" s="5">
        <v>1</v>
      </c>
      <c r="L35" s="4">
        <v>0</v>
      </c>
      <c r="M35" s="4">
        <v>1303</v>
      </c>
      <c r="N35" s="4">
        <v>716</v>
      </c>
      <c r="O35" s="6">
        <f t="shared" si="1"/>
        <v>0.45049884881043745</v>
      </c>
      <c r="P35" s="4" t="s">
        <v>107</v>
      </c>
      <c r="Q35" s="4" t="s">
        <v>107</v>
      </c>
      <c r="R35" s="4" t="s">
        <v>107</v>
      </c>
      <c r="S35" s="4">
        <v>0</v>
      </c>
      <c r="T35" s="4">
        <f t="shared" si="2"/>
        <v>0</v>
      </c>
      <c r="U35" s="4">
        <v>751</v>
      </c>
      <c r="V35" s="4">
        <f t="shared" si="3"/>
        <v>751</v>
      </c>
      <c r="W35" s="4"/>
      <c r="X35" s="21">
        <f t="shared" si="4"/>
        <v>1367</v>
      </c>
      <c r="Y35" s="6">
        <f t="shared" si="5"/>
        <v>0.45062179956108261</v>
      </c>
      <c r="Z35" s="4">
        <v>14.499999999999998</v>
      </c>
      <c r="AA35" s="4">
        <f t="shared" si="6"/>
        <v>974</v>
      </c>
      <c r="AB35" s="4">
        <f t="shared" si="7"/>
        <v>1021.6117318435754</v>
      </c>
      <c r="AC35" s="6">
        <f t="shared" si="8"/>
        <v>0.26488706365503079</v>
      </c>
      <c r="AD35" s="7">
        <v>1380</v>
      </c>
      <c r="AE35" s="6">
        <f t="shared" si="9"/>
        <v>0.45579710144927532</v>
      </c>
      <c r="AF35" s="4">
        <f t="shared" si="10"/>
        <v>629</v>
      </c>
      <c r="AG35" s="28"/>
      <c r="AH35" s="6"/>
      <c r="AI35" s="6"/>
      <c r="AJ35" s="6" t="e">
        <f t="shared" si="11"/>
        <v>#DIV/0!</v>
      </c>
      <c r="AK35" s="6">
        <f t="shared" si="12"/>
        <v>1.0590943975441289</v>
      </c>
      <c r="AL35" s="6">
        <f t="shared" si="13"/>
        <v>1.0488826815642458</v>
      </c>
      <c r="AM35" s="4" t="str">
        <f t="shared" si="14"/>
        <v>-</v>
      </c>
      <c r="AN35" s="4" t="str">
        <f t="shared" si="15"/>
        <v>-</v>
      </c>
      <c r="AO35" s="4" t="str">
        <f t="shared" si="16"/>
        <v>-</v>
      </c>
      <c r="AP35" s="4">
        <v>0</v>
      </c>
      <c r="AQ35" s="4" t="s">
        <v>165</v>
      </c>
      <c r="AR35" s="4">
        <v>1</v>
      </c>
      <c r="AS35" s="4">
        <v>10</v>
      </c>
      <c r="AT35" s="4" t="s">
        <v>139</v>
      </c>
      <c r="AU35" s="4">
        <v>9740</v>
      </c>
      <c r="AV35" s="4">
        <v>9740</v>
      </c>
      <c r="AW35" s="4">
        <f t="shared" si="17"/>
        <v>974</v>
      </c>
      <c r="AX35" s="19">
        <v>4</v>
      </c>
      <c r="AY35" s="19">
        <v>1</v>
      </c>
      <c r="AZ35" s="16">
        <v>18</v>
      </c>
      <c r="BA35" t="s">
        <v>108</v>
      </c>
      <c r="BB35" t="s">
        <v>107</v>
      </c>
      <c r="BC35" s="4" t="s">
        <v>134</v>
      </c>
    </row>
    <row r="36" spans="1:55" x14ac:dyDescent="0.4">
      <c r="F36" s="35" t="s">
        <v>167</v>
      </c>
    </row>
  </sheetData>
  <mergeCells count="3">
    <mergeCell ref="L2:O2"/>
    <mergeCell ref="J2:K2"/>
    <mergeCell ref="S1:V1"/>
  </mergeCells>
  <phoneticPr fontId="2"/>
  <conditionalFormatting sqref="AA4:AA35">
    <cfRule type="cellIs" dxfId="3" priority="4" operator="lessThan">
      <formula>$X4</formula>
    </cfRule>
  </conditionalFormatting>
  <conditionalFormatting sqref="AB4:AB35">
    <cfRule type="cellIs" dxfId="2" priority="1" operator="lessThan">
      <formula>$AD4</formula>
    </cfRule>
  </conditionalFormatting>
  <conditionalFormatting sqref="AD4:AD35">
    <cfRule type="cellIs" dxfId="1" priority="3" operator="greaterThan">
      <formula>$T4</formula>
    </cfRule>
  </conditionalFormatting>
  <conditionalFormatting sqref="AV4:AV35">
    <cfRule type="cellIs" dxfId="0" priority="2" operator="notEqual">
      <formula>$AU4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フォーレスト007</dc:creator>
  <cp:lastModifiedBy>須永 英里子</cp:lastModifiedBy>
  <dcterms:created xsi:type="dcterms:W3CDTF">2022-07-07T00:08:53Z</dcterms:created>
  <dcterms:modified xsi:type="dcterms:W3CDTF">2026-06-23T01:03:21Z</dcterms:modified>
</cp:coreProperties>
</file>