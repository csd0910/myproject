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6月1日改定\"/>
    </mc:Choice>
  </mc:AlternateContent>
  <xr:revisionPtr revIDLastSave="0" documentId="13_ncr:1_{8ED3D0F7-CB2F-4135-80AF-DD74C7B5D62D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Sheet1!$A$3:$BM$219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5" i="1"/>
  <c r="BC113" i="1"/>
  <c r="AD113" i="1" s="1"/>
  <c r="BC115" i="1"/>
  <c r="AD115" i="1" s="1"/>
  <c r="BC116" i="1"/>
  <c r="AD116" i="1" s="1"/>
  <c r="BC119" i="1"/>
  <c r="AD119" i="1" s="1"/>
  <c r="BC120" i="1"/>
  <c r="AD120" i="1" s="1"/>
  <c r="BC126" i="1"/>
  <c r="AD126" i="1" s="1"/>
  <c r="BC127" i="1"/>
  <c r="AD127" i="1" s="1"/>
  <c r="BC129" i="1"/>
  <c r="AD129" i="1" s="1"/>
  <c r="BC134" i="1"/>
  <c r="AD134" i="1" s="1"/>
  <c r="BC135" i="1"/>
  <c r="AD135" i="1" s="1"/>
  <c r="BC140" i="1"/>
  <c r="AD140" i="1" s="1"/>
  <c r="BC141" i="1"/>
  <c r="AD141" i="1" s="1"/>
  <c r="BC142" i="1"/>
  <c r="AD142" i="1" s="1"/>
  <c r="BC146" i="1"/>
  <c r="AD146" i="1" s="1"/>
  <c r="BC148" i="1"/>
  <c r="AD148" i="1" s="1"/>
  <c r="BC149" i="1"/>
  <c r="AD149" i="1" s="1"/>
  <c r="BC150" i="1"/>
  <c r="AD150" i="1" s="1"/>
  <c r="BC151" i="1"/>
  <c r="AD151" i="1" s="1"/>
  <c r="BC157" i="1"/>
  <c r="AD157" i="1" s="1"/>
  <c r="BC158" i="1"/>
  <c r="AD158" i="1" s="1"/>
  <c r="BC159" i="1"/>
  <c r="AD159" i="1" s="1"/>
  <c r="BC167" i="1"/>
  <c r="AD167" i="1" s="1"/>
  <c r="BC168" i="1"/>
  <c r="AD168" i="1" s="1"/>
  <c r="BC170" i="1"/>
  <c r="AD170" i="1" s="1"/>
  <c r="BC171" i="1"/>
  <c r="AD171" i="1" s="1"/>
  <c r="BC172" i="1"/>
  <c r="AD172" i="1" s="1"/>
  <c r="BC178" i="1"/>
  <c r="AD178" i="1" s="1"/>
  <c r="BC181" i="1"/>
  <c r="AD181" i="1" s="1"/>
  <c r="BC182" i="1"/>
  <c r="AD182" i="1" s="1"/>
  <c r="BC184" i="1"/>
  <c r="AD184" i="1" s="1"/>
  <c r="BC185" i="1"/>
  <c r="AD185" i="1" s="1"/>
  <c r="BC190" i="1"/>
  <c r="AD190" i="1" s="1"/>
  <c r="BC191" i="1"/>
  <c r="AD191" i="1" s="1"/>
  <c r="BC192" i="1"/>
  <c r="AD192" i="1" s="1"/>
  <c r="BC193" i="1"/>
  <c r="AD193" i="1" s="1"/>
  <c r="BC198" i="1"/>
  <c r="AD198" i="1" s="1"/>
  <c r="BC199" i="1"/>
  <c r="AD199" i="1" s="1"/>
  <c r="BC200" i="1"/>
  <c r="AD200" i="1" s="1"/>
  <c r="BC201" i="1"/>
  <c r="AD201" i="1" s="1"/>
  <c r="BC206" i="1"/>
  <c r="AD206" i="1" s="1"/>
  <c r="BC207" i="1"/>
  <c r="AD207" i="1" s="1"/>
  <c r="BC208" i="1"/>
  <c r="AD208" i="1" s="1"/>
  <c r="BC209" i="1"/>
  <c r="AD209" i="1" s="1"/>
  <c r="BC34" i="1"/>
  <c r="AD34" i="1" s="1"/>
  <c r="BC43" i="1"/>
  <c r="AD43" i="1" s="1"/>
  <c r="BC51" i="1"/>
  <c r="AD51" i="1" s="1"/>
  <c r="BC60" i="1"/>
  <c r="AD60" i="1" s="1"/>
  <c r="BC69" i="1"/>
  <c r="AD69" i="1" s="1"/>
  <c r="BC73" i="1"/>
  <c r="AD73" i="1" s="1"/>
  <c r="BC75" i="1"/>
  <c r="AD75" i="1" s="1"/>
  <c r="BC82" i="1"/>
  <c r="AD82" i="1" s="1"/>
  <c r="BC84" i="1"/>
  <c r="AD84" i="1" s="1"/>
  <c r="BC92" i="1"/>
  <c r="AD92" i="1" s="1"/>
  <c r="BC94" i="1"/>
  <c r="AD94" i="1" s="1"/>
  <c r="BC98" i="1"/>
  <c r="AD98" i="1" s="1"/>
  <c r="BC100" i="1"/>
  <c r="AD100" i="1" s="1"/>
  <c r="BC114" i="1"/>
  <c r="AD114" i="1" s="1"/>
  <c r="BC117" i="1"/>
  <c r="AD117" i="1" s="1"/>
  <c r="BC118" i="1"/>
  <c r="AD118" i="1" s="1"/>
  <c r="BC121" i="1"/>
  <c r="AD121" i="1" s="1"/>
  <c r="BC130" i="1"/>
  <c r="AD130" i="1" s="1"/>
  <c r="BC131" i="1"/>
  <c r="AD131" i="1" s="1"/>
  <c r="BC132" i="1"/>
  <c r="AD132" i="1" s="1"/>
  <c r="BC136" i="1"/>
  <c r="AD136" i="1" s="1"/>
  <c r="BC139" i="1"/>
  <c r="AD139" i="1" s="1"/>
  <c r="BC144" i="1"/>
  <c r="AD144" i="1" s="1"/>
  <c r="BC154" i="1"/>
  <c r="AD154" i="1" s="1"/>
  <c r="BC163" i="1"/>
  <c r="AD163" i="1" s="1"/>
  <c r="BC166" i="1"/>
  <c r="AD166" i="1" s="1"/>
  <c r="BC174" i="1"/>
  <c r="AD174" i="1" s="1"/>
  <c r="BC179" i="1"/>
  <c r="AD179" i="1" s="1"/>
  <c r="BC180" i="1"/>
  <c r="AD180" i="1" s="1"/>
  <c r="BC187" i="1"/>
  <c r="AD187" i="1" s="1"/>
  <c r="BC188" i="1"/>
  <c r="AD188" i="1" s="1"/>
  <c r="BC189" i="1"/>
  <c r="AD189" i="1" s="1"/>
  <c r="BC202" i="1"/>
  <c r="AD202" i="1" s="1"/>
  <c r="BC203" i="1"/>
  <c r="AD203" i="1" s="1"/>
  <c r="BC210" i="1"/>
  <c r="AD210" i="1" s="1"/>
  <c r="BC211" i="1"/>
  <c r="AD211" i="1" s="1"/>
  <c r="BC216" i="1"/>
  <c r="AD216" i="1" s="1"/>
  <c r="BC217" i="1"/>
  <c r="AD217" i="1" s="1"/>
  <c r="BC62" i="1"/>
  <c r="AD62" i="1" s="1"/>
  <c r="BC64" i="1"/>
  <c r="AD64" i="1" s="1"/>
  <c r="BC66" i="1"/>
  <c r="AD66" i="1" s="1"/>
  <c r="BC70" i="1"/>
  <c r="AD70" i="1" s="1"/>
  <c r="BC74" i="1"/>
  <c r="AD74" i="1" s="1"/>
  <c r="BC85" i="1"/>
  <c r="AD85" i="1" s="1"/>
  <c r="BC91" i="1"/>
  <c r="AD91" i="1" s="1"/>
  <c r="BC93" i="1"/>
  <c r="AD93" i="1" s="1"/>
  <c r="BC101" i="1"/>
  <c r="AD101" i="1" s="1"/>
  <c r="BC103" i="1"/>
  <c r="AD103" i="1" s="1"/>
  <c r="BC107" i="1"/>
  <c r="AD107" i="1" s="1"/>
  <c r="BC109" i="1"/>
  <c r="AD109" i="1" s="1"/>
  <c r="BC147" i="1"/>
  <c r="AD147" i="1" s="1"/>
  <c r="BC162" i="1"/>
  <c r="AD162" i="1" s="1"/>
  <c r="BC194" i="1"/>
  <c r="AD194" i="1" s="1"/>
  <c r="BC196" i="1"/>
  <c r="AD196" i="1" s="1"/>
  <c r="BC55" i="1"/>
  <c r="AD55" i="1" s="1"/>
  <c r="BC56" i="1"/>
  <c r="AD56" i="1" s="1"/>
  <c r="BC67" i="1"/>
  <c r="AD67" i="1" s="1"/>
  <c r="BC79" i="1"/>
  <c r="AD79" i="1" s="1"/>
  <c r="BC108" i="1"/>
  <c r="AD108" i="1" s="1"/>
  <c r="BC133" i="1"/>
  <c r="AD133" i="1" s="1"/>
  <c r="BC152" i="1"/>
  <c r="AD152" i="1" s="1"/>
  <c r="BC155" i="1"/>
  <c r="AD155" i="1" s="1"/>
  <c r="BC161" i="1"/>
  <c r="AD161" i="1" s="1"/>
  <c r="BC175" i="1"/>
  <c r="AD175" i="1" s="1"/>
  <c r="BC176" i="1"/>
  <c r="AD176" i="1" s="1"/>
  <c r="BC183" i="1"/>
  <c r="AD183" i="1" s="1"/>
  <c r="BC186" i="1"/>
  <c r="AD186" i="1" s="1"/>
  <c r="BC195" i="1"/>
  <c r="AD195" i="1" s="1"/>
  <c r="BC204" i="1"/>
  <c r="AD204" i="1" s="1"/>
  <c r="BC205" i="1"/>
  <c r="AD205" i="1" s="1"/>
  <c r="BC212" i="1"/>
  <c r="AD212" i="1" s="1"/>
  <c r="BC215" i="1"/>
  <c r="AD215" i="1" s="1"/>
  <c r="BC218" i="1"/>
  <c r="AD218" i="1" s="1"/>
  <c r="BC72" i="1"/>
  <c r="AD72" i="1" s="1"/>
  <c r="BC87" i="1"/>
  <c r="AD87" i="1" s="1"/>
  <c r="BC89" i="1"/>
  <c r="AD89" i="1" s="1"/>
  <c r="BC95" i="1"/>
  <c r="AD95" i="1" s="1"/>
  <c r="BC105" i="1"/>
  <c r="AD105" i="1" s="1"/>
  <c r="BC111" i="1"/>
  <c r="AD111" i="1" s="1"/>
  <c r="BC160" i="1"/>
  <c r="AD160" i="1" s="1"/>
  <c r="AP5" i="1"/>
  <c r="AQ5" i="1"/>
  <c r="AR5" i="1"/>
  <c r="AS5" i="1"/>
  <c r="AT5" i="1"/>
  <c r="AU5" i="1"/>
  <c r="AP6" i="1"/>
  <c r="AQ6" i="1"/>
  <c r="AR6" i="1"/>
  <c r="AS6" i="1"/>
  <c r="AT6" i="1"/>
  <c r="AU6" i="1"/>
  <c r="AP7" i="1"/>
  <c r="AQ7" i="1"/>
  <c r="AR7" i="1"/>
  <c r="AS7" i="1"/>
  <c r="AT7" i="1"/>
  <c r="AU7" i="1"/>
  <c r="AP8" i="1"/>
  <c r="AQ8" i="1"/>
  <c r="AR8" i="1"/>
  <c r="AS8" i="1"/>
  <c r="AT8" i="1"/>
  <c r="AU8" i="1"/>
  <c r="AP9" i="1"/>
  <c r="AQ9" i="1"/>
  <c r="AR9" i="1"/>
  <c r="AS9" i="1"/>
  <c r="AT9" i="1"/>
  <c r="AU9" i="1"/>
  <c r="AP10" i="1"/>
  <c r="AQ10" i="1"/>
  <c r="AR10" i="1"/>
  <c r="AS10" i="1"/>
  <c r="AT10" i="1"/>
  <c r="AU10" i="1"/>
  <c r="AP11" i="1"/>
  <c r="AQ11" i="1"/>
  <c r="AR11" i="1"/>
  <c r="AS11" i="1"/>
  <c r="AT11" i="1"/>
  <c r="AU11" i="1"/>
  <c r="AP12" i="1"/>
  <c r="AQ12" i="1"/>
  <c r="AR12" i="1"/>
  <c r="AS12" i="1"/>
  <c r="AT12" i="1"/>
  <c r="AU12" i="1"/>
  <c r="AP13" i="1"/>
  <c r="AQ13" i="1"/>
  <c r="AR13" i="1"/>
  <c r="AS13" i="1"/>
  <c r="AT13" i="1"/>
  <c r="AU13" i="1"/>
  <c r="AP14" i="1"/>
  <c r="AQ14" i="1"/>
  <c r="AR14" i="1"/>
  <c r="AS14" i="1"/>
  <c r="AT14" i="1"/>
  <c r="AU14" i="1"/>
  <c r="AP15" i="1"/>
  <c r="AQ15" i="1"/>
  <c r="AR15" i="1"/>
  <c r="AS15" i="1"/>
  <c r="AT15" i="1"/>
  <c r="AU15" i="1"/>
  <c r="AP16" i="1"/>
  <c r="AQ16" i="1"/>
  <c r="AR16" i="1"/>
  <c r="AS16" i="1"/>
  <c r="AT16" i="1"/>
  <c r="AU16" i="1"/>
  <c r="AP17" i="1"/>
  <c r="AQ17" i="1"/>
  <c r="AR17" i="1"/>
  <c r="AS17" i="1"/>
  <c r="AT17" i="1"/>
  <c r="AU17" i="1"/>
  <c r="AP18" i="1"/>
  <c r="AQ18" i="1"/>
  <c r="AR18" i="1"/>
  <c r="AS18" i="1"/>
  <c r="AT18" i="1"/>
  <c r="AU18" i="1"/>
  <c r="AP19" i="1"/>
  <c r="AQ19" i="1"/>
  <c r="AR19" i="1"/>
  <c r="AS19" i="1"/>
  <c r="AT19" i="1"/>
  <c r="AU19" i="1"/>
  <c r="AP20" i="1"/>
  <c r="AQ20" i="1"/>
  <c r="AR20" i="1"/>
  <c r="AS20" i="1"/>
  <c r="AT20" i="1"/>
  <c r="AU20" i="1"/>
  <c r="AP21" i="1"/>
  <c r="AQ21" i="1"/>
  <c r="AR21" i="1"/>
  <c r="AS21" i="1"/>
  <c r="AT21" i="1"/>
  <c r="AU21" i="1"/>
  <c r="AP22" i="1"/>
  <c r="AQ22" i="1"/>
  <c r="AR22" i="1"/>
  <c r="AS22" i="1"/>
  <c r="AT22" i="1"/>
  <c r="AU22" i="1"/>
  <c r="AP23" i="1"/>
  <c r="AQ23" i="1"/>
  <c r="AR23" i="1"/>
  <c r="AS23" i="1"/>
  <c r="AT23" i="1"/>
  <c r="AU23" i="1"/>
  <c r="AP24" i="1"/>
  <c r="AQ24" i="1"/>
  <c r="AR24" i="1"/>
  <c r="AS24" i="1"/>
  <c r="AT24" i="1"/>
  <c r="AU24" i="1"/>
  <c r="AP25" i="1"/>
  <c r="AQ25" i="1"/>
  <c r="AR25" i="1"/>
  <c r="AS25" i="1"/>
  <c r="AT25" i="1"/>
  <c r="AU25" i="1"/>
  <c r="AP26" i="1"/>
  <c r="AQ26" i="1"/>
  <c r="AR26" i="1"/>
  <c r="AS26" i="1"/>
  <c r="AT26" i="1"/>
  <c r="AU26" i="1"/>
  <c r="AP27" i="1"/>
  <c r="AQ27" i="1"/>
  <c r="AR27" i="1"/>
  <c r="AS27" i="1"/>
  <c r="AT27" i="1"/>
  <c r="AU27" i="1"/>
  <c r="AP28" i="1"/>
  <c r="AQ28" i="1"/>
  <c r="AR28" i="1"/>
  <c r="AS28" i="1"/>
  <c r="AT28" i="1"/>
  <c r="AU28" i="1"/>
  <c r="AP29" i="1"/>
  <c r="AQ29" i="1"/>
  <c r="AR29" i="1"/>
  <c r="AS29" i="1"/>
  <c r="AT29" i="1"/>
  <c r="AU29" i="1"/>
  <c r="AP30" i="1"/>
  <c r="AQ30" i="1"/>
  <c r="AR30" i="1"/>
  <c r="AS30" i="1"/>
  <c r="AT30" i="1"/>
  <c r="AU30" i="1"/>
  <c r="AP31" i="1"/>
  <c r="AQ31" i="1"/>
  <c r="AR31" i="1"/>
  <c r="AS31" i="1"/>
  <c r="AT31" i="1"/>
  <c r="AU31" i="1"/>
  <c r="AP32" i="1"/>
  <c r="AQ32" i="1"/>
  <c r="AR32" i="1"/>
  <c r="AS32" i="1"/>
  <c r="AT32" i="1"/>
  <c r="AU32" i="1"/>
  <c r="AP33" i="1"/>
  <c r="AQ33" i="1"/>
  <c r="AR33" i="1"/>
  <c r="AS33" i="1"/>
  <c r="AT33" i="1"/>
  <c r="AU33" i="1"/>
  <c r="AP34" i="1"/>
  <c r="AQ34" i="1"/>
  <c r="AR34" i="1"/>
  <c r="AS34" i="1"/>
  <c r="AT34" i="1"/>
  <c r="AU34" i="1"/>
  <c r="AP35" i="1"/>
  <c r="AQ35" i="1"/>
  <c r="AR35" i="1"/>
  <c r="AS35" i="1"/>
  <c r="AT35" i="1"/>
  <c r="AU35" i="1"/>
  <c r="AP36" i="1"/>
  <c r="AQ36" i="1"/>
  <c r="AR36" i="1"/>
  <c r="AS36" i="1"/>
  <c r="AT36" i="1"/>
  <c r="AU36" i="1"/>
  <c r="AP37" i="1"/>
  <c r="AQ37" i="1"/>
  <c r="AR37" i="1"/>
  <c r="AS37" i="1"/>
  <c r="AT37" i="1"/>
  <c r="AU37" i="1"/>
  <c r="AP38" i="1"/>
  <c r="AQ38" i="1"/>
  <c r="AR38" i="1"/>
  <c r="AS38" i="1"/>
  <c r="AT38" i="1"/>
  <c r="AU38" i="1"/>
  <c r="AP39" i="1"/>
  <c r="AQ39" i="1"/>
  <c r="AR39" i="1"/>
  <c r="AS39" i="1"/>
  <c r="AT39" i="1"/>
  <c r="AU39" i="1"/>
  <c r="AP40" i="1"/>
  <c r="AQ40" i="1"/>
  <c r="AR40" i="1"/>
  <c r="AS40" i="1"/>
  <c r="AT40" i="1"/>
  <c r="AU40" i="1"/>
  <c r="AP42" i="1"/>
  <c r="AQ42" i="1"/>
  <c r="AR42" i="1"/>
  <c r="AS42" i="1"/>
  <c r="AT42" i="1"/>
  <c r="AU42" i="1"/>
  <c r="AP43" i="1"/>
  <c r="AQ43" i="1"/>
  <c r="AR43" i="1"/>
  <c r="AS43" i="1"/>
  <c r="AT43" i="1"/>
  <c r="AU43" i="1"/>
  <c r="AP44" i="1"/>
  <c r="AQ44" i="1"/>
  <c r="AR44" i="1"/>
  <c r="AS44" i="1"/>
  <c r="AT44" i="1"/>
  <c r="AU44" i="1"/>
  <c r="AP45" i="1"/>
  <c r="AQ45" i="1"/>
  <c r="AR45" i="1"/>
  <c r="AS45" i="1"/>
  <c r="AT45" i="1"/>
  <c r="AU45" i="1"/>
  <c r="AP46" i="1"/>
  <c r="AQ46" i="1"/>
  <c r="AR46" i="1"/>
  <c r="AS46" i="1"/>
  <c r="AT46" i="1"/>
  <c r="AU46" i="1"/>
  <c r="AP47" i="1"/>
  <c r="AQ47" i="1"/>
  <c r="AR47" i="1"/>
  <c r="AS47" i="1"/>
  <c r="AT47" i="1"/>
  <c r="AU47" i="1"/>
  <c r="AP48" i="1"/>
  <c r="AQ48" i="1"/>
  <c r="AR48" i="1"/>
  <c r="AS48" i="1"/>
  <c r="AT48" i="1"/>
  <c r="AU48" i="1"/>
  <c r="AP49" i="1"/>
  <c r="AQ49" i="1"/>
  <c r="AR49" i="1"/>
  <c r="AS49" i="1"/>
  <c r="AT49" i="1"/>
  <c r="AU49" i="1"/>
  <c r="AP50" i="1"/>
  <c r="AQ50" i="1"/>
  <c r="AR50" i="1"/>
  <c r="AS50" i="1"/>
  <c r="AT50" i="1"/>
  <c r="AU50" i="1"/>
  <c r="AP51" i="1"/>
  <c r="AQ51" i="1"/>
  <c r="AR51" i="1"/>
  <c r="AS51" i="1"/>
  <c r="AT51" i="1"/>
  <c r="AU51" i="1"/>
  <c r="AP52" i="1"/>
  <c r="AQ52" i="1"/>
  <c r="AR52" i="1"/>
  <c r="AS52" i="1"/>
  <c r="AT52" i="1"/>
  <c r="AU52" i="1"/>
  <c r="AP53" i="1"/>
  <c r="AQ53" i="1"/>
  <c r="AR53" i="1"/>
  <c r="AS53" i="1"/>
  <c r="AT53" i="1"/>
  <c r="AU53" i="1"/>
  <c r="AP54" i="1"/>
  <c r="AQ54" i="1"/>
  <c r="AR54" i="1"/>
  <c r="AS54" i="1"/>
  <c r="AT54" i="1"/>
  <c r="AU54" i="1"/>
  <c r="AP55" i="1"/>
  <c r="AQ55" i="1"/>
  <c r="AR55" i="1"/>
  <c r="AS55" i="1"/>
  <c r="AT55" i="1"/>
  <c r="AU55" i="1"/>
  <c r="AP56" i="1"/>
  <c r="AQ56" i="1"/>
  <c r="AR56" i="1"/>
  <c r="AS56" i="1"/>
  <c r="AT56" i="1"/>
  <c r="AU56" i="1"/>
  <c r="AP57" i="1"/>
  <c r="AQ57" i="1"/>
  <c r="AR57" i="1"/>
  <c r="AS57" i="1"/>
  <c r="AT57" i="1"/>
  <c r="AU57" i="1"/>
  <c r="AP58" i="1"/>
  <c r="AQ58" i="1"/>
  <c r="AR58" i="1"/>
  <c r="AS58" i="1"/>
  <c r="AT58" i="1"/>
  <c r="AU58" i="1"/>
  <c r="AP59" i="1"/>
  <c r="AQ59" i="1"/>
  <c r="AR59" i="1"/>
  <c r="AS59" i="1"/>
  <c r="AT59" i="1"/>
  <c r="AU59" i="1"/>
  <c r="AP60" i="1"/>
  <c r="AQ60" i="1"/>
  <c r="AR60" i="1"/>
  <c r="AS60" i="1"/>
  <c r="AT60" i="1"/>
  <c r="AU60" i="1"/>
  <c r="AP61" i="1"/>
  <c r="AQ61" i="1"/>
  <c r="AR61" i="1"/>
  <c r="AS61" i="1"/>
  <c r="AT61" i="1"/>
  <c r="AU61" i="1"/>
  <c r="AP63" i="1"/>
  <c r="AQ63" i="1"/>
  <c r="AR63" i="1"/>
  <c r="AS63" i="1"/>
  <c r="AT63" i="1"/>
  <c r="AU63" i="1"/>
  <c r="AP65" i="1"/>
  <c r="AQ65" i="1"/>
  <c r="AR65" i="1"/>
  <c r="AS65" i="1"/>
  <c r="AT65" i="1"/>
  <c r="AU65" i="1"/>
  <c r="AP67" i="1"/>
  <c r="AQ67" i="1"/>
  <c r="AR67" i="1"/>
  <c r="AS67" i="1"/>
  <c r="AT67" i="1"/>
  <c r="AU67" i="1"/>
  <c r="AP69" i="1"/>
  <c r="AQ69" i="1"/>
  <c r="AR69" i="1"/>
  <c r="AS69" i="1"/>
  <c r="AT69" i="1"/>
  <c r="AU69" i="1"/>
  <c r="AP71" i="1"/>
  <c r="AQ71" i="1"/>
  <c r="AR71" i="1"/>
  <c r="AS71" i="1"/>
  <c r="AT71" i="1"/>
  <c r="AU71" i="1"/>
  <c r="AP73" i="1"/>
  <c r="AQ73" i="1"/>
  <c r="AR73" i="1"/>
  <c r="AS73" i="1"/>
  <c r="AT73" i="1"/>
  <c r="AU73" i="1"/>
  <c r="AP75" i="1"/>
  <c r="AQ75" i="1"/>
  <c r="AR75" i="1"/>
  <c r="AS75" i="1"/>
  <c r="AT75" i="1"/>
  <c r="AU75" i="1"/>
  <c r="AP76" i="1"/>
  <c r="AQ76" i="1"/>
  <c r="AR76" i="1"/>
  <c r="AS76" i="1"/>
  <c r="AT76" i="1"/>
  <c r="AU76" i="1"/>
  <c r="AP77" i="1"/>
  <c r="AQ77" i="1"/>
  <c r="AR77" i="1"/>
  <c r="AS77" i="1"/>
  <c r="AT77" i="1"/>
  <c r="AU77" i="1"/>
  <c r="AP78" i="1"/>
  <c r="AQ78" i="1"/>
  <c r="AR78" i="1"/>
  <c r="AS78" i="1"/>
  <c r="AT78" i="1"/>
  <c r="AU78" i="1"/>
  <c r="AP79" i="1"/>
  <c r="AQ79" i="1"/>
  <c r="AR79" i="1"/>
  <c r="AS79" i="1"/>
  <c r="AT79" i="1"/>
  <c r="AU79" i="1"/>
  <c r="AP80" i="1"/>
  <c r="AQ80" i="1"/>
  <c r="AR80" i="1"/>
  <c r="AS80" i="1"/>
  <c r="AT80" i="1"/>
  <c r="AU80" i="1"/>
  <c r="AP81" i="1"/>
  <c r="AQ81" i="1"/>
  <c r="AR81" i="1"/>
  <c r="AS81" i="1"/>
  <c r="AT81" i="1"/>
  <c r="AU81" i="1"/>
  <c r="AP82" i="1"/>
  <c r="AQ82" i="1"/>
  <c r="AR82" i="1"/>
  <c r="AS82" i="1"/>
  <c r="AT82" i="1"/>
  <c r="AU82" i="1"/>
  <c r="AP84" i="1"/>
  <c r="AQ84" i="1"/>
  <c r="AR84" i="1"/>
  <c r="AS84" i="1"/>
  <c r="AT84" i="1"/>
  <c r="AU84" i="1"/>
  <c r="AP86" i="1"/>
  <c r="AQ86" i="1"/>
  <c r="AR86" i="1"/>
  <c r="AS86" i="1"/>
  <c r="AT86" i="1"/>
  <c r="AU86" i="1"/>
  <c r="AP88" i="1"/>
  <c r="AQ88" i="1"/>
  <c r="AR88" i="1"/>
  <c r="AS88" i="1"/>
  <c r="AT88" i="1"/>
  <c r="AU88" i="1"/>
  <c r="AP90" i="1"/>
  <c r="AQ90" i="1"/>
  <c r="AR90" i="1"/>
  <c r="AS90" i="1"/>
  <c r="AT90" i="1"/>
  <c r="AU90" i="1"/>
  <c r="AP92" i="1"/>
  <c r="AQ92" i="1"/>
  <c r="AR92" i="1"/>
  <c r="AS92" i="1"/>
  <c r="AT92" i="1"/>
  <c r="AU92" i="1"/>
  <c r="AP94" i="1"/>
  <c r="AQ94" i="1"/>
  <c r="AR94" i="1"/>
  <c r="AS94" i="1"/>
  <c r="AT94" i="1"/>
  <c r="AU94" i="1"/>
  <c r="AP96" i="1"/>
  <c r="AQ96" i="1"/>
  <c r="AR96" i="1"/>
  <c r="AS96" i="1"/>
  <c r="AT96" i="1"/>
  <c r="AU96" i="1"/>
  <c r="AP98" i="1"/>
  <c r="AQ98" i="1"/>
  <c r="AR98" i="1"/>
  <c r="AS98" i="1"/>
  <c r="AT98" i="1"/>
  <c r="AU98" i="1"/>
  <c r="AP100" i="1"/>
  <c r="AQ100" i="1"/>
  <c r="AR100" i="1"/>
  <c r="AS100" i="1"/>
  <c r="AT100" i="1"/>
  <c r="AU100" i="1"/>
  <c r="AP102" i="1"/>
  <c r="AQ102" i="1"/>
  <c r="AR102" i="1"/>
  <c r="AS102" i="1"/>
  <c r="AT102" i="1"/>
  <c r="AU102" i="1"/>
  <c r="AP104" i="1"/>
  <c r="AQ104" i="1"/>
  <c r="AR104" i="1"/>
  <c r="AS104" i="1"/>
  <c r="AT104" i="1"/>
  <c r="AU104" i="1"/>
  <c r="AP106" i="1"/>
  <c r="AQ106" i="1"/>
  <c r="AR106" i="1"/>
  <c r="AS106" i="1"/>
  <c r="AT106" i="1"/>
  <c r="AU106" i="1"/>
  <c r="AP108" i="1"/>
  <c r="AQ108" i="1"/>
  <c r="AR108" i="1"/>
  <c r="AS108" i="1"/>
  <c r="AT108" i="1"/>
  <c r="AU108" i="1"/>
  <c r="AP110" i="1"/>
  <c r="AQ110" i="1"/>
  <c r="AR110" i="1"/>
  <c r="AS110" i="1"/>
  <c r="AT110" i="1"/>
  <c r="AU110" i="1"/>
  <c r="AP112" i="1"/>
  <c r="AQ112" i="1"/>
  <c r="AR112" i="1"/>
  <c r="AS112" i="1"/>
  <c r="AT112" i="1"/>
  <c r="AU112" i="1"/>
  <c r="AP113" i="1"/>
  <c r="AQ113" i="1"/>
  <c r="AR113" i="1"/>
  <c r="AS113" i="1"/>
  <c r="AT113" i="1"/>
  <c r="AU113" i="1"/>
  <c r="AP114" i="1"/>
  <c r="AQ114" i="1"/>
  <c r="AR114" i="1"/>
  <c r="AS114" i="1"/>
  <c r="AT114" i="1"/>
  <c r="AU114" i="1"/>
  <c r="AP115" i="1"/>
  <c r="AQ115" i="1"/>
  <c r="AR115" i="1"/>
  <c r="AS115" i="1"/>
  <c r="AT115" i="1"/>
  <c r="AU115" i="1"/>
  <c r="AP116" i="1"/>
  <c r="AQ116" i="1"/>
  <c r="AR116" i="1"/>
  <c r="AS116" i="1"/>
  <c r="AT116" i="1"/>
  <c r="AU116" i="1"/>
  <c r="AP117" i="1"/>
  <c r="AQ117" i="1"/>
  <c r="AR117" i="1"/>
  <c r="AS117" i="1"/>
  <c r="AT117" i="1"/>
  <c r="AU117" i="1"/>
  <c r="AP118" i="1"/>
  <c r="AQ118" i="1"/>
  <c r="AR118" i="1"/>
  <c r="AS118" i="1"/>
  <c r="AT118" i="1"/>
  <c r="AU118" i="1"/>
  <c r="AP119" i="1"/>
  <c r="AQ119" i="1"/>
  <c r="AR119" i="1"/>
  <c r="AS119" i="1"/>
  <c r="AT119" i="1"/>
  <c r="AU119" i="1"/>
  <c r="AP120" i="1"/>
  <c r="AQ120" i="1"/>
  <c r="AR120" i="1"/>
  <c r="AS120" i="1"/>
  <c r="AT120" i="1"/>
  <c r="AU120" i="1"/>
  <c r="AP121" i="1"/>
  <c r="AQ121" i="1"/>
  <c r="AR121" i="1"/>
  <c r="AS121" i="1"/>
  <c r="AT121" i="1"/>
  <c r="AU121" i="1"/>
  <c r="AP122" i="1"/>
  <c r="AQ122" i="1"/>
  <c r="AR122" i="1"/>
  <c r="AS122" i="1"/>
  <c r="AT122" i="1"/>
  <c r="AU122" i="1"/>
  <c r="AP123" i="1"/>
  <c r="AQ123" i="1"/>
  <c r="AR123" i="1"/>
  <c r="AS123" i="1"/>
  <c r="AT123" i="1"/>
  <c r="AU123" i="1"/>
  <c r="AP124" i="1"/>
  <c r="AQ124" i="1"/>
  <c r="AR124" i="1"/>
  <c r="AS124" i="1"/>
  <c r="AT124" i="1"/>
  <c r="AU124" i="1"/>
  <c r="AP125" i="1"/>
  <c r="AQ125" i="1"/>
  <c r="AR125" i="1"/>
  <c r="AS125" i="1"/>
  <c r="AT125" i="1"/>
  <c r="AU125" i="1"/>
  <c r="AP126" i="1"/>
  <c r="AQ126" i="1"/>
  <c r="AR126" i="1"/>
  <c r="AS126" i="1"/>
  <c r="AT126" i="1"/>
  <c r="AU126" i="1"/>
  <c r="AP127" i="1"/>
  <c r="AQ127" i="1"/>
  <c r="AR127" i="1"/>
  <c r="AS127" i="1"/>
  <c r="AT127" i="1"/>
  <c r="AU127" i="1"/>
  <c r="AP128" i="1"/>
  <c r="AQ128" i="1"/>
  <c r="AR128" i="1"/>
  <c r="AS128" i="1"/>
  <c r="AT128" i="1"/>
  <c r="AU128" i="1"/>
  <c r="AP129" i="1"/>
  <c r="AQ129" i="1"/>
  <c r="AR129" i="1"/>
  <c r="AS129" i="1"/>
  <c r="AT129" i="1"/>
  <c r="AU129" i="1"/>
  <c r="AP130" i="1"/>
  <c r="AQ130" i="1"/>
  <c r="AR130" i="1"/>
  <c r="AS130" i="1"/>
  <c r="AT130" i="1"/>
  <c r="AU130" i="1"/>
  <c r="AP131" i="1"/>
  <c r="AQ131" i="1"/>
  <c r="AR131" i="1"/>
  <c r="AS131" i="1"/>
  <c r="AT131" i="1"/>
  <c r="AU131" i="1"/>
  <c r="AP132" i="1"/>
  <c r="AQ132" i="1"/>
  <c r="AR132" i="1"/>
  <c r="AS132" i="1"/>
  <c r="AT132" i="1"/>
  <c r="AU132" i="1"/>
  <c r="AP133" i="1"/>
  <c r="AQ133" i="1"/>
  <c r="AR133" i="1"/>
  <c r="AS133" i="1"/>
  <c r="AT133" i="1"/>
  <c r="AU133" i="1"/>
  <c r="AP134" i="1"/>
  <c r="AQ134" i="1"/>
  <c r="AR134" i="1"/>
  <c r="AS134" i="1"/>
  <c r="AT134" i="1"/>
  <c r="AU134" i="1"/>
  <c r="AP135" i="1"/>
  <c r="AQ135" i="1"/>
  <c r="AR135" i="1"/>
  <c r="AS135" i="1"/>
  <c r="AT135" i="1"/>
  <c r="AU135" i="1"/>
  <c r="AP136" i="1"/>
  <c r="AQ136" i="1"/>
  <c r="AR136" i="1"/>
  <c r="AS136" i="1"/>
  <c r="AT136" i="1"/>
  <c r="AU136" i="1"/>
  <c r="AP137" i="1"/>
  <c r="AQ137" i="1"/>
  <c r="AR137" i="1"/>
  <c r="AS137" i="1"/>
  <c r="AT137" i="1"/>
  <c r="AU137" i="1"/>
  <c r="AP138" i="1"/>
  <c r="AQ138" i="1"/>
  <c r="AR138" i="1"/>
  <c r="AS138" i="1"/>
  <c r="AT138" i="1"/>
  <c r="AU138" i="1"/>
  <c r="AP139" i="1"/>
  <c r="AQ139" i="1"/>
  <c r="AR139" i="1"/>
  <c r="AS139" i="1"/>
  <c r="AT139" i="1"/>
  <c r="AU139" i="1"/>
  <c r="AP140" i="1"/>
  <c r="AQ140" i="1"/>
  <c r="AR140" i="1"/>
  <c r="AS140" i="1"/>
  <c r="AT140" i="1"/>
  <c r="AU140" i="1"/>
  <c r="AP141" i="1"/>
  <c r="AQ141" i="1"/>
  <c r="AR141" i="1"/>
  <c r="AS141" i="1"/>
  <c r="AT141" i="1"/>
  <c r="AU141" i="1"/>
  <c r="AP142" i="1"/>
  <c r="AQ142" i="1"/>
  <c r="AR142" i="1"/>
  <c r="AS142" i="1"/>
  <c r="AT142" i="1"/>
  <c r="AU142" i="1"/>
  <c r="AP143" i="1"/>
  <c r="AQ143" i="1"/>
  <c r="AR143" i="1"/>
  <c r="AS143" i="1"/>
  <c r="AT143" i="1"/>
  <c r="AU143" i="1"/>
  <c r="AP144" i="1"/>
  <c r="AQ144" i="1"/>
  <c r="AR144" i="1"/>
  <c r="AS144" i="1"/>
  <c r="AT144" i="1"/>
  <c r="AU144" i="1"/>
  <c r="AP145" i="1"/>
  <c r="AQ145" i="1"/>
  <c r="AR145" i="1"/>
  <c r="AS145" i="1"/>
  <c r="AT145" i="1"/>
  <c r="AU145" i="1"/>
  <c r="AP146" i="1"/>
  <c r="AQ146" i="1"/>
  <c r="AR146" i="1"/>
  <c r="AS146" i="1"/>
  <c r="AT146" i="1"/>
  <c r="AU146" i="1"/>
  <c r="AP148" i="1"/>
  <c r="AQ148" i="1"/>
  <c r="AR148" i="1"/>
  <c r="AS148" i="1"/>
  <c r="AT148" i="1"/>
  <c r="AU148" i="1"/>
  <c r="AP150" i="1"/>
  <c r="AQ150" i="1"/>
  <c r="AR150" i="1"/>
  <c r="AS150" i="1"/>
  <c r="AT150" i="1"/>
  <c r="AU150" i="1"/>
  <c r="AP152" i="1"/>
  <c r="AQ152" i="1"/>
  <c r="AR152" i="1"/>
  <c r="AS152" i="1"/>
  <c r="AT152" i="1"/>
  <c r="AU152" i="1"/>
  <c r="AP153" i="1"/>
  <c r="AQ153" i="1"/>
  <c r="AR153" i="1"/>
  <c r="AS153" i="1"/>
  <c r="AT153" i="1"/>
  <c r="AU153" i="1"/>
  <c r="AP154" i="1"/>
  <c r="AQ154" i="1"/>
  <c r="AR154" i="1"/>
  <c r="AS154" i="1"/>
  <c r="AT154" i="1"/>
  <c r="AU154" i="1"/>
  <c r="AP155" i="1"/>
  <c r="AQ155" i="1"/>
  <c r="AR155" i="1"/>
  <c r="AS155" i="1"/>
  <c r="AT155" i="1"/>
  <c r="AU155" i="1"/>
  <c r="AP156" i="1"/>
  <c r="AQ156" i="1"/>
  <c r="AR156" i="1"/>
  <c r="AS156" i="1"/>
  <c r="AT156" i="1"/>
  <c r="AU156" i="1"/>
  <c r="AP157" i="1"/>
  <c r="AQ157" i="1"/>
  <c r="AR157" i="1"/>
  <c r="AS157" i="1"/>
  <c r="AT157" i="1"/>
  <c r="AU157" i="1"/>
  <c r="AP159" i="1"/>
  <c r="AQ159" i="1"/>
  <c r="AR159" i="1"/>
  <c r="AS159" i="1"/>
  <c r="AT159" i="1"/>
  <c r="AU159" i="1"/>
  <c r="AP161" i="1"/>
  <c r="AQ161" i="1"/>
  <c r="AR161" i="1"/>
  <c r="AS161" i="1"/>
  <c r="AT161" i="1"/>
  <c r="AU161" i="1"/>
  <c r="AP163" i="1"/>
  <c r="AQ163" i="1"/>
  <c r="AR163" i="1"/>
  <c r="AS163" i="1"/>
  <c r="AT163" i="1"/>
  <c r="AU163" i="1"/>
  <c r="AP164" i="1"/>
  <c r="AQ164" i="1"/>
  <c r="AR164" i="1"/>
  <c r="AS164" i="1"/>
  <c r="AT164" i="1"/>
  <c r="AU164" i="1"/>
  <c r="AP166" i="1"/>
  <c r="AQ166" i="1"/>
  <c r="AR166" i="1"/>
  <c r="AS166" i="1"/>
  <c r="AT166" i="1"/>
  <c r="AU166" i="1"/>
  <c r="AP168" i="1"/>
  <c r="AQ168" i="1"/>
  <c r="AR168" i="1"/>
  <c r="AS168" i="1"/>
  <c r="AT168" i="1"/>
  <c r="AU168" i="1"/>
  <c r="AP169" i="1"/>
  <c r="AQ169" i="1"/>
  <c r="AR169" i="1"/>
  <c r="AS169" i="1"/>
  <c r="AT169" i="1"/>
  <c r="AU169" i="1"/>
  <c r="AP170" i="1"/>
  <c r="AQ170" i="1"/>
  <c r="AR170" i="1"/>
  <c r="AS170" i="1"/>
  <c r="AT170" i="1"/>
  <c r="AU170" i="1"/>
  <c r="AP171" i="1"/>
  <c r="AQ171" i="1"/>
  <c r="AR171" i="1"/>
  <c r="AS171" i="1"/>
  <c r="AT171" i="1"/>
  <c r="AU171" i="1"/>
  <c r="AP173" i="1"/>
  <c r="AQ173" i="1"/>
  <c r="AR173" i="1"/>
  <c r="AS173" i="1"/>
  <c r="AT173" i="1"/>
  <c r="AU173" i="1"/>
  <c r="AP174" i="1"/>
  <c r="AQ174" i="1"/>
  <c r="AR174" i="1"/>
  <c r="AS174" i="1"/>
  <c r="AT174" i="1"/>
  <c r="AU174" i="1"/>
  <c r="AP175" i="1"/>
  <c r="AQ175" i="1"/>
  <c r="AR175" i="1"/>
  <c r="AS175" i="1"/>
  <c r="AT175" i="1"/>
  <c r="AU175" i="1"/>
  <c r="AP176" i="1"/>
  <c r="AQ176" i="1"/>
  <c r="AR176" i="1"/>
  <c r="AS176" i="1"/>
  <c r="AT176" i="1"/>
  <c r="AU176" i="1"/>
  <c r="AP177" i="1"/>
  <c r="AQ177" i="1"/>
  <c r="AR177" i="1"/>
  <c r="AS177" i="1"/>
  <c r="AT177" i="1"/>
  <c r="AU177" i="1"/>
  <c r="AP178" i="1"/>
  <c r="AQ178" i="1"/>
  <c r="AR178" i="1"/>
  <c r="AS178" i="1"/>
  <c r="AT178" i="1"/>
  <c r="AU178" i="1"/>
  <c r="AP179" i="1"/>
  <c r="AQ179" i="1"/>
  <c r="AR179" i="1"/>
  <c r="AS179" i="1"/>
  <c r="AT179" i="1"/>
  <c r="AU179" i="1"/>
  <c r="AP180" i="1"/>
  <c r="AQ180" i="1"/>
  <c r="AR180" i="1"/>
  <c r="AS180" i="1"/>
  <c r="AT180" i="1"/>
  <c r="AU180" i="1"/>
  <c r="AP181" i="1"/>
  <c r="AQ181" i="1"/>
  <c r="AR181" i="1"/>
  <c r="AS181" i="1"/>
  <c r="AT181" i="1"/>
  <c r="AU181" i="1"/>
  <c r="AP182" i="1"/>
  <c r="AQ182" i="1"/>
  <c r="AR182" i="1"/>
  <c r="AS182" i="1"/>
  <c r="AT182" i="1"/>
  <c r="AU182" i="1"/>
  <c r="AP183" i="1"/>
  <c r="AQ183" i="1"/>
  <c r="AR183" i="1"/>
  <c r="AS183" i="1"/>
  <c r="AT183" i="1"/>
  <c r="AU183" i="1"/>
  <c r="AP184" i="1"/>
  <c r="AQ184" i="1"/>
  <c r="AR184" i="1"/>
  <c r="AS184" i="1"/>
  <c r="AT184" i="1"/>
  <c r="AU184" i="1"/>
  <c r="AP185" i="1"/>
  <c r="AQ185" i="1"/>
  <c r="AR185" i="1"/>
  <c r="AS185" i="1"/>
  <c r="AT185" i="1"/>
  <c r="AU185" i="1"/>
  <c r="AP186" i="1"/>
  <c r="AQ186" i="1"/>
  <c r="AR186" i="1"/>
  <c r="AS186" i="1"/>
  <c r="AT186" i="1"/>
  <c r="AU186" i="1"/>
  <c r="AP187" i="1"/>
  <c r="AQ187" i="1"/>
  <c r="AR187" i="1"/>
  <c r="AS187" i="1"/>
  <c r="AT187" i="1"/>
  <c r="AU187" i="1"/>
  <c r="AP188" i="1"/>
  <c r="AQ188" i="1"/>
  <c r="AR188" i="1"/>
  <c r="AS188" i="1"/>
  <c r="AT188" i="1"/>
  <c r="AU188" i="1"/>
  <c r="AP189" i="1"/>
  <c r="AQ189" i="1"/>
  <c r="AR189" i="1"/>
  <c r="AS189" i="1"/>
  <c r="AT189" i="1"/>
  <c r="AU189" i="1"/>
  <c r="AP190" i="1"/>
  <c r="AQ190" i="1"/>
  <c r="AR190" i="1"/>
  <c r="AS190" i="1"/>
  <c r="AT190" i="1"/>
  <c r="AU190" i="1"/>
  <c r="AP191" i="1"/>
  <c r="AQ191" i="1"/>
  <c r="AR191" i="1"/>
  <c r="AS191" i="1"/>
  <c r="AT191" i="1"/>
  <c r="AU191" i="1"/>
  <c r="AP193" i="1"/>
  <c r="AQ193" i="1"/>
  <c r="AR193" i="1"/>
  <c r="AS193" i="1"/>
  <c r="AT193" i="1"/>
  <c r="AU193" i="1"/>
  <c r="AP195" i="1"/>
  <c r="AQ195" i="1"/>
  <c r="AR195" i="1"/>
  <c r="AS195" i="1"/>
  <c r="AT195" i="1"/>
  <c r="AU195" i="1"/>
  <c r="AP197" i="1"/>
  <c r="AQ197" i="1"/>
  <c r="AR197" i="1"/>
  <c r="AS197" i="1"/>
  <c r="AT197" i="1"/>
  <c r="AU197" i="1"/>
  <c r="AP199" i="1"/>
  <c r="AQ199" i="1"/>
  <c r="AR199" i="1"/>
  <c r="AS199" i="1"/>
  <c r="AT199" i="1"/>
  <c r="AU199" i="1"/>
  <c r="AP201" i="1"/>
  <c r="AQ201" i="1"/>
  <c r="AR201" i="1"/>
  <c r="AS201" i="1"/>
  <c r="AT201" i="1"/>
  <c r="AU201" i="1"/>
  <c r="AP202" i="1"/>
  <c r="AQ202" i="1"/>
  <c r="AR202" i="1"/>
  <c r="AS202" i="1"/>
  <c r="AT202" i="1"/>
  <c r="AU202" i="1"/>
  <c r="AP203" i="1"/>
  <c r="AQ203" i="1"/>
  <c r="AR203" i="1"/>
  <c r="AS203" i="1"/>
  <c r="AT203" i="1"/>
  <c r="AU203" i="1"/>
  <c r="AP204" i="1"/>
  <c r="AQ204" i="1"/>
  <c r="AR204" i="1"/>
  <c r="AS204" i="1"/>
  <c r="AT204" i="1"/>
  <c r="AU204" i="1"/>
  <c r="AP205" i="1"/>
  <c r="AQ205" i="1"/>
  <c r="AR205" i="1"/>
  <c r="AS205" i="1"/>
  <c r="AT205" i="1"/>
  <c r="AU205" i="1"/>
  <c r="AP206" i="1"/>
  <c r="AQ206" i="1"/>
  <c r="AR206" i="1"/>
  <c r="AS206" i="1"/>
  <c r="AT206" i="1"/>
  <c r="AU206" i="1"/>
  <c r="AP207" i="1"/>
  <c r="AQ207" i="1"/>
  <c r="AR207" i="1"/>
  <c r="AS207" i="1"/>
  <c r="AT207" i="1"/>
  <c r="AU207" i="1"/>
  <c r="AP208" i="1"/>
  <c r="AQ208" i="1"/>
  <c r="AR208" i="1"/>
  <c r="AS208" i="1"/>
  <c r="AT208" i="1"/>
  <c r="AU208" i="1"/>
  <c r="AP209" i="1"/>
  <c r="AQ209" i="1"/>
  <c r="AR209" i="1"/>
  <c r="AS209" i="1"/>
  <c r="AT209" i="1"/>
  <c r="AU209" i="1"/>
  <c r="AP210" i="1"/>
  <c r="AQ210" i="1"/>
  <c r="AR210" i="1"/>
  <c r="AS210" i="1"/>
  <c r="AT210" i="1"/>
  <c r="AU210" i="1"/>
  <c r="AP211" i="1"/>
  <c r="AQ211" i="1"/>
  <c r="AR211" i="1"/>
  <c r="AS211" i="1"/>
  <c r="AT211" i="1"/>
  <c r="AU211" i="1"/>
  <c r="AP212" i="1"/>
  <c r="AQ212" i="1"/>
  <c r="AR212" i="1"/>
  <c r="AS212" i="1"/>
  <c r="AT212" i="1"/>
  <c r="AU212" i="1"/>
  <c r="AP213" i="1"/>
  <c r="AQ213" i="1"/>
  <c r="AR213" i="1"/>
  <c r="AS213" i="1"/>
  <c r="AT213" i="1"/>
  <c r="AU213" i="1"/>
  <c r="AP214" i="1"/>
  <c r="AQ214" i="1"/>
  <c r="AR214" i="1"/>
  <c r="AS214" i="1"/>
  <c r="AT214" i="1"/>
  <c r="AU214" i="1"/>
  <c r="AP215" i="1"/>
  <c r="AQ215" i="1"/>
  <c r="AR215" i="1"/>
  <c r="AS215" i="1"/>
  <c r="AT215" i="1"/>
  <c r="AU215" i="1"/>
  <c r="AP216" i="1"/>
  <c r="AQ216" i="1"/>
  <c r="AR216" i="1"/>
  <c r="AS216" i="1"/>
  <c r="AT216" i="1"/>
  <c r="AU216" i="1"/>
  <c r="AP217" i="1"/>
  <c r="AQ217" i="1"/>
  <c r="AR217" i="1"/>
  <c r="AS217" i="1"/>
  <c r="AT217" i="1"/>
  <c r="AU217" i="1"/>
  <c r="AP218" i="1"/>
  <c r="AQ218" i="1"/>
  <c r="AR218" i="1"/>
  <c r="AS218" i="1"/>
  <c r="AT218" i="1"/>
  <c r="AU218" i="1"/>
  <c r="AP219" i="1"/>
  <c r="AQ219" i="1"/>
  <c r="AR219" i="1"/>
  <c r="AS219" i="1"/>
  <c r="AT219" i="1"/>
  <c r="AU219" i="1"/>
  <c r="AP41" i="1"/>
  <c r="AQ41" i="1"/>
  <c r="AR41" i="1"/>
  <c r="AS41" i="1"/>
  <c r="AT41" i="1"/>
  <c r="AU41" i="1"/>
  <c r="AP62" i="1"/>
  <c r="AQ62" i="1"/>
  <c r="AR62" i="1"/>
  <c r="AS62" i="1"/>
  <c r="AT62" i="1"/>
  <c r="AU62" i="1"/>
  <c r="AP64" i="1"/>
  <c r="AQ64" i="1"/>
  <c r="AR64" i="1"/>
  <c r="AS64" i="1"/>
  <c r="AT64" i="1"/>
  <c r="AU64" i="1"/>
  <c r="AP66" i="1"/>
  <c r="AQ66" i="1"/>
  <c r="AR66" i="1"/>
  <c r="AS66" i="1"/>
  <c r="AT66" i="1"/>
  <c r="AU66" i="1"/>
  <c r="AP68" i="1"/>
  <c r="AQ68" i="1"/>
  <c r="AR68" i="1"/>
  <c r="AS68" i="1"/>
  <c r="AT68" i="1"/>
  <c r="AU68" i="1"/>
  <c r="AP70" i="1"/>
  <c r="AQ70" i="1"/>
  <c r="AR70" i="1"/>
  <c r="AS70" i="1"/>
  <c r="AT70" i="1"/>
  <c r="AU70" i="1"/>
  <c r="AP72" i="1"/>
  <c r="AQ72" i="1"/>
  <c r="AR72" i="1"/>
  <c r="AS72" i="1"/>
  <c r="AT72" i="1"/>
  <c r="AU72" i="1"/>
  <c r="AP74" i="1"/>
  <c r="AQ74" i="1"/>
  <c r="AR74" i="1"/>
  <c r="AS74" i="1"/>
  <c r="AT74" i="1"/>
  <c r="AU74" i="1"/>
  <c r="AP83" i="1"/>
  <c r="AQ83" i="1"/>
  <c r="AR83" i="1"/>
  <c r="AS83" i="1"/>
  <c r="AT83" i="1"/>
  <c r="AU83" i="1"/>
  <c r="AP85" i="1"/>
  <c r="AQ85" i="1"/>
  <c r="AR85" i="1"/>
  <c r="AS85" i="1"/>
  <c r="AT85" i="1"/>
  <c r="AU85" i="1"/>
  <c r="AP87" i="1"/>
  <c r="AQ87" i="1"/>
  <c r="AR87" i="1"/>
  <c r="AS87" i="1"/>
  <c r="AT87" i="1"/>
  <c r="AU87" i="1"/>
  <c r="AP89" i="1"/>
  <c r="AQ89" i="1"/>
  <c r="AR89" i="1"/>
  <c r="AS89" i="1"/>
  <c r="AT89" i="1"/>
  <c r="AU89" i="1"/>
  <c r="AP91" i="1"/>
  <c r="AQ91" i="1"/>
  <c r="AR91" i="1"/>
  <c r="AS91" i="1"/>
  <c r="AT91" i="1"/>
  <c r="AU91" i="1"/>
  <c r="AP93" i="1"/>
  <c r="AQ93" i="1"/>
  <c r="AR93" i="1"/>
  <c r="AS93" i="1"/>
  <c r="AT93" i="1"/>
  <c r="AU93" i="1"/>
  <c r="AP95" i="1"/>
  <c r="AQ95" i="1"/>
  <c r="AR95" i="1"/>
  <c r="AS95" i="1"/>
  <c r="AT95" i="1"/>
  <c r="AU95" i="1"/>
  <c r="AP97" i="1"/>
  <c r="AQ97" i="1"/>
  <c r="AR97" i="1"/>
  <c r="AS97" i="1"/>
  <c r="AT97" i="1"/>
  <c r="AU97" i="1"/>
  <c r="AP99" i="1"/>
  <c r="AQ99" i="1"/>
  <c r="AR99" i="1"/>
  <c r="AS99" i="1"/>
  <c r="AT99" i="1"/>
  <c r="AU99" i="1"/>
  <c r="AP101" i="1"/>
  <c r="AQ101" i="1"/>
  <c r="AR101" i="1"/>
  <c r="AS101" i="1"/>
  <c r="AT101" i="1"/>
  <c r="AU101" i="1"/>
  <c r="AP103" i="1"/>
  <c r="AQ103" i="1"/>
  <c r="AR103" i="1"/>
  <c r="AS103" i="1"/>
  <c r="AT103" i="1"/>
  <c r="AU103" i="1"/>
  <c r="AP105" i="1"/>
  <c r="AQ105" i="1"/>
  <c r="AR105" i="1"/>
  <c r="AS105" i="1"/>
  <c r="AT105" i="1"/>
  <c r="AU105" i="1"/>
  <c r="AP107" i="1"/>
  <c r="AQ107" i="1"/>
  <c r="AR107" i="1"/>
  <c r="AS107" i="1"/>
  <c r="AT107" i="1"/>
  <c r="AU107" i="1"/>
  <c r="AP109" i="1"/>
  <c r="AQ109" i="1"/>
  <c r="AR109" i="1"/>
  <c r="AS109" i="1"/>
  <c r="AT109" i="1"/>
  <c r="AU109" i="1"/>
  <c r="AP111" i="1"/>
  <c r="AQ111" i="1"/>
  <c r="AR111" i="1"/>
  <c r="AS111" i="1"/>
  <c r="AT111" i="1"/>
  <c r="AU111" i="1"/>
  <c r="AP147" i="1"/>
  <c r="AQ147" i="1"/>
  <c r="AR147" i="1"/>
  <c r="AS147" i="1"/>
  <c r="AT147" i="1"/>
  <c r="AU147" i="1"/>
  <c r="AP149" i="1"/>
  <c r="AQ149" i="1"/>
  <c r="AR149" i="1"/>
  <c r="AS149" i="1"/>
  <c r="AT149" i="1"/>
  <c r="AU149" i="1"/>
  <c r="AP151" i="1"/>
  <c r="AQ151" i="1"/>
  <c r="AR151" i="1"/>
  <c r="AS151" i="1"/>
  <c r="AT151" i="1"/>
  <c r="AU151" i="1"/>
  <c r="AP158" i="1"/>
  <c r="AQ158" i="1"/>
  <c r="AR158" i="1"/>
  <c r="AS158" i="1"/>
  <c r="AT158" i="1"/>
  <c r="AU158" i="1"/>
  <c r="AP160" i="1"/>
  <c r="AQ160" i="1"/>
  <c r="AR160" i="1"/>
  <c r="AS160" i="1"/>
  <c r="AT160" i="1"/>
  <c r="AU160" i="1"/>
  <c r="AP162" i="1"/>
  <c r="AQ162" i="1"/>
  <c r="AR162" i="1"/>
  <c r="AS162" i="1"/>
  <c r="AT162" i="1"/>
  <c r="AU162" i="1"/>
  <c r="AP165" i="1"/>
  <c r="AQ165" i="1"/>
  <c r="AR165" i="1"/>
  <c r="AS165" i="1"/>
  <c r="AT165" i="1"/>
  <c r="AU165" i="1"/>
  <c r="AP167" i="1"/>
  <c r="AQ167" i="1"/>
  <c r="AR167" i="1"/>
  <c r="AS167" i="1"/>
  <c r="AT167" i="1"/>
  <c r="AU167" i="1"/>
  <c r="AP172" i="1"/>
  <c r="AQ172" i="1"/>
  <c r="AR172" i="1"/>
  <c r="AS172" i="1"/>
  <c r="AT172" i="1"/>
  <c r="AU172" i="1"/>
  <c r="AP192" i="1"/>
  <c r="AQ192" i="1"/>
  <c r="AR192" i="1"/>
  <c r="AS192" i="1"/>
  <c r="AT192" i="1"/>
  <c r="AU192" i="1"/>
  <c r="AP194" i="1"/>
  <c r="AQ194" i="1"/>
  <c r="AR194" i="1"/>
  <c r="AS194" i="1"/>
  <c r="AT194" i="1"/>
  <c r="AU194" i="1"/>
  <c r="AP196" i="1"/>
  <c r="AQ196" i="1"/>
  <c r="AR196" i="1"/>
  <c r="AS196" i="1"/>
  <c r="AT196" i="1"/>
  <c r="AU196" i="1"/>
  <c r="AP198" i="1"/>
  <c r="AQ198" i="1"/>
  <c r="AR198" i="1"/>
  <c r="AS198" i="1"/>
  <c r="AT198" i="1"/>
  <c r="AU198" i="1"/>
  <c r="AP200" i="1"/>
  <c r="AQ200" i="1"/>
  <c r="AR200" i="1"/>
  <c r="AS200" i="1"/>
  <c r="AT200" i="1"/>
  <c r="AU200" i="1"/>
  <c r="AU4" i="1"/>
  <c r="AT4" i="1"/>
  <c r="AS4" i="1"/>
  <c r="AR4" i="1"/>
  <c r="AQ4" i="1"/>
  <c r="AP4" i="1"/>
  <c r="W200" i="1"/>
  <c r="AM200" i="1" s="1"/>
  <c r="W198" i="1"/>
  <c r="AM198" i="1" s="1"/>
  <c r="W196" i="1"/>
  <c r="AM196" i="1" s="1"/>
  <c r="W194" i="1"/>
  <c r="AM194" i="1" s="1"/>
  <c r="W192" i="1"/>
  <c r="AM192" i="1" s="1"/>
  <c r="W172" i="1"/>
  <c r="AM172" i="1" s="1"/>
  <c r="W167" i="1"/>
  <c r="AM167" i="1" s="1"/>
  <c r="W165" i="1"/>
  <c r="AM165" i="1" s="1"/>
  <c r="W162" i="1"/>
  <c r="AM162" i="1" s="1"/>
  <c r="W160" i="1"/>
  <c r="AM160" i="1" s="1"/>
  <c r="W158" i="1"/>
  <c r="AM158" i="1" s="1"/>
  <c r="W151" i="1"/>
  <c r="AM151" i="1" s="1"/>
  <c r="W149" i="1"/>
  <c r="AM149" i="1" s="1"/>
  <c r="W147" i="1"/>
  <c r="AM147" i="1" s="1"/>
  <c r="W111" i="1"/>
  <c r="AM111" i="1" s="1"/>
  <c r="W109" i="1"/>
  <c r="AM109" i="1" s="1"/>
  <c r="W107" i="1"/>
  <c r="AM107" i="1" s="1"/>
  <c r="W105" i="1"/>
  <c r="AM105" i="1" s="1"/>
  <c r="W103" i="1"/>
  <c r="AM103" i="1" s="1"/>
  <c r="W101" i="1"/>
  <c r="AM101" i="1" s="1"/>
  <c r="W99" i="1"/>
  <c r="AM99" i="1" s="1"/>
  <c r="W97" i="1"/>
  <c r="AM97" i="1" s="1"/>
  <c r="W95" i="1"/>
  <c r="AM95" i="1" s="1"/>
  <c r="W93" i="1"/>
  <c r="AM93" i="1" s="1"/>
  <c r="W91" i="1"/>
  <c r="AM91" i="1" s="1"/>
  <c r="W89" i="1"/>
  <c r="AM89" i="1" s="1"/>
  <c r="W87" i="1"/>
  <c r="AM87" i="1" s="1"/>
  <c r="W85" i="1"/>
  <c r="AM85" i="1" s="1"/>
  <c r="W83" i="1"/>
  <c r="AM83" i="1" s="1"/>
  <c r="W74" i="1"/>
  <c r="AM74" i="1" s="1"/>
  <c r="W72" i="1"/>
  <c r="AM72" i="1" s="1"/>
  <c r="W70" i="1"/>
  <c r="AM70" i="1" s="1"/>
  <c r="W68" i="1"/>
  <c r="AM68" i="1" s="1"/>
  <c r="W66" i="1"/>
  <c r="AM66" i="1" s="1"/>
  <c r="W64" i="1"/>
  <c r="AM64" i="1" s="1"/>
  <c r="W62" i="1"/>
  <c r="AM62" i="1" s="1"/>
  <c r="W41" i="1"/>
  <c r="AM41" i="1" s="1"/>
  <c r="Y200" i="1"/>
  <c r="AH200" i="1" s="1"/>
  <c r="Y198" i="1"/>
  <c r="AO198" i="1" s="1"/>
  <c r="AA198" i="1" s="1"/>
  <c r="AB198" i="1" s="1"/>
  <c r="Y196" i="1"/>
  <c r="AI196" i="1" s="1"/>
  <c r="Y194" i="1"/>
  <c r="AI194" i="1" s="1"/>
  <c r="Y192" i="1"/>
  <c r="AO192" i="1" s="1"/>
  <c r="Y172" i="1"/>
  <c r="AO172" i="1" s="1"/>
  <c r="AA172" i="1" s="1"/>
  <c r="Y167" i="1"/>
  <c r="AH167" i="1" s="1"/>
  <c r="Y165" i="1"/>
  <c r="Y162" i="1"/>
  <c r="AH162" i="1" s="1"/>
  <c r="Y160" i="1"/>
  <c r="AO160" i="1" s="1"/>
  <c r="AA160" i="1" s="1"/>
  <c r="AB160" i="1" s="1"/>
  <c r="Y158" i="1"/>
  <c r="AO158" i="1" s="1"/>
  <c r="AA158" i="1" s="1"/>
  <c r="Y151" i="1"/>
  <c r="AI151" i="1" s="1"/>
  <c r="Y149" i="1"/>
  <c r="AO149" i="1" s="1"/>
  <c r="AA149" i="1" s="1"/>
  <c r="AB149" i="1" s="1"/>
  <c r="Y147" i="1"/>
  <c r="AI147" i="1" s="1"/>
  <c r="Y111" i="1"/>
  <c r="AI111" i="1" s="1"/>
  <c r="Y109" i="1"/>
  <c r="AI109" i="1" s="1"/>
  <c r="Y107" i="1"/>
  <c r="AO107" i="1" s="1"/>
  <c r="AA107" i="1" s="1"/>
  <c r="AB107" i="1" s="1"/>
  <c r="Y105" i="1"/>
  <c r="AO105" i="1" s="1"/>
  <c r="AA105" i="1" s="1"/>
  <c r="Y103" i="1"/>
  <c r="AH103" i="1" s="1"/>
  <c r="Y101" i="1"/>
  <c r="Y99" i="1"/>
  <c r="AI99" i="1" s="1"/>
  <c r="Y97" i="1"/>
  <c r="AI97" i="1" s="1"/>
  <c r="Y95" i="1"/>
  <c r="AO95" i="1" s="1"/>
  <c r="AA95" i="1" s="1"/>
  <c r="Y93" i="1"/>
  <c r="AI93" i="1" s="1"/>
  <c r="Y91" i="1"/>
  <c r="AO91" i="1" s="1"/>
  <c r="AA91" i="1" s="1"/>
  <c r="AB91" i="1" s="1"/>
  <c r="Y89" i="1"/>
  <c r="AO89" i="1" s="1"/>
  <c r="AA89" i="1" s="1"/>
  <c r="AB89" i="1" s="1"/>
  <c r="Y87" i="1"/>
  <c r="AI87" i="1" s="1"/>
  <c r="Y85" i="1"/>
  <c r="AO85" i="1" s="1"/>
  <c r="AA85" i="1" s="1"/>
  <c r="Y83" i="1"/>
  <c r="AI83" i="1" s="1"/>
  <c r="Y74" i="1"/>
  <c r="AH74" i="1" s="1"/>
  <c r="Y72" i="1"/>
  <c r="Y70" i="1"/>
  <c r="AH70" i="1" s="1"/>
  <c r="Y68" i="1"/>
  <c r="AI68" i="1" s="1"/>
  <c r="Y66" i="1"/>
  <c r="Y64" i="1"/>
  <c r="AO64" i="1" s="1"/>
  <c r="AA64" i="1" s="1"/>
  <c r="AB64" i="1" s="1"/>
  <c r="Y62" i="1"/>
  <c r="Y41" i="1"/>
  <c r="AI41" i="1" s="1"/>
  <c r="O70" i="1"/>
  <c r="AN83" i="1"/>
  <c r="O93" i="1"/>
  <c r="AN99" i="1"/>
  <c r="O109" i="1"/>
  <c r="AN162" i="1"/>
  <c r="AN165" i="1"/>
  <c r="O192" i="1"/>
  <c r="O194" i="1"/>
  <c r="O196" i="1"/>
  <c r="O198" i="1"/>
  <c r="O200" i="1"/>
  <c r="AN41" i="1"/>
  <c r="O62" i="1"/>
  <c r="O64" i="1"/>
  <c r="O66" i="1"/>
  <c r="O68" i="1"/>
  <c r="O72" i="1"/>
  <c r="O74" i="1"/>
  <c r="O83" i="1"/>
  <c r="O85" i="1"/>
  <c r="O87" i="1"/>
  <c r="O89" i="1"/>
  <c r="O91" i="1"/>
  <c r="O95" i="1"/>
  <c r="O97" i="1"/>
  <c r="O101" i="1"/>
  <c r="O103" i="1"/>
  <c r="O105" i="1"/>
  <c r="O107" i="1"/>
  <c r="O111" i="1"/>
  <c r="O147" i="1"/>
  <c r="O149" i="1"/>
  <c r="O151" i="1"/>
  <c r="O160" i="1"/>
  <c r="O162" i="1"/>
  <c r="O167" i="1"/>
  <c r="O17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" i="1"/>
  <c r="I65" i="1"/>
  <c r="I67" i="1"/>
  <c r="I69" i="1"/>
  <c r="I71" i="1"/>
  <c r="I73" i="1"/>
  <c r="I75" i="1"/>
  <c r="I76" i="1"/>
  <c r="I77" i="1"/>
  <c r="I78" i="1"/>
  <c r="I79" i="1"/>
  <c r="I80" i="1"/>
  <c r="I81" i="1"/>
  <c r="I82" i="1"/>
  <c r="I84" i="1"/>
  <c r="I86" i="1"/>
  <c r="I88" i="1"/>
  <c r="I90" i="1"/>
  <c r="I92" i="1"/>
  <c r="I94" i="1"/>
  <c r="I96" i="1"/>
  <c r="I98" i="1"/>
  <c r="I100" i="1"/>
  <c r="I102" i="1"/>
  <c r="I104" i="1"/>
  <c r="I106" i="1"/>
  <c r="I108" i="1"/>
  <c r="I110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8" i="1"/>
  <c r="I150" i="1"/>
  <c r="I152" i="1"/>
  <c r="I153" i="1"/>
  <c r="I154" i="1"/>
  <c r="I155" i="1"/>
  <c r="I156" i="1"/>
  <c r="I157" i="1"/>
  <c r="I159" i="1"/>
  <c r="I161" i="1"/>
  <c r="I163" i="1"/>
  <c r="I164" i="1"/>
  <c r="I166" i="1"/>
  <c r="I168" i="1"/>
  <c r="I169" i="1"/>
  <c r="I170" i="1"/>
  <c r="I171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3" i="1"/>
  <c r="I195" i="1"/>
  <c r="I197" i="1"/>
  <c r="I199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41" i="1"/>
  <c r="I62" i="1"/>
  <c r="I64" i="1"/>
  <c r="I66" i="1"/>
  <c r="I68" i="1"/>
  <c r="I70" i="1"/>
  <c r="I72" i="1"/>
  <c r="I74" i="1"/>
  <c r="I83" i="1"/>
  <c r="I85" i="1"/>
  <c r="I87" i="1"/>
  <c r="I89" i="1"/>
  <c r="I91" i="1"/>
  <c r="I93" i="1"/>
  <c r="I95" i="1"/>
  <c r="I97" i="1"/>
  <c r="I99" i="1"/>
  <c r="I101" i="1"/>
  <c r="I103" i="1"/>
  <c r="I105" i="1"/>
  <c r="I107" i="1"/>
  <c r="I109" i="1"/>
  <c r="I111" i="1"/>
  <c r="I147" i="1"/>
  <c r="I149" i="1"/>
  <c r="I151" i="1"/>
  <c r="I158" i="1"/>
  <c r="I160" i="1"/>
  <c r="I162" i="1"/>
  <c r="I165" i="1"/>
  <c r="I167" i="1"/>
  <c r="I172" i="1"/>
  <c r="I192" i="1"/>
  <c r="I194" i="1"/>
  <c r="I196" i="1"/>
  <c r="I198" i="1"/>
  <c r="I200" i="1"/>
  <c r="I4" i="1"/>
  <c r="AN198" i="1"/>
  <c r="AN196" i="1"/>
  <c r="AN194" i="1"/>
  <c r="AN192" i="1"/>
  <c r="AN172" i="1"/>
  <c r="AN167" i="1"/>
  <c r="BC165" i="1"/>
  <c r="AD165" i="1" s="1"/>
  <c r="AN160" i="1"/>
  <c r="AN158" i="1"/>
  <c r="AN151" i="1"/>
  <c r="AN149" i="1"/>
  <c r="AN147" i="1"/>
  <c r="AN111" i="1"/>
  <c r="AN109" i="1"/>
  <c r="AN107" i="1"/>
  <c r="AN105" i="1"/>
  <c r="AN103" i="1"/>
  <c r="AN101" i="1"/>
  <c r="BC99" i="1"/>
  <c r="AD99" i="1" s="1"/>
  <c r="BC97" i="1"/>
  <c r="AD97" i="1" s="1"/>
  <c r="AN97" i="1"/>
  <c r="AN95" i="1"/>
  <c r="AN93" i="1"/>
  <c r="AN91" i="1"/>
  <c r="O122" i="1"/>
  <c r="O123" i="1"/>
  <c r="O126" i="1"/>
  <c r="AN127" i="1"/>
  <c r="AN128" i="1"/>
  <c r="O128" i="1"/>
  <c r="AN129" i="1"/>
  <c r="AN130" i="1"/>
  <c r="AN131" i="1"/>
  <c r="AN133" i="1"/>
  <c r="AN136" i="1"/>
  <c r="O136" i="1"/>
  <c r="AN137" i="1"/>
  <c r="AN138" i="1"/>
  <c r="O138" i="1"/>
  <c r="O139" i="1"/>
  <c r="O140" i="1"/>
  <c r="O141" i="1"/>
  <c r="AN143" i="1"/>
  <c r="O143" i="1"/>
  <c r="AN144" i="1"/>
  <c r="O145" i="1"/>
  <c r="O146" i="1"/>
  <c r="O148" i="1"/>
  <c r="O150" i="1"/>
  <c r="O152" i="1"/>
  <c r="O153" i="1"/>
  <c r="AN154" i="1"/>
  <c r="O155" i="1"/>
  <c r="O156" i="1"/>
  <c r="O157" i="1"/>
  <c r="O161" i="1"/>
  <c r="O163" i="1"/>
  <c r="AN166" i="1"/>
  <c r="O166" i="1"/>
  <c r="AN169" i="1"/>
  <c r="O169" i="1"/>
  <c r="AN170" i="1"/>
  <c r="O173" i="1"/>
  <c r="AN175" i="1"/>
  <c r="AN177" i="1"/>
  <c r="O177" i="1"/>
  <c r="O179" i="1"/>
  <c r="O180" i="1"/>
  <c r="AN181" i="1"/>
  <c r="AN182" i="1"/>
  <c r="AN183" i="1"/>
  <c r="O183" i="1"/>
  <c r="AN184" i="1"/>
  <c r="O184" i="1"/>
  <c r="AN186" i="1"/>
  <c r="O186" i="1"/>
  <c r="AN187" i="1"/>
  <c r="O188" i="1"/>
  <c r="AN189" i="1"/>
  <c r="O189" i="1"/>
  <c r="AN191" i="1"/>
  <c r="O193" i="1"/>
  <c r="O195" i="1"/>
  <c r="AN197" i="1"/>
  <c r="O197" i="1"/>
  <c r="AN199" i="1"/>
  <c r="O199" i="1"/>
  <c r="AN201" i="1"/>
  <c r="AN202" i="1"/>
  <c r="O203" i="1"/>
  <c r="AN204" i="1"/>
  <c r="O204" i="1"/>
  <c r="AN205" i="1"/>
  <c r="AN207" i="1"/>
  <c r="O207" i="1"/>
  <c r="O208" i="1"/>
  <c r="O209" i="1"/>
  <c r="AN210" i="1"/>
  <c r="O210" i="1"/>
  <c r="O211" i="1"/>
  <c r="O212" i="1"/>
  <c r="AN213" i="1"/>
  <c r="O215" i="1"/>
  <c r="AN216" i="1"/>
  <c r="AN217" i="1"/>
  <c r="AN218" i="1"/>
  <c r="O218" i="1"/>
  <c r="AN219" i="1"/>
  <c r="AN89" i="1"/>
  <c r="BL89" i="1" s="1"/>
  <c r="AN87" i="1"/>
  <c r="AN85" i="1"/>
  <c r="BL85" i="1" s="1"/>
  <c r="BC83" i="1"/>
  <c r="AD83" i="1" s="1"/>
  <c r="AN74" i="1"/>
  <c r="AN72" i="1"/>
  <c r="AN70" i="1"/>
  <c r="BC68" i="1"/>
  <c r="AD68" i="1" s="1"/>
  <c r="AN68" i="1"/>
  <c r="AN66" i="1"/>
  <c r="AN64" i="1"/>
  <c r="BL64" i="1" s="1"/>
  <c r="AN62" i="1"/>
  <c r="BC41" i="1"/>
  <c r="AD41" i="1" s="1"/>
  <c r="BC219" i="1"/>
  <c r="AD219" i="1" s="1"/>
  <c r="Y219" i="1"/>
  <c r="AH219" i="1" s="1"/>
  <c r="W219" i="1"/>
  <c r="AM219" i="1" s="1"/>
  <c r="O219" i="1"/>
  <c r="D219" i="1"/>
  <c r="Y218" i="1"/>
  <c r="AH218" i="1" s="1"/>
  <c r="W218" i="1"/>
  <c r="D218" i="1"/>
  <c r="Y217" i="1"/>
  <c r="AH217" i="1" s="1"/>
  <c r="W217" i="1"/>
  <c r="AM217" i="1" s="1"/>
  <c r="O217" i="1"/>
  <c r="D217" i="1"/>
  <c r="Y216" i="1"/>
  <c r="AI216" i="1" s="1"/>
  <c r="W216" i="1"/>
  <c r="O216" i="1"/>
  <c r="D216" i="1"/>
  <c r="AN215" i="1"/>
  <c r="Y215" i="1"/>
  <c r="W215" i="1"/>
  <c r="D215" i="1"/>
  <c r="BC214" i="1"/>
  <c r="AD214" i="1" s="1"/>
  <c r="AN214" i="1"/>
  <c r="Y214" i="1"/>
  <c r="AI214" i="1" s="1"/>
  <c r="W214" i="1"/>
  <c r="O214" i="1"/>
  <c r="D214" i="1"/>
  <c r="BC213" i="1"/>
  <c r="AD213" i="1" s="1"/>
  <c r="Y213" i="1"/>
  <c r="W213" i="1"/>
  <c r="AM213" i="1" s="1"/>
  <c r="O213" i="1"/>
  <c r="D213" i="1"/>
  <c r="AN212" i="1"/>
  <c r="Y212" i="1"/>
  <c r="AH212" i="1" s="1"/>
  <c r="W212" i="1"/>
  <c r="D212" i="1"/>
  <c r="AN211" i="1"/>
  <c r="Y211" i="1"/>
  <c r="AH211" i="1" s="1"/>
  <c r="W211" i="1"/>
  <c r="AM211" i="1" s="1"/>
  <c r="D211" i="1"/>
  <c r="Y210" i="1"/>
  <c r="AO210" i="1" s="1"/>
  <c r="AA210" i="1" s="1"/>
  <c r="AB210" i="1" s="1"/>
  <c r="W210" i="1"/>
  <c r="D210" i="1"/>
  <c r="Y209" i="1"/>
  <c r="AO209" i="1" s="1"/>
  <c r="W209" i="1"/>
  <c r="D209" i="1"/>
  <c r="AN208" i="1"/>
  <c r="Y208" i="1"/>
  <c r="AI208" i="1" s="1"/>
  <c r="W208" i="1"/>
  <c r="D208" i="1"/>
  <c r="Y207" i="1"/>
  <c r="W207" i="1"/>
  <c r="D207" i="1"/>
  <c r="AN206" i="1"/>
  <c r="Y206" i="1"/>
  <c r="AI206" i="1" s="1"/>
  <c r="W206" i="1"/>
  <c r="O206" i="1"/>
  <c r="D206" i="1"/>
  <c r="Y205" i="1"/>
  <c r="AH205" i="1" s="1"/>
  <c r="W205" i="1"/>
  <c r="AM205" i="1" s="1"/>
  <c r="O205" i="1"/>
  <c r="D205" i="1"/>
  <c r="Y204" i="1"/>
  <c r="W204" i="1"/>
  <c r="D204" i="1"/>
  <c r="AN203" i="1"/>
  <c r="Y203" i="1"/>
  <c r="W203" i="1"/>
  <c r="AM203" i="1" s="1"/>
  <c r="D203" i="1"/>
  <c r="Y202" i="1"/>
  <c r="AI202" i="1" s="1"/>
  <c r="W202" i="1"/>
  <c r="AM202" i="1" s="1"/>
  <c r="O202" i="1"/>
  <c r="D202" i="1"/>
  <c r="Y201" i="1"/>
  <c r="AO201" i="1" s="1"/>
  <c r="W201" i="1"/>
  <c r="D201" i="1"/>
  <c r="Y199" i="1"/>
  <c r="AI199" i="1" s="1"/>
  <c r="W199" i="1"/>
  <c r="AM199" i="1" s="1"/>
  <c r="D199" i="1"/>
  <c r="BC197" i="1"/>
  <c r="AD197" i="1" s="1"/>
  <c r="Y197" i="1"/>
  <c r="W197" i="1"/>
  <c r="D197" i="1"/>
  <c r="AN195" i="1"/>
  <c r="Y195" i="1"/>
  <c r="AI195" i="1" s="1"/>
  <c r="W195" i="1"/>
  <c r="AM195" i="1" s="1"/>
  <c r="D195" i="1"/>
  <c r="AN193" i="1"/>
  <c r="Y193" i="1"/>
  <c r="AH193" i="1" s="1"/>
  <c r="W193" i="1"/>
  <c r="AM193" i="1" s="1"/>
  <c r="D193" i="1"/>
  <c r="Y191" i="1"/>
  <c r="W191" i="1"/>
  <c r="AM191" i="1" s="1"/>
  <c r="O191" i="1"/>
  <c r="D191" i="1"/>
  <c r="AN190" i="1"/>
  <c r="Y190" i="1"/>
  <c r="W190" i="1"/>
  <c r="AM190" i="1" s="1"/>
  <c r="O190" i="1"/>
  <c r="D190" i="1"/>
  <c r="Y189" i="1"/>
  <c r="W189" i="1"/>
  <c r="D189" i="1"/>
  <c r="Y188" i="1"/>
  <c r="W188" i="1"/>
  <c r="AM188" i="1" s="1"/>
  <c r="D188" i="1"/>
  <c r="Y187" i="1"/>
  <c r="W187" i="1"/>
  <c r="AM187" i="1" s="1"/>
  <c r="O187" i="1"/>
  <c r="D187" i="1"/>
  <c r="Y186" i="1"/>
  <c r="W186" i="1"/>
  <c r="D186" i="1"/>
  <c r="AN185" i="1"/>
  <c r="Y185" i="1"/>
  <c r="AI185" i="1" s="1"/>
  <c r="W185" i="1"/>
  <c r="AM185" i="1" s="1"/>
  <c r="O185" i="1"/>
  <c r="D185" i="1"/>
  <c r="Y184" i="1"/>
  <c r="AH184" i="1" s="1"/>
  <c r="W184" i="1"/>
  <c r="AM184" i="1" s="1"/>
  <c r="D184" i="1"/>
  <c r="Y183" i="1"/>
  <c r="AH183" i="1" s="1"/>
  <c r="W183" i="1"/>
  <c r="D183" i="1"/>
  <c r="Y182" i="1"/>
  <c r="W182" i="1"/>
  <c r="AM182" i="1" s="1"/>
  <c r="O182" i="1"/>
  <c r="D182" i="1"/>
  <c r="Y181" i="1"/>
  <c r="W181" i="1"/>
  <c r="AM181" i="1" s="1"/>
  <c r="O181" i="1"/>
  <c r="D181" i="1"/>
  <c r="Y180" i="1"/>
  <c r="AO180" i="1" s="1"/>
  <c r="W180" i="1"/>
  <c r="D180" i="1"/>
  <c r="AN179" i="1"/>
  <c r="Y179" i="1"/>
  <c r="AH179" i="1" s="1"/>
  <c r="W179" i="1"/>
  <c r="AM179" i="1" s="1"/>
  <c r="D179" i="1"/>
  <c r="AN178" i="1"/>
  <c r="Y178" i="1"/>
  <c r="AI178" i="1" s="1"/>
  <c r="W178" i="1"/>
  <c r="O178" i="1"/>
  <c r="D178" i="1"/>
  <c r="BC177" i="1"/>
  <c r="AD177" i="1" s="1"/>
  <c r="Y177" i="1"/>
  <c r="W177" i="1"/>
  <c r="AM177" i="1" s="1"/>
  <c r="D177" i="1"/>
  <c r="AN176" i="1"/>
  <c r="Y176" i="1"/>
  <c r="W176" i="1"/>
  <c r="AM176" i="1" s="1"/>
  <c r="O176" i="1"/>
  <c r="D176" i="1"/>
  <c r="Y175" i="1"/>
  <c r="AI175" i="1" s="1"/>
  <c r="W175" i="1"/>
  <c r="AM175" i="1" s="1"/>
  <c r="O175" i="1"/>
  <c r="D175" i="1"/>
  <c r="AN174" i="1"/>
  <c r="Y174" i="1"/>
  <c r="AI174" i="1" s="1"/>
  <c r="W174" i="1"/>
  <c r="AM174" i="1" s="1"/>
  <c r="O174" i="1"/>
  <c r="D174" i="1"/>
  <c r="BC173" i="1"/>
  <c r="AD173" i="1" s="1"/>
  <c r="AN173" i="1"/>
  <c r="Y173" i="1"/>
  <c r="W173" i="1"/>
  <c r="D173" i="1"/>
  <c r="AN171" i="1"/>
  <c r="Y171" i="1"/>
  <c r="AI171" i="1" s="1"/>
  <c r="W171" i="1"/>
  <c r="AM171" i="1" s="1"/>
  <c r="O171" i="1"/>
  <c r="D171" i="1"/>
  <c r="Y170" i="1"/>
  <c r="AH170" i="1" s="1"/>
  <c r="W170" i="1"/>
  <c r="AM170" i="1" s="1"/>
  <c r="O170" i="1"/>
  <c r="D170" i="1"/>
  <c r="BC169" i="1"/>
  <c r="AD169" i="1" s="1"/>
  <c r="Y169" i="1"/>
  <c r="AH169" i="1" s="1"/>
  <c r="W169" i="1"/>
  <c r="AM169" i="1" s="1"/>
  <c r="D169" i="1"/>
  <c r="AN168" i="1"/>
  <c r="Y168" i="1"/>
  <c r="W168" i="1"/>
  <c r="AM168" i="1" s="1"/>
  <c r="O168" i="1"/>
  <c r="D168" i="1"/>
  <c r="Y166" i="1"/>
  <c r="W166" i="1"/>
  <c r="D166" i="1"/>
  <c r="BC164" i="1"/>
  <c r="AD164" i="1" s="1"/>
  <c r="AN164" i="1"/>
  <c r="Y164" i="1"/>
  <c r="AO164" i="1" s="1"/>
  <c r="AA164" i="1" s="1"/>
  <c r="AB164" i="1" s="1"/>
  <c r="W164" i="1"/>
  <c r="O164" i="1"/>
  <c r="D164" i="1"/>
  <c r="AN163" i="1"/>
  <c r="Y163" i="1"/>
  <c r="AO163" i="1" s="1"/>
  <c r="AA163" i="1" s="1"/>
  <c r="W163" i="1"/>
  <c r="AM163" i="1" s="1"/>
  <c r="D163" i="1"/>
  <c r="Y161" i="1"/>
  <c r="AH161" i="1" s="1"/>
  <c r="W161" i="1"/>
  <c r="AM161" i="1" s="1"/>
  <c r="D161" i="1"/>
  <c r="AN159" i="1"/>
  <c r="Y159" i="1"/>
  <c r="W159" i="1"/>
  <c r="AM159" i="1" s="1"/>
  <c r="O159" i="1"/>
  <c r="D159" i="1"/>
  <c r="AN157" i="1"/>
  <c r="Y157" i="1"/>
  <c r="AI157" i="1" s="1"/>
  <c r="W157" i="1"/>
  <c r="AM157" i="1" s="1"/>
  <c r="D157" i="1"/>
  <c r="BC156" i="1"/>
  <c r="AD156" i="1" s="1"/>
  <c r="Y156" i="1"/>
  <c r="W156" i="1"/>
  <c r="D156" i="1"/>
  <c r="AN155" i="1"/>
  <c r="Y155" i="1"/>
  <c r="AI155" i="1" s="1"/>
  <c r="W155" i="1"/>
  <c r="AM155" i="1" s="1"/>
  <c r="D155" i="1"/>
  <c r="Y154" i="1"/>
  <c r="AH154" i="1" s="1"/>
  <c r="W154" i="1"/>
  <c r="O154" i="1"/>
  <c r="D154" i="1"/>
  <c r="BC153" i="1"/>
  <c r="AD153" i="1" s="1"/>
  <c r="AN153" i="1"/>
  <c r="Y153" i="1"/>
  <c r="W153" i="1"/>
  <c r="D153" i="1"/>
  <c r="AN152" i="1"/>
  <c r="Y152" i="1"/>
  <c r="W152" i="1"/>
  <c r="AM152" i="1" s="1"/>
  <c r="D152" i="1"/>
  <c r="AN150" i="1"/>
  <c r="Y150" i="1"/>
  <c r="W150" i="1"/>
  <c r="D150" i="1"/>
  <c r="AN148" i="1"/>
  <c r="Y148" i="1"/>
  <c r="AO148" i="1" s="1"/>
  <c r="AA148" i="1" s="1"/>
  <c r="AB148" i="1" s="1"/>
  <c r="W148" i="1"/>
  <c r="AM148" i="1" s="1"/>
  <c r="D148" i="1"/>
  <c r="AN146" i="1"/>
  <c r="Y146" i="1"/>
  <c r="AI146" i="1" s="1"/>
  <c r="W146" i="1"/>
  <c r="D146" i="1"/>
  <c r="BC145" i="1"/>
  <c r="AD145" i="1" s="1"/>
  <c r="Y145" i="1"/>
  <c r="AH145" i="1" s="1"/>
  <c r="W145" i="1"/>
  <c r="D145" i="1"/>
  <c r="Y144" i="1"/>
  <c r="AI144" i="1" s="1"/>
  <c r="W144" i="1"/>
  <c r="AM144" i="1" s="1"/>
  <c r="O144" i="1"/>
  <c r="D144" i="1"/>
  <c r="BC143" i="1"/>
  <c r="AD143" i="1" s="1"/>
  <c r="Y143" i="1"/>
  <c r="W143" i="1"/>
  <c r="AM143" i="1" s="1"/>
  <c r="D143" i="1"/>
  <c r="AN142" i="1"/>
  <c r="Y142" i="1"/>
  <c r="AO142" i="1" s="1"/>
  <c r="AA142" i="1" s="1"/>
  <c r="W142" i="1"/>
  <c r="O142" i="1"/>
  <c r="D142" i="1"/>
  <c r="AN141" i="1"/>
  <c r="Y141" i="1"/>
  <c r="W141" i="1"/>
  <c r="D141" i="1"/>
  <c r="AN140" i="1"/>
  <c r="Y140" i="1"/>
  <c r="AI140" i="1" s="1"/>
  <c r="W140" i="1"/>
  <c r="AM140" i="1" s="1"/>
  <c r="D140" i="1"/>
  <c r="AN139" i="1"/>
  <c r="Y139" i="1"/>
  <c r="W139" i="1"/>
  <c r="AM139" i="1" s="1"/>
  <c r="D139" i="1"/>
  <c r="BC138" i="1"/>
  <c r="AD138" i="1" s="1"/>
  <c r="Y138" i="1"/>
  <c r="AI138" i="1" s="1"/>
  <c r="W138" i="1"/>
  <c r="AM138" i="1" s="1"/>
  <c r="D138" i="1"/>
  <c r="BC137" i="1"/>
  <c r="AD137" i="1" s="1"/>
  <c r="Y137" i="1"/>
  <c r="W137" i="1"/>
  <c r="D137" i="1"/>
  <c r="Y136" i="1"/>
  <c r="W136" i="1"/>
  <c r="AM136" i="1" s="1"/>
  <c r="D136" i="1"/>
  <c r="AN135" i="1"/>
  <c r="Y135" i="1"/>
  <c r="AH135" i="1" s="1"/>
  <c r="W135" i="1"/>
  <c r="AM135" i="1" s="1"/>
  <c r="O135" i="1"/>
  <c r="D135" i="1"/>
  <c r="AN134" i="1"/>
  <c r="Y134" i="1"/>
  <c r="W134" i="1"/>
  <c r="AM134" i="1" s="1"/>
  <c r="O134" i="1"/>
  <c r="D134" i="1"/>
  <c r="Y133" i="1"/>
  <c r="AH133" i="1" s="1"/>
  <c r="W133" i="1"/>
  <c r="AM133" i="1" s="1"/>
  <c r="O133" i="1"/>
  <c r="D133" i="1"/>
  <c r="AN132" i="1"/>
  <c r="Y132" i="1"/>
  <c r="W132" i="1"/>
  <c r="AM132" i="1" s="1"/>
  <c r="O132" i="1"/>
  <c r="D132" i="1"/>
  <c r="Y131" i="1"/>
  <c r="AO131" i="1" s="1"/>
  <c r="AA131" i="1" s="1"/>
  <c r="AB131" i="1" s="1"/>
  <c r="W131" i="1"/>
  <c r="AM131" i="1" s="1"/>
  <c r="O131" i="1"/>
  <c r="D131" i="1"/>
  <c r="Y130" i="1"/>
  <c r="AI130" i="1" s="1"/>
  <c r="W130" i="1"/>
  <c r="D130" i="1"/>
  <c r="Y129" i="1"/>
  <c r="AH129" i="1" s="1"/>
  <c r="W129" i="1"/>
  <c r="AM129" i="1" s="1"/>
  <c r="O129" i="1"/>
  <c r="D129" i="1"/>
  <c r="BC128" i="1"/>
  <c r="AD128" i="1" s="1"/>
  <c r="Y128" i="1"/>
  <c r="AI128" i="1" s="1"/>
  <c r="W128" i="1"/>
  <c r="D128" i="1"/>
  <c r="Y127" i="1"/>
  <c r="AH127" i="1" s="1"/>
  <c r="W127" i="1"/>
  <c r="AM127" i="1" s="1"/>
  <c r="D127" i="1"/>
  <c r="AN126" i="1"/>
  <c r="Y126" i="1"/>
  <c r="W126" i="1"/>
  <c r="D126" i="1"/>
  <c r="BC125" i="1"/>
  <c r="AD125" i="1" s="1"/>
  <c r="AN125" i="1"/>
  <c r="Y125" i="1"/>
  <c r="AO125" i="1" s="1"/>
  <c r="AA125" i="1" s="1"/>
  <c r="AB125" i="1" s="1"/>
  <c r="W125" i="1"/>
  <c r="O125" i="1"/>
  <c r="D125" i="1"/>
  <c r="BC124" i="1"/>
  <c r="AD124" i="1" s="1"/>
  <c r="AN124" i="1"/>
  <c r="Y124" i="1"/>
  <c r="AH124" i="1" s="1"/>
  <c r="W124" i="1"/>
  <c r="AM124" i="1" s="1"/>
  <c r="O124" i="1"/>
  <c r="D124" i="1"/>
  <c r="BC123" i="1"/>
  <c r="AD123" i="1" s="1"/>
  <c r="AN123" i="1"/>
  <c r="Y123" i="1"/>
  <c r="AO123" i="1" s="1"/>
  <c r="AA123" i="1" s="1"/>
  <c r="W123" i="1"/>
  <c r="AM123" i="1" s="1"/>
  <c r="D123" i="1"/>
  <c r="BC122" i="1"/>
  <c r="AD122" i="1" s="1"/>
  <c r="AN122" i="1"/>
  <c r="Y122" i="1"/>
  <c r="AI122" i="1" s="1"/>
  <c r="W122" i="1"/>
  <c r="AM122" i="1" s="1"/>
  <c r="D122" i="1"/>
  <c r="AN121" i="1"/>
  <c r="Y121" i="1"/>
  <c r="AH121" i="1" s="1"/>
  <c r="W121" i="1"/>
  <c r="AM121" i="1" s="1"/>
  <c r="O121" i="1"/>
  <c r="D121" i="1"/>
  <c r="AN120" i="1"/>
  <c r="Y120" i="1"/>
  <c r="W120" i="1"/>
  <c r="AM120" i="1" s="1"/>
  <c r="O120" i="1"/>
  <c r="D120" i="1"/>
  <c r="AN119" i="1"/>
  <c r="Y119" i="1"/>
  <c r="AO119" i="1" s="1"/>
  <c r="AA119" i="1" s="1"/>
  <c r="AB119" i="1" s="1"/>
  <c r="W119" i="1"/>
  <c r="AM119" i="1" s="1"/>
  <c r="O119" i="1"/>
  <c r="D119" i="1"/>
  <c r="AN118" i="1"/>
  <c r="Y118" i="1"/>
  <c r="AO118" i="1" s="1"/>
  <c r="AA118" i="1" s="1"/>
  <c r="W118" i="1"/>
  <c r="AM118" i="1" s="1"/>
  <c r="O118" i="1"/>
  <c r="D118" i="1"/>
  <c r="AN117" i="1"/>
  <c r="Y117" i="1"/>
  <c r="AH117" i="1" s="1"/>
  <c r="W117" i="1"/>
  <c r="AM117" i="1" s="1"/>
  <c r="O117" i="1"/>
  <c r="D117" i="1"/>
  <c r="AN116" i="1"/>
  <c r="Y116" i="1"/>
  <c r="AO116" i="1" s="1"/>
  <c r="AA116" i="1" s="1"/>
  <c r="W116" i="1"/>
  <c r="AM116" i="1" s="1"/>
  <c r="O116" i="1"/>
  <c r="D116" i="1"/>
  <c r="AN115" i="1"/>
  <c r="Y115" i="1"/>
  <c r="AO115" i="1" s="1"/>
  <c r="AA115" i="1" s="1"/>
  <c r="W115" i="1"/>
  <c r="AM115" i="1" s="1"/>
  <c r="O115" i="1"/>
  <c r="D115" i="1"/>
  <c r="AN114" i="1"/>
  <c r="Y114" i="1"/>
  <c r="AI114" i="1" s="1"/>
  <c r="W114" i="1"/>
  <c r="AM114" i="1" s="1"/>
  <c r="O114" i="1"/>
  <c r="D114" i="1"/>
  <c r="AN113" i="1"/>
  <c r="Y113" i="1"/>
  <c r="AI113" i="1" s="1"/>
  <c r="W113" i="1"/>
  <c r="AM113" i="1" s="1"/>
  <c r="O113" i="1"/>
  <c r="D113" i="1"/>
  <c r="BC112" i="1"/>
  <c r="AD112" i="1" s="1"/>
  <c r="AN112" i="1"/>
  <c r="Y112" i="1"/>
  <c r="AH112" i="1" s="1"/>
  <c r="W112" i="1"/>
  <c r="AM112" i="1" s="1"/>
  <c r="O112" i="1"/>
  <c r="D112" i="1"/>
  <c r="BC110" i="1"/>
  <c r="AD110" i="1" s="1"/>
  <c r="AN110" i="1"/>
  <c r="Y110" i="1"/>
  <c r="W110" i="1"/>
  <c r="AM110" i="1" s="1"/>
  <c r="O110" i="1"/>
  <c r="D110" i="1"/>
  <c r="AN108" i="1"/>
  <c r="Y108" i="1"/>
  <c r="W108" i="1"/>
  <c r="AM108" i="1" s="1"/>
  <c r="O108" i="1"/>
  <c r="D108" i="1"/>
  <c r="BC106" i="1"/>
  <c r="AD106" i="1" s="1"/>
  <c r="AN106" i="1"/>
  <c r="Y106" i="1"/>
  <c r="W106" i="1"/>
  <c r="AM106" i="1" s="1"/>
  <c r="O106" i="1"/>
  <c r="D106" i="1"/>
  <c r="BC104" i="1"/>
  <c r="AD104" i="1" s="1"/>
  <c r="AN104" i="1"/>
  <c r="Y104" i="1"/>
  <c r="AI104" i="1" s="1"/>
  <c r="W104" i="1"/>
  <c r="AM104" i="1" s="1"/>
  <c r="O104" i="1"/>
  <c r="D104" i="1"/>
  <c r="BC102" i="1"/>
  <c r="AD102" i="1" s="1"/>
  <c r="AN102" i="1"/>
  <c r="Y102" i="1"/>
  <c r="AI102" i="1" s="1"/>
  <c r="W102" i="1"/>
  <c r="AM102" i="1" s="1"/>
  <c r="O102" i="1"/>
  <c r="D102" i="1"/>
  <c r="AN100" i="1"/>
  <c r="Y100" i="1"/>
  <c r="AH100" i="1" s="1"/>
  <c r="W100" i="1"/>
  <c r="AM100" i="1" s="1"/>
  <c r="O100" i="1"/>
  <c r="D100" i="1"/>
  <c r="AN98" i="1"/>
  <c r="Y98" i="1"/>
  <c r="AH98" i="1" s="1"/>
  <c r="W98" i="1"/>
  <c r="AM98" i="1" s="1"/>
  <c r="O98" i="1"/>
  <c r="D98" i="1"/>
  <c r="BC96" i="1"/>
  <c r="AD96" i="1" s="1"/>
  <c r="AN96" i="1"/>
  <c r="Y96" i="1"/>
  <c r="AH96" i="1" s="1"/>
  <c r="W96" i="1"/>
  <c r="AM96" i="1" s="1"/>
  <c r="O96" i="1"/>
  <c r="D96" i="1"/>
  <c r="AN94" i="1"/>
  <c r="Y94" i="1"/>
  <c r="AI94" i="1" s="1"/>
  <c r="W94" i="1"/>
  <c r="AM94" i="1" s="1"/>
  <c r="O94" i="1"/>
  <c r="D94" i="1"/>
  <c r="AN92" i="1"/>
  <c r="Y92" i="1"/>
  <c r="AI92" i="1" s="1"/>
  <c r="W92" i="1"/>
  <c r="AM92" i="1" s="1"/>
  <c r="O92" i="1"/>
  <c r="D92" i="1"/>
  <c r="BC90" i="1"/>
  <c r="AD90" i="1" s="1"/>
  <c r="AN90" i="1"/>
  <c r="Y90" i="1"/>
  <c r="AI90" i="1" s="1"/>
  <c r="W90" i="1"/>
  <c r="AM90" i="1" s="1"/>
  <c r="O90" i="1"/>
  <c r="D90" i="1"/>
  <c r="BC88" i="1"/>
  <c r="AD88" i="1" s="1"/>
  <c r="AN88" i="1"/>
  <c r="Y88" i="1"/>
  <c r="W88" i="1"/>
  <c r="AM88" i="1" s="1"/>
  <c r="O88" i="1"/>
  <c r="D88" i="1"/>
  <c r="BC86" i="1"/>
  <c r="AD86" i="1" s="1"/>
  <c r="AN86" i="1"/>
  <c r="Y86" i="1"/>
  <c r="AO86" i="1" s="1"/>
  <c r="AA86" i="1" s="1"/>
  <c r="W86" i="1"/>
  <c r="AM86" i="1" s="1"/>
  <c r="O86" i="1"/>
  <c r="D86" i="1"/>
  <c r="AN84" i="1"/>
  <c r="Y84" i="1"/>
  <c r="AH84" i="1" s="1"/>
  <c r="W84" i="1"/>
  <c r="AM84" i="1" s="1"/>
  <c r="O84" i="1"/>
  <c r="D84" i="1"/>
  <c r="AN82" i="1"/>
  <c r="Y82" i="1"/>
  <c r="W82" i="1"/>
  <c r="AM82" i="1" s="1"/>
  <c r="O82" i="1"/>
  <c r="D82" i="1"/>
  <c r="BC81" i="1"/>
  <c r="AD81" i="1" s="1"/>
  <c r="AN81" i="1"/>
  <c r="Y81" i="1"/>
  <c r="AI81" i="1" s="1"/>
  <c r="W81" i="1"/>
  <c r="AM81" i="1" s="1"/>
  <c r="O81" i="1"/>
  <c r="D81" i="1"/>
  <c r="BC80" i="1"/>
  <c r="AD80" i="1" s="1"/>
  <c r="AN80" i="1"/>
  <c r="Y80" i="1"/>
  <c r="AO80" i="1" s="1"/>
  <c r="AA80" i="1" s="1"/>
  <c r="W80" i="1"/>
  <c r="AM80" i="1" s="1"/>
  <c r="O80" i="1"/>
  <c r="D80" i="1"/>
  <c r="AN79" i="1"/>
  <c r="Y79" i="1"/>
  <c r="AO79" i="1" s="1"/>
  <c r="AA79" i="1" s="1"/>
  <c r="W79" i="1"/>
  <c r="AM79" i="1" s="1"/>
  <c r="O79" i="1"/>
  <c r="D79" i="1"/>
  <c r="BC78" i="1"/>
  <c r="AD78" i="1" s="1"/>
  <c r="AN78" i="1"/>
  <c r="Y78" i="1"/>
  <c r="AI78" i="1" s="1"/>
  <c r="W78" i="1"/>
  <c r="AM78" i="1" s="1"/>
  <c r="O78" i="1"/>
  <c r="D78" i="1"/>
  <c r="BC77" i="1"/>
  <c r="AD77" i="1" s="1"/>
  <c r="AN77" i="1"/>
  <c r="Y77" i="1"/>
  <c r="AO77" i="1" s="1"/>
  <c r="AA77" i="1" s="1"/>
  <c r="AB77" i="1" s="1"/>
  <c r="W77" i="1"/>
  <c r="AM77" i="1" s="1"/>
  <c r="O77" i="1"/>
  <c r="D77" i="1"/>
  <c r="BC76" i="1"/>
  <c r="AD76" i="1" s="1"/>
  <c r="AN76" i="1"/>
  <c r="Y76" i="1"/>
  <c r="AI76" i="1" s="1"/>
  <c r="W76" i="1"/>
  <c r="AM76" i="1" s="1"/>
  <c r="O76" i="1"/>
  <c r="D76" i="1"/>
  <c r="AN75" i="1"/>
  <c r="Y75" i="1"/>
  <c r="AH75" i="1" s="1"/>
  <c r="W75" i="1"/>
  <c r="AM75" i="1" s="1"/>
  <c r="O75" i="1"/>
  <c r="D75" i="1"/>
  <c r="AN73" i="1"/>
  <c r="Y73" i="1"/>
  <c r="W73" i="1"/>
  <c r="AM73" i="1" s="1"/>
  <c r="O73" i="1"/>
  <c r="D73" i="1"/>
  <c r="BC71" i="1"/>
  <c r="AD71" i="1" s="1"/>
  <c r="AN71" i="1"/>
  <c r="Y71" i="1"/>
  <c r="W71" i="1"/>
  <c r="AM71" i="1" s="1"/>
  <c r="O71" i="1"/>
  <c r="D71" i="1"/>
  <c r="AN69" i="1"/>
  <c r="Y69" i="1"/>
  <c r="AI69" i="1" s="1"/>
  <c r="W69" i="1"/>
  <c r="AM69" i="1" s="1"/>
  <c r="O69" i="1"/>
  <c r="D69" i="1"/>
  <c r="AN67" i="1"/>
  <c r="Y67" i="1"/>
  <c r="W67" i="1"/>
  <c r="AM67" i="1" s="1"/>
  <c r="O67" i="1"/>
  <c r="D67" i="1"/>
  <c r="BC65" i="1"/>
  <c r="AD65" i="1" s="1"/>
  <c r="AN65" i="1"/>
  <c r="Y65" i="1"/>
  <c r="AI65" i="1" s="1"/>
  <c r="W65" i="1"/>
  <c r="AM65" i="1" s="1"/>
  <c r="O65" i="1"/>
  <c r="D65" i="1"/>
  <c r="BC63" i="1"/>
  <c r="AD63" i="1" s="1"/>
  <c r="AN63" i="1"/>
  <c r="Y63" i="1"/>
  <c r="W63" i="1"/>
  <c r="AM63" i="1" s="1"/>
  <c r="O63" i="1"/>
  <c r="D63" i="1"/>
  <c r="BC61" i="1"/>
  <c r="AD61" i="1" s="1"/>
  <c r="AN61" i="1"/>
  <c r="Y61" i="1"/>
  <c r="W61" i="1"/>
  <c r="AM61" i="1" s="1"/>
  <c r="O61" i="1"/>
  <c r="D61" i="1"/>
  <c r="AN60" i="1"/>
  <c r="Y60" i="1"/>
  <c r="AO60" i="1" s="1"/>
  <c r="AA60" i="1" s="1"/>
  <c r="W60" i="1"/>
  <c r="AM60" i="1" s="1"/>
  <c r="O60" i="1"/>
  <c r="D60" i="1"/>
  <c r="BC59" i="1"/>
  <c r="AD59" i="1" s="1"/>
  <c r="AN59" i="1"/>
  <c r="Y59" i="1"/>
  <c r="W59" i="1"/>
  <c r="AM59" i="1" s="1"/>
  <c r="O59" i="1"/>
  <c r="D59" i="1"/>
  <c r="BC58" i="1"/>
  <c r="AD58" i="1" s="1"/>
  <c r="AN58" i="1"/>
  <c r="Y58" i="1"/>
  <c r="W58" i="1"/>
  <c r="AM58" i="1" s="1"/>
  <c r="O58" i="1"/>
  <c r="D58" i="1"/>
  <c r="BC57" i="1"/>
  <c r="AD57" i="1" s="1"/>
  <c r="AN57" i="1"/>
  <c r="Y57" i="1"/>
  <c r="AI57" i="1" s="1"/>
  <c r="W57" i="1"/>
  <c r="AM57" i="1" s="1"/>
  <c r="O57" i="1"/>
  <c r="D57" i="1"/>
  <c r="AN56" i="1"/>
  <c r="Y56" i="1"/>
  <c r="AH56" i="1" s="1"/>
  <c r="W56" i="1"/>
  <c r="AM56" i="1" s="1"/>
  <c r="O56" i="1"/>
  <c r="D56" i="1"/>
  <c r="AN55" i="1"/>
  <c r="Y55" i="1"/>
  <c r="W55" i="1"/>
  <c r="AM55" i="1" s="1"/>
  <c r="O55" i="1"/>
  <c r="D55" i="1"/>
  <c r="BC54" i="1"/>
  <c r="AD54" i="1" s="1"/>
  <c r="AN54" i="1"/>
  <c r="Y54" i="1"/>
  <c r="AH54" i="1" s="1"/>
  <c r="W54" i="1"/>
  <c r="AM54" i="1" s="1"/>
  <c r="O54" i="1"/>
  <c r="D54" i="1"/>
  <c r="BC53" i="1"/>
  <c r="AD53" i="1" s="1"/>
  <c r="AN53" i="1"/>
  <c r="Y53" i="1"/>
  <c r="AH53" i="1" s="1"/>
  <c r="W53" i="1"/>
  <c r="AM53" i="1" s="1"/>
  <c r="O53" i="1"/>
  <c r="D53" i="1"/>
  <c r="BC52" i="1"/>
  <c r="AD52" i="1" s="1"/>
  <c r="AN52" i="1"/>
  <c r="Y52" i="1"/>
  <c r="W52" i="1"/>
  <c r="AM52" i="1" s="1"/>
  <c r="O52" i="1"/>
  <c r="D52" i="1"/>
  <c r="AN51" i="1"/>
  <c r="Y51" i="1"/>
  <c r="AI51" i="1" s="1"/>
  <c r="W51" i="1"/>
  <c r="AM51" i="1" s="1"/>
  <c r="O51" i="1"/>
  <c r="D51" i="1"/>
  <c r="BC50" i="1"/>
  <c r="AD50" i="1" s="1"/>
  <c r="AN50" i="1"/>
  <c r="Y50" i="1"/>
  <c r="AI50" i="1" s="1"/>
  <c r="W50" i="1"/>
  <c r="AM50" i="1" s="1"/>
  <c r="O50" i="1"/>
  <c r="D50" i="1"/>
  <c r="BC49" i="1"/>
  <c r="AD49" i="1" s="1"/>
  <c r="AN49" i="1"/>
  <c r="Y49" i="1"/>
  <c r="AH49" i="1" s="1"/>
  <c r="W49" i="1"/>
  <c r="AM49" i="1" s="1"/>
  <c r="O49" i="1"/>
  <c r="D49" i="1"/>
  <c r="BC48" i="1"/>
  <c r="AD48" i="1" s="1"/>
  <c r="AN48" i="1"/>
  <c r="Y48" i="1"/>
  <c r="W48" i="1"/>
  <c r="AM48" i="1" s="1"/>
  <c r="O48" i="1"/>
  <c r="D48" i="1"/>
  <c r="BC47" i="1"/>
  <c r="AD47" i="1" s="1"/>
  <c r="AN47" i="1"/>
  <c r="Y47" i="1"/>
  <c r="AO47" i="1" s="1"/>
  <c r="AA47" i="1" s="1"/>
  <c r="W47" i="1"/>
  <c r="AM47" i="1" s="1"/>
  <c r="O47" i="1"/>
  <c r="D47" i="1"/>
  <c r="BC46" i="1"/>
  <c r="AD46" i="1" s="1"/>
  <c r="AN46" i="1"/>
  <c r="Y46" i="1"/>
  <c r="W46" i="1"/>
  <c r="AM46" i="1" s="1"/>
  <c r="O46" i="1"/>
  <c r="D46" i="1"/>
  <c r="BC45" i="1"/>
  <c r="AD45" i="1" s="1"/>
  <c r="AN45" i="1"/>
  <c r="Y45" i="1"/>
  <c r="AO45" i="1" s="1"/>
  <c r="AA45" i="1" s="1"/>
  <c r="AB45" i="1" s="1"/>
  <c r="W45" i="1"/>
  <c r="AM45" i="1" s="1"/>
  <c r="O45" i="1"/>
  <c r="D45" i="1"/>
  <c r="BC44" i="1"/>
  <c r="AD44" i="1" s="1"/>
  <c r="AN44" i="1"/>
  <c r="Y44" i="1"/>
  <c r="AI44" i="1" s="1"/>
  <c r="W44" i="1"/>
  <c r="AM44" i="1" s="1"/>
  <c r="O44" i="1"/>
  <c r="D44" i="1"/>
  <c r="AN43" i="1"/>
  <c r="Y43" i="1"/>
  <c r="W43" i="1"/>
  <c r="AM43" i="1" s="1"/>
  <c r="O43" i="1"/>
  <c r="D43" i="1"/>
  <c r="BC42" i="1"/>
  <c r="AD42" i="1" s="1"/>
  <c r="AN42" i="1"/>
  <c r="Y42" i="1"/>
  <c r="W42" i="1"/>
  <c r="AM42" i="1" s="1"/>
  <c r="O42" i="1"/>
  <c r="D42" i="1"/>
  <c r="BC40" i="1"/>
  <c r="AD40" i="1" s="1"/>
  <c r="AN40" i="1"/>
  <c r="Y40" i="1"/>
  <c r="AH40" i="1" s="1"/>
  <c r="W40" i="1"/>
  <c r="AM40" i="1" s="1"/>
  <c r="O40" i="1"/>
  <c r="D40" i="1"/>
  <c r="BC39" i="1"/>
  <c r="AD39" i="1" s="1"/>
  <c r="AN39" i="1"/>
  <c r="Y39" i="1"/>
  <c r="AI39" i="1" s="1"/>
  <c r="W39" i="1"/>
  <c r="AM39" i="1" s="1"/>
  <c r="O39" i="1"/>
  <c r="D39" i="1"/>
  <c r="BC38" i="1"/>
  <c r="AD38" i="1" s="1"/>
  <c r="AN38" i="1"/>
  <c r="Y38" i="1"/>
  <c r="AH38" i="1" s="1"/>
  <c r="W38" i="1"/>
  <c r="AM38" i="1" s="1"/>
  <c r="O38" i="1"/>
  <c r="D38" i="1"/>
  <c r="BC37" i="1"/>
  <c r="AD37" i="1" s="1"/>
  <c r="AN37" i="1"/>
  <c r="Y37" i="1"/>
  <c r="AI37" i="1" s="1"/>
  <c r="W37" i="1"/>
  <c r="AM37" i="1" s="1"/>
  <c r="O37" i="1"/>
  <c r="D37" i="1"/>
  <c r="BC36" i="1"/>
  <c r="AD36" i="1" s="1"/>
  <c r="AN36" i="1"/>
  <c r="Y36" i="1"/>
  <c r="AO36" i="1" s="1"/>
  <c r="AA36" i="1" s="1"/>
  <c r="W36" i="1"/>
  <c r="AM36" i="1" s="1"/>
  <c r="O36" i="1"/>
  <c r="D36" i="1"/>
  <c r="BC35" i="1"/>
  <c r="AD35" i="1" s="1"/>
  <c r="AN35" i="1"/>
  <c r="Y35" i="1"/>
  <c r="AI35" i="1" s="1"/>
  <c r="W35" i="1"/>
  <c r="AM35" i="1" s="1"/>
  <c r="O35" i="1"/>
  <c r="D35" i="1"/>
  <c r="AN34" i="1"/>
  <c r="Y34" i="1"/>
  <c r="W34" i="1"/>
  <c r="AM34" i="1" s="1"/>
  <c r="O34" i="1"/>
  <c r="D34" i="1"/>
  <c r="BC33" i="1"/>
  <c r="AD33" i="1" s="1"/>
  <c r="AN33" i="1"/>
  <c r="Y33" i="1"/>
  <c r="AO33" i="1" s="1"/>
  <c r="AA33" i="1" s="1"/>
  <c r="AB33" i="1" s="1"/>
  <c r="W33" i="1"/>
  <c r="AM33" i="1" s="1"/>
  <c r="O33" i="1"/>
  <c r="D33" i="1"/>
  <c r="BC32" i="1"/>
  <c r="AD32" i="1" s="1"/>
  <c r="AN32" i="1"/>
  <c r="Y32" i="1"/>
  <c r="W32" i="1"/>
  <c r="AM32" i="1" s="1"/>
  <c r="O32" i="1"/>
  <c r="D32" i="1"/>
  <c r="BC31" i="1"/>
  <c r="AD31" i="1" s="1"/>
  <c r="AN31" i="1"/>
  <c r="Y31" i="1"/>
  <c r="AO31" i="1" s="1"/>
  <c r="AA31" i="1" s="1"/>
  <c r="W31" i="1"/>
  <c r="AM31" i="1" s="1"/>
  <c r="O31" i="1"/>
  <c r="D31" i="1"/>
  <c r="BC30" i="1"/>
  <c r="AD30" i="1" s="1"/>
  <c r="AN30" i="1"/>
  <c r="Y30" i="1"/>
  <c r="AO30" i="1" s="1"/>
  <c r="AA30" i="1" s="1"/>
  <c r="AB30" i="1" s="1"/>
  <c r="W30" i="1"/>
  <c r="AM30" i="1" s="1"/>
  <c r="O30" i="1"/>
  <c r="D30" i="1"/>
  <c r="BC29" i="1"/>
  <c r="AD29" i="1" s="1"/>
  <c r="AN29" i="1"/>
  <c r="Y29" i="1"/>
  <c r="W29" i="1"/>
  <c r="AM29" i="1" s="1"/>
  <c r="O29" i="1"/>
  <c r="D29" i="1"/>
  <c r="BC28" i="1"/>
  <c r="AD28" i="1" s="1"/>
  <c r="AN28" i="1"/>
  <c r="Y28" i="1"/>
  <c r="AH28" i="1" s="1"/>
  <c r="W28" i="1"/>
  <c r="AM28" i="1" s="1"/>
  <c r="O28" i="1"/>
  <c r="D28" i="1"/>
  <c r="BC27" i="1"/>
  <c r="AD27" i="1" s="1"/>
  <c r="AN27" i="1"/>
  <c r="Y27" i="1"/>
  <c r="W27" i="1"/>
  <c r="AM27" i="1" s="1"/>
  <c r="O27" i="1"/>
  <c r="D27" i="1"/>
  <c r="BC26" i="1"/>
  <c r="AD26" i="1" s="1"/>
  <c r="AN26" i="1"/>
  <c r="Y26" i="1"/>
  <c r="AO26" i="1" s="1"/>
  <c r="AA26" i="1" s="1"/>
  <c r="AB26" i="1" s="1"/>
  <c r="W26" i="1"/>
  <c r="AM26" i="1" s="1"/>
  <c r="O26" i="1"/>
  <c r="D26" i="1"/>
  <c r="BC25" i="1"/>
  <c r="AD25" i="1" s="1"/>
  <c r="AN25" i="1"/>
  <c r="Y25" i="1"/>
  <c r="AH25" i="1" s="1"/>
  <c r="W25" i="1"/>
  <c r="AM25" i="1" s="1"/>
  <c r="O25" i="1"/>
  <c r="D25" i="1"/>
  <c r="BC24" i="1"/>
  <c r="AD24" i="1" s="1"/>
  <c r="AN24" i="1"/>
  <c r="Y24" i="1"/>
  <c r="AO24" i="1" s="1"/>
  <c r="AA24" i="1" s="1"/>
  <c r="W24" i="1"/>
  <c r="AM24" i="1" s="1"/>
  <c r="O24" i="1"/>
  <c r="D24" i="1"/>
  <c r="BC23" i="1"/>
  <c r="AD23" i="1" s="1"/>
  <c r="AN23" i="1"/>
  <c r="Y23" i="1"/>
  <c r="W23" i="1"/>
  <c r="AM23" i="1" s="1"/>
  <c r="O23" i="1"/>
  <c r="D23" i="1"/>
  <c r="BC22" i="1"/>
  <c r="AD22" i="1" s="1"/>
  <c r="AN22" i="1"/>
  <c r="Y22" i="1"/>
  <c r="AO22" i="1" s="1"/>
  <c r="AA22" i="1" s="1"/>
  <c r="AB22" i="1" s="1"/>
  <c r="W22" i="1"/>
  <c r="AM22" i="1" s="1"/>
  <c r="O22" i="1"/>
  <c r="D22" i="1"/>
  <c r="BC21" i="1"/>
  <c r="AD21" i="1" s="1"/>
  <c r="AN21" i="1"/>
  <c r="Y21" i="1"/>
  <c r="AI21" i="1" s="1"/>
  <c r="W21" i="1"/>
  <c r="AM21" i="1" s="1"/>
  <c r="O21" i="1"/>
  <c r="D21" i="1"/>
  <c r="BC20" i="1"/>
  <c r="AD20" i="1" s="1"/>
  <c r="AN20" i="1"/>
  <c r="Y20" i="1"/>
  <c r="W20" i="1"/>
  <c r="AM20" i="1" s="1"/>
  <c r="O20" i="1"/>
  <c r="D20" i="1"/>
  <c r="BC19" i="1"/>
  <c r="AD19" i="1" s="1"/>
  <c r="AN19" i="1"/>
  <c r="Y19" i="1"/>
  <c r="W19" i="1"/>
  <c r="AM19" i="1" s="1"/>
  <c r="O19" i="1"/>
  <c r="D19" i="1"/>
  <c r="BC18" i="1"/>
  <c r="AD18" i="1" s="1"/>
  <c r="AN18" i="1"/>
  <c r="Y18" i="1"/>
  <c r="AH18" i="1" s="1"/>
  <c r="W18" i="1"/>
  <c r="AM18" i="1" s="1"/>
  <c r="O18" i="1"/>
  <c r="D18" i="1"/>
  <c r="BC17" i="1"/>
  <c r="AD17" i="1" s="1"/>
  <c r="AN17" i="1"/>
  <c r="Y17" i="1"/>
  <c r="AH17" i="1" s="1"/>
  <c r="W17" i="1"/>
  <c r="AM17" i="1" s="1"/>
  <c r="O17" i="1"/>
  <c r="D17" i="1"/>
  <c r="BC16" i="1"/>
  <c r="AD16" i="1" s="1"/>
  <c r="AN16" i="1"/>
  <c r="Y16" i="1"/>
  <c r="AI16" i="1" s="1"/>
  <c r="W16" i="1"/>
  <c r="AM16" i="1" s="1"/>
  <c r="O16" i="1"/>
  <c r="D16" i="1"/>
  <c r="BC15" i="1"/>
  <c r="AD15" i="1" s="1"/>
  <c r="AN15" i="1"/>
  <c r="Y15" i="1"/>
  <c r="AH15" i="1" s="1"/>
  <c r="W15" i="1"/>
  <c r="AM15" i="1" s="1"/>
  <c r="O15" i="1"/>
  <c r="D15" i="1"/>
  <c r="BC14" i="1"/>
  <c r="AD14" i="1" s="1"/>
  <c r="AN14" i="1"/>
  <c r="Y14" i="1"/>
  <c r="W14" i="1"/>
  <c r="AM14" i="1" s="1"/>
  <c r="O14" i="1"/>
  <c r="D14" i="1"/>
  <c r="BL172" i="1" l="1"/>
  <c r="BL149" i="1"/>
  <c r="BL158" i="1"/>
  <c r="BL142" i="1"/>
  <c r="BL36" i="1"/>
  <c r="BL30" i="1"/>
  <c r="BL198" i="1"/>
  <c r="BL160" i="1"/>
  <c r="BL47" i="1"/>
  <c r="BL148" i="1"/>
  <c r="BL95" i="1"/>
  <c r="BL22" i="1"/>
  <c r="BL77" i="1"/>
  <c r="BL115" i="1"/>
  <c r="BL125" i="1"/>
  <c r="BL105" i="1"/>
  <c r="BL192" i="1"/>
  <c r="BL86" i="1"/>
  <c r="BL60" i="1"/>
  <c r="BL164" i="1"/>
  <c r="BL91" i="1"/>
  <c r="BL31" i="1"/>
  <c r="BL33" i="1"/>
  <c r="BL45" i="1"/>
  <c r="BL116" i="1"/>
  <c r="BL107" i="1"/>
  <c r="BL24" i="1"/>
  <c r="BL26" i="1"/>
  <c r="BL79" i="1"/>
  <c r="BL118" i="1"/>
  <c r="BL123" i="1"/>
  <c r="BL163" i="1"/>
  <c r="BL210" i="1"/>
  <c r="BL201" i="1"/>
  <c r="BL131" i="1"/>
  <c r="BL119" i="1"/>
  <c r="BL80" i="1"/>
  <c r="AH99" i="1"/>
  <c r="AH147" i="1"/>
  <c r="AE77" i="1"/>
  <c r="AF77" i="1" s="1"/>
  <c r="AO103" i="1"/>
  <c r="AA103" i="1" s="1"/>
  <c r="AB103" i="1" s="1"/>
  <c r="AE172" i="1"/>
  <c r="AF172" i="1" s="1"/>
  <c r="AE91" i="1"/>
  <c r="AF91" i="1" s="1"/>
  <c r="AE210" i="1"/>
  <c r="AF210" i="1" s="1"/>
  <c r="AE60" i="1"/>
  <c r="AF60" i="1" s="1"/>
  <c r="AE79" i="1"/>
  <c r="AF79" i="1" s="1"/>
  <c r="AE142" i="1"/>
  <c r="AF142" i="1" s="1"/>
  <c r="AE123" i="1"/>
  <c r="AF123" i="1" s="1"/>
  <c r="AE158" i="1"/>
  <c r="AF158" i="1" s="1"/>
  <c r="AE64" i="1"/>
  <c r="AF64" i="1" s="1"/>
  <c r="AH192" i="1"/>
  <c r="AO196" i="1"/>
  <c r="AA196" i="1" s="1"/>
  <c r="AB196" i="1" s="1"/>
  <c r="AE116" i="1"/>
  <c r="AF116" i="1" s="1"/>
  <c r="AE47" i="1"/>
  <c r="AF47" i="1" s="1"/>
  <c r="AE89" i="1"/>
  <c r="AF89" i="1" s="1"/>
  <c r="AI107" i="1"/>
  <c r="AE22" i="1"/>
  <c r="AF22" i="1" s="1"/>
  <c r="AE131" i="1"/>
  <c r="AF131" i="1" s="1"/>
  <c r="AE201" i="1"/>
  <c r="AF201" i="1" s="1"/>
  <c r="AE85" i="1"/>
  <c r="AF85" i="1" s="1"/>
  <c r="AE95" i="1"/>
  <c r="AF95" i="1" s="1"/>
  <c r="AE160" i="1"/>
  <c r="AF160" i="1" s="1"/>
  <c r="AE24" i="1"/>
  <c r="AF24" i="1" s="1"/>
  <c r="AE26" i="1"/>
  <c r="AF26" i="1" s="1"/>
  <c r="AE30" i="1"/>
  <c r="AF30" i="1" s="1"/>
  <c r="AE36" i="1"/>
  <c r="AF36" i="1" s="1"/>
  <c r="AE45" i="1"/>
  <c r="AF45" i="1" s="1"/>
  <c r="AE80" i="1"/>
  <c r="AF80" i="1" s="1"/>
  <c r="AE86" i="1"/>
  <c r="AF86" i="1" s="1"/>
  <c r="AE115" i="1"/>
  <c r="AF115" i="1" s="1"/>
  <c r="AE118" i="1"/>
  <c r="AF118" i="1" s="1"/>
  <c r="AE125" i="1"/>
  <c r="AF125" i="1" s="1"/>
  <c r="AE164" i="1"/>
  <c r="AF164" i="1" s="1"/>
  <c r="AE107" i="1"/>
  <c r="AF107" i="1" s="1"/>
  <c r="AO162" i="1"/>
  <c r="AE162" i="1" s="1"/>
  <c r="AF162" i="1" s="1"/>
  <c r="AE180" i="1"/>
  <c r="AF180" i="1" s="1"/>
  <c r="AE209" i="1"/>
  <c r="AF209" i="1" s="1"/>
  <c r="AE148" i="1"/>
  <c r="AF148" i="1" s="1"/>
  <c r="AO97" i="1"/>
  <c r="AA97" i="1" s="1"/>
  <c r="AB97" i="1" s="1"/>
  <c r="AI95" i="1"/>
  <c r="AH111" i="1"/>
  <c r="AE163" i="1"/>
  <c r="AF163" i="1" s="1"/>
  <c r="AO111" i="1"/>
  <c r="AA111" i="1" s="1"/>
  <c r="AB111" i="1" s="1"/>
  <c r="AE198" i="1"/>
  <c r="AF198" i="1" s="1"/>
  <c r="AO167" i="1"/>
  <c r="AA167" i="1" s="1"/>
  <c r="AB167" i="1" s="1"/>
  <c r="AE192" i="1"/>
  <c r="AF192" i="1" s="1"/>
  <c r="AE149" i="1"/>
  <c r="AF149" i="1" s="1"/>
  <c r="AE105" i="1"/>
  <c r="AF105" i="1" s="1"/>
  <c r="AE119" i="1"/>
  <c r="AF119" i="1" s="1"/>
  <c r="AE33" i="1"/>
  <c r="AF33" i="1" s="1"/>
  <c r="AE31" i="1"/>
  <c r="AF31" i="1" s="1"/>
  <c r="AI160" i="1"/>
  <c r="AO99" i="1"/>
  <c r="AA99" i="1" s="1"/>
  <c r="AB99" i="1" s="1"/>
  <c r="AI158" i="1"/>
  <c r="O165" i="1"/>
  <c r="O99" i="1"/>
  <c r="AN200" i="1"/>
  <c r="O158" i="1"/>
  <c r="AA192" i="1"/>
  <c r="AB192" i="1" s="1"/>
  <c r="O41" i="1"/>
  <c r="AH149" i="1"/>
  <c r="AB172" i="1"/>
  <c r="AB105" i="1"/>
  <c r="AO147" i="1"/>
  <c r="BL147" i="1" s="1"/>
  <c r="AI149" i="1"/>
  <c r="AH172" i="1"/>
  <c r="AH105" i="1"/>
  <c r="AI172" i="1"/>
  <c r="AH91" i="1"/>
  <c r="AI105" i="1"/>
  <c r="AI200" i="1"/>
  <c r="AI91" i="1"/>
  <c r="AH107" i="1"/>
  <c r="AH158" i="1"/>
  <c r="AI192" i="1"/>
  <c r="AH196" i="1"/>
  <c r="AH95" i="1"/>
  <c r="AI162" i="1"/>
  <c r="AO200" i="1"/>
  <c r="AO93" i="1"/>
  <c r="AA93" i="1" s="1"/>
  <c r="AB93" i="1" s="1"/>
  <c r="AB95" i="1"/>
  <c r="AH101" i="1"/>
  <c r="AI103" i="1"/>
  <c r="AO109" i="1"/>
  <c r="AA109" i="1" s="1"/>
  <c r="AB109" i="1" s="1"/>
  <c r="AO151" i="1"/>
  <c r="AA151" i="1" s="1"/>
  <c r="AB151" i="1" s="1"/>
  <c r="AB158" i="1"/>
  <c r="AH165" i="1"/>
  <c r="AI167" i="1"/>
  <c r="AO194" i="1"/>
  <c r="AA194" i="1" s="1"/>
  <c r="AB194" i="1" s="1"/>
  <c r="AI101" i="1"/>
  <c r="AI165" i="1"/>
  <c r="AH97" i="1"/>
  <c r="AH160" i="1"/>
  <c r="AH198" i="1"/>
  <c r="AI198" i="1"/>
  <c r="AH93" i="1"/>
  <c r="AO101" i="1"/>
  <c r="AA101" i="1" s="1"/>
  <c r="AB101" i="1" s="1"/>
  <c r="AH109" i="1"/>
  <c r="AH151" i="1"/>
  <c r="AO165" i="1"/>
  <c r="AA165" i="1" s="1"/>
  <c r="AB165" i="1" s="1"/>
  <c r="AH194" i="1"/>
  <c r="AI74" i="1"/>
  <c r="AO74" i="1"/>
  <c r="BL74" i="1" s="1"/>
  <c r="AH148" i="1"/>
  <c r="AH77" i="1"/>
  <c r="AI131" i="1"/>
  <c r="AI77" i="1"/>
  <c r="AH90" i="1"/>
  <c r="AI28" i="1"/>
  <c r="AO92" i="1"/>
  <c r="AA92" i="1" s="1"/>
  <c r="AB92" i="1" s="1"/>
  <c r="AH180" i="1"/>
  <c r="AH50" i="1"/>
  <c r="AO56" i="1"/>
  <c r="AH122" i="1"/>
  <c r="AH36" i="1"/>
  <c r="AI36" i="1"/>
  <c r="AI179" i="1"/>
  <c r="AO50" i="1"/>
  <c r="BL50" i="1" s="1"/>
  <c r="AO184" i="1"/>
  <c r="BL184" i="1" s="1"/>
  <c r="AI49" i="1"/>
  <c r="AI148" i="1"/>
  <c r="AI161" i="1"/>
  <c r="AI209" i="1"/>
  <c r="AH64" i="1"/>
  <c r="AO216" i="1"/>
  <c r="AA216" i="1" s="1"/>
  <c r="AB216" i="1" s="1"/>
  <c r="AI40" i="1"/>
  <c r="AO76" i="1"/>
  <c r="AA76" i="1" s="1"/>
  <c r="AB76" i="1" s="1"/>
  <c r="AH128" i="1"/>
  <c r="AH47" i="1"/>
  <c r="AO96" i="1"/>
  <c r="BL96" i="1" s="1"/>
  <c r="AI117" i="1"/>
  <c r="AB123" i="1"/>
  <c r="AI30" i="1"/>
  <c r="AO40" i="1"/>
  <c r="AI45" i="1"/>
  <c r="AI142" i="1"/>
  <c r="AO38" i="1"/>
  <c r="AA38" i="1" s="1"/>
  <c r="AB38" i="1" s="1"/>
  <c r="AH86" i="1"/>
  <c r="AI53" i="1"/>
  <c r="AO54" i="1"/>
  <c r="BL54" i="1" s="1"/>
  <c r="AH60" i="1"/>
  <c r="AH61" i="1"/>
  <c r="AO75" i="1"/>
  <c r="AA75" i="1" s="1"/>
  <c r="AB75" i="1" s="1"/>
  <c r="AI116" i="1"/>
  <c r="AH119" i="1"/>
  <c r="AO146" i="1"/>
  <c r="AA146" i="1" s="1"/>
  <c r="AB146" i="1" s="1"/>
  <c r="AH208" i="1"/>
  <c r="AH87" i="1"/>
  <c r="AO44" i="1"/>
  <c r="AA44" i="1" s="1"/>
  <c r="AB44" i="1" s="1"/>
  <c r="AI61" i="1"/>
  <c r="AI119" i="1"/>
  <c r="AH131" i="1"/>
  <c r="AH138" i="1"/>
  <c r="AH142" i="1"/>
  <c r="AI184" i="1"/>
  <c r="AI219" i="1"/>
  <c r="AO174" i="1"/>
  <c r="BL174" i="1" s="1"/>
  <c r="AO87" i="1"/>
  <c r="BL87" i="1" s="1"/>
  <c r="AH26" i="1"/>
  <c r="AI98" i="1"/>
  <c r="AO130" i="1"/>
  <c r="AA130" i="1" s="1"/>
  <c r="AB130" i="1" s="1"/>
  <c r="AH210" i="1"/>
  <c r="AO154" i="1"/>
  <c r="AA154" i="1" s="1"/>
  <c r="AB154" i="1" s="1"/>
  <c r="AI25" i="1"/>
  <c r="AI26" i="1"/>
  <c r="AO39" i="1"/>
  <c r="AA39" i="1" s="1"/>
  <c r="AB39" i="1" s="1"/>
  <c r="AH155" i="1"/>
  <c r="AI210" i="1"/>
  <c r="AO205" i="1"/>
  <c r="BL205" i="1" s="1"/>
  <c r="AO35" i="1"/>
  <c r="AA35" i="1" s="1"/>
  <c r="AB35" i="1" s="1"/>
  <c r="AO155" i="1"/>
  <c r="BL155" i="1" s="1"/>
  <c r="AM189" i="1"/>
  <c r="AA201" i="1"/>
  <c r="AB201" i="1" s="1"/>
  <c r="AM207" i="1"/>
  <c r="AN209" i="1"/>
  <c r="BL209" i="1" s="1"/>
  <c r="AM218" i="1"/>
  <c r="AN145" i="1"/>
  <c r="AM214" i="1"/>
  <c r="AN161" i="1"/>
  <c r="AN188" i="1"/>
  <c r="AA209" i="1"/>
  <c r="AB209" i="1" s="1"/>
  <c r="AM128" i="1"/>
  <c r="O130" i="1"/>
  <c r="O137" i="1"/>
  <c r="AM153" i="1"/>
  <c r="AN156" i="1"/>
  <c r="AO161" i="1"/>
  <c r="AA161" i="1" s="1"/>
  <c r="AB161" i="1" s="1"/>
  <c r="AM178" i="1"/>
  <c r="O201" i="1"/>
  <c r="AM130" i="1"/>
  <c r="AM137" i="1"/>
  <c r="AM142" i="1"/>
  <c r="AM186" i="1"/>
  <c r="AM201" i="1"/>
  <c r="AM146" i="1"/>
  <c r="AM150" i="1"/>
  <c r="AO152" i="1"/>
  <c r="AA152" i="1" s="1"/>
  <c r="AB152" i="1" s="1"/>
  <c r="AM173" i="1"/>
  <c r="AO208" i="1"/>
  <c r="BL208" i="1" s="1"/>
  <c r="AM215" i="1"/>
  <c r="O127" i="1"/>
  <c r="AM145" i="1"/>
  <c r="AN180" i="1"/>
  <c r="BL180" i="1" s="1"/>
  <c r="AM183" i="1"/>
  <c r="AM206" i="1"/>
  <c r="AM212" i="1"/>
  <c r="AM216" i="1"/>
  <c r="AO122" i="1"/>
  <c r="AA122" i="1" s="1"/>
  <c r="AB122" i="1" s="1"/>
  <c r="AM141" i="1"/>
  <c r="AM154" i="1"/>
  <c r="AM166" i="1"/>
  <c r="AM180" i="1"/>
  <c r="AO181" i="1"/>
  <c r="AA181" i="1" s="1"/>
  <c r="AB181" i="1" s="1"/>
  <c r="AM204" i="1"/>
  <c r="AM125" i="1"/>
  <c r="AM126" i="1"/>
  <c r="AO132" i="1"/>
  <c r="AA132" i="1" s="1"/>
  <c r="AB132" i="1" s="1"/>
  <c r="AO141" i="1"/>
  <c r="BL141" i="1" s="1"/>
  <c r="AM156" i="1"/>
  <c r="AM164" i="1"/>
  <c r="AO175" i="1"/>
  <c r="AA175" i="1" s="1"/>
  <c r="AB175" i="1" s="1"/>
  <c r="AO179" i="1"/>
  <c r="BL179" i="1" s="1"/>
  <c r="AA180" i="1"/>
  <c r="AB180" i="1" s="1"/>
  <c r="AM197" i="1"/>
  <c r="AM208" i="1"/>
  <c r="AM209" i="1"/>
  <c r="AM210" i="1"/>
  <c r="AI34" i="1"/>
  <c r="AO34" i="1"/>
  <c r="AA34" i="1" s="1"/>
  <c r="AB34" i="1" s="1"/>
  <c r="AH34" i="1"/>
  <c r="AI120" i="1"/>
  <c r="AH120" i="1"/>
  <c r="AO66" i="1"/>
  <c r="AA66" i="1" s="1"/>
  <c r="AB66" i="1" s="1"/>
  <c r="AI66" i="1"/>
  <c r="AH66" i="1"/>
  <c r="AO139" i="1"/>
  <c r="AA139" i="1" s="1"/>
  <c r="AB139" i="1" s="1"/>
  <c r="AI139" i="1"/>
  <c r="AH139" i="1"/>
  <c r="AO156" i="1"/>
  <c r="AI156" i="1"/>
  <c r="AH156" i="1"/>
  <c r="AO188" i="1"/>
  <c r="AA188" i="1" s="1"/>
  <c r="AB188" i="1" s="1"/>
  <c r="AI188" i="1"/>
  <c r="AH188" i="1"/>
  <c r="AO189" i="1"/>
  <c r="AA189" i="1" s="1"/>
  <c r="AB189" i="1" s="1"/>
  <c r="AI189" i="1"/>
  <c r="AH189" i="1"/>
  <c r="AO48" i="1"/>
  <c r="AH48" i="1"/>
  <c r="AO120" i="1"/>
  <c r="AA120" i="1" s="1"/>
  <c r="AB120" i="1" s="1"/>
  <c r="AH177" i="1"/>
  <c r="AO177" i="1"/>
  <c r="BL177" i="1" s="1"/>
  <c r="AI177" i="1"/>
  <c r="AI187" i="1"/>
  <c r="AO187" i="1"/>
  <c r="BL187" i="1" s="1"/>
  <c r="AH23" i="1"/>
  <c r="AO23" i="1"/>
  <c r="AA23" i="1" s="1"/>
  <c r="AB23" i="1" s="1"/>
  <c r="AO58" i="1"/>
  <c r="BL58" i="1" s="1"/>
  <c r="AH58" i="1"/>
  <c r="AI15" i="1"/>
  <c r="AI48" i="1"/>
  <c r="AI54" i="1"/>
  <c r="AI58" i="1"/>
  <c r="AI88" i="1"/>
  <c r="AO88" i="1"/>
  <c r="BL88" i="1" s="1"/>
  <c r="AH88" i="1"/>
  <c r="AH104" i="1"/>
  <c r="AI152" i="1"/>
  <c r="AH187" i="1"/>
  <c r="AI32" i="1"/>
  <c r="AO32" i="1"/>
  <c r="AO14" i="1"/>
  <c r="AA14" i="1" s="1"/>
  <c r="AB14" i="1" s="1"/>
  <c r="AI14" i="1"/>
  <c r="AI23" i="1"/>
  <c r="AO28" i="1"/>
  <c r="AA28" i="1" s="1"/>
  <c r="AB28" i="1" s="1"/>
  <c r="AO71" i="1"/>
  <c r="BL71" i="1" s="1"/>
  <c r="AI71" i="1"/>
  <c r="AH71" i="1"/>
  <c r="AO63" i="1"/>
  <c r="BL63" i="1" s="1"/>
  <c r="AI63" i="1"/>
  <c r="AH63" i="1"/>
  <c r="AH108" i="1"/>
  <c r="AO108" i="1"/>
  <c r="AA108" i="1" s="1"/>
  <c r="AB108" i="1" s="1"/>
  <c r="AI108" i="1"/>
  <c r="AO104" i="1"/>
  <c r="BL104" i="1" s="1"/>
  <c r="AH213" i="1"/>
  <c r="AO213" i="1"/>
  <c r="AA213" i="1" s="1"/>
  <c r="AB213" i="1" s="1"/>
  <c r="AI213" i="1"/>
  <c r="AI80" i="1"/>
  <c r="AH80" i="1"/>
  <c r="AB80" i="1"/>
  <c r="AO134" i="1"/>
  <c r="BL134" i="1" s="1"/>
  <c r="AI134" i="1"/>
  <c r="AH134" i="1"/>
  <c r="AO25" i="1"/>
  <c r="AA25" i="1" s="1"/>
  <c r="AB25" i="1" s="1"/>
  <c r="AO81" i="1"/>
  <c r="BL81" i="1" s="1"/>
  <c r="AO98" i="1"/>
  <c r="AA98" i="1" s="1"/>
  <c r="AB98" i="1" s="1"/>
  <c r="AO113" i="1"/>
  <c r="AA113" i="1" s="1"/>
  <c r="AB113" i="1" s="1"/>
  <c r="AO202" i="1"/>
  <c r="AA202" i="1" s="1"/>
  <c r="AB202" i="1" s="1"/>
  <c r="AO219" i="1"/>
  <c r="BL219" i="1" s="1"/>
  <c r="AI64" i="1"/>
  <c r="AO61" i="1"/>
  <c r="AA61" i="1" s="1"/>
  <c r="AB61" i="1" s="1"/>
  <c r="AH130" i="1"/>
  <c r="AO138" i="1"/>
  <c r="AA138" i="1" s="1"/>
  <c r="AB138" i="1" s="1"/>
  <c r="AO157" i="1"/>
  <c r="AA157" i="1" s="1"/>
  <c r="AB157" i="1" s="1"/>
  <c r="AH68" i="1"/>
  <c r="AI193" i="1"/>
  <c r="AH199" i="1"/>
  <c r="AH123" i="1"/>
  <c r="AI170" i="1"/>
  <c r="AH174" i="1"/>
  <c r="AH201" i="1"/>
  <c r="AH216" i="1"/>
  <c r="AB31" i="1"/>
  <c r="AH35" i="1"/>
  <c r="AH81" i="1"/>
  <c r="AH113" i="1"/>
  <c r="AI123" i="1"/>
  <c r="AH132" i="1"/>
  <c r="AO144" i="1"/>
  <c r="AA144" i="1" s="1"/>
  <c r="AB144" i="1" s="1"/>
  <c r="AH146" i="1"/>
  <c r="AI180" i="1"/>
  <c r="AO193" i="1"/>
  <c r="BL193" i="1" s="1"/>
  <c r="AO199" i="1"/>
  <c r="AA199" i="1" s="1"/>
  <c r="AB199" i="1" s="1"/>
  <c r="AI201" i="1"/>
  <c r="AH202" i="1"/>
  <c r="AH44" i="1"/>
  <c r="AB36" i="1"/>
  <c r="AH39" i="1"/>
  <c r="AH45" i="1"/>
  <c r="AH76" i="1"/>
  <c r="AH94" i="1"/>
  <c r="AI132" i="1"/>
  <c r="AO135" i="1"/>
  <c r="AA135" i="1" s="1"/>
  <c r="AB135" i="1" s="1"/>
  <c r="AH157" i="1"/>
  <c r="AO170" i="1"/>
  <c r="BL170" i="1" s="1"/>
  <c r="AI181" i="1"/>
  <c r="AI205" i="1"/>
  <c r="AH209" i="1"/>
  <c r="AI89" i="1"/>
  <c r="AI43" i="1"/>
  <c r="AO59" i="1"/>
  <c r="AA59" i="1" s="1"/>
  <c r="AB59" i="1" s="1"/>
  <c r="AH59" i="1"/>
  <c r="AO73" i="1"/>
  <c r="AA73" i="1" s="1"/>
  <c r="AB73" i="1" s="1"/>
  <c r="AH73" i="1"/>
  <c r="AI73" i="1"/>
  <c r="AB24" i="1"/>
  <c r="AO53" i="1"/>
  <c r="AA53" i="1" s="1"/>
  <c r="AB53" i="1" s="1"/>
  <c r="AB60" i="1"/>
  <c r="AI60" i="1"/>
  <c r="AI84" i="1"/>
  <c r="AO84" i="1"/>
  <c r="AA84" i="1" s="1"/>
  <c r="AB84" i="1" s="1"/>
  <c r="AI118" i="1"/>
  <c r="AB118" i="1"/>
  <c r="AH118" i="1"/>
  <c r="AO121" i="1"/>
  <c r="AA121" i="1" s="1"/>
  <c r="AB121" i="1" s="1"/>
  <c r="AI121" i="1"/>
  <c r="AI19" i="1"/>
  <c r="AO19" i="1"/>
  <c r="AA19" i="1" s="1"/>
  <c r="AB19" i="1" s="1"/>
  <c r="AI67" i="1"/>
  <c r="AO69" i="1"/>
  <c r="AA69" i="1" s="1"/>
  <c r="AB69" i="1" s="1"/>
  <c r="AO82" i="1"/>
  <c r="AA82" i="1" s="1"/>
  <c r="AB82" i="1" s="1"/>
  <c r="AH82" i="1"/>
  <c r="AI106" i="1"/>
  <c r="AO106" i="1"/>
  <c r="AA106" i="1" s="1"/>
  <c r="AB106" i="1" s="1"/>
  <c r="AO124" i="1"/>
  <c r="AA124" i="1" s="1"/>
  <c r="AB124" i="1" s="1"/>
  <c r="AO29" i="1"/>
  <c r="AA29" i="1" s="1"/>
  <c r="AB29" i="1" s="1"/>
  <c r="AI33" i="1"/>
  <c r="AH33" i="1"/>
  <c r="AI38" i="1"/>
  <c r="AH57" i="1"/>
  <c r="AO57" i="1"/>
  <c r="AA57" i="1" s="1"/>
  <c r="AB57" i="1" s="1"/>
  <c r="AI59" i="1"/>
  <c r="AH67" i="1"/>
  <c r="AI82" i="1"/>
  <c r="AH106" i="1"/>
  <c r="AI124" i="1"/>
  <c r="AH168" i="1"/>
  <c r="AO168" i="1"/>
  <c r="AA168" i="1" s="1"/>
  <c r="AB168" i="1" s="1"/>
  <c r="AI168" i="1"/>
  <c r="AH24" i="1"/>
  <c r="AH21" i="1"/>
  <c r="AI24" i="1"/>
  <c r="AH32" i="1"/>
  <c r="AI42" i="1"/>
  <c r="AH42" i="1"/>
  <c r="AO42" i="1"/>
  <c r="BL42" i="1" s="1"/>
  <c r="AH65" i="1"/>
  <c r="AO65" i="1"/>
  <c r="AA65" i="1" s="1"/>
  <c r="AB65" i="1" s="1"/>
  <c r="AO67" i="1"/>
  <c r="AA67" i="1" s="1"/>
  <c r="AB67" i="1" s="1"/>
  <c r="AI110" i="1"/>
  <c r="AH110" i="1"/>
  <c r="AO110" i="1"/>
  <c r="AA110" i="1" s="1"/>
  <c r="AB110" i="1" s="1"/>
  <c r="AO129" i="1"/>
  <c r="BL129" i="1" s="1"/>
  <c r="AI129" i="1"/>
  <c r="AI141" i="1"/>
  <c r="AO159" i="1"/>
  <c r="AA159" i="1" s="1"/>
  <c r="AB159" i="1" s="1"/>
  <c r="AH159" i="1"/>
  <c r="AI159" i="1"/>
  <c r="AO27" i="1"/>
  <c r="BL27" i="1" s="1"/>
  <c r="AI136" i="1"/>
  <c r="AH136" i="1"/>
  <c r="AO136" i="1"/>
  <c r="BL136" i="1" s="1"/>
  <c r="AO140" i="1"/>
  <c r="AA140" i="1" s="1"/>
  <c r="AB140" i="1" s="1"/>
  <c r="AH140" i="1"/>
  <c r="AH43" i="1"/>
  <c r="AO46" i="1"/>
  <c r="BL46" i="1" s="1"/>
  <c r="AH46" i="1"/>
  <c r="AI137" i="1"/>
  <c r="AH137" i="1"/>
  <c r="AO150" i="1"/>
  <c r="BL150" i="1" s="1"/>
  <c r="AI150" i="1"/>
  <c r="AH150" i="1"/>
  <c r="AH27" i="1"/>
  <c r="AH29" i="1"/>
  <c r="AO43" i="1"/>
  <c r="AA43" i="1" s="1"/>
  <c r="AB43" i="1" s="1"/>
  <c r="AH69" i="1"/>
  <c r="AO112" i="1"/>
  <c r="BL112" i="1" s="1"/>
  <c r="AI112" i="1"/>
  <c r="AI127" i="1"/>
  <c r="AO127" i="1"/>
  <c r="AH141" i="1"/>
  <c r="AH143" i="1"/>
  <c r="AO143" i="1"/>
  <c r="BL143" i="1" s="1"/>
  <c r="AI143" i="1"/>
  <c r="AI31" i="1"/>
  <c r="AH31" i="1"/>
  <c r="AO114" i="1"/>
  <c r="AA114" i="1" s="1"/>
  <c r="AB114" i="1" s="1"/>
  <c r="AH114" i="1"/>
  <c r="AH14" i="1"/>
  <c r="AO21" i="1"/>
  <c r="BL21" i="1" s="1"/>
  <c r="AI27" i="1"/>
  <c r="AI29" i="1"/>
  <c r="AH30" i="1"/>
  <c r="AO37" i="1"/>
  <c r="BL37" i="1" s="1"/>
  <c r="AH37" i="1"/>
  <c r="AI46" i="1"/>
  <c r="AB47" i="1"/>
  <c r="AI47" i="1"/>
  <c r="AI52" i="1"/>
  <c r="AH52" i="1"/>
  <c r="AO52" i="1"/>
  <c r="AA52" i="1" s="1"/>
  <c r="AB52" i="1" s="1"/>
  <c r="AO137" i="1"/>
  <c r="AA137" i="1" s="1"/>
  <c r="AB137" i="1" s="1"/>
  <c r="AO49" i="1"/>
  <c r="AA49" i="1" s="1"/>
  <c r="AB49" i="1" s="1"/>
  <c r="AH55" i="1"/>
  <c r="AO55" i="1"/>
  <c r="AA55" i="1" s="1"/>
  <c r="AB55" i="1" s="1"/>
  <c r="AI79" i="1"/>
  <c r="AB79" i="1"/>
  <c r="AB86" i="1"/>
  <c r="AH125" i="1"/>
  <c r="AI125" i="1"/>
  <c r="AI183" i="1"/>
  <c r="AB115" i="1"/>
  <c r="AI115" i="1"/>
  <c r="AB116" i="1"/>
  <c r="AH182" i="1"/>
  <c r="AO182" i="1"/>
  <c r="AA182" i="1" s="1"/>
  <c r="AB182" i="1" s="1"/>
  <c r="AI182" i="1"/>
  <c r="AI204" i="1"/>
  <c r="AO204" i="1"/>
  <c r="AA204" i="1" s="1"/>
  <c r="AB204" i="1" s="1"/>
  <c r="AH204" i="1"/>
  <c r="AH176" i="1"/>
  <c r="AO176" i="1"/>
  <c r="AA176" i="1" s="1"/>
  <c r="AB176" i="1" s="1"/>
  <c r="AI176" i="1"/>
  <c r="AI55" i="1"/>
  <c r="AI56" i="1"/>
  <c r="AH78" i="1"/>
  <c r="AO78" i="1"/>
  <c r="AA78" i="1" s="1"/>
  <c r="AB78" i="1" s="1"/>
  <c r="AH79" i="1"/>
  <c r="AI86" i="1"/>
  <c r="AI96" i="1"/>
  <c r="AI126" i="1"/>
  <c r="AH126" i="1"/>
  <c r="AO126" i="1"/>
  <c r="BL126" i="1" s="1"/>
  <c r="AO128" i="1"/>
  <c r="AA128" i="1" s="1"/>
  <c r="AB128" i="1" s="1"/>
  <c r="AB142" i="1"/>
  <c r="AI153" i="1"/>
  <c r="AO153" i="1"/>
  <c r="AA153" i="1" s="1"/>
  <c r="AB153" i="1" s="1"/>
  <c r="AH153" i="1"/>
  <c r="AO183" i="1"/>
  <c r="AA183" i="1" s="1"/>
  <c r="AB183" i="1" s="1"/>
  <c r="AO186" i="1"/>
  <c r="AA186" i="1" s="1"/>
  <c r="AB186" i="1" s="1"/>
  <c r="AI186" i="1"/>
  <c r="AH186" i="1"/>
  <c r="AO51" i="1"/>
  <c r="AA51" i="1" s="1"/>
  <c r="AB51" i="1" s="1"/>
  <c r="AH51" i="1"/>
  <c r="AI75" i="1"/>
  <c r="AH92" i="1"/>
  <c r="AO100" i="1"/>
  <c r="AA100" i="1" s="1"/>
  <c r="AB100" i="1" s="1"/>
  <c r="AI100" i="1"/>
  <c r="AH115" i="1"/>
  <c r="AH116" i="1"/>
  <c r="AI169" i="1"/>
  <c r="AO169" i="1"/>
  <c r="AA169" i="1" s="1"/>
  <c r="AB169" i="1" s="1"/>
  <c r="AO94" i="1"/>
  <c r="AA94" i="1" s="1"/>
  <c r="AB94" i="1" s="1"/>
  <c r="AO102" i="1"/>
  <c r="AA102" i="1" s="1"/>
  <c r="AB102" i="1" s="1"/>
  <c r="AO117" i="1"/>
  <c r="AA117" i="1" s="1"/>
  <c r="AB117" i="1" s="1"/>
  <c r="AO133" i="1"/>
  <c r="AA133" i="1" s="1"/>
  <c r="AB133" i="1" s="1"/>
  <c r="AO173" i="1"/>
  <c r="AA173" i="1" s="1"/>
  <c r="AB173" i="1" s="1"/>
  <c r="AI173" i="1"/>
  <c r="AH173" i="1"/>
  <c r="AH203" i="1"/>
  <c r="AO203" i="1"/>
  <c r="AA203" i="1" s="1"/>
  <c r="AB203" i="1" s="1"/>
  <c r="AI203" i="1"/>
  <c r="AH152" i="1"/>
  <c r="AH163" i="1"/>
  <c r="AI163" i="1"/>
  <c r="AB163" i="1"/>
  <c r="AI191" i="1"/>
  <c r="AO191" i="1"/>
  <c r="AA191" i="1" s="1"/>
  <c r="AB191" i="1" s="1"/>
  <c r="AO90" i="1"/>
  <c r="AA90" i="1" s="1"/>
  <c r="AB90" i="1" s="1"/>
  <c r="AH102" i="1"/>
  <c r="AI133" i="1"/>
  <c r="AI135" i="1"/>
  <c r="AO145" i="1"/>
  <c r="AA145" i="1" s="1"/>
  <c r="AB145" i="1" s="1"/>
  <c r="AI145" i="1"/>
  <c r="AH190" i="1"/>
  <c r="AO190" i="1"/>
  <c r="AA190" i="1" s="1"/>
  <c r="AB190" i="1" s="1"/>
  <c r="AI190" i="1"/>
  <c r="AH191" i="1"/>
  <c r="AO197" i="1"/>
  <c r="AA197" i="1" s="1"/>
  <c r="AB197" i="1" s="1"/>
  <c r="AI197" i="1"/>
  <c r="AH197" i="1"/>
  <c r="AI166" i="1"/>
  <c r="AH166" i="1"/>
  <c r="AO62" i="1"/>
  <c r="AA62" i="1" s="1"/>
  <c r="AB62" i="1" s="1"/>
  <c r="AI62" i="1"/>
  <c r="AH62" i="1"/>
  <c r="AH144" i="1"/>
  <c r="AI154" i="1"/>
  <c r="AI164" i="1"/>
  <c r="AH164" i="1"/>
  <c r="AI212" i="1"/>
  <c r="AO212" i="1"/>
  <c r="AA212" i="1" s="1"/>
  <c r="AB212" i="1" s="1"/>
  <c r="AO166" i="1"/>
  <c r="AO207" i="1"/>
  <c r="AA207" i="1" s="1"/>
  <c r="AB207" i="1" s="1"/>
  <c r="AI207" i="1"/>
  <c r="AH207" i="1"/>
  <c r="AI218" i="1"/>
  <c r="AO218" i="1"/>
  <c r="AA218" i="1" s="1"/>
  <c r="AB218" i="1" s="1"/>
  <c r="AI72" i="1"/>
  <c r="AH72" i="1"/>
  <c r="AO72" i="1"/>
  <c r="AO215" i="1"/>
  <c r="AA215" i="1" s="1"/>
  <c r="AB215" i="1" s="1"/>
  <c r="AI215" i="1"/>
  <c r="AH215" i="1"/>
  <c r="AO171" i="1"/>
  <c r="AH175" i="1"/>
  <c r="AO178" i="1"/>
  <c r="AA178" i="1" s="1"/>
  <c r="AB178" i="1" s="1"/>
  <c r="AH181" i="1"/>
  <c r="AO185" i="1"/>
  <c r="AA185" i="1" s="1"/>
  <c r="AB185" i="1" s="1"/>
  <c r="AO195" i="1"/>
  <c r="AA195" i="1" s="1"/>
  <c r="AB195" i="1" s="1"/>
  <c r="AO206" i="1"/>
  <c r="AA206" i="1" s="1"/>
  <c r="AB206" i="1" s="1"/>
  <c r="AI211" i="1"/>
  <c r="AO214" i="1"/>
  <c r="BL214" i="1" s="1"/>
  <c r="AI217" i="1"/>
  <c r="AO41" i="1"/>
  <c r="AA41" i="1" s="1"/>
  <c r="AB41" i="1" s="1"/>
  <c r="AI70" i="1"/>
  <c r="AO83" i="1"/>
  <c r="AA83" i="1" s="1"/>
  <c r="AB83" i="1" s="1"/>
  <c r="AB85" i="1"/>
  <c r="AH89" i="1"/>
  <c r="AO211" i="1"/>
  <c r="BL211" i="1" s="1"/>
  <c r="AO217" i="1"/>
  <c r="BL217" i="1" s="1"/>
  <c r="AO70" i="1"/>
  <c r="BL70" i="1" s="1"/>
  <c r="AH85" i="1"/>
  <c r="AH171" i="1"/>
  <c r="AH178" i="1"/>
  <c r="AH185" i="1"/>
  <c r="AH195" i="1"/>
  <c r="AH206" i="1"/>
  <c r="AH214" i="1"/>
  <c r="AH41" i="1"/>
  <c r="AO68" i="1"/>
  <c r="AA68" i="1" s="1"/>
  <c r="AB68" i="1" s="1"/>
  <c r="AH83" i="1"/>
  <c r="AI85" i="1"/>
  <c r="AH22" i="1"/>
  <c r="AI22" i="1"/>
  <c r="AI18" i="1"/>
  <c r="AH16" i="1"/>
  <c r="AI17" i="1"/>
  <c r="AO20" i="1"/>
  <c r="AO18" i="1"/>
  <c r="AA18" i="1" s="1"/>
  <c r="AB18" i="1" s="1"/>
  <c r="AO16" i="1"/>
  <c r="AA16" i="1" s="1"/>
  <c r="AB16" i="1" s="1"/>
  <c r="AH20" i="1"/>
  <c r="AO17" i="1"/>
  <c r="BL17" i="1" s="1"/>
  <c r="AO15" i="1"/>
  <c r="AA15" i="1" s="1"/>
  <c r="AB15" i="1" s="1"/>
  <c r="AH19" i="1"/>
  <c r="AI20" i="1"/>
  <c r="BL140" i="1" l="1"/>
  <c r="BL190" i="1"/>
  <c r="BL108" i="1"/>
  <c r="BL97" i="1"/>
  <c r="BL197" i="1"/>
  <c r="BL137" i="1"/>
  <c r="BL120" i="1"/>
  <c r="BL82" i="1"/>
  <c r="BL84" i="1"/>
  <c r="BL167" i="1"/>
  <c r="BL188" i="1"/>
  <c r="BL16" i="1"/>
  <c r="BL138" i="1"/>
  <c r="BL76" i="1"/>
  <c r="BL29" i="1"/>
  <c r="BL103" i="1"/>
  <c r="BL196" i="1"/>
  <c r="BL157" i="1"/>
  <c r="BL154" i="1"/>
  <c r="BL200" i="1"/>
  <c r="BL34" i="1"/>
  <c r="BL153" i="1"/>
  <c r="BL215" i="1"/>
  <c r="BL195" i="1"/>
  <c r="BL122" i="1"/>
  <c r="BL102" i="1"/>
  <c r="AA48" i="1"/>
  <c r="AB48" i="1" s="1"/>
  <c r="BL48" i="1"/>
  <c r="BL90" i="1"/>
  <c r="BL101" i="1"/>
  <c r="AA171" i="1"/>
  <c r="AB171" i="1" s="1"/>
  <c r="BL171" i="1"/>
  <c r="BL145" i="1"/>
  <c r="BL41" i="1"/>
  <c r="BL113" i="1"/>
  <c r="BL25" i="1"/>
  <c r="BL14" i="1"/>
  <c r="BL75" i="1"/>
  <c r="BL99" i="1"/>
  <c r="BL106" i="1"/>
  <c r="BL151" i="1"/>
  <c r="BL203" i="1"/>
  <c r="BL59" i="1"/>
  <c r="BL218" i="1"/>
  <c r="BL176" i="1"/>
  <c r="BL207" i="1"/>
  <c r="BL183" i="1"/>
  <c r="AA20" i="1"/>
  <c r="AB20" i="1" s="1"/>
  <c r="BL20" i="1"/>
  <c r="AA40" i="1"/>
  <c r="AB40" i="1" s="1"/>
  <c r="BL40" i="1"/>
  <c r="AA56" i="1"/>
  <c r="AB56" i="1" s="1"/>
  <c r="BL56" i="1"/>
  <c r="BL169" i="1"/>
  <c r="BL100" i="1"/>
  <c r="BL23" i="1"/>
  <c r="BL162" i="1"/>
  <c r="BL178" i="1"/>
  <c r="BL69" i="1"/>
  <c r="BL216" i="1"/>
  <c r="BL109" i="1"/>
  <c r="BL185" i="1"/>
  <c r="BL52" i="1"/>
  <c r="BL65" i="1"/>
  <c r="BL135" i="1"/>
  <c r="BL175" i="1"/>
  <c r="BL98" i="1"/>
  <c r="BL213" i="1"/>
  <c r="BL206" i="1"/>
  <c r="AA127" i="1"/>
  <c r="AB127" i="1" s="1"/>
  <c r="BL127" i="1"/>
  <c r="AA32" i="1"/>
  <c r="AB32" i="1" s="1"/>
  <c r="BL32" i="1"/>
  <c r="BL94" i="1"/>
  <c r="BL19" i="1"/>
  <c r="BL168" i="1"/>
  <c r="BL144" i="1"/>
  <c r="BL130" i="1"/>
  <c r="BL43" i="1"/>
  <c r="BL62" i="1"/>
  <c r="BL128" i="1"/>
  <c r="BL152" i="1"/>
  <c r="BL83" i="1"/>
  <c r="BL139" i="1"/>
  <c r="BL49" i="1"/>
  <c r="BL181" i="1"/>
  <c r="BL92" i="1"/>
  <c r="BL146" i="1"/>
  <c r="BL66" i="1"/>
  <c r="BL78" i="1"/>
  <c r="BL15" i="1"/>
  <c r="BL133" i="1"/>
  <c r="BL159" i="1"/>
  <c r="BL55" i="1"/>
  <c r="BL182" i="1"/>
  <c r="BL165" i="1"/>
  <c r="BL212" i="1"/>
  <c r="BL186" i="1"/>
  <c r="BL194" i="1"/>
  <c r="BL132" i="1"/>
  <c r="BL28" i="1"/>
  <c r="BL53" i="1"/>
  <c r="BL67" i="1"/>
  <c r="BL117" i="1"/>
  <c r="AA72" i="1"/>
  <c r="AB72" i="1" s="1"/>
  <c r="BL72" i="1"/>
  <c r="AA166" i="1"/>
  <c r="AB166" i="1" s="1"/>
  <c r="BL166" i="1"/>
  <c r="BL156" i="1"/>
  <c r="BL61" i="1"/>
  <c r="BL191" i="1"/>
  <c r="BL39" i="1"/>
  <c r="BL199" i="1"/>
  <c r="BL189" i="1"/>
  <c r="BL111" i="1"/>
  <c r="BL204" i="1"/>
  <c r="BL121" i="1"/>
  <c r="BL93" i="1"/>
  <c r="BL124" i="1"/>
  <c r="BL57" i="1"/>
  <c r="BL44" i="1"/>
  <c r="BL161" i="1"/>
  <c r="BL173" i="1"/>
  <c r="BL51" i="1"/>
  <c r="BL73" i="1"/>
  <c r="BL202" i="1"/>
  <c r="BL35" i="1"/>
  <c r="BL68" i="1"/>
  <c r="BL114" i="1"/>
  <c r="BL110" i="1"/>
  <c r="BL18" i="1"/>
  <c r="BL38" i="1"/>
  <c r="AE103" i="1"/>
  <c r="AF103" i="1" s="1"/>
  <c r="AE196" i="1"/>
  <c r="AF196" i="1" s="1"/>
  <c r="AE122" i="1"/>
  <c r="AF122" i="1" s="1"/>
  <c r="AE206" i="1"/>
  <c r="AF206" i="1" s="1"/>
  <c r="AE59" i="1"/>
  <c r="AF59" i="1" s="1"/>
  <c r="AE124" i="1"/>
  <c r="AF124" i="1" s="1"/>
  <c r="AE153" i="1"/>
  <c r="AF153" i="1" s="1"/>
  <c r="AE189" i="1"/>
  <c r="AF189" i="1" s="1"/>
  <c r="AE43" i="1"/>
  <c r="AF43" i="1" s="1"/>
  <c r="AE108" i="1"/>
  <c r="AF108" i="1" s="1"/>
  <c r="AE110" i="1"/>
  <c r="AF110" i="1" s="1"/>
  <c r="AE138" i="1"/>
  <c r="AF138" i="1" s="1"/>
  <c r="AE28" i="1"/>
  <c r="AF28" i="1" s="1"/>
  <c r="AE84" i="1"/>
  <c r="AF84" i="1" s="1"/>
  <c r="AE40" i="1"/>
  <c r="AF40" i="1" s="1"/>
  <c r="AE135" i="1"/>
  <c r="AF135" i="1" s="1"/>
  <c r="AE212" i="1"/>
  <c r="AF212" i="1" s="1"/>
  <c r="AE52" i="1"/>
  <c r="AF52" i="1" s="1"/>
  <c r="AE32" i="1"/>
  <c r="AF32" i="1" s="1"/>
  <c r="AE169" i="1"/>
  <c r="AF169" i="1" s="1"/>
  <c r="AE165" i="1"/>
  <c r="AF165" i="1" s="1"/>
  <c r="AE44" i="1"/>
  <c r="AF44" i="1" s="1"/>
  <c r="AE182" i="1"/>
  <c r="AF182" i="1" s="1"/>
  <c r="AE120" i="1"/>
  <c r="AF120" i="1" s="1"/>
  <c r="AE130" i="1"/>
  <c r="AF130" i="1" s="1"/>
  <c r="AE191" i="1"/>
  <c r="AF191" i="1" s="1"/>
  <c r="AE140" i="1"/>
  <c r="AF140" i="1" s="1"/>
  <c r="AE82" i="1"/>
  <c r="AF82" i="1" s="1"/>
  <c r="AE109" i="1"/>
  <c r="AF109" i="1" s="1"/>
  <c r="AA162" i="1"/>
  <c r="AB162" i="1" s="1"/>
  <c r="AE159" i="1"/>
  <c r="AF159" i="1" s="1"/>
  <c r="AE128" i="1"/>
  <c r="AF128" i="1" s="1"/>
  <c r="AE78" i="1"/>
  <c r="AF78" i="1" s="1"/>
  <c r="AE139" i="1"/>
  <c r="AF139" i="1" s="1"/>
  <c r="AE97" i="1"/>
  <c r="AF97" i="1" s="1"/>
  <c r="AA177" i="1"/>
  <c r="AB177" i="1" s="1"/>
  <c r="AE177" i="1"/>
  <c r="AF177" i="1" s="1"/>
  <c r="AA87" i="1"/>
  <c r="AB87" i="1" s="1"/>
  <c r="AE87" i="1"/>
  <c r="AF87" i="1" s="1"/>
  <c r="AA54" i="1"/>
  <c r="AB54" i="1" s="1"/>
  <c r="AE54" i="1"/>
  <c r="AF54" i="1" s="1"/>
  <c r="AE66" i="1"/>
  <c r="AF66" i="1" s="1"/>
  <c r="AE65" i="1"/>
  <c r="AF65" i="1" s="1"/>
  <c r="AE178" i="1"/>
  <c r="AF178" i="1" s="1"/>
  <c r="AA17" i="1"/>
  <c r="AB17" i="1" s="1"/>
  <c r="AE17" i="1"/>
  <c r="AF17" i="1" s="1"/>
  <c r="AA217" i="1"/>
  <c r="AB217" i="1" s="1"/>
  <c r="AE217" i="1"/>
  <c r="AF217" i="1" s="1"/>
  <c r="AA37" i="1"/>
  <c r="AB37" i="1" s="1"/>
  <c r="AE37" i="1"/>
  <c r="AF37" i="1" s="1"/>
  <c r="AA42" i="1"/>
  <c r="AB42" i="1" s="1"/>
  <c r="AE42" i="1"/>
  <c r="AF42" i="1" s="1"/>
  <c r="AE186" i="1"/>
  <c r="AF186" i="1" s="1"/>
  <c r="AE76" i="1"/>
  <c r="AF76" i="1" s="1"/>
  <c r="AE171" i="1"/>
  <c r="AF171" i="1" s="1"/>
  <c r="AE99" i="1"/>
  <c r="AF99" i="1" s="1"/>
  <c r="AE194" i="1"/>
  <c r="AF194" i="1" s="1"/>
  <c r="AE106" i="1"/>
  <c r="AF106" i="1" s="1"/>
  <c r="AE55" i="1"/>
  <c r="AF55" i="1" s="1"/>
  <c r="AE18" i="1"/>
  <c r="AF18" i="1" s="1"/>
  <c r="AE199" i="1"/>
  <c r="AF199" i="1" s="1"/>
  <c r="AE68" i="1"/>
  <c r="AF68" i="1" s="1"/>
  <c r="AE121" i="1"/>
  <c r="AF121" i="1" s="1"/>
  <c r="AE67" i="1"/>
  <c r="AF67" i="1" s="1"/>
  <c r="AE29" i="1"/>
  <c r="AF29" i="1" s="1"/>
  <c r="AA70" i="1"/>
  <c r="AB70" i="1" s="1"/>
  <c r="AE70" i="1"/>
  <c r="AF70" i="1" s="1"/>
  <c r="AA141" i="1"/>
  <c r="AB141" i="1" s="1"/>
  <c r="AE141" i="1"/>
  <c r="AF141" i="1" s="1"/>
  <c r="AA200" i="1"/>
  <c r="AB200" i="1" s="1"/>
  <c r="AE200" i="1"/>
  <c r="AF200" i="1" s="1"/>
  <c r="AE203" i="1"/>
  <c r="AF203" i="1" s="1"/>
  <c r="AE102" i="1"/>
  <c r="AF102" i="1" s="1"/>
  <c r="AE215" i="1"/>
  <c r="AF215" i="1" s="1"/>
  <c r="AE35" i="1"/>
  <c r="AF35" i="1" s="1"/>
  <c r="AA214" i="1"/>
  <c r="AB214" i="1" s="1"/>
  <c r="AE214" i="1"/>
  <c r="AF214" i="1" s="1"/>
  <c r="AA219" i="1"/>
  <c r="AB219" i="1" s="1"/>
  <c r="AE219" i="1"/>
  <c r="AF219" i="1" s="1"/>
  <c r="AA126" i="1"/>
  <c r="AB126" i="1" s="1"/>
  <c r="AE126" i="1"/>
  <c r="AF126" i="1" s="1"/>
  <c r="AA21" i="1"/>
  <c r="AB21" i="1" s="1"/>
  <c r="AE21" i="1"/>
  <c r="AF21" i="1" s="1"/>
  <c r="AA136" i="1"/>
  <c r="AB136" i="1" s="1"/>
  <c r="AE136" i="1"/>
  <c r="AF136" i="1" s="1"/>
  <c r="AA71" i="1"/>
  <c r="AB71" i="1" s="1"/>
  <c r="AE71" i="1"/>
  <c r="AF71" i="1" s="1"/>
  <c r="AA205" i="1"/>
  <c r="AB205" i="1" s="1"/>
  <c r="AE205" i="1"/>
  <c r="AF205" i="1" s="1"/>
  <c r="AA174" i="1"/>
  <c r="AB174" i="1" s="1"/>
  <c r="AE174" i="1"/>
  <c r="AF174" i="1" s="1"/>
  <c r="AA50" i="1"/>
  <c r="AB50" i="1" s="1"/>
  <c r="AE50" i="1"/>
  <c r="AF50" i="1" s="1"/>
  <c r="AE176" i="1"/>
  <c r="AF176" i="1" s="1"/>
  <c r="AE213" i="1"/>
  <c r="AF213" i="1" s="1"/>
  <c r="AE69" i="1"/>
  <c r="AF69" i="1" s="1"/>
  <c r="AE20" i="1"/>
  <c r="AF20" i="1" s="1"/>
  <c r="AE145" i="1"/>
  <c r="AF145" i="1" s="1"/>
  <c r="AE204" i="1"/>
  <c r="AF204" i="1" s="1"/>
  <c r="AE167" i="1"/>
  <c r="AF167" i="1" s="1"/>
  <c r="AE173" i="1"/>
  <c r="AF173" i="1" s="1"/>
  <c r="AE98" i="1"/>
  <c r="AF98" i="1" s="1"/>
  <c r="AE51" i="1"/>
  <c r="AF51" i="1" s="1"/>
  <c r="AE14" i="1"/>
  <c r="AF14" i="1" s="1"/>
  <c r="AE195" i="1"/>
  <c r="AF195" i="1" s="1"/>
  <c r="AE62" i="1"/>
  <c r="AF62" i="1" s="1"/>
  <c r="AE117" i="1"/>
  <c r="AF117" i="1" s="1"/>
  <c r="AE56" i="1"/>
  <c r="AF56" i="1" s="1"/>
  <c r="AE25" i="1"/>
  <c r="AF25" i="1" s="1"/>
  <c r="AA143" i="1"/>
  <c r="AB143" i="1" s="1"/>
  <c r="AE143" i="1"/>
  <c r="AF143" i="1" s="1"/>
  <c r="AA88" i="1"/>
  <c r="AB88" i="1" s="1"/>
  <c r="AE88" i="1"/>
  <c r="AF88" i="1" s="1"/>
  <c r="AA179" i="1"/>
  <c r="AB179" i="1" s="1"/>
  <c r="AE179" i="1"/>
  <c r="AF179" i="1" s="1"/>
  <c r="AA155" i="1"/>
  <c r="AB155" i="1" s="1"/>
  <c r="AE155" i="1"/>
  <c r="AF155" i="1" s="1"/>
  <c r="AE61" i="1"/>
  <c r="AF61" i="1" s="1"/>
  <c r="AE16" i="1"/>
  <c r="AF16" i="1" s="1"/>
  <c r="AE185" i="1"/>
  <c r="AF185" i="1" s="1"/>
  <c r="AE111" i="1"/>
  <c r="AF111" i="1" s="1"/>
  <c r="AE90" i="1"/>
  <c r="AF90" i="1" s="1"/>
  <c r="AE152" i="1"/>
  <c r="AF152" i="1" s="1"/>
  <c r="AE183" i="1"/>
  <c r="AF183" i="1" s="1"/>
  <c r="AE218" i="1"/>
  <c r="AF218" i="1" s="1"/>
  <c r="AE114" i="1"/>
  <c r="AF114" i="1" s="1"/>
  <c r="AE23" i="1"/>
  <c r="AF23" i="1" s="1"/>
  <c r="AA170" i="1"/>
  <c r="AB170" i="1" s="1"/>
  <c r="AE170" i="1"/>
  <c r="AF170" i="1" s="1"/>
  <c r="AA187" i="1"/>
  <c r="AB187" i="1" s="1"/>
  <c r="AE187" i="1"/>
  <c r="AF187" i="1" s="1"/>
  <c r="AE137" i="1"/>
  <c r="AF137" i="1" s="1"/>
  <c r="AE168" i="1"/>
  <c r="AF168" i="1" s="1"/>
  <c r="AE57" i="1"/>
  <c r="AF57" i="1" s="1"/>
  <c r="AE101" i="1"/>
  <c r="AF101" i="1" s="1"/>
  <c r="AE93" i="1"/>
  <c r="AF93" i="1" s="1"/>
  <c r="AE166" i="1"/>
  <c r="AF166" i="1" s="1"/>
  <c r="AE38" i="1"/>
  <c r="AF38" i="1" s="1"/>
  <c r="AE144" i="1"/>
  <c r="AF144" i="1" s="1"/>
  <c r="AE175" i="1"/>
  <c r="AF175" i="1" s="1"/>
  <c r="AE188" i="1"/>
  <c r="AF188" i="1" s="1"/>
  <c r="AE48" i="1"/>
  <c r="AF48" i="1" s="1"/>
  <c r="AE19" i="1"/>
  <c r="AF19" i="1" s="1"/>
  <c r="AA211" i="1"/>
  <c r="AB211" i="1" s="1"/>
  <c r="AE211" i="1"/>
  <c r="AF211" i="1" s="1"/>
  <c r="AA46" i="1"/>
  <c r="AB46" i="1" s="1"/>
  <c r="AE46" i="1"/>
  <c r="AF46" i="1" s="1"/>
  <c r="AA104" i="1"/>
  <c r="AB104" i="1" s="1"/>
  <c r="AE104" i="1"/>
  <c r="AF104" i="1" s="1"/>
  <c r="AA63" i="1"/>
  <c r="AB63" i="1" s="1"/>
  <c r="AE63" i="1"/>
  <c r="AF63" i="1" s="1"/>
  <c r="AA208" i="1"/>
  <c r="AB208" i="1" s="1"/>
  <c r="AE208" i="1"/>
  <c r="AF208" i="1" s="1"/>
  <c r="AA74" i="1"/>
  <c r="AB74" i="1" s="1"/>
  <c r="AE74" i="1"/>
  <c r="AF74" i="1" s="1"/>
  <c r="AE133" i="1"/>
  <c r="AF133" i="1" s="1"/>
  <c r="AE53" i="1"/>
  <c r="AF53" i="1" s="1"/>
  <c r="AE72" i="1"/>
  <c r="AF72" i="1" s="1"/>
  <c r="AE161" i="1"/>
  <c r="AF161" i="1" s="1"/>
  <c r="AE83" i="1"/>
  <c r="AF83" i="1" s="1"/>
  <c r="AE146" i="1"/>
  <c r="AF146" i="1" s="1"/>
  <c r="AE34" i="1"/>
  <c r="AF34" i="1" s="1"/>
  <c r="AE157" i="1"/>
  <c r="AF157" i="1" s="1"/>
  <c r="AE181" i="1"/>
  <c r="AF181" i="1" s="1"/>
  <c r="AE100" i="1"/>
  <c r="AF100" i="1" s="1"/>
  <c r="AE15" i="1"/>
  <c r="AF15" i="1" s="1"/>
  <c r="AA112" i="1"/>
  <c r="AB112" i="1" s="1"/>
  <c r="AE112" i="1"/>
  <c r="AF112" i="1" s="1"/>
  <c r="AA27" i="1"/>
  <c r="AB27" i="1" s="1"/>
  <c r="AE27" i="1"/>
  <c r="AF27" i="1" s="1"/>
  <c r="AA129" i="1"/>
  <c r="AB129" i="1" s="1"/>
  <c r="AE129" i="1"/>
  <c r="AF129" i="1" s="1"/>
  <c r="AA134" i="1"/>
  <c r="AB134" i="1" s="1"/>
  <c r="AE134" i="1"/>
  <c r="AF134" i="1" s="1"/>
  <c r="AA58" i="1"/>
  <c r="AB58" i="1" s="1"/>
  <c r="AE58" i="1"/>
  <c r="AF58" i="1" s="1"/>
  <c r="AA156" i="1"/>
  <c r="AB156" i="1" s="1"/>
  <c r="AE156" i="1"/>
  <c r="AF156" i="1" s="1"/>
  <c r="AA96" i="1"/>
  <c r="AB96" i="1" s="1"/>
  <c r="AE96" i="1"/>
  <c r="AF96" i="1" s="1"/>
  <c r="AE216" i="1"/>
  <c r="AF216" i="1" s="1"/>
  <c r="AE49" i="1"/>
  <c r="AF49" i="1" s="1"/>
  <c r="AE197" i="1"/>
  <c r="AF197" i="1" s="1"/>
  <c r="AE154" i="1"/>
  <c r="AF154" i="1" s="1"/>
  <c r="AE207" i="1"/>
  <c r="AF207" i="1" s="1"/>
  <c r="AE132" i="1"/>
  <c r="AF132" i="1" s="1"/>
  <c r="AE73" i="1"/>
  <c r="AF73" i="1" s="1"/>
  <c r="AE151" i="1"/>
  <c r="AF151" i="1" s="1"/>
  <c r="AE92" i="1"/>
  <c r="AF92" i="1" s="1"/>
  <c r="AE39" i="1"/>
  <c r="AF39" i="1" s="1"/>
  <c r="AA150" i="1"/>
  <c r="AB150" i="1" s="1"/>
  <c r="AE150" i="1"/>
  <c r="AF150" i="1" s="1"/>
  <c r="AA193" i="1"/>
  <c r="AB193" i="1" s="1"/>
  <c r="AE193" i="1"/>
  <c r="AF193" i="1" s="1"/>
  <c r="AA81" i="1"/>
  <c r="AB81" i="1" s="1"/>
  <c r="AE81" i="1"/>
  <c r="AF81" i="1" s="1"/>
  <c r="AA184" i="1"/>
  <c r="AB184" i="1" s="1"/>
  <c r="AE184" i="1"/>
  <c r="AF184" i="1" s="1"/>
  <c r="AE202" i="1"/>
  <c r="AF202" i="1" s="1"/>
  <c r="AA147" i="1"/>
  <c r="AB147" i="1" s="1"/>
  <c r="AE147" i="1"/>
  <c r="AF147" i="1" s="1"/>
  <c r="AE41" i="1"/>
  <c r="AF41" i="1" s="1"/>
  <c r="AE94" i="1"/>
  <c r="AF94" i="1" s="1"/>
  <c r="AE190" i="1"/>
  <c r="AF190" i="1" s="1"/>
  <c r="AE113" i="1"/>
  <c r="AF113" i="1" s="1"/>
  <c r="AE75" i="1"/>
  <c r="AF75" i="1" s="1"/>
  <c r="AE127" i="1"/>
  <c r="AF127" i="1" s="1"/>
  <c r="BC5" i="1"/>
  <c r="AD5" i="1" s="1"/>
  <c r="BC6" i="1"/>
  <c r="AD6" i="1" s="1"/>
  <c r="BC7" i="1"/>
  <c r="AD7" i="1" s="1"/>
  <c r="BC9" i="1"/>
  <c r="AD9" i="1" s="1"/>
  <c r="BC10" i="1"/>
  <c r="AD10" i="1" s="1"/>
  <c r="BC11" i="1"/>
  <c r="AD11" i="1" s="1"/>
  <c r="BC12" i="1"/>
  <c r="AD12" i="1" s="1"/>
  <c r="BC13" i="1"/>
  <c r="AD13" i="1" s="1"/>
  <c r="BC4" i="1"/>
  <c r="AD4" i="1" s="1"/>
  <c r="Y5" i="1"/>
  <c r="Y6" i="1"/>
  <c r="Y7" i="1"/>
  <c r="Y8" i="1"/>
  <c r="Y9" i="1"/>
  <c r="Y10" i="1"/>
  <c r="Y11" i="1"/>
  <c r="Y12" i="1"/>
  <c r="Y13" i="1"/>
  <c r="W5" i="1"/>
  <c r="AM5" i="1" s="1"/>
  <c r="W6" i="1"/>
  <c r="AM6" i="1" s="1"/>
  <c r="W7" i="1"/>
  <c r="AM7" i="1" s="1"/>
  <c r="W8" i="1"/>
  <c r="AM8" i="1" s="1"/>
  <c r="W9" i="1"/>
  <c r="AM9" i="1" s="1"/>
  <c r="W10" i="1"/>
  <c r="AM10" i="1" s="1"/>
  <c r="W11" i="1"/>
  <c r="AM11" i="1" s="1"/>
  <c r="W12" i="1"/>
  <c r="AM12" i="1" s="1"/>
  <c r="W13" i="1"/>
  <c r="AM13" i="1" s="1"/>
  <c r="D5" i="1"/>
  <c r="D6" i="1"/>
  <c r="D7" i="1"/>
  <c r="D8" i="1"/>
  <c r="D9" i="1"/>
  <c r="D10" i="1"/>
  <c r="D11" i="1"/>
  <c r="D12" i="1"/>
  <c r="D13" i="1"/>
  <c r="D4" i="1"/>
  <c r="Y4" i="1"/>
  <c r="W4" i="1"/>
  <c r="AM4" i="1" s="1"/>
  <c r="AN13" i="1"/>
  <c r="O13" i="1"/>
  <c r="AN12" i="1"/>
  <c r="O12" i="1"/>
  <c r="AN11" i="1"/>
  <c r="O11" i="1"/>
  <c r="AN10" i="1"/>
  <c r="O10" i="1"/>
  <c r="AN4" i="1"/>
  <c r="AN9" i="1"/>
  <c r="O9" i="1"/>
  <c r="BC8" i="1"/>
  <c r="AD8" i="1" s="1"/>
  <c r="AN8" i="1"/>
  <c r="O8" i="1"/>
  <c r="AN7" i="1"/>
  <c r="O7" i="1"/>
  <c r="AN6" i="1"/>
  <c r="O6" i="1"/>
  <c r="AN5" i="1"/>
  <c r="O5" i="1"/>
  <c r="O4" i="1"/>
  <c r="AI8" i="1" l="1"/>
  <c r="AI7" i="1"/>
  <c r="AO6" i="1"/>
  <c r="AA6" i="1" s="1"/>
  <c r="AB6" i="1" s="1"/>
  <c r="AH12" i="1"/>
  <c r="AH5" i="1"/>
  <c r="AI11" i="1"/>
  <c r="AH13" i="1"/>
  <c r="AI10" i="1"/>
  <c r="AH4" i="1"/>
  <c r="AH9" i="1"/>
  <c r="AO5" i="1"/>
  <c r="AA5" i="1" s="1"/>
  <c r="AB5" i="1" s="1"/>
  <c r="AO10" i="1"/>
  <c r="AA10" i="1" s="1"/>
  <c r="AB10" i="1" s="1"/>
  <c r="AO12" i="1"/>
  <c r="AA12" i="1" s="1"/>
  <c r="AB12" i="1" s="1"/>
  <c r="AO8" i="1"/>
  <c r="AA8" i="1" s="1"/>
  <c r="AB8" i="1" s="1"/>
  <c r="AI6" i="1"/>
  <c r="AO13" i="1"/>
  <c r="AA13" i="1" s="1"/>
  <c r="AB13" i="1" s="1"/>
  <c r="AH11" i="1"/>
  <c r="AH10" i="1"/>
  <c r="AH8" i="1"/>
  <c r="AO11" i="1"/>
  <c r="AA11" i="1" s="1"/>
  <c r="AB11" i="1" s="1"/>
  <c r="AI9" i="1"/>
  <c r="AO9" i="1"/>
  <c r="AA9" i="1" s="1"/>
  <c r="AB9" i="1" s="1"/>
  <c r="AH7" i="1"/>
  <c r="AI13" i="1"/>
  <c r="AI5" i="1"/>
  <c r="AO7" i="1"/>
  <c r="AA7" i="1" s="1"/>
  <c r="AB7" i="1" s="1"/>
  <c r="AH6" i="1"/>
  <c r="AI12" i="1"/>
  <c r="AK4" i="1"/>
  <c r="AL4" i="1"/>
  <c r="AI4" i="1"/>
  <c r="AO4" i="1"/>
  <c r="AA4" i="1" s="1"/>
  <c r="AB4" i="1" s="1"/>
  <c r="BL6" i="1" l="1"/>
  <c r="BL11" i="1"/>
  <c r="BL8" i="1"/>
  <c r="BL5" i="1"/>
  <c r="BL9" i="1"/>
  <c r="BL12" i="1"/>
  <c r="BL13" i="1"/>
  <c r="BL10" i="1"/>
  <c r="BL4" i="1"/>
  <c r="BL7" i="1"/>
  <c r="AE6" i="1"/>
  <c r="AF6" i="1" s="1"/>
  <c r="AE5" i="1"/>
  <c r="AF5" i="1" s="1"/>
  <c r="AE13" i="1"/>
  <c r="AF13" i="1" s="1"/>
  <c r="AE4" i="1"/>
  <c r="AF4" i="1" s="1"/>
  <c r="AE8" i="1"/>
  <c r="AF8" i="1" s="1"/>
  <c r="AE7" i="1"/>
  <c r="AF7" i="1" s="1"/>
  <c r="AE9" i="1"/>
  <c r="AF9" i="1" s="1"/>
  <c r="AE10" i="1"/>
  <c r="AF10" i="1" s="1"/>
  <c r="AE11" i="1"/>
  <c r="AF11" i="1" s="1"/>
  <c r="AE12" i="1"/>
  <c r="AF12" i="1" s="1"/>
</calcChain>
</file>

<file path=xl/sharedStrings.xml><?xml version="1.0" encoding="utf-8"?>
<sst xmlns="http://schemas.openxmlformats.org/spreadsheetml/2006/main" count="2935" uniqueCount="793">
  <si>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</si>
  <si>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</si>
  <si>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</si>
  <si>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</si>
  <si>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</si>
  <si>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</si>
  <si>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</si>
  <si>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</si>
  <si>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</si>
  <si>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</si>
  <si>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</si>
  <si>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</si>
  <si>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</si>
  <si>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</si>
  <si>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</si>
  <si>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</si>
  <si>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</si>
  <si>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</si>
  <si>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</si>
  <si>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</si>
  <si>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</si>
  <si>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</si>
  <si>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</si>
  <si>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</si>
  <si>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</si>
  <si>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</si>
  <si>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</si>
  <si>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</si>
  <si>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</si>
  <si>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</si>
  <si>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</si>
  <si>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</si>
  <si>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</si>
  <si>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</si>
  <si>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</si>
  <si>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</si>
  <si>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</si>
  <si>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</si>
  <si>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</si>
  <si>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</si>
  <si>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</si>
  <si>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</si>
  <si>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</si>
  <si>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</si>
  <si>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</si>
  <si>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</si>
  <si>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</si>
  <si>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</si>
  <si>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</si>
  <si>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</si>
  <si>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</si>
  <si>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</si>
  <si>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</si>
  <si>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</si>
  <si>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</si>
  <si>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</si>
  <si>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</si>
  <si>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</si>
  <si>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5004AR</t>
  </si>
  <si>
    <t>J230LY</t>
  </si>
  <si>
    <t>J231LY</t>
  </si>
  <si>
    <t>J232LY</t>
  </si>
  <si>
    <t>J233LY</t>
  </si>
  <si>
    <t>J234LY</t>
  </si>
  <si>
    <t>J235LY</t>
  </si>
  <si>
    <t>6103AM</t>
  </si>
  <si>
    <t>J145NB</t>
  </si>
  <si>
    <t>J146NB</t>
  </si>
  <si>
    <t>J147NB</t>
  </si>
  <si>
    <t>J148NB</t>
  </si>
  <si>
    <t>J149NB</t>
  </si>
  <si>
    <t>J150NB</t>
  </si>
  <si>
    <t>J152NA</t>
  </si>
  <si>
    <t>J153NA</t>
  </si>
  <si>
    <t>J154NA</t>
  </si>
  <si>
    <t>J155NA</t>
  </si>
  <si>
    <t>J779MZ</t>
  </si>
  <si>
    <t>J780MZ</t>
  </si>
  <si>
    <t>J781MZ</t>
  </si>
  <si>
    <t>J782MZ</t>
  </si>
  <si>
    <t>355537</t>
  </si>
  <si>
    <t>J783MZ</t>
  </si>
  <si>
    <t>J784MZ</t>
  </si>
  <si>
    <t>J785MZ</t>
  </si>
  <si>
    <t>6130AM</t>
  </si>
  <si>
    <t>6169AM</t>
  </si>
  <si>
    <t>6170AM</t>
  </si>
  <si>
    <t>6171AM</t>
  </si>
  <si>
    <t>J723LN</t>
  </si>
  <si>
    <t>J724LN</t>
  </si>
  <si>
    <t>J725LN</t>
  </si>
  <si>
    <t>J720LN</t>
  </si>
  <si>
    <t>J721LN</t>
  </si>
  <si>
    <t>J722LN</t>
  </si>
  <si>
    <t>J732LN</t>
  </si>
  <si>
    <t>J733LN</t>
  </si>
  <si>
    <t>J734LN</t>
  </si>
  <si>
    <t>103802</t>
  </si>
  <si>
    <t>103803</t>
  </si>
  <si>
    <t>103804</t>
  </si>
  <si>
    <t>103805</t>
  </si>
  <si>
    <t>103807</t>
  </si>
  <si>
    <t>103808</t>
  </si>
  <si>
    <t>103809</t>
  </si>
  <si>
    <t>J680LN</t>
  </si>
  <si>
    <t>J681LN</t>
  </si>
  <si>
    <t>J682LN</t>
  </si>
  <si>
    <t>J683LN</t>
  </si>
  <si>
    <t>J684LN</t>
  </si>
  <si>
    <t>J685LN</t>
  </si>
  <si>
    <t>J686LN</t>
  </si>
  <si>
    <t>103810</t>
  </si>
  <si>
    <t>103811</t>
  </si>
  <si>
    <t>103812</t>
  </si>
  <si>
    <t>103789</t>
  </si>
  <si>
    <t>103790</t>
  </si>
  <si>
    <t>103791</t>
  </si>
  <si>
    <t>103792</t>
  </si>
  <si>
    <t>103793</t>
  </si>
  <si>
    <t>103794</t>
  </si>
  <si>
    <t>103795</t>
  </si>
  <si>
    <t>103796</t>
  </si>
  <si>
    <t>103798</t>
  </si>
  <si>
    <t>103799</t>
  </si>
  <si>
    <t>103800</t>
  </si>
  <si>
    <t>103801</t>
  </si>
  <si>
    <t>J054LY</t>
  </si>
  <si>
    <t>J056LY</t>
  </si>
  <si>
    <t>J061LY</t>
  </si>
  <si>
    <t>J053LY</t>
  </si>
  <si>
    <t>J058LY</t>
  </si>
  <si>
    <t>J059LY</t>
  </si>
  <si>
    <t>J057LY</t>
  </si>
  <si>
    <t>J980LM</t>
  </si>
  <si>
    <t>J062LY</t>
  </si>
  <si>
    <t>JX4142</t>
  </si>
  <si>
    <t>JX4141</t>
  </si>
  <si>
    <t>JZ3330</t>
  </si>
  <si>
    <t>J082LY</t>
  </si>
  <si>
    <t>J083LY</t>
  </si>
  <si>
    <t>J084LY</t>
  </si>
  <si>
    <t>J086LY</t>
  </si>
  <si>
    <t>J087LY</t>
  </si>
  <si>
    <t>J088LY</t>
  </si>
  <si>
    <t>J090LY</t>
  </si>
  <si>
    <t>J091LY</t>
  </si>
  <si>
    <t>J092LY</t>
  </si>
  <si>
    <t>J093LY</t>
  </si>
  <si>
    <t>J094LY</t>
  </si>
  <si>
    <t>640599</t>
  </si>
  <si>
    <t>640601</t>
  </si>
  <si>
    <t>640597</t>
  </si>
  <si>
    <t>J089LY</t>
  </si>
  <si>
    <t>J095LY</t>
  </si>
  <si>
    <t>J096LY</t>
  </si>
  <si>
    <t>J097LY</t>
  </si>
  <si>
    <t>J098LY</t>
  </si>
  <si>
    <t>305257</t>
  </si>
  <si>
    <t>626343</t>
  </si>
  <si>
    <t>626344</t>
  </si>
  <si>
    <t>J099LY</t>
  </si>
  <si>
    <t>606964</t>
  </si>
  <si>
    <t>389295</t>
  </si>
  <si>
    <t>J100LY</t>
  </si>
  <si>
    <t>J101LY</t>
  </si>
  <si>
    <t>159014</t>
  </si>
  <si>
    <t>J104LY</t>
  </si>
  <si>
    <t>J105LY</t>
  </si>
  <si>
    <t>J106LY</t>
  </si>
  <si>
    <t>J107LY</t>
  </si>
  <si>
    <t>J102LY</t>
  </si>
  <si>
    <t>J103LY</t>
  </si>
  <si>
    <t>162347</t>
  </si>
  <si>
    <t>162330</t>
  </si>
  <si>
    <t>162341</t>
  </si>
  <si>
    <t>162335</t>
  </si>
  <si>
    <t>162371</t>
  </si>
  <si>
    <t>6104AM</t>
  </si>
  <si>
    <t>6105AM</t>
  </si>
  <si>
    <t>J131LY</t>
  </si>
  <si>
    <t>J130LY</t>
  </si>
  <si>
    <t>6107AM</t>
  </si>
  <si>
    <t>6108AM</t>
  </si>
  <si>
    <t>6089AM</t>
  </si>
  <si>
    <t>6106AM</t>
  </si>
  <si>
    <t>J675LN</t>
  </si>
  <si>
    <t>J676LN</t>
  </si>
  <si>
    <t>新No.</t>
    <rPh sb="0" eb="1">
      <t>シン</t>
    </rPh>
    <phoneticPr fontId="2"/>
  </si>
  <si>
    <t>34/235</t>
  </si>
  <si>
    <t>20/480</t>
  </si>
  <si>
    <t>18/294</t>
  </si>
  <si>
    <t>ﾌﾟﾗｽ/強力瞬間接着剤 ﾐﾆﾂｲﾝ/NS-811-2P／29-767</t>
  </si>
  <si>
    <t>ﾌﾟﾗｽ/ｼｰﾙはがし ｽﾌﾟﾚｰ ｽｰﾊﾟｰｸﾘｰﾅｰ 50ml NS-200/28-055</t>
  </si>
  <si>
    <t>G)ﾌﾟﾗｽ/ｹｰｽ消しｺﾞﾑ くるっと ｸﾞﾘｰﾝ/36878/ER-0111</t>
  </si>
  <si>
    <t>G)ﾌﾟﾗｽ/ｹｰｽ消しｺﾞﾑ くるっと ﾋﾟﾝｸ/36879/ER-0111</t>
  </si>
  <si>
    <t>G)ﾌﾟﾗｽ/ｹｰｽ消しｺﾞﾑ くるっと ﾌﾞﾙｰ/36880/ER-0111</t>
  </si>
  <si>
    <t>G)ﾌﾟﾗｽ/ｹｰｽ消しｺﾞﾑ くるっと ｲｴﾛｰ/36881/ER-0111</t>
  </si>
  <si>
    <t>G)ﾌﾟﾗｽ/ｹｰｽ消しｺﾞﾑ くるっと ﾊﾟｰﾌﾟﾙ/36882/ER-0111</t>
  </si>
  <si>
    <t>G)ﾌﾟﾗｽ/ｹｰｽ消しｺﾞﾑ くるっと 替えｺﾞﾑ2個ﾊﾟｯｸ/36885/</t>
  </si>
  <si>
    <t>ﾌﾟﾗｽ/ﾎｯﾁｷｽ 針 NO.10 5000本入 SS-010M/30-120</t>
  </si>
  <si>
    <t>ﾌﾟﾗｽ/ﾎｯﾁｷｽ 針 NO.3 1000本入り SS-003/30-155</t>
  </si>
  <si>
    <t>ﾌﾟﾗｽ/ﾎｯﾁｷｽ針 NO.3U 8mm 2000本 SS-003B/30-146</t>
  </si>
  <si>
    <t>ﾌﾟﾗｽ/ﾎｯﾁｷｽ針 NO.3U 10mm 2000本入(SS-003C)/30-147</t>
  </si>
  <si>
    <t>ﾌﾟﾗｽ/ﾎｯﾁｷｽ針NO.50 6mm/SS-050A</t>
  </si>
  <si>
    <t>ﾌﾟﾗｽ/ﾎｯﾁｷｽ針 NO.50 10mm 2000本/SS-050C</t>
  </si>
  <si>
    <t>ﾌﾟﾗｽ/ﾎｯﾁｷｽ針No.50 15mm(SS-050E)/30-127</t>
  </si>
  <si>
    <t>ﾌﾟﾗｽ/ﾛｰﾗｰｹｼﾎﾟﾝ IS-500CM-B ﾎﾜｲﾄ/37-645</t>
  </si>
  <si>
    <t>ﾌﾟﾗｽ/ﾛｰﾗｰｹｼﾎﾟﾝ IS-500CM-B ｸﾞﾘｰﾝ/37-646</t>
  </si>
  <si>
    <t>ﾌﾟﾗｽ/ﾛｰﾗｰｹｼﾎﾟﾝ IS-500CM-B ﾌﾞﾙｰ/37-647</t>
  </si>
  <si>
    <t>ﾌﾟﾗｽ/ﾛｰﾗｰｹｼﾎﾟﾝ IS-500CM-B ﾋﾟﾝｸ/37-648</t>
  </si>
  <si>
    <t>ﾌﾟﾗｽ/ﾛｰﾗｰｹｼﾎﾟﾝ IS-500CM-B ｲｴﾛｰ/37-649</t>
  </si>
  <si>
    <t>ﾌﾟﾗｽ/ﾛｰﾗｰｹｼﾎﾟﾝ専用ｲﾝｸｶｰﾄﾘｯｼﾞ IS-007CM/37-299</t>
  </si>
  <si>
    <t>ﾌﾟﾗｽ/ﾛｰﾗｰｹｼﾎﾟﾝ ｽﾃｨｯｸ 本体 ｻｸﾗﾋﾟﾝｸ/IS-550CM／39-146</t>
  </si>
  <si>
    <t>ﾌﾟﾗｽ/ﾛｰﾗｰｹｼﾎﾟﾝ 箱用ｵｰﾌﾟﾅｰ 交換式 ﾍﾟｰﾙﾋﾟﾝｸ/IS-590CM</t>
  </si>
  <si>
    <t>ﾌﾟﾗｽ/ﾛｰﾗｰｹｼﾎﾟﾝ 箱用ｵｰﾌﾟﾅｰ 交換式 ﾍﾟｰﾙﾌﾞﾙｰ/IS-590CM</t>
  </si>
  <si>
    <t>ﾌﾟﾗｽ/ﾛｰﾗｰｹｼﾎﾟﾝ 箱用ｵｰﾌﾟﾅｰ 交換式 ﾎﾜｲﾄ/IS-590CM</t>
  </si>
  <si>
    <t>ﾌﾟﾗｽ/ﾛｰﾗｰｹｼﾎﾟﾝ 箱用ｵｰﾌﾟﾅｰ 交換式ﾀﾞｰｸｸﾞﾘｰﾝ/IS-590CM</t>
  </si>
  <si>
    <t>ﾌﾟﾗｽ/ﾛｰﾗｰｹｼﾎﾟﾝ 箱用ｵｰﾌﾟﾅｰ 交換式 ﾍﾞｰｼﾞｭ/IS-590CM</t>
  </si>
  <si>
    <t>ﾌﾟﾗｽ/ﾛｰﾗｰｹｼﾎﾟﾝ 箱用ｵｰﾌﾟﾅｰ 専用ｲﾝｸｶｰﾄﾘｯｼﾞ/IS-590CMR</t>
  </si>
  <si>
    <t>ﾌﾟﾗｽ/Pasty ｸﾘｯﾌﾟﾌｧｲﾙ A4ﾀﾃ 短辺とじ ﾋﾟｰﾁﾋﾟﾝｸ</t>
  </si>
  <si>
    <t>ﾌﾟﾗｽ/Pasty ｸﾘｯﾌﾟﾌｧｲﾙ A4ﾀﾃ 短辺とじ ﾌﾞﾙｰﾍﾞﾘｰﾊﾟｰﾌﾟﾙ</t>
  </si>
  <si>
    <t>ﾌﾟﾗｽ/Pasty ｸﾘｯﾌﾟﾌｧｲﾙ A4ﾀﾃ 短辺とじ ｿｰﾀﾞﾌﾞﾙｰ</t>
  </si>
  <si>
    <t>ﾌﾟﾗｽ/Pasty ｸﾘｯﾌﾟﾌｧｲﾙ A4ﾀﾃ 短辺とじ ﾏｽｶｯﾄｸﾞﾘｰﾝ</t>
  </si>
  <si>
    <t>ﾌﾟﾗｽ/PASTY ﾜﾝﾀｯﾁｽﾗｲﾄﾞﾌｧｲﾙ A4 ﾋﾟｰﾁﾋﾟﾝｸ/FL-110OS</t>
  </si>
  <si>
    <t>ﾌﾟﾗｽ/PASTY ﾜﾝﾀｯﾁｽﾗｲﾄﾞﾌｧｲﾙ A4 ﾁｪﾘｰﾋﾟﾝｸ/FL-110OS</t>
  </si>
  <si>
    <t>ﾌﾟﾗｽ/PASTY ﾜﾝﾀｯﾁｽﾗｲﾄﾞﾌｧｲﾙ A4 ﾗｽﾞﾍﾞﾘｰﾋﾟﾝｸ/FL-110OS</t>
  </si>
  <si>
    <t>ﾌﾟﾗｽ/PASTY ﾜﾝﾀｯﾁｽﾗｲﾄﾞﾌｧｲﾙ A4ﾌﾞﾙｰﾍﾞﾘｰﾊﾟｰﾌﾟﾙ/FL110OS</t>
  </si>
  <si>
    <t>ﾌﾟﾗｽ/pasty 2穴ﾜﾝﾀｯﾁｽﾗｲﾄﾞﾌｧｲﾙ A4 ｿｰﾀﾞﾌﾞﾙｰ FL-110OS</t>
  </si>
  <si>
    <t>ﾌﾟﾗｽ/PASTY ﾜﾝﾀｯﾁｽﾗｲﾄﾞﾌｧｲﾙ A4 ﾏｽｶｯﾄｸﾞﾘｰﾝ/FL-110OS</t>
  </si>
  <si>
    <t>ﾌﾟﾗｽ/PASTY ﾜﾝﾀｯﾁｽﾗｲﾄﾞﾌｧｲﾙ A4 ﾚﾓﾝｲｴﾛｰ/FL-110OS</t>
  </si>
  <si>
    <t>ﾌﾟﾗｽ/PASTY ﾜﾝﾀｯﾁｽﾗｲﾄﾞﾌｧｲﾙ A4 ﾊﾞﾆﾗﾎﾜｲﾄ/FL-110OS</t>
  </si>
  <si>
    <t>G)ﾌﾟﾗｽ/ﾃﾞｼﾞｬヴｶﾗｰｽﾞ ﾎﾞｯｸｽﾌｧｲﾙ ﾌﾀ付 ｽｶｲﾌﾞﾙｰ/FL-029B</t>
  </si>
  <si>
    <t>G)ﾌﾟﾗｽ/ﾃﾞｼﾞｬヴｶﾗｰｽﾞ ﾎﾞｯｸｽﾌｧｲﾙ ﾚｷﾞｭﾗｰ ｽｶｲﾌﾞﾙｰ/FL-02</t>
  </si>
  <si>
    <t>G)ﾌﾟﾗｽ/ﾃﾞｼﾞｬヴｶﾗｰｽﾞ ﾎﾞｯｸｽﾌｧｲﾙ ﾚｷﾞｭﾗｰ ﾈｲﾋﾞｰ/FL-023B</t>
  </si>
  <si>
    <t>G)ﾌﾟﾗｽ/ﾃﾞｼﾞｬヴｶﾗｰｽﾞ ﾎﾞｯｸｽﾌｧｲﾙ ﾜｲﾄﾞ ﾈｲﾋﾞｰ/FL-024BF</t>
  </si>
  <si>
    <t>G)ﾌﾟﾗｽ/ﾃﾞｼﾞｬヴｶﾗｰｽﾞ ﾎﾞｯｸｽﾌｧｲﾙ ﾜｲﾄﾞ A4ﾖｺ ﾁｬｺｰﾙｸﾞﾚｰ</t>
  </si>
  <si>
    <t>G)ﾌﾟﾗｽ/ﾃﾞｼﾞｬヴｶﾗｰｽﾞ ﾎﾞｯｸｽﾌｧｲﾙ ｽﾘﾑ A4ﾖｺ ｽｶｲﾌﾞﾙｰ</t>
  </si>
  <si>
    <t>G)ﾌﾟﾗｽ/ﾃﾞｼﾞｬヴｶﾗｰｽﾞ ﾎﾞｯｸｽﾌｧｲﾙ ｽﾘﾑ A4ﾖｺ ﾈｰﾌﾞﾙｵﾚﾝｼﾞ</t>
  </si>
  <si>
    <t>G)ﾌﾟﾗｽ/年組氏名ｽｸｰﾙ ﾌﾟﾘﾝﾄﾌｧｲﾙ A4 ﾈｲﾋﾞｰ/79751</t>
  </si>
  <si>
    <t>G)ﾌﾟﾗｽ/年組氏名ｽｸｰﾙ ﾌﾟﾘﾝﾄﾌｧｲﾙ A4 ﾚｯﾄﾞ/79753</t>
  </si>
  <si>
    <t>G)ﾌﾟﾗｽ/年組氏名ｽｸｰﾙ ﾌﾟﾘﾝﾄﾌｧｲﾙ A4 ｸﾞﾘｰﾝ/79756</t>
  </si>
  <si>
    <t>G)ﾌﾟﾗｽ/年組氏名ｽｸｰﾙ れんらく袋 A4 ﾀﾃ入 ﾈｲﾋﾞｰ/79741</t>
  </si>
  <si>
    <t>G)ﾌﾟﾗｽ/年組氏名ｽｸｰﾙ れんらく袋 A4 ﾀﾃ入 ﾚｯﾄﾞ/79743</t>
  </si>
  <si>
    <t>G)ﾌﾟﾗｽ/年組氏名ｽｸｰﾙ れんらく袋 A4 ﾀﾃ入 ｸﾞﾘｰﾝ/79746</t>
  </si>
  <si>
    <t>G)ﾌﾟﾗｽ/年組氏名ｽｸｰﾙ れんらく袋 A4 ﾖｺ入 ﾈｲﾋﾞｰ/79831</t>
  </si>
  <si>
    <t>G)ﾌﾟﾗｽ/年組氏名ｽｸｰﾙ れんらく袋 A4 ﾖｺ入 ﾚｯﾄﾞ/79833</t>
  </si>
  <si>
    <t>G)ﾌﾟﾗｽ/年組氏名ｽｸｰﾙ れんらく袋 A4 ﾖｺ入 ｸﾞﾘｰﾝ/79836</t>
  </si>
  <si>
    <t>G)ﾌﾟﾗｽ/通知表ﾌｧｲﾙ ﾀﾃ入 6ﾎﾟｹｯﾄ ﾌﾞﾙｰ</t>
  </si>
  <si>
    <t>G)ﾌﾟﾗｽ/通知表ﾌｧｲﾙ ﾀﾃ入 6ﾎﾟｹｯﾄ ﾗｲﾄﾌﾞﾙｰ</t>
  </si>
  <si>
    <t>G)ﾌﾟﾗｽ/通知表ﾌｧｲﾙ ﾀﾃ入 6ﾎﾟｹｯﾄ ｸﾞﾘｰﾝ</t>
  </si>
  <si>
    <t>G)ﾌﾟﾗｽ/通知表ﾌｧｲﾙ ﾀﾃ入 6ﾎﾟｹｯﾄ ｲｴﾛｰ</t>
  </si>
  <si>
    <t>G)ﾌﾟﾗｽ/通知表ﾌｧｲﾙ ﾀﾃ入 6ﾎﾟｹｯﾄ ｵﾚﾝｼﾞ</t>
  </si>
  <si>
    <t>G)ﾌﾟﾗｽ/通知表ﾌｧｲﾙ ﾀﾃ入 6ﾎﾟｹｯﾄ ﾚｯﾄﾞ</t>
  </si>
  <si>
    <t>G)ﾌﾟﾗｽ/通知表ﾌｧｲﾙ ﾀﾃ入 6ﾎﾟｹｯﾄ ﾎﾜｲﾄ</t>
  </si>
  <si>
    <t>G)ﾌﾟﾗｽ 通知表ﾌｧｲﾙ ﾀﾃ入 6ﾎﾟｹｯﾄ 10冊 ﾌﾞﾙｰ/78761</t>
  </si>
  <si>
    <t>G)ﾌﾟﾗｽ 通知表ﾌｧｲﾙ ﾀﾃ入 6ﾎﾟｹｯﾄ 10冊 ﾗｲﾄﾌﾞﾙｰ/78762</t>
  </si>
  <si>
    <t>G)ﾌﾟﾗｽ 通知表ﾌｧｲﾙ ﾀﾃ入 6ﾎﾟｹｯﾄ 10冊 ｸﾞﾘｰﾝ/78763</t>
  </si>
  <si>
    <t>G)ﾌﾟﾗｽ 通知表ﾌｧｲﾙ ﾀﾃ入 6ﾎﾟｹｯﾄ 10冊 ｲｴﾛｰ/78764</t>
  </si>
  <si>
    <t>G)ﾌﾟﾗｽ 通知表ﾌｧｲﾙ ﾀﾃ入 6ﾎﾟｹｯﾄ 10冊 ｵﾚﾝｼﾞ/78765</t>
  </si>
  <si>
    <t>G)ﾌﾟﾗｽ 通知表ﾌｧｲﾙ ﾀﾃ入 6ﾎﾟｹｯﾄ 10冊 ﾚｯﾄﾞ/78766</t>
  </si>
  <si>
    <t>G)ﾌﾟﾗｽ 通知表ﾌｧｲﾙ ﾀﾃ入 6ﾎﾟｹｯﾄ 10冊 ﾎﾜｲﾄ/78767</t>
  </si>
  <si>
    <t>G)ﾌﾟﾗｽ/通知表ﾌｧｲﾙ ﾖｺ入 12ﾎﾟｹｯﾄ ﾗｲﾄﾌﾞﾙｰ</t>
  </si>
  <si>
    <t>G)ﾌﾟﾗｽ/通知表ﾌｧｲﾙ ﾖｺ入 12ﾎﾟｹｯﾄ ﾚｯﾄﾞ</t>
  </si>
  <si>
    <t>G)ﾌﾟﾗｽ/通知表ﾌｧｲﾙ ﾖｺ入 12ﾎﾟｹｯﾄ ﾎﾜｲﾄ</t>
  </si>
  <si>
    <t>G)ﾌﾟﾗｽ/通知表ﾎﾙﾀﾞｰ ﾈｲﾋﾞｰ FL-190SF/79-721</t>
  </si>
  <si>
    <t>G)ﾌﾟﾗｽ/通知表ﾎﾙﾀﾞｰ ﾊﾟｰﾌﾟﾙ FL-190SF/79-722</t>
  </si>
  <si>
    <t>G)ﾌﾟﾗｽ/通知表ﾎﾙﾀﾞｰ ﾋﾟﾝｸ FL-190SF/79-723</t>
  </si>
  <si>
    <t>G)ﾌﾟﾗｽ/通知表ﾎﾙﾀﾞｰ ｲｴﾛｰ FL-190SF/79-724</t>
  </si>
  <si>
    <t>G)ﾌﾟﾗｽ/通知表ﾎﾙﾀﾞｰ ｸﾞﾘｰﾝ FL-190SF/79-725</t>
  </si>
  <si>
    <t>G)ﾌﾟﾗｽ/通知表ﾎﾙﾀﾞｰ ｸﾘｱｰ FL-190SF/79-726</t>
  </si>
  <si>
    <t>G)ﾌﾟﾗｽ/通知表ﾎﾙﾀﾞｰ 6ﾎﾟｹｯﾄ ﾈｲﾋﾞｰ FL-200SF/79-821</t>
  </si>
  <si>
    <t>G)ﾌﾟﾗｽ/通知表ﾎﾙﾀﾞｰ 6ﾎﾟｹｯﾄ ﾊﾟｰﾌﾟﾙ FL-200SF/79822</t>
  </si>
  <si>
    <t>G)ﾌﾟﾗｽ/通知表ﾎﾙﾀﾞｰ 6ﾎﾟｹｯﾄ ﾋﾟﾝｸ FL-200SF/79-823</t>
  </si>
  <si>
    <t>G)ﾌﾟﾗｽ/通知表ﾎﾙﾀﾞｰ 6ﾎﾟｹｯﾄ ｲｴﾛｰ FL-200SF/79-824</t>
  </si>
  <si>
    <t>G)ﾌﾟﾗｽ/通知表ﾎﾙﾀﾞｰ 6ﾎﾟｹｯﾄ ｸﾞﾘｰﾝ FL-200SF/79-825</t>
  </si>
  <si>
    <t>G)ﾌﾟﾗｽ/通知表ﾎﾙﾀﾞｰ 6ﾎﾟｹｯﾄ ｸﾘｱｰ FL-200SF/79-826</t>
  </si>
  <si>
    <t>ﾌﾟﾗｽ/名刺ﾎﾙﾀﾞｰ 差替ﾀｲﾌﾟ ﾀﾞｰｸｸﾞﾚｰ FL-107NC/84-241</t>
  </si>
  <si>
    <t>ﾌﾟﾗｽ/名刺ﾎﾙﾀﾞｰ差替ﾀｲﾌﾟ ﾌﾞﾙｰ FL-107NC/84-244</t>
  </si>
  <si>
    <t>ﾌﾟﾗｽ/名刺ﾎﾙﾀﾞｰﾘﾌｨ-ﾙ 6穴 10枚 NC-101/35-988</t>
  </si>
  <si>
    <t>G)ﾌﾟﾗｽ/差替ﾘﾌｨﾙ 1ﾎﾟｹｯﾄ A4 2･4･30穴 10枚 透明/87180</t>
  </si>
  <si>
    <t>G)ﾌﾟﾗｽ/差替ﾘﾌｨﾙ 1ﾎﾟｹｯﾄ A4 2･4･30穴 100枚 透明 R-PP</t>
  </si>
  <si>
    <t>G)ﾌﾟﾗｽ/差替ﾘﾌｨﾙ 1ﾎﾟｹｯﾄ 厚口 A4 2･4･30穴 100枚</t>
  </si>
  <si>
    <t>G)ﾌﾟﾗｽ/差替ﾘﾌｨﾙ 1ﾎﾟｹｯﾄ A4 2穴 100枚入 透明/87140</t>
  </si>
  <si>
    <t>G)ﾌﾟﾗｽ/差替ﾘﾌｨﾙ 2ﾎﾟｹｯﾄ A4 2･4･30穴 10枚 透明/87442</t>
  </si>
  <si>
    <t>G)ﾌﾟﾗｽ/差替ﾘﾌｨﾙ 4ﾎﾟｹｯﾄ A4 2･4･30穴 10枚 透明/87444</t>
  </si>
  <si>
    <t>G)ﾌﾟﾗｽ/差替ﾘﾌｨﾙ 名刺ﾎﾟｹｯﾄ横 2･4･30穴 10枚 透明</t>
  </si>
  <si>
    <t>ﾌﾟﾗｽ ｸﾘｱｰﾌｧｲﾙ A4 ﾘﾌｨｰﾙ 1ﾎﾟｹｯﾄ 10枚 RE-141PP 92-372</t>
  </si>
  <si>
    <t>G)ﾌﾟﾗｽ/ｸﾘｱｰﾎﾙﾀﾞｰﾊﾟﾝﾁ穴付 A4ﾀﾃ FL-159HO/88-159</t>
  </si>
  <si>
    <t>G)ﾌﾟﾗｽ/ｸﾘｱｰﾎﾙﾀﾞｰ4穴 A4ﾀﾃ 10枚 FL-153HO/88-153</t>
  </si>
  <si>
    <t>G)ﾌﾟﾗｽ/差替ﾘﾌｨﾙ ｸﾘｱﾌｫﾙﾀﾞｰ 見出紙付 A4 4穴 ｸﾘｱｰ</t>
  </si>
  <si>
    <t>ﾌﾟﾗｽ/ｸﾘｱﾎﾙﾀﾞｰ A4 ｸﾘｱｰ 10枚入/FL-170HO-10/88104</t>
  </si>
  <si>
    <t>ﾌﾟﾗｽ/ｸﾘｱﾎﾙﾀﾞｰ A4 ｸﾘｱｰ 50枚入/FL-170HO-50/88105</t>
  </si>
  <si>
    <t>ﾌﾟﾗｽ/ｶｰﾄﾞｹｰｽ 抗菌 ｾﾐﾊｰﾄﾞ A4 5枚 76300</t>
  </si>
  <si>
    <t>G)ﾌﾟﾗｽ/ｶｰﾄﾞ(名刺)ｽﾘｯﾄ付ｸﾘｱｰﾎﾙﾀﾞｰ A4ﾀﾃ ｸﾘｱｰ 10枚</t>
  </si>
  <si>
    <t>ﾌﾟﾗｽ/ぴったりすっきりﾎﾙﾀﾞｰ 洋2 ｸﾘｱｰ 10枚 FL-222HO</t>
  </si>
  <si>
    <t>ﾌﾟﾗｽ/ｶﾓﾌﾗｰｼﾞｭﾎﾙﾀﾞｰ A4 ﾌﾞﾙｰ 5枚/89-421FL127CH5P</t>
  </si>
  <si>
    <t>ﾌﾟﾗｽ/ｸﾘｱｰﾎﾙﾀﾞｰ ｶﾓﾌﾗｰｼﾞｭﾎﾙﾀﾞｰ A4 5枚 ﾗｲﾄﾌﾞﾙｰ/89422</t>
  </si>
  <si>
    <t>ﾌﾟﾗｽ/ｶﾓﾌﾗｰｼﾞｭﾎﾙﾀﾞｰ A4 ﾗｲﾄｸﾞﾘｰﾝ 5枚/89-423</t>
  </si>
  <si>
    <t>ﾌﾟﾗｽ/ｸﾘｱｰﾎﾙﾀﾞｰ ｶﾓﾌﾗｰｼﾞｭﾎﾙﾀﾞｰ A4 5枚 ｵﾚﾝｼﾞ/89424</t>
  </si>
  <si>
    <t>ﾌﾟﾗｽ/ｶﾓﾌﾗｰｼﾞｭﾎﾙﾀﾞｰ A4 ﾋﾟﾝｸ 5枚/89-425FL127CH5P</t>
  </si>
  <si>
    <t>ﾌﾟﾗｽ/ｶﾓﾌﾗｰｼﾞｭﾎﾙﾀﾞｰ A4 ｸﾘｱｰ 5枚/89-430FL127CH5P</t>
  </si>
  <si>
    <t>ﾌﾟﾗｽ/ｸﾘｱｰﾎﾙﾀﾞｰ ｶﾓﾌﾗｰｼﾞｭ ﾊｰﾄﾞ仕切り付 A4 ﾌﾞﾙｰ/89571</t>
  </si>
  <si>
    <t>ﾌﾟﾗｽ/ｸﾘｱｰﾎﾙﾀﾞｰ ｶﾓﾌﾗｰｼﾞｭ ﾊｰﾄﾞ仕切付 A4 ｵﾚﾝｼﾞ 89573</t>
  </si>
  <si>
    <t>ﾌﾟﾗｽ/ｸﾘｱｰﾎﾙﾀﾞｰ ｶﾓﾌﾗｰｼﾞｭ ﾊｰﾄﾞ仕切り付 A4 ﾋﾟﾝｸ 89574</t>
  </si>
  <si>
    <t>ﾌﾟﾗｽ/ｸﾘｱｰﾎﾙﾀﾞｰ ｶﾓﾌﾗｰｼﾞｭ ﾊｰﾄﾞ仕切り付 A4 ｸﾘｱｰ 89575</t>
  </si>
  <si>
    <t>ﾌﾟﾗｽ/仕切り付ﾎﾙﾀﾞｰ ｶﾓﾌﾗｰｼﾞｭ 3ﾎﾟｹｯﾄ A4 ﾌﾞﾙｰ/89581</t>
  </si>
  <si>
    <t>ﾌﾟﾗｽ/仕切り付ﾎﾙﾀﾞｰ ｶﾓﾌﾗｰｼﾞｭ 3ﾎﾟｹｯﾄ A4 ｸﾞﾘｰﾝ/89582</t>
  </si>
  <si>
    <t>ﾌﾟﾗｽ/仕切り付ﾎﾙﾀﾞｰ ｶﾓﾌﾗｰｼﾞｭ 3ﾎﾟｹｯﾄ A4 ｵﾚﾝｼﾞ/89583</t>
  </si>
  <si>
    <t>ﾌﾟﾗｽ/仕切り付ﾎﾙﾀﾞｰ ｶﾓﾌﾗｰｼﾞｭ 3ﾎﾟｹｯﾄ A4 ﾋﾟﾝｸ 89584</t>
  </si>
  <si>
    <t>ﾌﾟﾗｽ/仕切り付ﾎﾙﾀﾞｰ ｶﾓﾌﾗｰｼﾞｭ 3ﾎﾟｹｯﾄ A4 ﾎﾜｲﾄ 89585</t>
  </si>
  <si>
    <t>ﾌﾟﾗｽ/ｸﾘｯﾌﾟ付ﾎﾞｰﾄﾞﾎﾙﾀﾞｰ･ｶﾓﾌﾗｰｼﾞｭ ﾌﾞﾙｰ FL-130CH</t>
  </si>
  <si>
    <t>ﾌﾟﾗｽ/ｸﾘｯﾌﾟ付ﾎﾞｰﾄﾞﾎﾙﾀﾞｰ･ｶﾓﾌﾗｰｼﾞｭ ﾋﾟﾝｸ FL-130CH</t>
  </si>
  <si>
    <t>ﾌﾟﾗｽ/ｸﾘｯﾌﾟ付ﾎﾞｰﾄﾞﾎﾙﾀﾞｰ･ｶﾓﾌﾗｰｼﾞｭ ﾎﾜｲﾄ FL-130CH</t>
  </si>
  <si>
    <t>ﾌﾟﾗｽ/ｸﾘｯﾌﾟ付ﾎﾞｰﾄﾞﾎﾙﾀﾞｰ ｶﾓﾌﾗｰｼﾞｭ A4 ﾏﾘﾝﾌﾞﾙｰ/89484</t>
  </si>
  <si>
    <t>ﾌﾟﾗｽ/ﾌﾞﾗｲﾝﾄﾞﾎﾙﾀﾞｰ 不透明 A4 ﾌﾞﾙｰ/88491/FL-109CH</t>
  </si>
  <si>
    <t>ﾌﾟﾗｽ/ﾌﾞﾗｲﾝﾄﾞﾎﾙﾀﾞｰ 不透明 A4 ｸﾞﾘｰﾝ/88492/FL-109CH</t>
  </si>
  <si>
    <t>ﾌﾟﾗｽ/ﾌﾞﾗｲﾝﾄﾞﾎﾙﾀﾞｰ 不透明 A4 ｵﾚﾝｼﾞ/88493/FL-109CH</t>
  </si>
  <si>
    <t>ﾌﾟﾗｽ/ﾌﾞﾗｲﾝﾄﾞﾎﾙﾀﾞｰ 不透明 A4 ﾚｯﾄﾞ/88494/FL-109CH</t>
  </si>
  <si>
    <t>ﾌﾟﾗｽ/ﾌﾞﾗｲﾝﾄﾞﾎﾙﾀﾞｰ A4ﾀﾃ ﾎﾜｲﾄ/88-495FL-109CH</t>
  </si>
  <si>
    <t>ﾌﾟﾗｽ/仕切り付ﾎﾙﾀﾞｰ･3ﾎﾟｹｯﾄ A4 ﾌﾞﾙｰ 10枚</t>
  </si>
  <si>
    <t>ﾌﾟﾗｽ/仕切り付ﾎﾙﾀﾞｰ･3ﾎﾟｹｯﾄ A4 ｸﾞﾘｰﾝ 10枚</t>
  </si>
  <si>
    <t>ﾌﾟﾗｽ/仕切付きﾎﾙﾀﾞｰ 3ﾎﾟｹｯﾄ A4 ｵﾚﾝｼﾞ/88233/FL-111CH</t>
  </si>
  <si>
    <t>ﾌﾟﾗｽ/仕切り付ﾎﾙﾀﾞｰ･3ﾎﾟｹｯﾄ A4 ﾋﾟﾝｸ 10枚/88234</t>
  </si>
  <si>
    <t>ﾌﾟﾗｽ/仕切り付きﾎﾙﾀﾞｰ･3ﾎﾟｹｯﾄ A4 ﾎﾜｲﾄ 10枚</t>
  </si>
  <si>
    <t>ﾌﾟﾗｽ/ﾎﾟｹｯﾄ付ｴﾝﾍﾞﾛｰﾌﾟ ﾀﾃ型 ﾌﾞﾙｰ/88721/FL-118CH</t>
  </si>
  <si>
    <t>ﾌﾟﾗｽ/ﾎﾟｹｯﾄ付ｴﾝﾍﾞﾛｰﾌﾟ ﾀﾃ型 ｸﾘｱｰ/88724</t>
  </si>
  <si>
    <t>ﾌﾟﾗｽ/ﾎﾟｹｯﾄ付ｴﾝﾍﾞﾛｰﾌﾟ ﾖｺ型 ｸﾘｱｰ/88734/FL-119CH</t>
  </si>
  <si>
    <t>ﾌﾟﾗｽ/ｼﾝﾌﾟﾙﾜｰｸ ﾎﾟｹｯﾄ付ｴﾝﾍﾞﾛｰﾌﾟ(ﾏﾁ付き)A4ﾀﾃ ﾌﾞﾙｰ</t>
  </si>
  <si>
    <t>ﾌﾟﾗｽ/ｼﾝﾌﾟﾙﾜｰｸ ﾎﾟｹｯﾄ付ｴﾝﾍﾞﾛｰﾌﾟ(ﾏﾁ付き)A4ﾀﾃ ﾚｯﾄﾞ</t>
  </si>
  <si>
    <t>ﾌﾟﾗｽ/ｼﾝﾌﾟﾙﾜｰｸ ﾎﾟｹｯﾄ付ｴﾝﾍﾞﾛｰﾌﾟ(ﾏﾁ付)A4ﾀﾃ ﾎﾜｲﾄ 10枚</t>
  </si>
  <si>
    <t>ﾌﾟﾗｽ/ﾎﾟｹｯﾄ付ｴﾝﾍﾞﾛｰﾌﾟ A3 ﾏﾁ付ﾖｺ ﾌﾞﾙｰ/88576/FL-140CH</t>
  </si>
  <si>
    <t>ﾌﾟﾗｽ/ﾎﾟｹｯﾄ付ｴﾝﾍﾞﾛｰﾌﾟ A3 ﾏﾁ付ﾖｺ ｸﾘｱｰ/88577/FL-140CH</t>
  </si>
  <si>
    <t>ﾌﾟﾗｽ/ﾎﾟｹｯﾄ付ｴﾝﾍﾞﾛｰﾌﾟ A4 ﾏﾁ付ﾖｺ ﾚｯﾄﾞ/88572/FL-121CH</t>
  </si>
  <si>
    <t>ﾌﾟﾗｽ/ﾎﾟｹｯﾄ付ｴﾝﾍﾞﾛｰﾌﾟ A4 ﾏﾁ付ﾖｺ ﾎﾜｲﾄ/88573/FL-121CH</t>
  </si>
  <si>
    <t>ﾌﾟﾗｽ/ﾎﾟｹｯﾄ付ｴﾝﾍﾞﾛｰﾌﾟ A5 ﾏﾁ付ﾖｺ ﾌﾞﾙｰ/88578/FL-141CH</t>
  </si>
  <si>
    <t>ﾌﾟﾗｽ/ﾎﾟｹｯﾄ付ｴﾝﾍﾞﾛｰﾌﾟ A5 ﾏﾁ付ﾖｺ ｸﾘｱｰ/88579/FL-141CH</t>
  </si>
  <si>
    <t>ﾌﾟﾗｽ/おりたためるA3ｸﾘｯﾌﾟﾎﾞｰﾄﾞ+ ﾀﾞｰｸｸﾞﾚｰ/FL-501CP</t>
  </si>
  <si>
    <t>ﾌﾟﾗｽ/おりたためるA3ｸﾘｯﾌﾟﾎﾞｰﾄﾞ+ ﾎﾜｲﾄ/83152/FL-501CP</t>
  </si>
  <si>
    <t>ﾌﾟﾗｽ/おりたためるA3ｸﾘｯﾌﾟﾎﾞｰﾄﾞ+ ﾚｯﾄﾞ/83153/FL-501CP</t>
  </si>
  <si>
    <t>ﾌﾟﾗｽ/おりたためるA3ｸﾘｯﾌﾟﾎﾞｰﾄﾞ+ ｶｰｷ/83154/FL-501CP</t>
  </si>
  <si>
    <t>ﾌﾟﾗｽ/おりたためるA4ｸﾘｯﾌﾟﾎﾞｰﾄﾞ+ ﾀﾞｰｸｸﾞﾚｰ/FL-502CP</t>
  </si>
  <si>
    <t>ﾌﾟﾗｽ/おりたためるA4ｸﾘｯﾌﾟﾎﾞｰﾄﾞ+ ﾎﾜｲﾄ/83162/FL-502CP</t>
  </si>
  <si>
    <t>ﾌﾟﾗｽ/おりたためるA4ｸﾘｯﾌﾟﾎﾞｰﾄﾞ+ ﾚｯﾄﾞ/83163/FL-502CP</t>
  </si>
  <si>
    <t>ﾌﾟﾗｽ/おりたためるA4ｸﾘｯﾌﾟﾎﾞｰﾄﾞ+ ｶｰｷ/83164/FL-502CP</t>
  </si>
  <si>
    <t>ﾌﾟﾗｽ/「ｸﾘｯﾌﾟﾎﾞｰﾄﾞ+」専用ｽﾄﾗｯﾌﾟ/83191/FL-505CP</t>
  </si>
  <si>
    <t>ﾌﾟﾗｽ/ｼﾝﾌﾟﾙﾜｰｸｶﾗｰｲﾝﾃﾞｯｸｽ 5色 A4 FL-103CH/88-161</t>
  </si>
  <si>
    <t>G)ﾌﾟﾗｽ/ﾎﾞｯｸｽﾌｧｲﾙ/A4/ﾀﾞﾝﾎﾞｯｸｽ背幅100mmﾀﾞｰｸｸﾞﾚｰ87528</t>
  </si>
  <si>
    <t>G)ﾌﾟﾗｽ/ﾎﾞｯｸｽﾌｧｲﾙ/A4/ﾀﾞﾝﾎﾞｯｸｽ背幅100mmﾗｲﾄｸﾞﾚｰ/87529</t>
  </si>
  <si>
    <t>G)ﾌﾟﾗｽ/ﾎﾞｯｸｽﾌｧｲﾙ/A4/ﾀﾞﾝﾎﾞｯｸｽ 背幅100mmｸﾞﾘｰﾝ/87-530</t>
  </si>
  <si>
    <t>G)ﾌﾟﾗｽ/ﾎﾞｯｸｽﾌｧｲﾙ/A4/ﾀﾞﾝﾎﾞｯｸｽ 背幅100mm/ﾌﾞﾙｰ/87-531</t>
  </si>
  <si>
    <t>G)ﾌﾟﾗｽ/ﾎﾞｯｸｽﾌｧｲﾙ/A4/ﾀﾞﾝﾎﾞｯｸｽ 背幅100mm/ﾋﾟﾝｸ/87-532</t>
  </si>
  <si>
    <t>G)ﾌﾟﾗｽ/ﾎﾞｯｸｽﾌｧｲﾙ/A4/ﾀﾞﾝﾎﾞｯｸｽ/ﾗｲﾄｸﾞﾚｰ87-322FL-021BF</t>
  </si>
  <si>
    <t>G)ﾌﾟﾗｽ/ﾎﾞｯｸｽﾌｧｲﾙ/A4/ﾀﾞﾝﾎﾞｯｸｽ/ﾌﾞﾙｰ/87-324/FL-021BF</t>
  </si>
  <si>
    <t>G)ﾌﾟﾗｽ/ｻﾝﾌﾟﾙﾎﾞｯｸｽ A4 背幅150mm ﾀﾞｰｸｸﾞﾚｰ/BF10A4150</t>
  </si>
  <si>
    <t>G)ﾌﾟﾗｽ/ｻﾝﾌﾟﾙﾎﾞｯｸｽ A4 背幅150mm ﾗｲﾄｸﾞﾚｰ/BF10A4150</t>
  </si>
  <si>
    <t>G)ﾌﾟﾗｽ/ｻﾝﾌﾟﾙﾎﾞｯｸｽ A4 背幅200mm ﾀﾞｰｸｸﾞﾚｰ/BF10A4200</t>
  </si>
  <si>
    <t>G)ﾌﾟﾗｽ/ｻﾝﾌﾟﾙﾎﾞｯｸｽ A4 背幅200mm ﾗｲﾄｸﾞﾚｰ/BF10A4200</t>
  </si>
  <si>
    <t>G)ﾌﾟﾗｽ/ｽﾄﾚｰｼﾞﾎﾞｯｸｽ ﾈｲﾋﾞｰ/DN-245／40-043</t>
  </si>
  <si>
    <t>G)ﾌﾟﾗｽ/ｽﾄﾚｰｼﾞﾎﾞｯｸｽ ｸﾞﾚｰ/DN-245／40-044</t>
  </si>
  <si>
    <t>G)ﾌﾟﾗｽ/文書保存箱 A式 再生紙 A4用/40063/DN-352</t>
  </si>
  <si>
    <t>G)ﾌﾟﾗｽ/文書保存箱 A式 再生紙 A4･B4用/40062/DN-351</t>
  </si>
  <si>
    <t>G)ﾌﾟﾗｽ/ﾜﾝﾀｯﾁｽﾄｯｶｰ A型普及式 A-2 A4用/DN-112／40-84</t>
  </si>
  <si>
    <t>G)ﾌﾟﾗｽ/ﾜﾝﾀｯﾁｽﾄｯｶｰ B型 B-1 A4B4用/DN-121／40-878</t>
  </si>
  <si>
    <t>G)ﾌﾟﾗｽ/ﾜﾝﾀｯﾁｽﾄｯｶｰB-2(A4用) 10枚 DN-122</t>
  </si>
  <si>
    <t>G)ﾌﾟﾗｽ/ﾜﾝﾀｯﾁｽﾄｯｶｰ C型差込ﾌﾀ式 C-2 A4用/DN-132／32-</t>
  </si>
  <si>
    <t>G)ﾌﾟﾗｽ/ﾜﾝﾀｯﾁｽﾄｯｶｰ D型ﾌﾀ式 単品 B4･A3用/DN-240N／40</t>
  </si>
  <si>
    <t>●ﾌﾟﾗｽ/45-296[10ｼｰﾄ]/光沢透明ﾌｨﾙﾑﾗﾍﾞﾙA4 IT-324TF-C</t>
  </si>
  <si>
    <t>ﾌﾟﾗｽ/鉛筆削り 手動 クランプ付き ﾌﾞﾙｰ/84035</t>
  </si>
  <si>
    <t>ﾌﾟﾗｽ/鉛筆削り 手動 クランプ付き ﾚｯﾄﾞ/84036</t>
  </si>
  <si>
    <t>ﾌﾟﾗｽ/ﾎﾞｰﾄﾞｲﾚｰｻﾞｰ替ｽﾎﾟﾝｼﾞ 44369用 10個/44-698</t>
  </si>
  <si>
    <t>荷姿</t>
    <rPh sb="0" eb="2">
      <t>ニスガタ</t>
    </rPh>
    <phoneticPr fontId="2"/>
  </si>
  <si>
    <t>キー</t>
    <phoneticPr fontId="2"/>
  </si>
  <si>
    <t>ﾌﾟﾗｽ/pasty 2穴ﾜﾝﾀｯﾁｽﾗｲﾄﾞﾌｧｲﾙA4ｿｰﾀﾞﾌﾞﾙｰ10冊FL-110OS</t>
  </si>
  <si>
    <t>G)ﾌﾟﾗｽ/通知表ﾌｧｲﾙ ﾀﾃ入 6ﾎﾟｹｯﾄ ﾌﾞﾙｰ 10枚</t>
  </si>
  <si>
    <t>G)ﾌﾟﾗｽ/通知表ﾌｧｲﾙ ﾀﾃ入 6ﾎﾟｹｯﾄ ﾗｲﾄﾌﾞﾙｰ 10枚</t>
  </si>
  <si>
    <t>G)ﾌﾟﾗｽ/通知表ﾌｧｲﾙ ﾀﾃ入 6ﾎﾟｹｯﾄ ｸﾞﾘｰﾝ 10枚</t>
  </si>
  <si>
    <t>G)ﾌﾟﾗｽ/通知表ﾌｧｲﾙ ﾀﾃ入 6ﾎﾟｹｯﾄ ｲｴﾛｰ 10枚</t>
  </si>
  <si>
    <t>G)ﾌﾟﾗｽ/通知表ﾌｧｲﾙ ﾀﾃ入 6ﾎﾟｹｯﾄ ｵﾚﾝｼﾞ 10枚</t>
  </si>
  <si>
    <t>G)ﾌﾟﾗｽ/通知表ﾌｧｲﾙ ﾀﾃ入 6ﾎﾟｹｯﾄ ﾚｯﾄﾞ 10枚</t>
  </si>
  <si>
    <t>G)ﾌﾟﾗｽ/通知表ﾌｧｲﾙ ﾀﾃ入 6ﾎﾟｹｯﾄ ﾎﾜｲﾄ 10枚</t>
  </si>
  <si>
    <t>G)ﾌﾟﾗｽ/通知表ﾌｧｲﾙ ﾖｺ入 12ﾎﾟｹｯﾄ ﾗｲﾄﾌﾞﾙｰ 10枚</t>
  </si>
  <si>
    <t>G)ﾌﾟﾗｽ/通知表ﾌｧｲﾙ ﾖｺ入 12ﾎﾟｹｯﾄ ﾚｯﾄﾞ 10枚</t>
  </si>
  <si>
    <t>G)ﾌﾟﾗｽ/通知表ﾌｧｲﾙ ﾖｺ入 12ﾎﾟｹｯﾄ ﾎﾜｲﾄ 10枚</t>
  </si>
  <si>
    <t>G)ﾌﾟﾗｽ/通知表ﾎﾙﾀﾞｰ ﾈｲﾋﾞｰ 10枚 FL-190SF/79-721</t>
  </si>
  <si>
    <t>G)ﾌﾟﾗｽ/通知表ﾎﾙﾀﾞｰ ﾊﾟｰﾌﾟﾙ 10枚 FL-190SF/79-722</t>
  </si>
  <si>
    <t>G)ﾌﾟﾗｽ/通知表ﾎﾙﾀﾞｰ ﾋﾟﾝｸ 10枚 FL-190SF/79-723</t>
  </si>
  <si>
    <t>G)ﾌﾟﾗｽ/通知表ﾎﾙﾀﾞｰ ｲｴﾛｰ 10枚 FL-190SF/79-724</t>
  </si>
  <si>
    <t>G)ﾌﾟﾗｽ/通知表ﾎﾙﾀﾞｰ ｸﾞﾘｰﾝ 10枚 FL-190SF/79-725</t>
  </si>
  <si>
    <t>G)ﾌﾟﾗｽ/通知表ﾎﾙﾀﾞｰ ｸﾘｱｰ 10枚 FL-190SF/79-726</t>
  </si>
  <si>
    <t>G)ﾌﾟﾗｽ/通知表ﾎﾙﾀﾞｰ 6ﾎﾟｹｯﾄ ﾈｲﾋﾞｰ 10枚 FL200SF/79821</t>
  </si>
  <si>
    <t>G)ﾌﾟﾗｽ/通知表ﾎﾙﾀﾞｰ 6ﾎﾟｹｯﾄ ﾊﾟｰﾌﾟﾙ10枚 FL200SF/79822</t>
  </si>
  <si>
    <t>G)ﾌﾟﾗｽ/通知表ﾎﾙﾀﾞｰ 6ﾎﾟｹｯﾄ ﾋﾟﾝｸ 10枚 FL200SF/79823</t>
  </si>
  <si>
    <t>G)ﾌﾟﾗｽ/通知表ﾎﾙﾀﾞｰ 6ﾎﾟｹｯﾄ ｲｴﾛｰ 10枚 FL200SF/79824</t>
  </si>
  <si>
    <t>G)ﾌﾟﾗｽ/通知表ﾎﾙﾀﾞｰ 6ﾎﾟｹｯﾄ ｸﾞﾘｰﾝ 10枚 FL200SF/79825</t>
  </si>
  <si>
    <t>G)ﾌﾟﾗｽ/通知表ﾎﾙﾀﾞｰ 6ﾎﾟｹｯﾄ ｸﾘｱｰ 10枚 FL200SF/79826</t>
  </si>
  <si>
    <t>ﾌﾟﾗｽ/ｸﾘｯﾌﾟ付ﾎﾞｰﾄﾞﾎﾙﾀﾞｰ･ｶﾓﾌﾗｰｼﾞｭ ﾌﾞﾙｰ 10枚 FL-130CH</t>
  </si>
  <si>
    <t>ﾌﾟﾗｽ/ｸﾘｯﾌﾟ付ﾎﾞｰﾄﾞﾎﾙﾀﾞｰ･ｶﾓﾌﾗｰｼﾞｭ ﾋﾟﾝｸ 10枚 FL-130CH</t>
  </si>
  <si>
    <t>ﾌﾟﾗｽ/ｸﾘｯﾌﾟ付ﾎﾞｰﾄﾞﾎﾙﾀﾞｰ･ｶﾓﾌﾗｰｼﾞｭ ﾎﾜｲﾄ 10枚 FL-130CH</t>
  </si>
  <si>
    <t>ﾌﾟﾗｽ/ﾌﾞﾗｲﾝﾄﾞﾎﾙﾀﾞｰ A4ﾀﾃ ﾎﾜｲﾄ 10枚入/88-495FL-109CH</t>
  </si>
  <si>
    <t>ﾌﾟﾗｽ/仕切り付ﾎﾙﾀﾞｰ･3ﾎﾟｹｯﾄ A4 ﾌﾞﾙｰ 50枚</t>
  </si>
  <si>
    <t>ﾌﾟﾗｽ/仕切り付ﾎﾙﾀﾞｰ･3ﾎﾟｹｯﾄ A4 ｸﾞﾘｰﾝ 50枚</t>
  </si>
  <si>
    <t>ﾌﾟﾗｽ/仕切り付ﾎﾙﾀﾞｰ･3ﾎﾟｹｯﾄ A4 ﾋﾟﾝｸ 50枚/88234</t>
  </si>
  <si>
    <t>ﾌﾟﾗｽ/仕切り付きﾎﾙﾀﾞｰ･3ﾎﾟｹｯﾄ A4 ﾎﾜｲﾄ 50枚</t>
  </si>
  <si>
    <t>ﾌﾟﾗｽ/ｼﾝﾌﾟﾙﾜｰｸ ﾎﾟｹｯﾄ付ｴﾝﾍﾞﾛｰﾌﾟ(ﾏﾁ付き)A4ﾀﾃ ﾌﾞﾙｰ10枚</t>
  </si>
  <si>
    <t>G)ﾌﾟﾗｽ/ﾎﾞｯｸｽﾌｧｲﾙ/A4/ﾀﾞﾝﾎﾞｯｸｽ ﾀﾞｰｸｸﾞﾚｰ/87528 10冊</t>
  </si>
  <si>
    <t>G)ﾌﾟﾗｽ/ﾎﾞｯｸｽﾌｧｲﾙ/A4/ﾀﾞﾝﾎﾞｯｸｽ/ﾗｲﾄｸﾞﾚｰ/87529 10冊</t>
  </si>
  <si>
    <t>G)ﾌﾟﾗｽ/ﾎﾞｯｸｽﾌｧｲﾙ/A4/ﾀﾞﾝﾎﾞｯｸｽ/ｸﾞﾘｰﾝ/87-530 10冊</t>
  </si>
  <si>
    <t>G)ﾌﾟﾗｽ/ﾎﾞｯｸｽﾌｧｲﾙ/A4/ﾀﾞﾝﾎﾞｯｸｽ/ﾌﾞﾙｰ/87-531 10冊</t>
  </si>
  <si>
    <t>G)ﾌﾟﾗｽ/ﾎﾞｯｸｽﾌｧｲﾙ/A4/ﾀﾞﾝﾎﾞｯｸｽ/ﾋﾟﾝｸ/87-532 10冊</t>
  </si>
  <si>
    <t>ｱｽｸﾙ
ｽﾗｲﾄﾞ</t>
    <phoneticPr fontId="2"/>
  </si>
  <si>
    <t>-</t>
  </si>
  <si>
    <t>改定日</t>
    <rPh sb="0" eb="3">
      <t>カイテイビ</t>
    </rPh>
    <phoneticPr fontId="2"/>
  </si>
  <si>
    <t>プラス 強力瞬間接着剤ミニツイン NS- 811-2P 20パック（直送品）</t>
  </si>
  <si>
    <t>プラス 消しゴム ケース消しゴム Clutto くるっと 本体 グリーン 36878 1個</t>
  </si>
  <si>
    <t>プラス 消しゴム ケース消しゴム Clutto くるっと 本体 ピンク 36879 1個</t>
  </si>
  <si>
    <t>プラス 消しゴム ケース消しゴム Clutto くるっと 本体 ブルー 36880 1個</t>
  </si>
  <si>
    <t>プラス 消しゴム ケース消しゴム Clutto くるっと 本体 イエロー 36881 1個</t>
  </si>
  <si>
    <t>プラス 消しゴム ケース消しゴム Clutto くるっと 本体 パープル 36882 1個</t>
  </si>
  <si>
    <t>プラス 消しゴム ケース消しゴム Clutto くるっと 専用替え消しゴム 36885 1パック（2個入）</t>
  </si>
  <si>
    <t>プラス ホッチキス針 NO.3 SS-003 1個</t>
  </si>
  <si>
    <t>プラス ホッチキス針 中型 No.3U（8mm） 1箱（100本つづり×20）</t>
  </si>
  <si>
    <t>プラス ホッチキス針 中型 No.3U（10mm） 1箱（100本つづり×20）</t>
  </si>
  <si>
    <t>プラス ホッチキス針 大型 No.50（6mm）</t>
  </si>
  <si>
    <t>プラス ホッチキス針 大型 No.50（10mm）</t>
  </si>
  <si>
    <t>プラス ホッチキス針 大型 No.50（15mm） 1箱（100本つづり×20）</t>
  </si>
  <si>
    <t>プラス ローラーケシポン ホワイト IS-500CM-B 1個</t>
  </si>
  <si>
    <t>プラス ローラーケシポン IS500CM-B グリーン IS-500CM-B 1個</t>
  </si>
  <si>
    <t>プラス　ローラーケシポン　ブルー　青　個人情報保護スタンプ　IS-500CM-B　37647</t>
  </si>
  <si>
    <t>プラス　ローラーケシポン　ピンク　個人情報保護スタンプ　IS-500CM-B　37648</t>
  </si>
  <si>
    <t>プラス ローラーケシポン イエロー IS-500CM-B 1個</t>
  </si>
  <si>
    <t>プラス　ローラーケシポン　専用インクカートリッジ　個人情報保護スタンプ　IS-007CM　37299</t>
  </si>
  <si>
    <t>プラス ローラーケシポンスティック サクラピンク 個人情報保護スタンプ 39146</t>
  </si>
  <si>
    <t>プラス 個人情報保護スタンプ ローラーケシポン 箱用オープナー 交換式 ペールピンク 40910 1個</t>
  </si>
  <si>
    <t>プラス 個人情報保護スタンプ ローラーケシポン 箱用オープナー 交換式 ペールブルー 40911 1個</t>
  </si>
  <si>
    <t>プラス 個人情報保護スタンプ ローラーケシポン 箱用オープナー 交換式 ホワイト 40912 1個</t>
  </si>
  <si>
    <t>プラス 個人情報保護スタンプ ローラーケシポン 箱用オープナー 交換式 ダークグリーン 40913 1個</t>
  </si>
  <si>
    <t>プラス 個人情報保護スタンプ ローラーケシポン 箱用オープナー 交換式 ベージュ 40914 1個</t>
  </si>
  <si>
    <t>プラス ローラーケシポン 箱用オープナー 交換式 専用インクカートリッジ 40915 1個</t>
  </si>
  <si>
    <t>プラス Pasty2穴ワンタッチスライドF RP 98852 1冊</t>
  </si>
  <si>
    <t>プラス Pasty2穴ワンタッチスライドF BP 98853 1冊</t>
  </si>
  <si>
    <t>プラス ボックスファイルフタ付150mm スカイBL FL-029BF 1冊</t>
  </si>
  <si>
    <t>プラス ボックスファイル レギュラー S FL-023BF 1冊</t>
  </si>
  <si>
    <t>プラス ボックスファイル レギュラー NVB FL-023BF 1冊</t>
  </si>
  <si>
    <t>プラス ボックスファイルワイド A4 NVB FL-024BF 1冊</t>
  </si>
  <si>
    <t>プラス ボックスファイルワイド A4 CHG FL-024BF 1冊</t>
  </si>
  <si>
    <t>プラス ボックスファイルスリム A4 SKB FL-022BF 1冊</t>
  </si>
  <si>
    <t>プラス ボックスファイルスリム A4 N FL-022BF 1冊</t>
  </si>
  <si>
    <t>プラス 年組氏名 スクール プリントファイル A4 2ポケット ネイビー 79751 1冊</t>
  </si>
  <si>
    <t>プラス 年組氏名 スクール プリントファイル A4 2ポケット レッド 79753 1冊</t>
  </si>
  <si>
    <t>プラス 年組氏名 スクール プリントファイル A4 2ポケット グリーン 79756 1冊</t>
  </si>
  <si>
    <t>プラス ファイル 年組氏名 スクール れんらく袋 A4 フタ・マチ付 ネイビー 79741 1冊</t>
  </si>
  <si>
    <t>プラス ファイル 年組氏名 スクール れんらく袋 A4 フタ・マチ付 レッド 79743 1冊</t>
  </si>
  <si>
    <t>プラス ファイル 年組氏名 スクール れんらく袋 A4 フタ・マチ付 グリーン 79746 1冊</t>
  </si>
  <si>
    <t>プラス ファイル 年組氏名 スクール れんらく袋 A4ヨコ フタ・マチ付 ネイビー 79831 1冊</t>
  </si>
  <si>
    <t>プラス ファイル 年組氏名 スクール れんらく袋 A4ヨコ フタ・マチ付 レッド 79833 1冊</t>
  </si>
  <si>
    <t>プラス ファイル 年組氏名 スクール れんらく袋 A4ヨコ フタ・マチ付 グリーン 79836 1冊</t>
  </si>
  <si>
    <t>プラス クリアファイル 通知表ファイル A4 6ポケット タテ入れ ブルー 79871 1冊</t>
  </si>
  <si>
    <t>プラス クリアファイル 通知表ファイル A4 6ポケット タテ入れ ライトブルー 79872 1冊</t>
  </si>
  <si>
    <t>プラス クリアファイル 通知表ファイル A4 6ポケット タテ入れ グリーン 79873 1冊</t>
  </si>
  <si>
    <t>プラス クリアファイル 通知表ファイル A4 6ポケット タテ入れ イエロー 79874 1冊</t>
  </si>
  <si>
    <t>プラス クリアファイル 通知表ファイル A4 6ポケット タテ入れ オレンジ 79875 1冊</t>
  </si>
  <si>
    <t>プラス クリアファイル 通知表ファイル A4 6ポケット タテ入れ レッド 79876 1冊</t>
  </si>
  <si>
    <t>プラス クリアファイル 通知表ファイル A4 6ポケット タテ入れ ホワイト 79877 1冊</t>
  </si>
  <si>
    <t>プラス 通知表ファイル BL 78761 1セット(10冊入)</t>
  </si>
  <si>
    <t>【アウトレット】プラス 通知表ファイル LBL 78762 1セット(10冊入)</t>
  </si>
  <si>
    <t>【アウトレット】プラス 通知表ファイル GR 78763 1セット(10冊入)</t>
  </si>
  <si>
    <t>プラス 通知表ファイル YL 78764 1セット(10冊入)</t>
  </si>
  <si>
    <t>【アウトレット】プラス 通知表ファイル OR 78765 1セット(10冊入)</t>
  </si>
  <si>
    <t>【アウトレット】プラス 通知表ファイル RD 78766 1セット(10冊入)</t>
  </si>
  <si>
    <t>プラス 通知表ファイル WH 78767 1セット(10冊)</t>
  </si>
  <si>
    <t>プラス クリアファイル 通知表ファイル A4 12ポケット ヨコ入れ ライトブルー 79922 1冊</t>
  </si>
  <si>
    <t>プラス クリアファイル 通知表ファイル A4 12ポケット ヨコ入れ レッド 79926 1冊</t>
  </si>
  <si>
    <t>プラス クリアファイル 通知表ファイル A4 12ポケットヨコ入れ ホワイト 79927 1冊</t>
  </si>
  <si>
    <t>プラス 通知表ホルダー ネイビー 79721 1枚</t>
  </si>
  <si>
    <t>プラス 通知表ホルダー パープル 79722 1枚</t>
  </si>
  <si>
    <t>プラス 通知表ホルダー ピンク 79723 1枚</t>
  </si>
  <si>
    <t>プラス 通知表ホルダー イエロー 79724 1枚</t>
  </si>
  <si>
    <t>プラス 通知表ホルダー グリーン 79725 1枚</t>
  </si>
  <si>
    <t>プラス 通知表ホルダー クリア 79726 1枚</t>
  </si>
  <si>
    <t>プラス 通知表ホルダー A4 FL-200SF NB 1冊 1セット(1冊×5)（直送品）</t>
  </si>
  <si>
    <t>プラス 通知表ホルダー A4 FL-200SF PP 1冊 1セット(1冊×5)（直送品）</t>
  </si>
  <si>
    <t>プラス 通知表ホルダー A4 FL-200SF PK 1冊 1セット(1冊×5)（直送品）</t>
  </si>
  <si>
    <t>プラス 通知表ホルダー A4 FL-200SF YL 1冊 1セット(1冊×5)（直送品）</t>
  </si>
  <si>
    <t>プラス 通知表ホルダー A4 FL-200SF GR 1冊 1セット(1冊×5)（直送品）</t>
  </si>
  <si>
    <t>プラス 通知表ホルダー A4 FL-200SF CR 1冊 1セット(1冊×5)（直送品）</t>
  </si>
  <si>
    <t>プラス 名刺ホルダー FL-107NC 30mm ダークグレー DGY 1冊</t>
  </si>
  <si>
    <t>プラス PSF名刺バイブル6 84244 1冊</t>
  </si>
  <si>
    <t>プラス 名刺ホルダー リフィール 10枚 NC-101 1冊</t>
  </si>
  <si>
    <t>プラス リフィールA4 30穴 100枚 RE-142RW-100P 1パック</t>
  </si>
  <si>
    <t>プラス リフィールA4 2穴 100枚 RE-172RW-100P 1パック</t>
  </si>
  <si>
    <t>プラス リフィールA4 30穴2P RE-143RW-10P 1パック(10枚)</t>
  </si>
  <si>
    <t>プラス リフィール30穴 名刺用 RE-145RW-10P 1セット(10枚×2パック)</t>
  </si>
  <si>
    <t>プラス クリアーホルダー FL-159HO パンチ穴付 CL 1セット(10枚)</t>
  </si>
  <si>
    <t>プラス クリアーホルダー FL-153HO A4S 4穴 CL 1枚</t>
  </si>
  <si>
    <t>プラス クリアーホルダー A4S 4穴見出 FL-154HO CL 1枚</t>
  </si>
  <si>
    <t>プラス　クリアーホルダー名刺スリット入り　A4　89739　1袋（10枚入）</t>
  </si>
  <si>
    <t>プラス ぴったりすっきりホルダー 洋形2号 クリアー 透明 2パック（10枚入×2） ファイル 88259</t>
  </si>
  <si>
    <t>プラス SWカモフラージュホルダー A4 ブルー 青 1袋（5枚入） ファイル 89421</t>
  </si>
  <si>
    <t>プラス カモフラージュホルダー 薄青 FL-127CH-5P 1パック(5冊)</t>
  </si>
  <si>
    <t>プラス カモフラージュホルダー ライトグリーン FL-127CH-5P 3パック（直送品）</t>
  </si>
  <si>
    <t>プラス カモフラージュホルダー オレンジ FL-127CH-5P 3パック（直送品）</t>
  </si>
  <si>
    <t>プラス SWカモフラージュホルダー ピンク A4 89425 1袋（5枚入）</t>
  </si>
  <si>
    <t>プラス SWカモフラージュホルダー A4 クリアー 透明 1袋（5枚入） ファイル 89430</t>
  </si>
  <si>
    <t>プラス カモフラジュホルダー仕切付 FL-129CH 青 1冊</t>
  </si>
  <si>
    <t>プラス カモフラジュホルダー仕切付 桃 FL-129CH 1冊</t>
  </si>
  <si>
    <t>プラス SW仕切り付H3ポケット・カモフラージュ BL FL-131CH 1個</t>
  </si>
  <si>
    <t>プラス 仕切付カモフラージュホルダー 緑 FL-131CH 1冊</t>
  </si>
  <si>
    <t>プラス 仕切付カモフラージュホルダー 橙 FL-131CH 1冊</t>
  </si>
  <si>
    <t>プラス 仕切付カモフラージュホルダー 桃 FL-131CH 1冊</t>
  </si>
  <si>
    <t>プラス 仕切付カモフラージュホルダー 白 FL-131CH 1冊</t>
  </si>
  <si>
    <t>プラス　クリップ付ボードホルダー　カモフラージュ　ブルー　FL-130CH（89481）　1枚</t>
  </si>
  <si>
    <t>プラス　クリップ付ボードホルダー　カモフラージュ　ピンク　FL-130CH（89482）　1枚</t>
  </si>
  <si>
    <t>プラス　クリップ付ボードホルダー　カモフラージュ　ホワイト　FL-130CH（89483）　1枚</t>
  </si>
  <si>
    <t>プラス　クリップ付ボードホルダー　カモフラージュ　マリンブルー　FL-130CH（89484）　1枚</t>
  </si>
  <si>
    <t>プラス ブラインドホルダー A4 グリーン FL-109CH GR 10枚</t>
  </si>
  <si>
    <t>プラス ブラインドホルダー FL-109CH A4 オレンジ OR 1枚</t>
  </si>
  <si>
    <t>プラス ブラインドホルダー A4 レッド FL-109CH RE 10枚（直送品）</t>
  </si>
  <si>
    <t>プラス ブラインドホルダー A4 ホワイト FL-109CH WH 10枚（直送品）</t>
  </si>
  <si>
    <t>プラス SW仕切り付H 111CH BL FL-111CH 1枚</t>
  </si>
  <si>
    <t>プラス SW仕切り付H 3P 111CH OR FL-111CH 1枚</t>
  </si>
  <si>
    <t>プラス SW仕切り付H 3P 111CH PK FL-111CH 1枚</t>
  </si>
  <si>
    <t>プラス SWPエンベロープタテ CL 118CH FL-118CH 1枚</t>
  </si>
  <si>
    <t>プラス　シンプルワーク　ポケット付エンベロープマチ付　A4タテ　ブルー　88271　1袋（10枚入）</t>
  </si>
  <si>
    <t>プラス ポケット付エンベロープ 縦型マチ付 赤 FL-120CH RE 1セット(5枚)（直送品）</t>
  </si>
  <si>
    <t>プラス　シンプルワーク　ポケット付エンベロープマチ付　A4タテ　ホワイト　88273　1袋（10枚入）</t>
  </si>
  <si>
    <t>プラス シンプルワーク ポケット付エンベロープ（マチ付） A3ヨコ ブルー 青 1袋（10枚入） ファイル 88576</t>
  </si>
  <si>
    <t>プラス シンプルワーク ポケット付エンベロープ（マチ付） A3ヨコ クリアー 透明 1袋（10枚入） ファイル 88577</t>
  </si>
  <si>
    <t>プラス ポケット付エンベロープ 横型マチ付 赤 FL-121CH RE 1セット(5枚)（直送品）</t>
  </si>
  <si>
    <t>プラス　シンプルワーク　ポケット付エンベロープマチ付　A4ヨコ　ホワイト　88573　1袋（10枚入）</t>
  </si>
  <si>
    <t>プラス おりたためるA3クリップボード+ Dグレー FL-501CP 1冊</t>
  </si>
  <si>
    <t>プラス おりたためるA3クリップボード+ レッド FL-501CP 1冊</t>
  </si>
  <si>
    <t>プラス おりたためるA4クリップボード+ Dグレー FL-502CP 1冊</t>
  </si>
  <si>
    <t>プラス おりたためるA4クリップボード+ ホワイト FL-502CP 1冊</t>
  </si>
  <si>
    <t>プラス おりたためるA4クリップボード+ レッド FL-502CP 1冊</t>
  </si>
  <si>
    <t>プラス おりたためるクリップボード+ 専用紐 FL-505CP 1個</t>
  </si>
  <si>
    <t>プラス　カラーインデックスシート　5山1セット　ＦＬー103ＣＨ　1セット（20枚：5枚入×4袋）</t>
  </si>
  <si>
    <t>プラス ボックスファイル A4ヨコ 背幅100mm ダークグレー 87528</t>
  </si>
  <si>
    <t>プラス ボックスファイル A4ヨコ 背幅100mm ライトグレー 87529</t>
  </si>
  <si>
    <t>プラス　ボックスファイル　A4ヨコ　背幅100mm　グリーン　緑　87530</t>
  </si>
  <si>
    <t>プラス ボックスファイル A4ヨコ 背幅100mm ブルー 青 87531</t>
  </si>
  <si>
    <t>プラス　ボックスファイル　A4ヨコ　背幅100mm　ピンク　87532</t>
  </si>
  <si>
    <t>プラス ダンボックス A4E ライトグレー FL-021BF LGY 1冊</t>
  </si>
  <si>
    <t>プラス ダンボックス A4E ブルー FL-021BF BL 1冊</t>
  </si>
  <si>
    <t>プラス サンプルボックス　ＢＦ10ーＡ4ー150　Ａ4　濃 BF10-A4-150 DGY 1冊</t>
  </si>
  <si>
    <t>プラス サンプルボックス　ＢＦ10ーＡ4ー150　Ａ4　淡 BF10-A4-150 LGY 1冊</t>
  </si>
  <si>
    <t>プラス ボックスファイル（サンプルボックス） ダークグレー 書類収納 BF10A4-200 87118</t>
  </si>
  <si>
    <t>プラス ボックスファイル（サンプルボックス） ライトグレー 書類収納 BF10A4-200 87117</t>
  </si>
  <si>
    <t>プラス ストレージボックス ネイビー DN-245 1個</t>
  </si>
  <si>
    <t>プラス ストレージボックス グレー DN-245 1個</t>
  </si>
  <si>
    <t>プラス A式文書保存箱 A4 書類収納 ダンボール 20枚 40063</t>
  </si>
  <si>
    <t>プラス　A式文書保存箱　A4/B4　書類収納　ダンボール　20枚　40062</t>
  </si>
  <si>
    <t>プラス ワンタッチストッカー A2 DN-112 1個</t>
  </si>
  <si>
    <t>プラス ワンタッチストッカー B1 DN-121 1個</t>
  </si>
  <si>
    <t>プラス ワンタッチストッカー B2 DN-122 1個</t>
  </si>
  <si>
    <t>プラス ワンタッチストッカー C2 DN-132 1個</t>
  </si>
  <si>
    <t>文書保存箱 ワンタッチストッカー　D型フタ式　B4／A3用　プラス　2枚</t>
  </si>
  <si>
    <t>プラス IJ粘着フィルム 透明 A4 10枚 IT-324TF-C 1冊</t>
  </si>
  <si>
    <t>プラス 鉛筆削り ブルー FS-150 1台</t>
  </si>
  <si>
    <t>プラス クリアファイル 通知表ファイル A4 6ポケット タテ入れ ブルー 79871 1箱(1袋(10冊入)×10)</t>
  </si>
  <si>
    <t>プラス クリアファイル 通知表ファイル A4 6ポケット タテ入れ ライトブルー 79872 1箱(1袋(10冊入)×10)</t>
  </si>
  <si>
    <t>プラス クリアファイル 通知表ファイル A4 6ポケット タテ入れ グリーン 79873 1箱(1袋(10冊入)×10)</t>
  </si>
  <si>
    <t>プラス クリアファイル 通知表ファイル A4 6ポケット タテ入れ イエロー 79874 1箱（1袋（10冊入）×10）</t>
  </si>
  <si>
    <t>プラス クリアファイル 通知表ファイル A4 6ポケット タテ入れ オレンジ 79875 1箱(1袋(10冊入)×10)</t>
  </si>
  <si>
    <t>プラス クリアファイル 通知表ファイル A4 6ポケット タテ入れ レッド 79876 1箱(1袋(10冊入)×10)</t>
  </si>
  <si>
    <t>プラス クリアファイル 通知表ファイル A4 6ポケット タテ入れ ホワイト 79877 1箱(1袋(10冊入)×10)</t>
  </si>
  <si>
    <t>プラス クリアファイル 通知表ファイル A4 12ポケット ヨコ入れ ライトブルー 79922 1箱(1袋(10冊入)×10)</t>
  </si>
  <si>
    <t>プラス クリアファイル 通知表ファイル A4 12ポケット ヨコ入れ レッド 79926 1箱(1袋(10冊入)×10)</t>
  </si>
  <si>
    <t>プラス クリアファイル 通知表ファイル A4 12ポケットヨコ入れ ホワイト 79927 1箱(1袋(10冊入)×10)</t>
  </si>
  <si>
    <t>プラス 通知表ホルダー ネイビー 79721 1セット(1枚×10)</t>
  </si>
  <si>
    <t>プラス 通知表ホルダー パープル 79722 1セット(1枚×10)</t>
  </si>
  <si>
    <t>プラス 通知表ホルダー ピンク 79723 1セット(1枚×10)</t>
  </si>
  <si>
    <t>プラス 通知表ホルダー イエロー 79724 1セット(1枚×10)</t>
  </si>
  <si>
    <t>プラス 通知表ホルダー グリーン 79725 1セット(1枚×10)</t>
  </si>
  <si>
    <t>プラス 通知表ホルダー クリア 79726 1セット(1枚×10)</t>
  </si>
  <si>
    <t>プラス SW仕切り付H 3P 111CH PK FL-111CH 1セット(5枚)</t>
  </si>
  <si>
    <t>プラス　シンプルワーク　ポケット付エンベロープマチ付　A4タテ　ブルー　88271　1セット（50枚：10枚入×5）</t>
  </si>
  <si>
    <t>プラス ボックスファイル A4ヨコ 背幅100mm ダークグレー 10冊 業務用パック 87528</t>
  </si>
  <si>
    <t>プラス ボックスファイル A4ヨコ 背幅100mm ライトグレー 10冊 業務用パック 87529</t>
  </si>
  <si>
    <t>プラス　ボックスファイル　A4ヨコ　背幅100mm　グリーン　緑　10冊　業務用パック　87530</t>
  </si>
  <si>
    <t>プラス ボックスファイル A4ヨコ 背幅100mm ブルー 青 10冊 業務用パック 87531</t>
  </si>
  <si>
    <t>プラス　ボックスファイル　A4ヨコ　背幅100mm　ピンク　87532　1袋（10冊入）　業務用パック</t>
  </si>
  <si>
    <t>KK94144</t>
  </si>
  <si>
    <t>1セット(20パック)</t>
  </si>
  <si>
    <t>012825</t>
  </si>
  <si>
    <t>1本</t>
  </si>
  <si>
    <t>RK34613</t>
  </si>
  <si>
    <t>1個</t>
  </si>
  <si>
    <t>RK34482</t>
  </si>
  <si>
    <t>RK34486</t>
  </si>
  <si>
    <t>RK34487</t>
  </si>
  <si>
    <t>RK34604</t>
  </si>
  <si>
    <t>RK34485</t>
  </si>
  <si>
    <t>1パック（2個入）</t>
  </si>
  <si>
    <t>1201291</t>
  </si>
  <si>
    <t>1箱（5000本</t>
  </si>
  <si>
    <t>8234150</t>
  </si>
  <si>
    <t>013009</t>
  </si>
  <si>
    <t>1箱（2000本</t>
  </si>
  <si>
    <t>013018</t>
  </si>
  <si>
    <t>012979</t>
  </si>
  <si>
    <t>012988</t>
  </si>
  <si>
    <t>012997</t>
  </si>
  <si>
    <t>J086365</t>
  </si>
  <si>
    <t>J086366</t>
  </si>
  <si>
    <t>2716901</t>
  </si>
  <si>
    <t>2711558</t>
  </si>
  <si>
    <t>J086369</t>
  </si>
  <si>
    <t>2711351</t>
  </si>
  <si>
    <t>2342131</t>
  </si>
  <si>
    <t>EK12531</t>
  </si>
  <si>
    <t>EK12551</t>
  </si>
  <si>
    <t>EK12529</t>
  </si>
  <si>
    <t>EK12530</t>
  </si>
  <si>
    <t>EK12527</t>
  </si>
  <si>
    <t>EK12544</t>
  </si>
  <si>
    <t>XU64203</t>
  </si>
  <si>
    <t>1冊</t>
  </si>
  <si>
    <t>RJ26531</t>
  </si>
  <si>
    <t>P826844</t>
  </si>
  <si>
    <t>1690702</t>
  </si>
  <si>
    <t>9346642</t>
  </si>
  <si>
    <t>AK04797</t>
  </si>
  <si>
    <t>9346750</t>
  </si>
  <si>
    <t>U430941</t>
  </si>
  <si>
    <t>1690749</t>
  </si>
  <si>
    <t>XA63711</t>
  </si>
  <si>
    <t>XA63553</t>
  </si>
  <si>
    <t>XA63549</t>
  </si>
  <si>
    <t>XA63712</t>
  </si>
  <si>
    <t>XA63551</t>
  </si>
  <si>
    <t>XA63552</t>
  </si>
  <si>
    <t>XA63546</t>
  </si>
  <si>
    <t>XA63548</t>
  </si>
  <si>
    <t>XA63547</t>
  </si>
  <si>
    <t>RP92147</t>
  </si>
  <si>
    <t>RP92113</t>
  </si>
  <si>
    <t>RP92118</t>
  </si>
  <si>
    <t>RP92117</t>
  </si>
  <si>
    <t>RP92112</t>
  </si>
  <si>
    <t>RP92119</t>
  </si>
  <si>
    <t>RP92116</t>
  </si>
  <si>
    <t>N772194</t>
  </si>
  <si>
    <t>1セット（10冊入）</t>
  </si>
  <si>
    <t>N772195</t>
  </si>
  <si>
    <t>N772196</t>
  </si>
  <si>
    <t>N772197</t>
  </si>
  <si>
    <t>N772198</t>
  </si>
  <si>
    <t>N772199</t>
  </si>
  <si>
    <t>N772200</t>
  </si>
  <si>
    <t>1セット（10冊）</t>
  </si>
  <si>
    <t>RP92134</t>
  </si>
  <si>
    <t>RP92120</t>
  </si>
  <si>
    <t>RP92139</t>
  </si>
  <si>
    <t>UK44099</t>
  </si>
  <si>
    <t>1枚</t>
  </si>
  <si>
    <t>UK44057</t>
  </si>
  <si>
    <t>UK44098</t>
  </si>
  <si>
    <t>UK44107</t>
  </si>
  <si>
    <t>UK44096</t>
  </si>
  <si>
    <t>UK44054</t>
  </si>
  <si>
    <t>UH44224</t>
  </si>
  <si>
    <t>1セット(1冊×5)</t>
  </si>
  <si>
    <t>UH43865</t>
  </si>
  <si>
    <t>UH44213</t>
  </si>
  <si>
    <t>UH44205</t>
  </si>
  <si>
    <t>UH44193</t>
  </si>
  <si>
    <t>UH43892</t>
  </si>
  <si>
    <t>P826914</t>
  </si>
  <si>
    <t>1200679</t>
  </si>
  <si>
    <t>AX33406</t>
  </si>
  <si>
    <t>1パック</t>
  </si>
  <si>
    <t>J081127</t>
  </si>
  <si>
    <t>UK25315</t>
  </si>
  <si>
    <t>EX60615</t>
  </si>
  <si>
    <t>1パック（10枚）</t>
  </si>
  <si>
    <t>011505</t>
  </si>
  <si>
    <t>1袋（10枚入）</t>
  </si>
  <si>
    <t>J081129</t>
  </si>
  <si>
    <t>1セット（10枚×2パック）</t>
  </si>
  <si>
    <t>017222</t>
  </si>
  <si>
    <t>J080912</t>
  </si>
  <si>
    <t>1セット（10枚）</t>
  </si>
  <si>
    <t>EK40062</t>
  </si>
  <si>
    <t>EX60688</t>
  </si>
  <si>
    <t>7893945</t>
  </si>
  <si>
    <t>1セット（20枚</t>
  </si>
  <si>
    <t>EE73528</t>
  </si>
  <si>
    <t>2パック（10枚入×2）</t>
  </si>
  <si>
    <t>1979327</t>
  </si>
  <si>
    <t>1袋（5枚入）</t>
  </si>
  <si>
    <t>EX60647</t>
  </si>
  <si>
    <t>1パック（5冊）</t>
  </si>
  <si>
    <t>J086281</t>
  </si>
  <si>
    <t>1セット（15冊</t>
  </si>
  <si>
    <t>J086282</t>
  </si>
  <si>
    <t>1979345</t>
  </si>
  <si>
    <t>1979336</t>
  </si>
  <si>
    <t>XE55764</t>
  </si>
  <si>
    <t>RX45267</t>
  </si>
  <si>
    <t>N772318</t>
  </si>
  <si>
    <t>XJ58517</t>
  </si>
  <si>
    <t>XJ58471</t>
  </si>
  <si>
    <t>XJ58472</t>
  </si>
  <si>
    <t>U430958</t>
  </si>
  <si>
    <t>2717417</t>
  </si>
  <si>
    <t>2717426</t>
  </si>
  <si>
    <t>2753683</t>
  </si>
  <si>
    <t>2753692</t>
  </si>
  <si>
    <t>J086257</t>
  </si>
  <si>
    <t>10枚</t>
  </si>
  <si>
    <t>EK40059</t>
  </si>
  <si>
    <t>J086260</t>
  </si>
  <si>
    <t>1セット(10枚)</t>
  </si>
  <si>
    <t>J086261</t>
  </si>
  <si>
    <t>EX61102</t>
  </si>
  <si>
    <t>XJ59029</t>
  </si>
  <si>
    <t>XA62066</t>
  </si>
  <si>
    <t>N774595</t>
  </si>
  <si>
    <t>9483383</t>
  </si>
  <si>
    <t>J086269</t>
  </si>
  <si>
    <t>1セット(5枚)</t>
  </si>
  <si>
    <t>9483697</t>
  </si>
  <si>
    <t>P678655</t>
  </si>
  <si>
    <t>P678656</t>
  </si>
  <si>
    <t>J086273</t>
  </si>
  <si>
    <t>9484353</t>
  </si>
  <si>
    <t>U430964</t>
  </si>
  <si>
    <t>U430968</t>
  </si>
  <si>
    <t>U430966</t>
  </si>
  <si>
    <t>U430967</t>
  </si>
  <si>
    <t>U430971</t>
  </si>
  <si>
    <t>EX61015</t>
  </si>
  <si>
    <t>1228992</t>
  </si>
  <si>
    <t>016074</t>
  </si>
  <si>
    <t>016083</t>
  </si>
  <si>
    <t>016092</t>
  </si>
  <si>
    <t>016109</t>
  </si>
  <si>
    <t>016118</t>
  </si>
  <si>
    <t>EX60676</t>
  </si>
  <si>
    <t>EX60672</t>
  </si>
  <si>
    <t>8248128</t>
  </si>
  <si>
    <t>8248100</t>
  </si>
  <si>
    <t>027962</t>
  </si>
  <si>
    <t>027971</t>
  </si>
  <si>
    <t>8236029</t>
  </si>
  <si>
    <t>8248914</t>
  </si>
  <si>
    <t>384750</t>
  </si>
  <si>
    <t>1箱（20枚入）</t>
  </si>
  <si>
    <t>384375</t>
  </si>
  <si>
    <t>8236056</t>
  </si>
  <si>
    <t>AK04750</t>
  </si>
  <si>
    <t>8236074</t>
  </si>
  <si>
    <t>8234688</t>
  </si>
  <si>
    <t>9831119</t>
  </si>
  <si>
    <t>1セット（2個入）</t>
  </si>
  <si>
    <t>J080945</t>
  </si>
  <si>
    <t>8253478</t>
  </si>
  <si>
    <t>1台</t>
  </si>
  <si>
    <t>RP92286</t>
  </si>
  <si>
    <t>1箱（1袋（10冊入）×10）</t>
  </si>
  <si>
    <t>RP92293</t>
  </si>
  <si>
    <t>RP92291</t>
  </si>
  <si>
    <t>RP92288</t>
  </si>
  <si>
    <t>RP92318</t>
  </si>
  <si>
    <t>RP92320</t>
  </si>
  <si>
    <t>RP92317</t>
  </si>
  <si>
    <t>RP92282</t>
  </si>
  <si>
    <t>RP92284</t>
  </si>
  <si>
    <t>RP92287</t>
  </si>
  <si>
    <t>UK44116</t>
  </si>
  <si>
    <t>1セット（1枚×10）</t>
  </si>
  <si>
    <t>UK44125</t>
  </si>
  <si>
    <t>UK44138</t>
  </si>
  <si>
    <t>UK44128</t>
  </si>
  <si>
    <t>UK44133</t>
  </si>
  <si>
    <t>UK44142</t>
  </si>
  <si>
    <t>N983325</t>
  </si>
  <si>
    <t>1セット（5枚）</t>
  </si>
  <si>
    <t>9483392</t>
  </si>
  <si>
    <t>1セット（50枚</t>
  </si>
  <si>
    <t>550592</t>
  </si>
  <si>
    <t>1袋（10冊入）</t>
  </si>
  <si>
    <t>552102</t>
  </si>
  <si>
    <t>550609</t>
  </si>
  <si>
    <t>552096</t>
  </si>
  <si>
    <t>550618</t>
  </si>
  <si>
    <t>5月売価</t>
    <rPh sb="1" eb="2">
      <t>ガツ</t>
    </rPh>
    <rPh sb="2" eb="4">
      <t>バイカ</t>
    </rPh>
    <phoneticPr fontId="2"/>
  </si>
  <si>
    <t>プラス　スーパークリーナー　スプレー式　シールはがし・落書き消し　28055</t>
  </si>
  <si>
    <t>プラス ホッチキス針NO・10SSー010M 30120 1箱(5000本:100本つ</t>
  </si>
  <si>
    <t>プラス　クリアーファイル（差替式）用リフィル　4ポケット　87444　1袋（10枚入）</t>
  </si>
  <si>
    <t>プラス リング式クリアーファイルリフィル A4タテ ファイル用ポケット 1袋（10枚入） 92372</t>
  </si>
  <si>
    <t>-</t>
    <phoneticPr fontId="2"/>
  </si>
  <si>
    <t>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</si>
</sst>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%"/>
    <numFmt numFmtId="178" formatCode="m/d;@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3" borderId="4" xfId="0" applyFill="1" applyBorder="1">
      <alignment vertical="center"/>
    </xf>
    <xf numFmtId="176" fontId="0" fillId="4" borderId="4" xfId="0" applyNumberFormat="1" applyFill="1" applyBorder="1">
      <alignment vertical="center"/>
    </xf>
    <xf numFmtId="0" fontId="0" fillId="6" borderId="3" xfId="0" applyFill="1" applyBorder="1">
      <alignment vertical="center"/>
    </xf>
    <xf numFmtId="178" fontId="0" fillId="0" borderId="0" xfId="0" applyNumberFormat="1">
      <alignment vertical="center"/>
    </xf>
    <xf numFmtId="0" fontId="0" fillId="2" borderId="19" xfId="0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77" fontId="0" fillId="0" borderId="0" xfId="0" applyNumberFormat="1">
      <alignment vertical="center"/>
    </xf>
  </cellXfs>
  <cellStyles count="1">
    <cellStyle name="標準" xfId="0" builtinId="0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M219"/>
  <sheetViews>
    <sheetView tabSelected="1" zoomScale="90" zoomScaleNormal="90" workbookViewId="0">
      <pane xSplit="7" ySplit="5" topLeftCell="H199" activePane="bottomRight" state="frozen"/>
      <selection pane="topRight" activeCell="G1" sqref="G1"/>
      <selection pane="bottomLeft" activeCell="A5" sqref="A5"/>
      <selection pane="bottomRight" activeCell="B219" sqref="B219"/>
    </sheetView>
  </sheetViews>
  <sheetFormatPr defaultRowHeight="18.75" outlineLevelCol="1" x14ac:dyDescent="0.4"/>
  <cols>
    <col min="6" max="6" width="48.375" customWidth="1"/>
    <col min="7" max="7" width="15.5" bestFit="1" customWidth="1"/>
    <col min="8" max="9" width="7.5" bestFit="1" customWidth="1"/>
    <col min="10" max="11" width="7.5" hidden="1" customWidth="1" outlineLevel="1"/>
    <col min="12" max="12" width="7.625" customWidth="1" collapsed="1"/>
    <col min="13" max="16" width="7.625" customWidth="1"/>
    <col min="17" max="21" width="7.625" hidden="1" customWidth="1" outlineLevel="1"/>
    <col min="22" max="22" width="7.625" customWidth="1" collapsed="1"/>
    <col min="23" max="25" width="7.625" customWidth="1"/>
    <col min="26" max="26" width="4.375" customWidth="1" collapsed="1"/>
    <col min="27" max="35" width="7.625" customWidth="1"/>
    <col min="36" max="38" width="7.625" hidden="1" customWidth="1" outlineLevel="1"/>
    <col min="39" max="39" width="7.625" customWidth="1" collapsed="1"/>
    <col min="40" max="41" width="7.625" customWidth="1"/>
    <col min="42" max="47" width="7.625" customWidth="1" outlineLevel="1"/>
    <col min="48" max="51" width="7.625" customWidth="1"/>
    <col min="52" max="52" width="16.25" customWidth="1"/>
    <col min="53" max="53" width="8.625" customWidth="1"/>
    <col min="54" max="61" width="7.625" customWidth="1"/>
  </cols>
  <sheetData>
    <row r="1" spans="1:65" x14ac:dyDescent="0.4">
      <c r="C1" s="29" t="s">
        <v>46</v>
      </c>
      <c r="V1" s="41" t="s">
        <v>43</v>
      </c>
      <c r="W1" s="42"/>
      <c r="X1" s="42"/>
      <c r="Y1" s="43"/>
    </row>
    <row r="2" spans="1:65" x14ac:dyDescent="0.4">
      <c r="C2" s="8" t="s">
        <v>30</v>
      </c>
      <c r="D2" s="9" t="s">
        <v>31</v>
      </c>
      <c r="E2" s="9" t="s">
        <v>32</v>
      </c>
      <c r="F2" s="10"/>
      <c r="G2" s="10"/>
      <c r="H2" s="32"/>
      <c r="I2" s="32"/>
      <c r="J2" s="38" t="s">
        <v>33</v>
      </c>
      <c r="K2" s="40"/>
      <c r="L2" s="38" t="s">
        <v>2</v>
      </c>
      <c r="M2" s="39"/>
      <c r="N2" s="39"/>
      <c r="O2" s="40"/>
      <c r="P2" s="11"/>
      <c r="Q2" s="31"/>
      <c r="R2" s="31"/>
      <c r="S2" s="31"/>
      <c r="T2" s="31"/>
      <c r="U2" s="31"/>
      <c r="V2" s="23"/>
      <c r="W2" s="24" t="s">
        <v>36</v>
      </c>
      <c r="X2" s="24"/>
      <c r="Y2" s="25" t="s">
        <v>36</v>
      </c>
      <c r="Z2" s="10"/>
      <c r="AA2" s="9" t="s">
        <v>41</v>
      </c>
      <c r="AB2" s="11"/>
      <c r="AC2" s="11"/>
      <c r="AD2" s="11"/>
      <c r="AE2" s="11"/>
      <c r="AF2" s="11"/>
      <c r="AG2" s="22" t="s">
        <v>44</v>
      </c>
      <c r="AH2" s="11"/>
      <c r="AI2" s="11"/>
      <c r="AJ2" s="27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>
        <v>51</v>
      </c>
      <c r="BD2">
        <v>14</v>
      </c>
      <c r="BE2">
        <v>28</v>
      </c>
    </row>
    <row r="3" spans="1:65" ht="75" x14ac:dyDescent="0.4">
      <c r="A3" s="1" t="s">
        <v>55</v>
      </c>
      <c r="B3" s="1" t="s">
        <v>187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2" t="s">
        <v>370</v>
      </c>
      <c r="I3" s="2" t="s">
        <v>371</v>
      </c>
      <c r="J3" s="12" t="s">
        <v>27</v>
      </c>
      <c r="K3" s="12" t="s">
        <v>28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52</v>
      </c>
      <c r="Q3" s="12" t="s">
        <v>20</v>
      </c>
      <c r="R3" s="12" t="s">
        <v>21</v>
      </c>
      <c r="S3" s="12" t="s">
        <v>53</v>
      </c>
      <c r="T3" s="12" t="s">
        <v>23</v>
      </c>
      <c r="U3" s="12" t="s">
        <v>24</v>
      </c>
      <c r="V3" s="12" t="s">
        <v>3</v>
      </c>
      <c r="W3" s="12" t="s">
        <v>25</v>
      </c>
      <c r="X3" s="2" t="s">
        <v>5</v>
      </c>
      <c r="Y3" s="12" t="s">
        <v>26</v>
      </c>
      <c r="Z3" s="14" t="s">
        <v>6</v>
      </c>
      <c r="AA3" s="20" t="s">
        <v>17</v>
      </c>
      <c r="AB3" s="2" t="s">
        <v>16</v>
      </c>
      <c r="AC3" s="2" t="s">
        <v>47</v>
      </c>
      <c r="AD3" s="12" t="s">
        <v>42</v>
      </c>
      <c r="AE3" s="12" t="s">
        <v>409</v>
      </c>
      <c r="AF3" s="2" t="s">
        <v>16</v>
      </c>
      <c r="AG3" s="13" t="s">
        <v>34</v>
      </c>
      <c r="AH3" s="2" t="s">
        <v>16</v>
      </c>
      <c r="AI3" s="2" t="s">
        <v>35</v>
      </c>
      <c r="AJ3" s="26" t="s">
        <v>37</v>
      </c>
      <c r="AK3" s="12" t="s">
        <v>38</v>
      </c>
      <c r="AL3" s="12" t="s">
        <v>39</v>
      </c>
      <c r="AM3" s="12" t="s">
        <v>29</v>
      </c>
      <c r="AN3" s="12" t="s">
        <v>40</v>
      </c>
      <c r="AO3" s="12" t="s">
        <v>18</v>
      </c>
      <c r="AP3" s="12" t="s">
        <v>19</v>
      </c>
      <c r="AQ3" s="12" t="s">
        <v>20</v>
      </c>
      <c r="AR3" s="12" t="s">
        <v>21</v>
      </c>
      <c r="AS3" s="12" t="s">
        <v>22</v>
      </c>
      <c r="AT3" s="12" t="s">
        <v>23</v>
      </c>
      <c r="AU3" s="12" t="s">
        <v>24</v>
      </c>
      <c r="AV3" s="2" t="s">
        <v>11</v>
      </c>
      <c r="AW3" s="2" t="s">
        <v>12</v>
      </c>
      <c r="AX3" s="2" t="s">
        <v>13</v>
      </c>
      <c r="AY3" s="2" t="s">
        <v>14</v>
      </c>
      <c r="AZ3" s="12" t="s">
        <v>45</v>
      </c>
      <c r="BA3" s="12" t="s">
        <v>57</v>
      </c>
      <c r="BB3" s="2" t="s">
        <v>786</v>
      </c>
      <c r="BC3" s="2" t="s">
        <v>15</v>
      </c>
      <c r="BD3" s="18" t="s">
        <v>48</v>
      </c>
      <c r="BE3" s="18" t="s">
        <v>49</v>
      </c>
      <c r="BF3" s="15" t="s">
        <v>56</v>
      </c>
      <c r="BG3" s="37" t="s">
        <v>411</v>
      </c>
      <c r="BH3" s="30" t="s">
        <v>50</v>
      </c>
      <c r="BI3" t="s">
        <v>51</v>
      </c>
      <c r="BJ3" t="s">
        <v>54</v>
      </c>
      <c r="BL3" t="s">
        <v>791</v>
      </c>
      <c r="BM3" t="s">
        <v>791</v>
      </c>
    </row>
    <row r="4" spans="1:65" x14ac:dyDescent="0.4">
      <c r="A4" s="3">
        <v>1</v>
      </c>
      <c r="B4" s="3">
        <v>1</v>
      </c>
      <c r="C4" s="4" t="s">
        <v>58</v>
      </c>
      <c r="D4" s="4" t="str">
        <f t="shared" ref="D4:D29" si="0">TEXT(C4,"000000")</f>
        <v>5004AR</v>
      </c>
      <c r="E4" s="4" t="s">
        <v>58</v>
      </c>
      <c r="F4" s="4" t="s">
        <v>191</v>
      </c>
      <c r="G4" s="5">
        <v>4977564707354</v>
      </c>
      <c r="H4" s="5">
        <v>5</v>
      </c>
      <c r="I4" s="5" t="str">
        <f t="shared" ref="I4:I55" si="1">C4&amp;H4</f>
        <v>5004AR5</v>
      </c>
      <c r="J4" s="5">
        <v>1</v>
      </c>
      <c r="K4" s="5">
        <v>1</v>
      </c>
      <c r="L4" s="4">
        <v>200</v>
      </c>
      <c r="M4" s="4">
        <v>160</v>
      </c>
      <c r="N4" s="4">
        <v>100</v>
      </c>
      <c r="O4" s="6">
        <f t="shared" ref="O4:O55" si="2">1-N4/M4</f>
        <v>0.375</v>
      </c>
      <c r="P4" s="4" t="s">
        <v>410</v>
      </c>
      <c r="Q4" s="4" t="s">
        <v>410</v>
      </c>
      <c r="R4" s="4" t="s">
        <v>410</v>
      </c>
      <c r="S4" s="4" t="s">
        <v>410</v>
      </c>
      <c r="T4" s="4" t="s">
        <v>410</v>
      </c>
      <c r="U4" s="4" t="s">
        <v>410</v>
      </c>
      <c r="V4" s="4">
        <v>220</v>
      </c>
      <c r="W4" s="4">
        <f t="shared" ref="W4:W55" si="3">IF(Z4="",V4,V4*Z4)</f>
        <v>220</v>
      </c>
      <c r="X4" s="4">
        <v>110</v>
      </c>
      <c r="Y4" s="4">
        <f t="shared" ref="Y4:Y55" si="4">IF(Z4="",X4,X4*Z4)</f>
        <v>110</v>
      </c>
      <c r="Z4" s="4"/>
      <c r="AA4" s="21">
        <f t="shared" ref="AA4:AA55" si="5">ROUND(M4*AO4,0)</f>
        <v>176</v>
      </c>
      <c r="AB4" s="6">
        <f t="shared" ref="AB4:AB55" si="6">1-Y4/AA4</f>
        <v>0.375</v>
      </c>
      <c r="AC4" s="4">
        <v>0</v>
      </c>
      <c r="AD4" s="4">
        <f t="shared" ref="AD4:AD55" si="7">BC4</f>
        <v>200</v>
      </c>
      <c r="AE4" s="4">
        <f t="shared" ref="AE4:AE55" si="8">AD4*AO4</f>
        <v>220.00000000000003</v>
      </c>
      <c r="AF4" s="6">
        <f t="shared" ref="AF4:AF55" si="9">1-Y4/AE4</f>
        <v>0.5</v>
      </c>
      <c r="AG4" s="7">
        <v>176</v>
      </c>
      <c r="AH4" s="6">
        <f t="shared" ref="AH4:AH55" si="10">1-Y4/AG4</f>
        <v>0.375</v>
      </c>
      <c r="AI4" s="4">
        <f t="shared" ref="AI4:AI55" si="11">AG4-Y4</f>
        <v>66</v>
      </c>
      <c r="AJ4" s="28"/>
      <c r="AK4" s="6" t="e">
        <f>1-Y4/AJ4</f>
        <v>#DIV/0!</v>
      </c>
      <c r="AL4" s="4">
        <f>AJ4-Y4</f>
        <v>-110</v>
      </c>
      <c r="AM4" s="6">
        <f t="shared" ref="AM4:AM55" si="12">W4/L4</f>
        <v>1.1000000000000001</v>
      </c>
      <c r="AN4" s="6">
        <f t="shared" ref="AN4:AN55" si="13">AG4/M4</f>
        <v>1.1000000000000001</v>
      </c>
      <c r="AO4" s="6">
        <f t="shared" ref="AO4:AO55" si="14">Y4/N4</f>
        <v>1.1000000000000001</v>
      </c>
      <c r="AP4" s="4" t="str">
        <f t="shared" ref="AP4:AP55" si="15">IFERROR(ROUND($AG4*P4/$M4,0),"-")</f>
        <v>-</v>
      </c>
      <c r="AQ4" s="4" t="str">
        <f t="shared" ref="AQ4:AQ55" si="16">IF(Q4="","-",Q4)</f>
        <v>-</v>
      </c>
      <c r="AR4" s="4" t="str">
        <f t="shared" ref="AR4:AR55" si="17">IF(R4="","-",R4)</f>
        <v>-</v>
      </c>
      <c r="AS4" s="4" t="str">
        <f t="shared" ref="AS4:AS55" si="18">IFERROR(ROUND($AG4*S4/$M4,0),"-")</f>
        <v>-</v>
      </c>
      <c r="AT4" s="4" t="str">
        <f t="shared" ref="AT4:AT55" si="19">IF(T4="","-",T4)</f>
        <v>-</v>
      </c>
      <c r="AU4" s="4" t="str">
        <f t="shared" ref="AU4:AU55" si="20">IF(U4="","-",U4)</f>
        <v>-</v>
      </c>
      <c r="AV4" s="4">
        <v>0</v>
      </c>
      <c r="AW4" s="4" t="s">
        <v>581</v>
      </c>
      <c r="AX4" s="4">
        <v>1</v>
      </c>
      <c r="AY4" s="4">
        <v>20</v>
      </c>
      <c r="AZ4" s="4" t="s">
        <v>582</v>
      </c>
      <c r="BA4" s="4">
        <v>4000</v>
      </c>
      <c r="BB4" s="4">
        <v>4000</v>
      </c>
      <c r="BC4" s="4">
        <f t="shared" ref="BC4:BC55" si="21">IF(AX4="",BB4,AX4/AY4*BB4)</f>
        <v>200</v>
      </c>
      <c r="BD4" s="19">
        <v>4</v>
      </c>
      <c r="BE4" s="19">
        <v>8</v>
      </c>
      <c r="BF4" s="16">
        <v>6</v>
      </c>
      <c r="BG4" s="36">
        <v>46174</v>
      </c>
      <c r="BH4" t="s">
        <v>410</v>
      </c>
      <c r="BI4">
        <v>200</v>
      </c>
      <c r="BJ4" s="4" t="s">
        <v>412</v>
      </c>
      <c r="BK4" s="44"/>
      <c r="BL4" s="44">
        <f>AN4-AO4</f>
        <v>0</v>
      </c>
      <c r="BM4" t="s">
        <v>792</v>
      </c>
    </row>
    <row r="5" spans="1:65" x14ac:dyDescent="0.4">
      <c r="A5" s="3">
        <v>2</v>
      </c>
      <c r="B5" s="3">
        <f>B4+1</f>
        <v>2</v>
      </c>
      <c r="C5" s="4">
        <v>162282</v>
      </c>
      <c r="D5" s="4" t="str">
        <f t="shared" si="0"/>
        <v>162282</v>
      </c>
      <c r="E5" s="4">
        <v>162282</v>
      </c>
      <c r="F5" s="4" t="s">
        <v>192</v>
      </c>
      <c r="G5" s="5">
        <v>4977564111793</v>
      </c>
      <c r="H5" s="5">
        <v>5</v>
      </c>
      <c r="I5" s="5" t="str">
        <f t="shared" si="1"/>
        <v>1622825</v>
      </c>
      <c r="J5" s="5">
        <v>1</v>
      </c>
      <c r="K5" s="5">
        <v>1</v>
      </c>
      <c r="L5" s="4">
        <v>850</v>
      </c>
      <c r="M5" s="4">
        <v>700</v>
      </c>
      <c r="N5" s="4">
        <v>425</v>
      </c>
      <c r="O5" s="6">
        <f t="shared" si="2"/>
        <v>0.3928571428571429</v>
      </c>
      <c r="P5" s="4" t="s">
        <v>410</v>
      </c>
      <c r="Q5" s="4" t="s">
        <v>410</v>
      </c>
      <c r="R5" s="4" t="s">
        <v>410</v>
      </c>
      <c r="S5" s="4" t="s">
        <v>410</v>
      </c>
      <c r="T5" s="4" t="s">
        <v>410</v>
      </c>
      <c r="U5" s="4" t="s">
        <v>410</v>
      </c>
      <c r="V5" s="4">
        <v>1000</v>
      </c>
      <c r="W5" s="4">
        <f t="shared" si="3"/>
        <v>1000</v>
      </c>
      <c r="X5" s="4">
        <v>500</v>
      </c>
      <c r="Y5" s="4">
        <f t="shared" si="4"/>
        <v>500</v>
      </c>
      <c r="Z5" s="4"/>
      <c r="AA5" s="21">
        <f t="shared" si="5"/>
        <v>824</v>
      </c>
      <c r="AB5" s="6">
        <f t="shared" si="6"/>
        <v>0.39320388349514568</v>
      </c>
      <c r="AC5" s="4">
        <v>10.75</v>
      </c>
      <c r="AD5" s="4">
        <f t="shared" si="7"/>
        <v>544</v>
      </c>
      <c r="AE5" s="4">
        <f t="shared" si="8"/>
        <v>640</v>
      </c>
      <c r="AF5" s="6">
        <f t="shared" si="9"/>
        <v>0.21875</v>
      </c>
      <c r="AG5" s="7">
        <v>824</v>
      </c>
      <c r="AH5" s="6">
        <f t="shared" si="10"/>
        <v>0.39320388349514568</v>
      </c>
      <c r="AI5" s="4">
        <f t="shared" si="11"/>
        <v>324</v>
      </c>
      <c r="AJ5" s="28"/>
      <c r="AK5" s="6"/>
      <c r="AL5" s="6"/>
      <c r="AM5" s="6">
        <f t="shared" si="12"/>
        <v>1.1764705882352942</v>
      </c>
      <c r="AN5" s="6">
        <f t="shared" si="13"/>
        <v>1.177142857142857</v>
      </c>
      <c r="AO5" s="6">
        <f t="shared" si="14"/>
        <v>1.1764705882352942</v>
      </c>
      <c r="AP5" s="4" t="str">
        <f t="shared" si="15"/>
        <v>-</v>
      </c>
      <c r="AQ5" s="4" t="str">
        <f t="shared" si="16"/>
        <v>-</v>
      </c>
      <c r="AR5" s="4" t="str">
        <f t="shared" si="17"/>
        <v>-</v>
      </c>
      <c r="AS5" s="4" t="str">
        <f t="shared" si="18"/>
        <v>-</v>
      </c>
      <c r="AT5" s="4" t="str">
        <f t="shared" si="19"/>
        <v>-</v>
      </c>
      <c r="AU5" s="4" t="str">
        <f t="shared" si="20"/>
        <v>-</v>
      </c>
      <c r="AV5" s="4">
        <v>0</v>
      </c>
      <c r="AW5" s="4" t="s">
        <v>583</v>
      </c>
      <c r="AX5" s="4"/>
      <c r="AY5" s="4"/>
      <c r="AZ5" s="4" t="s">
        <v>584</v>
      </c>
      <c r="BA5" s="4">
        <v>517</v>
      </c>
      <c r="BB5" s="4">
        <v>544</v>
      </c>
      <c r="BC5" s="4">
        <f t="shared" si="21"/>
        <v>544</v>
      </c>
      <c r="BD5" s="19">
        <v>4</v>
      </c>
      <c r="BE5" s="19">
        <v>1</v>
      </c>
      <c r="BF5" s="16">
        <v>6</v>
      </c>
      <c r="BG5" s="36">
        <v>46174</v>
      </c>
      <c r="BH5">
        <v>577</v>
      </c>
      <c r="BI5">
        <v>850</v>
      </c>
      <c r="BJ5" s="4" t="s">
        <v>787</v>
      </c>
      <c r="BL5" s="44">
        <f t="shared" ref="BL5:BL56" si="22">AN5-AO5</f>
        <v>6.7226890756288959E-4</v>
      </c>
      <c r="BM5" t="s">
        <v>792</v>
      </c>
    </row>
    <row r="6" spans="1:65" x14ac:dyDescent="0.4">
      <c r="A6" s="3">
        <v>3</v>
      </c>
      <c r="B6" s="3">
        <f t="shared" ref="B6:B69" si="23">B5+1</f>
        <v>3</v>
      </c>
      <c r="C6" s="17" t="s">
        <v>59</v>
      </c>
      <c r="D6" s="4" t="str">
        <f t="shared" si="0"/>
        <v>J230LY</v>
      </c>
      <c r="E6" s="4" t="s">
        <v>59</v>
      </c>
      <c r="F6" s="4" t="s">
        <v>193</v>
      </c>
      <c r="G6" s="5">
        <v>4977564723392</v>
      </c>
      <c r="H6" s="5">
        <v>5</v>
      </c>
      <c r="I6" s="5" t="str">
        <f t="shared" si="1"/>
        <v>J230LY5</v>
      </c>
      <c r="J6" s="5">
        <v>1</v>
      </c>
      <c r="K6" s="5">
        <v>1</v>
      </c>
      <c r="L6" s="4">
        <v>180</v>
      </c>
      <c r="M6" s="4">
        <v>135</v>
      </c>
      <c r="N6" s="4">
        <v>90</v>
      </c>
      <c r="O6" s="6">
        <f t="shared" si="2"/>
        <v>0.33333333333333337</v>
      </c>
      <c r="P6" s="4" t="s">
        <v>410</v>
      </c>
      <c r="Q6" s="4" t="s">
        <v>410</v>
      </c>
      <c r="R6" s="4" t="s">
        <v>410</v>
      </c>
      <c r="S6" s="4" t="s">
        <v>410</v>
      </c>
      <c r="T6" s="4" t="s">
        <v>410</v>
      </c>
      <c r="U6" s="4" t="s">
        <v>410</v>
      </c>
      <c r="V6" s="4">
        <v>200</v>
      </c>
      <c r="W6" s="4">
        <f t="shared" si="3"/>
        <v>200</v>
      </c>
      <c r="X6" s="4">
        <v>100</v>
      </c>
      <c r="Y6" s="4">
        <f t="shared" si="4"/>
        <v>100</v>
      </c>
      <c r="Z6" s="4"/>
      <c r="AA6" s="21">
        <f t="shared" si="5"/>
        <v>150</v>
      </c>
      <c r="AB6" s="6">
        <f t="shared" si="6"/>
        <v>0.33333333333333337</v>
      </c>
      <c r="AC6" s="4">
        <v>0.75</v>
      </c>
      <c r="AD6" s="4">
        <f t="shared" si="7"/>
        <v>153</v>
      </c>
      <c r="AE6" s="4">
        <f t="shared" si="8"/>
        <v>170</v>
      </c>
      <c r="AF6" s="6">
        <f t="shared" si="9"/>
        <v>0.41176470588235292</v>
      </c>
      <c r="AG6" s="7">
        <v>160</v>
      </c>
      <c r="AH6" s="6">
        <f t="shared" si="10"/>
        <v>0.375</v>
      </c>
      <c r="AI6" s="4">
        <f t="shared" si="11"/>
        <v>60</v>
      </c>
      <c r="AJ6" s="28"/>
      <c r="AK6" s="6"/>
      <c r="AL6" s="6"/>
      <c r="AM6" s="6">
        <f t="shared" si="12"/>
        <v>1.1111111111111112</v>
      </c>
      <c r="AN6" s="6">
        <f t="shared" si="13"/>
        <v>1.1851851851851851</v>
      </c>
      <c r="AO6" s="6">
        <f t="shared" si="14"/>
        <v>1.1111111111111112</v>
      </c>
      <c r="AP6" s="4" t="str">
        <f t="shared" si="15"/>
        <v>-</v>
      </c>
      <c r="AQ6" s="4" t="str">
        <f t="shared" si="16"/>
        <v>-</v>
      </c>
      <c r="AR6" s="4" t="str">
        <f t="shared" si="17"/>
        <v>-</v>
      </c>
      <c r="AS6" s="4" t="str">
        <f t="shared" si="18"/>
        <v>-</v>
      </c>
      <c r="AT6" s="4" t="str">
        <f t="shared" si="19"/>
        <v>-</v>
      </c>
      <c r="AU6" s="4" t="str">
        <f t="shared" si="20"/>
        <v>-</v>
      </c>
      <c r="AV6" s="4">
        <v>0</v>
      </c>
      <c r="AW6" s="4" t="s">
        <v>585</v>
      </c>
      <c r="AX6" s="4"/>
      <c r="AY6" s="4"/>
      <c r="AZ6" s="4" t="s">
        <v>586</v>
      </c>
      <c r="BA6" s="4">
        <v>153</v>
      </c>
      <c r="BB6" s="4">
        <v>153</v>
      </c>
      <c r="BC6" s="4">
        <f t="shared" si="21"/>
        <v>153</v>
      </c>
      <c r="BD6" s="19">
        <v>4</v>
      </c>
      <c r="BE6" s="19">
        <v>8</v>
      </c>
      <c r="BF6" s="16">
        <v>5</v>
      </c>
      <c r="BG6" s="36">
        <v>46174</v>
      </c>
      <c r="BH6" t="s">
        <v>410</v>
      </c>
      <c r="BI6" t="s">
        <v>410</v>
      </c>
      <c r="BJ6" s="4" t="s">
        <v>413</v>
      </c>
      <c r="BL6" s="44">
        <f t="shared" si="22"/>
        <v>7.4074074074073959E-2</v>
      </c>
      <c r="BM6" t="s">
        <v>792</v>
      </c>
    </row>
    <row r="7" spans="1:65" x14ac:dyDescent="0.4">
      <c r="A7" s="3">
        <v>4</v>
      </c>
      <c r="B7" s="3">
        <f t="shared" si="23"/>
        <v>4</v>
      </c>
      <c r="C7" s="17" t="s">
        <v>60</v>
      </c>
      <c r="D7" s="4" t="str">
        <f t="shared" si="0"/>
        <v>J231LY</v>
      </c>
      <c r="E7" s="4" t="s">
        <v>60</v>
      </c>
      <c r="F7" s="4" t="s">
        <v>194</v>
      </c>
      <c r="G7" s="5">
        <v>4977564723408</v>
      </c>
      <c r="H7" s="5">
        <v>5</v>
      </c>
      <c r="I7" s="5" t="str">
        <f t="shared" si="1"/>
        <v>J231LY5</v>
      </c>
      <c r="J7" s="5">
        <v>1</v>
      </c>
      <c r="K7" s="5">
        <v>1</v>
      </c>
      <c r="L7" s="4">
        <v>180</v>
      </c>
      <c r="M7" s="4">
        <v>135</v>
      </c>
      <c r="N7" s="4">
        <v>90</v>
      </c>
      <c r="O7" s="6">
        <f t="shared" si="2"/>
        <v>0.33333333333333337</v>
      </c>
      <c r="P7" s="4" t="s">
        <v>410</v>
      </c>
      <c r="Q7" s="4" t="s">
        <v>410</v>
      </c>
      <c r="R7" s="4" t="s">
        <v>410</v>
      </c>
      <c r="S7" s="4" t="s">
        <v>410</v>
      </c>
      <c r="T7" s="4" t="s">
        <v>410</v>
      </c>
      <c r="U7" s="4" t="s">
        <v>410</v>
      </c>
      <c r="V7" s="4">
        <v>200</v>
      </c>
      <c r="W7" s="4">
        <f t="shared" si="3"/>
        <v>200</v>
      </c>
      <c r="X7" s="4">
        <v>100</v>
      </c>
      <c r="Y7" s="4">
        <f t="shared" si="4"/>
        <v>100</v>
      </c>
      <c r="Z7" s="4"/>
      <c r="AA7" s="21">
        <f t="shared" si="5"/>
        <v>150</v>
      </c>
      <c r="AB7" s="6">
        <f t="shared" si="6"/>
        <v>0.33333333333333337</v>
      </c>
      <c r="AC7" s="4">
        <v>1.5</v>
      </c>
      <c r="AD7" s="4">
        <f t="shared" si="7"/>
        <v>153</v>
      </c>
      <c r="AE7" s="4">
        <f t="shared" si="8"/>
        <v>170</v>
      </c>
      <c r="AF7" s="6">
        <f t="shared" si="9"/>
        <v>0.41176470588235292</v>
      </c>
      <c r="AG7" s="7">
        <v>160</v>
      </c>
      <c r="AH7" s="6">
        <f t="shared" si="10"/>
        <v>0.375</v>
      </c>
      <c r="AI7" s="4">
        <f t="shared" si="11"/>
        <v>60</v>
      </c>
      <c r="AJ7" s="28"/>
      <c r="AK7" s="6"/>
      <c r="AL7" s="6"/>
      <c r="AM7" s="6">
        <f t="shared" si="12"/>
        <v>1.1111111111111112</v>
      </c>
      <c r="AN7" s="6">
        <f t="shared" si="13"/>
        <v>1.1851851851851851</v>
      </c>
      <c r="AO7" s="6">
        <f t="shared" si="14"/>
        <v>1.1111111111111112</v>
      </c>
      <c r="AP7" s="4" t="str">
        <f t="shared" si="15"/>
        <v>-</v>
      </c>
      <c r="AQ7" s="4" t="str">
        <f t="shared" si="16"/>
        <v>-</v>
      </c>
      <c r="AR7" s="4" t="str">
        <f t="shared" si="17"/>
        <v>-</v>
      </c>
      <c r="AS7" s="4" t="str">
        <f t="shared" si="18"/>
        <v>-</v>
      </c>
      <c r="AT7" s="4" t="str">
        <f t="shared" si="19"/>
        <v>-</v>
      </c>
      <c r="AU7" s="4" t="str">
        <f t="shared" si="20"/>
        <v>-</v>
      </c>
      <c r="AV7" s="4">
        <v>0</v>
      </c>
      <c r="AW7" s="4" t="s">
        <v>587</v>
      </c>
      <c r="AX7" s="4"/>
      <c r="AY7" s="4"/>
      <c r="AZ7" s="4" t="s">
        <v>586</v>
      </c>
      <c r="BA7" s="4">
        <v>153</v>
      </c>
      <c r="BB7" s="4">
        <v>153</v>
      </c>
      <c r="BC7" s="4">
        <f t="shared" si="21"/>
        <v>153</v>
      </c>
      <c r="BD7" s="19">
        <v>4</v>
      </c>
      <c r="BE7" s="19">
        <v>1</v>
      </c>
      <c r="BF7" s="16">
        <v>5</v>
      </c>
      <c r="BG7" s="36">
        <v>46174</v>
      </c>
      <c r="BH7" t="s">
        <v>410</v>
      </c>
      <c r="BI7" t="s">
        <v>410</v>
      </c>
      <c r="BJ7" s="4" t="s">
        <v>414</v>
      </c>
      <c r="BL7" s="44">
        <f t="shared" si="22"/>
        <v>7.4074074074073959E-2</v>
      </c>
      <c r="BM7" t="s">
        <v>792</v>
      </c>
    </row>
    <row r="8" spans="1:65" x14ac:dyDescent="0.4">
      <c r="A8" s="3">
        <v>5</v>
      </c>
      <c r="B8" s="3">
        <f t="shared" si="23"/>
        <v>5</v>
      </c>
      <c r="C8" s="17" t="s">
        <v>61</v>
      </c>
      <c r="D8" s="4" t="str">
        <f t="shared" si="0"/>
        <v>J232LY</v>
      </c>
      <c r="E8" s="4" t="s">
        <v>61</v>
      </c>
      <c r="F8" s="4" t="s">
        <v>195</v>
      </c>
      <c r="G8" s="5">
        <v>4977564723415</v>
      </c>
      <c r="H8" s="5">
        <v>5</v>
      </c>
      <c r="I8" s="5" t="str">
        <f t="shared" si="1"/>
        <v>J232LY5</v>
      </c>
      <c r="J8" s="5">
        <v>1</v>
      </c>
      <c r="K8" s="5">
        <v>1</v>
      </c>
      <c r="L8" s="4">
        <v>180</v>
      </c>
      <c r="M8" s="4">
        <v>134</v>
      </c>
      <c r="N8" s="4">
        <v>90</v>
      </c>
      <c r="O8" s="6">
        <f t="shared" si="2"/>
        <v>0.32835820895522383</v>
      </c>
      <c r="P8" s="4" t="s">
        <v>410</v>
      </c>
      <c r="Q8" s="4" t="s">
        <v>410</v>
      </c>
      <c r="R8" s="4" t="s">
        <v>410</v>
      </c>
      <c r="S8" s="4" t="s">
        <v>410</v>
      </c>
      <c r="T8" s="4" t="s">
        <v>410</v>
      </c>
      <c r="U8" s="4" t="s">
        <v>410</v>
      </c>
      <c r="V8" s="4">
        <v>200</v>
      </c>
      <c r="W8" s="4">
        <f t="shared" si="3"/>
        <v>200</v>
      </c>
      <c r="X8" s="4">
        <v>100</v>
      </c>
      <c r="Y8" s="4">
        <f t="shared" si="4"/>
        <v>100</v>
      </c>
      <c r="Z8" s="4"/>
      <c r="AA8" s="21">
        <f t="shared" si="5"/>
        <v>149</v>
      </c>
      <c r="AB8" s="6">
        <f t="shared" si="6"/>
        <v>0.32885906040268453</v>
      </c>
      <c r="AC8" s="4">
        <v>1</v>
      </c>
      <c r="AD8" s="4">
        <f t="shared" si="7"/>
        <v>153</v>
      </c>
      <c r="AE8" s="4">
        <f t="shared" si="8"/>
        <v>170</v>
      </c>
      <c r="AF8" s="6">
        <f t="shared" si="9"/>
        <v>0.41176470588235292</v>
      </c>
      <c r="AG8" s="7">
        <v>160</v>
      </c>
      <c r="AH8" s="6">
        <f t="shared" si="10"/>
        <v>0.375</v>
      </c>
      <c r="AI8" s="4">
        <f t="shared" si="11"/>
        <v>60</v>
      </c>
      <c r="AJ8" s="28"/>
      <c r="AK8" s="6"/>
      <c r="AL8" s="6"/>
      <c r="AM8" s="6">
        <f t="shared" si="12"/>
        <v>1.1111111111111112</v>
      </c>
      <c r="AN8" s="6">
        <f t="shared" si="13"/>
        <v>1.1940298507462686</v>
      </c>
      <c r="AO8" s="6">
        <f t="shared" si="14"/>
        <v>1.1111111111111112</v>
      </c>
      <c r="AP8" s="4" t="str">
        <f t="shared" si="15"/>
        <v>-</v>
      </c>
      <c r="AQ8" s="4" t="str">
        <f t="shared" si="16"/>
        <v>-</v>
      </c>
      <c r="AR8" s="4" t="str">
        <f t="shared" si="17"/>
        <v>-</v>
      </c>
      <c r="AS8" s="4" t="str">
        <f t="shared" si="18"/>
        <v>-</v>
      </c>
      <c r="AT8" s="4" t="str">
        <f t="shared" si="19"/>
        <v>-</v>
      </c>
      <c r="AU8" s="4" t="str">
        <f t="shared" si="20"/>
        <v>-</v>
      </c>
      <c r="AV8" s="4">
        <v>0</v>
      </c>
      <c r="AW8" s="4" t="s">
        <v>588</v>
      </c>
      <c r="AX8" s="4"/>
      <c r="AY8" s="4"/>
      <c r="AZ8" s="4" t="s">
        <v>586</v>
      </c>
      <c r="BA8" s="4">
        <v>153</v>
      </c>
      <c r="BB8" s="4">
        <v>153</v>
      </c>
      <c r="BC8" s="4">
        <f t="shared" si="21"/>
        <v>153</v>
      </c>
      <c r="BD8" s="19">
        <v>4</v>
      </c>
      <c r="BE8" s="19">
        <v>1</v>
      </c>
      <c r="BF8" s="16">
        <v>5</v>
      </c>
      <c r="BG8" s="36">
        <v>46174</v>
      </c>
      <c r="BH8" t="s">
        <v>410</v>
      </c>
      <c r="BI8" t="s">
        <v>410</v>
      </c>
      <c r="BJ8" s="4" t="s">
        <v>415</v>
      </c>
      <c r="BL8" s="44">
        <f t="shared" si="22"/>
        <v>8.291873963515739E-2</v>
      </c>
      <c r="BM8" t="s">
        <v>792</v>
      </c>
    </row>
    <row r="9" spans="1:65" x14ac:dyDescent="0.4">
      <c r="A9" s="3">
        <v>6</v>
      </c>
      <c r="B9" s="3">
        <f t="shared" si="23"/>
        <v>6</v>
      </c>
      <c r="C9" s="17" t="s">
        <v>62</v>
      </c>
      <c r="D9" s="4" t="str">
        <f t="shared" si="0"/>
        <v>J233LY</v>
      </c>
      <c r="E9" s="4" t="s">
        <v>62</v>
      </c>
      <c r="F9" s="4" t="s">
        <v>196</v>
      </c>
      <c r="G9" s="5">
        <v>4977564723422</v>
      </c>
      <c r="H9" s="5">
        <v>5</v>
      </c>
      <c r="I9" s="5" t="str">
        <f t="shared" si="1"/>
        <v>J233LY5</v>
      </c>
      <c r="J9" s="5">
        <v>1</v>
      </c>
      <c r="K9" s="5">
        <v>1</v>
      </c>
      <c r="L9" s="4">
        <v>180</v>
      </c>
      <c r="M9" s="4">
        <v>134</v>
      </c>
      <c r="N9" s="4">
        <v>90</v>
      </c>
      <c r="O9" s="6">
        <f t="shared" si="2"/>
        <v>0.32835820895522383</v>
      </c>
      <c r="P9" s="4" t="s">
        <v>410</v>
      </c>
      <c r="Q9" s="4" t="s">
        <v>410</v>
      </c>
      <c r="R9" s="4" t="s">
        <v>410</v>
      </c>
      <c r="S9" s="4" t="s">
        <v>410</v>
      </c>
      <c r="T9" s="4" t="s">
        <v>410</v>
      </c>
      <c r="U9" s="4" t="s">
        <v>410</v>
      </c>
      <c r="V9" s="4">
        <v>200</v>
      </c>
      <c r="W9" s="4">
        <f t="shared" si="3"/>
        <v>200</v>
      </c>
      <c r="X9" s="4">
        <v>100</v>
      </c>
      <c r="Y9" s="4">
        <f t="shared" si="4"/>
        <v>100</v>
      </c>
      <c r="Z9" s="4"/>
      <c r="AA9" s="21">
        <f t="shared" si="5"/>
        <v>149</v>
      </c>
      <c r="AB9" s="6">
        <f t="shared" si="6"/>
        <v>0.32885906040268453</v>
      </c>
      <c r="AC9" s="4">
        <v>0.5</v>
      </c>
      <c r="AD9" s="4">
        <f t="shared" si="7"/>
        <v>153</v>
      </c>
      <c r="AE9" s="4">
        <f t="shared" si="8"/>
        <v>170</v>
      </c>
      <c r="AF9" s="6">
        <f t="shared" si="9"/>
        <v>0.41176470588235292</v>
      </c>
      <c r="AG9" s="7">
        <v>160</v>
      </c>
      <c r="AH9" s="6">
        <f t="shared" si="10"/>
        <v>0.375</v>
      </c>
      <c r="AI9" s="4">
        <f t="shared" si="11"/>
        <v>60</v>
      </c>
      <c r="AJ9" s="28"/>
      <c r="AK9" s="6"/>
      <c r="AL9" s="6"/>
      <c r="AM9" s="6">
        <f t="shared" si="12"/>
        <v>1.1111111111111112</v>
      </c>
      <c r="AN9" s="6">
        <f t="shared" si="13"/>
        <v>1.1940298507462686</v>
      </c>
      <c r="AO9" s="6">
        <f t="shared" si="14"/>
        <v>1.1111111111111112</v>
      </c>
      <c r="AP9" s="4" t="str">
        <f t="shared" si="15"/>
        <v>-</v>
      </c>
      <c r="AQ9" s="4" t="str">
        <f t="shared" si="16"/>
        <v>-</v>
      </c>
      <c r="AR9" s="4" t="str">
        <f t="shared" si="17"/>
        <v>-</v>
      </c>
      <c r="AS9" s="4" t="str">
        <f t="shared" si="18"/>
        <v>-</v>
      </c>
      <c r="AT9" s="4" t="str">
        <f t="shared" si="19"/>
        <v>-</v>
      </c>
      <c r="AU9" s="4" t="str">
        <f t="shared" si="20"/>
        <v>-</v>
      </c>
      <c r="AV9" s="4">
        <v>0</v>
      </c>
      <c r="AW9" s="4" t="s">
        <v>589</v>
      </c>
      <c r="AX9" s="4"/>
      <c r="AY9" s="4"/>
      <c r="AZ9" s="4" t="s">
        <v>586</v>
      </c>
      <c r="BA9" s="4">
        <v>153</v>
      </c>
      <c r="BB9" s="4">
        <v>153</v>
      </c>
      <c r="BC9" s="4">
        <f t="shared" si="21"/>
        <v>153</v>
      </c>
      <c r="BD9" s="19">
        <v>4</v>
      </c>
      <c r="BE9" s="19">
        <v>1</v>
      </c>
      <c r="BF9" s="16">
        <v>5</v>
      </c>
      <c r="BG9" s="36">
        <v>46174</v>
      </c>
      <c r="BH9" t="s">
        <v>410</v>
      </c>
      <c r="BI9" t="s">
        <v>410</v>
      </c>
      <c r="BJ9" s="4" t="s">
        <v>416</v>
      </c>
      <c r="BL9" s="44">
        <f t="shared" si="22"/>
        <v>8.291873963515739E-2</v>
      </c>
      <c r="BM9" t="s">
        <v>792</v>
      </c>
    </row>
    <row r="10" spans="1:65" x14ac:dyDescent="0.4">
      <c r="A10" s="3">
        <v>7</v>
      </c>
      <c r="B10" s="3">
        <f t="shared" si="23"/>
        <v>7</v>
      </c>
      <c r="C10" s="4" t="s">
        <v>63</v>
      </c>
      <c r="D10" s="4" t="str">
        <f t="shared" si="0"/>
        <v>J234LY</v>
      </c>
      <c r="E10" s="4" t="s">
        <v>63</v>
      </c>
      <c r="F10" s="4" t="s">
        <v>197</v>
      </c>
      <c r="G10" s="5">
        <v>4977564723439</v>
      </c>
      <c r="H10" s="5">
        <v>5</v>
      </c>
      <c r="I10" s="5" t="str">
        <f t="shared" si="1"/>
        <v>J234LY5</v>
      </c>
      <c r="J10" s="5">
        <v>1</v>
      </c>
      <c r="K10" s="5">
        <v>1</v>
      </c>
      <c r="L10" s="4">
        <v>180</v>
      </c>
      <c r="M10" s="4">
        <v>135</v>
      </c>
      <c r="N10" s="4">
        <v>90</v>
      </c>
      <c r="O10" s="6">
        <f t="shared" si="2"/>
        <v>0.33333333333333337</v>
      </c>
      <c r="P10" s="4" t="s">
        <v>410</v>
      </c>
      <c r="Q10" s="4" t="s">
        <v>410</v>
      </c>
      <c r="R10" s="4" t="s">
        <v>410</v>
      </c>
      <c r="S10" s="4" t="s">
        <v>410</v>
      </c>
      <c r="T10" s="4" t="s">
        <v>410</v>
      </c>
      <c r="U10" s="4" t="s">
        <v>410</v>
      </c>
      <c r="V10" s="4">
        <v>200</v>
      </c>
      <c r="W10" s="4">
        <f t="shared" si="3"/>
        <v>200</v>
      </c>
      <c r="X10" s="4">
        <v>100</v>
      </c>
      <c r="Y10" s="4">
        <f t="shared" si="4"/>
        <v>100</v>
      </c>
      <c r="Z10" s="4"/>
      <c r="AA10" s="21">
        <f t="shared" si="5"/>
        <v>150</v>
      </c>
      <c r="AB10" s="6">
        <f t="shared" si="6"/>
        <v>0.33333333333333337</v>
      </c>
      <c r="AC10" s="4">
        <v>1.25</v>
      </c>
      <c r="AD10" s="4">
        <f t="shared" si="7"/>
        <v>153</v>
      </c>
      <c r="AE10" s="4">
        <f t="shared" si="8"/>
        <v>170</v>
      </c>
      <c r="AF10" s="6">
        <f t="shared" si="9"/>
        <v>0.41176470588235292</v>
      </c>
      <c r="AG10" s="7">
        <v>160</v>
      </c>
      <c r="AH10" s="6">
        <f t="shared" si="10"/>
        <v>0.375</v>
      </c>
      <c r="AI10" s="4">
        <f t="shared" si="11"/>
        <v>60</v>
      </c>
      <c r="AJ10" s="28"/>
      <c r="AK10" s="6"/>
      <c r="AL10" s="6"/>
      <c r="AM10" s="6">
        <f t="shared" si="12"/>
        <v>1.1111111111111112</v>
      </c>
      <c r="AN10" s="6">
        <f t="shared" si="13"/>
        <v>1.1851851851851851</v>
      </c>
      <c r="AO10" s="6">
        <f t="shared" si="14"/>
        <v>1.1111111111111112</v>
      </c>
      <c r="AP10" s="4" t="str">
        <f t="shared" si="15"/>
        <v>-</v>
      </c>
      <c r="AQ10" s="4" t="str">
        <f t="shared" si="16"/>
        <v>-</v>
      </c>
      <c r="AR10" s="4" t="str">
        <f t="shared" si="17"/>
        <v>-</v>
      </c>
      <c r="AS10" s="4" t="str">
        <f t="shared" si="18"/>
        <v>-</v>
      </c>
      <c r="AT10" s="4" t="str">
        <f t="shared" si="19"/>
        <v>-</v>
      </c>
      <c r="AU10" s="4" t="str">
        <f t="shared" si="20"/>
        <v>-</v>
      </c>
      <c r="AV10" s="4">
        <v>0</v>
      </c>
      <c r="AW10" s="4" t="s">
        <v>590</v>
      </c>
      <c r="AX10" s="4"/>
      <c r="AY10" s="4"/>
      <c r="AZ10" s="4" t="s">
        <v>586</v>
      </c>
      <c r="BA10" s="4">
        <v>153</v>
      </c>
      <c r="BB10" s="4">
        <v>153</v>
      </c>
      <c r="BC10" s="4">
        <f t="shared" si="21"/>
        <v>153</v>
      </c>
      <c r="BD10" s="19">
        <v>4</v>
      </c>
      <c r="BE10" s="19">
        <v>1</v>
      </c>
      <c r="BF10" s="16">
        <v>5</v>
      </c>
      <c r="BG10" s="36">
        <v>46174</v>
      </c>
      <c r="BH10" t="s">
        <v>410</v>
      </c>
      <c r="BI10" t="s">
        <v>410</v>
      </c>
      <c r="BJ10" s="4" t="s">
        <v>417</v>
      </c>
      <c r="BL10" s="44">
        <f t="shared" si="22"/>
        <v>7.4074074074073959E-2</v>
      </c>
      <c r="BM10" t="s">
        <v>792</v>
      </c>
    </row>
    <row r="11" spans="1:65" x14ac:dyDescent="0.4">
      <c r="A11" s="3">
        <v>8</v>
      </c>
      <c r="B11" s="3">
        <f t="shared" si="23"/>
        <v>8</v>
      </c>
      <c r="C11" s="4" t="s">
        <v>64</v>
      </c>
      <c r="D11" s="4" t="str">
        <f t="shared" si="0"/>
        <v>J235LY</v>
      </c>
      <c r="E11" s="4" t="s">
        <v>64</v>
      </c>
      <c r="F11" s="4" t="s">
        <v>198</v>
      </c>
      <c r="G11" s="5">
        <v>4977564723460</v>
      </c>
      <c r="H11" s="5">
        <v>5</v>
      </c>
      <c r="I11" s="5" t="str">
        <f t="shared" si="1"/>
        <v>J235LY5</v>
      </c>
      <c r="J11" s="5">
        <v>1</v>
      </c>
      <c r="K11" s="5">
        <v>1</v>
      </c>
      <c r="L11" s="4">
        <v>150</v>
      </c>
      <c r="M11" s="4">
        <v>100</v>
      </c>
      <c r="N11" s="4">
        <v>60</v>
      </c>
      <c r="O11" s="6">
        <f t="shared" si="2"/>
        <v>0.4</v>
      </c>
      <c r="P11" s="4" t="s">
        <v>410</v>
      </c>
      <c r="Q11" s="4" t="s">
        <v>410</v>
      </c>
      <c r="R11" s="4" t="s">
        <v>410</v>
      </c>
      <c r="S11" s="4" t="s">
        <v>410</v>
      </c>
      <c r="T11" s="4" t="s">
        <v>410</v>
      </c>
      <c r="U11" s="4" t="s">
        <v>410</v>
      </c>
      <c r="V11" s="4">
        <v>160</v>
      </c>
      <c r="W11" s="4">
        <f t="shared" si="3"/>
        <v>160</v>
      </c>
      <c r="X11" s="4">
        <v>80</v>
      </c>
      <c r="Y11" s="4">
        <f t="shared" si="4"/>
        <v>80</v>
      </c>
      <c r="Z11" s="4"/>
      <c r="AA11" s="21">
        <f t="shared" si="5"/>
        <v>133</v>
      </c>
      <c r="AB11" s="6">
        <f t="shared" si="6"/>
        <v>0.39849624060150379</v>
      </c>
      <c r="AC11" s="4">
        <v>6.5</v>
      </c>
      <c r="AD11" s="4">
        <f t="shared" si="7"/>
        <v>100</v>
      </c>
      <c r="AE11" s="4">
        <f t="shared" si="8"/>
        <v>133.33333333333331</v>
      </c>
      <c r="AF11" s="6">
        <f t="shared" si="9"/>
        <v>0.39999999999999991</v>
      </c>
      <c r="AG11" s="7">
        <v>133</v>
      </c>
      <c r="AH11" s="6">
        <f t="shared" si="10"/>
        <v>0.39849624060150379</v>
      </c>
      <c r="AI11" s="4">
        <f t="shared" si="11"/>
        <v>53</v>
      </c>
      <c r="AJ11" s="28"/>
      <c r="AK11" s="6"/>
      <c r="AL11" s="6"/>
      <c r="AM11" s="6">
        <f t="shared" si="12"/>
        <v>1.0666666666666667</v>
      </c>
      <c r="AN11" s="6">
        <f t="shared" si="13"/>
        <v>1.33</v>
      </c>
      <c r="AO11" s="6">
        <f t="shared" si="14"/>
        <v>1.3333333333333333</v>
      </c>
      <c r="AP11" s="4" t="str">
        <f t="shared" si="15"/>
        <v>-</v>
      </c>
      <c r="AQ11" s="4" t="str">
        <f t="shared" si="16"/>
        <v>-</v>
      </c>
      <c r="AR11" s="4" t="str">
        <f t="shared" si="17"/>
        <v>-</v>
      </c>
      <c r="AS11" s="4" t="str">
        <f t="shared" si="18"/>
        <v>-</v>
      </c>
      <c r="AT11" s="4" t="str">
        <f t="shared" si="19"/>
        <v>-</v>
      </c>
      <c r="AU11" s="4" t="str">
        <f t="shared" si="20"/>
        <v>-</v>
      </c>
      <c r="AV11" s="4">
        <v>0</v>
      </c>
      <c r="AW11" s="4" t="s">
        <v>591</v>
      </c>
      <c r="AX11" s="4"/>
      <c r="AY11" s="4"/>
      <c r="AZ11" s="4" t="s">
        <v>592</v>
      </c>
      <c r="BA11" s="4">
        <v>100</v>
      </c>
      <c r="BB11" s="4">
        <v>100</v>
      </c>
      <c r="BC11" s="4">
        <f t="shared" si="21"/>
        <v>100</v>
      </c>
      <c r="BD11" s="19">
        <v>4</v>
      </c>
      <c r="BE11" s="19">
        <v>1</v>
      </c>
      <c r="BF11" s="16">
        <v>5</v>
      </c>
      <c r="BG11" s="36">
        <v>46174</v>
      </c>
      <c r="BH11" t="s">
        <v>410</v>
      </c>
      <c r="BI11" t="s">
        <v>410</v>
      </c>
      <c r="BJ11" s="4" t="s">
        <v>418</v>
      </c>
      <c r="BL11" s="44">
        <f t="shared" si="22"/>
        <v>-3.3333333333331883E-3</v>
      </c>
      <c r="BM11" t="s">
        <v>792</v>
      </c>
    </row>
    <row r="12" spans="1:65" x14ac:dyDescent="0.4">
      <c r="A12" s="3">
        <v>9</v>
      </c>
      <c r="B12" s="3">
        <f t="shared" si="23"/>
        <v>9</v>
      </c>
      <c r="C12" s="4">
        <v>162263</v>
      </c>
      <c r="D12" s="4" t="str">
        <f t="shared" si="0"/>
        <v>162263</v>
      </c>
      <c r="E12" s="4">
        <v>162263</v>
      </c>
      <c r="F12" s="4" t="s">
        <v>199</v>
      </c>
      <c r="G12" s="5">
        <v>4977564000424</v>
      </c>
      <c r="H12" s="5">
        <v>5</v>
      </c>
      <c r="I12" s="5" t="str">
        <f t="shared" si="1"/>
        <v>1622635</v>
      </c>
      <c r="J12" s="5">
        <v>1</v>
      </c>
      <c r="K12" s="5">
        <v>1</v>
      </c>
      <c r="L12" s="4">
        <v>460</v>
      </c>
      <c r="M12" s="4">
        <v>331</v>
      </c>
      <c r="N12" s="4">
        <v>230</v>
      </c>
      <c r="O12" s="6">
        <f t="shared" si="2"/>
        <v>0.30513595166163143</v>
      </c>
      <c r="P12" s="4" t="s">
        <v>410</v>
      </c>
      <c r="Q12" s="4" t="s">
        <v>410</v>
      </c>
      <c r="R12" s="4" t="s">
        <v>410</v>
      </c>
      <c r="S12" s="4" t="s">
        <v>410</v>
      </c>
      <c r="T12" s="4" t="s">
        <v>410</v>
      </c>
      <c r="U12" s="4" t="s">
        <v>410</v>
      </c>
      <c r="V12" s="4">
        <v>500</v>
      </c>
      <c r="W12" s="4">
        <f t="shared" si="3"/>
        <v>500</v>
      </c>
      <c r="X12" s="4">
        <v>250</v>
      </c>
      <c r="Y12" s="4">
        <f t="shared" si="4"/>
        <v>250</v>
      </c>
      <c r="Z12" s="4"/>
      <c r="AA12" s="21">
        <f t="shared" si="5"/>
        <v>360</v>
      </c>
      <c r="AB12" s="6">
        <f t="shared" si="6"/>
        <v>0.30555555555555558</v>
      </c>
      <c r="AC12" s="4">
        <v>0.75</v>
      </c>
      <c r="AD12" s="4">
        <f t="shared" si="7"/>
        <v>351</v>
      </c>
      <c r="AE12" s="4">
        <f t="shared" si="8"/>
        <v>381.52173913043475</v>
      </c>
      <c r="AF12" s="6">
        <f t="shared" si="9"/>
        <v>0.34472934472934469</v>
      </c>
      <c r="AG12" s="7">
        <v>360</v>
      </c>
      <c r="AH12" s="6">
        <f t="shared" si="10"/>
        <v>0.30555555555555558</v>
      </c>
      <c r="AI12" s="4">
        <f t="shared" si="11"/>
        <v>110</v>
      </c>
      <c r="AJ12" s="28"/>
      <c r="AK12" s="6"/>
      <c r="AL12" s="6"/>
      <c r="AM12" s="6">
        <f t="shared" si="12"/>
        <v>1.0869565217391304</v>
      </c>
      <c r="AN12" s="6">
        <f t="shared" si="13"/>
        <v>1.0876132930513596</v>
      </c>
      <c r="AO12" s="6">
        <f t="shared" si="14"/>
        <v>1.0869565217391304</v>
      </c>
      <c r="AP12" s="4" t="str">
        <f t="shared" si="15"/>
        <v>-</v>
      </c>
      <c r="AQ12" s="4" t="str">
        <f t="shared" si="16"/>
        <v>-</v>
      </c>
      <c r="AR12" s="4" t="str">
        <f t="shared" si="17"/>
        <v>-</v>
      </c>
      <c r="AS12" s="4" t="str">
        <f t="shared" si="18"/>
        <v>-</v>
      </c>
      <c r="AT12" s="4" t="str">
        <f t="shared" si="19"/>
        <v>-</v>
      </c>
      <c r="AU12" s="4" t="str">
        <f t="shared" si="20"/>
        <v>-</v>
      </c>
      <c r="AV12" s="4">
        <v>0</v>
      </c>
      <c r="AW12" s="4" t="s">
        <v>593</v>
      </c>
      <c r="AX12" s="4"/>
      <c r="AY12" s="4"/>
      <c r="AZ12" s="4" t="s">
        <v>594</v>
      </c>
      <c r="BA12" s="4">
        <v>280</v>
      </c>
      <c r="BB12" s="4">
        <v>351</v>
      </c>
      <c r="BC12" s="4">
        <f t="shared" si="21"/>
        <v>351</v>
      </c>
      <c r="BD12" s="19">
        <v>4</v>
      </c>
      <c r="BE12" s="19">
        <v>1</v>
      </c>
      <c r="BF12" s="16">
        <v>6</v>
      </c>
      <c r="BG12" s="36">
        <v>46174</v>
      </c>
      <c r="BH12" t="s">
        <v>410</v>
      </c>
      <c r="BI12">
        <v>345</v>
      </c>
      <c r="BJ12" s="4" t="s">
        <v>788</v>
      </c>
      <c r="BL12" s="44">
        <f t="shared" si="22"/>
        <v>6.5677131222918739E-4</v>
      </c>
      <c r="BM12" t="s">
        <v>792</v>
      </c>
    </row>
    <row r="13" spans="1:65" x14ac:dyDescent="0.4">
      <c r="A13" s="3">
        <v>10</v>
      </c>
      <c r="B13" s="3">
        <f t="shared" si="23"/>
        <v>10</v>
      </c>
      <c r="C13" s="4">
        <v>162313</v>
      </c>
      <c r="D13" s="4" t="str">
        <f t="shared" si="0"/>
        <v>162313</v>
      </c>
      <c r="E13" s="4">
        <v>162313</v>
      </c>
      <c r="F13" s="4" t="s">
        <v>200</v>
      </c>
      <c r="G13" s="5">
        <v>4977564048228</v>
      </c>
      <c r="H13" s="5">
        <v>5</v>
      </c>
      <c r="I13" s="5" t="str">
        <f t="shared" si="1"/>
        <v>1623135</v>
      </c>
      <c r="J13" s="5">
        <v>1</v>
      </c>
      <c r="K13" s="5">
        <v>1</v>
      </c>
      <c r="L13" s="4">
        <v>140</v>
      </c>
      <c r="M13" s="4">
        <v>114</v>
      </c>
      <c r="N13" s="4">
        <v>70</v>
      </c>
      <c r="O13" s="6">
        <f t="shared" si="2"/>
        <v>0.38596491228070173</v>
      </c>
      <c r="P13" s="4" t="s">
        <v>410</v>
      </c>
      <c r="Q13" s="4" t="s">
        <v>410</v>
      </c>
      <c r="R13" s="4" t="s">
        <v>410</v>
      </c>
      <c r="S13" s="4" t="s">
        <v>410</v>
      </c>
      <c r="T13" s="4" t="s">
        <v>410</v>
      </c>
      <c r="U13" s="4" t="s">
        <v>410</v>
      </c>
      <c r="V13" s="4">
        <v>150</v>
      </c>
      <c r="W13" s="4">
        <f t="shared" si="3"/>
        <v>150</v>
      </c>
      <c r="X13" s="4">
        <v>75</v>
      </c>
      <c r="Y13" s="4">
        <f t="shared" si="4"/>
        <v>75</v>
      </c>
      <c r="Z13" s="4"/>
      <c r="AA13" s="21">
        <f t="shared" si="5"/>
        <v>122</v>
      </c>
      <c r="AB13" s="6">
        <f t="shared" si="6"/>
        <v>0.38524590163934425</v>
      </c>
      <c r="AC13" s="4">
        <v>0</v>
      </c>
      <c r="AD13" s="4">
        <f t="shared" si="7"/>
        <v>106</v>
      </c>
      <c r="AE13" s="4">
        <f t="shared" si="8"/>
        <v>113.57142857142857</v>
      </c>
      <c r="AF13" s="6">
        <f t="shared" si="9"/>
        <v>0.339622641509434</v>
      </c>
      <c r="AG13" s="7">
        <v>122</v>
      </c>
      <c r="AH13" s="6">
        <f t="shared" si="10"/>
        <v>0.38524590163934425</v>
      </c>
      <c r="AI13" s="4">
        <f t="shared" si="11"/>
        <v>47</v>
      </c>
      <c r="AJ13" s="28"/>
      <c r="AK13" s="6"/>
      <c r="AL13" s="6"/>
      <c r="AM13" s="6">
        <f t="shared" si="12"/>
        <v>1.0714285714285714</v>
      </c>
      <c r="AN13" s="6">
        <f t="shared" si="13"/>
        <v>1.0701754385964912</v>
      </c>
      <c r="AO13" s="6">
        <f t="shared" si="14"/>
        <v>1.0714285714285714</v>
      </c>
      <c r="AP13" s="4" t="str">
        <f t="shared" si="15"/>
        <v>-</v>
      </c>
      <c r="AQ13" s="4" t="str">
        <f t="shared" si="16"/>
        <v>-</v>
      </c>
      <c r="AR13" s="4" t="str">
        <f t="shared" si="17"/>
        <v>-</v>
      </c>
      <c r="AS13" s="4" t="str">
        <f t="shared" si="18"/>
        <v>-</v>
      </c>
      <c r="AT13" s="4" t="str">
        <f t="shared" si="19"/>
        <v>-</v>
      </c>
      <c r="AU13" s="4" t="str">
        <f t="shared" si="20"/>
        <v>-</v>
      </c>
      <c r="AV13" s="4">
        <v>0</v>
      </c>
      <c r="AW13" s="4" t="s">
        <v>595</v>
      </c>
      <c r="AX13" s="4"/>
      <c r="AY13" s="4"/>
      <c r="AZ13" s="4" t="s">
        <v>586</v>
      </c>
      <c r="BA13" s="4">
        <v>106</v>
      </c>
      <c r="BB13" s="4">
        <v>106</v>
      </c>
      <c r="BC13" s="4">
        <f t="shared" si="21"/>
        <v>106</v>
      </c>
      <c r="BD13" s="19">
        <v>4</v>
      </c>
      <c r="BE13" s="19">
        <v>8</v>
      </c>
      <c r="BF13" s="16">
        <v>6</v>
      </c>
      <c r="BG13" s="36">
        <v>46174</v>
      </c>
      <c r="BH13" t="s">
        <v>410</v>
      </c>
      <c r="BI13">
        <v>116</v>
      </c>
      <c r="BJ13" s="4" t="s">
        <v>419</v>
      </c>
      <c r="BL13" s="44">
        <f t="shared" si="22"/>
        <v>-1.2531328320801727E-3</v>
      </c>
      <c r="BM13" t="s">
        <v>792</v>
      </c>
    </row>
    <row r="14" spans="1:65" x14ac:dyDescent="0.4">
      <c r="A14" s="3">
        <v>11</v>
      </c>
      <c r="B14" s="3">
        <f t="shared" si="23"/>
        <v>11</v>
      </c>
      <c r="C14" s="4">
        <v>681101</v>
      </c>
      <c r="D14" s="4" t="str">
        <f t="shared" si="0"/>
        <v>681101</v>
      </c>
      <c r="E14" s="4">
        <v>681101</v>
      </c>
      <c r="F14" s="4" t="s">
        <v>201</v>
      </c>
      <c r="G14" s="5">
        <v>4977564000639</v>
      </c>
      <c r="H14" s="5">
        <v>5</v>
      </c>
      <c r="I14" s="5" t="str">
        <f t="shared" si="1"/>
        <v>6811015</v>
      </c>
      <c r="J14" s="5">
        <v>1</v>
      </c>
      <c r="K14" s="5">
        <v>1</v>
      </c>
      <c r="L14" s="4">
        <v>360</v>
      </c>
      <c r="M14" s="4">
        <v>265</v>
      </c>
      <c r="N14" s="4">
        <v>180</v>
      </c>
      <c r="O14" s="6">
        <f t="shared" si="2"/>
        <v>0.32075471698113212</v>
      </c>
      <c r="P14" s="4" t="s">
        <v>410</v>
      </c>
      <c r="Q14" s="4" t="s">
        <v>410</v>
      </c>
      <c r="R14" s="4" t="s">
        <v>410</v>
      </c>
      <c r="S14" s="4" t="s">
        <v>410</v>
      </c>
      <c r="T14" s="4" t="s">
        <v>410</v>
      </c>
      <c r="U14" s="4" t="s">
        <v>410</v>
      </c>
      <c r="V14" s="4">
        <v>390</v>
      </c>
      <c r="W14" s="4">
        <f t="shared" si="3"/>
        <v>390</v>
      </c>
      <c r="X14" s="4">
        <v>195</v>
      </c>
      <c r="Y14" s="4">
        <f t="shared" si="4"/>
        <v>195</v>
      </c>
      <c r="Z14" s="4"/>
      <c r="AA14" s="21">
        <f t="shared" si="5"/>
        <v>287</v>
      </c>
      <c r="AB14" s="6">
        <f t="shared" si="6"/>
        <v>0.32055749128919864</v>
      </c>
      <c r="AC14" s="4">
        <v>0.5</v>
      </c>
      <c r="AD14" s="4">
        <f t="shared" si="7"/>
        <v>273</v>
      </c>
      <c r="AE14" s="4">
        <f t="shared" si="8"/>
        <v>295.75</v>
      </c>
      <c r="AF14" s="6">
        <f t="shared" si="9"/>
        <v>0.34065934065934067</v>
      </c>
      <c r="AG14" s="7">
        <v>287</v>
      </c>
      <c r="AH14" s="6">
        <f t="shared" si="10"/>
        <v>0.32055749128919864</v>
      </c>
      <c r="AI14" s="4">
        <f t="shared" si="11"/>
        <v>92</v>
      </c>
      <c r="AJ14" s="28"/>
      <c r="AK14" s="6"/>
      <c r="AL14" s="6"/>
      <c r="AM14" s="6">
        <f t="shared" si="12"/>
        <v>1.0833333333333333</v>
      </c>
      <c r="AN14" s="6">
        <f t="shared" si="13"/>
        <v>1.0830188679245283</v>
      </c>
      <c r="AO14" s="6">
        <f t="shared" si="14"/>
        <v>1.0833333333333333</v>
      </c>
      <c r="AP14" s="4" t="str">
        <f t="shared" si="15"/>
        <v>-</v>
      </c>
      <c r="AQ14" s="4" t="str">
        <f t="shared" si="16"/>
        <v>-</v>
      </c>
      <c r="AR14" s="4" t="str">
        <f t="shared" si="17"/>
        <v>-</v>
      </c>
      <c r="AS14" s="4" t="str">
        <f t="shared" si="18"/>
        <v>-</v>
      </c>
      <c r="AT14" s="4" t="str">
        <f t="shared" si="19"/>
        <v>-</v>
      </c>
      <c r="AU14" s="4" t="str">
        <f t="shared" si="20"/>
        <v>-</v>
      </c>
      <c r="AV14" s="4">
        <v>0</v>
      </c>
      <c r="AW14" s="4" t="s">
        <v>596</v>
      </c>
      <c r="AX14" s="4"/>
      <c r="AY14" s="4"/>
      <c r="AZ14" s="4" t="s">
        <v>597</v>
      </c>
      <c r="BA14" s="4">
        <v>273</v>
      </c>
      <c r="BB14" s="4">
        <v>273</v>
      </c>
      <c r="BC14" s="4">
        <f t="shared" si="21"/>
        <v>273</v>
      </c>
      <c r="BD14" s="19">
        <v>4</v>
      </c>
      <c r="BE14" s="19">
        <v>1</v>
      </c>
      <c r="BF14" s="16">
        <v>6</v>
      </c>
      <c r="BG14" s="36">
        <v>46174</v>
      </c>
      <c r="BH14" t="s">
        <v>410</v>
      </c>
      <c r="BI14">
        <v>319</v>
      </c>
      <c r="BJ14" s="4" t="s">
        <v>420</v>
      </c>
      <c r="BL14" s="44">
        <f t="shared" si="22"/>
        <v>-3.1446540880497587E-4</v>
      </c>
      <c r="BM14" t="s">
        <v>792</v>
      </c>
    </row>
    <row r="15" spans="1:65" x14ac:dyDescent="0.4">
      <c r="A15" s="3">
        <v>12</v>
      </c>
      <c r="B15" s="3">
        <f t="shared" si="23"/>
        <v>12</v>
      </c>
      <c r="C15" s="4">
        <v>134778</v>
      </c>
      <c r="D15" s="4" t="str">
        <f t="shared" si="0"/>
        <v>134778</v>
      </c>
      <c r="E15" s="4">
        <v>134778</v>
      </c>
      <c r="F15" s="4" t="s">
        <v>202</v>
      </c>
      <c r="G15" s="5">
        <v>4977564000646</v>
      </c>
      <c r="H15" s="5">
        <v>5</v>
      </c>
      <c r="I15" s="5" t="str">
        <f t="shared" si="1"/>
        <v>1347785</v>
      </c>
      <c r="J15" s="5">
        <v>1</v>
      </c>
      <c r="K15" s="5">
        <v>1</v>
      </c>
      <c r="L15" s="4">
        <v>390</v>
      </c>
      <c r="M15" s="4">
        <v>281</v>
      </c>
      <c r="N15" s="4">
        <v>195</v>
      </c>
      <c r="O15" s="6">
        <f t="shared" si="2"/>
        <v>0.30604982206405695</v>
      </c>
      <c r="P15" s="4" t="s">
        <v>410</v>
      </c>
      <c r="Q15" s="4" t="s">
        <v>410</v>
      </c>
      <c r="R15" s="4" t="s">
        <v>410</v>
      </c>
      <c r="S15" s="4" t="s">
        <v>410</v>
      </c>
      <c r="T15" s="4" t="s">
        <v>410</v>
      </c>
      <c r="U15" s="4" t="s">
        <v>410</v>
      </c>
      <c r="V15" s="4">
        <v>420</v>
      </c>
      <c r="W15" s="4">
        <f t="shared" si="3"/>
        <v>420</v>
      </c>
      <c r="X15" s="4">
        <v>210</v>
      </c>
      <c r="Y15" s="4">
        <f t="shared" si="4"/>
        <v>210</v>
      </c>
      <c r="Z15" s="4"/>
      <c r="AA15" s="21">
        <f t="shared" si="5"/>
        <v>303</v>
      </c>
      <c r="AB15" s="6">
        <f t="shared" si="6"/>
        <v>0.30693069306930698</v>
      </c>
      <c r="AC15" s="4">
        <v>0.5</v>
      </c>
      <c r="AD15" s="4">
        <f t="shared" si="7"/>
        <v>310</v>
      </c>
      <c r="AE15" s="4">
        <f t="shared" si="8"/>
        <v>333.84615384615381</v>
      </c>
      <c r="AF15" s="6">
        <f t="shared" si="9"/>
        <v>0.37096774193548376</v>
      </c>
      <c r="AG15" s="7">
        <v>303</v>
      </c>
      <c r="AH15" s="6">
        <f t="shared" si="10"/>
        <v>0.30693069306930698</v>
      </c>
      <c r="AI15" s="4">
        <f t="shared" si="11"/>
        <v>93</v>
      </c>
      <c r="AJ15" s="28"/>
      <c r="AK15" s="6"/>
      <c r="AL15" s="6"/>
      <c r="AM15" s="6">
        <f t="shared" si="12"/>
        <v>1.0769230769230769</v>
      </c>
      <c r="AN15" s="6">
        <f t="shared" si="13"/>
        <v>1.0782918149466192</v>
      </c>
      <c r="AO15" s="6">
        <f t="shared" si="14"/>
        <v>1.0769230769230769</v>
      </c>
      <c r="AP15" s="4" t="str">
        <f t="shared" si="15"/>
        <v>-</v>
      </c>
      <c r="AQ15" s="4" t="str">
        <f t="shared" si="16"/>
        <v>-</v>
      </c>
      <c r="AR15" s="4" t="str">
        <f t="shared" si="17"/>
        <v>-</v>
      </c>
      <c r="AS15" s="4" t="str">
        <f t="shared" si="18"/>
        <v>-</v>
      </c>
      <c r="AT15" s="4" t="str">
        <f t="shared" si="19"/>
        <v>-</v>
      </c>
      <c r="AU15" s="4" t="str">
        <f t="shared" si="20"/>
        <v>-</v>
      </c>
      <c r="AV15" s="4">
        <v>0</v>
      </c>
      <c r="AW15" s="4" t="s">
        <v>598</v>
      </c>
      <c r="AX15" s="4"/>
      <c r="AY15" s="4"/>
      <c r="AZ15" s="4" t="s">
        <v>597</v>
      </c>
      <c r="BA15" s="4">
        <v>310</v>
      </c>
      <c r="BB15" s="4">
        <v>310</v>
      </c>
      <c r="BC15" s="4">
        <f t="shared" si="21"/>
        <v>310</v>
      </c>
      <c r="BD15" s="19">
        <v>4</v>
      </c>
      <c r="BE15" s="19">
        <v>8</v>
      </c>
      <c r="BF15" s="16">
        <v>6</v>
      </c>
      <c r="BG15" s="36">
        <v>46174</v>
      </c>
      <c r="BH15" t="s">
        <v>410</v>
      </c>
      <c r="BI15">
        <v>351</v>
      </c>
      <c r="BJ15" s="4" t="s">
        <v>421</v>
      </c>
      <c r="BL15" s="44">
        <f t="shared" si="22"/>
        <v>1.3687380235423152E-3</v>
      </c>
      <c r="BM15" t="s">
        <v>792</v>
      </c>
    </row>
    <row r="16" spans="1:65" x14ac:dyDescent="0.4">
      <c r="A16" s="3">
        <v>13</v>
      </c>
      <c r="B16" s="3">
        <f t="shared" si="23"/>
        <v>13</v>
      </c>
      <c r="C16" s="4">
        <v>677849</v>
      </c>
      <c r="D16" s="4" t="str">
        <f t="shared" si="0"/>
        <v>677849</v>
      </c>
      <c r="E16" s="4">
        <v>677849</v>
      </c>
      <c r="F16" s="4" t="s">
        <v>203</v>
      </c>
      <c r="G16" s="5">
        <v>4977564000585</v>
      </c>
      <c r="H16" s="5">
        <v>5</v>
      </c>
      <c r="I16" s="5" t="str">
        <f t="shared" si="1"/>
        <v>6778495</v>
      </c>
      <c r="J16" s="5">
        <v>1</v>
      </c>
      <c r="K16" s="5">
        <v>1</v>
      </c>
      <c r="L16" s="4">
        <v>420</v>
      </c>
      <c r="M16" s="4">
        <v>300</v>
      </c>
      <c r="N16" s="4">
        <v>212</v>
      </c>
      <c r="O16" s="6">
        <f t="shared" si="2"/>
        <v>0.29333333333333333</v>
      </c>
      <c r="P16" s="4" t="s">
        <v>410</v>
      </c>
      <c r="Q16" s="4" t="s">
        <v>410</v>
      </c>
      <c r="R16" s="4" t="s">
        <v>410</v>
      </c>
      <c r="S16" s="4" t="s">
        <v>410</v>
      </c>
      <c r="T16" s="4" t="s">
        <v>410</v>
      </c>
      <c r="U16" s="4" t="s">
        <v>410</v>
      </c>
      <c r="V16" s="4">
        <v>460</v>
      </c>
      <c r="W16" s="4">
        <f t="shared" si="3"/>
        <v>460</v>
      </c>
      <c r="X16" s="4">
        <v>230</v>
      </c>
      <c r="Y16" s="4">
        <f t="shared" si="4"/>
        <v>230</v>
      </c>
      <c r="Z16" s="4"/>
      <c r="AA16" s="21">
        <f t="shared" si="5"/>
        <v>325</v>
      </c>
      <c r="AB16" s="6">
        <f t="shared" si="6"/>
        <v>0.29230769230769227</v>
      </c>
      <c r="AC16" s="4">
        <v>0.5</v>
      </c>
      <c r="AD16" s="4">
        <f t="shared" si="7"/>
        <v>293</v>
      </c>
      <c r="AE16" s="4">
        <f t="shared" si="8"/>
        <v>317.87735849056605</v>
      </c>
      <c r="AF16" s="6">
        <f t="shared" si="9"/>
        <v>0.2764505119453925</v>
      </c>
      <c r="AG16" s="7">
        <v>325</v>
      </c>
      <c r="AH16" s="6">
        <f t="shared" si="10"/>
        <v>0.29230769230769227</v>
      </c>
      <c r="AI16" s="4">
        <f t="shared" si="11"/>
        <v>95</v>
      </c>
      <c r="AJ16" s="28"/>
      <c r="AK16" s="6"/>
      <c r="AL16" s="6"/>
      <c r="AM16" s="6">
        <f t="shared" si="12"/>
        <v>1.0952380952380953</v>
      </c>
      <c r="AN16" s="6">
        <f t="shared" si="13"/>
        <v>1.0833333333333333</v>
      </c>
      <c r="AO16" s="6">
        <f t="shared" si="14"/>
        <v>1.0849056603773586</v>
      </c>
      <c r="AP16" s="4" t="str">
        <f t="shared" si="15"/>
        <v>-</v>
      </c>
      <c r="AQ16" s="4" t="str">
        <f t="shared" si="16"/>
        <v>-</v>
      </c>
      <c r="AR16" s="4" t="str">
        <f t="shared" si="17"/>
        <v>-</v>
      </c>
      <c r="AS16" s="4" t="str">
        <f t="shared" si="18"/>
        <v>-</v>
      </c>
      <c r="AT16" s="4" t="str">
        <f t="shared" si="19"/>
        <v>-</v>
      </c>
      <c r="AU16" s="4" t="str">
        <f t="shared" si="20"/>
        <v>-</v>
      </c>
      <c r="AV16" s="4">
        <v>0</v>
      </c>
      <c r="AW16" s="4" t="s">
        <v>599</v>
      </c>
      <c r="AX16" s="4"/>
      <c r="AY16" s="4"/>
      <c r="AZ16" s="4" t="s">
        <v>597</v>
      </c>
      <c r="BA16" s="4">
        <v>293</v>
      </c>
      <c r="BB16" s="4">
        <v>293</v>
      </c>
      <c r="BC16" s="4">
        <f t="shared" si="21"/>
        <v>293</v>
      </c>
      <c r="BD16" s="19">
        <v>4</v>
      </c>
      <c r="BE16" s="19">
        <v>8</v>
      </c>
      <c r="BF16" s="16">
        <v>6</v>
      </c>
      <c r="BG16" s="36">
        <v>46174</v>
      </c>
      <c r="BH16" t="s">
        <v>410</v>
      </c>
      <c r="BI16">
        <v>378</v>
      </c>
      <c r="BJ16" s="4" t="s">
        <v>422</v>
      </c>
      <c r="BL16" s="44">
        <f t="shared" si="22"/>
        <v>-1.5723270440253234E-3</v>
      </c>
      <c r="BM16" t="s">
        <v>792</v>
      </c>
    </row>
    <row r="17" spans="1:65" x14ac:dyDescent="0.4">
      <c r="A17" s="3">
        <v>14</v>
      </c>
      <c r="B17" s="3">
        <f t="shared" si="23"/>
        <v>14</v>
      </c>
      <c r="C17" s="4">
        <v>677687</v>
      </c>
      <c r="D17" s="4" t="str">
        <f t="shared" si="0"/>
        <v>677687</v>
      </c>
      <c r="E17" s="4">
        <v>677687</v>
      </c>
      <c r="F17" s="4" t="s">
        <v>204</v>
      </c>
      <c r="G17" s="5">
        <v>4977564000608</v>
      </c>
      <c r="H17" s="5">
        <v>5</v>
      </c>
      <c r="I17" s="5" t="str">
        <f t="shared" si="1"/>
        <v>6776875</v>
      </c>
      <c r="J17" s="5">
        <v>1</v>
      </c>
      <c r="K17" s="5">
        <v>1</v>
      </c>
      <c r="L17" s="4">
        <v>760</v>
      </c>
      <c r="M17" s="4">
        <v>540</v>
      </c>
      <c r="N17" s="4">
        <v>380</v>
      </c>
      <c r="O17" s="6">
        <f t="shared" si="2"/>
        <v>0.29629629629629628</v>
      </c>
      <c r="P17" s="4" t="s">
        <v>410</v>
      </c>
      <c r="Q17" s="4" t="s">
        <v>410</v>
      </c>
      <c r="R17" s="4" t="s">
        <v>410</v>
      </c>
      <c r="S17" s="4" t="s">
        <v>410</v>
      </c>
      <c r="T17" s="4" t="s">
        <v>410</v>
      </c>
      <c r="U17" s="4" t="s">
        <v>410</v>
      </c>
      <c r="V17" s="4">
        <v>830</v>
      </c>
      <c r="W17" s="4">
        <f t="shared" si="3"/>
        <v>830</v>
      </c>
      <c r="X17" s="4">
        <v>415</v>
      </c>
      <c r="Y17" s="4">
        <f t="shared" si="4"/>
        <v>415</v>
      </c>
      <c r="Z17" s="4"/>
      <c r="AA17" s="21">
        <f t="shared" si="5"/>
        <v>590</v>
      </c>
      <c r="AB17" s="6">
        <f t="shared" si="6"/>
        <v>0.29661016949152541</v>
      </c>
      <c r="AC17" s="4">
        <v>0.75</v>
      </c>
      <c r="AD17" s="4">
        <f t="shared" si="7"/>
        <v>555</v>
      </c>
      <c r="AE17" s="4">
        <f t="shared" si="8"/>
        <v>606.11842105263156</v>
      </c>
      <c r="AF17" s="6">
        <f t="shared" si="9"/>
        <v>0.31531531531531531</v>
      </c>
      <c r="AG17" s="7">
        <v>590</v>
      </c>
      <c r="AH17" s="6">
        <f t="shared" si="10"/>
        <v>0.29661016949152541</v>
      </c>
      <c r="AI17" s="4">
        <f t="shared" si="11"/>
        <v>175</v>
      </c>
      <c r="AJ17" s="28"/>
      <c r="AK17" s="6"/>
      <c r="AL17" s="6"/>
      <c r="AM17" s="6">
        <f t="shared" si="12"/>
        <v>1.0921052631578947</v>
      </c>
      <c r="AN17" s="6">
        <f t="shared" si="13"/>
        <v>1.0925925925925926</v>
      </c>
      <c r="AO17" s="6">
        <f t="shared" si="14"/>
        <v>1.0921052631578947</v>
      </c>
      <c r="AP17" s="4" t="str">
        <f t="shared" si="15"/>
        <v>-</v>
      </c>
      <c r="AQ17" s="4" t="str">
        <f t="shared" si="16"/>
        <v>-</v>
      </c>
      <c r="AR17" s="4" t="str">
        <f t="shared" si="17"/>
        <v>-</v>
      </c>
      <c r="AS17" s="4" t="str">
        <f t="shared" si="18"/>
        <v>-</v>
      </c>
      <c r="AT17" s="4" t="str">
        <f t="shared" si="19"/>
        <v>-</v>
      </c>
      <c r="AU17" s="4" t="str">
        <f t="shared" si="20"/>
        <v>-</v>
      </c>
      <c r="AV17" s="4">
        <v>0</v>
      </c>
      <c r="AW17" s="4" t="s">
        <v>600</v>
      </c>
      <c r="AX17" s="4"/>
      <c r="AY17" s="4"/>
      <c r="AZ17" s="4" t="s">
        <v>597</v>
      </c>
      <c r="BA17" s="4">
        <v>555</v>
      </c>
      <c r="BB17" s="4">
        <v>555</v>
      </c>
      <c r="BC17" s="4">
        <f t="shared" si="21"/>
        <v>555</v>
      </c>
      <c r="BD17" s="19">
        <v>4</v>
      </c>
      <c r="BE17" s="19">
        <v>1</v>
      </c>
      <c r="BF17" s="16">
        <v>6</v>
      </c>
      <c r="BG17" s="36">
        <v>46174</v>
      </c>
      <c r="BH17" t="s">
        <v>410</v>
      </c>
      <c r="BI17">
        <v>684</v>
      </c>
      <c r="BJ17" s="4" t="s">
        <v>423</v>
      </c>
      <c r="BL17" s="44">
        <f t="shared" si="22"/>
        <v>4.873294346978696E-4</v>
      </c>
      <c r="BM17" t="s">
        <v>792</v>
      </c>
    </row>
    <row r="18" spans="1:65" x14ac:dyDescent="0.4">
      <c r="A18" s="3">
        <v>15</v>
      </c>
      <c r="B18" s="3">
        <f t="shared" si="23"/>
        <v>15</v>
      </c>
      <c r="C18" s="4">
        <v>678836</v>
      </c>
      <c r="D18" s="4" t="str">
        <f t="shared" si="0"/>
        <v>678836</v>
      </c>
      <c r="E18" s="4">
        <v>678836</v>
      </c>
      <c r="F18" s="4" t="s">
        <v>205</v>
      </c>
      <c r="G18" s="5">
        <v>4977564000622</v>
      </c>
      <c r="H18" s="5">
        <v>5</v>
      </c>
      <c r="I18" s="5" t="str">
        <f t="shared" si="1"/>
        <v>6788365</v>
      </c>
      <c r="J18" s="5">
        <v>1</v>
      </c>
      <c r="K18" s="5">
        <v>1</v>
      </c>
      <c r="L18" s="4">
        <v>900</v>
      </c>
      <c r="M18" s="4">
        <v>635</v>
      </c>
      <c r="N18" s="4">
        <v>450</v>
      </c>
      <c r="O18" s="6">
        <f t="shared" si="2"/>
        <v>0.29133858267716539</v>
      </c>
      <c r="P18" s="4" t="s">
        <v>410</v>
      </c>
      <c r="Q18" s="4" t="s">
        <v>410</v>
      </c>
      <c r="R18" s="4" t="s">
        <v>410</v>
      </c>
      <c r="S18" s="4" t="s">
        <v>410</v>
      </c>
      <c r="T18" s="4" t="s">
        <v>410</v>
      </c>
      <c r="U18" s="4" t="s">
        <v>410</v>
      </c>
      <c r="V18" s="4">
        <v>980</v>
      </c>
      <c r="W18" s="4">
        <f t="shared" si="3"/>
        <v>980</v>
      </c>
      <c r="X18" s="4">
        <v>490</v>
      </c>
      <c r="Y18" s="4">
        <f t="shared" si="4"/>
        <v>490</v>
      </c>
      <c r="Z18" s="4"/>
      <c r="AA18" s="21">
        <f t="shared" si="5"/>
        <v>691</v>
      </c>
      <c r="AB18" s="6">
        <f t="shared" si="6"/>
        <v>0.29088277858176559</v>
      </c>
      <c r="AC18" s="4">
        <v>0.5</v>
      </c>
      <c r="AD18" s="4">
        <f t="shared" si="7"/>
        <v>655</v>
      </c>
      <c r="AE18" s="4">
        <f t="shared" si="8"/>
        <v>713.22222222222217</v>
      </c>
      <c r="AF18" s="6">
        <f t="shared" si="9"/>
        <v>0.31297709923664119</v>
      </c>
      <c r="AG18" s="7">
        <v>691</v>
      </c>
      <c r="AH18" s="6">
        <f t="shared" si="10"/>
        <v>0.29088277858176559</v>
      </c>
      <c r="AI18" s="4">
        <f t="shared" si="11"/>
        <v>201</v>
      </c>
      <c r="AJ18" s="28"/>
      <c r="AK18" s="6"/>
      <c r="AL18" s="6"/>
      <c r="AM18" s="6">
        <f t="shared" si="12"/>
        <v>1.0888888888888888</v>
      </c>
      <c r="AN18" s="6">
        <f t="shared" si="13"/>
        <v>1.0881889763779529</v>
      </c>
      <c r="AO18" s="6">
        <f t="shared" si="14"/>
        <v>1.0888888888888888</v>
      </c>
      <c r="AP18" s="4" t="str">
        <f t="shared" si="15"/>
        <v>-</v>
      </c>
      <c r="AQ18" s="4" t="str">
        <f t="shared" si="16"/>
        <v>-</v>
      </c>
      <c r="AR18" s="4" t="str">
        <f t="shared" si="17"/>
        <v>-</v>
      </c>
      <c r="AS18" s="4" t="str">
        <f t="shared" si="18"/>
        <v>-</v>
      </c>
      <c r="AT18" s="4" t="str">
        <f t="shared" si="19"/>
        <v>-</v>
      </c>
      <c r="AU18" s="4" t="str">
        <f t="shared" si="20"/>
        <v>-</v>
      </c>
      <c r="AV18" s="4">
        <v>0</v>
      </c>
      <c r="AW18" s="4" t="s">
        <v>601</v>
      </c>
      <c r="AX18" s="4"/>
      <c r="AY18" s="4"/>
      <c r="AZ18" s="4" t="s">
        <v>597</v>
      </c>
      <c r="BA18" s="4">
        <v>655</v>
      </c>
      <c r="BB18" s="4">
        <v>655</v>
      </c>
      <c r="BC18" s="4">
        <f t="shared" si="21"/>
        <v>655</v>
      </c>
      <c r="BD18" s="19">
        <v>4</v>
      </c>
      <c r="BE18" s="19">
        <v>1</v>
      </c>
      <c r="BF18" s="16">
        <v>6</v>
      </c>
      <c r="BG18" s="36">
        <v>46174</v>
      </c>
      <c r="BH18" t="s">
        <v>410</v>
      </c>
      <c r="BI18">
        <v>900</v>
      </c>
      <c r="BJ18" s="4" t="s">
        <v>424</v>
      </c>
      <c r="BL18" s="44">
        <f t="shared" si="22"/>
        <v>-6.9991251093592943E-4</v>
      </c>
      <c r="BM18" t="s">
        <v>792</v>
      </c>
    </row>
    <row r="19" spans="1:65" x14ac:dyDescent="0.4">
      <c r="A19" s="3">
        <v>16</v>
      </c>
      <c r="B19" s="3">
        <f t="shared" si="23"/>
        <v>16</v>
      </c>
      <c r="C19" s="4">
        <v>662172</v>
      </c>
      <c r="D19" s="4" t="str">
        <f t="shared" si="0"/>
        <v>662172</v>
      </c>
      <c r="E19" s="4">
        <v>662172</v>
      </c>
      <c r="F19" s="4" t="s">
        <v>206</v>
      </c>
      <c r="G19" s="5">
        <v>4977564511777</v>
      </c>
      <c r="H19" s="5">
        <v>5</v>
      </c>
      <c r="I19" s="5" t="str">
        <f t="shared" si="1"/>
        <v>6621725</v>
      </c>
      <c r="J19" s="5">
        <v>1</v>
      </c>
      <c r="K19" s="5">
        <v>1</v>
      </c>
      <c r="L19" s="4">
        <v>900</v>
      </c>
      <c r="M19" s="4">
        <v>749</v>
      </c>
      <c r="N19" s="4">
        <v>450</v>
      </c>
      <c r="O19" s="6">
        <f t="shared" si="2"/>
        <v>0.3991989319092123</v>
      </c>
      <c r="P19" s="4" t="s">
        <v>410</v>
      </c>
      <c r="Q19" s="4" t="s">
        <v>410</v>
      </c>
      <c r="R19" s="4" t="s">
        <v>410</v>
      </c>
      <c r="S19" s="4" t="s">
        <v>410</v>
      </c>
      <c r="T19" s="4" t="s">
        <v>410</v>
      </c>
      <c r="U19" s="4" t="s">
        <v>410</v>
      </c>
      <c r="V19" s="4">
        <v>960</v>
      </c>
      <c r="W19" s="4">
        <f t="shared" si="3"/>
        <v>960</v>
      </c>
      <c r="X19" s="4">
        <v>480</v>
      </c>
      <c r="Y19" s="4">
        <f t="shared" si="4"/>
        <v>480</v>
      </c>
      <c r="Z19" s="4"/>
      <c r="AA19" s="21">
        <f t="shared" si="5"/>
        <v>799</v>
      </c>
      <c r="AB19" s="6">
        <f t="shared" si="6"/>
        <v>0.39924906132665827</v>
      </c>
      <c r="AC19" s="4">
        <v>5.75</v>
      </c>
      <c r="AD19" s="4">
        <f t="shared" si="7"/>
        <v>908</v>
      </c>
      <c r="AE19" s="4">
        <f t="shared" si="8"/>
        <v>968.5333333333333</v>
      </c>
      <c r="AF19" s="6">
        <f t="shared" si="9"/>
        <v>0.50440528634361237</v>
      </c>
      <c r="AG19" s="7">
        <v>799</v>
      </c>
      <c r="AH19" s="6">
        <f t="shared" si="10"/>
        <v>0.39924906132665827</v>
      </c>
      <c r="AI19" s="4">
        <f t="shared" si="11"/>
        <v>319</v>
      </c>
      <c r="AJ19" s="28"/>
      <c r="AK19" s="6"/>
      <c r="AL19" s="6"/>
      <c r="AM19" s="6">
        <f t="shared" si="12"/>
        <v>1.0666666666666667</v>
      </c>
      <c r="AN19" s="6">
        <f t="shared" si="13"/>
        <v>1.0667556742323097</v>
      </c>
      <c r="AO19" s="6">
        <f t="shared" si="14"/>
        <v>1.0666666666666667</v>
      </c>
      <c r="AP19" s="4" t="str">
        <f t="shared" si="15"/>
        <v>-</v>
      </c>
      <c r="AQ19" s="4" t="str">
        <f t="shared" si="16"/>
        <v>-</v>
      </c>
      <c r="AR19" s="4" t="str">
        <f t="shared" si="17"/>
        <v>-</v>
      </c>
      <c r="AS19" s="4" t="str">
        <f t="shared" si="18"/>
        <v>-</v>
      </c>
      <c r="AT19" s="4" t="str">
        <f t="shared" si="19"/>
        <v>-</v>
      </c>
      <c r="AU19" s="4" t="str">
        <f t="shared" si="20"/>
        <v>-</v>
      </c>
      <c r="AV19" s="4" t="s">
        <v>188</v>
      </c>
      <c r="AW19" s="4" t="s">
        <v>602</v>
      </c>
      <c r="AX19" s="4"/>
      <c r="AY19" s="4"/>
      <c r="AZ19" s="4" t="s">
        <v>586</v>
      </c>
      <c r="BA19" s="4">
        <v>908</v>
      </c>
      <c r="BB19" s="4">
        <v>908</v>
      </c>
      <c r="BC19" s="4">
        <f t="shared" si="21"/>
        <v>908</v>
      </c>
      <c r="BD19" s="19">
        <v>4</v>
      </c>
      <c r="BE19" s="19">
        <v>1</v>
      </c>
      <c r="BF19" s="16">
        <v>7</v>
      </c>
      <c r="BG19" s="36">
        <v>46174</v>
      </c>
      <c r="BH19">
        <v>727</v>
      </c>
      <c r="BI19">
        <v>813</v>
      </c>
      <c r="BJ19" s="4" t="s">
        <v>425</v>
      </c>
      <c r="BL19" s="44">
        <f t="shared" si="22"/>
        <v>8.9007565643006714E-5</v>
      </c>
      <c r="BM19" t="s">
        <v>792</v>
      </c>
    </row>
    <row r="20" spans="1:65" x14ac:dyDescent="0.4">
      <c r="A20" s="3">
        <v>17</v>
      </c>
      <c r="B20" s="3">
        <f t="shared" si="23"/>
        <v>17</v>
      </c>
      <c r="C20" s="4">
        <v>662173</v>
      </c>
      <c r="D20" s="4" t="str">
        <f t="shared" si="0"/>
        <v>662173</v>
      </c>
      <c r="E20" s="4">
        <v>662173</v>
      </c>
      <c r="F20" s="4" t="s">
        <v>207</v>
      </c>
      <c r="G20" s="5">
        <v>4977564511784</v>
      </c>
      <c r="H20" s="5">
        <v>5</v>
      </c>
      <c r="I20" s="5" t="str">
        <f t="shared" si="1"/>
        <v>6621735</v>
      </c>
      <c r="J20" s="5">
        <v>1</v>
      </c>
      <c r="K20" s="5">
        <v>1</v>
      </c>
      <c r="L20" s="4">
        <v>900</v>
      </c>
      <c r="M20" s="4">
        <v>749</v>
      </c>
      <c r="N20" s="4">
        <v>450</v>
      </c>
      <c r="O20" s="6">
        <f t="shared" si="2"/>
        <v>0.3991989319092123</v>
      </c>
      <c r="P20" s="4" t="s">
        <v>410</v>
      </c>
      <c r="Q20" s="4" t="s">
        <v>410</v>
      </c>
      <c r="R20" s="4" t="s">
        <v>410</v>
      </c>
      <c r="S20" s="4" t="s">
        <v>410</v>
      </c>
      <c r="T20" s="4" t="s">
        <v>410</v>
      </c>
      <c r="U20" s="4" t="s">
        <v>410</v>
      </c>
      <c r="V20" s="4">
        <v>960</v>
      </c>
      <c r="W20" s="4">
        <f t="shared" si="3"/>
        <v>960</v>
      </c>
      <c r="X20" s="4">
        <v>480</v>
      </c>
      <c r="Y20" s="4">
        <f t="shared" si="4"/>
        <v>480</v>
      </c>
      <c r="Z20" s="4"/>
      <c r="AA20" s="21">
        <f t="shared" si="5"/>
        <v>799</v>
      </c>
      <c r="AB20" s="6">
        <f t="shared" si="6"/>
        <v>0.39924906132665827</v>
      </c>
      <c r="AC20" s="4">
        <v>2.5</v>
      </c>
      <c r="AD20" s="4">
        <f t="shared" si="7"/>
        <v>945</v>
      </c>
      <c r="AE20" s="4">
        <f t="shared" si="8"/>
        <v>1008</v>
      </c>
      <c r="AF20" s="6">
        <f t="shared" si="9"/>
        <v>0.52380952380952384</v>
      </c>
      <c r="AG20" s="7">
        <v>799</v>
      </c>
      <c r="AH20" s="6">
        <f t="shared" si="10"/>
        <v>0.39924906132665827</v>
      </c>
      <c r="AI20" s="4">
        <f t="shared" si="11"/>
        <v>319</v>
      </c>
      <c r="AJ20" s="28"/>
      <c r="AK20" s="6"/>
      <c r="AL20" s="6"/>
      <c r="AM20" s="6">
        <f t="shared" si="12"/>
        <v>1.0666666666666667</v>
      </c>
      <c r="AN20" s="6">
        <f t="shared" si="13"/>
        <v>1.0667556742323097</v>
      </c>
      <c r="AO20" s="6">
        <f t="shared" si="14"/>
        <v>1.0666666666666667</v>
      </c>
      <c r="AP20" s="4" t="str">
        <f t="shared" si="15"/>
        <v>-</v>
      </c>
      <c r="AQ20" s="4" t="str">
        <f t="shared" si="16"/>
        <v>-</v>
      </c>
      <c r="AR20" s="4" t="str">
        <f t="shared" si="17"/>
        <v>-</v>
      </c>
      <c r="AS20" s="4" t="str">
        <f t="shared" si="18"/>
        <v>-</v>
      </c>
      <c r="AT20" s="4" t="str">
        <f t="shared" si="19"/>
        <v>-</v>
      </c>
      <c r="AU20" s="4" t="str">
        <f t="shared" si="20"/>
        <v>-</v>
      </c>
      <c r="AV20" s="4" t="s">
        <v>188</v>
      </c>
      <c r="AW20" s="4" t="s">
        <v>603</v>
      </c>
      <c r="AX20" s="4"/>
      <c r="AY20" s="4"/>
      <c r="AZ20" s="4" t="s">
        <v>586</v>
      </c>
      <c r="BA20" s="4">
        <v>945</v>
      </c>
      <c r="BB20" s="4">
        <v>945</v>
      </c>
      <c r="BC20" s="4">
        <f t="shared" si="21"/>
        <v>945</v>
      </c>
      <c r="BD20" s="19">
        <v>4</v>
      </c>
      <c r="BE20" s="19">
        <v>1</v>
      </c>
      <c r="BF20" s="16">
        <v>7</v>
      </c>
      <c r="BG20" s="36">
        <v>46174</v>
      </c>
      <c r="BH20">
        <v>751</v>
      </c>
      <c r="BI20">
        <v>788</v>
      </c>
      <c r="BJ20" s="4" t="s">
        <v>426</v>
      </c>
      <c r="BL20" s="44">
        <f t="shared" si="22"/>
        <v>8.9007565643006714E-5</v>
      </c>
      <c r="BM20" t="s">
        <v>792</v>
      </c>
    </row>
    <row r="21" spans="1:65" x14ac:dyDescent="0.4">
      <c r="A21" s="3">
        <v>18</v>
      </c>
      <c r="B21" s="3">
        <f t="shared" si="23"/>
        <v>18</v>
      </c>
      <c r="C21" s="4">
        <v>662174</v>
      </c>
      <c r="D21" s="4" t="str">
        <f t="shared" si="0"/>
        <v>662174</v>
      </c>
      <c r="E21" s="4">
        <v>662174</v>
      </c>
      <c r="F21" s="4" t="s">
        <v>208</v>
      </c>
      <c r="G21" s="5">
        <v>4977564511791</v>
      </c>
      <c r="H21" s="5">
        <v>5</v>
      </c>
      <c r="I21" s="5" t="str">
        <f t="shared" si="1"/>
        <v>6621745</v>
      </c>
      <c r="J21" s="5">
        <v>1</v>
      </c>
      <c r="K21" s="5">
        <v>1</v>
      </c>
      <c r="L21" s="4">
        <v>900</v>
      </c>
      <c r="M21" s="4">
        <v>749</v>
      </c>
      <c r="N21" s="4">
        <v>450</v>
      </c>
      <c r="O21" s="6">
        <f t="shared" si="2"/>
        <v>0.3991989319092123</v>
      </c>
      <c r="P21" s="4" t="s">
        <v>410</v>
      </c>
      <c r="Q21" s="4" t="s">
        <v>410</v>
      </c>
      <c r="R21" s="4" t="s">
        <v>410</v>
      </c>
      <c r="S21" s="4" t="s">
        <v>410</v>
      </c>
      <c r="T21" s="4" t="s">
        <v>410</v>
      </c>
      <c r="U21" s="4" t="s">
        <v>410</v>
      </c>
      <c r="V21" s="4">
        <v>960</v>
      </c>
      <c r="W21" s="4">
        <f t="shared" si="3"/>
        <v>960</v>
      </c>
      <c r="X21" s="4">
        <v>480</v>
      </c>
      <c r="Y21" s="4">
        <f t="shared" si="4"/>
        <v>480</v>
      </c>
      <c r="Z21" s="4"/>
      <c r="AA21" s="21">
        <f t="shared" si="5"/>
        <v>799</v>
      </c>
      <c r="AB21" s="6">
        <f t="shared" si="6"/>
        <v>0.39924906132665827</v>
      </c>
      <c r="AC21" s="4">
        <v>5</v>
      </c>
      <c r="AD21" s="4">
        <f t="shared" si="7"/>
        <v>682</v>
      </c>
      <c r="AE21" s="4">
        <f t="shared" si="8"/>
        <v>727.4666666666667</v>
      </c>
      <c r="AF21" s="6">
        <f t="shared" si="9"/>
        <v>0.34017595307917892</v>
      </c>
      <c r="AG21" s="7">
        <v>799</v>
      </c>
      <c r="AH21" s="6">
        <f t="shared" si="10"/>
        <v>0.39924906132665827</v>
      </c>
      <c r="AI21" s="4">
        <f t="shared" si="11"/>
        <v>319</v>
      </c>
      <c r="AJ21" s="28"/>
      <c r="AK21" s="6"/>
      <c r="AL21" s="6"/>
      <c r="AM21" s="6">
        <f t="shared" si="12"/>
        <v>1.0666666666666667</v>
      </c>
      <c r="AN21" s="6">
        <f t="shared" si="13"/>
        <v>1.0667556742323097</v>
      </c>
      <c r="AO21" s="6">
        <f t="shared" si="14"/>
        <v>1.0666666666666667</v>
      </c>
      <c r="AP21" s="4" t="str">
        <f t="shared" si="15"/>
        <v>-</v>
      </c>
      <c r="AQ21" s="4" t="str">
        <f t="shared" si="16"/>
        <v>-</v>
      </c>
      <c r="AR21" s="4" t="str">
        <f t="shared" si="17"/>
        <v>-</v>
      </c>
      <c r="AS21" s="4" t="str">
        <f t="shared" si="18"/>
        <v>-</v>
      </c>
      <c r="AT21" s="4" t="str">
        <f t="shared" si="19"/>
        <v>-</v>
      </c>
      <c r="AU21" s="4" t="str">
        <f t="shared" si="20"/>
        <v>-</v>
      </c>
      <c r="AV21" s="4" t="s">
        <v>188</v>
      </c>
      <c r="AW21" s="4" t="s">
        <v>604</v>
      </c>
      <c r="AX21" s="4"/>
      <c r="AY21" s="4"/>
      <c r="AZ21" s="4" t="s">
        <v>586</v>
      </c>
      <c r="BA21" s="4">
        <v>682</v>
      </c>
      <c r="BB21" s="4">
        <v>682</v>
      </c>
      <c r="BC21" s="4">
        <f t="shared" si="21"/>
        <v>682</v>
      </c>
      <c r="BD21" s="19">
        <v>4</v>
      </c>
      <c r="BE21" s="19">
        <v>1</v>
      </c>
      <c r="BF21" s="16">
        <v>7</v>
      </c>
      <c r="BG21" s="36">
        <v>46174</v>
      </c>
      <c r="BH21">
        <v>751</v>
      </c>
      <c r="BI21">
        <v>716</v>
      </c>
      <c r="BJ21" s="4" t="s">
        <v>427</v>
      </c>
      <c r="BL21" s="44">
        <f t="shared" si="22"/>
        <v>8.9007565643006714E-5</v>
      </c>
      <c r="BM21" t="s">
        <v>792</v>
      </c>
    </row>
    <row r="22" spans="1:65" x14ac:dyDescent="0.4">
      <c r="A22" s="3">
        <v>19</v>
      </c>
      <c r="B22" s="3">
        <f t="shared" si="23"/>
        <v>19</v>
      </c>
      <c r="C22" s="4">
        <v>662176</v>
      </c>
      <c r="D22" s="4" t="str">
        <f t="shared" si="0"/>
        <v>662176</v>
      </c>
      <c r="E22" s="4">
        <v>662176</v>
      </c>
      <c r="F22" s="4" t="s">
        <v>209</v>
      </c>
      <c r="G22" s="5">
        <v>4977564511807</v>
      </c>
      <c r="H22" s="5">
        <v>5</v>
      </c>
      <c r="I22" s="5" t="str">
        <f t="shared" si="1"/>
        <v>6621765</v>
      </c>
      <c r="J22" s="5">
        <v>1</v>
      </c>
      <c r="K22" s="5">
        <v>1</v>
      </c>
      <c r="L22" s="4">
        <v>900</v>
      </c>
      <c r="M22" s="4">
        <v>749</v>
      </c>
      <c r="N22" s="4">
        <v>450</v>
      </c>
      <c r="O22" s="6">
        <f t="shared" si="2"/>
        <v>0.3991989319092123</v>
      </c>
      <c r="P22" s="4" t="s">
        <v>410</v>
      </c>
      <c r="Q22" s="4" t="s">
        <v>410</v>
      </c>
      <c r="R22" s="4" t="s">
        <v>410</v>
      </c>
      <c r="S22" s="4" t="s">
        <v>410</v>
      </c>
      <c r="T22" s="4" t="s">
        <v>410</v>
      </c>
      <c r="U22" s="4" t="s">
        <v>410</v>
      </c>
      <c r="V22" s="4">
        <v>960</v>
      </c>
      <c r="W22" s="4">
        <f t="shared" si="3"/>
        <v>960</v>
      </c>
      <c r="X22" s="4">
        <v>480</v>
      </c>
      <c r="Y22" s="4">
        <f t="shared" si="4"/>
        <v>480</v>
      </c>
      <c r="Z22" s="4"/>
      <c r="AA22" s="21">
        <f t="shared" si="5"/>
        <v>799</v>
      </c>
      <c r="AB22" s="6">
        <f t="shared" si="6"/>
        <v>0.39924906132665827</v>
      </c>
      <c r="AC22" s="4">
        <v>4.5</v>
      </c>
      <c r="AD22" s="4">
        <f t="shared" si="7"/>
        <v>682</v>
      </c>
      <c r="AE22" s="4">
        <f t="shared" si="8"/>
        <v>727.4666666666667</v>
      </c>
      <c r="AF22" s="6">
        <f t="shared" si="9"/>
        <v>0.34017595307917892</v>
      </c>
      <c r="AG22" s="7">
        <v>799</v>
      </c>
      <c r="AH22" s="6">
        <f t="shared" si="10"/>
        <v>0.39924906132665827</v>
      </c>
      <c r="AI22" s="4">
        <f t="shared" si="11"/>
        <v>319</v>
      </c>
      <c r="AJ22" s="28"/>
      <c r="AK22" s="6"/>
      <c r="AL22" s="6"/>
      <c r="AM22" s="6">
        <f t="shared" si="12"/>
        <v>1.0666666666666667</v>
      </c>
      <c r="AN22" s="6">
        <f t="shared" si="13"/>
        <v>1.0667556742323097</v>
      </c>
      <c r="AO22" s="6">
        <f t="shared" si="14"/>
        <v>1.0666666666666667</v>
      </c>
      <c r="AP22" s="4" t="str">
        <f t="shared" si="15"/>
        <v>-</v>
      </c>
      <c r="AQ22" s="4" t="str">
        <f t="shared" si="16"/>
        <v>-</v>
      </c>
      <c r="AR22" s="4" t="str">
        <f t="shared" si="17"/>
        <v>-</v>
      </c>
      <c r="AS22" s="4" t="str">
        <f t="shared" si="18"/>
        <v>-</v>
      </c>
      <c r="AT22" s="4" t="str">
        <f t="shared" si="19"/>
        <v>-</v>
      </c>
      <c r="AU22" s="4" t="str">
        <f t="shared" si="20"/>
        <v>-</v>
      </c>
      <c r="AV22" s="4" t="s">
        <v>188</v>
      </c>
      <c r="AW22" s="4" t="s">
        <v>605</v>
      </c>
      <c r="AX22" s="4"/>
      <c r="AY22" s="4"/>
      <c r="AZ22" s="4" t="s">
        <v>586</v>
      </c>
      <c r="BA22" s="4">
        <v>682</v>
      </c>
      <c r="BB22" s="4">
        <v>682</v>
      </c>
      <c r="BC22" s="4">
        <f t="shared" si="21"/>
        <v>682</v>
      </c>
      <c r="BD22" s="19">
        <v>4</v>
      </c>
      <c r="BE22" s="19">
        <v>1</v>
      </c>
      <c r="BF22" s="16">
        <v>7</v>
      </c>
      <c r="BG22" s="36">
        <v>46174</v>
      </c>
      <c r="BH22">
        <v>727</v>
      </c>
      <c r="BI22">
        <v>716</v>
      </c>
      <c r="BJ22" s="4" t="s">
        <v>428</v>
      </c>
      <c r="BL22" s="44">
        <f t="shared" si="22"/>
        <v>8.9007565643006714E-5</v>
      </c>
      <c r="BM22" t="s">
        <v>792</v>
      </c>
    </row>
    <row r="23" spans="1:65" x14ac:dyDescent="0.4">
      <c r="A23" s="3">
        <v>20</v>
      </c>
      <c r="B23" s="3">
        <f t="shared" si="23"/>
        <v>20</v>
      </c>
      <c r="C23" s="4">
        <v>662177</v>
      </c>
      <c r="D23" s="4" t="str">
        <f t="shared" si="0"/>
        <v>662177</v>
      </c>
      <c r="E23" s="4">
        <v>662177</v>
      </c>
      <c r="F23" s="4" t="s">
        <v>210</v>
      </c>
      <c r="G23" s="5">
        <v>4977564511814</v>
      </c>
      <c r="H23" s="5">
        <v>5</v>
      </c>
      <c r="I23" s="5" t="str">
        <f t="shared" si="1"/>
        <v>6621775</v>
      </c>
      <c r="J23" s="5">
        <v>1</v>
      </c>
      <c r="K23" s="5">
        <v>1</v>
      </c>
      <c r="L23" s="4">
        <v>900</v>
      </c>
      <c r="M23" s="4">
        <v>749</v>
      </c>
      <c r="N23" s="4">
        <v>450</v>
      </c>
      <c r="O23" s="6">
        <f t="shared" si="2"/>
        <v>0.3991989319092123</v>
      </c>
      <c r="P23" s="4" t="s">
        <v>410</v>
      </c>
      <c r="Q23" s="4" t="s">
        <v>410</v>
      </c>
      <c r="R23" s="4" t="s">
        <v>410</v>
      </c>
      <c r="S23" s="4" t="s">
        <v>410</v>
      </c>
      <c r="T23" s="4" t="s">
        <v>410</v>
      </c>
      <c r="U23" s="4" t="s">
        <v>410</v>
      </c>
      <c r="V23" s="4">
        <v>960</v>
      </c>
      <c r="W23" s="4">
        <f t="shared" si="3"/>
        <v>960</v>
      </c>
      <c r="X23" s="4">
        <v>480</v>
      </c>
      <c r="Y23" s="4">
        <f t="shared" si="4"/>
        <v>480</v>
      </c>
      <c r="Z23" s="4"/>
      <c r="AA23" s="21">
        <f t="shared" si="5"/>
        <v>799</v>
      </c>
      <c r="AB23" s="6">
        <f t="shared" si="6"/>
        <v>0.39924906132665827</v>
      </c>
      <c r="AC23" s="4">
        <v>1.7500000000000002</v>
      </c>
      <c r="AD23" s="4">
        <f t="shared" si="7"/>
        <v>819</v>
      </c>
      <c r="AE23" s="4">
        <f t="shared" si="8"/>
        <v>873.6</v>
      </c>
      <c r="AF23" s="6">
        <f t="shared" si="9"/>
        <v>0.45054945054945061</v>
      </c>
      <c r="AG23" s="7">
        <v>799</v>
      </c>
      <c r="AH23" s="6">
        <f t="shared" si="10"/>
        <v>0.39924906132665827</v>
      </c>
      <c r="AI23" s="4">
        <f t="shared" si="11"/>
        <v>319</v>
      </c>
      <c r="AJ23" s="28"/>
      <c r="AK23" s="6"/>
      <c r="AL23" s="6"/>
      <c r="AM23" s="6">
        <f t="shared" si="12"/>
        <v>1.0666666666666667</v>
      </c>
      <c r="AN23" s="6">
        <f t="shared" si="13"/>
        <v>1.0667556742323097</v>
      </c>
      <c r="AO23" s="6">
        <f t="shared" si="14"/>
        <v>1.0666666666666667</v>
      </c>
      <c r="AP23" s="4" t="str">
        <f t="shared" si="15"/>
        <v>-</v>
      </c>
      <c r="AQ23" s="4" t="str">
        <f t="shared" si="16"/>
        <v>-</v>
      </c>
      <c r="AR23" s="4" t="str">
        <f t="shared" si="17"/>
        <v>-</v>
      </c>
      <c r="AS23" s="4" t="str">
        <f t="shared" si="18"/>
        <v>-</v>
      </c>
      <c r="AT23" s="4" t="str">
        <f t="shared" si="19"/>
        <v>-</v>
      </c>
      <c r="AU23" s="4" t="str">
        <f t="shared" si="20"/>
        <v>-</v>
      </c>
      <c r="AV23" s="4" t="s">
        <v>188</v>
      </c>
      <c r="AW23" s="4" t="s">
        <v>606</v>
      </c>
      <c r="AX23" s="4"/>
      <c r="AY23" s="4"/>
      <c r="AZ23" s="4" t="s">
        <v>586</v>
      </c>
      <c r="BA23" s="4">
        <v>819</v>
      </c>
      <c r="BB23" s="4">
        <v>819</v>
      </c>
      <c r="BC23" s="4">
        <f t="shared" si="21"/>
        <v>819</v>
      </c>
      <c r="BD23" s="19">
        <v>4</v>
      </c>
      <c r="BE23" s="19">
        <v>1</v>
      </c>
      <c r="BF23" s="16">
        <v>7</v>
      </c>
      <c r="BG23" s="36">
        <v>46174</v>
      </c>
      <c r="BH23">
        <v>751</v>
      </c>
      <c r="BI23">
        <v>813</v>
      </c>
      <c r="BJ23" s="4" t="s">
        <v>429</v>
      </c>
      <c r="BL23" s="44">
        <f t="shared" si="22"/>
        <v>8.9007565643006714E-5</v>
      </c>
      <c r="BM23" t="s">
        <v>792</v>
      </c>
    </row>
    <row r="24" spans="1:65" x14ac:dyDescent="0.4">
      <c r="A24" s="3">
        <v>21</v>
      </c>
      <c r="B24" s="3">
        <f t="shared" si="23"/>
        <v>21</v>
      </c>
      <c r="C24" s="4">
        <v>662178</v>
      </c>
      <c r="D24" s="4" t="str">
        <f t="shared" si="0"/>
        <v>662178</v>
      </c>
      <c r="E24" s="4">
        <v>662178</v>
      </c>
      <c r="F24" s="4" t="s">
        <v>211</v>
      </c>
      <c r="G24" s="5">
        <v>4977564508722</v>
      </c>
      <c r="H24" s="5">
        <v>5</v>
      </c>
      <c r="I24" s="5" t="str">
        <f t="shared" si="1"/>
        <v>6621785</v>
      </c>
      <c r="J24" s="5">
        <v>1</v>
      </c>
      <c r="K24" s="5">
        <v>1</v>
      </c>
      <c r="L24" s="4">
        <v>600</v>
      </c>
      <c r="M24" s="4">
        <v>510</v>
      </c>
      <c r="N24" s="4">
        <v>300</v>
      </c>
      <c r="O24" s="6">
        <f t="shared" si="2"/>
        <v>0.41176470588235292</v>
      </c>
      <c r="P24" s="4" t="s">
        <v>410</v>
      </c>
      <c r="Q24" s="4" t="s">
        <v>410</v>
      </c>
      <c r="R24" s="4" t="s">
        <v>410</v>
      </c>
      <c r="S24" s="4" t="s">
        <v>410</v>
      </c>
      <c r="T24" s="4" t="s">
        <v>410</v>
      </c>
      <c r="U24" s="4" t="s">
        <v>410</v>
      </c>
      <c r="V24" s="4">
        <v>630</v>
      </c>
      <c r="W24" s="4">
        <f t="shared" si="3"/>
        <v>630</v>
      </c>
      <c r="X24" s="4">
        <v>315</v>
      </c>
      <c r="Y24" s="4">
        <f t="shared" si="4"/>
        <v>315</v>
      </c>
      <c r="Z24" s="4"/>
      <c r="AA24" s="21">
        <f t="shared" si="5"/>
        <v>536</v>
      </c>
      <c r="AB24" s="6">
        <f t="shared" si="6"/>
        <v>0.41231343283582089</v>
      </c>
      <c r="AC24" s="4">
        <v>23.5</v>
      </c>
      <c r="AD24" s="4">
        <f t="shared" si="7"/>
        <v>473</v>
      </c>
      <c r="AE24" s="4">
        <f t="shared" si="8"/>
        <v>496.65000000000003</v>
      </c>
      <c r="AF24" s="6">
        <f t="shared" si="9"/>
        <v>0.36575052854122625</v>
      </c>
      <c r="AG24" s="7">
        <v>536</v>
      </c>
      <c r="AH24" s="6">
        <f t="shared" si="10"/>
        <v>0.41231343283582089</v>
      </c>
      <c r="AI24" s="4">
        <f t="shared" si="11"/>
        <v>221</v>
      </c>
      <c r="AJ24" s="28"/>
      <c r="AK24" s="6"/>
      <c r="AL24" s="6"/>
      <c r="AM24" s="6">
        <f t="shared" si="12"/>
        <v>1.05</v>
      </c>
      <c r="AN24" s="6">
        <f t="shared" si="13"/>
        <v>1.0509803921568628</v>
      </c>
      <c r="AO24" s="6">
        <f t="shared" si="14"/>
        <v>1.05</v>
      </c>
      <c r="AP24" s="4" t="str">
        <f t="shared" si="15"/>
        <v>-</v>
      </c>
      <c r="AQ24" s="4" t="str">
        <f t="shared" si="16"/>
        <v>-</v>
      </c>
      <c r="AR24" s="4" t="str">
        <f t="shared" si="17"/>
        <v>-</v>
      </c>
      <c r="AS24" s="4" t="str">
        <f t="shared" si="18"/>
        <v>-</v>
      </c>
      <c r="AT24" s="4" t="str">
        <f t="shared" si="19"/>
        <v>-</v>
      </c>
      <c r="AU24" s="4" t="str">
        <f t="shared" si="20"/>
        <v>-</v>
      </c>
      <c r="AV24" s="4" t="s">
        <v>188</v>
      </c>
      <c r="AW24" s="4" t="s">
        <v>607</v>
      </c>
      <c r="AX24" s="4"/>
      <c r="AY24" s="4"/>
      <c r="AZ24" s="4" t="s">
        <v>586</v>
      </c>
      <c r="BA24" s="4">
        <v>473</v>
      </c>
      <c r="BB24" s="4">
        <v>473</v>
      </c>
      <c r="BC24" s="4">
        <f t="shared" si="21"/>
        <v>473</v>
      </c>
      <c r="BD24" s="19">
        <v>4</v>
      </c>
      <c r="BE24" s="19">
        <v>1</v>
      </c>
      <c r="BF24" s="16">
        <v>7</v>
      </c>
      <c r="BG24" s="36">
        <v>46174</v>
      </c>
      <c r="BH24">
        <v>497</v>
      </c>
      <c r="BI24">
        <v>485</v>
      </c>
      <c r="BJ24" s="4" t="s">
        <v>430</v>
      </c>
      <c r="BL24" s="44">
        <f t="shared" si="22"/>
        <v>9.8039215686274161E-4</v>
      </c>
      <c r="BM24" t="s">
        <v>792</v>
      </c>
    </row>
    <row r="25" spans="1:65" x14ac:dyDescent="0.4">
      <c r="A25" s="3">
        <v>28</v>
      </c>
      <c r="B25" s="3">
        <f t="shared" si="23"/>
        <v>22</v>
      </c>
      <c r="C25" s="4" t="s">
        <v>65</v>
      </c>
      <c r="D25" s="4" t="str">
        <f t="shared" si="0"/>
        <v>6103AM</v>
      </c>
      <c r="E25" s="4" t="s">
        <v>65</v>
      </c>
      <c r="F25" s="4" t="s">
        <v>212</v>
      </c>
      <c r="G25" s="5">
        <v>4977564667986</v>
      </c>
      <c r="H25" s="5">
        <v>5</v>
      </c>
      <c r="I25" s="5" t="str">
        <f t="shared" si="1"/>
        <v>6103AM5</v>
      </c>
      <c r="J25" s="5">
        <v>1</v>
      </c>
      <c r="K25" s="5">
        <v>1</v>
      </c>
      <c r="L25" s="4">
        <v>600</v>
      </c>
      <c r="M25" s="4">
        <v>510</v>
      </c>
      <c r="N25" s="4">
        <v>300</v>
      </c>
      <c r="O25" s="6">
        <f t="shared" si="2"/>
        <v>0.41176470588235292</v>
      </c>
      <c r="P25" s="4" t="s">
        <v>410</v>
      </c>
      <c r="Q25" s="4" t="s">
        <v>410</v>
      </c>
      <c r="R25" s="4" t="s">
        <v>410</v>
      </c>
      <c r="S25" s="4" t="s">
        <v>410</v>
      </c>
      <c r="T25" s="4" t="s">
        <v>410</v>
      </c>
      <c r="U25" s="4" t="s">
        <v>410</v>
      </c>
      <c r="V25" s="4">
        <v>670</v>
      </c>
      <c r="W25" s="4">
        <f t="shared" si="3"/>
        <v>670</v>
      </c>
      <c r="X25" s="4">
        <v>335</v>
      </c>
      <c r="Y25" s="4">
        <f t="shared" si="4"/>
        <v>335</v>
      </c>
      <c r="Z25" s="4"/>
      <c r="AA25" s="21">
        <f t="shared" si="5"/>
        <v>570</v>
      </c>
      <c r="AB25" s="6">
        <f t="shared" si="6"/>
        <v>0.41228070175438591</v>
      </c>
      <c r="AC25" s="4">
        <v>1</v>
      </c>
      <c r="AD25" s="4">
        <f t="shared" si="7"/>
        <v>510</v>
      </c>
      <c r="AE25" s="4">
        <f t="shared" si="8"/>
        <v>569.5</v>
      </c>
      <c r="AF25" s="6">
        <f t="shared" si="9"/>
        <v>0.41176470588235292</v>
      </c>
      <c r="AG25" s="7">
        <v>570</v>
      </c>
      <c r="AH25" s="6">
        <f t="shared" si="10"/>
        <v>0.41228070175438591</v>
      </c>
      <c r="AI25" s="4">
        <f t="shared" si="11"/>
        <v>235</v>
      </c>
      <c r="AJ25" s="28"/>
      <c r="AK25" s="6"/>
      <c r="AL25" s="6"/>
      <c r="AM25" s="6">
        <f t="shared" si="12"/>
        <v>1.1166666666666667</v>
      </c>
      <c r="AN25" s="6">
        <f t="shared" si="13"/>
        <v>1.1176470588235294</v>
      </c>
      <c r="AO25" s="6">
        <f t="shared" si="14"/>
        <v>1.1166666666666667</v>
      </c>
      <c r="AP25" s="4" t="str">
        <f t="shared" si="15"/>
        <v>-</v>
      </c>
      <c r="AQ25" s="4" t="str">
        <f t="shared" si="16"/>
        <v>-</v>
      </c>
      <c r="AR25" s="4" t="str">
        <f t="shared" si="17"/>
        <v>-</v>
      </c>
      <c r="AS25" s="4" t="str">
        <f t="shared" si="18"/>
        <v>-</v>
      </c>
      <c r="AT25" s="4" t="str">
        <f t="shared" si="19"/>
        <v>-</v>
      </c>
      <c r="AU25" s="4" t="str">
        <f t="shared" si="20"/>
        <v>-</v>
      </c>
      <c r="AV25" s="4">
        <v>0</v>
      </c>
      <c r="AW25" s="4" t="s">
        <v>608</v>
      </c>
      <c r="AX25" s="4"/>
      <c r="AY25" s="4"/>
      <c r="AZ25" s="4" t="s">
        <v>586</v>
      </c>
      <c r="BA25" s="4">
        <v>510</v>
      </c>
      <c r="BB25" s="4">
        <v>510</v>
      </c>
      <c r="BC25" s="4">
        <f t="shared" si="21"/>
        <v>510</v>
      </c>
      <c r="BD25" s="19">
        <v>4</v>
      </c>
      <c r="BE25" s="19">
        <v>1</v>
      </c>
      <c r="BF25" s="16">
        <v>7</v>
      </c>
      <c r="BG25" s="36">
        <v>46174</v>
      </c>
      <c r="BH25">
        <v>510</v>
      </c>
      <c r="BI25">
        <v>570</v>
      </c>
      <c r="BJ25" s="4" t="s">
        <v>431</v>
      </c>
      <c r="BL25" s="44">
        <f t="shared" si="22"/>
        <v>9.8039215686274161E-4</v>
      </c>
      <c r="BM25" t="s">
        <v>792</v>
      </c>
    </row>
    <row r="26" spans="1:65" x14ac:dyDescent="0.4">
      <c r="A26" s="3">
        <v>29</v>
      </c>
      <c r="B26" s="3">
        <f t="shared" si="23"/>
        <v>23</v>
      </c>
      <c r="C26" s="4" t="s">
        <v>66</v>
      </c>
      <c r="D26" s="4" t="str">
        <f t="shared" si="0"/>
        <v>J145NB</v>
      </c>
      <c r="E26" s="4" t="s">
        <v>66</v>
      </c>
      <c r="F26" s="4" t="s">
        <v>213</v>
      </c>
      <c r="G26" s="5">
        <v>4977564731700</v>
      </c>
      <c r="H26" s="5">
        <v>5</v>
      </c>
      <c r="I26" s="5" t="str">
        <f t="shared" si="1"/>
        <v>J145NB5</v>
      </c>
      <c r="J26" s="5">
        <v>1</v>
      </c>
      <c r="K26" s="5">
        <v>1</v>
      </c>
      <c r="L26" s="4">
        <v>1100</v>
      </c>
      <c r="M26" s="4">
        <v>897</v>
      </c>
      <c r="N26" s="4">
        <v>550</v>
      </c>
      <c r="O26" s="6">
        <f t="shared" si="2"/>
        <v>0.38684503901895206</v>
      </c>
      <c r="P26" s="4" t="s">
        <v>410</v>
      </c>
      <c r="Q26" s="4" t="s">
        <v>410</v>
      </c>
      <c r="R26" s="4" t="s">
        <v>410</v>
      </c>
      <c r="S26" s="4" t="s">
        <v>410</v>
      </c>
      <c r="T26" s="4" t="s">
        <v>410</v>
      </c>
      <c r="U26" s="4" t="s">
        <v>410</v>
      </c>
      <c r="V26" s="4">
        <v>1200</v>
      </c>
      <c r="W26" s="4">
        <f t="shared" si="3"/>
        <v>1200</v>
      </c>
      <c r="X26" s="4">
        <v>600</v>
      </c>
      <c r="Y26" s="4">
        <f t="shared" si="4"/>
        <v>600</v>
      </c>
      <c r="Z26" s="4"/>
      <c r="AA26" s="21">
        <f t="shared" si="5"/>
        <v>979</v>
      </c>
      <c r="AB26" s="6">
        <f t="shared" si="6"/>
        <v>0.38712972420837588</v>
      </c>
      <c r="AC26" s="4">
        <v>0.75</v>
      </c>
      <c r="AD26" s="4">
        <f t="shared" si="7"/>
        <v>1073</v>
      </c>
      <c r="AE26" s="4">
        <f t="shared" si="8"/>
        <v>1170.5454545454545</v>
      </c>
      <c r="AF26" s="6">
        <f t="shared" si="9"/>
        <v>0.4874184529356943</v>
      </c>
      <c r="AG26" s="7">
        <v>980</v>
      </c>
      <c r="AH26" s="6">
        <f t="shared" si="10"/>
        <v>0.38775510204081631</v>
      </c>
      <c r="AI26" s="4">
        <f t="shared" si="11"/>
        <v>380</v>
      </c>
      <c r="AJ26" s="28"/>
      <c r="AK26" s="6"/>
      <c r="AL26" s="6"/>
      <c r="AM26" s="6">
        <f t="shared" si="12"/>
        <v>1.0909090909090908</v>
      </c>
      <c r="AN26" s="6">
        <f t="shared" si="13"/>
        <v>1.0925306577480491</v>
      </c>
      <c r="AO26" s="6">
        <f t="shared" si="14"/>
        <v>1.0909090909090908</v>
      </c>
      <c r="AP26" s="4" t="str">
        <f t="shared" si="15"/>
        <v>-</v>
      </c>
      <c r="AQ26" s="4" t="str">
        <f t="shared" si="16"/>
        <v>-</v>
      </c>
      <c r="AR26" s="4" t="str">
        <f t="shared" si="17"/>
        <v>-</v>
      </c>
      <c r="AS26" s="4" t="str">
        <f t="shared" si="18"/>
        <v>-</v>
      </c>
      <c r="AT26" s="4" t="str">
        <f t="shared" si="19"/>
        <v>-</v>
      </c>
      <c r="AU26" s="4" t="str">
        <f t="shared" si="20"/>
        <v>-</v>
      </c>
      <c r="AV26" s="4">
        <v>0</v>
      </c>
      <c r="AW26" s="4" t="s">
        <v>609</v>
      </c>
      <c r="AX26" s="4"/>
      <c r="AY26" s="4"/>
      <c r="AZ26" s="4" t="s">
        <v>586</v>
      </c>
      <c r="BA26" s="4">
        <v>1073</v>
      </c>
      <c r="BB26" s="4">
        <v>1073</v>
      </c>
      <c r="BC26" s="4">
        <f t="shared" si="21"/>
        <v>1073</v>
      </c>
      <c r="BD26" s="19">
        <v>4</v>
      </c>
      <c r="BE26" s="19">
        <v>8</v>
      </c>
      <c r="BF26" s="16">
        <v>7</v>
      </c>
      <c r="BG26" s="36">
        <v>46174</v>
      </c>
      <c r="BH26">
        <v>935</v>
      </c>
      <c r="BI26">
        <v>1100</v>
      </c>
      <c r="BJ26" s="4" t="s">
        <v>432</v>
      </c>
      <c r="BL26" s="44">
        <f t="shared" si="22"/>
        <v>1.6215668389583104E-3</v>
      </c>
      <c r="BM26" t="s">
        <v>792</v>
      </c>
    </row>
    <row r="27" spans="1:65" x14ac:dyDescent="0.4">
      <c r="A27" s="3">
        <v>30</v>
      </c>
      <c r="B27" s="3">
        <f t="shared" si="23"/>
        <v>24</v>
      </c>
      <c r="C27" s="4" t="s">
        <v>67</v>
      </c>
      <c r="D27" s="4" t="str">
        <f t="shared" si="0"/>
        <v>J146NB</v>
      </c>
      <c r="E27" s="4" t="s">
        <v>67</v>
      </c>
      <c r="F27" s="4" t="s">
        <v>214</v>
      </c>
      <c r="G27" s="5">
        <v>4977564731717</v>
      </c>
      <c r="H27" s="5">
        <v>5</v>
      </c>
      <c r="I27" s="5" t="str">
        <f t="shared" si="1"/>
        <v>J146NB5</v>
      </c>
      <c r="J27" s="5">
        <v>1</v>
      </c>
      <c r="K27" s="5">
        <v>1</v>
      </c>
      <c r="L27" s="4">
        <v>1100</v>
      </c>
      <c r="M27" s="4">
        <v>836</v>
      </c>
      <c r="N27" s="4">
        <v>550</v>
      </c>
      <c r="O27" s="6">
        <f t="shared" si="2"/>
        <v>0.34210526315789469</v>
      </c>
      <c r="P27" s="4" t="s">
        <v>410</v>
      </c>
      <c r="Q27" s="4" t="s">
        <v>410</v>
      </c>
      <c r="R27" s="4" t="s">
        <v>410</v>
      </c>
      <c r="S27" s="4" t="s">
        <v>410</v>
      </c>
      <c r="T27" s="4" t="s">
        <v>410</v>
      </c>
      <c r="U27" s="4" t="s">
        <v>410</v>
      </c>
      <c r="V27" s="4">
        <v>1200</v>
      </c>
      <c r="W27" s="4">
        <f t="shared" si="3"/>
        <v>1200</v>
      </c>
      <c r="X27" s="4">
        <v>600</v>
      </c>
      <c r="Y27" s="4">
        <f t="shared" si="4"/>
        <v>600</v>
      </c>
      <c r="Z27" s="4"/>
      <c r="AA27" s="21">
        <f t="shared" si="5"/>
        <v>912</v>
      </c>
      <c r="AB27" s="6">
        <f t="shared" si="6"/>
        <v>0.34210526315789469</v>
      </c>
      <c r="AC27" s="4">
        <v>0.5</v>
      </c>
      <c r="AD27" s="4">
        <f t="shared" si="7"/>
        <v>1073</v>
      </c>
      <c r="AE27" s="4">
        <f t="shared" si="8"/>
        <v>1170.5454545454545</v>
      </c>
      <c r="AF27" s="6">
        <f t="shared" si="9"/>
        <v>0.4874184529356943</v>
      </c>
      <c r="AG27" s="7">
        <v>980</v>
      </c>
      <c r="AH27" s="6">
        <f t="shared" si="10"/>
        <v>0.38775510204081631</v>
      </c>
      <c r="AI27" s="4">
        <f t="shared" si="11"/>
        <v>380</v>
      </c>
      <c r="AJ27" s="28"/>
      <c r="AK27" s="6"/>
      <c r="AL27" s="6"/>
      <c r="AM27" s="6">
        <f t="shared" si="12"/>
        <v>1.0909090909090908</v>
      </c>
      <c r="AN27" s="6">
        <f t="shared" si="13"/>
        <v>1.1722488038277512</v>
      </c>
      <c r="AO27" s="6">
        <f t="shared" si="14"/>
        <v>1.0909090909090908</v>
      </c>
      <c r="AP27" s="4" t="str">
        <f t="shared" si="15"/>
        <v>-</v>
      </c>
      <c r="AQ27" s="4" t="str">
        <f t="shared" si="16"/>
        <v>-</v>
      </c>
      <c r="AR27" s="4" t="str">
        <f t="shared" si="17"/>
        <v>-</v>
      </c>
      <c r="AS27" s="4" t="str">
        <f t="shared" si="18"/>
        <v>-</v>
      </c>
      <c r="AT27" s="4" t="str">
        <f t="shared" si="19"/>
        <v>-</v>
      </c>
      <c r="AU27" s="4" t="str">
        <f t="shared" si="20"/>
        <v>-</v>
      </c>
      <c r="AV27" s="4">
        <v>0</v>
      </c>
      <c r="AW27" s="4" t="s">
        <v>610</v>
      </c>
      <c r="AX27" s="4"/>
      <c r="AY27" s="4"/>
      <c r="AZ27" s="4" t="s">
        <v>586</v>
      </c>
      <c r="BA27" s="4">
        <v>1073</v>
      </c>
      <c r="BB27" s="4">
        <v>1073</v>
      </c>
      <c r="BC27" s="4">
        <f t="shared" si="21"/>
        <v>1073</v>
      </c>
      <c r="BD27" s="19">
        <v>4</v>
      </c>
      <c r="BE27" s="19">
        <v>8</v>
      </c>
      <c r="BF27" s="16">
        <v>7</v>
      </c>
      <c r="BG27" s="36">
        <v>46174</v>
      </c>
      <c r="BH27" t="s">
        <v>410</v>
      </c>
      <c r="BI27">
        <v>1100</v>
      </c>
      <c r="BJ27" s="4" t="s">
        <v>433</v>
      </c>
      <c r="BL27" s="44">
        <f t="shared" si="22"/>
        <v>8.1339712918660378E-2</v>
      </c>
      <c r="BM27" t="s">
        <v>792</v>
      </c>
    </row>
    <row r="28" spans="1:65" x14ac:dyDescent="0.4">
      <c r="A28" s="3">
        <v>31</v>
      </c>
      <c r="B28" s="3">
        <f t="shared" si="23"/>
        <v>25</v>
      </c>
      <c r="C28" s="4" t="s">
        <v>68</v>
      </c>
      <c r="D28" s="4" t="str">
        <f t="shared" si="0"/>
        <v>J147NB</v>
      </c>
      <c r="E28" s="4" t="s">
        <v>68</v>
      </c>
      <c r="F28" s="4" t="s">
        <v>215</v>
      </c>
      <c r="G28" s="5">
        <v>4977564731724</v>
      </c>
      <c r="H28" s="5">
        <v>5</v>
      </c>
      <c r="I28" s="5" t="str">
        <f t="shared" si="1"/>
        <v>J147NB5</v>
      </c>
      <c r="J28" s="5">
        <v>1</v>
      </c>
      <c r="K28" s="5">
        <v>1</v>
      </c>
      <c r="L28" s="4">
        <v>1100</v>
      </c>
      <c r="M28" s="4">
        <v>906</v>
      </c>
      <c r="N28" s="4">
        <v>550</v>
      </c>
      <c r="O28" s="6">
        <f t="shared" si="2"/>
        <v>0.39293598233995586</v>
      </c>
      <c r="P28" s="4" t="s">
        <v>410</v>
      </c>
      <c r="Q28" s="4" t="s">
        <v>410</v>
      </c>
      <c r="R28" s="4" t="s">
        <v>410</v>
      </c>
      <c r="S28" s="4" t="s">
        <v>410</v>
      </c>
      <c r="T28" s="4" t="s">
        <v>410</v>
      </c>
      <c r="U28" s="4" t="s">
        <v>410</v>
      </c>
      <c r="V28" s="4">
        <v>1200</v>
      </c>
      <c r="W28" s="4">
        <f t="shared" si="3"/>
        <v>1200</v>
      </c>
      <c r="X28" s="4">
        <v>600</v>
      </c>
      <c r="Y28" s="4">
        <f t="shared" si="4"/>
        <v>600</v>
      </c>
      <c r="Z28" s="4"/>
      <c r="AA28" s="21">
        <f t="shared" si="5"/>
        <v>988</v>
      </c>
      <c r="AB28" s="6">
        <f t="shared" si="6"/>
        <v>0.39271255060728749</v>
      </c>
      <c r="AC28" s="4">
        <v>1.25</v>
      </c>
      <c r="AD28" s="4">
        <f t="shared" si="7"/>
        <v>1073</v>
      </c>
      <c r="AE28" s="4">
        <f t="shared" si="8"/>
        <v>1170.5454545454545</v>
      </c>
      <c r="AF28" s="6">
        <f t="shared" si="9"/>
        <v>0.4874184529356943</v>
      </c>
      <c r="AG28" s="7">
        <v>980</v>
      </c>
      <c r="AH28" s="6">
        <f t="shared" si="10"/>
        <v>0.38775510204081631</v>
      </c>
      <c r="AI28" s="4">
        <f t="shared" si="11"/>
        <v>380</v>
      </c>
      <c r="AJ28" s="28"/>
      <c r="AK28" s="6"/>
      <c r="AL28" s="6"/>
      <c r="AM28" s="6">
        <f t="shared" si="12"/>
        <v>1.0909090909090908</v>
      </c>
      <c r="AN28" s="6">
        <f t="shared" si="13"/>
        <v>1.0816777041942605</v>
      </c>
      <c r="AO28" s="6">
        <f t="shared" si="14"/>
        <v>1.0909090909090908</v>
      </c>
      <c r="AP28" s="4" t="str">
        <f t="shared" si="15"/>
        <v>-</v>
      </c>
      <c r="AQ28" s="4" t="str">
        <f t="shared" si="16"/>
        <v>-</v>
      </c>
      <c r="AR28" s="4" t="str">
        <f t="shared" si="17"/>
        <v>-</v>
      </c>
      <c r="AS28" s="4" t="str">
        <f t="shared" si="18"/>
        <v>-</v>
      </c>
      <c r="AT28" s="4" t="str">
        <f t="shared" si="19"/>
        <v>-</v>
      </c>
      <c r="AU28" s="4" t="str">
        <f t="shared" si="20"/>
        <v>-</v>
      </c>
      <c r="AV28" s="4">
        <v>0</v>
      </c>
      <c r="AW28" s="4" t="s">
        <v>611</v>
      </c>
      <c r="AX28" s="4"/>
      <c r="AY28" s="4"/>
      <c r="AZ28" s="4" t="s">
        <v>586</v>
      </c>
      <c r="BA28" s="4">
        <v>1073</v>
      </c>
      <c r="BB28" s="4">
        <v>1073</v>
      </c>
      <c r="BC28" s="4">
        <f t="shared" si="21"/>
        <v>1073</v>
      </c>
      <c r="BD28" s="19">
        <v>4</v>
      </c>
      <c r="BE28" s="19">
        <v>8</v>
      </c>
      <c r="BF28" s="16">
        <v>7</v>
      </c>
      <c r="BG28" s="36">
        <v>46174</v>
      </c>
      <c r="BH28">
        <v>935</v>
      </c>
      <c r="BI28">
        <v>1100</v>
      </c>
      <c r="BJ28" s="4" t="s">
        <v>434</v>
      </c>
      <c r="BL28" s="44">
        <f t="shared" si="22"/>
        <v>-9.2313867148303697E-3</v>
      </c>
      <c r="BM28" t="s">
        <v>792</v>
      </c>
    </row>
    <row r="29" spans="1:65" x14ac:dyDescent="0.4">
      <c r="A29" s="3">
        <v>32</v>
      </c>
      <c r="B29" s="3">
        <f t="shared" si="23"/>
        <v>26</v>
      </c>
      <c r="C29" s="4" t="s">
        <v>69</v>
      </c>
      <c r="D29" s="4" t="str">
        <f t="shared" si="0"/>
        <v>J148NB</v>
      </c>
      <c r="E29" s="4" t="s">
        <v>69</v>
      </c>
      <c r="F29" s="4" t="s">
        <v>216</v>
      </c>
      <c r="G29" s="5">
        <v>4977564735623</v>
      </c>
      <c r="H29" s="5">
        <v>5</v>
      </c>
      <c r="I29" s="5" t="str">
        <f t="shared" si="1"/>
        <v>J148NB5</v>
      </c>
      <c r="J29" s="5">
        <v>1</v>
      </c>
      <c r="K29" s="5">
        <v>1</v>
      </c>
      <c r="L29" s="4">
        <v>1100</v>
      </c>
      <c r="M29" s="4">
        <v>721</v>
      </c>
      <c r="N29" s="4">
        <v>550</v>
      </c>
      <c r="O29" s="6">
        <f t="shared" si="2"/>
        <v>0.23717059639389737</v>
      </c>
      <c r="P29" s="4" t="s">
        <v>410</v>
      </c>
      <c r="Q29" s="4" t="s">
        <v>410</v>
      </c>
      <c r="R29" s="4" t="s">
        <v>410</v>
      </c>
      <c r="S29" s="4" t="s">
        <v>410</v>
      </c>
      <c r="T29" s="4" t="s">
        <v>410</v>
      </c>
      <c r="U29" s="4" t="s">
        <v>410</v>
      </c>
      <c r="V29" s="4">
        <v>1200</v>
      </c>
      <c r="W29" s="4">
        <f t="shared" si="3"/>
        <v>1200</v>
      </c>
      <c r="X29" s="4">
        <v>600</v>
      </c>
      <c r="Y29" s="4">
        <f t="shared" si="4"/>
        <v>600</v>
      </c>
      <c r="Z29" s="4"/>
      <c r="AA29" s="21">
        <f t="shared" si="5"/>
        <v>787</v>
      </c>
      <c r="AB29" s="6">
        <f t="shared" si="6"/>
        <v>0.23761118170266837</v>
      </c>
      <c r="AC29" s="4">
        <v>0.5</v>
      </c>
      <c r="AD29" s="4">
        <f t="shared" si="7"/>
        <v>1073</v>
      </c>
      <c r="AE29" s="4">
        <f t="shared" si="8"/>
        <v>1170.5454545454545</v>
      </c>
      <c r="AF29" s="6">
        <f t="shared" si="9"/>
        <v>0.4874184529356943</v>
      </c>
      <c r="AG29" s="7">
        <v>980</v>
      </c>
      <c r="AH29" s="6">
        <f t="shared" si="10"/>
        <v>0.38775510204081631</v>
      </c>
      <c r="AI29" s="4">
        <f t="shared" si="11"/>
        <v>380</v>
      </c>
      <c r="AJ29" s="28"/>
      <c r="AK29" s="6"/>
      <c r="AL29" s="6"/>
      <c r="AM29" s="6">
        <f t="shared" si="12"/>
        <v>1.0909090909090908</v>
      </c>
      <c r="AN29" s="6">
        <f t="shared" si="13"/>
        <v>1.3592233009708738</v>
      </c>
      <c r="AO29" s="6">
        <f t="shared" si="14"/>
        <v>1.0909090909090908</v>
      </c>
      <c r="AP29" s="4" t="str">
        <f t="shared" si="15"/>
        <v>-</v>
      </c>
      <c r="AQ29" s="4" t="str">
        <f t="shared" si="16"/>
        <v>-</v>
      </c>
      <c r="AR29" s="4" t="str">
        <f t="shared" si="17"/>
        <v>-</v>
      </c>
      <c r="AS29" s="4" t="str">
        <f t="shared" si="18"/>
        <v>-</v>
      </c>
      <c r="AT29" s="4" t="str">
        <f t="shared" si="19"/>
        <v>-</v>
      </c>
      <c r="AU29" s="4" t="str">
        <f t="shared" si="20"/>
        <v>-</v>
      </c>
      <c r="AV29" s="4">
        <v>0</v>
      </c>
      <c r="AW29" s="4" t="s">
        <v>612</v>
      </c>
      <c r="AX29" s="4"/>
      <c r="AY29" s="4"/>
      <c r="AZ29" s="4" t="s">
        <v>586</v>
      </c>
      <c r="BA29" s="4">
        <v>1073</v>
      </c>
      <c r="BB29" s="4">
        <v>1073</v>
      </c>
      <c r="BC29" s="4">
        <f t="shared" si="21"/>
        <v>1073</v>
      </c>
      <c r="BD29" s="19">
        <v>4</v>
      </c>
      <c r="BE29" s="19">
        <v>8</v>
      </c>
      <c r="BF29" s="16">
        <v>7</v>
      </c>
      <c r="BG29" s="36">
        <v>46174</v>
      </c>
      <c r="BH29">
        <v>935</v>
      </c>
      <c r="BI29">
        <v>1100</v>
      </c>
      <c r="BJ29" s="4" t="s">
        <v>435</v>
      </c>
      <c r="BL29" s="44">
        <f t="shared" si="22"/>
        <v>0.26831421006178302</v>
      </c>
      <c r="BM29" t="s">
        <v>792</v>
      </c>
    </row>
    <row r="30" spans="1:65" x14ac:dyDescent="0.4">
      <c r="A30" s="3">
        <v>33</v>
      </c>
      <c r="B30" s="3">
        <f t="shared" si="23"/>
        <v>27</v>
      </c>
      <c r="C30" s="4" t="s">
        <v>70</v>
      </c>
      <c r="D30" s="4" t="str">
        <f t="shared" ref="D30:D40" si="24">TEXT(C30,"000000")</f>
        <v>J149NB</v>
      </c>
      <c r="E30" s="4" t="s">
        <v>70</v>
      </c>
      <c r="F30" s="4" t="s">
        <v>217</v>
      </c>
      <c r="G30" s="5">
        <v>4977564756949</v>
      </c>
      <c r="H30" s="5">
        <v>5</v>
      </c>
      <c r="I30" s="5" t="str">
        <f t="shared" si="1"/>
        <v>J149NB5</v>
      </c>
      <c r="J30" s="5">
        <v>1</v>
      </c>
      <c r="K30" s="5">
        <v>1</v>
      </c>
      <c r="L30" s="4">
        <v>1100</v>
      </c>
      <c r="M30" s="4">
        <v>906</v>
      </c>
      <c r="N30" s="4">
        <v>550</v>
      </c>
      <c r="O30" s="6">
        <f t="shared" si="2"/>
        <v>0.39293598233995586</v>
      </c>
      <c r="P30" s="4" t="s">
        <v>410</v>
      </c>
      <c r="Q30" s="4" t="s">
        <v>410</v>
      </c>
      <c r="R30" s="4" t="s">
        <v>410</v>
      </c>
      <c r="S30" s="4" t="s">
        <v>410</v>
      </c>
      <c r="T30" s="4" t="s">
        <v>410</v>
      </c>
      <c r="U30" s="4" t="s">
        <v>410</v>
      </c>
      <c r="V30" s="4">
        <v>1200</v>
      </c>
      <c r="W30" s="4">
        <f t="shared" si="3"/>
        <v>1200</v>
      </c>
      <c r="X30" s="4">
        <v>600</v>
      </c>
      <c r="Y30" s="4">
        <f t="shared" si="4"/>
        <v>600</v>
      </c>
      <c r="Z30" s="4"/>
      <c r="AA30" s="21">
        <f t="shared" si="5"/>
        <v>988</v>
      </c>
      <c r="AB30" s="6">
        <f t="shared" si="6"/>
        <v>0.39271255060728749</v>
      </c>
      <c r="AC30" s="4">
        <v>0.5</v>
      </c>
      <c r="AD30" s="4">
        <f t="shared" si="7"/>
        <v>1073</v>
      </c>
      <c r="AE30" s="4">
        <f t="shared" si="8"/>
        <v>1170.5454545454545</v>
      </c>
      <c r="AF30" s="6">
        <f t="shared" si="9"/>
        <v>0.4874184529356943</v>
      </c>
      <c r="AG30" s="7">
        <v>980</v>
      </c>
      <c r="AH30" s="6">
        <f t="shared" si="10"/>
        <v>0.38775510204081631</v>
      </c>
      <c r="AI30" s="4">
        <f t="shared" si="11"/>
        <v>380</v>
      </c>
      <c r="AJ30" s="28"/>
      <c r="AK30" s="6"/>
      <c r="AL30" s="6"/>
      <c r="AM30" s="6">
        <f t="shared" si="12"/>
        <v>1.0909090909090908</v>
      </c>
      <c r="AN30" s="6">
        <f t="shared" si="13"/>
        <v>1.0816777041942605</v>
      </c>
      <c r="AO30" s="6">
        <f t="shared" si="14"/>
        <v>1.0909090909090908</v>
      </c>
      <c r="AP30" s="4" t="str">
        <f t="shared" si="15"/>
        <v>-</v>
      </c>
      <c r="AQ30" s="4" t="str">
        <f t="shared" si="16"/>
        <v>-</v>
      </c>
      <c r="AR30" s="4" t="str">
        <f t="shared" si="17"/>
        <v>-</v>
      </c>
      <c r="AS30" s="4" t="str">
        <f t="shared" si="18"/>
        <v>-</v>
      </c>
      <c r="AT30" s="4" t="str">
        <f t="shared" si="19"/>
        <v>-</v>
      </c>
      <c r="AU30" s="4" t="str">
        <f t="shared" si="20"/>
        <v>-</v>
      </c>
      <c r="AV30" s="4">
        <v>0</v>
      </c>
      <c r="AW30" s="4" t="s">
        <v>613</v>
      </c>
      <c r="AX30" s="4"/>
      <c r="AY30" s="4"/>
      <c r="AZ30" s="4" t="s">
        <v>586</v>
      </c>
      <c r="BA30" s="4">
        <v>1073</v>
      </c>
      <c r="BB30" s="4">
        <v>1073</v>
      </c>
      <c r="BC30" s="4">
        <f t="shared" si="21"/>
        <v>1073</v>
      </c>
      <c r="BD30" s="19">
        <v>4</v>
      </c>
      <c r="BE30" s="19">
        <v>8</v>
      </c>
      <c r="BF30" s="16">
        <v>7</v>
      </c>
      <c r="BG30" s="36">
        <v>46174</v>
      </c>
      <c r="BH30">
        <v>935</v>
      </c>
      <c r="BI30">
        <v>1100</v>
      </c>
      <c r="BJ30" s="4" t="s">
        <v>436</v>
      </c>
      <c r="BL30" s="44">
        <f t="shared" si="22"/>
        <v>-9.2313867148303697E-3</v>
      </c>
      <c r="BM30" t="s">
        <v>792</v>
      </c>
    </row>
    <row r="31" spans="1:65" x14ac:dyDescent="0.4">
      <c r="A31" s="3">
        <v>34</v>
      </c>
      <c r="B31" s="3">
        <f t="shared" si="23"/>
        <v>28</v>
      </c>
      <c r="C31" s="4" t="s">
        <v>71</v>
      </c>
      <c r="D31" s="4" t="str">
        <f t="shared" si="24"/>
        <v>J150NB</v>
      </c>
      <c r="E31" s="4" t="s">
        <v>71</v>
      </c>
      <c r="F31" s="4" t="s">
        <v>218</v>
      </c>
      <c r="G31" s="5">
        <v>4977564756956</v>
      </c>
      <c r="H31" s="5">
        <v>5</v>
      </c>
      <c r="I31" s="5" t="str">
        <f t="shared" si="1"/>
        <v>J150NB5</v>
      </c>
      <c r="J31" s="5">
        <v>1</v>
      </c>
      <c r="K31" s="5">
        <v>1</v>
      </c>
      <c r="L31" s="4">
        <v>690</v>
      </c>
      <c r="M31" s="4">
        <v>569</v>
      </c>
      <c r="N31" s="4">
        <v>345</v>
      </c>
      <c r="O31" s="6">
        <f t="shared" si="2"/>
        <v>0.39367311072056244</v>
      </c>
      <c r="P31" s="4" t="s">
        <v>410</v>
      </c>
      <c r="Q31" s="4" t="s">
        <v>410</v>
      </c>
      <c r="R31" s="4" t="s">
        <v>410</v>
      </c>
      <c r="S31" s="4" t="s">
        <v>410</v>
      </c>
      <c r="T31" s="4" t="s">
        <v>410</v>
      </c>
      <c r="U31" s="4" t="s">
        <v>410</v>
      </c>
      <c r="V31" s="4">
        <v>750</v>
      </c>
      <c r="W31" s="4">
        <f t="shared" si="3"/>
        <v>750</v>
      </c>
      <c r="X31" s="4">
        <v>375</v>
      </c>
      <c r="Y31" s="4">
        <f t="shared" si="4"/>
        <v>375</v>
      </c>
      <c r="Z31" s="4"/>
      <c r="AA31" s="21">
        <f t="shared" si="5"/>
        <v>618</v>
      </c>
      <c r="AB31" s="6">
        <f t="shared" si="6"/>
        <v>0.39320388349514568</v>
      </c>
      <c r="AC31" s="4">
        <v>3</v>
      </c>
      <c r="AD31" s="4">
        <f t="shared" si="7"/>
        <v>680</v>
      </c>
      <c r="AE31" s="4">
        <f t="shared" si="8"/>
        <v>739.13043478260863</v>
      </c>
      <c r="AF31" s="6">
        <f t="shared" si="9"/>
        <v>0.49264705882352933</v>
      </c>
      <c r="AG31" s="7">
        <v>618</v>
      </c>
      <c r="AH31" s="6">
        <f t="shared" si="10"/>
        <v>0.39320388349514568</v>
      </c>
      <c r="AI31" s="4">
        <f t="shared" si="11"/>
        <v>243</v>
      </c>
      <c r="AJ31" s="28"/>
      <c r="AK31" s="6"/>
      <c r="AL31" s="6"/>
      <c r="AM31" s="6">
        <f t="shared" si="12"/>
        <v>1.0869565217391304</v>
      </c>
      <c r="AN31" s="6">
        <f t="shared" si="13"/>
        <v>1.086115992970123</v>
      </c>
      <c r="AO31" s="6">
        <f t="shared" si="14"/>
        <v>1.0869565217391304</v>
      </c>
      <c r="AP31" s="4" t="str">
        <f t="shared" si="15"/>
        <v>-</v>
      </c>
      <c r="AQ31" s="4" t="str">
        <f t="shared" si="16"/>
        <v>-</v>
      </c>
      <c r="AR31" s="4" t="str">
        <f t="shared" si="17"/>
        <v>-</v>
      </c>
      <c r="AS31" s="4" t="str">
        <f t="shared" si="18"/>
        <v>-</v>
      </c>
      <c r="AT31" s="4" t="str">
        <f t="shared" si="19"/>
        <v>-</v>
      </c>
      <c r="AU31" s="4" t="str">
        <f t="shared" si="20"/>
        <v>-</v>
      </c>
      <c r="AV31" s="4">
        <v>0</v>
      </c>
      <c r="AW31" s="4" t="s">
        <v>614</v>
      </c>
      <c r="AX31" s="4"/>
      <c r="AY31" s="4"/>
      <c r="AZ31" s="4" t="s">
        <v>586</v>
      </c>
      <c r="BA31" s="4">
        <v>680</v>
      </c>
      <c r="BB31" s="4">
        <v>680</v>
      </c>
      <c r="BC31" s="4">
        <f t="shared" si="21"/>
        <v>680</v>
      </c>
      <c r="BD31" s="19">
        <v>4</v>
      </c>
      <c r="BE31" s="19">
        <v>1</v>
      </c>
      <c r="BF31" s="16">
        <v>7</v>
      </c>
      <c r="BG31" s="36">
        <v>46174</v>
      </c>
      <c r="BH31">
        <v>590</v>
      </c>
      <c r="BI31">
        <v>690</v>
      </c>
      <c r="BJ31" s="4" t="s">
        <v>437</v>
      </c>
      <c r="BL31" s="44">
        <f t="shared" si="22"/>
        <v>-8.4052876900742035E-4</v>
      </c>
      <c r="BM31" t="s">
        <v>792</v>
      </c>
    </row>
    <row r="32" spans="1:65" x14ac:dyDescent="0.4">
      <c r="A32" s="3">
        <v>41</v>
      </c>
      <c r="B32" s="3">
        <f t="shared" si="23"/>
        <v>29</v>
      </c>
      <c r="C32" s="4" t="s">
        <v>72</v>
      </c>
      <c r="D32" s="4" t="str">
        <f t="shared" si="24"/>
        <v>J152NA</v>
      </c>
      <c r="E32" s="4" t="s">
        <v>72</v>
      </c>
      <c r="F32" s="4" t="s">
        <v>219</v>
      </c>
      <c r="G32" s="5">
        <v>4977564730116</v>
      </c>
      <c r="H32" s="5">
        <v>5</v>
      </c>
      <c r="I32" s="5" t="str">
        <f t="shared" si="1"/>
        <v>J152NA5</v>
      </c>
      <c r="J32" s="5">
        <v>1</v>
      </c>
      <c r="K32" s="5">
        <v>1</v>
      </c>
      <c r="L32" s="4">
        <v>700</v>
      </c>
      <c r="M32" s="4">
        <v>577</v>
      </c>
      <c r="N32" s="4">
        <v>350</v>
      </c>
      <c r="O32" s="6">
        <f t="shared" si="2"/>
        <v>0.39341421143847488</v>
      </c>
      <c r="P32" s="4" t="s">
        <v>410</v>
      </c>
      <c r="Q32" s="4" t="s">
        <v>410</v>
      </c>
      <c r="R32" s="4" t="s">
        <v>410</v>
      </c>
      <c r="S32" s="4" t="s">
        <v>410</v>
      </c>
      <c r="T32" s="4" t="s">
        <v>410</v>
      </c>
      <c r="U32" s="4" t="s">
        <v>410</v>
      </c>
      <c r="V32" s="4">
        <v>800</v>
      </c>
      <c r="W32" s="4">
        <f t="shared" si="3"/>
        <v>800</v>
      </c>
      <c r="X32" s="4">
        <v>400</v>
      </c>
      <c r="Y32" s="4">
        <f t="shared" si="4"/>
        <v>400</v>
      </c>
      <c r="Z32" s="4"/>
      <c r="AA32" s="21">
        <f t="shared" si="5"/>
        <v>659</v>
      </c>
      <c r="AB32" s="6">
        <f t="shared" si="6"/>
        <v>0.39301972685887709</v>
      </c>
      <c r="AC32" s="4">
        <v>1.5</v>
      </c>
      <c r="AD32" s="4" t="str">
        <f t="shared" si="7"/>
        <v>-</v>
      </c>
      <c r="AE32" s="4" t="e">
        <f t="shared" si="8"/>
        <v>#VALUE!</v>
      </c>
      <c r="AF32" s="6" t="e">
        <f t="shared" si="9"/>
        <v>#VALUE!</v>
      </c>
      <c r="AG32" s="7">
        <v>659</v>
      </c>
      <c r="AH32" s="6">
        <f t="shared" si="10"/>
        <v>0.39301972685887709</v>
      </c>
      <c r="AI32" s="4">
        <f t="shared" si="11"/>
        <v>259</v>
      </c>
      <c r="AJ32" s="28"/>
      <c r="AK32" s="6"/>
      <c r="AL32" s="6"/>
      <c r="AM32" s="6">
        <f t="shared" si="12"/>
        <v>1.1428571428571428</v>
      </c>
      <c r="AN32" s="6">
        <f t="shared" si="13"/>
        <v>1.1421143847487001</v>
      </c>
      <c r="AO32" s="6">
        <f t="shared" si="14"/>
        <v>1.1428571428571428</v>
      </c>
      <c r="AP32" s="4" t="str">
        <f t="shared" si="15"/>
        <v>-</v>
      </c>
      <c r="AQ32" s="4" t="str">
        <f t="shared" si="16"/>
        <v>-</v>
      </c>
      <c r="AR32" s="4" t="str">
        <f t="shared" si="17"/>
        <v>-</v>
      </c>
      <c r="AS32" s="4" t="str">
        <f t="shared" si="18"/>
        <v>-</v>
      </c>
      <c r="AT32" s="4" t="str">
        <f t="shared" si="19"/>
        <v>-</v>
      </c>
      <c r="AU32" s="4" t="str">
        <f t="shared" si="20"/>
        <v>-</v>
      </c>
      <c r="AV32" s="4">
        <v>0</v>
      </c>
      <c r="AW32" s="4" t="s">
        <v>410</v>
      </c>
      <c r="AX32" s="4"/>
      <c r="AY32" s="4"/>
      <c r="AZ32" s="4" t="s">
        <v>410</v>
      </c>
      <c r="BA32" s="4" t="s">
        <v>410</v>
      </c>
      <c r="BB32" s="4" t="s">
        <v>410</v>
      </c>
      <c r="BC32" s="4" t="str">
        <f t="shared" si="21"/>
        <v>-</v>
      </c>
      <c r="BD32" s="19">
        <v>4</v>
      </c>
      <c r="BE32" s="19">
        <v>1</v>
      </c>
      <c r="BF32" s="16">
        <v>3</v>
      </c>
      <c r="BG32" s="36">
        <v>46174</v>
      </c>
      <c r="BH32" t="s">
        <v>410</v>
      </c>
      <c r="BI32">
        <v>700</v>
      </c>
      <c r="BJ32" s="4" t="s">
        <v>410</v>
      </c>
      <c r="BL32" s="44">
        <f t="shared" si="22"/>
        <v>-7.4275810844270929E-4</v>
      </c>
      <c r="BM32" t="s">
        <v>792</v>
      </c>
    </row>
    <row r="33" spans="1:65" x14ac:dyDescent="0.4">
      <c r="A33" s="3">
        <v>42</v>
      </c>
      <c r="B33" s="3">
        <f t="shared" si="23"/>
        <v>30</v>
      </c>
      <c r="C33" s="4" t="s">
        <v>73</v>
      </c>
      <c r="D33" s="4" t="str">
        <f t="shared" si="24"/>
        <v>J153NA</v>
      </c>
      <c r="E33" s="4" t="s">
        <v>73</v>
      </c>
      <c r="F33" s="4" t="s">
        <v>220</v>
      </c>
      <c r="G33" s="5">
        <v>4977564730147</v>
      </c>
      <c r="H33" s="5">
        <v>5</v>
      </c>
      <c r="I33" s="5" t="str">
        <f t="shared" si="1"/>
        <v>J153NA5</v>
      </c>
      <c r="J33" s="5">
        <v>1</v>
      </c>
      <c r="K33" s="5">
        <v>1</v>
      </c>
      <c r="L33" s="4">
        <v>700</v>
      </c>
      <c r="M33" s="4">
        <v>577</v>
      </c>
      <c r="N33" s="4">
        <v>350</v>
      </c>
      <c r="O33" s="6">
        <f t="shared" si="2"/>
        <v>0.39341421143847488</v>
      </c>
      <c r="P33" s="4" t="s">
        <v>410</v>
      </c>
      <c r="Q33" s="4" t="s">
        <v>410</v>
      </c>
      <c r="R33" s="4" t="s">
        <v>410</v>
      </c>
      <c r="S33" s="4" t="s">
        <v>410</v>
      </c>
      <c r="T33" s="4" t="s">
        <v>410</v>
      </c>
      <c r="U33" s="4" t="s">
        <v>410</v>
      </c>
      <c r="V33" s="4">
        <v>800</v>
      </c>
      <c r="W33" s="4">
        <f t="shared" si="3"/>
        <v>800</v>
      </c>
      <c r="X33" s="4">
        <v>400</v>
      </c>
      <c r="Y33" s="4">
        <f t="shared" si="4"/>
        <v>400</v>
      </c>
      <c r="Z33" s="4"/>
      <c r="AA33" s="21">
        <f t="shared" si="5"/>
        <v>659</v>
      </c>
      <c r="AB33" s="6">
        <f t="shared" si="6"/>
        <v>0.39301972685887709</v>
      </c>
      <c r="AC33" s="4">
        <v>1.25</v>
      </c>
      <c r="AD33" s="4" t="str">
        <f t="shared" si="7"/>
        <v>-</v>
      </c>
      <c r="AE33" s="4" t="e">
        <f t="shared" si="8"/>
        <v>#VALUE!</v>
      </c>
      <c r="AF33" s="6" t="e">
        <f t="shared" si="9"/>
        <v>#VALUE!</v>
      </c>
      <c r="AG33" s="7">
        <v>659</v>
      </c>
      <c r="AH33" s="6">
        <f t="shared" si="10"/>
        <v>0.39301972685887709</v>
      </c>
      <c r="AI33" s="4">
        <f t="shared" si="11"/>
        <v>259</v>
      </c>
      <c r="AJ33" s="28"/>
      <c r="AK33" s="6"/>
      <c r="AL33" s="6"/>
      <c r="AM33" s="6">
        <f t="shared" si="12"/>
        <v>1.1428571428571428</v>
      </c>
      <c r="AN33" s="6">
        <f t="shared" si="13"/>
        <v>1.1421143847487001</v>
      </c>
      <c r="AO33" s="6">
        <f t="shared" si="14"/>
        <v>1.1428571428571428</v>
      </c>
      <c r="AP33" s="4" t="str">
        <f t="shared" si="15"/>
        <v>-</v>
      </c>
      <c r="AQ33" s="4" t="str">
        <f t="shared" si="16"/>
        <v>-</v>
      </c>
      <c r="AR33" s="4" t="str">
        <f t="shared" si="17"/>
        <v>-</v>
      </c>
      <c r="AS33" s="4" t="str">
        <f t="shared" si="18"/>
        <v>-</v>
      </c>
      <c r="AT33" s="4" t="str">
        <f t="shared" si="19"/>
        <v>-</v>
      </c>
      <c r="AU33" s="4" t="str">
        <f t="shared" si="20"/>
        <v>-</v>
      </c>
      <c r="AV33" s="4">
        <v>0</v>
      </c>
      <c r="AW33" s="4" t="s">
        <v>410</v>
      </c>
      <c r="AX33" s="4"/>
      <c r="AY33" s="4"/>
      <c r="AZ33" s="4" t="s">
        <v>410</v>
      </c>
      <c r="BA33" s="4" t="s">
        <v>410</v>
      </c>
      <c r="BB33" s="4" t="s">
        <v>410</v>
      </c>
      <c r="BC33" s="4" t="str">
        <f t="shared" si="21"/>
        <v>-</v>
      </c>
      <c r="BD33" s="19">
        <v>4</v>
      </c>
      <c r="BE33" s="19">
        <v>8</v>
      </c>
      <c r="BF33" s="16">
        <v>3</v>
      </c>
      <c r="BG33" s="36">
        <v>46174</v>
      </c>
      <c r="BH33" t="s">
        <v>410</v>
      </c>
      <c r="BI33">
        <v>700</v>
      </c>
      <c r="BJ33" s="4" t="s">
        <v>410</v>
      </c>
      <c r="BL33" s="44">
        <f t="shared" si="22"/>
        <v>-7.4275810844270929E-4</v>
      </c>
      <c r="BM33" t="s">
        <v>792</v>
      </c>
    </row>
    <row r="34" spans="1:65" x14ac:dyDescent="0.4">
      <c r="A34" s="3">
        <v>43</v>
      </c>
      <c r="B34" s="3">
        <f t="shared" si="23"/>
        <v>31</v>
      </c>
      <c r="C34" s="4" t="s">
        <v>74</v>
      </c>
      <c r="D34" s="4" t="str">
        <f t="shared" si="24"/>
        <v>J154NA</v>
      </c>
      <c r="E34" s="4" t="s">
        <v>74</v>
      </c>
      <c r="F34" s="4" t="s">
        <v>221</v>
      </c>
      <c r="G34" s="5">
        <v>4977564730154</v>
      </c>
      <c r="H34" s="5">
        <v>5</v>
      </c>
      <c r="I34" s="5" t="str">
        <f t="shared" si="1"/>
        <v>J154NA5</v>
      </c>
      <c r="J34" s="5">
        <v>1</v>
      </c>
      <c r="K34" s="5">
        <v>1</v>
      </c>
      <c r="L34" s="4">
        <v>700</v>
      </c>
      <c r="M34" s="4">
        <v>577</v>
      </c>
      <c r="N34" s="4">
        <v>350</v>
      </c>
      <c r="O34" s="6">
        <f t="shared" si="2"/>
        <v>0.39341421143847488</v>
      </c>
      <c r="P34" s="4" t="s">
        <v>410</v>
      </c>
      <c r="Q34" s="4" t="s">
        <v>410</v>
      </c>
      <c r="R34" s="4" t="s">
        <v>410</v>
      </c>
      <c r="S34" s="4" t="s">
        <v>410</v>
      </c>
      <c r="T34" s="4" t="s">
        <v>410</v>
      </c>
      <c r="U34" s="4" t="s">
        <v>410</v>
      </c>
      <c r="V34" s="4">
        <v>800</v>
      </c>
      <c r="W34" s="4">
        <f t="shared" si="3"/>
        <v>800</v>
      </c>
      <c r="X34" s="4">
        <v>400</v>
      </c>
      <c r="Y34" s="4">
        <f t="shared" si="4"/>
        <v>400</v>
      </c>
      <c r="Z34" s="4"/>
      <c r="AA34" s="21">
        <f t="shared" si="5"/>
        <v>659</v>
      </c>
      <c r="AB34" s="6">
        <f t="shared" si="6"/>
        <v>0.39301972685887709</v>
      </c>
      <c r="AC34" s="4">
        <v>0.5</v>
      </c>
      <c r="AD34" s="4" t="str">
        <f t="shared" si="7"/>
        <v>-</v>
      </c>
      <c r="AE34" s="4" t="e">
        <f t="shared" si="8"/>
        <v>#VALUE!</v>
      </c>
      <c r="AF34" s="6" t="e">
        <f t="shared" si="9"/>
        <v>#VALUE!</v>
      </c>
      <c r="AG34" s="7">
        <v>659</v>
      </c>
      <c r="AH34" s="6">
        <f t="shared" si="10"/>
        <v>0.39301972685887709</v>
      </c>
      <c r="AI34" s="4">
        <f t="shared" si="11"/>
        <v>259</v>
      </c>
      <c r="AJ34" s="28"/>
      <c r="AK34" s="6"/>
      <c r="AL34" s="6"/>
      <c r="AM34" s="6">
        <f t="shared" si="12"/>
        <v>1.1428571428571428</v>
      </c>
      <c r="AN34" s="6">
        <f t="shared" si="13"/>
        <v>1.1421143847487001</v>
      </c>
      <c r="AO34" s="6">
        <f t="shared" si="14"/>
        <v>1.1428571428571428</v>
      </c>
      <c r="AP34" s="4" t="str">
        <f t="shared" si="15"/>
        <v>-</v>
      </c>
      <c r="AQ34" s="4" t="str">
        <f t="shared" si="16"/>
        <v>-</v>
      </c>
      <c r="AR34" s="4" t="str">
        <f t="shared" si="17"/>
        <v>-</v>
      </c>
      <c r="AS34" s="4" t="str">
        <f t="shared" si="18"/>
        <v>-</v>
      </c>
      <c r="AT34" s="4" t="str">
        <f t="shared" si="19"/>
        <v>-</v>
      </c>
      <c r="AU34" s="4" t="str">
        <f t="shared" si="20"/>
        <v>-</v>
      </c>
      <c r="AV34" s="4">
        <v>0</v>
      </c>
      <c r="AW34" s="4" t="s">
        <v>410</v>
      </c>
      <c r="AX34" s="4"/>
      <c r="AY34" s="4"/>
      <c r="AZ34" s="4" t="s">
        <v>410</v>
      </c>
      <c r="BA34" s="4" t="s">
        <v>410</v>
      </c>
      <c r="BB34" s="4" t="s">
        <v>410</v>
      </c>
      <c r="BC34" s="4" t="str">
        <f t="shared" si="21"/>
        <v>-</v>
      </c>
      <c r="BD34" s="19">
        <v>4</v>
      </c>
      <c r="BE34" s="19">
        <v>1</v>
      </c>
      <c r="BF34" s="16">
        <v>3</v>
      </c>
      <c r="BG34" s="36">
        <v>46174</v>
      </c>
      <c r="BH34" t="s">
        <v>410</v>
      </c>
      <c r="BI34">
        <v>700</v>
      </c>
      <c r="BJ34" s="4" t="s">
        <v>410</v>
      </c>
      <c r="BL34" s="44">
        <f t="shared" si="22"/>
        <v>-7.4275810844270929E-4</v>
      </c>
      <c r="BM34" t="s">
        <v>792</v>
      </c>
    </row>
    <row r="35" spans="1:65" x14ac:dyDescent="0.4">
      <c r="A35" s="3">
        <v>44</v>
      </c>
      <c r="B35" s="3">
        <f t="shared" si="23"/>
        <v>32</v>
      </c>
      <c r="C35" s="4" t="s">
        <v>75</v>
      </c>
      <c r="D35" s="4" t="str">
        <f t="shared" si="24"/>
        <v>J155NA</v>
      </c>
      <c r="E35" s="4" t="s">
        <v>75</v>
      </c>
      <c r="F35" s="4" t="s">
        <v>222</v>
      </c>
      <c r="G35" s="5">
        <v>4977564730161</v>
      </c>
      <c r="H35" s="5">
        <v>5</v>
      </c>
      <c r="I35" s="5" t="str">
        <f t="shared" si="1"/>
        <v>J155NA5</v>
      </c>
      <c r="J35" s="5">
        <v>1</v>
      </c>
      <c r="K35" s="5">
        <v>1</v>
      </c>
      <c r="L35" s="4">
        <v>700</v>
      </c>
      <c r="M35" s="4">
        <v>577</v>
      </c>
      <c r="N35" s="4">
        <v>350</v>
      </c>
      <c r="O35" s="6">
        <f t="shared" si="2"/>
        <v>0.39341421143847488</v>
      </c>
      <c r="P35" s="4" t="s">
        <v>410</v>
      </c>
      <c r="Q35" s="4" t="s">
        <v>410</v>
      </c>
      <c r="R35" s="4" t="s">
        <v>410</v>
      </c>
      <c r="S35" s="4" t="s">
        <v>410</v>
      </c>
      <c r="T35" s="4" t="s">
        <v>410</v>
      </c>
      <c r="U35" s="4" t="s">
        <v>410</v>
      </c>
      <c r="V35" s="4">
        <v>800</v>
      </c>
      <c r="W35" s="4">
        <f t="shared" si="3"/>
        <v>800</v>
      </c>
      <c r="X35" s="4">
        <v>400</v>
      </c>
      <c r="Y35" s="4">
        <f t="shared" si="4"/>
        <v>400</v>
      </c>
      <c r="Z35" s="4"/>
      <c r="AA35" s="21">
        <f t="shared" si="5"/>
        <v>659</v>
      </c>
      <c r="AB35" s="6">
        <f t="shared" si="6"/>
        <v>0.39301972685887709</v>
      </c>
      <c r="AC35" s="4">
        <v>0.5</v>
      </c>
      <c r="AD35" s="4" t="str">
        <f t="shared" si="7"/>
        <v>-</v>
      </c>
      <c r="AE35" s="4" t="e">
        <f t="shared" si="8"/>
        <v>#VALUE!</v>
      </c>
      <c r="AF35" s="6" t="e">
        <f t="shared" si="9"/>
        <v>#VALUE!</v>
      </c>
      <c r="AG35" s="7">
        <v>659</v>
      </c>
      <c r="AH35" s="6">
        <f t="shared" si="10"/>
        <v>0.39301972685887709</v>
      </c>
      <c r="AI35" s="4">
        <f t="shared" si="11"/>
        <v>259</v>
      </c>
      <c r="AJ35" s="28"/>
      <c r="AK35" s="6"/>
      <c r="AL35" s="6"/>
      <c r="AM35" s="6">
        <f t="shared" si="12"/>
        <v>1.1428571428571428</v>
      </c>
      <c r="AN35" s="6">
        <f t="shared" si="13"/>
        <v>1.1421143847487001</v>
      </c>
      <c r="AO35" s="6">
        <f t="shared" si="14"/>
        <v>1.1428571428571428</v>
      </c>
      <c r="AP35" s="4" t="str">
        <f t="shared" si="15"/>
        <v>-</v>
      </c>
      <c r="AQ35" s="4" t="str">
        <f t="shared" si="16"/>
        <v>-</v>
      </c>
      <c r="AR35" s="4" t="str">
        <f t="shared" si="17"/>
        <v>-</v>
      </c>
      <c r="AS35" s="4" t="str">
        <f t="shared" si="18"/>
        <v>-</v>
      </c>
      <c r="AT35" s="4" t="str">
        <f t="shared" si="19"/>
        <v>-</v>
      </c>
      <c r="AU35" s="4" t="str">
        <f t="shared" si="20"/>
        <v>-</v>
      </c>
      <c r="AV35" s="4">
        <v>0</v>
      </c>
      <c r="AW35" s="4" t="s">
        <v>410</v>
      </c>
      <c r="AX35" s="4"/>
      <c r="AY35" s="4"/>
      <c r="AZ35" s="4" t="s">
        <v>410</v>
      </c>
      <c r="BA35" s="4" t="s">
        <v>410</v>
      </c>
      <c r="BB35" s="4" t="s">
        <v>410</v>
      </c>
      <c r="BC35" s="4" t="str">
        <f t="shared" si="21"/>
        <v>-</v>
      </c>
      <c r="BD35" s="19">
        <v>4</v>
      </c>
      <c r="BE35" s="19">
        <v>8</v>
      </c>
      <c r="BF35" s="16">
        <v>3</v>
      </c>
      <c r="BG35" s="36">
        <v>46174</v>
      </c>
      <c r="BH35" t="s">
        <v>410</v>
      </c>
      <c r="BI35">
        <v>700</v>
      </c>
      <c r="BJ35" s="4" t="s">
        <v>410</v>
      </c>
      <c r="BL35" s="44">
        <f t="shared" si="22"/>
        <v>-7.4275810844270929E-4</v>
      </c>
      <c r="BM35" t="s">
        <v>792</v>
      </c>
    </row>
    <row r="36" spans="1:65" x14ac:dyDescent="0.4">
      <c r="A36" s="3">
        <v>45</v>
      </c>
      <c r="B36" s="3">
        <f t="shared" si="23"/>
        <v>33</v>
      </c>
      <c r="C36" s="4" t="s">
        <v>76</v>
      </c>
      <c r="D36" s="4" t="str">
        <f t="shared" si="24"/>
        <v>J779MZ</v>
      </c>
      <c r="E36" s="4" t="s">
        <v>76</v>
      </c>
      <c r="F36" s="4" t="s">
        <v>223</v>
      </c>
      <c r="G36" s="5">
        <v>4977564700577</v>
      </c>
      <c r="H36" s="5">
        <v>5</v>
      </c>
      <c r="I36" s="5" t="str">
        <f t="shared" si="1"/>
        <v>J779MZ5</v>
      </c>
      <c r="J36" s="5">
        <v>1</v>
      </c>
      <c r="K36" s="5">
        <v>1</v>
      </c>
      <c r="L36" s="4">
        <v>360</v>
      </c>
      <c r="M36" s="4">
        <v>296</v>
      </c>
      <c r="N36" s="4">
        <v>180</v>
      </c>
      <c r="O36" s="6">
        <f t="shared" si="2"/>
        <v>0.39189189189189189</v>
      </c>
      <c r="P36" s="4" t="s">
        <v>410</v>
      </c>
      <c r="Q36" s="4" t="s">
        <v>410</v>
      </c>
      <c r="R36" s="4" t="s">
        <v>410</v>
      </c>
      <c r="S36" s="4" t="s">
        <v>410</v>
      </c>
      <c r="T36" s="4" t="s">
        <v>410</v>
      </c>
      <c r="U36" s="4" t="s">
        <v>410</v>
      </c>
      <c r="V36" s="4">
        <v>420</v>
      </c>
      <c r="W36" s="4">
        <f t="shared" si="3"/>
        <v>420</v>
      </c>
      <c r="X36" s="4">
        <v>189</v>
      </c>
      <c r="Y36" s="4">
        <f t="shared" si="4"/>
        <v>189</v>
      </c>
      <c r="Z36" s="4"/>
      <c r="AA36" s="21">
        <f t="shared" si="5"/>
        <v>311</v>
      </c>
      <c r="AB36" s="6">
        <f t="shared" si="6"/>
        <v>0.39228295819935688</v>
      </c>
      <c r="AC36" s="4">
        <v>1</v>
      </c>
      <c r="AD36" s="4" t="str">
        <f t="shared" si="7"/>
        <v>-</v>
      </c>
      <c r="AE36" s="4" t="e">
        <f t="shared" si="8"/>
        <v>#VALUE!</v>
      </c>
      <c r="AF36" s="6" t="e">
        <f t="shared" si="9"/>
        <v>#VALUE!</v>
      </c>
      <c r="AG36" s="7">
        <v>311</v>
      </c>
      <c r="AH36" s="6">
        <f t="shared" si="10"/>
        <v>0.39228295819935688</v>
      </c>
      <c r="AI36" s="4">
        <f t="shared" si="11"/>
        <v>122</v>
      </c>
      <c r="AJ36" s="28"/>
      <c r="AK36" s="6"/>
      <c r="AL36" s="6"/>
      <c r="AM36" s="6">
        <f t="shared" si="12"/>
        <v>1.1666666666666667</v>
      </c>
      <c r="AN36" s="6">
        <f t="shared" si="13"/>
        <v>1.0506756756756757</v>
      </c>
      <c r="AO36" s="6">
        <f t="shared" si="14"/>
        <v>1.05</v>
      </c>
      <c r="AP36" s="4" t="str">
        <f t="shared" si="15"/>
        <v>-</v>
      </c>
      <c r="AQ36" s="4" t="str">
        <f t="shared" si="16"/>
        <v>-</v>
      </c>
      <c r="AR36" s="4" t="str">
        <f t="shared" si="17"/>
        <v>-</v>
      </c>
      <c r="AS36" s="4" t="str">
        <f t="shared" si="18"/>
        <v>-</v>
      </c>
      <c r="AT36" s="4" t="str">
        <f t="shared" si="19"/>
        <v>-</v>
      </c>
      <c r="AU36" s="4" t="str">
        <f t="shared" si="20"/>
        <v>-</v>
      </c>
      <c r="AV36" s="4">
        <v>0</v>
      </c>
      <c r="AW36" s="4" t="s">
        <v>410</v>
      </c>
      <c r="AX36" s="4"/>
      <c r="AY36" s="4"/>
      <c r="AZ36" s="4" t="s">
        <v>410</v>
      </c>
      <c r="BA36" s="4" t="s">
        <v>410</v>
      </c>
      <c r="BB36" s="4" t="s">
        <v>410</v>
      </c>
      <c r="BC36" s="4" t="str">
        <f t="shared" si="21"/>
        <v>-</v>
      </c>
      <c r="BD36" s="19">
        <v>4</v>
      </c>
      <c r="BE36" s="19">
        <v>8</v>
      </c>
      <c r="BF36" s="16">
        <v>3</v>
      </c>
      <c r="BG36" s="36">
        <v>46174</v>
      </c>
      <c r="BH36" t="s">
        <v>410</v>
      </c>
      <c r="BI36">
        <v>400</v>
      </c>
      <c r="BJ36" s="4" t="s">
        <v>410</v>
      </c>
      <c r="BL36" s="44">
        <f t="shared" si="22"/>
        <v>6.7567567567561326E-4</v>
      </c>
      <c r="BM36" t="s">
        <v>792</v>
      </c>
    </row>
    <row r="37" spans="1:65" x14ac:dyDescent="0.4">
      <c r="A37" s="3">
        <v>46</v>
      </c>
      <c r="B37" s="3">
        <f t="shared" si="23"/>
        <v>34</v>
      </c>
      <c r="C37" s="4" t="s">
        <v>77</v>
      </c>
      <c r="D37" s="4" t="str">
        <f t="shared" si="24"/>
        <v>J780MZ</v>
      </c>
      <c r="E37" s="4" t="s">
        <v>77</v>
      </c>
      <c r="F37" s="4" t="s">
        <v>224</v>
      </c>
      <c r="G37" s="5">
        <v>4977564700584</v>
      </c>
      <c r="H37" s="5">
        <v>5</v>
      </c>
      <c r="I37" s="5" t="str">
        <f t="shared" si="1"/>
        <v>J780MZ5</v>
      </c>
      <c r="J37" s="5">
        <v>1</v>
      </c>
      <c r="K37" s="5">
        <v>1</v>
      </c>
      <c r="L37" s="4">
        <v>360</v>
      </c>
      <c r="M37" s="4">
        <v>296</v>
      </c>
      <c r="N37" s="4">
        <v>180</v>
      </c>
      <c r="O37" s="6">
        <f t="shared" si="2"/>
        <v>0.39189189189189189</v>
      </c>
      <c r="P37" s="4" t="s">
        <v>410</v>
      </c>
      <c r="Q37" s="4" t="s">
        <v>410</v>
      </c>
      <c r="R37" s="4" t="s">
        <v>410</v>
      </c>
      <c r="S37" s="4" t="s">
        <v>410</v>
      </c>
      <c r="T37" s="4" t="s">
        <v>410</v>
      </c>
      <c r="U37" s="4" t="s">
        <v>410</v>
      </c>
      <c r="V37" s="4">
        <v>420</v>
      </c>
      <c r="W37" s="4">
        <f t="shared" si="3"/>
        <v>420</v>
      </c>
      <c r="X37" s="4">
        <v>189</v>
      </c>
      <c r="Y37" s="4">
        <f t="shared" si="4"/>
        <v>189</v>
      </c>
      <c r="Z37" s="4"/>
      <c r="AA37" s="21">
        <f t="shared" si="5"/>
        <v>311</v>
      </c>
      <c r="AB37" s="6">
        <f t="shared" si="6"/>
        <v>0.39228295819935688</v>
      </c>
      <c r="AC37" s="4">
        <v>0</v>
      </c>
      <c r="AD37" s="4" t="str">
        <f t="shared" si="7"/>
        <v>-</v>
      </c>
      <c r="AE37" s="4" t="e">
        <f t="shared" si="8"/>
        <v>#VALUE!</v>
      </c>
      <c r="AF37" s="6" t="e">
        <f t="shared" si="9"/>
        <v>#VALUE!</v>
      </c>
      <c r="AG37" s="7">
        <v>311</v>
      </c>
      <c r="AH37" s="6">
        <f t="shared" si="10"/>
        <v>0.39228295819935688</v>
      </c>
      <c r="AI37" s="4">
        <f t="shared" si="11"/>
        <v>122</v>
      </c>
      <c r="AJ37" s="28"/>
      <c r="AK37" s="6"/>
      <c r="AL37" s="6"/>
      <c r="AM37" s="6">
        <f t="shared" si="12"/>
        <v>1.1666666666666667</v>
      </c>
      <c r="AN37" s="6">
        <f t="shared" si="13"/>
        <v>1.0506756756756757</v>
      </c>
      <c r="AO37" s="6">
        <f t="shared" si="14"/>
        <v>1.05</v>
      </c>
      <c r="AP37" s="4" t="str">
        <f t="shared" si="15"/>
        <v>-</v>
      </c>
      <c r="AQ37" s="4" t="str">
        <f t="shared" si="16"/>
        <v>-</v>
      </c>
      <c r="AR37" s="4" t="str">
        <f t="shared" si="17"/>
        <v>-</v>
      </c>
      <c r="AS37" s="4" t="str">
        <f t="shared" si="18"/>
        <v>-</v>
      </c>
      <c r="AT37" s="4" t="str">
        <f t="shared" si="19"/>
        <v>-</v>
      </c>
      <c r="AU37" s="4" t="str">
        <f t="shared" si="20"/>
        <v>-</v>
      </c>
      <c r="AV37" s="4">
        <v>0</v>
      </c>
      <c r="AW37" s="4" t="s">
        <v>410</v>
      </c>
      <c r="AX37" s="4"/>
      <c r="AY37" s="4"/>
      <c r="AZ37" s="4" t="s">
        <v>410</v>
      </c>
      <c r="BA37" s="4" t="s">
        <v>410</v>
      </c>
      <c r="BB37" s="4" t="s">
        <v>410</v>
      </c>
      <c r="BC37" s="4" t="str">
        <f t="shared" si="21"/>
        <v>-</v>
      </c>
      <c r="BD37" s="19">
        <v>4</v>
      </c>
      <c r="BE37" s="19">
        <v>8</v>
      </c>
      <c r="BF37" s="16">
        <v>3</v>
      </c>
      <c r="BG37" s="36">
        <v>46174</v>
      </c>
      <c r="BH37" t="s">
        <v>410</v>
      </c>
      <c r="BI37">
        <v>400</v>
      </c>
      <c r="BJ37" s="4" t="s">
        <v>410</v>
      </c>
      <c r="BL37" s="44">
        <f t="shared" si="22"/>
        <v>6.7567567567561326E-4</v>
      </c>
      <c r="BM37" t="s">
        <v>792</v>
      </c>
    </row>
    <row r="38" spans="1:65" x14ac:dyDescent="0.4">
      <c r="A38" s="3">
        <v>47</v>
      </c>
      <c r="B38" s="3">
        <f t="shared" si="23"/>
        <v>35</v>
      </c>
      <c r="C38" s="4" t="s">
        <v>78</v>
      </c>
      <c r="D38" s="4" t="str">
        <f t="shared" si="24"/>
        <v>J781MZ</v>
      </c>
      <c r="E38" s="4" t="s">
        <v>78</v>
      </c>
      <c r="F38" s="4" t="s">
        <v>225</v>
      </c>
      <c r="G38" s="5">
        <v>4977564700591</v>
      </c>
      <c r="H38" s="5">
        <v>5</v>
      </c>
      <c r="I38" s="5" t="str">
        <f t="shared" si="1"/>
        <v>J781MZ5</v>
      </c>
      <c r="J38" s="5">
        <v>1</v>
      </c>
      <c r="K38" s="5">
        <v>1</v>
      </c>
      <c r="L38" s="4">
        <v>360</v>
      </c>
      <c r="M38" s="4">
        <v>291</v>
      </c>
      <c r="N38" s="4">
        <v>180</v>
      </c>
      <c r="O38" s="6">
        <f t="shared" si="2"/>
        <v>0.38144329896907214</v>
      </c>
      <c r="P38" s="4" t="s">
        <v>410</v>
      </c>
      <c r="Q38" s="4" t="s">
        <v>410</v>
      </c>
      <c r="R38" s="4" t="s">
        <v>410</v>
      </c>
      <c r="S38" s="4" t="s">
        <v>410</v>
      </c>
      <c r="T38" s="4" t="s">
        <v>410</v>
      </c>
      <c r="U38" s="4" t="s">
        <v>410</v>
      </c>
      <c r="V38" s="4">
        <v>420</v>
      </c>
      <c r="W38" s="4">
        <f t="shared" si="3"/>
        <v>420</v>
      </c>
      <c r="X38" s="4">
        <v>189</v>
      </c>
      <c r="Y38" s="4">
        <f t="shared" si="4"/>
        <v>189</v>
      </c>
      <c r="Z38" s="4"/>
      <c r="AA38" s="21">
        <f t="shared" si="5"/>
        <v>306</v>
      </c>
      <c r="AB38" s="6">
        <f t="shared" si="6"/>
        <v>0.38235294117647056</v>
      </c>
      <c r="AC38" s="4">
        <v>0</v>
      </c>
      <c r="AD38" s="4">
        <f t="shared" si="7"/>
        <v>400</v>
      </c>
      <c r="AE38" s="4">
        <f t="shared" si="8"/>
        <v>420</v>
      </c>
      <c r="AF38" s="6">
        <f t="shared" si="9"/>
        <v>0.55000000000000004</v>
      </c>
      <c r="AG38" s="7">
        <v>311</v>
      </c>
      <c r="AH38" s="6">
        <f t="shared" si="10"/>
        <v>0.39228295819935688</v>
      </c>
      <c r="AI38" s="4">
        <f t="shared" si="11"/>
        <v>122</v>
      </c>
      <c r="AJ38" s="28"/>
      <c r="AK38" s="6"/>
      <c r="AL38" s="6"/>
      <c r="AM38" s="6">
        <f t="shared" si="12"/>
        <v>1.1666666666666667</v>
      </c>
      <c r="AN38" s="6">
        <f t="shared" si="13"/>
        <v>1.0687285223367697</v>
      </c>
      <c r="AO38" s="6">
        <f t="shared" si="14"/>
        <v>1.05</v>
      </c>
      <c r="AP38" s="4" t="str">
        <f t="shared" si="15"/>
        <v>-</v>
      </c>
      <c r="AQ38" s="4" t="str">
        <f t="shared" si="16"/>
        <v>-</v>
      </c>
      <c r="AR38" s="4" t="str">
        <f t="shared" si="17"/>
        <v>-</v>
      </c>
      <c r="AS38" s="4" t="str">
        <f t="shared" si="18"/>
        <v>-</v>
      </c>
      <c r="AT38" s="4" t="str">
        <f t="shared" si="19"/>
        <v>-</v>
      </c>
      <c r="AU38" s="4" t="str">
        <f t="shared" si="20"/>
        <v>-</v>
      </c>
      <c r="AV38" s="4">
        <v>0</v>
      </c>
      <c r="AW38" s="4" t="s">
        <v>615</v>
      </c>
      <c r="AX38" s="4"/>
      <c r="AY38" s="4"/>
      <c r="AZ38" s="4" t="s">
        <v>616</v>
      </c>
      <c r="BA38" s="4">
        <v>400</v>
      </c>
      <c r="BB38" s="4">
        <v>400</v>
      </c>
      <c r="BC38" s="4">
        <f t="shared" si="21"/>
        <v>400</v>
      </c>
      <c r="BD38" s="19">
        <v>4</v>
      </c>
      <c r="BE38" s="19">
        <v>8</v>
      </c>
      <c r="BF38" s="16">
        <v>3</v>
      </c>
      <c r="BG38" s="36">
        <v>46174</v>
      </c>
      <c r="BH38" t="s">
        <v>410</v>
      </c>
      <c r="BI38">
        <v>400</v>
      </c>
      <c r="BJ38" s="4" t="s">
        <v>438</v>
      </c>
      <c r="BL38" s="44">
        <f t="shared" si="22"/>
        <v>1.8728522336769693E-2</v>
      </c>
      <c r="BM38" t="s">
        <v>792</v>
      </c>
    </row>
    <row r="39" spans="1:65" x14ac:dyDescent="0.4">
      <c r="A39" s="3">
        <v>48</v>
      </c>
      <c r="B39" s="3">
        <f t="shared" si="23"/>
        <v>36</v>
      </c>
      <c r="C39" s="4" t="s">
        <v>79</v>
      </c>
      <c r="D39" s="4" t="str">
        <f t="shared" si="24"/>
        <v>J782MZ</v>
      </c>
      <c r="E39" s="4" t="s">
        <v>79</v>
      </c>
      <c r="F39" s="4" t="s">
        <v>226</v>
      </c>
      <c r="G39" s="5">
        <v>4977564700607</v>
      </c>
      <c r="H39" s="5">
        <v>5</v>
      </c>
      <c r="I39" s="5" t="str">
        <f t="shared" si="1"/>
        <v>J782MZ5</v>
      </c>
      <c r="J39" s="5">
        <v>1</v>
      </c>
      <c r="K39" s="5">
        <v>1</v>
      </c>
      <c r="L39" s="4">
        <v>360</v>
      </c>
      <c r="M39" s="4">
        <v>296</v>
      </c>
      <c r="N39" s="4">
        <v>180</v>
      </c>
      <c r="O39" s="6">
        <f t="shared" si="2"/>
        <v>0.39189189189189189</v>
      </c>
      <c r="P39" s="4" t="s">
        <v>410</v>
      </c>
      <c r="Q39" s="4" t="s">
        <v>410</v>
      </c>
      <c r="R39" s="4" t="s">
        <v>410</v>
      </c>
      <c r="S39" s="4" t="s">
        <v>410</v>
      </c>
      <c r="T39" s="4" t="s">
        <v>410</v>
      </c>
      <c r="U39" s="4" t="s">
        <v>410</v>
      </c>
      <c r="V39" s="4">
        <v>420</v>
      </c>
      <c r="W39" s="4">
        <f t="shared" si="3"/>
        <v>420</v>
      </c>
      <c r="X39" s="4">
        <v>189</v>
      </c>
      <c r="Y39" s="4">
        <f t="shared" si="4"/>
        <v>189</v>
      </c>
      <c r="Z39" s="4"/>
      <c r="AA39" s="21">
        <f t="shared" si="5"/>
        <v>311</v>
      </c>
      <c r="AB39" s="6">
        <f t="shared" si="6"/>
        <v>0.39228295819935688</v>
      </c>
      <c r="AC39" s="4">
        <v>0.25</v>
      </c>
      <c r="AD39" s="4">
        <f t="shared" si="7"/>
        <v>400</v>
      </c>
      <c r="AE39" s="4">
        <f t="shared" si="8"/>
        <v>420</v>
      </c>
      <c r="AF39" s="6">
        <f t="shared" si="9"/>
        <v>0.55000000000000004</v>
      </c>
      <c r="AG39" s="7">
        <v>311</v>
      </c>
      <c r="AH39" s="6">
        <f t="shared" si="10"/>
        <v>0.39228295819935688</v>
      </c>
      <c r="AI39" s="4">
        <f t="shared" si="11"/>
        <v>122</v>
      </c>
      <c r="AJ39" s="28"/>
      <c r="AK39" s="6"/>
      <c r="AL39" s="6"/>
      <c r="AM39" s="6">
        <f t="shared" si="12"/>
        <v>1.1666666666666667</v>
      </c>
      <c r="AN39" s="6">
        <f t="shared" si="13"/>
        <v>1.0506756756756757</v>
      </c>
      <c r="AO39" s="6">
        <f t="shared" si="14"/>
        <v>1.05</v>
      </c>
      <c r="AP39" s="4" t="str">
        <f t="shared" si="15"/>
        <v>-</v>
      </c>
      <c r="AQ39" s="4" t="str">
        <f t="shared" si="16"/>
        <v>-</v>
      </c>
      <c r="AR39" s="4" t="str">
        <f t="shared" si="17"/>
        <v>-</v>
      </c>
      <c r="AS39" s="4" t="str">
        <f t="shared" si="18"/>
        <v>-</v>
      </c>
      <c r="AT39" s="4" t="str">
        <f t="shared" si="19"/>
        <v>-</v>
      </c>
      <c r="AU39" s="4" t="str">
        <f t="shared" si="20"/>
        <v>-</v>
      </c>
      <c r="AV39" s="4">
        <v>0</v>
      </c>
      <c r="AW39" s="4" t="s">
        <v>617</v>
      </c>
      <c r="AX39" s="4"/>
      <c r="AY39" s="4"/>
      <c r="AZ39" s="4" t="s">
        <v>616</v>
      </c>
      <c r="BA39" s="4">
        <v>400</v>
      </c>
      <c r="BB39" s="4">
        <v>400</v>
      </c>
      <c r="BC39" s="4">
        <f t="shared" si="21"/>
        <v>400</v>
      </c>
      <c r="BD39" s="19">
        <v>4</v>
      </c>
      <c r="BE39" s="19">
        <v>8</v>
      </c>
      <c r="BF39" s="16">
        <v>3</v>
      </c>
      <c r="BG39" s="36">
        <v>46174</v>
      </c>
      <c r="BH39" t="s">
        <v>410</v>
      </c>
      <c r="BI39">
        <v>400</v>
      </c>
      <c r="BJ39" s="4" t="s">
        <v>439</v>
      </c>
      <c r="BL39" s="44">
        <f t="shared" si="22"/>
        <v>6.7567567567561326E-4</v>
      </c>
      <c r="BM39" t="s">
        <v>792</v>
      </c>
    </row>
    <row r="40" spans="1:65" x14ac:dyDescent="0.4">
      <c r="A40" s="3">
        <v>49</v>
      </c>
      <c r="B40" s="3">
        <f t="shared" si="23"/>
        <v>37</v>
      </c>
      <c r="C40" s="33">
        <v>355537</v>
      </c>
      <c r="D40" s="4" t="str">
        <f t="shared" si="24"/>
        <v>355537</v>
      </c>
      <c r="E40" s="4">
        <v>355537</v>
      </c>
      <c r="F40" s="4" t="s">
        <v>227</v>
      </c>
      <c r="G40" s="5">
        <v>4977564700614</v>
      </c>
      <c r="H40" s="5">
        <v>5</v>
      </c>
      <c r="I40" s="5" t="str">
        <f t="shared" si="1"/>
        <v>3555375</v>
      </c>
      <c r="J40" s="5">
        <v>2</v>
      </c>
      <c r="K40" s="5">
        <v>2</v>
      </c>
      <c r="L40" s="4">
        <v>400</v>
      </c>
      <c r="M40" s="4">
        <v>364</v>
      </c>
      <c r="N40" s="4">
        <v>200</v>
      </c>
      <c r="O40" s="6">
        <f t="shared" si="2"/>
        <v>0.4505494505494505</v>
      </c>
      <c r="P40" s="4" t="s">
        <v>410</v>
      </c>
      <c r="Q40" s="4" t="s">
        <v>410</v>
      </c>
      <c r="R40" s="4" t="s">
        <v>410</v>
      </c>
      <c r="S40" s="4" t="s">
        <v>410</v>
      </c>
      <c r="T40" s="4" t="s">
        <v>410</v>
      </c>
      <c r="U40" s="4" t="s">
        <v>410</v>
      </c>
      <c r="V40" s="4">
        <v>420</v>
      </c>
      <c r="W40" s="4">
        <f t="shared" si="3"/>
        <v>420</v>
      </c>
      <c r="X40" s="4">
        <v>210</v>
      </c>
      <c r="Y40" s="4">
        <f t="shared" si="4"/>
        <v>210</v>
      </c>
      <c r="Z40" s="4"/>
      <c r="AA40" s="21">
        <f t="shared" si="5"/>
        <v>382</v>
      </c>
      <c r="AB40" s="6">
        <f t="shared" si="6"/>
        <v>0.45026178010471207</v>
      </c>
      <c r="AC40" s="4">
        <v>1</v>
      </c>
      <c r="AD40" s="4" t="str">
        <f t="shared" si="7"/>
        <v>-</v>
      </c>
      <c r="AE40" s="4" t="e">
        <f t="shared" si="8"/>
        <v>#VALUE!</v>
      </c>
      <c r="AF40" s="6" t="e">
        <f t="shared" si="9"/>
        <v>#VALUE!</v>
      </c>
      <c r="AG40" s="7">
        <v>368</v>
      </c>
      <c r="AH40" s="6">
        <f t="shared" si="10"/>
        <v>0.42934782608695654</v>
      </c>
      <c r="AI40" s="4">
        <f t="shared" si="11"/>
        <v>158</v>
      </c>
      <c r="AJ40" s="28"/>
      <c r="AK40" s="6"/>
      <c r="AL40" s="6"/>
      <c r="AM40" s="6">
        <f t="shared" si="12"/>
        <v>1.05</v>
      </c>
      <c r="AN40" s="6">
        <f t="shared" si="13"/>
        <v>1.0109890109890109</v>
      </c>
      <c r="AO40" s="6">
        <f t="shared" si="14"/>
        <v>1.05</v>
      </c>
      <c r="AP40" s="4" t="str">
        <f t="shared" si="15"/>
        <v>-</v>
      </c>
      <c r="AQ40" s="4" t="str">
        <f t="shared" si="16"/>
        <v>-</v>
      </c>
      <c r="AR40" s="4" t="str">
        <f t="shared" si="17"/>
        <v>-</v>
      </c>
      <c r="AS40" s="4" t="str">
        <f t="shared" si="18"/>
        <v>-</v>
      </c>
      <c r="AT40" s="4" t="str">
        <f t="shared" si="19"/>
        <v>-</v>
      </c>
      <c r="AU40" s="4" t="str">
        <f t="shared" si="20"/>
        <v>-</v>
      </c>
      <c r="AV40" s="4">
        <v>0</v>
      </c>
      <c r="AW40" s="4" t="s">
        <v>410</v>
      </c>
      <c r="AX40" s="4"/>
      <c r="AY40" s="4"/>
      <c r="AZ40" s="4" t="s">
        <v>410</v>
      </c>
      <c r="BA40" s="4" t="s">
        <v>410</v>
      </c>
      <c r="BB40" s="4" t="s">
        <v>410</v>
      </c>
      <c r="BC40" s="4" t="str">
        <f t="shared" si="21"/>
        <v>-</v>
      </c>
      <c r="BD40" s="19">
        <v>4</v>
      </c>
      <c r="BE40" s="19">
        <v>1</v>
      </c>
      <c r="BF40" s="16">
        <v>3</v>
      </c>
      <c r="BG40" s="36">
        <v>46174</v>
      </c>
      <c r="BH40" t="s">
        <v>410</v>
      </c>
      <c r="BI40">
        <v>400</v>
      </c>
      <c r="BJ40" s="4" t="s">
        <v>410</v>
      </c>
      <c r="BL40" s="44">
        <f t="shared" si="22"/>
        <v>-3.9010989010989094E-2</v>
      </c>
      <c r="BM40" t="s">
        <v>792</v>
      </c>
    </row>
    <row r="41" spans="1:65" x14ac:dyDescent="0.4">
      <c r="A41" s="3">
        <v>207</v>
      </c>
      <c r="B41" s="3">
        <f t="shared" si="23"/>
        <v>38</v>
      </c>
      <c r="C41" s="33">
        <v>355537</v>
      </c>
      <c r="D41" s="4" t="s">
        <v>80</v>
      </c>
      <c r="E41" s="4">
        <v>355538</v>
      </c>
      <c r="F41" s="4" t="s">
        <v>372</v>
      </c>
      <c r="G41" s="5">
        <v>4977564700614</v>
      </c>
      <c r="H41" s="5">
        <v>8</v>
      </c>
      <c r="I41" s="5" t="str">
        <f t="shared" si="1"/>
        <v>3555378</v>
      </c>
      <c r="J41" s="5"/>
      <c r="K41" s="5"/>
      <c r="L41" s="4">
        <v>4000</v>
      </c>
      <c r="M41" s="4">
        <v>3131</v>
      </c>
      <c r="N41" s="4">
        <v>2000</v>
      </c>
      <c r="O41" s="6">
        <f t="shared" si="2"/>
        <v>0.36122644522516767</v>
      </c>
      <c r="P41" s="4" t="s">
        <v>410</v>
      </c>
      <c r="Q41" s="4" t="s">
        <v>410</v>
      </c>
      <c r="R41" s="4" t="s">
        <v>410</v>
      </c>
      <c r="S41" s="4" t="s">
        <v>410</v>
      </c>
      <c r="T41" s="4" t="s">
        <v>410</v>
      </c>
      <c r="U41" s="4" t="s">
        <v>410</v>
      </c>
      <c r="V41" s="4">
        <v>420</v>
      </c>
      <c r="W41" s="4">
        <f t="shared" si="3"/>
        <v>4200</v>
      </c>
      <c r="X41" s="4">
        <v>210</v>
      </c>
      <c r="Y41" s="4">
        <f t="shared" si="4"/>
        <v>2100</v>
      </c>
      <c r="Z41" s="4">
        <v>10</v>
      </c>
      <c r="AA41" s="21">
        <f t="shared" si="5"/>
        <v>3288</v>
      </c>
      <c r="AB41" s="6">
        <f t="shared" si="6"/>
        <v>0.36131386861313863</v>
      </c>
      <c r="AC41" s="4">
        <v>1</v>
      </c>
      <c r="AD41" s="4" t="str">
        <f t="shared" si="7"/>
        <v>-</v>
      </c>
      <c r="AE41" s="4" t="e">
        <f t="shared" si="8"/>
        <v>#VALUE!</v>
      </c>
      <c r="AF41" s="6" t="e">
        <f t="shared" si="9"/>
        <v>#VALUE!</v>
      </c>
      <c r="AG41" s="7">
        <v>3280</v>
      </c>
      <c r="AH41" s="6">
        <f t="shared" si="10"/>
        <v>0.3597560975609756</v>
      </c>
      <c r="AI41" s="4">
        <f t="shared" si="11"/>
        <v>1180</v>
      </c>
      <c r="AJ41" s="28"/>
      <c r="AK41" s="6"/>
      <c r="AL41" s="6"/>
      <c r="AM41" s="6">
        <f t="shared" si="12"/>
        <v>1.05</v>
      </c>
      <c r="AN41" s="6">
        <f t="shared" si="13"/>
        <v>1.0475886298307251</v>
      </c>
      <c r="AO41" s="6">
        <f t="shared" si="14"/>
        <v>1.05</v>
      </c>
      <c r="AP41" s="4" t="str">
        <f t="shared" si="15"/>
        <v>-</v>
      </c>
      <c r="AQ41" s="4" t="str">
        <f t="shared" si="16"/>
        <v>-</v>
      </c>
      <c r="AR41" s="4" t="str">
        <f t="shared" si="17"/>
        <v>-</v>
      </c>
      <c r="AS41" s="4" t="str">
        <f t="shared" si="18"/>
        <v>-</v>
      </c>
      <c r="AT41" s="4" t="str">
        <f t="shared" si="19"/>
        <v>-</v>
      </c>
      <c r="AU41" s="4" t="str">
        <f t="shared" si="20"/>
        <v>-</v>
      </c>
      <c r="AV41" s="4">
        <v>0</v>
      </c>
      <c r="AW41" s="4" t="s">
        <v>410</v>
      </c>
      <c r="AX41" s="4"/>
      <c r="AY41" s="4"/>
      <c r="AZ41" s="4" t="s">
        <v>410</v>
      </c>
      <c r="BA41" s="4" t="s">
        <v>410</v>
      </c>
      <c r="BB41" s="4" t="s">
        <v>410</v>
      </c>
      <c r="BC41" s="4" t="str">
        <f t="shared" si="21"/>
        <v>-</v>
      </c>
      <c r="BD41" s="19">
        <v>4</v>
      </c>
      <c r="BE41" s="19">
        <v>1</v>
      </c>
      <c r="BF41" s="16">
        <v>3</v>
      </c>
      <c r="BG41" s="36">
        <v>46174</v>
      </c>
      <c r="BH41" t="s">
        <v>410</v>
      </c>
      <c r="BI41">
        <v>400</v>
      </c>
      <c r="BJ41" s="4" t="s">
        <v>410</v>
      </c>
      <c r="BK41">
        <v>2</v>
      </c>
      <c r="BL41" s="44">
        <f t="shared" si="22"/>
        <v>-2.4113701692749512E-3</v>
      </c>
      <c r="BM41" t="s">
        <v>792</v>
      </c>
    </row>
    <row r="42" spans="1:65" x14ac:dyDescent="0.4">
      <c r="A42" s="3">
        <v>50</v>
      </c>
      <c r="B42" s="3">
        <f t="shared" si="23"/>
        <v>39</v>
      </c>
      <c r="C42" s="4" t="s">
        <v>81</v>
      </c>
      <c r="D42" s="4" t="str">
        <f t="shared" ref="D42:D61" si="25">TEXT(C42,"000000")</f>
        <v>J783MZ</v>
      </c>
      <c r="E42" s="4" t="s">
        <v>81</v>
      </c>
      <c r="F42" s="4" t="s">
        <v>228</v>
      </c>
      <c r="G42" s="5">
        <v>4977564700621</v>
      </c>
      <c r="H42" s="5">
        <v>5</v>
      </c>
      <c r="I42" s="5" t="str">
        <f t="shared" si="1"/>
        <v>J783MZ5</v>
      </c>
      <c r="J42" s="5">
        <v>1</v>
      </c>
      <c r="K42" s="5">
        <v>1</v>
      </c>
      <c r="L42" s="4">
        <v>360</v>
      </c>
      <c r="M42" s="4">
        <v>296</v>
      </c>
      <c r="N42" s="4">
        <v>180</v>
      </c>
      <c r="O42" s="6">
        <f t="shared" si="2"/>
        <v>0.39189189189189189</v>
      </c>
      <c r="P42" s="4" t="s">
        <v>410</v>
      </c>
      <c r="Q42" s="4" t="s">
        <v>410</v>
      </c>
      <c r="R42" s="4" t="s">
        <v>410</v>
      </c>
      <c r="S42" s="4" t="s">
        <v>410</v>
      </c>
      <c r="T42" s="4" t="s">
        <v>410</v>
      </c>
      <c r="U42" s="4" t="s">
        <v>410</v>
      </c>
      <c r="V42" s="4">
        <v>420</v>
      </c>
      <c r="W42" s="4">
        <f t="shared" si="3"/>
        <v>420</v>
      </c>
      <c r="X42" s="4">
        <v>189</v>
      </c>
      <c r="Y42" s="4">
        <f t="shared" si="4"/>
        <v>189</v>
      </c>
      <c r="Z42" s="4"/>
      <c r="AA42" s="21">
        <f t="shared" si="5"/>
        <v>311</v>
      </c>
      <c r="AB42" s="6">
        <f t="shared" si="6"/>
        <v>0.39228295819935688</v>
      </c>
      <c r="AC42" s="4">
        <v>1</v>
      </c>
      <c r="AD42" s="4" t="str">
        <f t="shared" si="7"/>
        <v>-</v>
      </c>
      <c r="AE42" s="4" t="e">
        <f t="shared" si="8"/>
        <v>#VALUE!</v>
      </c>
      <c r="AF42" s="6" t="e">
        <f t="shared" si="9"/>
        <v>#VALUE!</v>
      </c>
      <c r="AG42" s="7">
        <v>311</v>
      </c>
      <c r="AH42" s="6">
        <f t="shared" si="10"/>
        <v>0.39228295819935688</v>
      </c>
      <c r="AI42" s="4">
        <f t="shared" si="11"/>
        <v>122</v>
      </c>
      <c r="AJ42" s="28"/>
      <c r="AK42" s="6"/>
      <c r="AL42" s="6"/>
      <c r="AM42" s="6">
        <f t="shared" si="12"/>
        <v>1.1666666666666667</v>
      </c>
      <c r="AN42" s="6">
        <f t="shared" si="13"/>
        <v>1.0506756756756757</v>
      </c>
      <c r="AO42" s="6">
        <f t="shared" si="14"/>
        <v>1.05</v>
      </c>
      <c r="AP42" s="4" t="str">
        <f t="shared" si="15"/>
        <v>-</v>
      </c>
      <c r="AQ42" s="4" t="str">
        <f t="shared" si="16"/>
        <v>-</v>
      </c>
      <c r="AR42" s="4" t="str">
        <f t="shared" si="17"/>
        <v>-</v>
      </c>
      <c r="AS42" s="4" t="str">
        <f t="shared" si="18"/>
        <v>-</v>
      </c>
      <c r="AT42" s="4" t="str">
        <f t="shared" si="19"/>
        <v>-</v>
      </c>
      <c r="AU42" s="4" t="str">
        <f t="shared" si="20"/>
        <v>-</v>
      </c>
      <c r="AV42" s="4">
        <v>0</v>
      </c>
      <c r="AW42" s="4" t="s">
        <v>410</v>
      </c>
      <c r="AX42" s="4"/>
      <c r="AY42" s="4"/>
      <c r="AZ42" s="4" t="s">
        <v>410</v>
      </c>
      <c r="BA42" s="4" t="s">
        <v>410</v>
      </c>
      <c r="BB42" s="4" t="s">
        <v>410</v>
      </c>
      <c r="BC42" s="4" t="str">
        <f t="shared" si="21"/>
        <v>-</v>
      </c>
      <c r="BD42" s="19">
        <v>4</v>
      </c>
      <c r="BE42" s="19">
        <v>8</v>
      </c>
      <c r="BF42" s="16">
        <v>3</v>
      </c>
      <c r="BG42" s="36">
        <v>46174</v>
      </c>
      <c r="BH42" t="s">
        <v>410</v>
      </c>
      <c r="BI42">
        <v>400</v>
      </c>
      <c r="BJ42" s="4" t="s">
        <v>410</v>
      </c>
      <c r="BL42" s="44">
        <f t="shared" si="22"/>
        <v>6.7567567567561326E-4</v>
      </c>
      <c r="BM42" t="s">
        <v>792</v>
      </c>
    </row>
    <row r="43" spans="1:65" x14ac:dyDescent="0.4">
      <c r="A43" s="3">
        <v>51</v>
      </c>
      <c r="B43" s="3">
        <f t="shared" si="23"/>
        <v>40</v>
      </c>
      <c r="C43" s="4" t="s">
        <v>82</v>
      </c>
      <c r="D43" s="4" t="str">
        <f t="shared" si="25"/>
        <v>J784MZ</v>
      </c>
      <c r="E43" s="4" t="s">
        <v>82</v>
      </c>
      <c r="F43" s="4" t="s">
        <v>229</v>
      </c>
      <c r="G43" s="5">
        <v>4977564700638</v>
      </c>
      <c r="H43" s="5">
        <v>5</v>
      </c>
      <c r="I43" s="5" t="str">
        <f t="shared" si="1"/>
        <v>J784MZ5</v>
      </c>
      <c r="J43" s="5">
        <v>1</v>
      </c>
      <c r="K43" s="5">
        <v>1</v>
      </c>
      <c r="L43" s="4">
        <v>360</v>
      </c>
      <c r="M43" s="4">
        <v>296</v>
      </c>
      <c r="N43" s="4">
        <v>180</v>
      </c>
      <c r="O43" s="6">
        <f t="shared" si="2"/>
        <v>0.39189189189189189</v>
      </c>
      <c r="P43" s="4" t="s">
        <v>410</v>
      </c>
      <c r="Q43" s="4" t="s">
        <v>410</v>
      </c>
      <c r="R43" s="4" t="s">
        <v>410</v>
      </c>
      <c r="S43" s="4" t="s">
        <v>410</v>
      </c>
      <c r="T43" s="4" t="s">
        <v>410</v>
      </c>
      <c r="U43" s="4" t="s">
        <v>410</v>
      </c>
      <c r="V43" s="4">
        <v>420</v>
      </c>
      <c r="W43" s="4">
        <f t="shared" si="3"/>
        <v>420</v>
      </c>
      <c r="X43" s="4">
        <v>189</v>
      </c>
      <c r="Y43" s="4">
        <f t="shared" si="4"/>
        <v>189</v>
      </c>
      <c r="Z43" s="4"/>
      <c r="AA43" s="21">
        <f t="shared" si="5"/>
        <v>311</v>
      </c>
      <c r="AB43" s="6">
        <f t="shared" si="6"/>
        <v>0.39228295819935688</v>
      </c>
      <c r="AC43" s="4">
        <v>0.25</v>
      </c>
      <c r="AD43" s="4" t="str">
        <f t="shared" si="7"/>
        <v>-</v>
      </c>
      <c r="AE43" s="4" t="e">
        <f t="shared" si="8"/>
        <v>#VALUE!</v>
      </c>
      <c r="AF43" s="6" t="e">
        <f t="shared" si="9"/>
        <v>#VALUE!</v>
      </c>
      <c r="AG43" s="7">
        <v>311</v>
      </c>
      <c r="AH43" s="6">
        <f t="shared" si="10"/>
        <v>0.39228295819935688</v>
      </c>
      <c r="AI43" s="4">
        <f t="shared" si="11"/>
        <v>122</v>
      </c>
      <c r="AJ43" s="28"/>
      <c r="AK43" s="6"/>
      <c r="AL43" s="6"/>
      <c r="AM43" s="6">
        <f t="shared" si="12"/>
        <v>1.1666666666666667</v>
      </c>
      <c r="AN43" s="6">
        <f t="shared" si="13"/>
        <v>1.0506756756756757</v>
      </c>
      <c r="AO43" s="6">
        <f t="shared" si="14"/>
        <v>1.05</v>
      </c>
      <c r="AP43" s="4" t="str">
        <f t="shared" si="15"/>
        <v>-</v>
      </c>
      <c r="AQ43" s="4" t="str">
        <f t="shared" si="16"/>
        <v>-</v>
      </c>
      <c r="AR43" s="4" t="str">
        <f t="shared" si="17"/>
        <v>-</v>
      </c>
      <c r="AS43" s="4" t="str">
        <f t="shared" si="18"/>
        <v>-</v>
      </c>
      <c r="AT43" s="4" t="str">
        <f t="shared" si="19"/>
        <v>-</v>
      </c>
      <c r="AU43" s="4" t="str">
        <f t="shared" si="20"/>
        <v>-</v>
      </c>
      <c r="AV43" s="4">
        <v>0</v>
      </c>
      <c r="AW43" s="4" t="s">
        <v>410</v>
      </c>
      <c r="AX43" s="4"/>
      <c r="AY43" s="4"/>
      <c r="AZ43" s="4" t="s">
        <v>410</v>
      </c>
      <c r="BA43" s="4" t="s">
        <v>410</v>
      </c>
      <c r="BB43" s="4" t="s">
        <v>410</v>
      </c>
      <c r="BC43" s="4" t="str">
        <f t="shared" si="21"/>
        <v>-</v>
      </c>
      <c r="BD43" s="19">
        <v>4</v>
      </c>
      <c r="BE43" s="19">
        <v>8</v>
      </c>
      <c r="BF43" s="16">
        <v>3</v>
      </c>
      <c r="BG43" s="36">
        <v>46174</v>
      </c>
      <c r="BH43" t="s">
        <v>410</v>
      </c>
      <c r="BI43">
        <v>400</v>
      </c>
      <c r="BJ43" s="4" t="s">
        <v>410</v>
      </c>
      <c r="BL43" s="44">
        <f t="shared" si="22"/>
        <v>6.7567567567561326E-4</v>
      </c>
      <c r="BM43" t="s">
        <v>792</v>
      </c>
    </row>
    <row r="44" spans="1:65" x14ac:dyDescent="0.4">
      <c r="A44" s="3">
        <v>52</v>
      </c>
      <c r="B44" s="3">
        <f t="shared" si="23"/>
        <v>41</v>
      </c>
      <c r="C44" s="4" t="s">
        <v>83</v>
      </c>
      <c r="D44" s="4" t="str">
        <f t="shared" si="25"/>
        <v>J785MZ</v>
      </c>
      <c r="E44" s="4" t="s">
        <v>83</v>
      </c>
      <c r="F44" s="4" t="s">
        <v>230</v>
      </c>
      <c r="G44" s="5">
        <v>4977564700645</v>
      </c>
      <c r="H44" s="5">
        <v>5</v>
      </c>
      <c r="I44" s="5" t="str">
        <f t="shared" si="1"/>
        <v>J785MZ5</v>
      </c>
      <c r="J44" s="5">
        <v>1</v>
      </c>
      <c r="K44" s="5">
        <v>1</v>
      </c>
      <c r="L44" s="4">
        <v>360</v>
      </c>
      <c r="M44" s="4">
        <v>296</v>
      </c>
      <c r="N44" s="4">
        <v>180</v>
      </c>
      <c r="O44" s="6">
        <f t="shared" si="2"/>
        <v>0.39189189189189189</v>
      </c>
      <c r="P44" s="4" t="s">
        <v>410</v>
      </c>
      <c r="Q44" s="4" t="s">
        <v>410</v>
      </c>
      <c r="R44" s="4" t="s">
        <v>410</v>
      </c>
      <c r="S44" s="4" t="s">
        <v>410</v>
      </c>
      <c r="T44" s="4" t="s">
        <v>410</v>
      </c>
      <c r="U44" s="4" t="s">
        <v>410</v>
      </c>
      <c r="V44" s="4">
        <v>420</v>
      </c>
      <c r="W44" s="4">
        <f t="shared" si="3"/>
        <v>420</v>
      </c>
      <c r="X44" s="4">
        <v>189</v>
      </c>
      <c r="Y44" s="4">
        <f t="shared" si="4"/>
        <v>189</v>
      </c>
      <c r="Z44" s="4"/>
      <c r="AA44" s="21">
        <f t="shared" si="5"/>
        <v>311</v>
      </c>
      <c r="AB44" s="6">
        <f t="shared" si="6"/>
        <v>0.39228295819935688</v>
      </c>
      <c r="AC44" s="4">
        <v>3</v>
      </c>
      <c r="AD44" s="4" t="str">
        <f t="shared" si="7"/>
        <v>-</v>
      </c>
      <c r="AE44" s="4" t="e">
        <f t="shared" si="8"/>
        <v>#VALUE!</v>
      </c>
      <c r="AF44" s="6" t="e">
        <f t="shared" si="9"/>
        <v>#VALUE!</v>
      </c>
      <c r="AG44" s="7">
        <v>311</v>
      </c>
      <c r="AH44" s="6">
        <f t="shared" si="10"/>
        <v>0.39228295819935688</v>
      </c>
      <c r="AI44" s="4">
        <f t="shared" si="11"/>
        <v>122</v>
      </c>
      <c r="AJ44" s="28"/>
      <c r="AK44" s="6"/>
      <c r="AL44" s="6"/>
      <c r="AM44" s="6">
        <f t="shared" si="12"/>
        <v>1.1666666666666667</v>
      </c>
      <c r="AN44" s="6">
        <f t="shared" si="13"/>
        <v>1.0506756756756757</v>
      </c>
      <c r="AO44" s="6">
        <f t="shared" si="14"/>
        <v>1.05</v>
      </c>
      <c r="AP44" s="4" t="str">
        <f t="shared" si="15"/>
        <v>-</v>
      </c>
      <c r="AQ44" s="4" t="str">
        <f t="shared" si="16"/>
        <v>-</v>
      </c>
      <c r="AR44" s="4" t="str">
        <f t="shared" si="17"/>
        <v>-</v>
      </c>
      <c r="AS44" s="4" t="str">
        <f t="shared" si="18"/>
        <v>-</v>
      </c>
      <c r="AT44" s="4" t="str">
        <f t="shared" si="19"/>
        <v>-</v>
      </c>
      <c r="AU44" s="4" t="str">
        <f t="shared" si="20"/>
        <v>-</v>
      </c>
      <c r="AV44" s="4">
        <v>0</v>
      </c>
      <c r="AW44" s="4" t="s">
        <v>410</v>
      </c>
      <c r="AX44" s="4"/>
      <c r="AY44" s="4"/>
      <c r="AZ44" s="4" t="s">
        <v>410</v>
      </c>
      <c r="BA44" s="4" t="s">
        <v>410</v>
      </c>
      <c r="BB44" s="4" t="s">
        <v>410</v>
      </c>
      <c r="BC44" s="4" t="str">
        <f t="shared" si="21"/>
        <v>-</v>
      </c>
      <c r="BD44" s="19">
        <v>4</v>
      </c>
      <c r="BE44" s="19">
        <v>8</v>
      </c>
      <c r="BF44" s="16">
        <v>3</v>
      </c>
      <c r="BG44" s="36">
        <v>46174</v>
      </c>
      <c r="BH44" t="s">
        <v>410</v>
      </c>
      <c r="BI44">
        <v>400</v>
      </c>
      <c r="BJ44" s="4" t="s">
        <v>410</v>
      </c>
      <c r="BL44" s="44">
        <f t="shared" si="22"/>
        <v>6.7567567567561326E-4</v>
      </c>
      <c r="BM44" t="s">
        <v>792</v>
      </c>
    </row>
    <row r="45" spans="1:65" x14ac:dyDescent="0.4">
      <c r="A45" s="3">
        <v>53</v>
      </c>
      <c r="B45" s="3">
        <f t="shared" si="23"/>
        <v>42</v>
      </c>
      <c r="C45" s="4" t="s">
        <v>84</v>
      </c>
      <c r="D45" s="4" t="str">
        <f t="shared" si="25"/>
        <v>6130AM</v>
      </c>
      <c r="E45" s="4" t="s">
        <v>84</v>
      </c>
      <c r="F45" s="4" t="s">
        <v>231</v>
      </c>
      <c r="G45" s="5">
        <v>4977564662592</v>
      </c>
      <c r="H45" s="5">
        <v>5</v>
      </c>
      <c r="I45" s="5" t="str">
        <f t="shared" si="1"/>
        <v>6130AM5</v>
      </c>
      <c r="J45" s="5">
        <v>1</v>
      </c>
      <c r="K45" s="5">
        <v>1</v>
      </c>
      <c r="L45" s="4">
        <v>1200</v>
      </c>
      <c r="M45" s="4">
        <v>1117</v>
      </c>
      <c r="N45" s="4">
        <v>600</v>
      </c>
      <c r="O45" s="6">
        <f t="shared" si="2"/>
        <v>0.46284691136974032</v>
      </c>
      <c r="P45" s="4" t="s">
        <v>410</v>
      </c>
      <c r="Q45" s="4" t="s">
        <v>410</v>
      </c>
      <c r="R45" s="4" t="s">
        <v>410</v>
      </c>
      <c r="S45" s="4" t="s">
        <v>410</v>
      </c>
      <c r="T45" s="4" t="s">
        <v>410</v>
      </c>
      <c r="U45" s="4" t="s">
        <v>410</v>
      </c>
      <c r="V45" s="4">
        <v>1320</v>
      </c>
      <c r="W45" s="4">
        <f t="shared" si="3"/>
        <v>1320</v>
      </c>
      <c r="X45" s="4">
        <v>660</v>
      </c>
      <c r="Y45" s="4">
        <f t="shared" si="4"/>
        <v>660</v>
      </c>
      <c r="Z45" s="4"/>
      <c r="AA45" s="21">
        <f t="shared" si="5"/>
        <v>1229</v>
      </c>
      <c r="AB45" s="6">
        <f t="shared" si="6"/>
        <v>0.46297803091944667</v>
      </c>
      <c r="AC45" s="4">
        <v>0.25</v>
      </c>
      <c r="AD45" s="4">
        <f t="shared" si="7"/>
        <v>1117</v>
      </c>
      <c r="AE45" s="4">
        <f t="shared" si="8"/>
        <v>1228.7</v>
      </c>
      <c r="AF45" s="6">
        <f t="shared" si="9"/>
        <v>0.46284691136974043</v>
      </c>
      <c r="AG45" s="7">
        <v>1229</v>
      </c>
      <c r="AH45" s="6">
        <f t="shared" si="10"/>
        <v>0.46297803091944667</v>
      </c>
      <c r="AI45" s="4">
        <f t="shared" si="11"/>
        <v>569</v>
      </c>
      <c r="AJ45" s="28"/>
      <c r="AK45" s="6"/>
      <c r="AL45" s="6"/>
      <c r="AM45" s="6">
        <f t="shared" si="12"/>
        <v>1.1000000000000001</v>
      </c>
      <c r="AN45" s="6">
        <f t="shared" si="13"/>
        <v>1.1002685765443152</v>
      </c>
      <c r="AO45" s="6">
        <f t="shared" si="14"/>
        <v>1.1000000000000001</v>
      </c>
      <c r="AP45" s="4" t="str">
        <f t="shared" si="15"/>
        <v>-</v>
      </c>
      <c r="AQ45" s="4" t="str">
        <f t="shared" si="16"/>
        <v>-</v>
      </c>
      <c r="AR45" s="4" t="str">
        <f t="shared" si="17"/>
        <v>-</v>
      </c>
      <c r="AS45" s="4" t="str">
        <f t="shared" si="18"/>
        <v>-</v>
      </c>
      <c r="AT45" s="4" t="str">
        <f t="shared" si="19"/>
        <v>-</v>
      </c>
      <c r="AU45" s="4" t="str">
        <f t="shared" si="20"/>
        <v>-</v>
      </c>
      <c r="AV45" s="4">
        <v>0</v>
      </c>
      <c r="AW45" s="4" t="s">
        <v>618</v>
      </c>
      <c r="AX45" s="4"/>
      <c r="AY45" s="4"/>
      <c r="AZ45" s="4" t="s">
        <v>616</v>
      </c>
      <c r="BA45" s="4">
        <v>1117</v>
      </c>
      <c r="BB45" s="4">
        <v>1117</v>
      </c>
      <c r="BC45" s="4">
        <f t="shared" si="21"/>
        <v>1117</v>
      </c>
      <c r="BD45" s="19">
        <v>4</v>
      </c>
      <c r="BE45" s="19">
        <v>1</v>
      </c>
      <c r="BF45" s="16">
        <v>3</v>
      </c>
      <c r="BG45" s="36">
        <v>46174</v>
      </c>
      <c r="BH45" t="s">
        <v>410</v>
      </c>
      <c r="BI45">
        <v>967</v>
      </c>
      <c r="BJ45" s="4" t="s">
        <v>440</v>
      </c>
      <c r="BL45" s="44">
        <f t="shared" si="22"/>
        <v>2.6857654431511335E-4</v>
      </c>
      <c r="BM45" t="s">
        <v>792</v>
      </c>
    </row>
    <row r="46" spans="1:65" x14ac:dyDescent="0.4">
      <c r="A46" s="3">
        <v>54</v>
      </c>
      <c r="B46" s="3">
        <f t="shared" si="23"/>
        <v>43</v>
      </c>
      <c r="C46" s="4" t="s">
        <v>85</v>
      </c>
      <c r="D46" s="4" t="str">
        <f t="shared" si="25"/>
        <v>6169AM</v>
      </c>
      <c r="E46" s="4" t="s">
        <v>85</v>
      </c>
      <c r="F46" s="4" t="s">
        <v>232</v>
      </c>
      <c r="G46" s="5">
        <v>4977564472238</v>
      </c>
      <c r="H46" s="5">
        <v>5</v>
      </c>
      <c r="I46" s="5" t="str">
        <f t="shared" si="1"/>
        <v>6169AM5</v>
      </c>
      <c r="J46" s="5">
        <v>1</v>
      </c>
      <c r="K46" s="5">
        <v>1</v>
      </c>
      <c r="L46" s="4">
        <v>800</v>
      </c>
      <c r="M46" s="4">
        <v>787</v>
      </c>
      <c r="N46" s="4">
        <v>400</v>
      </c>
      <c r="O46" s="6">
        <f t="shared" si="2"/>
        <v>0.49174078780177888</v>
      </c>
      <c r="P46" s="4" t="s">
        <v>410</v>
      </c>
      <c r="Q46" s="4" t="s">
        <v>410</v>
      </c>
      <c r="R46" s="4" t="s">
        <v>410</v>
      </c>
      <c r="S46" s="4" t="s">
        <v>410</v>
      </c>
      <c r="T46" s="4" t="s">
        <v>410</v>
      </c>
      <c r="U46" s="4" t="s">
        <v>410</v>
      </c>
      <c r="V46" s="4">
        <v>880</v>
      </c>
      <c r="W46" s="4">
        <f t="shared" si="3"/>
        <v>880</v>
      </c>
      <c r="X46" s="4">
        <v>440</v>
      </c>
      <c r="Y46" s="4">
        <f t="shared" si="4"/>
        <v>440</v>
      </c>
      <c r="Z46" s="4"/>
      <c r="AA46" s="21">
        <f t="shared" si="5"/>
        <v>866</v>
      </c>
      <c r="AB46" s="6">
        <f t="shared" si="6"/>
        <v>0.4919168591224018</v>
      </c>
      <c r="AC46" s="4">
        <v>0.25</v>
      </c>
      <c r="AD46" s="4">
        <f t="shared" si="7"/>
        <v>787</v>
      </c>
      <c r="AE46" s="4">
        <f t="shared" si="8"/>
        <v>865.7</v>
      </c>
      <c r="AF46" s="6">
        <f t="shared" si="9"/>
        <v>0.49174078780177899</v>
      </c>
      <c r="AG46" s="7">
        <v>798</v>
      </c>
      <c r="AH46" s="6">
        <f t="shared" si="10"/>
        <v>0.44862155388471181</v>
      </c>
      <c r="AI46" s="4">
        <f t="shared" si="11"/>
        <v>358</v>
      </c>
      <c r="AJ46" s="28"/>
      <c r="AK46" s="6"/>
      <c r="AL46" s="6"/>
      <c r="AM46" s="6">
        <f t="shared" si="12"/>
        <v>1.1000000000000001</v>
      </c>
      <c r="AN46" s="6">
        <f t="shared" si="13"/>
        <v>1.0139771283354511</v>
      </c>
      <c r="AO46" s="6">
        <f t="shared" si="14"/>
        <v>1.1000000000000001</v>
      </c>
      <c r="AP46" s="4" t="str">
        <f t="shared" si="15"/>
        <v>-</v>
      </c>
      <c r="AQ46" s="4" t="str">
        <f t="shared" si="16"/>
        <v>-</v>
      </c>
      <c r="AR46" s="4" t="str">
        <f t="shared" si="17"/>
        <v>-</v>
      </c>
      <c r="AS46" s="4" t="str">
        <f t="shared" si="18"/>
        <v>-</v>
      </c>
      <c r="AT46" s="4" t="str">
        <f t="shared" si="19"/>
        <v>-</v>
      </c>
      <c r="AU46" s="4" t="str">
        <f t="shared" si="20"/>
        <v>-</v>
      </c>
      <c r="AV46" s="4">
        <v>0</v>
      </c>
      <c r="AW46" s="4" t="s">
        <v>619</v>
      </c>
      <c r="AX46" s="4"/>
      <c r="AY46" s="4"/>
      <c r="AZ46" s="4" t="s">
        <v>616</v>
      </c>
      <c r="BA46" s="4">
        <v>787</v>
      </c>
      <c r="BB46" s="4">
        <v>787</v>
      </c>
      <c r="BC46" s="4">
        <f t="shared" si="21"/>
        <v>787</v>
      </c>
      <c r="BD46" s="19">
        <v>4</v>
      </c>
      <c r="BE46" s="19">
        <v>1</v>
      </c>
      <c r="BF46" s="16">
        <v>3</v>
      </c>
      <c r="BG46" s="36">
        <v>46174</v>
      </c>
      <c r="BH46">
        <v>403</v>
      </c>
      <c r="BI46">
        <v>800</v>
      </c>
      <c r="BJ46" s="4" t="s">
        <v>441</v>
      </c>
      <c r="BL46" s="44">
        <f t="shared" si="22"/>
        <v>-8.6022871664549028E-2</v>
      </c>
      <c r="BM46" t="s">
        <v>792</v>
      </c>
    </row>
    <row r="47" spans="1:65" x14ac:dyDescent="0.4">
      <c r="A47" s="3">
        <v>55</v>
      </c>
      <c r="B47" s="3">
        <f t="shared" si="23"/>
        <v>44</v>
      </c>
      <c r="C47" s="4" t="s">
        <v>86</v>
      </c>
      <c r="D47" s="4" t="str">
        <f t="shared" si="25"/>
        <v>6170AM</v>
      </c>
      <c r="E47" s="4" t="s">
        <v>86</v>
      </c>
      <c r="F47" s="4" t="s">
        <v>233</v>
      </c>
      <c r="G47" s="5">
        <v>4977564472252</v>
      </c>
      <c r="H47" s="5">
        <v>5</v>
      </c>
      <c r="I47" s="5" t="str">
        <f t="shared" si="1"/>
        <v>6170AM5</v>
      </c>
      <c r="J47" s="5">
        <v>1</v>
      </c>
      <c r="K47" s="5">
        <v>1</v>
      </c>
      <c r="L47" s="4">
        <v>800</v>
      </c>
      <c r="M47" s="4">
        <v>739</v>
      </c>
      <c r="N47" s="4">
        <v>400</v>
      </c>
      <c r="O47" s="6">
        <f t="shared" si="2"/>
        <v>0.45872801082543979</v>
      </c>
      <c r="P47" s="4" t="s">
        <v>410</v>
      </c>
      <c r="Q47" s="4" t="s">
        <v>410</v>
      </c>
      <c r="R47" s="4" t="s">
        <v>410</v>
      </c>
      <c r="S47" s="4" t="s">
        <v>410</v>
      </c>
      <c r="T47" s="4" t="s">
        <v>410</v>
      </c>
      <c r="U47" s="4" t="s">
        <v>410</v>
      </c>
      <c r="V47" s="4">
        <v>880</v>
      </c>
      <c r="W47" s="4">
        <f t="shared" si="3"/>
        <v>880</v>
      </c>
      <c r="X47" s="4">
        <v>440</v>
      </c>
      <c r="Y47" s="4">
        <f t="shared" si="4"/>
        <v>440</v>
      </c>
      <c r="Z47" s="4"/>
      <c r="AA47" s="21">
        <f t="shared" si="5"/>
        <v>813</v>
      </c>
      <c r="AB47" s="6">
        <f t="shared" si="6"/>
        <v>0.45879458794587946</v>
      </c>
      <c r="AC47" s="4">
        <v>0.25</v>
      </c>
      <c r="AD47" s="4">
        <f t="shared" si="7"/>
        <v>739</v>
      </c>
      <c r="AE47" s="4">
        <f t="shared" si="8"/>
        <v>812.90000000000009</v>
      </c>
      <c r="AF47" s="6">
        <f t="shared" si="9"/>
        <v>0.45872801082543979</v>
      </c>
      <c r="AG47" s="7">
        <v>798</v>
      </c>
      <c r="AH47" s="6">
        <f t="shared" si="10"/>
        <v>0.44862155388471181</v>
      </c>
      <c r="AI47" s="4">
        <f t="shared" si="11"/>
        <v>358</v>
      </c>
      <c r="AJ47" s="28"/>
      <c r="AK47" s="6"/>
      <c r="AL47" s="6"/>
      <c r="AM47" s="6">
        <f t="shared" si="12"/>
        <v>1.1000000000000001</v>
      </c>
      <c r="AN47" s="6">
        <f t="shared" si="13"/>
        <v>1.0798376184032477</v>
      </c>
      <c r="AO47" s="6">
        <f t="shared" si="14"/>
        <v>1.1000000000000001</v>
      </c>
      <c r="AP47" s="4" t="str">
        <f t="shared" si="15"/>
        <v>-</v>
      </c>
      <c r="AQ47" s="4" t="str">
        <f t="shared" si="16"/>
        <v>-</v>
      </c>
      <c r="AR47" s="4" t="str">
        <f t="shared" si="17"/>
        <v>-</v>
      </c>
      <c r="AS47" s="4" t="str">
        <f t="shared" si="18"/>
        <v>-</v>
      </c>
      <c r="AT47" s="4" t="str">
        <f t="shared" si="19"/>
        <v>-</v>
      </c>
      <c r="AU47" s="4" t="str">
        <f t="shared" si="20"/>
        <v>-</v>
      </c>
      <c r="AV47" s="4">
        <v>0</v>
      </c>
      <c r="AW47" s="4" t="s">
        <v>620</v>
      </c>
      <c r="AX47" s="4"/>
      <c r="AY47" s="4"/>
      <c r="AZ47" s="4" t="s">
        <v>616</v>
      </c>
      <c r="BA47" s="4">
        <v>739</v>
      </c>
      <c r="BB47" s="4">
        <v>739</v>
      </c>
      <c r="BC47" s="4">
        <f t="shared" si="21"/>
        <v>739</v>
      </c>
      <c r="BD47" s="19">
        <v>4</v>
      </c>
      <c r="BE47" s="19">
        <v>1</v>
      </c>
      <c r="BF47" s="16">
        <v>3</v>
      </c>
      <c r="BG47" s="36">
        <v>46174</v>
      </c>
      <c r="BH47">
        <v>403</v>
      </c>
      <c r="BI47">
        <v>653</v>
      </c>
      <c r="BJ47" s="4" t="s">
        <v>442</v>
      </c>
      <c r="BL47" s="44">
        <f t="shared" si="22"/>
        <v>-2.0162381596752432E-2</v>
      </c>
      <c r="BM47" t="s">
        <v>792</v>
      </c>
    </row>
    <row r="48" spans="1:65" x14ac:dyDescent="0.4">
      <c r="A48" s="3">
        <v>56</v>
      </c>
      <c r="B48" s="3">
        <f t="shared" si="23"/>
        <v>45</v>
      </c>
      <c r="C48" s="4" t="s">
        <v>87</v>
      </c>
      <c r="D48" s="4" t="str">
        <f t="shared" si="25"/>
        <v>6171AM</v>
      </c>
      <c r="E48" s="4" t="s">
        <v>87</v>
      </c>
      <c r="F48" s="4" t="s">
        <v>234</v>
      </c>
      <c r="G48" s="5">
        <v>4977564472283</v>
      </c>
      <c r="H48" s="5">
        <v>5</v>
      </c>
      <c r="I48" s="5" t="str">
        <f t="shared" si="1"/>
        <v>6171AM5</v>
      </c>
      <c r="J48" s="5">
        <v>1</v>
      </c>
      <c r="K48" s="5">
        <v>1</v>
      </c>
      <c r="L48" s="4">
        <v>980</v>
      </c>
      <c r="M48" s="4">
        <v>785</v>
      </c>
      <c r="N48" s="4">
        <v>490</v>
      </c>
      <c r="O48" s="6">
        <f t="shared" si="2"/>
        <v>0.37579617834394907</v>
      </c>
      <c r="P48" s="4" t="s">
        <v>410</v>
      </c>
      <c r="Q48" s="4" t="s">
        <v>410</v>
      </c>
      <c r="R48" s="4" t="s">
        <v>410</v>
      </c>
      <c r="S48" s="4" t="s">
        <v>410</v>
      </c>
      <c r="T48" s="4" t="s">
        <v>410</v>
      </c>
      <c r="U48" s="4" t="s">
        <v>410</v>
      </c>
      <c r="V48" s="4">
        <v>1080</v>
      </c>
      <c r="W48" s="4">
        <f t="shared" si="3"/>
        <v>1080</v>
      </c>
      <c r="X48" s="4">
        <v>540</v>
      </c>
      <c r="Y48" s="4">
        <f t="shared" si="4"/>
        <v>540</v>
      </c>
      <c r="Z48" s="4"/>
      <c r="AA48" s="21">
        <f t="shared" si="5"/>
        <v>865</v>
      </c>
      <c r="AB48" s="6">
        <f t="shared" si="6"/>
        <v>0.37572254335260113</v>
      </c>
      <c r="AC48" s="4">
        <v>0.25</v>
      </c>
      <c r="AD48" s="4">
        <f t="shared" si="7"/>
        <v>785</v>
      </c>
      <c r="AE48" s="4">
        <f t="shared" si="8"/>
        <v>865.10204081632639</v>
      </c>
      <c r="AF48" s="6">
        <f t="shared" si="9"/>
        <v>0.37579617834394896</v>
      </c>
      <c r="AG48" s="7">
        <v>865</v>
      </c>
      <c r="AH48" s="6">
        <f t="shared" si="10"/>
        <v>0.37572254335260113</v>
      </c>
      <c r="AI48" s="4">
        <f t="shared" si="11"/>
        <v>325</v>
      </c>
      <c r="AJ48" s="28"/>
      <c r="AK48" s="6"/>
      <c r="AL48" s="6"/>
      <c r="AM48" s="6">
        <f t="shared" si="12"/>
        <v>1.1020408163265305</v>
      </c>
      <c r="AN48" s="6">
        <f t="shared" si="13"/>
        <v>1.1019108280254777</v>
      </c>
      <c r="AO48" s="6">
        <f t="shared" si="14"/>
        <v>1.1020408163265305</v>
      </c>
      <c r="AP48" s="4" t="str">
        <f t="shared" si="15"/>
        <v>-</v>
      </c>
      <c r="AQ48" s="4" t="str">
        <f t="shared" si="16"/>
        <v>-</v>
      </c>
      <c r="AR48" s="4" t="str">
        <f t="shared" si="17"/>
        <v>-</v>
      </c>
      <c r="AS48" s="4" t="str">
        <f t="shared" si="18"/>
        <v>-</v>
      </c>
      <c r="AT48" s="4" t="str">
        <f t="shared" si="19"/>
        <v>-</v>
      </c>
      <c r="AU48" s="4" t="str">
        <f t="shared" si="20"/>
        <v>-</v>
      </c>
      <c r="AV48" s="4">
        <v>0</v>
      </c>
      <c r="AW48" s="4" t="s">
        <v>621</v>
      </c>
      <c r="AX48" s="4"/>
      <c r="AY48" s="4"/>
      <c r="AZ48" s="4" t="s">
        <v>616</v>
      </c>
      <c r="BA48" s="4">
        <v>785</v>
      </c>
      <c r="BB48" s="4">
        <v>785</v>
      </c>
      <c r="BC48" s="4">
        <f t="shared" si="21"/>
        <v>785</v>
      </c>
      <c r="BD48" s="19">
        <v>4</v>
      </c>
      <c r="BE48" s="19">
        <v>1</v>
      </c>
      <c r="BF48" s="16">
        <v>3</v>
      </c>
      <c r="BG48" s="36">
        <v>46174</v>
      </c>
      <c r="BH48" t="s">
        <v>410</v>
      </c>
      <c r="BI48">
        <v>916</v>
      </c>
      <c r="BJ48" s="4" t="s">
        <v>443</v>
      </c>
      <c r="BL48" s="44">
        <f t="shared" si="22"/>
        <v>-1.2998830105281911E-4</v>
      </c>
      <c r="BM48" t="s">
        <v>792</v>
      </c>
    </row>
    <row r="49" spans="1:65" x14ac:dyDescent="0.4">
      <c r="A49" s="3">
        <v>57</v>
      </c>
      <c r="B49" s="3">
        <f t="shared" si="23"/>
        <v>46</v>
      </c>
      <c r="C49" s="4">
        <v>645941</v>
      </c>
      <c r="D49" s="4" t="str">
        <f t="shared" si="25"/>
        <v>645941</v>
      </c>
      <c r="E49" s="4">
        <v>645941</v>
      </c>
      <c r="F49" s="4" t="s">
        <v>235</v>
      </c>
      <c r="G49" s="5">
        <v>4977564475918</v>
      </c>
      <c r="H49" s="5">
        <v>5</v>
      </c>
      <c r="I49" s="5" t="str">
        <f t="shared" si="1"/>
        <v>6459415</v>
      </c>
      <c r="J49" s="5">
        <v>1</v>
      </c>
      <c r="K49" s="5">
        <v>1</v>
      </c>
      <c r="L49" s="4">
        <v>980</v>
      </c>
      <c r="M49" s="4">
        <v>695</v>
      </c>
      <c r="N49" s="4">
        <v>415</v>
      </c>
      <c r="O49" s="6">
        <f t="shared" si="2"/>
        <v>0.40287769784172667</v>
      </c>
      <c r="P49" s="4" t="s">
        <v>410</v>
      </c>
      <c r="Q49" s="4" t="s">
        <v>410</v>
      </c>
      <c r="R49" s="4" t="s">
        <v>410</v>
      </c>
      <c r="S49" s="4" t="s">
        <v>410</v>
      </c>
      <c r="T49" s="4" t="s">
        <v>410</v>
      </c>
      <c r="U49" s="4" t="s">
        <v>410</v>
      </c>
      <c r="V49" s="4">
        <v>1080</v>
      </c>
      <c r="W49" s="4">
        <f t="shared" si="3"/>
        <v>1080</v>
      </c>
      <c r="X49" s="4">
        <v>458</v>
      </c>
      <c r="Y49" s="4">
        <f t="shared" si="4"/>
        <v>458</v>
      </c>
      <c r="Z49" s="4"/>
      <c r="AA49" s="21">
        <f t="shared" si="5"/>
        <v>767</v>
      </c>
      <c r="AB49" s="6">
        <f t="shared" si="6"/>
        <v>0.40286831812255541</v>
      </c>
      <c r="AC49" s="4">
        <v>1.25</v>
      </c>
      <c r="AD49" s="4">
        <f t="shared" si="7"/>
        <v>890</v>
      </c>
      <c r="AE49" s="4">
        <f t="shared" si="8"/>
        <v>982.21686746987962</v>
      </c>
      <c r="AF49" s="6">
        <f t="shared" si="9"/>
        <v>0.53370786516853941</v>
      </c>
      <c r="AG49" s="7">
        <v>768</v>
      </c>
      <c r="AH49" s="6">
        <f t="shared" si="10"/>
        <v>0.40364583333333337</v>
      </c>
      <c r="AI49" s="4">
        <f t="shared" si="11"/>
        <v>310</v>
      </c>
      <c r="AJ49" s="28"/>
      <c r="AK49" s="6"/>
      <c r="AL49" s="6"/>
      <c r="AM49" s="6">
        <f t="shared" si="12"/>
        <v>1.1020408163265305</v>
      </c>
      <c r="AN49" s="6">
        <f t="shared" si="13"/>
        <v>1.1050359712230216</v>
      </c>
      <c r="AO49" s="6">
        <f t="shared" si="14"/>
        <v>1.1036144578313254</v>
      </c>
      <c r="AP49" s="4" t="str">
        <f t="shared" si="15"/>
        <v>-</v>
      </c>
      <c r="AQ49" s="4" t="str">
        <f t="shared" si="16"/>
        <v>-</v>
      </c>
      <c r="AR49" s="4" t="str">
        <f t="shared" si="17"/>
        <v>-</v>
      </c>
      <c r="AS49" s="4" t="str">
        <f t="shared" si="18"/>
        <v>-</v>
      </c>
      <c r="AT49" s="4" t="str">
        <f t="shared" si="19"/>
        <v>-</v>
      </c>
      <c r="AU49" s="4" t="str">
        <f t="shared" si="20"/>
        <v>-</v>
      </c>
      <c r="AV49" s="4">
        <v>0</v>
      </c>
      <c r="AW49" s="4" t="s">
        <v>622</v>
      </c>
      <c r="AX49" s="4"/>
      <c r="AY49" s="4"/>
      <c r="AZ49" s="4" t="s">
        <v>616</v>
      </c>
      <c r="BA49" s="4">
        <v>890</v>
      </c>
      <c r="BB49" s="4">
        <v>890</v>
      </c>
      <c r="BC49" s="4">
        <f t="shared" si="21"/>
        <v>890</v>
      </c>
      <c r="BD49" s="19">
        <v>4</v>
      </c>
      <c r="BE49" s="19">
        <v>1</v>
      </c>
      <c r="BF49" s="16">
        <v>3</v>
      </c>
      <c r="BG49" s="36">
        <v>46174</v>
      </c>
      <c r="BH49" t="s">
        <v>410</v>
      </c>
      <c r="BI49">
        <v>916</v>
      </c>
      <c r="BJ49" s="4" t="s">
        <v>444</v>
      </c>
      <c r="BL49" s="44">
        <f t="shared" si="22"/>
        <v>1.4215133916961609E-3</v>
      </c>
      <c r="BM49" t="s">
        <v>792</v>
      </c>
    </row>
    <row r="50" spans="1:65" x14ac:dyDescent="0.4">
      <c r="A50" s="3">
        <v>58</v>
      </c>
      <c r="B50" s="3">
        <f t="shared" si="23"/>
        <v>47</v>
      </c>
      <c r="C50" s="4">
        <v>943262</v>
      </c>
      <c r="D50" s="4" t="str">
        <f t="shared" si="25"/>
        <v>943262</v>
      </c>
      <c r="E50" s="4">
        <v>943262</v>
      </c>
      <c r="F50" s="4" t="s">
        <v>236</v>
      </c>
      <c r="G50" s="5">
        <v>4977564472207</v>
      </c>
      <c r="H50" s="5">
        <v>5</v>
      </c>
      <c r="I50" s="5" t="str">
        <f t="shared" si="1"/>
        <v>9432625</v>
      </c>
      <c r="J50" s="5">
        <v>1</v>
      </c>
      <c r="K50" s="5">
        <v>1</v>
      </c>
      <c r="L50" s="4">
        <v>630</v>
      </c>
      <c r="M50" s="4">
        <v>446</v>
      </c>
      <c r="N50" s="4">
        <v>258</v>
      </c>
      <c r="O50" s="6">
        <f t="shared" si="2"/>
        <v>0.42152466367713004</v>
      </c>
      <c r="P50" s="4" t="s">
        <v>410</v>
      </c>
      <c r="Q50" s="4" t="s">
        <v>410</v>
      </c>
      <c r="R50" s="4" t="s">
        <v>410</v>
      </c>
      <c r="S50" s="4" t="s">
        <v>410</v>
      </c>
      <c r="T50" s="4" t="s">
        <v>410</v>
      </c>
      <c r="U50" s="4" t="s">
        <v>410</v>
      </c>
      <c r="V50" s="4">
        <v>700</v>
      </c>
      <c r="W50" s="4">
        <f t="shared" si="3"/>
        <v>700</v>
      </c>
      <c r="X50" s="4">
        <v>287</v>
      </c>
      <c r="Y50" s="4">
        <f t="shared" si="4"/>
        <v>287</v>
      </c>
      <c r="Z50" s="4"/>
      <c r="AA50" s="21">
        <f t="shared" si="5"/>
        <v>496</v>
      </c>
      <c r="AB50" s="6">
        <f t="shared" si="6"/>
        <v>0.4213709677419355</v>
      </c>
      <c r="AC50" s="4">
        <v>12.75</v>
      </c>
      <c r="AD50" s="4">
        <f t="shared" si="7"/>
        <v>630</v>
      </c>
      <c r="AE50" s="4">
        <f t="shared" si="8"/>
        <v>700.81395348837214</v>
      </c>
      <c r="AF50" s="6">
        <f t="shared" si="9"/>
        <v>0.59047619047619049</v>
      </c>
      <c r="AG50" s="7">
        <v>498</v>
      </c>
      <c r="AH50" s="6">
        <f t="shared" si="10"/>
        <v>0.42369477911646591</v>
      </c>
      <c r="AI50" s="4">
        <f t="shared" si="11"/>
        <v>211</v>
      </c>
      <c r="AJ50" s="28"/>
      <c r="AK50" s="6"/>
      <c r="AL50" s="6"/>
      <c r="AM50" s="6">
        <f t="shared" si="12"/>
        <v>1.1111111111111112</v>
      </c>
      <c r="AN50" s="6">
        <f t="shared" si="13"/>
        <v>1.116591928251121</v>
      </c>
      <c r="AO50" s="6">
        <f t="shared" si="14"/>
        <v>1.1124031007751938</v>
      </c>
      <c r="AP50" s="4" t="str">
        <f t="shared" si="15"/>
        <v>-</v>
      </c>
      <c r="AQ50" s="4" t="str">
        <f t="shared" si="16"/>
        <v>-</v>
      </c>
      <c r="AR50" s="4" t="str">
        <f t="shared" si="17"/>
        <v>-</v>
      </c>
      <c r="AS50" s="4" t="str">
        <f t="shared" si="18"/>
        <v>-</v>
      </c>
      <c r="AT50" s="4" t="str">
        <f t="shared" si="19"/>
        <v>-</v>
      </c>
      <c r="AU50" s="4" t="str">
        <f t="shared" si="20"/>
        <v>-</v>
      </c>
      <c r="AV50" s="4">
        <v>0</v>
      </c>
      <c r="AW50" s="4" t="s">
        <v>623</v>
      </c>
      <c r="AX50" s="4"/>
      <c r="AY50" s="4"/>
      <c r="AZ50" s="4" t="s">
        <v>616</v>
      </c>
      <c r="BA50" s="4">
        <v>630</v>
      </c>
      <c r="BB50" s="4">
        <v>630</v>
      </c>
      <c r="BC50" s="4">
        <f t="shared" si="21"/>
        <v>630</v>
      </c>
      <c r="BD50" s="19">
        <v>4</v>
      </c>
      <c r="BE50" s="19">
        <v>1</v>
      </c>
      <c r="BF50" s="16">
        <v>3</v>
      </c>
      <c r="BG50" s="36">
        <v>46174</v>
      </c>
      <c r="BH50">
        <v>322</v>
      </c>
      <c r="BI50">
        <v>599</v>
      </c>
      <c r="BJ50" s="4" t="s">
        <v>445</v>
      </c>
      <c r="BL50" s="44">
        <f t="shared" si="22"/>
        <v>4.1888274759271926E-3</v>
      </c>
      <c r="BM50" t="s">
        <v>792</v>
      </c>
    </row>
    <row r="51" spans="1:65" x14ac:dyDescent="0.4">
      <c r="A51" s="3">
        <v>59</v>
      </c>
      <c r="B51" s="3">
        <f t="shared" si="23"/>
        <v>48</v>
      </c>
      <c r="C51" s="4">
        <v>656892</v>
      </c>
      <c r="D51" s="4" t="str">
        <f t="shared" si="25"/>
        <v>656892</v>
      </c>
      <c r="E51" s="4">
        <v>656892</v>
      </c>
      <c r="F51" s="4" t="s">
        <v>237</v>
      </c>
      <c r="G51" s="5">
        <v>4977564475802</v>
      </c>
      <c r="H51" s="5">
        <v>5</v>
      </c>
      <c r="I51" s="5" t="str">
        <f t="shared" si="1"/>
        <v>6568925</v>
      </c>
      <c r="J51" s="5">
        <v>1</v>
      </c>
      <c r="K51" s="5">
        <v>1</v>
      </c>
      <c r="L51" s="4">
        <v>630</v>
      </c>
      <c r="M51" s="4">
        <v>446</v>
      </c>
      <c r="N51" s="4">
        <v>258</v>
      </c>
      <c r="O51" s="6">
        <f t="shared" si="2"/>
        <v>0.42152466367713004</v>
      </c>
      <c r="P51" s="4" t="s">
        <v>410</v>
      </c>
      <c r="Q51" s="4" t="s">
        <v>410</v>
      </c>
      <c r="R51" s="4" t="s">
        <v>410</v>
      </c>
      <c r="S51" s="4" t="s">
        <v>410</v>
      </c>
      <c r="T51" s="4" t="s">
        <v>410</v>
      </c>
      <c r="U51" s="4" t="s">
        <v>410</v>
      </c>
      <c r="V51" s="4">
        <v>700</v>
      </c>
      <c r="W51" s="4">
        <f t="shared" si="3"/>
        <v>700</v>
      </c>
      <c r="X51" s="4">
        <v>287</v>
      </c>
      <c r="Y51" s="4">
        <f t="shared" si="4"/>
        <v>287</v>
      </c>
      <c r="Z51" s="4"/>
      <c r="AA51" s="21">
        <f t="shared" si="5"/>
        <v>496</v>
      </c>
      <c r="AB51" s="6">
        <f t="shared" si="6"/>
        <v>0.4213709677419355</v>
      </c>
      <c r="AC51" s="4">
        <v>4.5</v>
      </c>
      <c r="AD51" s="4">
        <f t="shared" si="7"/>
        <v>630</v>
      </c>
      <c r="AE51" s="4">
        <f t="shared" si="8"/>
        <v>700.81395348837214</v>
      </c>
      <c r="AF51" s="6">
        <f t="shared" si="9"/>
        <v>0.59047619047619049</v>
      </c>
      <c r="AG51" s="7">
        <v>498</v>
      </c>
      <c r="AH51" s="6">
        <f t="shared" si="10"/>
        <v>0.42369477911646591</v>
      </c>
      <c r="AI51" s="4">
        <f t="shared" si="11"/>
        <v>211</v>
      </c>
      <c r="AJ51" s="28"/>
      <c r="AK51" s="6"/>
      <c r="AL51" s="6"/>
      <c r="AM51" s="6">
        <f t="shared" si="12"/>
        <v>1.1111111111111112</v>
      </c>
      <c r="AN51" s="6">
        <f t="shared" si="13"/>
        <v>1.116591928251121</v>
      </c>
      <c r="AO51" s="6">
        <f t="shared" si="14"/>
        <v>1.1124031007751938</v>
      </c>
      <c r="AP51" s="4" t="str">
        <f t="shared" si="15"/>
        <v>-</v>
      </c>
      <c r="AQ51" s="4" t="str">
        <f t="shared" si="16"/>
        <v>-</v>
      </c>
      <c r="AR51" s="4" t="str">
        <f t="shared" si="17"/>
        <v>-</v>
      </c>
      <c r="AS51" s="4" t="str">
        <f t="shared" si="18"/>
        <v>-</v>
      </c>
      <c r="AT51" s="4" t="str">
        <f t="shared" si="19"/>
        <v>-</v>
      </c>
      <c r="AU51" s="4" t="str">
        <f t="shared" si="20"/>
        <v>-</v>
      </c>
      <c r="AV51" s="4">
        <v>0</v>
      </c>
      <c r="AW51" s="4" t="s">
        <v>624</v>
      </c>
      <c r="AX51" s="4"/>
      <c r="AY51" s="4"/>
      <c r="AZ51" s="4" t="s">
        <v>616</v>
      </c>
      <c r="BA51" s="4">
        <v>630</v>
      </c>
      <c r="BB51" s="4">
        <v>630</v>
      </c>
      <c r="BC51" s="4">
        <f t="shared" si="21"/>
        <v>630</v>
      </c>
      <c r="BD51" s="19">
        <v>4</v>
      </c>
      <c r="BE51" s="19">
        <v>1</v>
      </c>
      <c r="BF51" s="16">
        <v>3</v>
      </c>
      <c r="BG51" s="36">
        <v>46174</v>
      </c>
      <c r="BH51" t="s">
        <v>410</v>
      </c>
      <c r="BI51">
        <v>590</v>
      </c>
      <c r="BJ51" s="4" t="s">
        <v>446</v>
      </c>
      <c r="BL51" s="44">
        <f t="shared" si="22"/>
        <v>4.1888274759271926E-3</v>
      </c>
      <c r="BM51" t="s">
        <v>792</v>
      </c>
    </row>
    <row r="52" spans="1:65" x14ac:dyDescent="0.4">
      <c r="A52" s="3">
        <v>60</v>
      </c>
      <c r="B52" s="3">
        <f t="shared" si="23"/>
        <v>49</v>
      </c>
      <c r="C52" s="4" t="s">
        <v>88</v>
      </c>
      <c r="D52" s="4" t="str">
        <f t="shared" si="25"/>
        <v>J723LN</v>
      </c>
      <c r="E52" s="4" t="s">
        <v>88</v>
      </c>
      <c r="F52" s="4" t="s">
        <v>238</v>
      </c>
      <c r="G52" s="5">
        <v>4977564687304</v>
      </c>
      <c r="H52" s="5">
        <v>5</v>
      </c>
      <c r="I52" s="5" t="str">
        <f t="shared" si="1"/>
        <v>J723LN5</v>
      </c>
      <c r="J52" s="5">
        <v>1</v>
      </c>
      <c r="K52" s="5">
        <v>1</v>
      </c>
      <c r="L52" s="4">
        <v>280</v>
      </c>
      <c r="M52" s="4">
        <v>185</v>
      </c>
      <c r="N52" s="4">
        <v>140</v>
      </c>
      <c r="O52" s="6">
        <f t="shared" si="2"/>
        <v>0.2432432432432432</v>
      </c>
      <c r="P52" s="4" t="s">
        <v>410</v>
      </c>
      <c r="Q52" s="4" t="s">
        <v>410</v>
      </c>
      <c r="R52" s="4" t="s">
        <v>410</v>
      </c>
      <c r="S52" s="4" t="s">
        <v>410</v>
      </c>
      <c r="T52" s="4" t="s">
        <v>410</v>
      </c>
      <c r="U52" s="4" t="s">
        <v>410</v>
      </c>
      <c r="V52" s="4">
        <v>300</v>
      </c>
      <c r="W52" s="4">
        <f t="shared" si="3"/>
        <v>300</v>
      </c>
      <c r="X52" s="4">
        <v>150</v>
      </c>
      <c r="Y52" s="4">
        <f t="shared" si="4"/>
        <v>150</v>
      </c>
      <c r="Z52" s="4"/>
      <c r="AA52" s="21">
        <f t="shared" si="5"/>
        <v>198</v>
      </c>
      <c r="AB52" s="6">
        <f t="shared" si="6"/>
        <v>0.24242424242424243</v>
      </c>
      <c r="AC52" s="4">
        <v>0</v>
      </c>
      <c r="AD52" s="4">
        <f t="shared" si="7"/>
        <v>199</v>
      </c>
      <c r="AE52" s="4">
        <f t="shared" si="8"/>
        <v>213.21428571428569</v>
      </c>
      <c r="AF52" s="6">
        <f t="shared" si="9"/>
        <v>0.29648241206030146</v>
      </c>
      <c r="AG52" s="7">
        <v>213</v>
      </c>
      <c r="AH52" s="6">
        <f t="shared" si="10"/>
        <v>0.29577464788732399</v>
      </c>
      <c r="AI52" s="4">
        <f t="shared" si="11"/>
        <v>63</v>
      </c>
      <c r="AJ52" s="28"/>
      <c r="AK52" s="6"/>
      <c r="AL52" s="6"/>
      <c r="AM52" s="6">
        <f t="shared" si="12"/>
        <v>1.0714285714285714</v>
      </c>
      <c r="AN52" s="6">
        <f t="shared" si="13"/>
        <v>1.1513513513513514</v>
      </c>
      <c r="AO52" s="6">
        <f t="shared" si="14"/>
        <v>1.0714285714285714</v>
      </c>
      <c r="AP52" s="4" t="str">
        <f t="shared" si="15"/>
        <v>-</v>
      </c>
      <c r="AQ52" s="4" t="str">
        <f t="shared" si="16"/>
        <v>-</v>
      </c>
      <c r="AR52" s="4" t="str">
        <f t="shared" si="17"/>
        <v>-</v>
      </c>
      <c r="AS52" s="4" t="str">
        <f t="shared" si="18"/>
        <v>-</v>
      </c>
      <c r="AT52" s="4" t="str">
        <f t="shared" si="19"/>
        <v>-</v>
      </c>
      <c r="AU52" s="4" t="str">
        <f t="shared" si="20"/>
        <v>-</v>
      </c>
      <c r="AV52" s="4">
        <v>0</v>
      </c>
      <c r="AW52" s="4" t="s">
        <v>625</v>
      </c>
      <c r="AX52" s="4"/>
      <c r="AY52" s="4"/>
      <c r="AZ52" s="4" t="s">
        <v>616</v>
      </c>
      <c r="BA52" s="4">
        <v>199</v>
      </c>
      <c r="BB52" s="4">
        <v>199</v>
      </c>
      <c r="BC52" s="4">
        <f t="shared" si="21"/>
        <v>199</v>
      </c>
      <c r="BD52" s="19">
        <v>4</v>
      </c>
      <c r="BE52" s="19">
        <v>8</v>
      </c>
      <c r="BF52" s="16">
        <v>3</v>
      </c>
      <c r="BG52" s="36">
        <v>46174</v>
      </c>
      <c r="BH52" t="s">
        <v>410</v>
      </c>
      <c r="BI52">
        <v>184</v>
      </c>
      <c r="BJ52" s="4" t="s">
        <v>447</v>
      </c>
      <c r="BL52" s="44">
        <f t="shared" si="22"/>
        <v>7.9922779922779963E-2</v>
      </c>
      <c r="BM52" t="s">
        <v>792</v>
      </c>
    </row>
    <row r="53" spans="1:65" x14ac:dyDescent="0.4">
      <c r="A53" s="3">
        <v>61</v>
      </c>
      <c r="B53" s="3">
        <f t="shared" si="23"/>
        <v>50</v>
      </c>
      <c r="C53" s="4" t="s">
        <v>89</v>
      </c>
      <c r="D53" s="4" t="str">
        <f t="shared" si="25"/>
        <v>J724LN</v>
      </c>
      <c r="E53" s="4" t="s">
        <v>89</v>
      </c>
      <c r="F53" s="4" t="s">
        <v>239</v>
      </c>
      <c r="G53" s="5">
        <v>4977564687328</v>
      </c>
      <c r="H53" s="5">
        <v>5</v>
      </c>
      <c r="I53" s="5" t="str">
        <f t="shared" si="1"/>
        <v>J724LN5</v>
      </c>
      <c r="J53" s="5">
        <v>1</v>
      </c>
      <c r="K53" s="5">
        <v>1</v>
      </c>
      <c r="L53" s="4">
        <v>280</v>
      </c>
      <c r="M53" s="4">
        <v>213</v>
      </c>
      <c r="N53" s="4">
        <v>140</v>
      </c>
      <c r="O53" s="6">
        <f t="shared" si="2"/>
        <v>0.34272300469483563</v>
      </c>
      <c r="P53" s="4" t="s">
        <v>410</v>
      </c>
      <c r="Q53" s="4" t="s">
        <v>410</v>
      </c>
      <c r="R53" s="4" t="s">
        <v>410</v>
      </c>
      <c r="S53" s="4" t="s">
        <v>410</v>
      </c>
      <c r="T53" s="4" t="s">
        <v>410</v>
      </c>
      <c r="U53" s="4" t="s">
        <v>410</v>
      </c>
      <c r="V53" s="4">
        <v>300</v>
      </c>
      <c r="W53" s="4">
        <f t="shared" si="3"/>
        <v>300</v>
      </c>
      <c r="X53" s="4">
        <v>150</v>
      </c>
      <c r="Y53" s="4">
        <f t="shared" si="4"/>
        <v>150</v>
      </c>
      <c r="Z53" s="4"/>
      <c r="AA53" s="21">
        <f t="shared" si="5"/>
        <v>228</v>
      </c>
      <c r="AB53" s="6">
        <f t="shared" si="6"/>
        <v>0.34210526315789469</v>
      </c>
      <c r="AC53" s="4">
        <v>0</v>
      </c>
      <c r="AD53" s="4">
        <f t="shared" si="7"/>
        <v>199</v>
      </c>
      <c r="AE53" s="4">
        <f t="shared" si="8"/>
        <v>213.21428571428569</v>
      </c>
      <c r="AF53" s="6">
        <f t="shared" si="9"/>
        <v>0.29648241206030146</v>
      </c>
      <c r="AG53" s="7">
        <v>213</v>
      </c>
      <c r="AH53" s="6">
        <f t="shared" si="10"/>
        <v>0.29577464788732399</v>
      </c>
      <c r="AI53" s="4">
        <f t="shared" si="11"/>
        <v>63</v>
      </c>
      <c r="AJ53" s="28"/>
      <c r="AK53" s="6"/>
      <c r="AL53" s="6"/>
      <c r="AM53" s="6">
        <f t="shared" si="12"/>
        <v>1.0714285714285714</v>
      </c>
      <c r="AN53" s="6">
        <f t="shared" si="13"/>
        <v>1</v>
      </c>
      <c r="AO53" s="6">
        <f t="shared" si="14"/>
        <v>1.0714285714285714</v>
      </c>
      <c r="AP53" s="4" t="str">
        <f t="shared" si="15"/>
        <v>-</v>
      </c>
      <c r="AQ53" s="4" t="str">
        <f t="shared" si="16"/>
        <v>-</v>
      </c>
      <c r="AR53" s="4" t="str">
        <f t="shared" si="17"/>
        <v>-</v>
      </c>
      <c r="AS53" s="4" t="str">
        <f t="shared" si="18"/>
        <v>-</v>
      </c>
      <c r="AT53" s="4" t="str">
        <f t="shared" si="19"/>
        <v>-</v>
      </c>
      <c r="AU53" s="4" t="str">
        <f t="shared" si="20"/>
        <v>-</v>
      </c>
      <c r="AV53" s="4">
        <v>0</v>
      </c>
      <c r="AW53" s="4" t="s">
        <v>626</v>
      </c>
      <c r="AX53" s="4"/>
      <c r="AY53" s="4"/>
      <c r="AZ53" s="4" t="s">
        <v>616</v>
      </c>
      <c r="BA53" s="4">
        <v>199</v>
      </c>
      <c r="BB53" s="4">
        <v>199</v>
      </c>
      <c r="BC53" s="4">
        <f t="shared" si="21"/>
        <v>199</v>
      </c>
      <c r="BD53" s="19">
        <v>4</v>
      </c>
      <c r="BE53" s="19">
        <v>8</v>
      </c>
      <c r="BF53" s="16">
        <v>3</v>
      </c>
      <c r="BG53" s="36">
        <v>46174</v>
      </c>
      <c r="BH53" t="s">
        <v>410</v>
      </c>
      <c r="BI53">
        <v>184</v>
      </c>
      <c r="BJ53" s="4" t="s">
        <v>448</v>
      </c>
      <c r="BL53" s="44">
        <f t="shared" si="22"/>
        <v>-7.1428571428571397E-2</v>
      </c>
      <c r="BM53" t="s">
        <v>792</v>
      </c>
    </row>
    <row r="54" spans="1:65" x14ac:dyDescent="0.4">
      <c r="A54" s="3">
        <v>62</v>
      </c>
      <c r="B54" s="3">
        <f t="shared" si="23"/>
        <v>51</v>
      </c>
      <c r="C54" s="4" t="s">
        <v>90</v>
      </c>
      <c r="D54" s="4" t="str">
        <f t="shared" si="25"/>
        <v>J725LN</v>
      </c>
      <c r="E54" s="4" t="s">
        <v>90</v>
      </c>
      <c r="F54" s="4" t="s">
        <v>240</v>
      </c>
      <c r="G54" s="5">
        <v>4977564687359</v>
      </c>
      <c r="H54" s="5">
        <v>5</v>
      </c>
      <c r="I54" s="5" t="str">
        <f t="shared" si="1"/>
        <v>J725LN5</v>
      </c>
      <c r="J54" s="5">
        <v>1</v>
      </c>
      <c r="K54" s="5">
        <v>1</v>
      </c>
      <c r="L54" s="4">
        <v>280</v>
      </c>
      <c r="M54" s="4">
        <v>213</v>
      </c>
      <c r="N54" s="4">
        <v>140</v>
      </c>
      <c r="O54" s="6">
        <f t="shared" si="2"/>
        <v>0.34272300469483563</v>
      </c>
      <c r="P54" s="4" t="s">
        <v>410</v>
      </c>
      <c r="Q54" s="4" t="s">
        <v>410</v>
      </c>
      <c r="R54" s="4" t="s">
        <v>410</v>
      </c>
      <c r="S54" s="4" t="s">
        <v>410</v>
      </c>
      <c r="T54" s="4" t="s">
        <v>410</v>
      </c>
      <c r="U54" s="4" t="s">
        <v>410</v>
      </c>
      <c r="V54" s="4">
        <v>300</v>
      </c>
      <c r="W54" s="4">
        <f t="shared" si="3"/>
        <v>300</v>
      </c>
      <c r="X54" s="4">
        <v>150</v>
      </c>
      <c r="Y54" s="4">
        <f t="shared" si="4"/>
        <v>150</v>
      </c>
      <c r="Z54" s="4"/>
      <c r="AA54" s="21">
        <f t="shared" si="5"/>
        <v>228</v>
      </c>
      <c r="AB54" s="6">
        <f t="shared" si="6"/>
        <v>0.34210526315789469</v>
      </c>
      <c r="AC54" s="4">
        <v>0.25</v>
      </c>
      <c r="AD54" s="4">
        <f t="shared" si="7"/>
        <v>199</v>
      </c>
      <c r="AE54" s="4">
        <f t="shared" si="8"/>
        <v>213.21428571428569</v>
      </c>
      <c r="AF54" s="6">
        <f t="shared" si="9"/>
        <v>0.29648241206030146</v>
      </c>
      <c r="AG54" s="7">
        <v>213</v>
      </c>
      <c r="AH54" s="6">
        <f t="shared" si="10"/>
        <v>0.29577464788732399</v>
      </c>
      <c r="AI54" s="4">
        <f t="shared" si="11"/>
        <v>63</v>
      </c>
      <c r="AJ54" s="28"/>
      <c r="AK54" s="6"/>
      <c r="AL54" s="6"/>
      <c r="AM54" s="6">
        <f t="shared" si="12"/>
        <v>1.0714285714285714</v>
      </c>
      <c r="AN54" s="6">
        <f t="shared" si="13"/>
        <v>1</v>
      </c>
      <c r="AO54" s="6">
        <f t="shared" si="14"/>
        <v>1.0714285714285714</v>
      </c>
      <c r="AP54" s="4" t="str">
        <f t="shared" si="15"/>
        <v>-</v>
      </c>
      <c r="AQ54" s="4" t="str">
        <f t="shared" si="16"/>
        <v>-</v>
      </c>
      <c r="AR54" s="4" t="str">
        <f t="shared" si="17"/>
        <v>-</v>
      </c>
      <c r="AS54" s="4" t="str">
        <f t="shared" si="18"/>
        <v>-</v>
      </c>
      <c r="AT54" s="4" t="str">
        <f t="shared" si="19"/>
        <v>-</v>
      </c>
      <c r="AU54" s="4" t="str">
        <f t="shared" si="20"/>
        <v>-</v>
      </c>
      <c r="AV54" s="4">
        <v>0</v>
      </c>
      <c r="AW54" s="4" t="s">
        <v>627</v>
      </c>
      <c r="AX54" s="4"/>
      <c r="AY54" s="4"/>
      <c r="AZ54" s="4" t="s">
        <v>616</v>
      </c>
      <c r="BA54" s="4">
        <v>199</v>
      </c>
      <c r="BB54" s="4">
        <v>199</v>
      </c>
      <c r="BC54" s="4">
        <f t="shared" si="21"/>
        <v>199</v>
      </c>
      <c r="BD54" s="19">
        <v>4</v>
      </c>
      <c r="BE54" s="19">
        <v>8</v>
      </c>
      <c r="BF54" s="16">
        <v>3</v>
      </c>
      <c r="BG54" s="36">
        <v>46174</v>
      </c>
      <c r="BH54" t="s">
        <v>410</v>
      </c>
      <c r="BI54">
        <v>184</v>
      </c>
      <c r="BJ54" s="4" t="s">
        <v>449</v>
      </c>
      <c r="BL54" s="44">
        <f t="shared" si="22"/>
        <v>-7.1428571428571397E-2</v>
      </c>
      <c r="BM54" t="s">
        <v>792</v>
      </c>
    </row>
    <row r="55" spans="1:65" x14ac:dyDescent="0.4">
      <c r="A55" s="3">
        <v>63</v>
      </c>
      <c r="B55" s="3">
        <f t="shared" si="23"/>
        <v>52</v>
      </c>
      <c r="C55" s="4" t="s">
        <v>91</v>
      </c>
      <c r="D55" s="4" t="str">
        <f t="shared" si="25"/>
        <v>J720LN</v>
      </c>
      <c r="E55" s="4" t="s">
        <v>91</v>
      </c>
      <c r="F55" s="4" t="s">
        <v>241</v>
      </c>
      <c r="G55" s="5">
        <v>4977564687243</v>
      </c>
      <c r="H55" s="5">
        <v>5</v>
      </c>
      <c r="I55" s="5" t="str">
        <f t="shared" si="1"/>
        <v>J720LN5</v>
      </c>
      <c r="J55" s="5">
        <v>1</v>
      </c>
      <c r="K55" s="5">
        <v>1</v>
      </c>
      <c r="L55" s="4">
        <v>280</v>
      </c>
      <c r="M55" s="4">
        <v>213</v>
      </c>
      <c r="N55" s="4">
        <v>140</v>
      </c>
      <c r="O55" s="6">
        <f t="shared" si="2"/>
        <v>0.34272300469483563</v>
      </c>
      <c r="P55" s="4" t="s">
        <v>410</v>
      </c>
      <c r="Q55" s="4" t="s">
        <v>410</v>
      </c>
      <c r="R55" s="4" t="s">
        <v>410</v>
      </c>
      <c r="S55" s="4" t="s">
        <v>410</v>
      </c>
      <c r="T55" s="4" t="s">
        <v>410</v>
      </c>
      <c r="U55" s="4" t="s">
        <v>410</v>
      </c>
      <c r="V55" s="4">
        <v>300</v>
      </c>
      <c r="W55" s="4">
        <f t="shared" si="3"/>
        <v>300</v>
      </c>
      <c r="X55" s="4">
        <v>150</v>
      </c>
      <c r="Y55" s="4">
        <f t="shared" si="4"/>
        <v>150</v>
      </c>
      <c r="Z55" s="4"/>
      <c r="AA55" s="21">
        <f t="shared" si="5"/>
        <v>228</v>
      </c>
      <c r="AB55" s="6">
        <f t="shared" si="6"/>
        <v>0.34210526315789469</v>
      </c>
      <c r="AC55" s="4">
        <v>1.5</v>
      </c>
      <c r="AD55" s="4">
        <f t="shared" si="7"/>
        <v>199</v>
      </c>
      <c r="AE55" s="4">
        <f t="shared" si="8"/>
        <v>213.21428571428569</v>
      </c>
      <c r="AF55" s="6">
        <f t="shared" si="9"/>
        <v>0.29648241206030146</v>
      </c>
      <c r="AG55" s="7">
        <v>213</v>
      </c>
      <c r="AH55" s="6">
        <f t="shared" si="10"/>
        <v>0.29577464788732399</v>
      </c>
      <c r="AI55" s="4">
        <f t="shared" si="11"/>
        <v>63</v>
      </c>
      <c r="AJ55" s="28"/>
      <c r="AK55" s="6"/>
      <c r="AL55" s="6"/>
      <c r="AM55" s="6">
        <f t="shared" si="12"/>
        <v>1.0714285714285714</v>
      </c>
      <c r="AN55" s="6">
        <f t="shared" si="13"/>
        <v>1</v>
      </c>
      <c r="AO55" s="6">
        <f t="shared" si="14"/>
        <v>1.0714285714285714</v>
      </c>
      <c r="AP55" s="4" t="str">
        <f t="shared" si="15"/>
        <v>-</v>
      </c>
      <c r="AQ55" s="4" t="str">
        <f t="shared" si="16"/>
        <v>-</v>
      </c>
      <c r="AR55" s="4" t="str">
        <f t="shared" si="17"/>
        <v>-</v>
      </c>
      <c r="AS55" s="4" t="str">
        <f t="shared" si="18"/>
        <v>-</v>
      </c>
      <c r="AT55" s="4" t="str">
        <f t="shared" si="19"/>
        <v>-</v>
      </c>
      <c r="AU55" s="4" t="str">
        <f t="shared" si="20"/>
        <v>-</v>
      </c>
      <c r="AV55" s="4">
        <v>0</v>
      </c>
      <c r="AW55" s="4" t="s">
        <v>628</v>
      </c>
      <c r="AX55" s="4"/>
      <c r="AY55" s="4"/>
      <c r="AZ55" s="4" t="s">
        <v>616</v>
      </c>
      <c r="BA55" s="4">
        <v>199</v>
      </c>
      <c r="BB55" s="4">
        <v>199</v>
      </c>
      <c r="BC55" s="4">
        <f t="shared" si="21"/>
        <v>199</v>
      </c>
      <c r="BD55" s="19">
        <v>4</v>
      </c>
      <c r="BE55" s="19">
        <v>8</v>
      </c>
      <c r="BF55" s="16">
        <v>3</v>
      </c>
      <c r="BG55" s="36">
        <v>46174</v>
      </c>
      <c r="BH55" t="s">
        <v>410</v>
      </c>
      <c r="BI55">
        <v>184</v>
      </c>
      <c r="BJ55" s="4" t="s">
        <v>450</v>
      </c>
      <c r="BL55" s="44">
        <f t="shared" si="22"/>
        <v>-7.1428571428571397E-2</v>
      </c>
      <c r="BM55" t="s">
        <v>792</v>
      </c>
    </row>
    <row r="56" spans="1:65" x14ac:dyDescent="0.4">
      <c r="A56" s="3">
        <v>64</v>
      </c>
      <c r="B56" s="3">
        <f t="shared" si="23"/>
        <v>53</v>
      </c>
      <c r="C56" s="4" t="s">
        <v>92</v>
      </c>
      <c r="D56" s="4" t="str">
        <f t="shared" si="25"/>
        <v>J721LN</v>
      </c>
      <c r="E56" s="4" t="s">
        <v>92</v>
      </c>
      <c r="F56" s="4" t="s">
        <v>242</v>
      </c>
      <c r="G56" s="5">
        <v>4977564687267</v>
      </c>
      <c r="H56" s="5">
        <v>5</v>
      </c>
      <c r="I56" s="5" t="str">
        <f t="shared" ref="I56:I118" si="26">C56&amp;H56</f>
        <v>J721LN5</v>
      </c>
      <c r="J56" s="5">
        <v>1</v>
      </c>
      <c r="K56" s="5">
        <v>1</v>
      </c>
      <c r="L56" s="4">
        <v>280</v>
      </c>
      <c r="M56" s="4">
        <v>228</v>
      </c>
      <c r="N56" s="4">
        <v>140</v>
      </c>
      <c r="O56" s="6">
        <f t="shared" ref="O56:O118" si="27">1-N56/M56</f>
        <v>0.38596491228070173</v>
      </c>
      <c r="P56" s="4" t="s">
        <v>410</v>
      </c>
      <c r="Q56" s="4" t="s">
        <v>410</v>
      </c>
      <c r="R56" s="4" t="s">
        <v>410</v>
      </c>
      <c r="S56" s="4" t="s">
        <v>410</v>
      </c>
      <c r="T56" s="4" t="s">
        <v>410</v>
      </c>
      <c r="U56" s="4" t="s">
        <v>410</v>
      </c>
      <c r="V56" s="4">
        <v>300</v>
      </c>
      <c r="W56" s="4">
        <f t="shared" ref="W56:W118" si="28">IF(Z56="",V56,V56*Z56)</f>
        <v>300</v>
      </c>
      <c r="X56" s="4">
        <v>150</v>
      </c>
      <c r="Y56" s="4">
        <f t="shared" ref="Y56:Y118" si="29">IF(Z56="",X56,X56*Z56)</f>
        <v>150</v>
      </c>
      <c r="Z56" s="4"/>
      <c r="AA56" s="21">
        <f t="shared" ref="AA56:AA118" si="30">ROUND(M56*AO56,0)</f>
        <v>244</v>
      </c>
      <c r="AB56" s="6">
        <f t="shared" ref="AB56:AB118" si="31">1-Y56/AA56</f>
        <v>0.38524590163934425</v>
      </c>
      <c r="AC56" s="4">
        <v>1</v>
      </c>
      <c r="AD56" s="4">
        <f t="shared" ref="AD56:AD118" si="32">BC56</f>
        <v>199</v>
      </c>
      <c r="AE56" s="4">
        <f t="shared" ref="AE56:AE118" si="33">AD56*AO56</f>
        <v>213.21428571428569</v>
      </c>
      <c r="AF56" s="6">
        <f t="shared" ref="AF56:AF118" si="34">1-Y56/AE56</f>
        <v>0.29648241206030146</v>
      </c>
      <c r="AG56" s="7">
        <v>213</v>
      </c>
      <c r="AH56" s="6">
        <f t="shared" ref="AH56:AH118" si="35">1-Y56/AG56</f>
        <v>0.29577464788732399</v>
      </c>
      <c r="AI56" s="4">
        <f t="shared" ref="AI56:AI118" si="36">AG56-Y56</f>
        <v>63</v>
      </c>
      <c r="AJ56" s="28"/>
      <c r="AK56" s="6"/>
      <c r="AL56" s="6"/>
      <c r="AM56" s="6">
        <f t="shared" ref="AM56:AM118" si="37">W56/L56</f>
        <v>1.0714285714285714</v>
      </c>
      <c r="AN56" s="6">
        <f t="shared" ref="AN56:AN118" si="38">AG56/M56</f>
        <v>0.93421052631578949</v>
      </c>
      <c r="AO56" s="6">
        <f t="shared" ref="AO56:AO118" si="39">Y56/N56</f>
        <v>1.0714285714285714</v>
      </c>
      <c r="AP56" s="4" t="str">
        <f t="shared" ref="AP56:AP118" si="40">IFERROR(ROUND($AG56*P56/$M56,0),"-")</f>
        <v>-</v>
      </c>
      <c r="AQ56" s="4" t="str">
        <f t="shared" ref="AQ56:AQ118" si="41">IF(Q56="","-",Q56)</f>
        <v>-</v>
      </c>
      <c r="AR56" s="4" t="str">
        <f t="shared" ref="AR56:AR118" si="42">IF(R56="","-",R56)</f>
        <v>-</v>
      </c>
      <c r="AS56" s="4" t="str">
        <f t="shared" ref="AS56:AS118" si="43">IFERROR(ROUND($AG56*S56/$M56,0),"-")</f>
        <v>-</v>
      </c>
      <c r="AT56" s="4" t="str">
        <f t="shared" ref="AT56:AT118" si="44">IF(T56="","-",T56)</f>
        <v>-</v>
      </c>
      <c r="AU56" s="4" t="str">
        <f t="shared" ref="AU56:AU118" si="45">IF(U56="","-",U56)</f>
        <v>-</v>
      </c>
      <c r="AV56" s="4">
        <v>0</v>
      </c>
      <c r="AW56" s="4" t="s">
        <v>629</v>
      </c>
      <c r="AX56" s="4"/>
      <c r="AY56" s="4"/>
      <c r="AZ56" s="4" t="s">
        <v>616</v>
      </c>
      <c r="BA56" s="4">
        <v>199</v>
      </c>
      <c r="BB56" s="4">
        <v>199</v>
      </c>
      <c r="BC56" s="4">
        <f t="shared" ref="BC56:BC118" si="46">IF(AX56="",BB56,AX56/AY56*BB56)</f>
        <v>199</v>
      </c>
      <c r="BD56" s="19">
        <v>4</v>
      </c>
      <c r="BE56" s="19">
        <v>8</v>
      </c>
      <c r="BF56" s="16">
        <v>3</v>
      </c>
      <c r="BG56" s="36">
        <v>46174</v>
      </c>
      <c r="BH56" t="s">
        <v>410</v>
      </c>
      <c r="BI56">
        <v>184</v>
      </c>
      <c r="BJ56" s="4" t="s">
        <v>451</v>
      </c>
      <c r="BL56" s="44">
        <f t="shared" si="22"/>
        <v>-0.13721804511278191</v>
      </c>
      <c r="BM56" t="s">
        <v>792</v>
      </c>
    </row>
    <row r="57" spans="1:65" x14ac:dyDescent="0.4">
      <c r="A57" s="3">
        <v>65</v>
      </c>
      <c r="B57" s="3">
        <f t="shared" si="23"/>
        <v>54</v>
      </c>
      <c r="C57" s="4" t="s">
        <v>93</v>
      </c>
      <c r="D57" s="4" t="str">
        <f t="shared" si="25"/>
        <v>J722LN</v>
      </c>
      <c r="E57" s="4" t="s">
        <v>93</v>
      </c>
      <c r="F57" s="4" t="s">
        <v>243</v>
      </c>
      <c r="G57" s="5">
        <v>4977564687298</v>
      </c>
      <c r="H57" s="5">
        <v>5</v>
      </c>
      <c r="I57" s="5" t="str">
        <f t="shared" si="26"/>
        <v>J722LN5</v>
      </c>
      <c r="J57" s="5">
        <v>1</v>
      </c>
      <c r="K57" s="5">
        <v>1</v>
      </c>
      <c r="L57" s="4">
        <v>280</v>
      </c>
      <c r="M57" s="4">
        <v>185</v>
      </c>
      <c r="N57" s="4">
        <v>140</v>
      </c>
      <c r="O57" s="6">
        <f t="shared" si="27"/>
        <v>0.2432432432432432</v>
      </c>
      <c r="P57" s="4" t="s">
        <v>410</v>
      </c>
      <c r="Q57" s="4" t="s">
        <v>410</v>
      </c>
      <c r="R57" s="4" t="s">
        <v>410</v>
      </c>
      <c r="S57" s="4" t="s">
        <v>410</v>
      </c>
      <c r="T57" s="4" t="s">
        <v>410</v>
      </c>
      <c r="U57" s="4" t="s">
        <v>410</v>
      </c>
      <c r="V57" s="4">
        <v>300</v>
      </c>
      <c r="W57" s="4">
        <f t="shared" si="28"/>
        <v>300</v>
      </c>
      <c r="X57" s="4">
        <v>150</v>
      </c>
      <c r="Y57" s="4">
        <f t="shared" si="29"/>
        <v>150</v>
      </c>
      <c r="Z57" s="4"/>
      <c r="AA57" s="21">
        <f t="shared" si="30"/>
        <v>198</v>
      </c>
      <c r="AB57" s="6">
        <f t="shared" si="31"/>
        <v>0.24242424242424243</v>
      </c>
      <c r="AC57" s="4">
        <v>1</v>
      </c>
      <c r="AD57" s="4">
        <f t="shared" si="32"/>
        <v>199</v>
      </c>
      <c r="AE57" s="4">
        <f t="shared" si="33"/>
        <v>213.21428571428569</v>
      </c>
      <c r="AF57" s="6">
        <f t="shared" si="34"/>
        <v>0.29648241206030146</v>
      </c>
      <c r="AG57" s="7">
        <v>213</v>
      </c>
      <c r="AH57" s="6">
        <f t="shared" si="35"/>
        <v>0.29577464788732399</v>
      </c>
      <c r="AI57" s="4">
        <f t="shared" si="36"/>
        <v>63</v>
      </c>
      <c r="AJ57" s="28"/>
      <c r="AK57" s="6"/>
      <c r="AL57" s="6"/>
      <c r="AM57" s="6">
        <f t="shared" si="37"/>
        <v>1.0714285714285714</v>
      </c>
      <c r="AN57" s="6">
        <f t="shared" si="38"/>
        <v>1.1513513513513514</v>
      </c>
      <c r="AO57" s="6">
        <f t="shared" si="39"/>
        <v>1.0714285714285714</v>
      </c>
      <c r="AP57" s="4" t="str">
        <f t="shared" si="40"/>
        <v>-</v>
      </c>
      <c r="AQ57" s="4" t="str">
        <f t="shared" si="41"/>
        <v>-</v>
      </c>
      <c r="AR57" s="4" t="str">
        <f t="shared" si="42"/>
        <v>-</v>
      </c>
      <c r="AS57" s="4" t="str">
        <f t="shared" si="43"/>
        <v>-</v>
      </c>
      <c r="AT57" s="4" t="str">
        <f t="shared" si="44"/>
        <v>-</v>
      </c>
      <c r="AU57" s="4" t="str">
        <f t="shared" si="45"/>
        <v>-</v>
      </c>
      <c r="AV57" s="4">
        <v>0</v>
      </c>
      <c r="AW57" s="4" t="s">
        <v>630</v>
      </c>
      <c r="AX57" s="4"/>
      <c r="AY57" s="4"/>
      <c r="AZ57" s="4" t="s">
        <v>616</v>
      </c>
      <c r="BA57" s="4">
        <v>199</v>
      </c>
      <c r="BB57" s="4">
        <v>199</v>
      </c>
      <c r="BC57" s="4">
        <f t="shared" si="46"/>
        <v>199</v>
      </c>
      <c r="BD57" s="19">
        <v>4</v>
      </c>
      <c r="BE57" s="19">
        <v>8</v>
      </c>
      <c r="BF57" s="16">
        <v>3</v>
      </c>
      <c r="BG57" s="36">
        <v>46174</v>
      </c>
      <c r="BH57" t="s">
        <v>410</v>
      </c>
      <c r="BI57">
        <v>184</v>
      </c>
      <c r="BJ57" s="4" t="s">
        <v>452</v>
      </c>
      <c r="BL57" s="44">
        <f t="shared" ref="BL57:BL119" si="47">AN57-AO57</f>
        <v>7.9922779922779963E-2</v>
      </c>
      <c r="BM57" t="s">
        <v>792</v>
      </c>
    </row>
    <row r="58" spans="1:65" x14ac:dyDescent="0.4">
      <c r="A58" s="3">
        <v>66</v>
      </c>
      <c r="B58" s="3">
        <f t="shared" si="23"/>
        <v>55</v>
      </c>
      <c r="C58" s="4" t="s">
        <v>94</v>
      </c>
      <c r="D58" s="4" t="str">
        <f t="shared" si="25"/>
        <v>J732LN</v>
      </c>
      <c r="E58" s="4" t="s">
        <v>94</v>
      </c>
      <c r="F58" s="4" t="s">
        <v>244</v>
      </c>
      <c r="G58" s="5">
        <v>4977564715632</v>
      </c>
      <c r="H58" s="5">
        <v>5</v>
      </c>
      <c r="I58" s="5" t="str">
        <f t="shared" si="26"/>
        <v>J732LN5</v>
      </c>
      <c r="J58" s="5">
        <v>1</v>
      </c>
      <c r="K58" s="5">
        <v>1</v>
      </c>
      <c r="L58" s="4">
        <v>300</v>
      </c>
      <c r="M58" s="4">
        <v>246</v>
      </c>
      <c r="N58" s="4">
        <v>150</v>
      </c>
      <c r="O58" s="6">
        <f t="shared" si="27"/>
        <v>0.3902439024390244</v>
      </c>
      <c r="P58" s="4" t="s">
        <v>410</v>
      </c>
      <c r="Q58" s="4" t="s">
        <v>410</v>
      </c>
      <c r="R58" s="4" t="s">
        <v>410</v>
      </c>
      <c r="S58" s="4" t="s">
        <v>410</v>
      </c>
      <c r="T58" s="4" t="s">
        <v>410</v>
      </c>
      <c r="U58" s="4" t="s">
        <v>410</v>
      </c>
      <c r="V58" s="4">
        <v>320</v>
      </c>
      <c r="W58" s="4">
        <f t="shared" si="28"/>
        <v>320</v>
      </c>
      <c r="X58" s="4">
        <v>160</v>
      </c>
      <c r="Y58" s="4">
        <f t="shared" si="29"/>
        <v>160</v>
      </c>
      <c r="Z58" s="4"/>
      <c r="AA58" s="21">
        <f t="shared" si="30"/>
        <v>262</v>
      </c>
      <c r="AB58" s="6">
        <f t="shared" si="31"/>
        <v>0.38931297709923662</v>
      </c>
      <c r="AC58" s="4">
        <v>1</v>
      </c>
      <c r="AD58" s="4">
        <f t="shared" si="32"/>
        <v>217</v>
      </c>
      <c r="AE58" s="4">
        <f t="shared" si="33"/>
        <v>231.46666666666667</v>
      </c>
      <c r="AF58" s="6">
        <f t="shared" si="34"/>
        <v>0.30875576036866359</v>
      </c>
      <c r="AG58" s="7">
        <v>248</v>
      </c>
      <c r="AH58" s="6">
        <f t="shared" si="35"/>
        <v>0.35483870967741937</v>
      </c>
      <c r="AI58" s="4">
        <f t="shared" si="36"/>
        <v>88</v>
      </c>
      <c r="AJ58" s="28"/>
      <c r="AK58" s="6"/>
      <c r="AL58" s="6"/>
      <c r="AM58" s="6">
        <f t="shared" si="37"/>
        <v>1.0666666666666667</v>
      </c>
      <c r="AN58" s="6">
        <f t="shared" si="38"/>
        <v>1.0081300813008129</v>
      </c>
      <c r="AO58" s="6">
        <f t="shared" si="39"/>
        <v>1.0666666666666667</v>
      </c>
      <c r="AP58" s="4" t="str">
        <f t="shared" si="40"/>
        <v>-</v>
      </c>
      <c r="AQ58" s="4" t="str">
        <f t="shared" si="41"/>
        <v>-</v>
      </c>
      <c r="AR58" s="4" t="str">
        <f t="shared" si="42"/>
        <v>-</v>
      </c>
      <c r="AS58" s="4" t="str">
        <f t="shared" si="43"/>
        <v>-</v>
      </c>
      <c r="AT58" s="4" t="str">
        <f t="shared" si="44"/>
        <v>-</v>
      </c>
      <c r="AU58" s="4" t="str">
        <f t="shared" si="45"/>
        <v>-</v>
      </c>
      <c r="AV58" s="4">
        <v>0</v>
      </c>
      <c r="AW58" s="4" t="s">
        <v>631</v>
      </c>
      <c r="AX58" s="4"/>
      <c r="AY58" s="4"/>
      <c r="AZ58" s="4" t="s">
        <v>616</v>
      </c>
      <c r="BA58" s="4">
        <v>217</v>
      </c>
      <c r="BB58" s="4">
        <v>217</v>
      </c>
      <c r="BC58" s="4">
        <f t="shared" si="46"/>
        <v>217</v>
      </c>
      <c r="BD58" s="19">
        <v>4</v>
      </c>
      <c r="BE58" s="19">
        <v>8</v>
      </c>
      <c r="BF58" s="16">
        <v>3</v>
      </c>
      <c r="BG58" s="36">
        <v>46174</v>
      </c>
      <c r="BH58" t="s">
        <v>410</v>
      </c>
      <c r="BI58">
        <v>198</v>
      </c>
      <c r="BJ58" s="4" t="s">
        <v>453</v>
      </c>
      <c r="BL58" s="44">
        <f t="shared" si="47"/>
        <v>-5.8536585365853711E-2</v>
      </c>
      <c r="BM58" t="s">
        <v>792</v>
      </c>
    </row>
    <row r="59" spans="1:65" x14ac:dyDescent="0.4">
      <c r="A59" s="3">
        <v>67</v>
      </c>
      <c r="B59" s="3">
        <f t="shared" si="23"/>
        <v>56</v>
      </c>
      <c r="C59" s="4" t="s">
        <v>95</v>
      </c>
      <c r="D59" s="4" t="str">
        <f t="shared" si="25"/>
        <v>J733LN</v>
      </c>
      <c r="E59" s="4" t="s">
        <v>95</v>
      </c>
      <c r="F59" s="4" t="s">
        <v>245</v>
      </c>
      <c r="G59" s="5">
        <v>4977564715649</v>
      </c>
      <c r="H59" s="5">
        <v>5</v>
      </c>
      <c r="I59" s="5" t="str">
        <f t="shared" si="26"/>
        <v>J733LN5</v>
      </c>
      <c r="J59" s="5">
        <v>1</v>
      </c>
      <c r="K59" s="5">
        <v>1</v>
      </c>
      <c r="L59" s="4">
        <v>300</v>
      </c>
      <c r="M59" s="4">
        <v>246</v>
      </c>
      <c r="N59" s="4">
        <v>150</v>
      </c>
      <c r="O59" s="6">
        <f t="shared" si="27"/>
        <v>0.3902439024390244</v>
      </c>
      <c r="P59" s="4" t="s">
        <v>410</v>
      </c>
      <c r="Q59" s="4" t="s">
        <v>410</v>
      </c>
      <c r="R59" s="4" t="s">
        <v>410</v>
      </c>
      <c r="S59" s="4" t="s">
        <v>410</v>
      </c>
      <c r="T59" s="4" t="s">
        <v>410</v>
      </c>
      <c r="U59" s="4" t="s">
        <v>410</v>
      </c>
      <c r="V59" s="4">
        <v>320</v>
      </c>
      <c r="W59" s="4">
        <f t="shared" si="28"/>
        <v>320</v>
      </c>
      <c r="X59" s="4">
        <v>160</v>
      </c>
      <c r="Y59" s="4">
        <f t="shared" si="29"/>
        <v>160</v>
      </c>
      <c r="Z59" s="4"/>
      <c r="AA59" s="21">
        <f t="shared" si="30"/>
        <v>262</v>
      </c>
      <c r="AB59" s="6">
        <f t="shared" si="31"/>
        <v>0.38931297709923662</v>
      </c>
      <c r="AC59" s="4">
        <v>1.5</v>
      </c>
      <c r="AD59" s="4">
        <f t="shared" si="32"/>
        <v>217</v>
      </c>
      <c r="AE59" s="4">
        <f t="shared" si="33"/>
        <v>231.46666666666667</v>
      </c>
      <c r="AF59" s="6">
        <f t="shared" si="34"/>
        <v>0.30875576036866359</v>
      </c>
      <c r="AG59" s="7">
        <v>248</v>
      </c>
      <c r="AH59" s="6">
        <f t="shared" si="35"/>
        <v>0.35483870967741937</v>
      </c>
      <c r="AI59" s="4">
        <f t="shared" si="36"/>
        <v>88</v>
      </c>
      <c r="AJ59" s="28"/>
      <c r="AK59" s="6"/>
      <c r="AL59" s="6"/>
      <c r="AM59" s="6">
        <f t="shared" si="37"/>
        <v>1.0666666666666667</v>
      </c>
      <c r="AN59" s="6">
        <f t="shared" si="38"/>
        <v>1.0081300813008129</v>
      </c>
      <c r="AO59" s="6">
        <f t="shared" si="39"/>
        <v>1.0666666666666667</v>
      </c>
      <c r="AP59" s="4" t="str">
        <f t="shared" si="40"/>
        <v>-</v>
      </c>
      <c r="AQ59" s="4" t="str">
        <f t="shared" si="41"/>
        <v>-</v>
      </c>
      <c r="AR59" s="4" t="str">
        <f t="shared" si="42"/>
        <v>-</v>
      </c>
      <c r="AS59" s="4" t="str">
        <f t="shared" si="43"/>
        <v>-</v>
      </c>
      <c r="AT59" s="4" t="str">
        <f t="shared" si="44"/>
        <v>-</v>
      </c>
      <c r="AU59" s="4" t="str">
        <f t="shared" si="45"/>
        <v>-</v>
      </c>
      <c r="AV59" s="4">
        <v>0</v>
      </c>
      <c r="AW59" s="4" t="s">
        <v>632</v>
      </c>
      <c r="AX59" s="4"/>
      <c r="AY59" s="4"/>
      <c r="AZ59" s="4" t="s">
        <v>616</v>
      </c>
      <c r="BA59" s="4">
        <v>217</v>
      </c>
      <c r="BB59" s="4">
        <v>217</v>
      </c>
      <c r="BC59" s="4">
        <f t="shared" si="46"/>
        <v>217</v>
      </c>
      <c r="BD59" s="19">
        <v>4</v>
      </c>
      <c r="BE59" s="19">
        <v>8</v>
      </c>
      <c r="BF59" s="16">
        <v>3</v>
      </c>
      <c r="BG59" s="36">
        <v>46174</v>
      </c>
      <c r="BH59" t="s">
        <v>410</v>
      </c>
      <c r="BI59">
        <v>198</v>
      </c>
      <c r="BJ59" s="4" t="s">
        <v>454</v>
      </c>
      <c r="BL59" s="44">
        <f t="shared" si="47"/>
        <v>-5.8536585365853711E-2</v>
      </c>
      <c r="BM59" t="s">
        <v>792</v>
      </c>
    </row>
    <row r="60" spans="1:65" x14ac:dyDescent="0.4">
      <c r="A60" s="3">
        <v>68</v>
      </c>
      <c r="B60" s="3">
        <f t="shared" si="23"/>
        <v>57</v>
      </c>
      <c r="C60" s="4" t="s">
        <v>96</v>
      </c>
      <c r="D60" s="4" t="str">
        <f t="shared" si="25"/>
        <v>J734LN</v>
      </c>
      <c r="E60" s="4" t="s">
        <v>96</v>
      </c>
      <c r="F60" s="4" t="s">
        <v>246</v>
      </c>
      <c r="G60" s="5">
        <v>4977564715656</v>
      </c>
      <c r="H60" s="5">
        <v>5</v>
      </c>
      <c r="I60" s="5" t="str">
        <f t="shared" si="26"/>
        <v>J734LN5</v>
      </c>
      <c r="J60" s="5">
        <v>1</v>
      </c>
      <c r="K60" s="5">
        <v>1</v>
      </c>
      <c r="L60" s="4">
        <v>300</v>
      </c>
      <c r="M60" s="4">
        <v>246</v>
      </c>
      <c r="N60" s="4">
        <v>150</v>
      </c>
      <c r="O60" s="6">
        <f t="shared" si="27"/>
        <v>0.3902439024390244</v>
      </c>
      <c r="P60" s="4" t="s">
        <v>410</v>
      </c>
      <c r="Q60" s="4" t="s">
        <v>410</v>
      </c>
      <c r="R60" s="4" t="s">
        <v>410</v>
      </c>
      <c r="S60" s="4" t="s">
        <v>410</v>
      </c>
      <c r="T60" s="4" t="s">
        <v>410</v>
      </c>
      <c r="U60" s="4" t="s">
        <v>410</v>
      </c>
      <c r="V60" s="4">
        <v>320</v>
      </c>
      <c r="W60" s="4">
        <f t="shared" si="28"/>
        <v>320</v>
      </c>
      <c r="X60" s="4">
        <v>160</v>
      </c>
      <c r="Y60" s="4">
        <f t="shared" si="29"/>
        <v>160</v>
      </c>
      <c r="Z60" s="4"/>
      <c r="AA60" s="21">
        <f t="shared" si="30"/>
        <v>262</v>
      </c>
      <c r="AB60" s="6">
        <f t="shared" si="31"/>
        <v>0.38931297709923662</v>
      </c>
      <c r="AC60" s="4">
        <v>0.5</v>
      </c>
      <c r="AD60" s="4">
        <f t="shared" si="32"/>
        <v>217</v>
      </c>
      <c r="AE60" s="4">
        <f t="shared" si="33"/>
        <v>231.46666666666667</v>
      </c>
      <c r="AF60" s="6">
        <f t="shared" si="34"/>
        <v>0.30875576036866359</v>
      </c>
      <c r="AG60" s="7">
        <v>248</v>
      </c>
      <c r="AH60" s="6">
        <f t="shared" si="35"/>
        <v>0.35483870967741937</v>
      </c>
      <c r="AI60" s="4">
        <f t="shared" si="36"/>
        <v>88</v>
      </c>
      <c r="AJ60" s="28"/>
      <c r="AK60" s="6"/>
      <c r="AL60" s="6"/>
      <c r="AM60" s="6">
        <f t="shared" si="37"/>
        <v>1.0666666666666667</v>
      </c>
      <c r="AN60" s="6">
        <f t="shared" si="38"/>
        <v>1.0081300813008129</v>
      </c>
      <c r="AO60" s="6">
        <f t="shared" si="39"/>
        <v>1.0666666666666667</v>
      </c>
      <c r="AP60" s="4" t="str">
        <f t="shared" si="40"/>
        <v>-</v>
      </c>
      <c r="AQ60" s="4" t="str">
        <f t="shared" si="41"/>
        <v>-</v>
      </c>
      <c r="AR60" s="4" t="str">
        <f t="shared" si="42"/>
        <v>-</v>
      </c>
      <c r="AS60" s="4" t="str">
        <f t="shared" si="43"/>
        <v>-</v>
      </c>
      <c r="AT60" s="4" t="str">
        <f t="shared" si="44"/>
        <v>-</v>
      </c>
      <c r="AU60" s="4" t="str">
        <f t="shared" si="45"/>
        <v>-</v>
      </c>
      <c r="AV60" s="4">
        <v>0</v>
      </c>
      <c r="AW60" s="4" t="s">
        <v>633</v>
      </c>
      <c r="AX60" s="4"/>
      <c r="AY60" s="4"/>
      <c r="AZ60" s="4" t="s">
        <v>616</v>
      </c>
      <c r="BA60" s="4">
        <v>217</v>
      </c>
      <c r="BB60" s="4">
        <v>217</v>
      </c>
      <c r="BC60" s="4">
        <f t="shared" si="46"/>
        <v>217</v>
      </c>
      <c r="BD60" s="19">
        <v>4</v>
      </c>
      <c r="BE60" s="19">
        <v>8</v>
      </c>
      <c r="BF60" s="16">
        <v>3</v>
      </c>
      <c r="BG60" s="36">
        <v>46174</v>
      </c>
      <c r="BH60" t="s">
        <v>410</v>
      </c>
      <c r="BI60">
        <v>198</v>
      </c>
      <c r="BJ60" s="4" t="s">
        <v>455</v>
      </c>
      <c r="BL60" s="44">
        <f t="shared" si="47"/>
        <v>-5.8536585365853711E-2</v>
      </c>
      <c r="BM60" t="s">
        <v>792</v>
      </c>
    </row>
    <row r="61" spans="1:65" x14ac:dyDescent="0.4">
      <c r="A61" s="3">
        <v>69</v>
      </c>
      <c r="B61" s="3">
        <f t="shared" si="23"/>
        <v>58</v>
      </c>
      <c r="C61" s="33">
        <v>103802</v>
      </c>
      <c r="D61" s="4" t="str">
        <f t="shared" si="25"/>
        <v>103802</v>
      </c>
      <c r="E61" s="4">
        <v>103802</v>
      </c>
      <c r="F61" s="4" t="s">
        <v>247</v>
      </c>
      <c r="G61" s="5">
        <v>4977564707996</v>
      </c>
      <c r="H61" s="5">
        <v>5</v>
      </c>
      <c r="I61" s="5" t="str">
        <f t="shared" si="26"/>
        <v>1038025</v>
      </c>
      <c r="J61" s="5">
        <v>2</v>
      </c>
      <c r="K61" s="5">
        <v>2</v>
      </c>
      <c r="L61" s="4">
        <v>0</v>
      </c>
      <c r="M61" s="4">
        <v>152</v>
      </c>
      <c r="N61" s="4">
        <v>100</v>
      </c>
      <c r="O61" s="6">
        <f t="shared" si="27"/>
        <v>0.34210526315789469</v>
      </c>
      <c r="P61" s="4" t="s">
        <v>410</v>
      </c>
      <c r="Q61" s="4" t="s">
        <v>410</v>
      </c>
      <c r="R61" s="4" t="s">
        <v>410</v>
      </c>
      <c r="S61" s="4" t="s">
        <v>410</v>
      </c>
      <c r="T61" s="4" t="s">
        <v>410</v>
      </c>
      <c r="U61" s="4" t="s">
        <v>410</v>
      </c>
      <c r="V61" s="4">
        <v>0</v>
      </c>
      <c r="W61" s="4">
        <f t="shared" si="28"/>
        <v>0</v>
      </c>
      <c r="X61" s="4">
        <v>110</v>
      </c>
      <c r="Y61" s="4">
        <f t="shared" si="29"/>
        <v>110</v>
      </c>
      <c r="Z61" s="4"/>
      <c r="AA61" s="21">
        <f t="shared" si="30"/>
        <v>167</v>
      </c>
      <c r="AB61" s="6">
        <f t="shared" si="31"/>
        <v>0.3413173652694611</v>
      </c>
      <c r="AC61" s="4">
        <v>0</v>
      </c>
      <c r="AD61" s="4">
        <f t="shared" si="32"/>
        <v>190</v>
      </c>
      <c r="AE61" s="4">
        <f t="shared" si="33"/>
        <v>209.00000000000003</v>
      </c>
      <c r="AF61" s="6">
        <f t="shared" si="34"/>
        <v>0.47368421052631582</v>
      </c>
      <c r="AG61" s="7">
        <v>168</v>
      </c>
      <c r="AH61" s="6">
        <f t="shared" si="35"/>
        <v>0.34523809523809523</v>
      </c>
      <c r="AI61" s="4">
        <f t="shared" si="36"/>
        <v>58</v>
      </c>
      <c r="AJ61" s="28"/>
      <c r="AK61" s="6"/>
      <c r="AL61" s="6"/>
      <c r="AM61" s="6" t="e">
        <f t="shared" si="37"/>
        <v>#DIV/0!</v>
      </c>
      <c r="AN61" s="6">
        <f t="shared" si="38"/>
        <v>1.1052631578947369</v>
      </c>
      <c r="AO61" s="6">
        <f t="shared" si="39"/>
        <v>1.1000000000000001</v>
      </c>
      <c r="AP61" s="4" t="str">
        <f t="shared" si="40"/>
        <v>-</v>
      </c>
      <c r="AQ61" s="4" t="str">
        <f t="shared" si="41"/>
        <v>-</v>
      </c>
      <c r="AR61" s="4" t="str">
        <f t="shared" si="42"/>
        <v>-</v>
      </c>
      <c r="AS61" s="4" t="str">
        <f t="shared" si="43"/>
        <v>-</v>
      </c>
      <c r="AT61" s="4" t="str">
        <f t="shared" si="44"/>
        <v>-</v>
      </c>
      <c r="AU61" s="4" t="str">
        <f t="shared" si="45"/>
        <v>-</v>
      </c>
      <c r="AV61" s="4">
        <v>0</v>
      </c>
      <c r="AW61" s="4" t="s">
        <v>634</v>
      </c>
      <c r="AX61" s="4"/>
      <c r="AY61" s="4"/>
      <c r="AZ61" s="4" t="s">
        <v>616</v>
      </c>
      <c r="BA61" s="4">
        <v>190</v>
      </c>
      <c r="BB61" s="4">
        <v>190</v>
      </c>
      <c r="BC61" s="4">
        <f t="shared" si="46"/>
        <v>190</v>
      </c>
      <c r="BD61" s="19">
        <v>4</v>
      </c>
      <c r="BE61" s="19">
        <v>8</v>
      </c>
      <c r="BF61" s="16">
        <v>3</v>
      </c>
      <c r="BG61" s="36">
        <v>46174</v>
      </c>
      <c r="BH61" t="s">
        <v>410</v>
      </c>
      <c r="BI61">
        <v>178</v>
      </c>
      <c r="BJ61" s="4" t="s">
        <v>456</v>
      </c>
      <c r="BL61" s="44">
        <f t="shared" si="47"/>
        <v>5.2631578947368585E-3</v>
      </c>
      <c r="BM61" t="s">
        <v>792</v>
      </c>
    </row>
    <row r="62" spans="1:65" x14ac:dyDescent="0.4">
      <c r="A62" s="3">
        <v>208</v>
      </c>
      <c r="B62" s="3">
        <f t="shared" si="23"/>
        <v>59</v>
      </c>
      <c r="C62" s="33">
        <v>103802</v>
      </c>
      <c r="D62" s="4" t="s">
        <v>97</v>
      </c>
      <c r="E62" s="4">
        <v>104030</v>
      </c>
      <c r="F62" s="4" t="s">
        <v>373</v>
      </c>
      <c r="G62" s="5">
        <v>4977564707996</v>
      </c>
      <c r="H62" s="5">
        <v>8</v>
      </c>
      <c r="I62" s="5" t="str">
        <f t="shared" si="26"/>
        <v>1038028</v>
      </c>
      <c r="J62" s="5"/>
      <c r="K62" s="5"/>
      <c r="L62" s="4">
        <v>0</v>
      </c>
      <c r="M62" s="4">
        <v>1265</v>
      </c>
      <c r="N62" s="4">
        <v>1000</v>
      </c>
      <c r="O62" s="6">
        <f t="shared" si="27"/>
        <v>0.20948616600790515</v>
      </c>
      <c r="P62" s="4" t="s">
        <v>410</v>
      </c>
      <c r="Q62" s="4" t="s">
        <v>410</v>
      </c>
      <c r="R62" s="4" t="s">
        <v>410</v>
      </c>
      <c r="S62" s="4" t="s">
        <v>410</v>
      </c>
      <c r="T62" s="4" t="s">
        <v>410</v>
      </c>
      <c r="U62" s="4" t="s">
        <v>410</v>
      </c>
      <c r="V62" s="4">
        <v>0</v>
      </c>
      <c r="W62" s="4">
        <f t="shared" si="28"/>
        <v>0</v>
      </c>
      <c r="X62" s="4">
        <v>110</v>
      </c>
      <c r="Y62" s="4">
        <f t="shared" si="29"/>
        <v>1100</v>
      </c>
      <c r="Z62" s="4">
        <v>10</v>
      </c>
      <c r="AA62" s="21">
        <f t="shared" si="30"/>
        <v>1392</v>
      </c>
      <c r="AB62" s="6">
        <f t="shared" si="31"/>
        <v>0.20977011494252873</v>
      </c>
      <c r="AC62" s="4">
        <v>0</v>
      </c>
      <c r="AD62" s="4">
        <f t="shared" si="32"/>
        <v>1700</v>
      </c>
      <c r="AE62" s="4">
        <f t="shared" si="33"/>
        <v>1870.0000000000002</v>
      </c>
      <c r="AF62" s="6">
        <f t="shared" si="34"/>
        <v>0.41176470588235303</v>
      </c>
      <c r="AG62" s="7">
        <v>1580</v>
      </c>
      <c r="AH62" s="6">
        <f t="shared" si="35"/>
        <v>0.30379746835443033</v>
      </c>
      <c r="AI62" s="4">
        <f t="shared" si="36"/>
        <v>480</v>
      </c>
      <c r="AJ62" s="28"/>
      <c r="AK62" s="6"/>
      <c r="AL62" s="6"/>
      <c r="AM62" s="6" t="e">
        <f t="shared" si="37"/>
        <v>#DIV/0!</v>
      </c>
      <c r="AN62" s="6">
        <f t="shared" si="38"/>
        <v>1.2490118577075098</v>
      </c>
      <c r="AO62" s="6">
        <f t="shared" si="39"/>
        <v>1.1000000000000001</v>
      </c>
      <c r="AP62" s="4" t="str">
        <f t="shared" si="40"/>
        <v>-</v>
      </c>
      <c r="AQ62" s="4" t="str">
        <f t="shared" si="41"/>
        <v>-</v>
      </c>
      <c r="AR62" s="4" t="str">
        <f t="shared" si="42"/>
        <v>-</v>
      </c>
      <c r="AS62" s="4" t="str">
        <f t="shared" si="43"/>
        <v>-</v>
      </c>
      <c r="AT62" s="4" t="str">
        <f t="shared" si="44"/>
        <v>-</v>
      </c>
      <c r="AU62" s="4" t="str">
        <f t="shared" si="45"/>
        <v>-</v>
      </c>
      <c r="AV62" s="4">
        <v>0</v>
      </c>
      <c r="AW62" s="4" t="s">
        <v>758</v>
      </c>
      <c r="AX62" s="4">
        <v>1</v>
      </c>
      <c r="AY62" s="4">
        <v>10</v>
      </c>
      <c r="AZ62" s="4" t="s">
        <v>759</v>
      </c>
      <c r="BA62" s="4">
        <v>17000</v>
      </c>
      <c r="BB62" s="4">
        <v>17000</v>
      </c>
      <c r="BC62" s="4">
        <f t="shared" si="46"/>
        <v>1700</v>
      </c>
      <c r="BD62" s="19">
        <v>4</v>
      </c>
      <c r="BE62" s="19">
        <v>8</v>
      </c>
      <c r="BF62" s="16">
        <v>3</v>
      </c>
      <c r="BG62" s="36">
        <v>46174</v>
      </c>
      <c r="BH62" t="s">
        <v>410</v>
      </c>
      <c r="BI62">
        <v>178</v>
      </c>
      <c r="BJ62" s="4" t="s">
        <v>558</v>
      </c>
      <c r="BK62">
        <v>2</v>
      </c>
      <c r="BL62" s="44">
        <f t="shared" si="47"/>
        <v>0.14901185770750969</v>
      </c>
      <c r="BM62" t="s">
        <v>792</v>
      </c>
    </row>
    <row r="63" spans="1:65" x14ac:dyDescent="0.4">
      <c r="A63" s="3">
        <v>70</v>
      </c>
      <c r="B63" s="3">
        <f t="shared" si="23"/>
        <v>60</v>
      </c>
      <c r="C63" s="33">
        <v>103803</v>
      </c>
      <c r="D63" s="4" t="str">
        <f>TEXT(C63,"000000")</f>
        <v>103803</v>
      </c>
      <c r="E63" s="4">
        <v>103803</v>
      </c>
      <c r="F63" s="4" t="s">
        <v>248</v>
      </c>
      <c r="G63" s="5">
        <v>4977564708009</v>
      </c>
      <c r="H63" s="5">
        <v>5</v>
      </c>
      <c r="I63" s="5" t="str">
        <f t="shared" si="26"/>
        <v>1038035</v>
      </c>
      <c r="J63" s="5">
        <v>2</v>
      </c>
      <c r="K63" s="5">
        <v>2</v>
      </c>
      <c r="L63" s="4">
        <v>0</v>
      </c>
      <c r="M63" s="4">
        <v>152</v>
      </c>
      <c r="N63" s="4">
        <v>100</v>
      </c>
      <c r="O63" s="6">
        <f t="shared" si="27"/>
        <v>0.34210526315789469</v>
      </c>
      <c r="P63" s="4" t="s">
        <v>410</v>
      </c>
      <c r="Q63" s="4" t="s">
        <v>410</v>
      </c>
      <c r="R63" s="4" t="s">
        <v>410</v>
      </c>
      <c r="S63" s="4" t="s">
        <v>410</v>
      </c>
      <c r="T63" s="4" t="s">
        <v>410</v>
      </c>
      <c r="U63" s="4" t="s">
        <v>410</v>
      </c>
      <c r="V63" s="4">
        <v>0</v>
      </c>
      <c r="W63" s="4">
        <f t="shared" si="28"/>
        <v>0</v>
      </c>
      <c r="X63" s="4">
        <v>110</v>
      </c>
      <c r="Y63" s="4">
        <f t="shared" si="29"/>
        <v>110</v>
      </c>
      <c r="Z63" s="4"/>
      <c r="AA63" s="21">
        <f t="shared" si="30"/>
        <v>167</v>
      </c>
      <c r="AB63" s="6">
        <f t="shared" si="31"/>
        <v>0.3413173652694611</v>
      </c>
      <c r="AC63" s="4">
        <v>0</v>
      </c>
      <c r="AD63" s="4">
        <f t="shared" si="32"/>
        <v>190</v>
      </c>
      <c r="AE63" s="4">
        <f t="shared" si="33"/>
        <v>209.00000000000003</v>
      </c>
      <c r="AF63" s="6">
        <f t="shared" si="34"/>
        <v>0.47368421052631582</v>
      </c>
      <c r="AG63" s="7">
        <v>168</v>
      </c>
      <c r="AH63" s="6">
        <f t="shared" si="35"/>
        <v>0.34523809523809523</v>
      </c>
      <c r="AI63" s="4">
        <f t="shared" si="36"/>
        <v>58</v>
      </c>
      <c r="AJ63" s="28"/>
      <c r="AK63" s="6"/>
      <c r="AL63" s="6"/>
      <c r="AM63" s="6" t="e">
        <f t="shared" si="37"/>
        <v>#DIV/0!</v>
      </c>
      <c r="AN63" s="6">
        <f t="shared" si="38"/>
        <v>1.1052631578947369</v>
      </c>
      <c r="AO63" s="6">
        <f t="shared" si="39"/>
        <v>1.1000000000000001</v>
      </c>
      <c r="AP63" s="4" t="str">
        <f t="shared" si="40"/>
        <v>-</v>
      </c>
      <c r="AQ63" s="4" t="str">
        <f t="shared" si="41"/>
        <v>-</v>
      </c>
      <c r="AR63" s="4" t="str">
        <f t="shared" si="42"/>
        <v>-</v>
      </c>
      <c r="AS63" s="4" t="str">
        <f t="shared" si="43"/>
        <v>-</v>
      </c>
      <c r="AT63" s="4" t="str">
        <f t="shared" si="44"/>
        <v>-</v>
      </c>
      <c r="AU63" s="4" t="str">
        <f t="shared" si="45"/>
        <v>-</v>
      </c>
      <c r="AV63" s="4">
        <v>0</v>
      </c>
      <c r="AW63" s="4" t="s">
        <v>635</v>
      </c>
      <c r="AX63" s="4"/>
      <c r="AY63" s="4"/>
      <c r="AZ63" s="4" t="s">
        <v>616</v>
      </c>
      <c r="BA63" s="4">
        <v>190</v>
      </c>
      <c r="BB63" s="4">
        <v>190</v>
      </c>
      <c r="BC63" s="4">
        <f t="shared" si="46"/>
        <v>190</v>
      </c>
      <c r="BD63" s="19">
        <v>4</v>
      </c>
      <c r="BE63" s="19">
        <v>8</v>
      </c>
      <c r="BF63" s="16">
        <v>3</v>
      </c>
      <c r="BG63" s="36">
        <v>46174</v>
      </c>
      <c r="BH63" t="s">
        <v>410</v>
      </c>
      <c r="BI63">
        <v>178</v>
      </c>
      <c r="BJ63" s="4" t="s">
        <v>457</v>
      </c>
      <c r="BL63" s="44">
        <f t="shared" si="47"/>
        <v>5.2631578947368585E-3</v>
      </c>
      <c r="BM63" t="s">
        <v>792</v>
      </c>
    </row>
    <row r="64" spans="1:65" x14ac:dyDescent="0.4">
      <c r="A64" s="3">
        <v>209</v>
      </c>
      <c r="B64" s="3">
        <f t="shared" si="23"/>
        <v>61</v>
      </c>
      <c r="C64" s="33">
        <v>103803</v>
      </c>
      <c r="D64" s="4" t="s">
        <v>98</v>
      </c>
      <c r="E64" s="4">
        <v>104031</v>
      </c>
      <c r="F64" s="4" t="s">
        <v>374</v>
      </c>
      <c r="G64" s="5">
        <v>4977564708009</v>
      </c>
      <c r="H64" s="5">
        <v>8</v>
      </c>
      <c r="I64" s="5" t="str">
        <f t="shared" si="26"/>
        <v>1038038</v>
      </c>
      <c r="J64" s="5"/>
      <c r="K64" s="5"/>
      <c r="L64" s="4">
        <v>0</v>
      </c>
      <c r="M64" s="4">
        <v>1250</v>
      </c>
      <c r="N64" s="4">
        <v>1000</v>
      </c>
      <c r="O64" s="6">
        <f t="shared" si="27"/>
        <v>0.19999999999999996</v>
      </c>
      <c r="P64" s="4" t="s">
        <v>410</v>
      </c>
      <c r="Q64" s="4" t="s">
        <v>410</v>
      </c>
      <c r="R64" s="4" t="s">
        <v>410</v>
      </c>
      <c r="S64" s="4" t="s">
        <v>410</v>
      </c>
      <c r="T64" s="4" t="s">
        <v>410</v>
      </c>
      <c r="U64" s="4" t="s">
        <v>410</v>
      </c>
      <c r="V64" s="4">
        <v>0</v>
      </c>
      <c r="W64" s="4">
        <f t="shared" si="28"/>
        <v>0</v>
      </c>
      <c r="X64" s="4">
        <v>110</v>
      </c>
      <c r="Y64" s="4">
        <f t="shared" si="29"/>
        <v>1100</v>
      </c>
      <c r="Z64" s="4">
        <v>10</v>
      </c>
      <c r="AA64" s="21">
        <f t="shared" si="30"/>
        <v>1375</v>
      </c>
      <c r="AB64" s="6">
        <f t="shared" si="31"/>
        <v>0.19999999999999996</v>
      </c>
      <c r="AC64" s="4">
        <v>0</v>
      </c>
      <c r="AD64" s="4">
        <f t="shared" si="32"/>
        <v>1700</v>
      </c>
      <c r="AE64" s="4">
        <f t="shared" si="33"/>
        <v>1870.0000000000002</v>
      </c>
      <c r="AF64" s="6">
        <f t="shared" si="34"/>
        <v>0.41176470588235303</v>
      </c>
      <c r="AG64" s="7">
        <v>1580</v>
      </c>
      <c r="AH64" s="6">
        <f t="shared" si="35"/>
        <v>0.30379746835443033</v>
      </c>
      <c r="AI64" s="4">
        <f t="shared" si="36"/>
        <v>480</v>
      </c>
      <c r="AJ64" s="28"/>
      <c r="AK64" s="6"/>
      <c r="AL64" s="6"/>
      <c r="AM64" s="6" t="e">
        <f t="shared" si="37"/>
        <v>#DIV/0!</v>
      </c>
      <c r="AN64" s="6">
        <f t="shared" si="38"/>
        <v>1.264</v>
      </c>
      <c r="AO64" s="6">
        <f t="shared" si="39"/>
        <v>1.1000000000000001</v>
      </c>
      <c r="AP64" s="4" t="str">
        <f t="shared" si="40"/>
        <v>-</v>
      </c>
      <c r="AQ64" s="4" t="str">
        <f t="shared" si="41"/>
        <v>-</v>
      </c>
      <c r="AR64" s="4" t="str">
        <f t="shared" si="42"/>
        <v>-</v>
      </c>
      <c r="AS64" s="4" t="str">
        <f t="shared" si="43"/>
        <v>-</v>
      </c>
      <c r="AT64" s="4" t="str">
        <f t="shared" si="44"/>
        <v>-</v>
      </c>
      <c r="AU64" s="4" t="str">
        <f t="shared" si="45"/>
        <v>-</v>
      </c>
      <c r="AV64" s="4">
        <v>0</v>
      </c>
      <c r="AW64" s="4" t="s">
        <v>760</v>
      </c>
      <c r="AX64" s="4">
        <v>1</v>
      </c>
      <c r="AY64" s="4">
        <v>10</v>
      </c>
      <c r="AZ64" s="4" t="s">
        <v>759</v>
      </c>
      <c r="BA64" s="4">
        <v>17000</v>
      </c>
      <c r="BB64" s="4">
        <v>17000</v>
      </c>
      <c r="BC64" s="4">
        <f t="shared" si="46"/>
        <v>1700</v>
      </c>
      <c r="BD64" s="19">
        <v>4</v>
      </c>
      <c r="BE64" s="19">
        <v>8</v>
      </c>
      <c r="BF64" s="16">
        <v>3</v>
      </c>
      <c r="BG64" s="36">
        <v>46174</v>
      </c>
      <c r="BH64" t="s">
        <v>410</v>
      </c>
      <c r="BI64">
        <v>178</v>
      </c>
      <c r="BJ64" s="4" t="s">
        <v>559</v>
      </c>
      <c r="BK64">
        <v>2</v>
      </c>
      <c r="BL64" s="44">
        <f t="shared" si="47"/>
        <v>0.16399999999999992</v>
      </c>
      <c r="BM64" t="s">
        <v>792</v>
      </c>
    </row>
    <row r="65" spans="1:65" x14ac:dyDescent="0.4">
      <c r="A65" s="3">
        <v>71</v>
      </c>
      <c r="B65" s="3">
        <f t="shared" si="23"/>
        <v>62</v>
      </c>
      <c r="C65" s="33">
        <v>103804</v>
      </c>
      <c r="D65" s="4" t="str">
        <f>TEXT(C65,"000000")</f>
        <v>103804</v>
      </c>
      <c r="E65" s="4">
        <v>103804</v>
      </c>
      <c r="F65" s="4" t="s">
        <v>249</v>
      </c>
      <c r="G65" s="5">
        <v>4977564708016</v>
      </c>
      <c r="H65" s="5">
        <v>5</v>
      </c>
      <c r="I65" s="5" t="str">
        <f t="shared" si="26"/>
        <v>1038045</v>
      </c>
      <c r="J65" s="5">
        <v>2</v>
      </c>
      <c r="K65" s="5">
        <v>2</v>
      </c>
      <c r="L65" s="4">
        <v>0</v>
      </c>
      <c r="M65" s="4">
        <v>152</v>
      </c>
      <c r="N65" s="4">
        <v>100</v>
      </c>
      <c r="O65" s="6">
        <f t="shared" si="27"/>
        <v>0.34210526315789469</v>
      </c>
      <c r="P65" s="4" t="s">
        <v>410</v>
      </c>
      <c r="Q65" s="4" t="s">
        <v>410</v>
      </c>
      <c r="R65" s="4" t="s">
        <v>410</v>
      </c>
      <c r="S65" s="4" t="s">
        <v>410</v>
      </c>
      <c r="T65" s="4" t="s">
        <v>410</v>
      </c>
      <c r="U65" s="4" t="s">
        <v>410</v>
      </c>
      <c r="V65" s="4">
        <v>0</v>
      </c>
      <c r="W65" s="4">
        <f t="shared" si="28"/>
        <v>0</v>
      </c>
      <c r="X65" s="4">
        <v>110</v>
      </c>
      <c r="Y65" s="4">
        <f t="shared" si="29"/>
        <v>110</v>
      </c>
      <c r="Z65" s="4"/>
      <c r="AA65" s="21">
        <f t="shared" si="30"/>
        <v>167</v>
      </c>
      <c r="AB65" s="6">
        <f t="shared" si="31"/>
        <v>0.3413173652694611</v>
      </c>
      <c r="AC65" s="4">
        <v>0</v>
      </c>
      <c r="AD65" s="4">
        <f t="shared" si="32"/>
        <v>190</v>
      </c>
      <c r="AE65" s="4">
        <f t="shared" si="33"/>
        <v>209.00000000000003</v>
      </c>
      <c r="AF65" s="6">
        <f t="shared" si="34"/>
        <v>0.47368421052631582</v>
      </c>
      <c r="AG65" s="7">
        <v>168</v>
      </c>
      <c r="AH65" s="6">
        <f t="shared" si="35"/>
        <v>0.34523809523809523</v>
      </c>
      <c r="AI65" s="4">
        <f t="shared" si="36"/>
        <v>58</v>
      </c>
      <c r="AJ65" s="28"/>
      <c r="AK65" s="6"/>
      <c r="AL65" s="6"/>
      <c r="AM65" s="6" t="e">
        <f t="shared" si="37"/>
        <v>#DIV/0!</v>
      </c>
      <c r="AN65" s="6">
        <f t="shared" si="38"/>
        <v>1.1052631578947369</v>
      </c>
      <c r="AO65" s="6">
        <f t="shared" si="39"/>
        <v>1.1000000000000001</v>
      </c>
      <c r="AP65" s="4" t="str">
        <f t="shared" si="40"/>
        <v>-</v>
      </c>
      <c r="AQ65" s="4" t="str">
        <f t="shared" si="41"/>
        <v>-</v>
      </c>
      <c r="AR65" s="4" t="str">
        <f t="shared" si="42"/>
        <v>-</v>
      </c>
      <c r="AS65" s="4" t="str">
        <f t="shared" si="43"/>
        <v>-</v>
      </c>
      <c r="AT65" s="4" t="str">
        <f t="shared" si="44"/>
        <v>-</v>
      </c>
      <c r="AU65" s="4" t="str">
        <f t="shared" si="45"/>
        <v>-</v>
      </c>
      <c r="AV65" s="4">
        <v>0</v>
      </c>
      <c r="AW65" s="4" t="s">
        <v>636</v>
      </c>
      <c r="AX65" s="4"/>
      <c r="AY65" s="4"/>
      <c r="AZ65" s="4" t="s">
        <v>616</v>
      </c>
      <c r="BA65" s="4">
        <v>190</v>
      </c>
      <c r="BB65" s="4">
        <v>190</v>
      </c>
      <c r="BC65" s="4">
        <f t="shared" si="46"/>
        <v>190</v>
      </c>
      <c r="BD65" s="19">
        <v>4</v>
      </c>
      <c r="BE65" s="19">
        <v>8</v>
      </c>
      <c r="BF65" s="16">
        <v>3</v>
      </c>
      <c r="BG65" s="36">
        <v>46174</v>
      </c>
      <c r="BH65" t="s">
        <v>410</v>
      </c>
      <c r="BI65">
        <v>178</v>
      </c>
      <c r="BJ65" s="4" t="s">
        <v>458</v>
      </c>
      <c r="BL65" s="44">
        <f t="shared" si="47"/>
        <v>5.2631578947368585E-3</v>
      </c>
      <c r="BM65" t="s">
        <v>792</v>
      </c>
    </row>
    <row r="66" spans="1:65" x14ac:dyDescent="0.4">
      <c r="A66" s="3">
        <v>210</v>
      </c>
      <c r="B66" s="3">
        <f t="shared" si="23"/>
        <v>63</v>
      </c>
      <c r="C66" s="33">
        <v>103804</v>
      </c>
      <c r="D66" s="4" t="s">
        <v>99</v>
      </c>
      <c r="E66" s="4">
        <v>104032</v>
      </c>
      <c r="F66" s="4" t="s">
        <v>375</v>
      </c>
      <c r="G66" s="5">
        <v>4977564708016</v>
      </c>
      <c r="H66" s="5">
        <v>8</v>
      </c>
      <c r="I66" s="5" t="str">
        <f t="shared" si="26"/>
        <v>1038048</v>
      </c>
      <c r="J66" s="5"/>
      <c r="K66" s="5"/>
      <c r="L66" s="4">
        <v>0</v>
      </c>
      <c r="M66" s="4">
        <v>1250</v>
      </c>
      <c r="N66" s="4">
        <v>1000</v>
      </c>
      <c r="O66" s="6">
        <f t="shared" si="27"/>
        <v>0.19999999999999996</v>
      </c>
      <c r="P66" s="4" t="s">
        <v>410</v>
      </c>
      <c r="Q66" s="4" t="s">
        <v>410</v>
      </c>
      <c r="R66" s="4" t="s">
        <v>410</v>
      </c>
      <c r="S66" s="4" t="s">
        <v>410</v>
      </c>
      <c r="T66" s="4" t="s">
        <v>410</v>
      </c>
      <c r="U66" s="4" t="s">
        <v>410</v>
      </c>
      <c r="V66" s="4">
        <v>0</v>
      </c>
      <c r="W66" s="4">
        <f t="shared" si="28"/>
        <v>0</v>
      </c>
      <c r="X66" s="4">
        <v>110</v>
      </c>
      <c r="Y66" s="4">
        <f t="shared" si="29"/>
        <v>1100</v>
      </c>
      <c r="Z66" s="4">
        <v>10</v>
      </c>
      <c r="AA66" s="21">
        <f t="shared" si="30"/>
        <v>1375</v>
      </c>
      <c r="AB66" s="6">
        <f t="shared" si="31"/>
        <v>0.19999999999999996</v>
      </c>
      <c r="AC66" s="4">
        <v>0</v>
      </c>
      <c r="AD66" s="4">
        <f t="shared" si="32"/>
        <v>1700</v>
      </c>
      <c r="AE66" s="4">
        <f t="shared" si="33"/>
        <v>1870.0000000000002</v>
      </c>
      <c r="AF66" s="6">
        <f t="shared" si="34"/>
        <v>0.41176470588235303</v>
      </c>
      <c r="AG66" s="7">
        <v>1580</v>
      </c>
      <c r="AH66" s="6">
        <f t="shared" si="35"/>
        <v>0.30379746835443033</v>
      </c>
      <c r="AI66" s="4">
        <f t="shared" si="36"/>
        <v>480</v>
      </c>
      <c r="AJ66" s="28"/>
      <c r="AK66" s="6"/>
      <c r="AL66" s="6"/>
      <c r="AM66" s="6" t="e">
        <f t="shared" si="37"/>
        <v>#DIV/0!</v>
      </c>
      <c r="AN66" s="6">
        <f t="shared" si="38"/>
        <v>1.264</v>
      </c>
      <c r="AO66" s="6">
        <f t="shared" si="39"/>
        <v>1.1000000000000001</v>
      </c>
      <c r="AP66" s="4" t="str">
        <f t="shared" si="40"/>
        <v>-</v>
      </c>
      <c r="AQ66" s="4" t="str">
        <f t="shared" si="41"/>
        <v>-</v>
      </c>
      <c r="AR66" s="4" t="str">
        <f t="shared" si="42"/>
        <v>-</v>
      </c>
      <c r="AS66" s="4" t="str">
        <f t="shared" si="43"/>
        <v>-</v>
      </c>
      <c r="AT66" s="4" t="str">
        <f t="shared" si="44"/>
        <v>-</v>
      </c>
      <c r="AU66" s="4" t="str">
        <f t="shared" si="45"/>
        <v>-</v>
      </c>
      <c r="AV66" s="4">
        <v>0</v>
      </c>
      <c r="AW66" s="4" t="s">
        <v>761</v>
      </c>
      <c r="AX66" s="4">
        <v>1</v>
      </c>
      <c r="AY66" s="4">
        <v>10</v>
      </c>
      <c r="AZ66" s="4" t="s">
        <v>759</v>
      </c>
      <c r="BA66" s="4">
        <v>17000</v>
      </c>
      <c r="BB66" s="4">
        <v>17000</v>
      </c>
      <c r="BC66" s="4">
        <f t="shared" si="46"/>
        <v>1700</v>
      </c>
      <c r="BD66" s="19">
        <v>4</v>
      </c>
      <c r="BE66" s="19">
        <v>8</v>
      </c>
      <c r="BF66" s="16">
        <v>3</v>
      </c>
      <c r="BG66" s="36">
        <v>46174</v>
      </c>
      <c r="BH66" t="s">
        <v>410</v>
      </c>
      <c r="BI66">
        <v>178</v>
      </c>
      <c r="BJ66" s="4" t="s">
        <v>560</v>
      </c>
      <c r="BK66">
        <v>2</v>
      </c>
      <c r="BL66" s="44">
        <f t="shared" si="47"/>
        <v>0.16399999999999992</v>
      </c>
      <c r="BM66" t="s">
        <v>792</v>
      </c>
    </row>
    <row r="67" spans="1:65" x14ac:dyDescent="0.4">
      <c r="A67" s="3">
        <v>72</v>
      </c>
      <c r="B67" s="3">
        <f t="shared" si="23"/>
        <v>64</v>
      </c>
      <c r="C67" s="33">
        <v>103805</v>
      </c>
      <c r="D67" s="4" t="str">
        <f>TEXT(C67,"000000")</f>
        <v>103805</v>
      </c>
      <c r="E67" s="4">
        <v>103805</v>
      </c>
      <c r="F67" s="4" t="s">
        <v>250</v>
      </c>
      <c r="G67" s="5">
        <v>4977564708023</v>
      </c>
      <c r="H67" s="5">
        <v>5</v>
      </c>
      <c r="I67" s="5" t="str">
        <f t="shared" si="26"/>
        <v>1038055</v>
      </c>
      <c r="J67" s="5">
        <v>2</v>
      </c>
      <c r="K67" s="5">
        <v>2</v>
      </c>
      <c r="L67" s="4">
        <v>0</v>
      </c>
      <c r="M67" s="4">
        <v>152</v>
      </c>
      <c r="N67" s="4">
        <v>100</v>
      </c>
      <c r="O67" s="6">
        <f t="shared" si="27"/>
        <v>0.34210526315789469</v>
      </c>
      <c r="P67" s="4" t="s">
        <v>410</v>
      </c>
      <c r="Q67" s="4" t="s">
        <v>410</v>
      </c>
      <c r="R67" s="4" t="s">
        <v>410</v>
      </c>
      <c r="S67" s="4" t="s">
        <v>410</v>
      </c>
      <c r="T67" s="4" t="s">
        <v>410</v>
      </c>
      <c r="U67" s="4" t="s">
        <v>410</v>
      </c>
      <c r="V67" s="4">
        <v>0</v>
      </c>
      <c r="W67" s="4">
        <f t="shared" si="28"/>
        <v>0</v>
      </c>
      <c r="X67" s="4">
        <v>110</v>
      </c>
      <c r="Y67" s="4">
        <f t="shared" si="29"/>
        <v>110</v>
      </c>
      <c r="Z67" s="4"/>
      <c r="AA67" s="21">
        <f t="shared" si="30"/>
        <v>167</v>
      </c>
      <c r="AB67" s="6">
        <f t="shared" si="31"/>
        <v>0.3413173652694611</v>
      </c>
      <c r="AC67" s="4">
        <v>0</v>
      </c>
      <c r="AD67" s="4">
        <f t="shared" si="32"/>
        <v>190</v>
      </c>
      <c r="AE67" s="4">
        <f t="shared" si="33"/>
        <v>209.00000000000003</v>
      </c>
      <c r="AF67" s="6">
        <f t="shared" si="34"/>
        <v>0.47368421052631582</v>
      </c>
      <c r="AG67" s="7">
        <v>168</v>
      </c>
      <c r="AH67" s="6">
        <f t="shared" si="35"/>
        <v>0.34523809523809523</v>
      </c>
      <c r="AI67" s="4">
        <f t="shared" si="36"/>
        <v>58</v>
      </c>
      <c r="AJ67" s="28"/>
      <c r="AK67" s="6"/>
      <c r="AL67" s="6"/>
      <c r="AM67" s="6" t="e">
        <f t="shared" si="37"/>
        <v>#DIV/0!</v>
      </c>
      <c r="AN67" s="6">
        <f t="shared" si="38"/>
        <v>1.1052631578947369</v>
      </c>
      <c r="AO67" s="6">
        <f t="shared" si="39"/>
        <v>1.1000000000000001</v>
      </c>
      <c r="AP67" s="4" t="str">
        <f t="shared" si="40"/>
        <v>-</v>
      </c>
      <c r="AQ67" s="4" t="str">
        <f t="shared" si="41"/>
        <v>-</v>
      </c>
      <c r="AR67" s="4" t="str">
        <f t="shared" si="42"/>
        <v>-</v>
      </c>
      <c r="AS67" s="4" t="str">
        <f t="shared" si="43"/>
        <v>-</v>
      </c>
      <c r="AT67" s="4" t="str">
        <f t="shared" si="44"/>
        <v>-</v>
      </c>
      <c r="AU67" s="4" t="str">
        <f t="shared" si="45"/>
        <v>-</v>
      </c>
      <c r="AV67" s="4">
        <v>0</v>
      </c>
      <c r="AW67" s="4" t="s">
        <v>637</v>
      </c>
      <c r="AX67" s="4"/>
      <c r="AY67" s="4"/>
      <c r="AZ67" s="4" t="s">
        <v>616</v>
      </c>
      <c r="BA67" s="4">
        <v>190</v>
      </c>
      <c r="BB67" s="4">
        <v>190</v>
      </c>
      <c r="BC67" s="4">
        <f t="shared" si="46"/>
        <v>190</v>
      </c>
      <c r="BD67" s="19">
        <v>4</v>
      </c>
      <c r="BE67" s="19">
        <v>8</v>
      </c>
      <c r="BF67" s="16">
        <v>3</v>
      </c>
      <c r="BG67" s="36">
        <v>46174</v>
      </c>
      <c r="BH67" t="s">
        <v>410</v>
      </c>
      <c r="BI67">
        <v>178</v>
      </c>
      <c r="BJ67" s="4" t="s">
        <v>459</v>
      </c>
      <c r="BL67" s="44">
        <f t="shared" si="47"/>
        <v>5.2631578947368585E-3</v>
      </c>
      <c r="BM67" t="s">
        <v>792</v>
      </c>
    </row>
    <row r="68" spans="1:65" x14ac:dyDescent="0.4">
      <c r="A68" s="3">
        <v>211</v>
      </c>
      <c r="B68" s="3">
        <f t="shared" si="23"/>
        <v>65</v>
      </c>
      <c r="C68" s="33">
        <v>103805</v>
      </c>
      <c r="D68" s="4" t="s">
        <v>100</v>
      </c>
      <c r="E68" s="4">
        <v>104033</v>
      </c>
      <c r="F68" s="4" t="s">
        <v>376</v>
      </c>
      <c r="G68" s="5">
        <v>4977564708023</v>
      </c>
      <c r="H68" s="5">
        <v>8</v>
      </c>
      <c r="I68" s="5" t="str">
        <f t="shared" si="26"/>
        <v>1038058</v>
      </c>
      <c r="J68" s="5"/>
      <c r="K68" s="5"/>
      <c r="L68" s="4">
        <v>0</v>
      </c>
      <c r="M68" s="4">
        <v>1250</v>
      </c>
      <c r="N68" s="4">
        <v>1000</v>
      </c>
      <c r="O68" s="6">
        <f t="shared" si="27"/>
        <v>0.19999999999999996</v>
      </c>
      <c r="P68" s="4" t="s">
        <v>410</v>
      </c>
      <c r="Q68" s="4" t="s">
        <v>410</v>
      </c>
      <c r="R68" s="4" t="s">
        <v>410</v>
      </c>
      <c r="S68" s="4" t="s">
        <v>410</v>
      </c>
      <c r="T68" s="4" t="s">
        <v>410</v>
      </c>
      <c r="U68" s="4" t="s">
        <v>410</v>
      </c>
      <c r="V68" s="4">
        <v>0</v>
      </c>
      <c r="W68" s="4">
        <f t="shared" si="28"/>
        <v>0</v>
      </c>
      <c r="X68" s="4">
        <v>110</v>
      </c>
      <c r="Y68" s="4">
        <f t="shared" si="29"/>
        <v>1100</v>
      </c>
      <c r="Z68" s="4">
        <v>10</v>
      </c>
      <c r="AA68" s="21">
        <f t="shared" si="30"/>
        <v>1375</v>
      </c>
      <c r="AB68" s="6">
        <f t="shared" si="31"/>
        <v>0.19999999999999996</v>
      </c>
      <c r="AC68" s="4">
        <v>0</v>
      </c>
      <c r="AD68" s="4">
        <f t="shared" si="32"/>
        <v>1700</v>
      </c>
      <c r="AE68" s="4">
        <f t="shared" si="33"/>
        <v>1870.0000000000002</v>
      </c>
      <c r="AF68" s="6">
        <f t="shared" si="34"/>
        <v>0.41176470588235303</v>
      </c>
      <c r="AG68" s="7">
        <v>1580</v>
      </c>
      <c r="AH68" s="6">
        <f t="shared" si="35"/>
        <v>0.30379746835443033</v>
      </c>
      <c r="AI68" s="4">
        <f t="shared" si="36"/>
        <v>480</v>
      </c>
      <c r="AJ68" s="28"/>
      <c r="AK68" s="6"/>
      <c r="AL68" s="6"/>
      <c r="AM68" s="6" t="e">
        <f t="shared" si="37"/>
        <v>#DIV/0!</v>
      </c>
      <c r="AN68" s="6">
        <f t="shared" si="38"/>
        <v>1.264</v>
      </c>
      <c r="AO68" s="6">
        <f t="shared" si="39"/>
        <v>1.1000000000000001</v>
      </c>
      <c r="AP68" s="4" t="str">
        <f t="shared" si="40"/>
        <v>-</v>
      </c>
      <c r="AQ68" s="4" t="str">
        <f t="shared" si="41"/>
        <v>-</v>
      </c>
      <c r="AR68" s="4" t="str">
        <f t="shared" si="42"/>
        <v>-</v>
      </c>
      <c r="AS68" s="4" t="str">
        <f t="shared" si="43"/>
        <v>-</v>
      </c>
      <c r="AT68" s="4" t="str">
        <f t="shared" si="44"/>
        <v>-</v>
      </c>
      <c r="AU68" s="4" t="str">
        <f t="shared" si="45"/>
        <v>-</v>
      </c>
      <c r="AV68" s="4">
        <v>0</v>
      </c>
      <c r="AW68" s="4" t="s">
        <v>762</v>
      </c>
      <c r="AX68" s="4">
        <v>1</v>
      </c>
      <c r="AY68" s="4">
        <v>10</v>
      </c>
      <c r="AZ68" s="4" t="s">
        <v>759</v>
      </c>
      <c r="BA68" s="4">
        <v>17000</v>
      </c>
      <c r="BB68" s="4">
        <v>17000</v>
      </c>
      <c r="BC68" s="4">
        <f t="shared" si="46"/>
        <v>1700</v>
      </c>
      <c r="BD68" s="19">
        <v>4</v>
      </c>
      <c r="BE68" s="19">
        <v>8</v>
      </c>
      <c r="BF68" s="16">
        <v>3</v>
      </c>
      <c r="BG68" s="36">
        <v>46174</v>
      </c>
      <c r="BH68" t="s">
        <v>410</v>
      </c>
      <c r="BI68">
        <v>178</v>
      </c>
      <c r="BJ68" s="4" t="s">
        <v>561</v>
      </c>
      <c r="BK68">
        <v>2</v>
      </c>
      <c r="BL68" s="44">
        <f t="shared" si="47"/>
        <v>0.16399999999999992</v>
      </c>
      <c r="BM68" t="s">
        <v>792</v>
      </c>
    </row>
    <row r="69" spans="1:65" x14ac:dyDescent="0.4">
      <c r="A69" s="3">
        <v>73</v>
      </c>
      <c r="B69" s="3">
        <f t="shared" si="23"/>
        <v>66</v>
      </c>
      <c r="C69" s="33">
        <v>103807</v>
      </c>
      <c r="D69" s="4" t="str">
        <f>TEXT(C69,"000000")</f>
        <v>103807</v>
      </c>
      <c r="E69" s="4">
        <v>103807</v>
      </c>
      <c r="F69" s="4" t="s">
        <v>251</v>
      </c>
      <c r="G69" s="5">
        <v>4977564708030</v>
      </c>
      <c r="H69" s="5">
        <v>5</v>
      </c>
      <c r="I69" s="5" t="str">
        <f t="shared" si="26"/>
        <v>1038075</v>
      </c>
      <c r="J69" s="5">
        <v>2</v>
      </c>
      <c r="K69" s="5">
        <v>2</v>
      </c>
      <c r="L69" s="4">
        <v>0</v>
      </c>
      <c r="M69" s="4">
        <v>152</v>
      </c>
      <c r="N69" s="4">
        <v>100</v>
      </c>
      <c r="O69" s="6">
        <f t="shared" si="27"/>
        <v>0.34210526315789469</v>
      </c>
      <c r="P69" s="4" t="s">
        <v>410</v>
      </c>
      <c r="Q69" s="4" t="s">
        <v>410</v>
      </c>
      <c r="R69" s="4" t="s">
        <v>410</v>
      </c>
      <c r="S69" s="4" t="s">
        <v>410</v>
      </c>
      <c r="T69" s="4" t="s">
        <v>410</v>
      </c>
      <c r="U69" s="4" t="s">
        <v>410</v>
      </c>
      <c r="V69" s="4">
        <v>0</v>
      </c>
      <c r="W69" s="4">
        <f t="shared" si="28"/>
        <v>0</v>
      </c>
      <c r="X69" s="4">
        <v>110</v>
      </c>
      <c r="Y69" s="4">
        <f t="shared" si="29"/>
        <v>110</v>
      </c>
      <c r="Z69" s="4"/>
      <c r="AA69" s="21">
        <f t="shared" si="30"/>
        <v>167</v>
      </c>
      <c r="AB69" s="6">
        <f t="shared" si="31"/>
        <v>0.3413173652694611</v>
      </c>
      <c r="AC69" s="4">
        <v>0</v>
      </c>
      <c r="AD69" s="4">
        <f t="shared" si="32"/>
        <v>190</v>
      </c>
      <c r="AE69" s="4">
        <f t="shared" si="33"/>
        <v>209.00000000000003</v>
      </c>
      <c r="AF69" s="6">
        <f t="shared" si="34"/>
        <v>0.47368421052631582</v>
      </c>
      <c r="AG69" s="7">
        <v>168</v>
      </c>
      <c r="AH69" s="6">
        <f t="shared" si="35"/>
        <v>0.34523809523809523</v>
      </c>
      <c r="AI69" s="4">
        <f t="shared" si="36"/>
        <v>58</v>
      </c>
      <c r="AJ69" s="28"/>
      <c r="AK69" s="6"/>
      <c r="AL69" s="6"/>
      <c r="AM69" s="6" t="e">
        <f t="shared" si="37"/>
        <v>#DIV/0!</v>
      </c>
      <c r="AN69" s="6">
        <f t="shared" si="38"/>
        <v>1.1052631578947369</v>
      </c>
      <c r="AO69" s="6">
        <f t="shared" si="39"/>
        <v>1.1000000000000001</v>
      </c>
      <c r="AP69" s="4" t="str">
        <f t="shared" si="40"/>
        <v>-</v>
      </c>
      <c r="AQ69" s="4" t="str">
        <f t="shared" si="41"/>
        <v>-</v>
      </c>
      <c r="AR69" s="4" t="str">
        <f t="shared" si="42"/>
        <v>-</v>
      </c>
      <c r="AS69" s="4" t="str">
        <f t="shared" si="43"/>
        <v>-</v>
      </c>
      <c r="AT69" s="4" t="str">
        <f t="shared" si="44"/>
        <v>-</v>
      </c>
      <c r="AU69" s="4" t="str">
        <f t="shared" si="45"/>
        <v>-</v>
      </c>
      <c r="AV69" s="4">
        <v>0</v>
      </c>
      <c r="AW69" s="4" t="s">
        <v>638</v>
      </c>
      <c r="AX69" s="4"/>
      <c r="AY69" s="4"/>
      <c r="AZ69" s="4" t="s">
        <v>616</v>
      </c>
      <c r="BA69" s="4">
        <v>190</v>
      </c>
      <c r="BB69" s="4">
        <v>190</v>
      </c>
      <c r="BC69" s="4">
        <f t="shared" si="46"/>
        <v>190</v>
      </c>
      <c r="BD69" s="19">
        <v>4</v>
      </c>
      <c r="BE69" s="19">
        <v>8</v>
      </c>
      <c r="BF69" s="16">
        <v>3</v>
      </c>
      <c r="BG69" s="36">
        <v>46174</v>
      </c>
      <c r="BH69" t="s">
        <v>410</v>
      </c>
      <c r="BI69">
        <v>188</v>
      </c>
      <c r="BJ69" s="4" t="s">
        <v>460</v>
      </c>
      <c r="BL69" s="44">
        <f t="shared" si="47"/>
        <v>5.2631578947368585E-3</v>
      </c>
      <c r="BM69" t="s">
        <v>792</v>
      </c>
    </row>
    <row r="70" spans="1:65" x14ac:dyDescent="0.4">
      <c r="A70" s="3">
        <v>212</v>
      </c>
      <c r="B70" s="3">
        <f t="shared" ref="B70:B133" si="48">B69+1</f>
        <v>67</v>
      </c>
      <c r="C70" s="33">
        <v>103807</v>
      </c>
      <c r="D70" s="4" t="s">
        <v>101</v>
      </c>
      <c r="E70" s="4">
        <v>104034</v>
      </c>
      <c r="F70" s="4" t="s">
        <v>377</v>
      </c>
      <c r="G70" s="5">
        <v>4977564708030</v>
      </c>
      <c r="H70" s="5">
        <v>8</v>
      </c>
      <c r="I70" s="5" t="str">
        <f t="shared" si="26"/>
        <v>1038078</v>
      </c>
      <c r="J70" s="5"/>
      <c r="K70" s="5"/>
      <c r="L70" s="4">
        <v>0</v>
      </c>
      <c r="M70" s="4">
        <v>1250</v>
      </c>
      <c r="N70" s="4">
        <v>1000</v>
      </c>
      <c r="O70" s="6">
        <f t="shared" si="27"/>
        <v>0.19999999999999996</v>
      </c>
      <c r="P70" s="4" t="s">
        <v>410</v>
      </c>
      <c r="Q70" s="4" t="s">
        <v>410</v>
      </c>
      <c r="R70" s="4" t="s">
        <v>410</v>
      </c>
      <c r="S70" s="4" t="s">
        <v>410</v>
      </c>
      <c r="T70" s="4" t="s">
        <v>410</v>
      </c>
      <c r="U70" s="4" t="s">
        <v>410</v>
      </c>
      <c r="V70" s="4">
        <v>0</v>
      </c>
      <c r="W70" s="4">
        <f t="shared" si="28"/>
        <v>0</v>
      </c>
      <c r="X70" s="4">
        <v>110</v>
      </c>
      <c r="Y70" s="4">
        <f t="shared" si="29"/>
        <v>1100</v>
      </c>
      <c r="Z70" s="4">
        <v>10</v>
      </c>
      <c r="AA70" s="21">
        <f t="shared" si="30"/>
        <v>1375</v>
      </c>
      <c r="AB70" s="6">
        <f t="shared" si="31"/>
        <v>0.19999999999999996</v>
      </c>
      <c r="AC70" s="4">
        <v>0</v>
      </c>
      <c r="AD70" s="4">
        <f t="shared" si="32"/>
        <v>1700</v>
      </c>
      <c r="AE70" s="4">
        <f t="shared" si="33"/>
        <v>1870.0000000000002</v>
      </c>
      <c r="AF70" s="6">
        <f t="shared" si="34"/>
        <v>0.41176470588235303</v>
      </c>
      <c r="AG70" s="7">
        <v>1580</v>
      </c>
      <c r="AH70" s="6">
        <f t="shared" si="35"/>
        <v>0.30379746835443033</v>
      </c>
      <c r="AI70" s="4">
        <f t="shared" si="36"/>
        <v>480</v>
      </c>
      <c r="AJ70" s="28"/>
      <c r="AK70" s="6"/>
      <c r="AL70" s="6"/>
      <c r="AM70" s="6" t="e">
        <f t="shared" si="37"/>
        <v>#DIV/0!</v>
      </c>
      <c r="AN70" s="6">
        <f t="shared" si="38"/>
        <v>1.264</v>
      </c>
      <c r="AO70" s="6">
        <f t="shared" si="39"/>
        <v>1.1000000000000001</v>
      </c>
      <c r="AP70" s="4" t="str">
        <f t="shared" si="40"/>
        <v>-</v>
      </c>
      <c r="AQ70" s="4" t="str">
        <f t="shared" si="41"/>
        <v>-</v>
      </c>
      <c r="AR70" s="4" t="str">
        <f t="shared" si="42"/>
        <v>-</v>
      </c>
      <c r="AS70" s="4" t="str">
        <f t="shared" si="43"/>
        <v>-</v>
      </c>
      <c r="AT70" s="4" t="str">
        <f t="shared" si="44"/>
        <v>-</v>
      </c>
      <c r="AU70" s="4" t="str">
        <f t="shared" si="45"/>
        <v>-</v>
      </c>
      <c r="AV70" s="4">
        <v>0</v>
      </c>
      <c r="AW70" s="4" t="s">
        <v>763</v>
      </c>
      <c r="AX70" s="4">
        <v>1</v>
      </c>
      <c r="AY70" s="4">
        <v>10</v>
      </c>
      <c r="AZ70" s="4" t="s">
        <v>759</v>
      </c>
      <c r="BA70" s="4">
        <v>17000</v>
      </c>
      <c r="BB70" s="4">
        <v>17000</v>
      </c>
      <c r="BC70" s="4">
        <f t="shared" si="46"/>
        <v>1700</v>
      </c>
      <c r="BD70" s="19">
        <v>4</v>
      </c>
      <c r="BE70" s="19">
        <v>8</v>
      </c>
      <c r="BF70" s="16">
        <v>3</v>
      </c>
      <c r="BG70" s="36">
        <v>46174</v>
      </c>
      <c r="BH70" t="s">
        <v>410</v>
      </c>
      <c r="BI70">
        <v>188</v>
      </c>
      <c r="BJ70" s="4" t="s">
        <v>562</v>
      </c>
      <c r="BK70">
        <v>2</v>
      </c>
      <c r="BL70" s="44">
        <f t="shared" si="47"/>
        <v>0.16399999999999992</v>
      </c>
      <c r="BM70" t="s">
        <v>792</v>
      </c>
    </row>
    <row r="71" spans="1:65" x14ac:dyDescent="0.4">
      <c r="A71" s="3">
        <v>74</v>
      </c>
      <c r="B71" s="3">
        <f t="shared" si="48"/>
        <v>68</v>
      </c>
      <c r="C71" s="33">
        <v>103808</v>
      </c>
      <c r="D71" s="4" t="str">
        <f>TEXT(C71,"000000")</f>
        <v>103808</v>
      </c>
      <c r="E71" s="4">
        <v>103808</v>
      </c>
      <c r="F71" s="4" t="s">
        <v>252</v>
      </c>
      <c r="G71" s="5">
        <v>4977564708047</v>
      </c>
      <c r="H71" s="5">
        <v>5</v>
      </c>
      <c r="I71" s="5" t="str">
        <f t="shared" si="26"/>
        <v>1038085</v>
      </c>
      <c r="J71" s="5">
        <v>2</v>
      </c>
      <c r="K71" s="5">
        <v>2</v>
      </c>
      <c r="L71" s="4">
        <v>0</v>
      </c>
      <c r="M71" s="4">
        <v>152</v>
      </c>
      <c r="N71" s="4">
        <v>100</v>
      </c>
      <c r="O71" s="6">
        <f t="shared" si="27"/>
        <v>0.34210526315789469</v>
      </c>
      <c r="P71" s="4" t="s">
        <v>410</v>
      </c>
      <c r="Q71" s="4" t="s">
        <v>410</v>
      </c>
      <c r="R71" s="4" t="s">
        <v>410</v>
      </c>
      <c r="S71" s="4" t="s">
        <v>410</v>
      </c>
      <c r="T71" s="4" t="s">
        <v>410</v>
      </c>
      <c r="U71" s="4" t="s">
        <v>410</v>
      </c>
      <c r="V71" s="4">
        <v>0</v>
      </c>
      <c r="W71" s="4">
        <f t="shared" si="28"/>
        <v>0</v>
      </c>
      <c r="X71" s="4">
        <v>110</v>
      </c>
      <c r="Y71" s="4">
        <f t="shared" si="29"/>
        <v>110</v>
      </c>
      <c r="Z71" s="4"/>
      <c r="AA71" s="21">
        <f t="shared" si="30"/>
        <v>167</v>
      </c>
      <c r="AB71" s="6">
        <f t="shared" si="31"/>
        <v>0.3413173652694611</v>
      </c>
      <c r="AC71" s="4">
        <v>0</v>
      </c>
      <c r="AD71" s="4">
        <f t="shared" si="32"/>
        <v>190</v>
      </c>
      <c r="AE71" s="4">
        <f t="shared" si="33"/>
        <v>209.00000000000003</v>
      </c>
      <c r="AF71" s="6">
        <f t="shared" si="34"/>
        <v>0.47368421052631582</v>
      </c>
      <c r="AG71" s="7">
        <v>168</v>
      </c>
      <c r="AH71" s="6">
        <f t="shared" si="35"/>
        <v>0.34523809523809523</v>
      </c>
      <c r="AI71" s="4">
        <f t="shared" si="36"/>
        <v>58</v>
      </c>
      <c r="AJ71" s="28"/>
      <c r="AK71" s="6"/>
      <c r="AL71" s="6"/>
      <c r="AM71" s="6" t="e">
        <f t="shared" si="37"/>
        <v>#DIV/0!</v>
      </c>
      <c r="AN71" s="6">
        <f t="shared" si="38"/>
        <v>1.1052631578947369</v>
      </c>
      <c r="AO71" s="6">
        <f t="shared" si="39"/>
        <v>1.1000000000000001</v>
      </c>
      <c r="AP71" s="4" t="str">
        <f t="shared" si="40"/>
        <v>-</v>
      </c>
      <c r="AQ71" s="4" t="str">
        <f t="shared" si="41"/>
        <v>-</v>
      </c>
      <c r="AR71" s="4" t="str">
        <f t="shared" si="42"/>
        <v>-</v>
      </c>
      <c r="AS71" s="4" t="str">
        <f t="shared" si="43"/>
        <v>-</v>
      </c>
      <c r="AT71" s="4" t="str">
        <f t="shared" si="44"/>
        <v>-</v>
      </c>
      <c r="AU71" s="4" t="str">
        <f t="shared" si="45"/>
        <v>-</v>
      </c>
      <c r="AV71" s="4">
        <v>0</v>
      </c>
      <c r="AW71" s="4" t="s">
        <v>639</v>
      </c>
      <c r="AX71" s="4"/>
      <c r="AY71" s="4"/>
      <c r="AZ71" s="4" t="s">
        <v>616</v>
      </c>
      <c r="BA71" s="4">
        <v>190</v>
      </c>
      <c r="BB71" s="4">
        <v>190</v>
      </c>
      <c r="BC71" s="4">
        <f t="shared" si="46"/>
        <v>190</v>
      </c>
      <c r="BD71" s="19">
        <v>4</v>
      </c>
      <c r="BE71" s="19">
        <v>8</v>
      </c>
      <c r="BF71" s="16">
        <v>3</v>
      </c>
      <c r="BG71" s="36">
        <v>46174</v>
      </c>
      <c r="BH71" t="s">
        <v>410</v>
      </c>
      <c r="BI71">
        <v>178</v>
      </c>
      <c r="BJ71" s="4" t="s">
        <v>461</v>
      </c>
      <c r="BL71" s="44">
        <f t="shared" si="47"/>
        <v>5.2631578947368585E-3</v>
      </c>
      <c r="BM71" t="s">
        <v>792</v>
      </c>
    </row>
    <row r="72" spans="1:65" x14ac:dyDescent="0.4">
      <c r="A72" s="3">
        <v>213</v>
      </c>
      <c r="B72" s="3">
        <f t="shared" si="48"/>
        <v>69</v>
      </c>
      <c r="C72" s="33">
        <v>103808</v>
      </c>
      <c r="D72" s="4" t="s">
        <v>102</v>
      </c>
      <c r="E72" s="4">
        <v>104036</v>
      </c>
      <c r="F72" s="4" t="s">
        <v>378</v>
      </c>
      <c r="G72" s="5">
        <v>4977564708047</v>
      </c>
      <c r="H72" s="5">
        <v>8</v>
      </c>
      <c r="I72" s="5" t="str">
        <f t="shared" si="26"/>
        <v>1038088</v>
      </c>
      <c r="J72" s="5"/>
      <c r="K72" s="5"/>
      <c r="L72" s="4">
        <v>0</v>
      </c>
      <c r="M72" s="4">
        <v>1250</v>
      </c>
      <c r="N72" s="4">
        <v>1000</v>
      </c>
      <c r="O72" s="6">
        <f t="shared" si="27"/>
        <v>0.19999999999999996</v>
      </c>
      <c r="P72" s="4" t="s">
        <v>410</v>
      </c>
      <c r="Q72" s="4" t="s">
        <v>410</v>
      </c>
      <c r="R72" s="4" t="s">
        <v>410</v>
      </c>
      <c r="S72" s="4" t="s">
        <v>410</v>
      </c>
      <c r="T72" s="4" t="s">
        <v>410</v>
      </c>
      <c r="U72" s="4" t="s">
        <v>410</v>
      </c>
      <c r="V72" s="4">
        <v>0</v>
      </c>
      <c r="W72" s="4">
        <f t="shared" si="28"/>
        <v>0</v>
      </c>
      <c r="X72" s="4">
        <v>110</v>
      </c>
      <c r="Y72" s="4">
        <f t="shared" si="29"/>
        <v>1100</v>
      </c>
      <c r="Z72" s="4">
        <v>10</v>
      </c>
      <c r="AA72" s="21">
        <f t="shared" si="30"/>
        <v>1375</v>
      </c>
      <c r="AB72" s="6">
        <f t="shared" si="31"/>
        <v>0.19999999999999996</v>
      </c>
      <c r="AC72" s="4">
        <v>0</v>
      </c>
      <c r="AD72" s="4">
        <f t="shared" si="32"/>
        <v>1700</v>
      </c>
      <c r="AE72" s="4">
        <f t="shared" si="33"/>
        <v>1870.0000000000002</v>
      </c>
      <c r="AF72" s="6">
        <f t="shared" si="34"/>
        <v>0.41176470588235303</v>
      </c>
      <c r="AG72" s="7">
        <v>1580</v>
      </c>
      <c r="AH72" s="6">
        <f t="shared" si="35"/>
        <v>0.30379746835443033</v>
      </c>
      <c r="AI72" s="4">
        <f t="shared" si="36"/>
        <v>480</v>
      </c>
      <c r="AJ72" s="28"/>
      <c r="AK72" s="6"/>
      <c r="AL72" s="6"/>
      <c r="AM72" s="6" t="e">
        <f t="shared" si="37"/>
        <v>#DIV/0!</v>
      </c>
      <c r="AN72" s="6">
        <f t="shared" si="38"/>
        <v>1.264</v>
      </c>
      <c r="AO72" s="6">
        <f t="shared" si="39"/>
        <v>1.1000000000000001</v>
      </c>
      <c r="AP72" s="4" t="str">
        <f t="shared" si="40"/>
        <v>-</v>
      </c>
      <c r="AQ72" s="4" t="str">
        <f t="shared" si="41"/>
        <v>-</v>
      </c>
      <c r="AR72" s="4" t="str">
        <f t="shared" si="42"/>
        <v>-</v>
      </c>
      <c r="AS72" s="4" t="str">
        <f t="shared" si="43"/>
        <v>-</v>
      </c>
      <c r="AT72" s="4" t="str">
        <f t="shared" si="44"/>
        <v>-</v>
      </c>
      <c r="AU72" s="4" t="str">
        <f t="shared" si="45"/>
        <v>-</v>
      </c>
      <c r="AV72" s="4">
        <v>0</v>
      </c>
      <c r="AW72" s="4" t="s">
        <v>764</v>
      </c>
      <c r="AX72" s="4">
        <v>1</v>
      </c>
      <c r="AY72" s="4">
        <v>10</v>
      </c>
      <c r="AZ72" s="4" t="s">
        <v>759</v>
      </c>
      <c r="BA72" s="4">
        <v>17000</v>
      </c>
      <c r="BB72" s="4">
        <v>17000</v>
      </c>
      <c r="BC72" s="4">
        <f t="shared" si="46"/>
        <v>1700</v>
      </c>
      <c r="BD72" s="19">
        <v>4</v>
      </c>
      <c r="BE72" s="19">
        <v>8</v>
      </c>
      <c r="BF72" s="16">
        <v>3</v>
      </c>
      <c r="BG72" s="36">
        <v>46174</v>
      </c>
      <c r="BH72" t="s">
        <v>410</v>
      </c>
      <c r="BI72">
        <v>178</v>
      </c>
      <c r="BJ72" s="4" t="s">
        <v>563</v>
      </c>
      <c r="BK72">
        <v>2</v>
      </c>
      <c r="BL72" s="44">
        <f t="shared" si="47"/>
        <v>0.16399999999999992</v>
      </c>
      <c r="BM72" t="s">
        <v>792</v>
      </c>
    </row>
    <row r="73" spans="1:65" x14ac:dyDescent="0.4">
      <c r="A73" s="3">
        <v>75</v>
      </c>
      <c r="B73" s="3">
        <f t="shared" si="48"/>
        <v>70</v>
      </c>
      <c r="C73" s="33">
        <v>103809</v>
      </c>
      <c r="D73" s="4" t="str">
        <f>TEXT(C73,"000000")</f>
        <v>103809</v>
      </c>
      <c r="E73" s="4">
        <v>103809</v>
      </c>
      <c r="F73" s="4" t="s">
        <v>253</v>
      </c>
      <c r="G73" s="5">
        <v>4977564708054</v>
      </c>
      <c r="H73" s="5">
        <v>5</v>
      </c>
      <c r="I73" s="5" t="str">
        <f t="shared" si="26"/>
        <v>1038095</v>
      </c>
      <c r="J73" s="5">
        <v>2</v>
      </c>
      <c r="K73" s="5">
        <v>2</v>
      </c>
      <c r="L73" s="4">
        <v>0</v>
      </c>
      <c r="M73" s="4">
        <v>152</v>
      </c>
      <c r="N73" s="4">
        <v>100</v>
      </c>
      <c r="O73" s="6">
        <f t="shared" si="27"/>
        <v>0.34210526315789469</v>
      </c>
      <c r="P73" s="4" t="s">
        <v>410</v>
      </c>
      <c r="Q73" s="4" t="s">
        <v>410</v>
      </c>
      <c r="R73" s="4" t="s">
        <v>410</v>
      </c>
      <c r="S73" s="4" t="s">
        <v>410</v>
      </c>
      <c r="T73" s="4" t="s">
        <v>410</v>
      </c>
      <c r="U73" s="4" t="s">
        <v>410</v>
      </c>
      <c r="V73" s="4">
        <v>0</v>
      </c>
      <c r="W73" s="4">
        <f t="shared" si="28"/>
        <v>0</v>
      </c>
      <c r="X73" s="4">
        <v>110</v>
      </c>
      <c r="Y73" s="4">
        <f t="shared" si="29"/>
        <v>110</v>
      </c>
      <c r="Z73" s="4"/>
      <c r="AA73" s="21">
        <f t="shared" si="30"/>
        <v>167</v>
      </c>
      <c r="AB73" s="6">
        <f t="shared" si="31"/>
        <v>0.3413173652694611</v>
      </c>
      <c r="AC73" s="4">
        <v>0</v>
      </c>
      <c r="AD73" s="4">
        <f t="shared" si="32"/>
        <v>190</v>
      </c>
      <c r="AE73" s="4">
        <f t="shared" si="33"/>
        <v>209.00000000000003</v>
      </c>
      <c r="AF73" s="6">
        <f t="shared" si="34"/>
        <v>0.47368421052631582</v>
      </c>
      <c r="AG73" s="7">
        <v>168</v>
      </c>
      <c r="AH73" s="6">
        <f t="shared" si="35"/>
        <v>0.34523809523809523</v>
      </c>
      <c r="AI73" s="4">
        <f t="shared" si="36"/>
        <v>58</v>
      </c>
      <c r="AJ73" s="28"/>
      <c r="AK73" s="6"/>
      <c r="AL73" s="6"/>
      <c r="AM73" s="6" t="e">
        <f t="shared" si="37"/>
        <v>#DIV/0!</v>
      </c>
      <c r="AN73" s="6">
        <f t="shared" si="38"/>
        <v>1.1052631578947369</v>
      </c>
      <c r="AO73" s="6">
        <f t="shared" si="39"/>
        <v>1.1000000000000001</v>
      </c>
      <c r="AP73" s="4" t="str">
        <f t="shared" si="40"/>
        <v>-</v>
      </c>
      <c r="AQ73" s="4" t="str">
        <f t="shared" si="41"/>
        <v>-</v>
      </c>
      <c r="AR73" s="4" t="str">
        <f t="shared" si="42"/>
        <v>-</v>
      </c>
      <c r="AS73" s="4" t="str">
        <f t="shared" si="43"/>
        <v>-</v>
      </c>
      <c r="AT73" s="4" t="str">
        <f t="shared" si="44"/>
        <v>-</v>
      </c>
      <c r="AU73" s="4" t="str">
        <f t="shared" si="45"/>
        <v>-</v>
      </c>
      <c r="AV73" s="4">
        <v>0</v>
      </c>
      <c r="AW73" s="4" t="s">
        <v>640</v>
      </c>
      <c r="AX73" s="4"/>
      <c r="AY73" s="4"/>
      <c r="AZ73" s="4" t="s">
        <v>616</v>
      </c>
      <c r="BA73" s="4">
        <v>190</v>
      </c>
      <c r="BB73" s="4">
        <v>190</v>
      </c>
      <c r="BC73" s="4">
        <f t="shared" si="46"/>
        <v>190</v>
      </c>
      <c r="BD73" s="19">
        <v>4</v>
      </c>
      <c r="BE73" s="19">
        <v>8</v>
      </c>
      <c r="BF73" s="16">
        <v>3</v>
      </c>
      <c r="BG73" s="36">
        <v>46174</v>
      </c>
      <c r="BH73" t="s">
        <v>410</v>
      </c>
      <c r="BI73">
        <v>178</v>
      </c>
      <c r="BJ73" s="4" t="s">
        <v>462</v>
      </c>
      <c r="BL73" s="44">
        <f t="shared" si="47"/>
        <v>5.2631578947368585E-3</v>
      </c>
      <c r="BM73" t="s">
        <v>792</v>
      </c>
    </row>
    <row r="74" spans="1:65" x14ac:dyDescent="0.4">
      <c r="A74" s="3">
        <v>214</v>
      </c>
      <c r="B74" s="3">
        <f t="shared" si="48"/>
        <v>71</v>
      </c>
      <c r="C74" s="33">
        <v>103809</v>
      </c>
      <c r="D74" s="4" t="s">
        <v>103</v>
      </c>
      <c r="E74" s="4">
        <v>104037</v>
      </c>
      <c r="F74" s="4" t="s">
        <v>379</v>
      </c>
      <c r="G74" s="5">
        <v>4977564708054</v>
      </c>
      <c r="H74" s="5">
        <v>8</v>
      </c>
      <c r="I74" s="5" t="str">
        <f t="shared" si="26"/>
        <v>1038098</v>
      </c>
      <c r="J74" s="5"/>
      <c r="K74" s="5"/>
      <c r="L74" s="4">
        <v>0</v>
      </c>
      <c r="M74" s="4">
        <v>1250</v>
      </c>
      <c r="N74" s="4">
        <v>1000</v>
      </c>
      <c r="O74" s="6">
        <f t="shared" si="27"/>
        <v>0.19999999999999996</v>
      </c>
      <c r="P74" s="4" t="s">
        <v>410</v>
      </c>
      <c r="Q74" s="4" t="s">
        <v>410</v>
      </c>
      <c r="R74" s="4" t="s">
        <v>410</v>
      </c>
      <c r="S74" s="4" t="s">
        <v>410</v>
      </c>
      <c r="T74" s="4" t="s">
        <v>410</v>
      </c>
      <c r="U74" s="4" t="s">
        <v>410</v>
      </c>
      <c r="V74" s="4">
        <v>0</v>
      </c>
      <c r="W74" s="4">
        <f t="shared" si="28"/>
        <v>0</v>
      </c>
      <c r="X74" s="4">
        <v>110</v>
      </c>
      <c r="Y74" s="4">
        <f t="shared" si="29"/>
        <v>1100</v>
      </c>
      <c r="Z74" s="4">
        <v>10</v>
      </c>
      <c r="AA74" s="21">
        <f t="shared" si="30"/>
        <v>1375</v>
      </c>
      <c r="AB74" s="6">
        <f t="shared" si="31"/>
        <v>0.19999999999999996</v>
      </c>
      <c r="AC74" s="4">
        <v>0</v>
      </c>
      <c r="AD74" s="4">
        <f t="shared" si="32"/>
        <v>1700</v>
      </c>
      <c r="AE74" s="4">
        <f t="shared" si="33"/>
        <v>1870.0000000000002</v>
      </c>
      <c r="AF74" s="6">
        <f t="shared" si="34"/>
        <v>0.41176470588235303</v>
      </c>
      <c r="AG74" s="7">
        <v>1580</v>
      </c>
      <c r="AH74" s="6">
        <f t="shared" si="35"/>
        <v>0.30379746835443033</v>
      </c>
      <c r="AI74" s="4">
        <f t="shared" si="36"/>
        <v>480</v>
      </c>
      <c r="AJ74" s="28"/>
      <c r="AK74" s="6"/>
      <c r="AL74" s="6"/>
      <c r="AM74" s="6" t="e">
        <f t="shared" si="37"/>
        <v>#DIV/0!</v>
      </c>
      <c r="AN74" s="6">
        <f t="shared" si="38"/>
        <v>1.264</v>
      </c>
      <c r="AO74" s="6">
        <f t="shared" si="39"/>
        <v>1.1000000000000001</v>
      </c>
      <c r="AP74" s="4" t="str">
        <f t="shared" si="40"/>
        <v>-</v>
      </c>
      <c r="AQ74" s="4" t="str">
        <f t="shared" si="41"/>
        <v>-</v>
      </c>
      <c r="AR74" s="4" t="str">
        <f t="shared" si="42"/>
        <v>-</v>
      </c>
      <c r="AS74" s="4" t="str">
        <f t="shared" si="43"/>
        <v>-</v>
      </c>
      <c r="AT74" s="4" t="str">
        <f t="shared" si="44"/>
        <v>-</v>
      </c>
      <c r="AU74" s="4" t="str">
        <f t="shared" si="45"/>
        <v>-</v>
      </c>
      <c r="AV74" s="4">
        <v>0</v>
      </c>
      <c r="AW74" s="4" t="s">
        <v>765</v>
      </c>
      <c r="AX74" s="4">
        <v>1</v>
      </c>
      <c r="AY74" s="4">
        <v>10</v>
      </c>
      <c r="AZ74" s="4" t="s">
        <v>759</v>
      </c>
      <c r="BA74" s="4">
        <v>17000</v>
      </c>
      <c r="BB74" s="4">
        <v>17000</v>
      </c>
      <c r="BC74" s="4">
        <f t="shared" si="46"/>
        <v>1700</v>
      </c>
      <c r="BD74" s="19">
        <v>4</v>
      </c>
      <c r="BE74" s="19">
        <v>8</v>
      </c>
      <c r="BF74" s="16">
        <v>3</v>
      </c>
      <c r="BG74" s="36">
        <v>46174</v>
      </c>
      <c r="BH74" t="s">
        <v>410</v>
      </c>
      <c r="BI74">
        <v>178</v>
      </c>
      <c r="BJ74" s="4" t="s">
        <v>564</v>
      </c>
      <c r="BK74">
        <v>2</v>
      </c>
      <c r="BL74" s="44">
        <f t="shared" si="47"/>
        <v>0.16399999999999992</v>
      </c>
      <c r="BM74" t="s">
        <v>792</v>
      </c>
    </row>
    <row r="75" spans="1:65" x14ac:dyDescent="0.4">
      <c r="A75" s="3">
        <v>76</v>
      </c>
      <c r="B75" s="3">
        <f t="shared" si="48"/>
        <v>72</v>
      </c>
      <c r="C75" s="4" t="s">
        <v>104</v>
      </c>
      <c r="D75" s="4" t="str">
        <f t="shared" ref="D75:D82" si="49">TEXT(C75,"000000")</f>
        <v>J680LN</v>
      </c>
      <c r="E75" s="4" t="s">
        <v>104</v>
      </c>
      <c r="F75" s="4" t="s">
        <v>254</v>
      </c>
      <c r="G75" s="5">
        <v>4977564591465</v>
      </c>
      <c r="H75" s="5">
        <v>5</v>
      </c>
      <c r="I75" s="5" t="str">
        <f t="shared" si="26"/>
        <v>J680LN5</v>
      </c>
      <c r="J75" s="5">
        <v>1</v>
      </c>
      <c r="K75" s="5">
        <v>1</v>
      </c>
      <c r="L75" s="4">
        <v>0</v>
      </c>
      <c r="M75" s="4">
        <v>1064</v>
      </c>
      <c r="N75" s="4">
        <v>800</v>
      </c>
      <c r="O75" s="6">
        <f t="shared" si="27"/>
        <v>0.24812030075187974</v>
      </c>
      <c r="P75" s="4" t="s">
        <v>410</v>
      </c>
      <c r="Q75" s="4" t="s">
        <v>410</v>
      </c>
      <c r="R75" s="4" t="s">
        <v>410</v>
      </c>
      <c r="S75" s="4" t="s">
        <v>410</v>
      </c>
      <c r="T75" s="4" t="s">
        <v>410</v>
      </c>
      <c r="U75" s="4" t="s">
        <v>410</v>
      </c>
      <c r="V75" s="4">
        <v>0</v>
      </c>
      <c r="W75" s="4">
        <f t="shared" si="28"/>
        <v>0</v>
      </c>
      <c r="X75" s="4">
        <v>880</v>
      </c>
      <c r="Y75" s="4">
        <f t="shared" si="29"/>
        <v>880</v>
      </c>
      <c r="Z75" s="4"/>
      <c r="AA75" s="21">
        <f t="shared" si="30"/>
        <v>1170</v>
      </c>
      <c r="AB75" s="6">
        <f t="shared" si="31"/>
        <v>0.24786324786324787</v>
      </c>
      <c r="AC75" s="4">
        <v>0</v>
      </c>
      <c r="AD75" s="4">
        <f t="shared" si="32"/>
        <v>1793</v>
      </c>
      <c r="AE75" s="4">
        <f t="shared" si="33"/>
        <v>1972.3000000000002</v>
      </c>
      <c r="AF75" s="6">
        <f t="shared" si="34"/>
        <v>0.55382041271611826</v>
      </c>
      <c r="AG75" s="7">
        <v>1180</v>
      </c>
      <c r="AH75" s="6">
        <f t="shared" si="35"/>
        <v>0.25423728813559321</v>
      </c>
      <c r="AI75" s="4">
        <f t="shared" si="36"/>
        <v>300</v>
      </c>
      <c r="AJ75" s="28"/>
      <c r="AK75" s="6"/>
      <c r="AL75" s="6"/>
      <c r="AM75" s="6" t="e">
        <f t="shared" si="37"/>
        <v>#DIV/0!</v>
      </c>
      <c r="AN75" s="6">
        <f t="shared" si="38"/>
        <v>1.1090225563909775</v>
      </c>
      <c r="AO75" s="6">
        <f t="shared" si="39"/>
        <v>1.1000000000000001</v>
      </c>
      <c r="AP75" s="4" t="str">
        <f t="shared" si="40"/>
        <v>-</v>
      </c>
      <c r="AQ75" s="4" t="str">
        <f t="shared" si="41"/>
        <v>-</v>
      </c>
      <c r="AR75" s="4" t="str">
        <f t="shared" si="42"/>
        <v>-</v>
      </c>
      <c r="AS75" s="4" t="str">
        <f t="shared" si="43"/>
        <v>-</v>
      </c>
      <c r="AT75" s="4" t="str">
        <f t="shared" si="44"/>
        <v>-</v>
      </c>
      <c r="AU75" s="4" t="str">
        <f t="shared" si="45"/>
        <v>-</v>
      </c>
      <c r="AV75" s="4">
        <v>0</v>
      </c>
      <c r="AW75" s="4" t="s">
        <v>641</v>
      </c>
      <c r="AX75" s="4"/>
      <c r="AY75" s="4"/>
      <c r="AZ75" s="4" t="s">
        <v>642</v>
      </c>
      <c r="BA75" s="4">
        <v>1793</v>
      </c>
      <c r="BB75" s="4">
        <v>1793</v>
      </c>
      <c r="BC75" s="4">
        <f t="shared" si="46"/>
        <v>1793</v>
      </c>
      <c r="BD75" s="19">
        <v>4</v>
      </c>
      <c r="BE75" s="19">
        <v>8</v>
      </c>
      <c r="BF75" s="16">
        <v>3</v>
      </c>
      <c r="BG75" s="36">
        <v>46174</v>
      </c>
      <c r="BH75" t="s">
        <v>410</v>
      </c>
      <c r="BI75">
        <v>1480</v>
      </c>
      <c r="BJ75" s="4" t="s">
        <v>463</v>
      </c>
      <c r="BL75" s="44">
        <f t="shared" si="47"/>
        <v>9.0225563909773765E-3</v>
      </c>
      <c r="BM75" t="s">
        <v>792</v>
      </c>
    </row>
    <row r="76" spans="1:65" x14ac:dyDescent="0.4">
      <c r="A76" s="3">
        <v>77</v>
      </c>
      <c r="B76" s="3">
        <f t="shared" si="48"/>
        <v>73</v>
      </c>
      <c r="C76" s="4" t="s">
        <v>105</v>
      </c>
      <c r="D76" s="4" t="str">
        <f t="shared" si="49"/>
        <v>J681LN</v>
      </c>
      <c r="E76" s="4" t="s">
        <v>105</v>
      </c>
      <c r="F76" s="4" t="s">
        <v>255</v>
      </c>
      <c r="G76" s="5">
        <v>4977564591472</v>
      </c>
      <c r="H76" s="5">
        <v>5</v>
      </c>
      <c r="I76" s="5" t="str">
        <f t="shared" si="26"/>
        <v>J681LN5</v>
      </c>
      <c r="J76" s="5">
        <v>1</v>
      </c>
      <c r="K76" s="5">
        <v>1</v>
      </c>
      <c r="L76" s="4">
        <v>0</v>
      </c>
      <c r="M76" s="4">
        <v>1012</v>
      </c>
      <c r="N76" s="4">
        <v>800</v>
      </c>
      <c r="O76" s="6">
        <f t="shared" si="27"/>
        <v>0.20948616600790515</v>
      </c>
      <c r="P76" s="4" t="s">
        <v>410</v>
      </c>
      <c r="Q76" s="4" t="s">
        <v>410</v>
      </c>
      <c r="R76" s="4" t="s">
        <v>410</v>
      </c>
      <c r="S76" s="4" t="s">
        <v>410</v>
      </c>
      <c r="T76" s="4" t="s">
        <v>410</v>
      </c>
      <c r="U76" s="4" t="s">
        <v>410</v>
      </c>
      <c r="V76" s="4">
        <v>0</v>
      </c>
      <c r="W76" s="4">
        <f t="shared" si="28"/>
        <v>0</v>
      </c>
      <c r="X76" s="4">
        <v>880</v>
      </c>
      <c r="Y76" s="4">
        <f t="shared" si="29"/>
        <v>880</v>
      </c>
      <c r="Z76" s="4"/>
      <c r="AA76" s="21">
        <f t="shared" si="30"/>
        <v>1113</v>
      </c>
      <c r="AB76" s="6">
        <f t="shared" si="31"/>
        <v>0.20934411500449235</v>
      </c>
      <c r="AC76" s="4">
        <v>0</v>
      </c>
      <c r="AD76" s="4">
        <f t="shared" si="32"/>
        <v>897</v>
      </c>
      <c r="AE76" s="4">
        <f t="shared" si="33"/>
        <v>986.7</v>
      </c>
      <c r="AF76" s="6">
        <f t="shared" si="34"/>
        <v>0.10813823857302118</v>
      </c>
      <c r="AG76" s="7">
        <v>1180</v>
      </c>
      <c r="AH76" s="6">
        <f t="shared" si="35"/>
        <v>0.25423728813559321</v>
      </c>
      <c r="AI76" s="4">
        <f t="shared" si="36"/>
        <v>300</v>
      </c>
      <c r="AJ76" s="28"/>
      <c r="AK76" s="6"/>
      <c r="AL76" s="6"/>
      <c r="AM76" s="6" t="e">
        <f t="shared" si="37"/>
        <v>#DIV/0!</v>
      </c>
      <c r="AN76" s="6">
        <f t="shared" si="38"/>
        <v>1.1660079051383399</v>
      </c>
      <c r="AO76" s="6">
        <f t="shared" si="39"/>
        <v>1.1000000000000001</v>
      </c>
      <c r="AP76" s="4" t="str">
        <f t="shared" si="40"/>
        <v>-</v>
      </c>
      <c r="AQ76" s="4" t="str">
        <f t="shared" si="41"/>
        <v>-</v>
      </c>
      <c r="AR76" s="4" t="str">
        <f t="shared" si="42"/>
        <v>-</v>
      </c>
      <c r="AS76" s="4" t="str">
        <f t="shared" si="43"/>
        <v>-</v>
      </c>
      <c r="AT76" s="4" t="str">
        <f t="shared" si="44"/>
        <v>-</v>
      </c>
      <c r="AU76" s="4" t="str">
        <f t="shared" si="45"/>
        <v>-</v>
      </c>
      <c r="AV76" s="4">
        <v>0</v>
      </c>
      <c r="AW76" s="4" t="s">
        <v>643</v>
      </c>
      <c r="AX76" s="4"/>
      <c r="AY76" s="4"/>
      <c r="AZ76" s="4" t="s">
        <v>642</v>
      </c>
      <c r="BA76" s="4">
        <v>897</v>
      </c>
      <c r="BB76" s="4">
        <v>897</v>
      </c>
      <c r="BC76" s="4">
        <f t="shared" si="46"/>
        <v>897</v>
      </c>
      <c r="BD76" s="19">
        <v>4</v>
      </c>
      <c r="BE76" s="19">
        <v>8</v>
      </c>
      <c r="BF76" s="16">
        <v>3</v>
      </c>
      <c r="BG76" s="36">
        <v>46174</v>
      </c>
      <c r="BH76" t="s">
        <v>410</v>
      </c>
      <c r="BI76">
        <v>1480</v>
      </c>
      <c r="BJ76" s="4" t="s">
        <v>464</v>
      </c>
      <c r="BL76" s="44">
        <f t="shared" si="47"/>
        <v>6.6007905138339762E-2</v>
      </c>
      <c r="BM76" t="s">
        <v>792</v>
      </c>
    </row>
    <row r="77" spans="1:65" x14ac:dyDescent="0.4">
      <c r="A77" s="3">
        <v>78</v>
      </c>
      <c r="B77" s="3">
        <f t="shared" si="48"/>
        <v>74</v>
      </c>
      <c r="C77" s="4" t="s">
        <v>106</v>
      </c>
      <c r="D77" s="4" t="str">
        <f t="shared" si="49"/>
        <v>J682LN</v>
      </c>
      <c r="E77" s="4" t="s">
        <v>106</v>
      </c>
      <c r="F77" s="4" t="s">
        <v>256</v>
      </c>
      <c r="G77" s="5">
        <v>4977564591489</v>
      </c>
      <c r="H77" s="5">
        <v>5</v>
      </c>
      <c r="I77" s="5" t="str">
        <f t="shared" si="26"/>
        <v>J682LN5</v>
      </c>
      <c r="J77" s="5">
        <v>1</v>
      </c>
      <c r="K77" s="5">
        <v>1</v>
      </c>
      <c r="L77" s="4">
        <v>0</v>
      </c>
      <c r="M77" s="4">
        <v>1012</v>
      </c>
      <c r="N77" s="4">
        <v>800</v>
      </c>
      <c r="O77" s="6">
        <f t="shared" si="27"/>
        <v>0.20948616600790515</v>
      </c>
      <c r="P77" s="4" t="s">
        <v>410</v>
      </c>
      <c r="Q77" s="4" t="s">
        <v>410</v>
      </c>
      <c r="R77" s="4" t="s">
        <v>410</v>
      </c>
      <c r="S77" s="4" t="s">
        <v>410</v>
      </c>
      <c r="T77" s="4" t="s">
        <v>410</v>
      </c>
      <c r="U77" s="4" t="s">
        <v>410</v>
      </c>
      <c r="V77" s="4">
        <v>0</v>
      </c>
      <c r="W77" s="4">
        <f t="shared" si="28"/>
        <v>0</v>
      </c>
      <c r="X77" s="4">
        <v>880</v>
      </c>
      <c r="Y77" s="4">
        <f t="shared" si="29"/>
        <v>880</v>
      </c>
      <c r="Z77" s="4"/>
      <c r="AA77" s="21">
        <f t="shared" si="30"/>
        <v>1113</v>
      </c>
      <c r="AB77" s="6">
        <f t="shared" si="31"/>
        <v>0.20934411500449235</v>
      </c>
      <c r="AC77" s="4">
        <v>0</v>
      </c>
      <c r="AD77" s="4">
        <f t="shared" si="32"/>
        <v>897</v>
      </c>
      <c r="AE77" s="4">
        <f t="shared" si="33"/>
        <v>986.7</v>
      </c>
      <c r="AF77" s="6">
        <f t="shared" si="34"/>
        <v>0.10813823857302118</v>
      </c>
      <c r="AG77" s="7">
        <v>1180</v>
      </c>
      <c r="AH77" s="6">
        <f t="shared" si="35"/>
        <v>0.25423728813559321</v>
      </c>
      <c r="AI77" s="4">
        <f t="shared" si="36"/>
        <v>300</v>
      </c>
      <c r="AJ77" s="28"/>
      <c r="AK77" s="6"/>
      <c r="AL77" s="6"/>
      <c r="AM77" s="6" t="e">
        <f t="shared" si="37"/>
        <v>#DIV/0!</v>
      </c>
      <c r="AN77" s="6">
        <f t="shared" si="38"/>
        <v>1.1660079051383399</v>
      </c>
      <c r="AO77" s="6">
        <f t="shared" si="39"/>
        <v>1.1000000000000001</v>
      </c>
      <c r="AP77" s="4" t="str">
        <f t="shared" si="40"/>
        <v>-</v>
      </c>
      <c r="AQ77" s="4" t="str">
        <f t="shared" si="41"/>
        <v>-</v>
      </c>
      <c r="AR77" s="4" t="str">
        <f t="shared" si="42"/>
        <v>-</v>
      </c>
      <c r="AS77" s="4" t="str">
        <f t="shared" si="43"/>
        <v>-</v>
      </c>
      <c r="AT77" s="4" t="str">
        <f t="shared" si="44"/>
        <v>-</v>
      </c>
      <c r="AU77" s="4" t="str">
        <f t="shared" si="45"/>
        <v>-</v>
      </c>
      <c r="AV77" s="4">
        <v>0</v>
      </c>
      <c r="AW77" s="4" t="s">
        <v>644</v>
      </c>
      <c r="AX77" s="4"/>
      <c r="AY77" s="4"/>
      <c r="AZ77" s="4" t="s">
        <v>642</v>
      </c>
      <c r="BA77" s="4">
        <v>897</v>
      </c>
      <c r="BB77" s="4">
        <v>897</v>
      </c>
      <c r="BC77" s="4">
        <f t="shared" si="46"/>
        <v>897</v>
      </c>
      <c r="BD77" s="19">
        <v>4</v>
      </c>
      <c r="BE77" s="19">
        <v>8</v>
      </c>
      <c r="BF77" s="16">
        <v>3</v>
      </c>
      <c r="BG77" s="36">
        <v>46174</v>
      </c>
      <c r="BH77" t="s">
        <v>410</v>
      </c>
      <c r="BI77">
        <v>1480</v>
      </c>
      <c r="BJ77" s="4" t="s">
        <v>465</v>
      </c>
      <c r="BL77" s="44">
        <f t="shared" si="47"/>
        <v>6.6007905138339762E-2</v>
      </c>
      <c r="BM77" t="s">
        <v>792</v>
      </c>
    </row>
    <row r="78" spans="1:65" x14ac:dyDescent="0.4">
      <c r="A78" s="3">
        <v>79</v>
      </c>
      <c r="B78" s="3">
        <f t="shared" si="48"/>
        <v>75</v>
      </c>
      <c r="C78" s="4" t="s">
        <v>107</v>
      </c>
      <c r="D78" s="4" t="str">
        <f t="shared" si="49"/>
        <v>J683LN</v>
      </c>
      <c r="E78" s="4" t="s">
        <v>107</v>
      </c>
      <c r="F78" s="4" t="s">
        <v>257</v>
      </c>
      <c r="G78" s="5">
        <v>4977564591496</v>
      </c>
      <c r="H78" s="5">
        <v>5</v>
      </c>
      <c r="I78" s="5" t="str">
        <f t="shared" si="26"/>
        <v>J683LN5</v>
      </c>
      <c r="J78" s="5">
        <v>1</v>
      </c>
      <c r="K78" s="5">
        <v>1</v>
      </c>
      <c r="L78" s="4">
        <v>0</v>
      </c>
      <c r="M78" s="4">
        <v>1064</v>
      </c>
      <c r="N78" s="4">
        <v>800</v>
      </c>
      <c r="O78" s="6">
        <f t="shared" si="27"/>
        <v>0.24812030075187974</v>
      </c>
      <c r="P78" s="4" t="s">
        <v>410</v>
      </c>
      <c r="Q78" s="4" t="s">
        <v>410</v>
      </c>
      <c r="R78" s="4" t="s">
        <v>410</v>
      </c>
      <c r="S78" s="4" t="s">
        <v>410</v>
      </c>
      <c r="T78" s="4" t="s">
        <v>410</v>
      </c>
      <c r="U78" s="4" t="s">
        <v>410</v>
      </c>
      <c r="V78" s="4">
        <v>0</v>
      </c>
      <c r="W78" s="4">
        <f t="shared" si="28"/>
        <v>0</v>
      </c>
      <c r="X78" s="4">
        <v>880</v>
      </c>
      <c r="Y78" s="4">
        <f t="shared" si="29"/>
        <v>880</v>
      </c>
      <c r="Z78" s="4"/>
      <c r="AA78" s="21">
        <f t="shared" si="30"/>
        <v>1170</v>
      </c>
      <c r="AB78" s="6">
        <f t="shared" si="31"/>
        <v>0.24786324786324787</v>
      </c>
      <c r="AC78" s="4">
        <v>0</v>
      </c>
      <c r="AD78" s="4">
        <f t="shared" si="32"/>
        <v>1793</v>
      </c>
      <c r="AE78" s="4">
        <f t="shared" si="33"/>
        <v>1972.3000000000002</v>
      </c>
      <c r="AF78" s="6">
        <f t="shared" si="34"/>
        <v>0.55382041271611826</v>
      </c>
      <c r="AG78" s="7">
        <v>1180</v>
      </c>
      <c r="AH78" s="6">
        <f t="shared" si="35"/>
        <v>0.25423728813559321</v>
      </c>
      <c r="AI78" s="4">
        <f t="shared" si="36"/>
        <v>300</v>
      </c>
      <c r="AJ78" s="28"/>
      <c r="AK78" s="6"/>
      <c r="AL78" s="6"/>
      <c r="AM78" s="6" t="e">
        <f t="shared" si="37"/>
        <v>#DIV/0!</v>
      </c>
      <c r="AN78" s="6">
        <f t="shared" si="38"/>
        <v>1.1090225563909775</v>
      </c>
      <c r="AO78" s="6">
        <f t="shared" si="39"/>
        <v>1.1000000000000001</v>
      </c>
      <c r="AP78" s="4" t="str">
        <f t="shared" si="40"/>
        <v>-</v>
      </c>
      <c r="AQ78" s="4" t="str">
        <f t="shared" si="41"/>
        <v>-</v>
      </c>
      <c r="AR78" s="4" t="str">
        <f t="shared" si="42"/>
        <v>-</v>
      </c>
      <c r="AS78" s="4" t="str">
        <f t="shared" si="43"/>
        <v>-</v>
      </c>
      <c r="AT78" s="4" t="str">
        <f t="shared" si="44"/>
        <v>-</v>
      </c>
      <c r="AU78" s="4" t="str">
        <f t="shared" si="45"/>
        <v>-</v>
      </c>
      <c r="AV78" s="4">
        <v>0</v>
      </c>
      <c r="AW78" s="4" t="s">
        <v>645</v>
      </c>
      <c r="AX78" s="4"/>
      <c r="AY78" s="4"/>
      <c r="AZ78" s="4" t="s">
        <v>642</v>
      </c>
      <c r="BA78" s="4">
        <v>1793</v>
      </c>
      <c r="BB78" s="4">
        <v>1793</v>
      </c>
      <c r="BC78" s="4">
        <f t="shared" si="46"/>
        <v>1793</v>
      </c>
      <c r="BD78" s="19">
        <v>4</v>
      </c>
      <c r="BE78" s="19">
        <v>8</v>
      </c>
      <c r="BF78" s="16">
        <v>3</v>
      </c>
      <c r="BG78" s="36">
        <v>46174</v>
      </c>
      <c r="BH78" t="s">
        <v>410</v>
      </c>
      <c r="BI78">
        <v>1480</v>
      </c>
      <c r="BJ78" s="4" t="s">
        <v>466</v>
      </c>
      <c r="BL78" s="44">
        <f t="shared" si="47"/>
        <v>9.0225563909773765E-3</v>
      </c>
      <c r="BM78" t="s">
        <v>792</v>
      </c>
    </row>
    <row r="79" spans="1:65" x14ac:dyDescent="0.4">
      <c r="A79" s="3">
        <v>80</v>
      </c>
      <c r="B79" s="3">
        <f t="shared" si="48"/>
        <v>76</v>
      </c>
      <c r="C79" s="4" t="s">
        <v>108</v>
      </c>
      <c r="D79" s="4" t="str">
        <f t="shared" si="49"/>
        <v>J684LN</v>
      </c>
      <c r="E79" s="4" t="s">
        <v>108</v>
      </c>
      <c r="F79" s="4" t="s">
        <v>258</v>
      </c>
      <c r="G79" s="5">
        <v>4977564591502</v>
      </c>
      <c r="H79" s="5">
        <v>5</v>
      </c>
      <c r="I79" s="5" t="str">
        <f t="shared" si="26"/>
        <v>J684LN5</v>
      </c>
      <c r="J79" s="5">
        <v>1</v>
      </c>
      <c r="K79" s="5">
        <v>1</v>
      </c>
      <c r="L79" s="4">
        <v>0</v>
      </c>
      <c r="M79" s="4">
        <v>1012</v>
      </c>
      <c r="N79" s="4">
        <v>800</v>
      </c>
      <c r="O79" s="6">
        <f t="shared" si="27"/>
        <v>0.20948616600790515</v>
      </c>
      <c r="P79" s="4" t="s">
        <v>410</v>
      </c>
      <c r="Q79" s="4" t="s">
        <v>410</v>
      </c>
      <c r="R79" s="4" t="s">
        <v>410</v>
      </c>
      <c r="S79" s="4" t="s">
        <v>410</v>
      </c>
      <c r="T79" s="4" t="s">
        <v>410</v>
      </c>
      <c r="U79" s="4" t="s">
        <v>410</v>
      </c>
      <c r="V79" s="4">
        <v>0</v>
      </c>
      <c r="W79" s="4">
        <f t="shared" si="28"/>
        <v>0</v>
      </c>
      <c r="X79" s="4">
        <v>880</v>
      </c>
      <c r="Y79" s="4">
        <f t="shared" si="29"/>
        <v>880</v>
      </c>
      <c r="Z79" s="4"/>
      <c r="AA79" s="21">
        <f t="shared" si="30"/>
        <v>1113</v>
      </c>
      <c r="AB79" s="6">
        <f t="shared" si="31"/>
        <v>0.20934411500449235</v>
      </c>
      <c r="AC79" s="4">
        <v>0</v>
      </c>
      <c r="AD79" s="4">
        <f t="shared" si="32"/>
        <v>897</v>
      </c>
      <c r="AE79" s="4">
        <f t="shared" si="33"/>
        <v>986.7</v>
      </c>
      <c r="AF79" s="6">
        <f t="shared" si="34"/>
        <v>0.10813823857302118</v>
      </c>
      <c r="AG79" s="7">
        <v>1180</v>
      </c>
      <c r="AH79" s="6">
        <f t="shared" si="35"/>
        <v>0.25423728813559321</v>
      </c>
      <c r="AI79" s="4">
        <f t="shared" si="36"/>
        <v>300</v>
      </c>
      <c r="AJ79" s="28"/>
      <c r="AK79" s="6"/>
      <c r="AL79" s="6"/>
      <c r="AM79" s="6" t="e">
        <f t="shared" si="37"/>
        <v>#DIV/0!</v>
      </c>
      <c r="AN79" s="6">
        <f t="shared" si="38"/>
        <v>1.1660079051383399</v>
      </c>
      <c r="AO79" s="6">
        <f t="shared" si="39"/>
        <v>1.1000000000000001</v>
      </c>
      <c r="AP79" s="4" t="str">
        <f t="shared" si="40"/>
        <v>-</v>
      </c>
      <c r="AQ79" s="4" t="str">
        <f t="shared" si="41"/>
        <v>-</v>
      </c>
      <c r="AR79" s="4" t="str">
        <f t="shared" si="42"/>
        <v>-</v>
      </c>
      <c r="AS79" s="4" t="str">
        <f t="shared" si="43"/>
        <v>-</v>
      </c>
      <c r="AT79" s="4" t="str">
        <f t="shared" si="44"/>
        <v>-</v>
      </c>
      <c r="AU79" s="4" t="str">
        <f t="shared" si="45"/>
        <v>-</v>
      </c>
      <c r="AV79" s="4">
        <v>0</v>
      </c>
      <c r="AW79" s="4" t="s">
        <v>646</v>
      </c>
      <c r="AX79" s="4"/>
      <c r="AY79" s="4"/>
      <c r="AZ79" s="4" t="s">
        <v>642</v>
      </c>
      <c r="BA79" s="4">
        <v>897</v>
      </c>
      <c r="BB79" s="4">
        <v>897</v>
      </c>
      <c r="BC79" s="4">
        <f t="shared" si="46"/>
        <v>897</v>
      </c>
      <c r="BD79" s="19">
        <v>4</v>
      </c>
      <c r="BE79" s="19">
        <v>8</v>
      </c>
      <c r="BF79" s="16">
        <v>3</v>
      </c>
      <c r="BG79" s="36">
        <v>46174</v>
      </c>
      <c r="BH79" t="s">
        <v>410</v>
      </c>
      <c r="BI79">
        <v>1480</v>
      </c>
      <c r="BJ79" s="4" t="s">
        <v>467</v>
      </c>
      <c r="BL79" s="44">
        <f t="shared" si="47"/>
        <v>6.6007905138339762E-2</v>
      </c>
      <c r="BM79" t="s">
        <v>792</v>
      </c>
    </row>
    <row r="80" spans="1:65" x14ac:dyDescent="0.4">
      <c r="A80" s="3">
        <v>81</v>
      </c>
      <c r="B80" s="3">
        <f t="shared" si="48"/>
        <v>77</v>
      </c>
      <c r="C80" s="4" t="s">
        <v>109</v>
      </c>
      <c r="D80" s="4" t="str">
        <f t="shared" si="49"/>
        <v>J685LN</v>
      </c>
      <c r="E80" s="4" t="s">
        <v>109</v>
      </c>
      <c r="F80" s="4" t="s">
        <v>259</v>
      </c>
      <c r="G80" s="5">
        <v>4977564591519</v>
      </c>
      <c r="H80" s="5">
        <v>5</v>
      </c>
      <c r="I80" s="5" t="str">
        <f t="shared" si="26"/>
        <v>J685LN5</v>
      </c>
      <c r="J80" s="5">
        <v>1</v>
      </c>
      <c r="K80" s="5">
        <v>1</v>
      </c>
      <c r="L80" s="4">
        <v>0</v>
      </c>
      <c r="M80" s="4">
        <v>1142</v>
      </c>
      <c r="N80" s="4">
        <v>800</v>
      </c>
      <c r="O80" s="6">
        <f t="shared" si="27"/>
        <v>0.29947460595446584</v>
      </c>
      <c r="P80" s="4" t="s">
        <v>410</v>
      </c>
      <c r="Q80" s="4" t="s">
        <v>410</v>
      </c>
      <c r="R80" s="4" t="s">
        <v>410</v>
      </c>
      <c r="S80" s="4" t="s">
        <v>410</v>
      </c>
      <c r="T80" s="4" t="s">
        <v>410</v>
      </c>
      <c r="U80" s="4" t="s">
        <v>410</v>
      </c>
      <c r="V80" s="4">
        <v>0</v>
      </c>
      <c r="W80" s="4">
        <f t="shared" si="28"/>
        <v>0</v>
      </c>
      <c r="X80" s="4">
        <v>880</v>
      </c>
      <c r="Y80" s="4">
        <f t="shared" si="29"/>
        <v>880</v>
      </c>
      <c r="Z80" s="4"/>
      <c r="AA80" s="21">
        <f t="shared" si="30"/>
        <v>1256</v>
      </c>
      <c r="AB80" s="6">
        <f t="shared" si="31"/>
        <v>0.29936305732484081</v>
      </c>
      <c r="AC80" s="4">
        <v>0</v>
      </c>
      <c r="AD80" s="4">
        <f t="shared" si="32"/>
        <v>897</v>
      </c>
      <c r="AE80" s="4">
        <f t="shared" si="33"/>
        <v>986.7</v>
      </c>
      <c r="AF80" s="6">
        <f t="shared" si="34"/>
        <v>0.10813823857302118</v>
      </c>
      <c r="AG80" s="7">
        <v>1180</v>
      </c>
      <c r="AH80" s="6">
        <f t="shared" si="35"/>
        <v>0.25423728813559321</v>
      </c>
      <c r="AI80" s="4">
        <f t="shared" si="36"/>
        <v>300</v>
      </c>
      <c r="AJ80" s="28"/>
      <c r="AK80" s="6"/>
      <c r="AL80" s="6"/>
      <c r="AM80" s="6" t="e">
        <f t="shared" si="37"/>
        <v>#DIV/0!</v>
      </c>
      <c r="AN80" s="6">
        <f t="shared" si="38"/>
        <v>1.0332749562171628</v>
      </c>
      <c r="AO80" s="6">
        <f t="shared" si="39"/>
        <v>1.1000000000000001</v>
      </c>
      <c r="AP80" s="4" t="str">
        <f t="shared" si="40"/>
        <v>-</v>
      </c>
      <c r="AQ80" s="4" t="str">
        <f t="shared" si="41"/>
        <v>-</v>
      </c>
      <c r="AR80" s="4" t="str">
        <f t="shared" si="42"/>
        <v>-</v>
      </c>
      <c r="AS80" s="4" t="str">
        <f t="shared" si="43"/>
        <v>-</v>
      </c>
      <c r="AT80" s="4" t="str">
        <f t="shared" si="44"/>
        <v>-</v>
      </c>
      <c r="AU80" s="4" t="str">
        <f t="shared" si="45"/>
        <v>-</v>
      </c>
      <c r="AV80" s="4">
        <v>0</v>
      </c>
      <c r="AW80" s="4" t="s">
        <v>647</v>
      </c>
      <c r="AX80" s="4"/>
      <c r="AY80" s="4"/>
      <c r="AZ80" s="4" t="s">
        <v>642</v>
      </c>
      <c r="BA80" s="4">
        <v>897</v>
      </c>
      <c r="BB80" s="4">
        <v>897</v>
      </c>
      <c r="BC80" s="4">
        <f t="shared" si="46"/>
        <v>897</v>
      </c>
      <c r="BD80" s="19">
        <v>4</v>
      </c>
      <c r="BE80" s="19">
        <v>8</v>
      </c>
      <c r="BF80" s="16">
        <v>3</v>
      </c>
      <c r="BG80" s="36">
        <v>46174</v>
      </c>
      <c r="BH80" t="s">
        <v>410</v>
      </c>
      <c r="BI80">
        <v>328</v>
      </c>
      <c r="BJ80" s="4" t="s">
        <v>468</v>
      </c>
      <c r="BL80" s="44">
        <f t="shared" si="47"/>
        <v>-6.6725043782837279E-2</v>
      </c>
      <c r="BM80" t="s">
        <v>792</v>
      </c>
    </row>
    <row r="81" spans="1:65" x14ac:dyDescent="0.4">
      <c r="A81" s="3">
        <v>82</v>
      </c>
      <c r="B81" s="3">
        <f t="shared" si="48"/>
        <v>78</v>
      </c>
      <c r="C81" s="4" t="s">
        <v>110</v>
      </c>
      <c r="D81" s="4" t="str">
        <f t="shared" si="49"/>
        <v>J686LN</v>
      </c>
      <c r="E81" s="4" t="s">
        <v>110</v>
      </c>
      <c r="F81" s="4" t="s">
        <v>260</v>
      </c>
      <c r="G81" s="5">
        <v>4977564591526</v>
      </c>
      <c r="H81" s="5">
        <v>5</v>
      </c>
      <c r="I81" s="5" t="str">
        <f t="shared" si="26"/>
        <v>J686LN5</v>
      </c>
      <c r="J81" s="5">
        <v>1</v>
      </c>
      <c r="K81" s="5">
        <v>1</v>
      </c>
      <c r="L81" s="4">
        <v>0</v>
      </c>
      <c r="M81" s="4">
        <v>1012</v>
      </c>
      <c r="N81" s="4">
        <v>800</v>
      </c>
      <c r="O81" s="6">
        <f t="shared" si="27"/>
        <v>0.20948616600790515</v>
      </c>
      <c r="P81" s="4" t="s">
        <v>410</v>
      </c>
      <c r="Q81" s="4" t="s">
        <v>410</v>
      </c>
      <c r="R81" s="4" t="s">
        <v>410</v>
      </c>
      <c r="S81" s="4" t="s">
        <v>410</v>
      </c>
      <c r="T81" s="4" t="s">
        <v>410</v>
      </c>
      <c r="U81" s="4" t="s">
        <v>410</v>
      </c>
      <c r="V81" s="4">
        <v>0</v>
      </c>
      <c r="W81" s="4">
        <f t="shared" si="28"/>
        <v>0</v>
      </c>
      <c r="X81" s="4">
        <v>880</v>
      </c>
      <c r="Y81" s="4">
        <f t="shared" si="29"/>
        <v>880</v>
      </c>
      <c r="Z81" s="4"/>
      <c r="AA81" s="21">
        <f t="shared" si="30"/>
        <v>1113</v>
      </c>
      <c r="AB81" s="6">
        <f t="shared" si="31"/>
        <v>0.20934411500449235</v>
      </c>
      <c r="AC81" s="4">
        <v>0.5</v>
      </c>
      <c r="AD81" s="4">
        <f t="shared" si="32"/>
        <v>1271</v>
      </c>
      <c r="AE81" s="4">
        <f t="shared" si="33"/>
        <v>1398.1000000000001</v>
      </c>
      <c r="AF81" s="6">
        <f t="shared" si="34"/>
        <v>0.3705743509047994</v>
      </c>
      <c r="AG81" s="7">
        <v>1180</v>
      </c>
      <c r="AH81" s="6">
        <f t="shared" si="35"/>
        <v>0.25423728813559321</v>
      </c>
      <c r="AI81" s="4">
        <f t="shared" si="36"/>
        <v>300</v>
      </c>
      <c r="AJ81" s="28"/>
      <c r="AK81" s="6"/>
      <c r="AL81" s="6"/>
      <c r="AM81" s="6" t="e">
        <f t="shared" si="37"/>
        <v>#DIV/0!</v>
      </c>
      <c r="AN81" s="6">
        <f t="shared" si="38"/>
        <v>1.1660079051383399</v>
      </c>
      <c r="AO81" s="6">
        <f t="shared" si="39"/>
        <v>1.1000000000000001</v>
      </c>
      <c r="AP81" s="4" t="str">
        <f t="shared" si="40"/>
        <v>-</v>
      </c>
      <c r="AQ81" s="4" t="str">
        <f t="shared" si="41"/>
        <v>-</v>
      </c>
      <c r="AR81" s="4" t="str">
        <f t="shared" si="42"/>
        <v>-</v>
      </c>
      <c r="AS81" s="4" t="str">
        <f t="shared" si="43"/>
        <v>-</v>
      </c>
      <c r="AT81" s="4" t="str">
        <f t="shared" si="44"/>
        <v>-</v>
      </c>
      <c r="AU81" s="4" t="str">
        <f t="shared" si="45"/>
        <v>-</v>
      </c>
      <c r="AV81" s="4">
        <v>0</v>
      </c>
      <c r="AW81" s="4" t="s">
        <v>648</v>
      </c>
      <c r="AX81" s="4"/>
      <c r="AY81" s="4"/>
      <c r="AZ81" s="4" t="s">
        <v>649</v>
      </c>
      <c r="BA81" s="4">
        <v>1271</v>
      </c>
      <c r="BB81" s="4">
        <v>1271</v>
      </c>
      <c r="BC81" s="4">
        <f t="shared" si="46"/>
        <v>1271</v>
      </c>
      <c r="BD81" s="19">
        <v>4</v>
      </c>
      <c r="BE81" s="19">
        <v>8</v>
      </c>
      <c r="BF81" s="16">
        <v>3</v>
      </c>
      <c r="BG81" s="36">
        <v>46174</v>
      </c>
      <c r="BH81" t="s">
        <v>410</v>
      </c>
      <c r="BI81">
        <v>1480</v>
      </c>
      <c r="BJ81" s="4" t="s">
        <v>469</v>
      </c>
      <c r="BL81" s="44">
        <f t="shared" si="47"/>
        <v>6.6007905138339762E-2</v>
      </c>
      <c r="BM81" t="s">
        <v>792</v>
      </c>
    </row>
    <row r="82" spans="1:65" x14ac:dyDescent="0.4">
      <c r="A82" s="3">
        <v>83</v>
      </c>
      <c r="B82" s="3">
        <f t="shared" si="48"/>
        <v>79</v>
      </c>
      <c r="C82" s="33">
        <v>103810</v>
      </c>
      <c r="D82" s="4" t="str">
        <f t="shared" si="49"/>
        <v>103810</v>
      </c>
      <c r="E82" s="4">
        <v>103810</v>
      </c>
      <c r="F82" s="4" t="s">
        <v>261</v>
      </c>
      <c r="G82" s="5">
        <v>4977564705411</v>
      </c>
      <c r="H82" s="5">
        <v>5</v>
      </c>
      <c r="I82" s="5" t="str">
        <f t="shared" si="26"/>
        <v>1038105</v>
      </c>
      <c r="J82" s="5">
        <v>2</v>
      </c>
      <c r="K82" s="5">
        <v>2</v>
      </c>
      <c r="L82" s="4">
        <v>0</v>
      </c>
      <c r="M82" s="4">
        <v>205</v>
      </c>
      <c r="N82" s="4">
        <v>135</v>
      </c>
      <c r="O82" s="6">
        <f t="shared" si="27"/>
        <v>0.34146341463414631</v>
      </c>
      <c r="P82" s="4" t="s">
        <v>410</v>
      </c>
      <c r="Q82" s="4" t="s">
        <v>410</v>
      </c>
      <c r="R82" s="4" t="s">
        <v>410</v>
      </c>
      <c r="S82" s="4" t="s">
        <v>410</v>
      </c>
      <c r="T82" s="4" t="s">
        <v>410</v>
      </c>
      <c r="U82" s="4" t="s">
        <v>410</v>
      </c>
      <c r="V82" s="4">
        <v>0</v>
      </c>
      <c r="W82" s="4">
        <f t="shared" si="28"/>
        <v>0</v>
      </c>
      <c r="X82" s="4">
        <v>150</v>
      </c>
      <c r="Y82" s="4">
        <f t="shared" si="29"/>
        <v>150</v>
      </c>
      <c r="Z82" s="4"/>
      <c r="AA82" s="21">
        <f t="shared" si="30"/>
        <v>228</v>
      </c>
      <c r="AB82" s="6">
        <f t="shared" si="31"/>
        <v>0.34210526315789469</v>
      </c>
      <c r="AC82" s="4">
        <v>6.5</v>
      </c>
      <c r="AD82" s="4">
        <f t="shared" si="32"/>
        <v>257</v>
      </c>
      <c r="AE82" s="4">
        <f t="shared" si="33"/>
        <v>285.55555555555554</v>
      </c>
      <c r="AF82" s="6">
        <f t="shared" si="34"/>
        <v>0.47470817120622566</v>
      </c>
      <c r="AG82" s="7">
        <v>238</v>
      </c>
      <c r="AH82" s="6">
        <f t="shared" si="35"/>
        <v>0.36974789915966388</v>
      </c>
      <c r="AI82" s="4">
        <f t="shared" si="36"/>
        <v>88</v>
      </c>
      <c r="AJ82" s="28"/>
      <c r="AK82" s="6"/>
      <c r="AL82" s="6"/>
      <c r="AM82" s="6" t="e">
        <f t="shared" si="37"/>
        <v>#DIV/0!</v>
      </c>
      <c r="AN82" s="6">
        <f t="shared" si="38"/>
        <v>1.1609756097560975</v>
      </c>
      <c r="AO82" s="6">
        <f t="shared" si="39"/>
        <v>1.1111111111111112</v>
      </c>
      <c r="AP82" s="4" t="str">
        <f t="shared" si="40"/>
        <v>-</v>
      </c>
      <c r="AQ82" s="4" t="str">
        <f t="shared" si="41"/>
        <v>-</v>
      </c>
      <c r="AR82" s="4" t="str">
        <f t="shared" si="42"/>
        <v>-</v>
      </c>
      <c r="AS82" s="4" t="str">
        <f t="shared" si="43"/>
        <v>-</v>
      </c>
      <c r="AT82" s="4" t="str">
        <f t="shared" si="44"/>
        <v>-</v>
      </c>
      <c r="AU82" s="4" t="str">
        <f t="shared" si="45"/>
        <v>-</v>
      </c>
      <c r="AV82" s="4">
        <v>0</v>
      </c>
      <c r="AW82" s="4" t="s">
        <v>650</v>
      </c>
      <c r="AX82" s="4"/>
      <c r="AY82" s="4"/>
      <c r="AZ82" s="4" t="s">
        <v>616</v>
      </c>
      <c r="BA82" s="4">
        <v>257</v>
      </c>
      <c r="BB82" s="4">
        <v>257</v>
      </c>
      <c r="BC82" s="4">
        <f t="shared" si="46"/>
        <v>257</v>
      </c>
      <c r="BD82" s="19">
        <v>4</v>
      </c>
      <c r="BE82" s="19">
        <v>8</v>
      </c>
      <c r="BF82" s="16">
        <v>3</v>
      </c>
      <c r="BG82" s="36">
        <v>46174</v>
      </c>
      <c r="BH82" t="s">
        <v>410</v>
      </c>
      <c r="BI82">
        <v>248</v>
      </c>
      <c r="BJ82" s="4" t="s">
        <v>470</v>
      </c>
      <c r="BL82" s="44">
        <f t="shared" si="47"/>
        <v>4.9864498644986321E-2</v>
      </c>
      <c r="BM82" t="s">
        <v>792</v>
      </c>
    </row>
    <row r="83" spans="1:65" x14ac:dyDescent="0.4">
      <c r="A83" s="3">
        <v>215</v>
      </c>
      <c r="B83" s="3">
        <f t="shared" si="48"/>
        <v>80</v>
      </c>
      <c r="C83" s="33">
        <v>103810</v>
      </c>
      <c r="D83" s="4" t="s">
        <v>111</v>
      </c>
      <c r="E83" s="4">
        <v>104040</v>
      </c>
      <c r="F83" s="4" t="s">
        <v>380</v>
      </c>
      <c r="G83" s="5">
        <v>4977564705411</v>
      </c>
      <c r="H83" s="5">
        <v>8</v>
      </c>
      <c r="I83" s="5" t="str">
        <f t="shared" si="26"/>
        <v>1038108</v>
      </c>
      <c r="J83" s="5"/>
      <c r="K83" s="5"/>
      <c r="L83" s="4">
        <v>0</v>
      </c>
      <c r="M83" s="4">
        <v>1924</v>
      </c>
      <c r="N83" s="4">
        <v>1350</v>
      </c>
      <c r="O83" s="6">
        <f t="shared" si="27"/>
        <v>0.29833679833679838</v>
      </c>
      <c r="P83" s="4" t="s">
        <v>410</v>
      </c>
      <c r="Q83" s="4" t="s">
        <v>410</v>
      </c>
      <c r="R83" s="4" t="s">
        <v>410</v>
      </c>
      <c r="S83" s="4" t="s">
        <v>410</v>
      </c>
      <c r="T83" s="4" t="s">
        <v>410</v>
      </c>
      <c r="U83" s="4" t="s">
        <v>410</v>
      </c>
      <c r="V83" s="4">
        <v>0</v>
      </c>
      <c r="W83" s="4">
        <f t="shared" si="28"/>
        <v>0</v>
      </c>
      <c r="X83" s="4">
        <v>150</v>
      </c>
      <c r="Y83" s="4">
        <f t="shared" si="29"/>
        <v>1500</v>
      </c>
      <c r="Z83" s="4">
        <v>10</v>
      </c>
      <c r="AA83" s="21">
        <f t="shared" si="30"/>
        <v>2138</v>
      </c>
      <c r="AB83" s="6">
        <f t="shared" si="31"/>
        <v>0.29840972871842841</v>
      </c>
      <c r="AC83" s="4">
        <v>6.5</v>
      </c>
      <c r="AD83" s="4">
        <f t="shared" si="32"/>
        <v>22910</v>
      </c>
      <c r="AE83" s="4">
        <f t="shared" si="33"/>
        <v>25455.555555555558</v>
      </c>
      <c r="AF83" s="6">
        <f t="shared" si="34"/>
        <v>0.94107376691401134</v>
      </c>
      <c r="AG83" s="7">
        <v>2180</v>
      </c>
      <c r="AH83" s="6">
        <f t="shared" si="35"/>
        <v>0.31192660550458717</v>
      </c>
      <c r="AI83" s="4">
        <f t="shared" si="36"/>
        <v>680</v>
      </c>
      <c r="AJ83" s="28"/>
      <c r="AK83" s="6"/>
      <c r="AL83" s="6"/>
      <c r="AM83" s="6" t="e">
        <f t="shared" si="37"/>
        <v>#DIV/0!</v>
      </c>
      <c r="AN83" s="6">
        <f t="shared" si="38"/>
        <v>1.1330561330561331</v>
      </c>
      <c r="AO83" s="6">
        <f t="shared" si="39"/>
        <v>1.1111111111111112</v>
      </c>
      <c r="AP83" s="4" t="str">
        <f t="shared" si="40"/>
        <v>-</v>
      </c>
      <c r="AQ83" s="4" t="str">
        <f t="shared" si="41"/>
        <v>-</v>
      </c>
      <c r="AR83" s="4" t="str">
        <f t="shared" si="42"/>
        <v>-</v>
      </c>
      <c r="AS83" s="4" t="str">
        <f t="shared" si="43"/>
        <v>-</v>
      </c>
      <c r="AT83" s="4" t="str">
        <f t="shared" si="44"/>
        <v>-</v>
      </c>
      <c r="AU83" s="4" t="str">
        <f t="shared" si="45"/>
        <v>-</v>
      </c>
      <c r="AV83" s="4">
        <v>0</v>
      </c>
      <c r="AW83" s="4" t="s">
        <v>766</v>
      </c>
      <c r="AX83" s="4"/>
      <c r="AY83" s="4"/>
      <c r="AZ83" s="4" t="s">
        <v>759</v>
      </c>
      <c r="BA83" s="4">
        <v>22910</v>
      </c>
      <c r="BB83" s="4">
        <v>22910</v>
      </c>
      <c r="BC83" s="4">
        <f t="shared" si="46"/>
        <v>22910</v>
      </c>
      <c r="BD83" s="19">
        <v>4</v>
      </c>
      <c r="BE83" s="19">
        <v>8</v>
      </c>
      <c r="BF83" s="16">
        <v>3</v>
      </c>
      <c r="BG83" s="36">
        <v>46174</v>
      </c>
      <c r="BH83" t="s">
        <v>410</v>
      </c>
      <c r="BI83">
        <v>248</v>
      </c>
      <c r="BJ83" s="4" t="s">
        <v>565</v>
      </c>
      <c r="BK83">
        <v>2</v>
      </c>
      <c r="BL83" s="44">
        <f t="shared" si="47"/>
        <v>2.1945021945021903E-2</v>
      </c>
      <c r="BM83" t="s">
        <v>792</v>
      </c>
    </row>
    <row r="84" spans="1:65" x14ac:dyDescent="0.4">
      <c r="A84" s="3">
        <v>84</v>
      </c>
      <c r="B84" s="3">
        <f t="shared" si="48"/>
        <v>81</v>
      </c>
      <c r="C84" s="33">
        <v>103811</v>
      </c>
      <c r="D84" s="4" t="str">
        <f>TEXT(C84,"000000")</f>
        <v>103811</v>
      </c>
      <c r="E84" s="4">
        <v>103811</v>
      </c>
      <c r="F84" s="4" t="s">
        <v>262</v>
      </c>
      <c r="G84" s="5">
        <v>4977564705459</v>
      </c>
      <c r="H84" s="5">
        <v>5</v>
      </c>
      <c r="I84" s="5" t="str">
        <f t="shared" si="26"/>
        <v>1038115</v>
      </c>
      <c r="J84" s="5">
        <v>2</v>
      </c>
      <c r="K84" s="5">
        <v>2</v>
      </c>
      <c r="L84" s="4">
        <v>0</v>
      </c>
      <c r="M84" s="4">
        <v>205</v>
      </c>
      <c r="N84" s="4">
        <v>135</v>
      </c>
      <c r="O84" s="6">
        <f t="shared" si="27"/>
        <v>0.34146341463414631</v>
      </c>
      <c r="P84" s="4" t="s">
        <v>410</v>
      </c>
      <c r="Q84" s="4" t="s">
        <v>410</v>
      </c>
      <c r="R84" s="4" t="s">
        <v>410</v>
      </c>
      <c r="S84" s="4" t="s">
        <v>410</v>
      </c>
      <c r="T84" s="4" t="s">
        <v>410</v>
      </c>
      <c r="U84" s="4" t="s">
        <v>410</v>
      </c>
      <c r="V84" s="4">
        <v>0</v>
      </c>
      <c r="W84" s="4">
        <f t="shared" si="28"/>
        <v>0</v>
      </c>
      <c r="X84" s="4">
        <v>150</v>
      </c>
      <c r="Y84" s="4">
        <f t="shared" si="29"/>
        <v>150</v>
      </c>
      <c r="Z84" s="4"/>
      <c r="AA84" s="21">
        <f t="shared" si="30"/>
        <v>228</v>
      </c>
      <c r="AB84" s="6">
        <f t="shared" si="31"/>
        <v>0.34210526315789469</v>
      </c>
      <c r="AC84" s="4">
        <v>7.5</v>
      </c>
      <c r="AD84" s="4">
        <f t="shared" si="32"/>
        <v>257</v>
      </c>
      <c r="AE84" s="4">
        <f t="shared" si="33"/>
        <v>285.55555555555554</v>
      </c>
      <c r="AF84" s="6">
        <f t="shared" si="34"/>
        <v>0.47470817120622566</v>
      </c>
      <c r="AG84" s="7">
        <v>238</v>
      </c>
      <c r="AH84" s="6">
        <f t="shared" si="35"/>
        <v>0.36974789915966388</v>
      </c>
      <c r="AI84" s="4">
        <f t="shared" si="36"/>
        <v>88</v>
      </c>
      <c r="AJ84" s="28"/>
      <c r="AK84" s="6"/>
      <c r="AL84" s="6"/>
      <c r="AM84" s="6" t="e">
        <f t="shared" si="37"/>
        <v>#DIV/0!</v>
      </c>
      <c r="AN84" s="6">
        <f t="shared" si="38"/>
        <v>1.1609756097560975</v>
      </c>
      <c r="AO84" s="6">
        <f t="shared" si="39"/>
        <v>1.1111111111111112</v>
      </c>
      <c r="AP84" s="4" t="str">
        <f t="shared" si="40"/>
        <v>-</v>
      </c>
      <c r="AQ84" s="4" t="str">
        <f t="shared" si="41"/>
        <v>-</v>
      </c>
      <c r="AR84" s="4" t="str">
        <f t="shared" si="42"/>
        <v>-</v>
      </c>
      <c r="AS84" s="4" t="str">
        <f t="shared" si="43"/>
        <v>-</v>
      </c>
      <c r="AT84" s="4" t="str">
        <f t="shared" si="44"/>
        <v>-</v>
      </c>
      <c r="AU84" s="4" t="str">
        <f t="shared" si="45"/>
        <v>-</v>
      </c>
      <c r="AV84" s="4">
        <v>0</v>
      </c>
      <c r="AW84" s="4" t="s">
        <v>651</v>
      </c>
      <c r="AX84" s="4"/>
      <c r="AY84" s="4"/>
      <c r="AZ84" s="4" t="s">
        <v>616</v>
      </c>
      <c r="BA84" s="4">
        <v>257</v>
      </c>
      <c r="BB84" s="4">
        <v>257</v>
      </c>
      <c r="BC84" s="4">
        <f t="shared" si="46"/>
        <v>257</v>
      </c>
      <c r="BD84" s="19">
        <v>4</v>
      </c>
      <c r="BE84" s="19">
        <v>8</v>
      </c>
      <c r="BF84" s="16">
        <v>3</v>
      </c>
      <c r="BG84" s="36">
        <v>46174</v>
      </c>
      <c r="BH84" t="s">
        <v>410</v>
      </c>
      <c r="BI84">
        <v>248</v>
      </c>
      <c r="BJ84" s="4" t="s">
        <v>471</v>
      </c>
      <c r="BL84" s="44">
        <f t="shared" si="47"/>
        <v>4.9864498644986321E-2</v>
      </c>
      <c r="BM84" t="s">
        <v>792</v>
      </c>
    </row>
    <row r="85" spans="1:65" x14ac:dyDescent="0.4">
      <c r="A85" s="3">
        <v>216</v>
      </c>
      <c r="B85" s="3">
        <f t="shared" si="48"/>
        <v>82</v>
      </c>
      <c r="C85" s="33">
        <v>103811</v>
      </c>
      <c r="D85" s="4" t="s">
        <v>112</v>
      </c>
      <c r="E85" s="4">
        <v>104041</v>
      </c>
      <c r="F85" s="4" t="s">
        <v>381</v>
      </c>
      <c r="G85" s="5">
        <v>4977564705459</v>
      </c>
      <c r="H85" s="5">
        <v>8</v>
      </c>
      <c r="I85" s="5" t="str">
        <f t="shared" si="26"/>
        <v>1038118</v>
      </c>
      <c r="J85" s="5"/>
      <c r="K85" s="5"/>
      <c r="L85" s="4">
        <v>0</v>
      </c>
      <c r="M85" s="4">
        <v>1924</v>
      </c>
      <c r="N85" s="4">
        <v>1350</v>
      </c>
      <c r="O85" s="6">
        <f t="shared" si="27"/>
        <v>0.29833679833679838</v>
      </c>
      <c r="P85" s="4" t="s">
        <v>410</v>
      </c>
      <c r="Q85" s="4" t="s">
        <v>410</v>
      </c>
      <c r="R85" s="4" t="s">
        <v>410</v>
      </c>
      <c r="S85" s="4" t="s">
        <v>410</v>
      </c>
      <c r="T85" s="4" t="s">
        <v>410</v>
      </c>
      <c r="U85" s="4" t="s">
        <v>410</v>
      </c>
      <c r="V85" s="4">
        <v>0</v>
      </c>
      <c r="W85" s="4">
        <f t="shared" si="28"/>
        <v>0</v>
      </c>
      <c r="X85" s="4">
        <v>150</v>
      </c>
      <c r="Y85" s="4">
        <f t="shared" si="29"/>
        <v>1500</v>
      </c>
      <c r="Z85" s="4">
        <v>10</v>
      </c>
      <c r="AA85" s="21">
        <f t="shared" si="30"/>
        <v>2138</v>
      </c>
      <c r="AB85" s="6">
        <f t="shared" si="31"/>
        <v>0.29840972871842841</v>
      </c>
      <c r="AC85" s="4">
        <v>7.5</v>
      </c>
      <c r="AD85" s="4">
        <f t="shared" si="32"/>
        <v>22910</v>
      </c>
      <c r="AE85" s="4">
        <f t="shared" si="33"/>
        <v>25455.555555555558</v>
      </c>
      <c r="AF85" s="6">
        <f t="shared" si="34"/>
        <v>0.94107376691401134</v>
      </c>
      <c r="AG85" s="7">
        <v>2180</v>
      </c>
      <c r="AH85" s="6">
        <f t="shared" si="35"/>
        <v>0.31192660550458717</v>
      </c>
      <c r="AI85" s="4">
        <f t="shared" si="36"/>
        <v>680</v>
      </c>
      <c r="AJ85" s="28"/>
      <c r="AK85" s="6"/>
      <c r="AL85" s="6"/>
      <c r="AM85" s="6" t="e">
        <f t="shared" si="37"/>
        <v>#DIV/0!</v>
      </c>
      <c r="AN85" s="6">
        <f t="shared" si="38"/>
        <v>1.1330561330561331</v>
      </c>
      <c r="AO85" s="6">
        <f t="shared" si="39"/>
        <v>1.1111111111111112</v>
      </c>
      <c r="AP85" s="4" t="str">
        <f t="shared" si="40"/>
        <v>-</v>
      </c>
      <c r="AQ85" s="4" t="str">
        <f t="shared" si="41"/>
        <v>-</v>
      </c>
      <c r="AR85" s="4" t="str">
        <f t="shared" si="42"/>
        <v>-</v>
      </c>
      <c r="AS85" s="4" t="str">
        <f t="shared" si="43"/>
        <v>-</v>
      </c>
      <c r="AT85" s="4" t="str">
        <f t="shared" si="44"/>
        <v>-</v>
      </c>
      <c r="AU85" s="4" t="str">
        <f t="shared" si="45"/>
        <v>-</v>
      </c>
      <c r="AV85" s="4">
        <v>0</v>
      </c>
      <c r="AW85" s="4" t="s">
        <v>767</v>
      </c>
      <c r="AX85" s="4"/>
      <c r="AY85" s="4"/>
      <c r="AZ85" s="4" t="s">
        <v>759</v>
      </c>
      <c r="BA85" s="4">
        <v>22910</v>
      </c>
      <c r="BB85" s="4">
        <v>22910</v>
      </c>
      <c r="BC85" s="4">
        <f t="shared" si="46"/>
        <v>22910</v>
      </c>
      <c r="BD85" s="19">
        <v>4</v>
      </c>
      <c r="BE85" s="19">
        <v>8</v>
      </c>
      <c r="BF85" s="16">
        <v>3</v>
      </c>
      <c r="BG85" s="36">
        <v>46174</v>
      </c>
      <c r="BH85" t="s">
        <v>410</v>
      </c>
      <c r="BI85">
        <v>248</v>
      </c>
      <c r="BJ85" s="4" t="s">
        <v>566</v>
      </c>
      <c r="BK85">
        <v>2</v>
      </c>
      <c r="BL85" s="44">
        <f t="shared" si="47"/>
        <v>2.1945021945021903E-2</v>
      </c>
      <c r="BM85" t="s">
        <v>792</v>
      </c>
    </row>
    <row r="86" spans="1:65" x14ac:dyDescent="0.4">
      <c r="A86" s="3">
        <v>85</v>
      </c>
      <c r="B86" s="3">
        <f t="shared" si="48"/>
        <v>83</v>
      </c>
      <c r="C86" s="33">
        <v>103812</v>
      </c>
      <c r="D86" s="4" t="str">
        <f>TEXT(C86,"000000")</f>
        <v>103812</v>
      </c>
      <c r="E86" s="4">
        <v>103812</v>
      </c>
      <c r="F86" s="4" t="s">
        <v>263</v>
      </c>
      <c r="G86" s="5">
        <v>4977564705466</v>
      </c>
      <c r="H86" s="5">
        <v>5</v>
      </c>
      <c r="I86" s="5" t="str">
        <f t="shared" si="26"/>
        <v>1038125</v>
      </c>
      <c r="J86" s="5">
        <v>2</v>
      </c>
      <c r="K86" s="5">
        <v>2</v>
      </c>
      <c r="L86" s="4">
        <v>0</v>
      </c>
      <c r="M86" s="4">
        <v>205</v>
      </c>
      <c r="N86" s="4">
        <v>135</v>
      </c>
      <c r="O86" s="6">
        <f t="shared" si="27"/>
        <v>0.34146341463414631</v>
      </c>
      <c r="P86" s="4" t="s">
        <v>410</v>
      </c>
      <c r="Q86" s="4" t="s">
        <v>410</v>
      </c>
      <c r="R86" s="4" t="s">
        <v>410</v>
      </c>
      <c r="S86" s="4" t="s">
        <v>410</v>
      </c>
      <c r="T86" s="4" t="s">
        <v>410</v>
      </c>
      <c r="U86" s="4" t="s">
        <v>410</v>
      </c>
      <c r="V86" s="4">
        <v>0</v>
      </c>
      <c r="W86" s="4">
        <f t="shared" si="28"/>
        <v>0</v>
      </c>
      <c r="X86" s="4">
        <v>150</v>
      </c>
      <c r="Y86" s="4">
        <f t="shared" si="29"/>
        <v>150</v>
      </c>
      <c r="Z86" s="4"/>
      <c r="AA86" s="21">
        <f t="shared" si="30"/>
        <v>228</v>
      </c>
      <c r="AB86" s="6">
        <f t="shared" si="31"/>
        <v>0.34210526315789469</v>
      </c>
      <c r="AC86" s="4">
        <v>0</v>
      </c>
      <c r="AD86" s="4">
        <f t="shared" si="32"/>
        <v>257</v>
      </c>
      <c r="AE86" s="4">
        <f t="shared" si="33"/>
        <v>285.55555555555554</v>
      </c>
      <c r="AF86" s="6">
        <f t="shared" si="34"/>
        <v>0.47470817120622566</v>
      </c>
      <c r="AG86" s="7">
        <v>238</v>
      </c>
      <c r="AH86" s="6">
        <f t="shared" si="35"/>
        <v>0.36974789915966388</v>
      </c>
      <c r="AI86" s="4">
        <f t="shared" si="36"/>
        <v>88</v>
      </c>
      <c r="AJ86" s="28"/>
      <c r="AK86" s="6"/>
      <c r="AL86" s="6"/>
      <c r="AM86" s="6" t="e">
        <f t="shared" si="37"/>
        <v>#DIV/0!</v>
      </c>
      <c r="AN86" s="6">
        <f t="shared" si="38"/>
        <v>1.1609756097560975</v>
      </c>
      <c r="AO86" s="6">
        <f t="shared" si="39"/>
        <v>1.1111111111111112</v>
      </c>
      <c r="AP86" s="4" t="str">
        <f t="shared" si="40"/>
        <v>-</v>
      </c>
      <c r="AQ86" s="4" t="str">
        <f t="shared" si="41"/>
        <v>-</v>
      </c>
      <c r="AR86" s="4" t="str">
        <f t="shared" si="42"/>
        <v>-</v>
      </c>
      <c r="AS86" s="4" t="str">
        <f t="shared" si="43"/>
        <v>-</v>
      </c>
      <c r="AT86" s="4" t="str">
        <f t="shared" si="44"/>
        <v>-</v>
      </c>
      <c r="AU86" s="4" t="str">
        <f t="shared" si="45"/>
        <v>-</v>
      </c>
      <c r="AV86" s="4">
        <v>0</v>
      </c>
      <c r="AW86" s="4" t="s">
        <v>652</v>
      </c>
      <c r="AX86" s="4"/>
      <c r="AY86" s="4"/>
      <c r="AZ86" s="4" t="s">
        <v>616</v>
      </c>
      <c r="BA86" s="4">
        <v>257</v>
      </c>
      <c r="BB86" s="4">
        <v>257</v>
      </c>
      <c r="BC86" s="4">
        <f t="shared" si="46"/>
        <v>257</v>
      </c>
      <c r="BD86" s="19">
        <v>4</v>
      </c>
      <c r="BE86" s="19">
        <v>8</v>
      </c>
      <c r="BF86" s="16">
        <v>3</v>
      </c>
      <c r="BG86" s="36">
        <v>46174</v>
      </c>
      <c r="BH86" t="s">
        <v>410</v>
      </c>
      <c r="BI86">
        <v>248</v>
      </c>
      <c r="BJ86" s="4" t="s">
        <v>472</v>
      </c>
      <c r="BL86" s="44">
        <f t="shared" si="47"/>
        <v>4.9864498644986321E-2</v>
      </c>
      <c r="BM86" t="s">
        <v>792</v>
      </c>
    </row>
    <row r="87" spans="1:65" x14ac:dyDescent="0.4">
      <c r="A87" s="3">
        <v>217</v>
      </c>
      <c r="B87" s="3">
        <f t="shared" si="48"/>
        <v>84</v>
      </c>
      <c r="C87" s="33">
        <v>103812</v>
      </c>
      <c r="D87" s="4" t="s">
        <v>113</v>
      </c>
      <c r="E87" s="4">
        <v>104042</v>
      </c>
      <c r="F87" s="4" t="s">
        <v>382</v>
      </c>
      <c r="G87" s="5">
        <v>4977564705466</v>
      </c>
      <c r="H87" s="5">
        <v>8</v>
      </c>
      <c r="I87" s="5" t="str">
        <f t="shared" si="26"/>
        <v>1038128</v>
      </c>
      <c r="J87" s="5"/>
      <c r="K87" s="5"/>
      <c r="L87" s="4">
        <v>0</v>
      </c>
      <c r="M87" s="4">
        <v>1924</v>
      </c>
      <c r="N87" s="4">
        <v>1350</v>
      </c>
      <c r="O87" s="6">
        <f t="shared" si="27"/>
        <v>0.29833679833679838</v>
      </c>
      <c r="P87" s="4" t="s">
        <v>410</v>
      </c>
      <c r="Q87" s="4" t="s">
        <v>410</v>
      </c>
      <c r="R87" s="4" t="s">
        <v>410</v>
      </c>
      <c r="S87" s="4" t="s">
        <v>410</v>
      </c>
      <c r="T87" s="4" t="s">
        <v>410</v>
      </c>
      <c r="U87" s="4" t="s">
        <v>410</v>
      </c>
      <c r="V87" s="4">
        <v>0</v>
      </c>
      <c r="W87" s="4">
        <f t="shared" si="28"/>
        <v>0</v>
      </c>
      <c r="X87" s="4">
        <v>150</v>
      </c>
      <c r="Y87" s="4">
        <f t="shared" si="29"/>
        <v>1500</v>
      </c>
      <c r="Z87" s="4">
        <v>10</v>
      </c>
      <c r="AA87" s="21">
        <f t="shared" si="30"/>
        <v>2138</v>
      </c>
      <c r="AB87" s="6">
        <f t="shared" si="31"/>
        <v>0.29840972871842841</v>
      </c>
      <c r="AC87" s="4">
        <v>0</v>
      </c>
      <c r="AD87" s="4">
        <f t="shared" si="32"/>
        <v>22910</v>
      </c>
      <c r="AE87" s="4">
        <f t="shared" si="33"/>
        <v>25455.555555555558</v>
      </c>
      <c r="AF87" s="6">
        <f t="shared" si="34"/>
        <v>0.94107376691401134</v>
      </c>
      <c r="AG87" s="7">
        <v>2180</v>
      </c>
      <c r="AH87" s="6">
        <f t="shared" si="35"/>
        <v>0.31192660550458717</v>
      </c>
      <c r="AI87" s="4">
        <f t="shared" si="36"/>
        <v>680</v>
      </c>
      <c r="AJ87" s="28"/>
      <c r="AK87" s="6"/>
      <c r="AL87" s="6"/>
      <c r="AM87" s="6" t="e">
        <f t="shared" si="37"/>
        <v>#DIV/0!</v>
      </c>
      <c r="AN87" s="6">
        <f t="shared" si="38"/>
        <v>1.1330561330561331</v>
      </c>
      <c r="AO87" s="6">
        <f t="shared" si="39"/>
        <v>1.1111111111111112</v>
      </c>
      <c r="AP87" s="4" t="str">
        <f t="shared" si="40"/>
        <v>-</v>
      </c>
      <c r="AQ87" s="4" t="str">
        <f t="shared" si="41"/>
        <v>-</v>
      </c>
      <c r="AR87" s="4" t="str">
        <f t="shared" si="42"/>
        <v>-</v>
      </c>
      <c r="AS87" s="4" t="str">
        <f t="shared" si="43"/>
        <v>-</v>
      </c>
      <c r="AT87" s="4" t="str">
        <f t="shared" si="44"/>
        <v>-</v>
      </c>
      <c r="AU87" s="4" t="str">
        <f t="shared" si="45"/>
        <v>-</v>
      </c>
      <c r="AV87" s="4">
        <v>0</v>
      </c>
      <c r="AW87" s="4" t="s">
        <v>768</v>
      </c>
      <c r="AX87" s="4"/>
      <c r="AY87" s="4"/>
      <c r="AZ87" s="4" t="s">
        <v>759</v>
      </c>
      <c r="BA87" s="4">
        <v>22910</v>
      </c>
      <c r="BB87" s="4">
        <v>22910</v>
      </c>
      <c r="BC87" s="4">
        <f t="shared" si="46"/>
        <v>22910</v>
      </c>
      <c r="BD87" s="19">
        <v>4</v>
      </c>
      <c r="BE87" s="19">
        <v>8</v>
      </c>
      <c r="BF87" s="16">
        <v>3</v>
      </c>
      <c r="BG87" s="36">
        <v>46174</v>
      </c>
      <c r="BH87" t="s">
        <v>410</v>
      </c>
      <c r="BI87">
        <v>248</v>
      </c>
      <c r="BJ87" s="4" t="s">
        <v>567</v>
      </c>
      <c r="BK87">
        <v>2</v>
      </c>
      <c r="BL87" s="44">
        <f t="shared" si="47"/>
        <v>2.1945021945021903E-2</v>
      </c>
      <c r="BM87" t="s">
        <v>792</v>
      </c>
    </row>
    <row r="88" spans="1:65" x14ac:dyDescent="0.4">
      <c r="A88" s="3">
        <v>86</v>
      </c>
      <c r="B88" s="3">
        <f t="shared" si="48"/>
        <v>85</v>
      </c>
      <c r="C88" s="33">
        <v>103789</v>
      </c>
      <c r="D88" s="4" t="str">
        <f>TEXT(C88,"000000")</f>
        <v>103789</v>
      </c>
      <c r="E88" s="4">
        <v>103789</v>
      </c>
      <c r="F88" s="4" t="s">
        <v>264</v>
      </c>
      <c r="G88" s="5">
        <v>4977564687113</v>
      </c>
      <c r="H88" s="5">
        <v>5</v>
      </c>
      <c r="I88" s="5" t="str">
        <f t="shared" si="26"/>
        <v>1037895</v>
      </c>
      <c r="J88" s="5">
        <v>2</v>
      </c>
      <c r="K88" s="5">
        <v>2</v>
      </c>
      <c r="L88" s="4">
        <v>170</v>
      </c>
      <c r="M88" s="4">
        <v>129</v>
      </c>
      <c r="N88" s="4">
        <v>85</v>
      </c>
      <c r="O88" s="6">
        <f t="shared" si="27"/>
        <v>0.34108527131782951</v>
      </c>
      <c r="P88" s="4" t="s">
        <v>410</v>
      </c>
      <c r="Q88" s="4" t="s">
        <v>410</v>
      </c>
      <c r="R88" s="4" t="s">
        <v>410</v>
      </c>
      <c r="S88" s="4" t="s">
        <v>410</v>
      </c>
      <c r="T88" s="4" t="s">
        <v>410</v>
      </c>
      <c r="U88" s="4" t="s">
        <v>410</v>
      </c>
      <c r="V88" s="4">
        <v>180</v>
      </c>
      <c r="W88" s="4">
        <f t="shared" si="28"/>
        <v>180</v>
      </c>
      <c r="X88" s="4">
        <v>90</v>
      </c>
      <c r="Y88" s="4">
        <f t="shared" si="29"/>
        <v>90</v>
      </c>
      <c r="Z88" s="4"/>
      <c r="AA88" s="21">
        <f t="shared" si="30"/>
        <v>137</v>
      </c>
      <c r="AB88" s="6">
        <f t="shared" si="31"/>
        <v>0.34306569343065696</v>
      </c>
      <c r="AC88" s="4">
        <v>2.5</v>
      </c>
      <c r="AD88" s="4">
        <f t="shared" si="32"/>
        <v>113</v>
      </c>
      <c r="AE88" s="4">
        <f t="shared" si="33"/>
        <v>119.64705882352942</v>
      </c>
      <c r="AF88" s="6">
        <f t="shared" si="34"/>
        <v>0.24778761061946908</v>
      </c>
      <c r="AG88" s="7">
        <v>138</v>
      </c>
      <c r="AH88" s="6">
        <f t="shared" si="35"/>
        <v>0.34782608695652173</v>
      </c>
      <c r="AI88" s="4">
        <f t="shared" si="36"/>
        <v>48</v>
      </c>
      <c r="AJ88" s="28"/>
      <c r="AK88" s="6"/>
      <c r="AL88" s="6"/>
      <c r="AM88" s="6">
        <f t="shared" si="37"/>
        <v>1.0588235294117647</v>
      </c>
      <c r="AN88" s="6">
        <f t="shared" si="38"/>
        <v>1.069767441860465</v>
      </c>
      <c r="AO88" s="6">
        <f t="shared" si="39"/>
        <v>1.0588235294117647</v>
      </c>
      <c r="AP88" s="4" t="str">
        <f t="shared" si="40"/>
        <v>-</v>
      </c>
      <c r="AQ88" s="4" t="str">
        <f t="shared" si="41"/>
        <v>-</v>
      </c>
      <c r="AR88" s="4" t="str">
        <f t="shared" si="42"/>
        <v>-</v>
      </c>
      <c r="AS88" s="4" t="str">
        <f t="shared" si="43"/>
        <v>-</v>
      </c>
      <c r="AT88" s="4" t="str">
        <f t="shared" si="44"/>
        <v>-</v>
      </c>
      <c r="AU88" s="4" t="str">
        <f t="shared" si="45"/>
        <v>-</v>
      </c>
      <c r="AV88" s="4">
        <v>0</v>
      </c>
      <c r="AW88" s="4" t="s">
        <v>653</v>
      </c>
      <c r="AX88" s="4"/>
      <c r="AY88" s="4"/>
      <c r="AZ88" s="4" t="s">
        <v>654</v>
      </c>
      <c r="BA88" s="4">
        <v>113</v>
      </c>
      <c r="BB88" s="4">
        <v>113</v>
      </c>
      <c r="BC88" s="4">
        <f t="shared" si="46"/>
        <v>113</v>
      </c>
      <c r="BD88" s="19">
        <v>4</v>
      </c>
      <c r="BE88" s="19">
        <v>8</v>
      </c>
      <c r="BF88" s="16">
        <v>3</v>
      </c>
      <c r="BG88" s="36">
        <v>46174</v>
      </c>
      <c r="BH88" t="s">
        <v>410</v>
      </c>
      <c r="BI88">
        <v>113</v>
      </c>
      <c r="BJ88" s="4" t="s">
        <v>473</v>
      </c>
      <c r="BL88" s="44">
        <f t="shared" si="47"/>
        <v>1.0943912448700299E-2</v>
      </c>
      <c r="BM88" t="s">
        <v>792</v>
      </c>
    </row>
    <row r="89" spans="1:65" x14ac:dyDescent="0.4">
      <c r="A89" s="3">
        <v>218</v>
      </c>
      <c r="B89" s="3">
        <f t="shared" si="48"/>
        <v>86</v>
      </c>
      <c r="C89" s="33">
        <v>103789</v>
      </c>
      <c r="D89" s="4" t="s">
        <v>114</v>
      </c>
      <c r="E89" s="4">
        <v>104018</v>
      </c>
      <c r="F89" s="4" t="s">
        <v>383</v>
      </c>
      <c r="G89" s="5">
        <v>4977564687113</v>
      </c>
      <c r="H89" s="5">
        <v>8</v>
      </c>
      <c r="I89" s="5" t="str">
        <f t="shared" si="26"/>
        <v>1037898</v>
      </c>
      <c r="J89" s="5"/>
      <c r="K89" s="5"/>
      <c r="L89" s="4">
        <v>1700</v>
      </c>
      <c r="M89" s="4">
        <v>1300</v>
      </c>
      <c r="N89" s="4">
        <v>850</v>
      </c>
      <c r="O89" s="6">
        <f t="shared" si="27"/>
        <v>0.34615384615384615</v>
      </c>
      <c r="P89" s="4" t="s">
        <v>410</v>
      </c>
      <c r="Q89" s="4" t="s">
        <v>410</v>
      </c>
      <c r="R89" s="4" t="s">
        <v>410</v>
      </c>
      <c r="S89" s="4" t="s">
        <v>410</v>
      </c>
      <c r="T89" s="4" t="s">
        <v>410</v>
      </c>
      <c r="U89" s="4" t="s">
        <v>410</v>
      </c>
      <c r="V89" s="4">
        <v>180</v>
      </c>
      <c r="W89" s="4">
        <f t="shared" si="28"/>
        <v>1800</v>
      </c>
      <c r="X89" s="4">
        <v>90</v>
      </c>
      <c r="Y89" s="4">
        <f t="shared" si="29"/>
        <v>900</v>
      </c>
      <c r="Z89" s="4">
        <v>10</v>
      </c>
      <c r="AA89" s="21">
        <f t="shared" si="30"/>
        <v>1376</v>
      </c>
      <c r="AB89" s="6">
        <f t="shared" si="31"/>
        <v>0.34593023255813948</v>
      </c>
      <c r="AC89" s="4">
        <v>2.5</v>
      </c>
      <c r="AD89" s="4">
        <f t="shared" si="32"/>
        <v>1090</v>
      </c>
      <c r="AE89" s="4">
        <f t="shared" si="33"/>
        <v>1154.1176470588236</v>
      </c>
      <c r="AF89" s="6">
        <f t="shared" si="34"/>
        <v>0.22018348623853223</v>
      </c>
      <c r="AG89" s="7">
        <v>1300</v>
      </c>
      <c r="AH89" s="6">
        <f t="shared" si="35"/>
        <v>0.30769230769230771</v>
      </c>
      <c r="AI89" s="4">
        <f t="shared" si="36"/>
        <v>400</v>
      </c>
      <c r="AJ89" s="28"/>
      <c r="AK89" s="6"/>
      <c r="AL89" s="6"/>
      <c r="AM89" s="6">
        <f t="shared" si="37"/>
        <v>1.0588235294117647</v>
      </c>
      <c r="AN89" s="6">
        <f t="shared" si="38"/>
        <v>1</v>
      </c>
      <c r="AO89" s="6">
        <f t="shared" si="39"/>
        <v>1.0588235294117647</v>
      </c>
      <c r="AP89" s="4" t="str">
        <f t="shared" si="40"/>
        <v>-</v>
      </c>
      <c r="AQ89" s="4" t="str">
        <f t="shared" si="41"/>
        <v>-</v>
      </c>
      <c r="AR89" s="4" t="str">
        <f t="shared" si="42"/>
        <v>-</v>
      </c>
      <c r="AS89" s="4" t="str">
        <f t="shared" si="43"/>
        <v>-</v>
      </c>
      <c r="AT89" s="4" t="str">
        <f t="shared" si="44"/>
        <v>-</v>
      </c>
      <c r="AU89" s="4" t="str">
        <f t="shared" si="45"/>
        <v>-</v>
      </c>
      <c r="AV89" s="4">
        <v>0</v>
      </c>
      <c r="AW89" s="4" t="s">
        <v>769</v>
      </c>
      <c r="AX89" s="4"/>
      <c r="AY89" s="4"/>
      <c r="AZ89" s="4" t="s">
        <v>770</v>
      </c>
      <c r="BA89" s="4">
        <v>1090</v>
      </c>
      <c r="BB89" s="4">
        <v>1090</v>
      </c>
      <c r="BC89" s="4">
        <f t="shared" si="46"/>
        <v>1090</v>
      </c>
      <c r="BD89" s="19">
        <v>4</v>
      </c>
      <c r="BE89" s="19">
        <v>8</v>
      </c>
      <c r="BF89" s="16">
        <v>3</v>
      </c>
      <c r="BG89" s="36">
        <v>46174</v>
      </c>
      <c r="BH89" t="s">
        <v>410</v>
      </c>
      <c r="BI89">
        <v>113</v>
      </c>
      <c r="BJ89" s="4" t="s">
        <v>568</v>
      </c>
      <c r="BK89">
        <v>2</v>
      </c>
      <c r="BL89" s="44">
        <f t="shared" si="47"/>
        <v>-5.8823529411764719E-2</v>
      </c>
      <c r="BM89" t="s">
        <v>792</v>
      </c>
    </row>
    <row r="90" spans="1:65" x14ac:dyDescent="0.4">
      <c r="A90" s="3">
        <v>87</v>
      </c>
      <c r="B90" s="3">
        <f t="shared" si="48"/>
        <v>87</v>
      </c>
      <c r="C90" s="33">
        <v>103790</v>
      </c>
      <c r="D90" s="4" t="str">
        <f>TEXT(C90,"000000")</f>
        <v>103790</v>
      </c>
      <c r="E90" s="4">
        <v>103790</v>
      </c>
      <c r="F90" s="4" t="s">
        <v>265</v>
      </c>
      <c r="G90" s="5">
        <v>4977564687120</v>
      </c>
      <c r="H90" s="5">
        <v>5</v>
      </c>
      <c r="I90" s="5" t="str">
        <f t="shared" si="26"/>
        <v>1037905</v>
      </c>
      <c r="J90" s="5">
        <v>2</v>
      </c>
      <c r="K90" s="5">
        <v>2</v>
      </c>
      <c r="L90" s="4">
        <v>170</v>
      </c>
      <c r="M90" s="4">
        <v>129</v>
      </c>
      <c r="N90" s="4">
        <v>85</v>
      </c>
      <c r="O90" s="6">
        <f t="shared" si="27"/>
        <v>0.34108527131782951</v>
      </c>
      <c r="P90" s="4" t="s">
        <v>410</v>
      </c>
      <c r="Q90" s="4" t="s">
        <v>410</v>
      </c>
      <c r="R90" s="4" t="s">
        <v>410</v>
      </c>
      <c r="S90" s="4" t="s">
        <v>410</v>
      </c>
      <c r="T90" s="4" t="s">
        <v>410</v>
      </c>
      <c r="U90" s="4" t="s">
        <v>410</v>
      </c>
      <c r="V90" s="4">
        <v>180</v>
      </c>
      <c r="W90" s="4">
        <f t="shared" si="28"/>
        <v>180</v>
      </c>
      <c r="X90" s="4">
        <v>90</v>
      </c>
      <c r="Y90" s="4">
        <f t="shared" si="29"/>
        <v>90</v>
      </c>
      <c r="Z90" s="4"/>
      <c r="AA90" s="21">
        <f t="shared" si="30"/>
        <v>137</v>
      </c>
      <c r="AB90" s="6">
        <f t="shared" si="31"/>
        <v>0.34306569343065696</v>
      </c>
      <c r="AC90" s="4">
        <v>2.5</v>
      </c>
      <c r="AD90" s="4">
        <f t="shared" si="32"/>
        <v>113</v>
      </c>
      <c r="AE90" s="4">
        <f t="shared" si="33"/>
        <v>119.64705882352942</v>
      </c>
      <c r="AF90" s="6">
        <f t="shared" si="34"/>
        <v>0.24778761061946908</v>
      </c>
      <c r="AG90" s="7">
        <v>138</v>
      </c>
      <c r="AH90" s="6">
        <f t="shared" si="35"/>
        <v>0.34782608695652173</v>
      </c>
      <c r="AI90" s="4">
        <f t="shared" si="36"/>
        <v>48</v>
      </c>
      <c r="AJ90" s="28"/>
      <c r="AK90" s="6"/>
      <c r="AL90" s="6"/>
      <c r="AM90" s="6">
        <f t="shared" si="37"/>
        <v>1.0588235294117647</v>
      </c>
      <c r="AN90" s="6">
        <f t="shared" si="38"/>
        <v>1.069767441860465</v>
      </c>
      <c r="AO90" s="6">
        <f t="shared" si="39"/>
        <v>1.0588235294117647</v>
      </c>
      <c r="AP90" s="4" t="str">
        <f t="shared" si="40"/>
        <v>-</v>
      </c>
      <c r="AQ90" s="4" t="str">
        <f t="shared" si="41"/>
        <v>-</v>
      </c>
      <c r="AR90" s="4" t="str">
        <f t="shared" si="42"/>
        <v>-</v>
      </c>
      <c r="AS90" s="4" t="str">
        <f t="shared" si="43"/>
        <v>-</v>
      </c>
      <c r="AT90" s="4" t="str">
        <f t="shared" si="44"/>
        <v>-</v>
      </c>
      <c r="AU90" s="4" t="str">
        <f t="shared" si="45"/>
        <v>-</v>
      </c>
      <c r="AV90" s="4">
        <v>0</v>
      </c>
      <c r="AW90" s="4" t="s">
        <v>655</v>
      </c>
      <c r="AX90" s="4"/>
      <c r="AY90" s="4"/>
      <c r="AZ90" s="4" t="s">
        <v>654</v>
      </c>
      <c r="BA90" s="4">
        <v>113</v>
      </c>
      <c r="BB90" s="4">
        <v>113</v>
      </c>
      <c r="BC90" s="4">
        <f t="shared" si="46"/>
        <v>113</v>
      </c>
      <c r="BD90" s="19">
        <v>4</v>
      </c>
      <c r="BE90" s="19">
        <v>8</v>
      </c>
      <c r="BF90" s="16">
        <v>3</v>
      </c>
      <c r="BG90" s="36">
        <v>46174</v>
      </c>
      <c r="BH90" t="s">
        <v>410</v>
      </c>
      <c r="BI90">
        <v>113</v>
      </c>
      <c r="BJ90" s="4" t="s">
        <v>474</v>
      </c>
      <c r="BL90" s="44">
        <f t="shared" si="47"/>
        <v>1.0943912448700299E-2</v>
      </c>
      <c r="BM90" t="s">
        <v>792</v>
      </c>
    </row>
    <row r="91" spans="1:65" x14ac:dyDescent="0.4">
      <c r="A91" s="3">
        <v>219</v>
      </c>
      <c r="B91" s="3">
        <f t="shared" si="48"/>
        <v>88</v>
      </c>
      <c r="C91" s="33">
        <v>103790</v>
      </c>
      <c r="D91" s="4" t="s">
        <v>115</v>
      </c>
      <c r="E91" s="4">
        <v>104019</v>
      </c>
      <c r="F91" s="4" t="s">
        <v>384</v>
      </c>
      <c r="G91" s="5">
        <v>4977564687120</v>
      </c>
      <c r="H91" s="5">
        <v>8</v>
      </c>
      <c r="I91" s="5" t="str">
        <f t="shared" si="26"/>
        <v>1037908</v>
      </c>
      <c r="J91" s="5"/>
      <c r="K91" s="5"/>
      <c r="L91" s="4">
        <v>1700</v>
      </c>
      <c r="M91" s="4">
        <v>1275</v>
      </c>
      <c r="N91" s="4">
        <v>850</v>
      </c>
      <c r="O91" s="6">
        <f t="shared" si="27"/>
        <v>0.33333333333333337</v>
      </c>
      <c r="P91" s="4" t="s">
        <v>410</v>
      </c>
      <c r="Q91" s="4" t="s">
        <v>410</v>
      </c>
      <c r="R91" s="4" t="s">
        <v>410</v>
      </c>
      <c r="S91" s="4" t="s">
        <v>410</v>
      </c>
      <c r="T91" s="4" t="s">
        <v>410</v>
      </c>
      <c r="U91" s="4" t="s">
        <v>410</v>
      </c>
      <c r="V91" s="4">
        <v>180</v>
      </c>
      <c r="W91" s="4">
        <f t="shared" si="28"/>
        <v>1800</v>
      </c>
      <c r="X91" s="4">
        <v>90</v>
      </c>
      <c r="Y91" s="4">
        <f t="shared" si="29"/>
        <v>900</v>
      </c>
      <c r="Z91" s="4">
        <v>10</v>
      </c>
      <c r="AA91" s="21">
        <f t="shared" si="30"/>
        <v>1350</v>
      </c>
      <c r="AB91" s="6">
        <f t="shared" si="31"/>
        <v>0.33333333333333337</v>
      </c>
      <c r="AC91" s="4">
        <v>2.5</v>
      </c>
      <c r="AD91" s="4">
        <f t="shared" si="32"/>
        <v>1090</v>
      </c>
      <c r="AE91" s="4">
        <f t="shared" si="33"/>
        <v>1154.1176470588236</v>
      </c>
      <c r="AF91" s="6">
        <f t="shared" si="34"/>
        <v>0.22018348623853223</v>
      </c>
      <c r="AG91" s="7">
        <v>1300</v>
      </c>
      <c r="AH91" s="6">
        <f t="shared" si="35"/>
        <v>0.30769230769230771</v>
      </c>
      <c r="AI91" s="4">
        <f t="shared" si="36"/>
        <v>400</v>
      </c>
      <c r="AJ91" s="28"/>
      <c r="AK91" s="6"/>
      <c r="AL91" s="6"/>
      <c r="AM91" s="6">
        <f t="shared" si="37"/>
        <v>1.0588235294117647</v>
      </c>
      <c r="AN91" s="6">
        <f t="shared" si="38"/>
        <v>1.0196078431372548</v>
      </c>
      <c r="AO91" s="6">
        <f t="shared" si="39"/>
        <v>1.0588235294117647</v>
      </c>
      <c r="AP91" s="4" t="str">
        <f t="shared" si="40"/>
        <v>-</v>
      </c>
      <c r="AQ91" s="4" t="str">
        <f t="shared" si="41"/>
        <v>-</v>
      </c>
      <c r="AR91" s="4" t="str">
        <f t="shared" si="42"/>
        <v>-</v>
      </c>
      <c r="AS91" s="4" t="str">
        <f t="shared" si="43"/>
        <v>-</v>
      </c>
      <c r="AT91" s="4" t="str">
        <f t="shared" si="44"/>
        <v>-</v>
      </c>
      <c r="AU91" s="4" t="str">
        <f t="shared" si="45"/>
        <v>-</v>
      </c>
      <c r="AV91" s="4">
        <v>0</v>
      </c>
      <c r="AW91" s="4" t="s">
        <v>771</v>
      </c>
      <c r="AX91" s="4"/>
      <c r="AY91" s="4"/>
      <c r="AZ91" s="4" t="s">
        <v>770</v>
      </c>
      <c r="BA91" s="4">
        <v>1090</v>
      </c>
      <c r="BB91" s="4">
        <v>1090</v>
      </c>
      <c r="BC91" s="4">
        <f t="shared" si="46"/>
        <v>1090</v>
      </c>
      <c r="BD91" s="19">
        <v>4</v>
      </c>
      <c r="BE91" s="19">
        <v>8</v>
      </c>
      <c r="BF91" s="16">
        <v>3</v>
      </c>
      <c r="BG91" s="36">
        <v>46174</v>
      </c>
      <c r="BH91" t="s">
        <v>410</v>
      </c>
      <c r="BI91">
        <v>113</v>
      </c>
      <c r="BJ91" s="4" t="s">
        <v>569</v>
      </c>
      <c r="BK91">
        <v>2</v>
      </c>
      <c r="BL91" s="44">
        <f t="shared" si="47"/>
        <v>-3.9215686274509887E-2</v>
      </c>
      <c r="BM91" t="s">
        <v>792</v>
      </c>
    </row>
    <row r="92" spans="1:65" x14ac:dyDescent="0.4">
      <c r="A92" s="3">
        <v>88</v>
      </c>
      <c r="B92" s="3">
        <f t="shared" si="48"/>
        <v>89</v>
      </c>
      <c r="C92" s="33">
        <v>103791</v>
      </c>
      <c r="D92" s="4" t="str">
        <f>TEXT(C92,"000000")</f>
        <v>103791</v>
      </c>
      <c r="E92" s="4">
        <v>103791</v>
      </c>
      <c r="F92" s="4" t="s">
        <v>266</v>
      </c>
      <c r="G92" s="5">
        <v>4977564687137</v>
      </c>
      <c r="H92" s="5">
        <v>5</v>
      </c>
      <c r="I92" s="5" t="str">
        <f t="shared" si="26"/>
        <v>1037915</v>
      </c>
      <c r="J92" s="5">
        <v>2</v>
      </c>
      <c r="K92" s="5">
        <v>2</v>
      </c>
      <c r="L92" s="4">
        <v>170</v>
      </c>
      <c r="M92" s="4">
        <v>137</v>
      </c>
      <c r="N92" s="4">
        <v>85</v>
      </c>
      <c r="O92" s="6">
        <f t="shared" si="27"/>
        <v>0.37956204379562042</v>
      </c>
      <c r="P92" s="4" t="s">
        <v>410</v>
      </c>
      <c r="Q92" s="4" t="s">
        <v>410</v>
      </c>
      <c r="R92" s="4" t="s">
        <v>410</v>
      </c>
      <c r="S92" s="4" t="s">
        <v>410</v>
      </c>
      <c r="T92" s="4" t="s">
        <v>410</v>
      </c>
      <c r="U92" s="4" t="s">
        <v>410</v>
      </c>
      <c r="V92" s="4">
        <v>180</v>
      </c>
      <c r="W92" s="4">
        <f t="shared" si="28"/>
        <v>180</v>
      </c>
      <c r="X92" s="4">
        <v>90</v>
      </c>
      <c r="Y92" s="4">
        <f t="shared" si="29"/>
        <v>90</v>
      </c>
      <c r="Z92" s="4"/>
      <c r="AA92" s="21">
        <f t="shared" si="30"/>
        <v>145</v>
      </c>
      <c r="AB92" s="6">
        <f t="shared" si="31"/>
        <v>0.37931034482758619</v>
      </c>
      <c r="AC92" s="4">
        <v>1.25</v>
      </c>
      <c r="AD92" s="4">
        <f t="shared" si="32"/>
        <v>113</v>
      </c>
      <c r="AE92" s="4">
        <f t="shared" si="33"/>
        <v>119.64705882352942</v>
      </c>
      <c r="AF92" s="6">
        <f t="shared" si="34"/>
        <v>0.24778761061946908</v>
      </c>
      <c r="AG92" s="7">
        <v>138</v>
      </c>
      <c r="AH92" s="6">
        <f t="shared" si="35"/>
        <v>0.34782608695652173</v>
      </c>
      <c r="AI92" s="4">
        <f t="shared" si="36"/>
        <v>48</v>
      </c>
      <c r="AJ92" s="28"/>
      <c r="AK92" s="6"/>
      <c r="AL92" s="6"/>
      <c r="AM92" s="6">
        <f t="shared" si="37"/>
        <v>1.0588235294117647</v>
      </c>
      <c r="AN92" s="6">
        <f t="shared" si="38"/>
        <v>1.0072992700729928</v>
      </c>
      <c r="AO92" s="6">
        <f t="shared" si="39"/>
        <v>1.0588235294117647</v>
      </c>
      <c r="AP92" s="4" t="str">
        <f t="shared" si="40"/>
        <v>-</v>
      </c>
      <c r="AQ92" s="4" t="str">
        <f t="shared" si="41"/>
        <v>-</v>
      </c>
      <c r="AR92" s="4" t="str">
        <f t="shared" si="42"/>
        <v>-</v>
      </c>
      <c r="AS92" s="4" t="str">
        <f t="shared" si="43"/>
        <v>-</v>
      </c>
      <c r="AT92" s="4" t="str">
        <f t="shared" si="44"/>
        <v>-</v>
      </c>
      <c r="AU92" s="4" t="str">
        <f t="shared" si="45"/>
        <v>-</v>
      </c>
      <c r="AV92" s="4">
        <v>0</v>
      </c>
      <c r="AW92" s="4" t="s">
        <v>656</v>
      </c>
      <c r="AX92" s="4"/>
      <c r="AY92" s="4"/>
      <c r="AZ92" s="4" t="s">
        <v>654</v>
      </c>
      <c r="BA92" s="4">
        <v>113</v>
      </c>
      <c r="BB92" s="4">
        <v>113</v>
      </c>
      <c r="BC92" s="4">
        <f t="shared" si="46"/>
        <v>113</v>
      </c>
      <c r="BD92" s="19">
        <v>4</v>
      </c>
      <c r="BE92" s="19">
        <v>8</v>
      </c>
      <c r="BF92" s="16">
        <v>3</v>
      </c>
      <c r="BG92" s="36">
        <v>46174</v>
      </c>
      <c r="BH92" t="s">
        <v>410</v>
      </c>
      <c r="BI92">
        <v>150</v>
      </c>
      <c r="BJ92" s="4" t="s">
        <v>475</v>
      </c>
      <c r="BL92" s="44">
        <f t="shared" si="47"/>
        <v>-5.1524259338771916E-2</v>
      </c>
      <c r="BM92" t="s">
        <v>792</v>
      </c>
    </row>
    <row r="93" spans="1:65" x14ac:dyDescent="0.4">
      <c r="A93" s="3">
        <v>220</v>
      </c>
      <c r="B93" s="3">
        <f t="shared" si="48"/>
        <v>90</v>
      </c>
      <c r="C93" s="33">
        <v>103791</v>
      </c>
      <c r="D93" s="4" t="s">
        <v>116</v>
      </c>
      <c r="E93" s="4">
        <v>104020</v>
      </c>
      <c r="F93" s="4" t="s">
        <v>385</v>
      </c>
      <c r="G93" s="5">
        <v>4977564687137</v>
      </c>
      <c r="H93" s="5">
        <v>8</v>
      </c>
      <c r="I93" s="5" t="str">
        <f t="shared" si="26"/>
        <v>1037918</v>
      </c>
      <c r="J93" s="5"/>
      <c r="K93" s="5"/>
      <c r="L93" s="4">
        <v>1700</v>
      </c>
      <c r="M93" s="4">
        <v>1313</v>
      </c>
      <c r="N93" s="4">
        <v>850</v>
      </c>
      <c r="O93" s="6">
        <f t="shared" si="27"/>
        <v>0.35262757044935267</v>
      </c>
      <c r="P93" s="4" t="s">
        <v>410</v>
      </c>
      <c r="Q93" s="4" t="s">
        <v>410</v>
      </c>
      <c r="R93" s="4" t="s">
        <v>410</v>
      </c>
      <c r="S93" s="4" t="s">
        <v>410</v>
      </c>
      <c r="T93" s="4" t="s">
        <v>410</v>
      </c>
      <c r="U93" s="4" t="s">
        <v>410</v>
      </c>
      <c r="V93" s="4">
        <v>180</v>
      </c>
      <c r="W93" s="4">
        <f t="shared" si="28"/>
        <v>1800</v>
      </c>
      <c r="X93" s="4">
        <v>90</v>
      </c>
      <c r="Y93" s="4">
        <f t="shared" si="29"/>
        <v>900</v>
      </c>
      <c r="Z93" s="4">
        <v>10</v>
      </c>
      <c r="AA93" s="21">
        <f t="shared" si="30"/>
        <v>1390</v>
      </c>
      <c r="AB93" s="6">
        <f t="shared" si="31"/>
        <v>0.35251798561151082</v>
      </c>
      <c r="AC93" s="4">
        <v>1.25</v>
      </c>
      <c r="AD93" s="4">
        <f t="shared" si="32"/>
        <v>1090</v>
      </c>
      <c r="AE93" s="4">
        <f t="shared" si="33"/>
        <v>1154.1176470588236</v>
      </c>
      <c r="AF93" s="6">
        <f t="shared" si="34"/>
        <v>0.22018348623853223</v>
      </c>
      <c r="AG93" s="7">
        <v>1300</v>
      </c>
      <c r="AH93" s="6">
        <f t="shared" si="35"/>
        <v>0.30769230769230771</v>
      </c>
      <c r="AI93" s="4">
        <f t="shared" si="36"/>
        <v>400</v>
      </c>
      <c r="AJ93" s="28"/>
      <c r="AK93" s="6"/>
      <c r="AL93" s="6"/>
      <c r="AM93" s="6">
        <f t="shared" si="37"/>
        <v>1.0588235294117647</v>
      </c>
      <c r="AN93" s="6">
        <f t="shared" si="38"/>
        <v>0.99009900990099009</v>
      </c>
      <c r="AO93" s="6">
        <f t="shared" si="39"/>
        <v>1.0588235294117647</v>
      </c>
      <c r="AP93" s="4" t="str">
        <f t="shared" si="40"/>
        <v>-</v>
      </c>
      <c r="AQ93" s="4" t="str">
        <f t="shared" si="41"/>
        <v>-</v>
      </c>
      <c r="AR93" s="4" t="str">
        <f t="shared" si="42"/>
        <v>-</v>
      </c>
      <c r="AS93" s="4" t="str">
        <f t="shared" si="43"/>
        <v>-</v>
      </c>
      <c r="AT93" s="4" t="str">
        <f t="shared" si="44"/>
        <v>-</v>
      </c>
      <c r="AU93" s="4" t="str">
        <f t="shared" si="45"/>
        <v>-</v>
      </c>
      <c r="AV93" s="4">
        <v>0</v>
      </c>
      <c r="AW93" s="4" t="s">
        <v>772</v>
      </c>
      <c r="AX93" s="4"/>
      <c r="AY93" s="4"/>
      <c r="AZ93" s="4" t="s">
        <v>770</v>
      </c>
      <c r="BA93" s="4">
        <v>1090</v>
      </c>
      <c r="BB93" s="4">
        <v>1090</v>
      </c>
      <c r="BC93" s="4">
        <f t="shared" si="46"/>
        <v>1090</v>
      </c>
      <c r="BD93" s="19">
        <v>4</v>
      </c>
      <c r="BE93" s="19">
        <v>8</v>
      </c>
      <c r="BF93" s="16">
        <v>3</v>
      </c>
      <c r="BG93" s="36">
        <v>46174</v>
      </c>
      <c r="BH93" t="s">
        <v>410</v>
      </c>
      <c r="BI93">
        <v>150</v>
      </c>
      <c r="BJ93" s="4" t="s">
        <v>570</v>
      </c>
      <c r="BK93">
        <v>2</v>
      </c>
      <c r="BL93" s="44">
        <f t="shared" si="47"/>
        <v>-6.8724519510774629E-2</v>
      </c>
      <c r="BM93" t="s">
        <v>792</v>
      </c>
    </row>
    <row r="94" spans="1:65" x14ac:dyDescent="0.4">
      <c r="A94" s="3">
        <v>89</v>
      </c>
      <c r="B94" s="3">
        <f t="shared" si="48"/>
        <v>91</v>
      </c>
      <c r="C94" s="33">
        <v>103792</v>
      </c>
      <c r="D94" s="4" t="str">
        <f>TEXT(C94,"000000")</f>
        <v>103792</v>
      </c>
      <c r="E94" s="4">
        <v>103792</v>
      </c>
      <c r="F94" s="4" t="s">
        <v>267</v>
      </c>
      <c r="G94" s="5">
        <v>4977564687144</v>
      </c>
      <c r="H94" s="5">
        <v>5</v>
      </c>
      <c r="I94" s="5" t="str">
        <f t="shared" si="26"/>
        <v>1037925</v>
      </c>
      <c r="J94" s="5">
        <v>2</v>
      </c>
      <c r="K94" s="5">
        <v>2</v>
      </c>
      <c r="L94" s="4">
        <v>170</v>
      </c>
      <c r="M94" s="4">
        <v>129</v>
      </c>
      <c r="N94" s="4">
        <v>85</v>
      </c>
      <c r="O94" s="6">
        <f t="shared" si="27"/>
        <v>0.34108527131782951</v>
      </c>
      <c r="P94" s="4" t="s">
        <v>410</v>
      </c>
      <c r="Q94" s="4" t="s">
        <v>410</v>
      </c>
      <c r="R94" s="4" t="s">
        <v>410</v>
      </c>
      <c r="S94" s="4" t="s">
        <v>410</v>
      </c>
      <c r="T94" s="4" t="s">
        <v>410</v>
      </c>
      <c r="U94" s="4" t="s">
        <v>410</v>
      </c>
      <c r="V94" s="4">
        <v>180</v>
      </c>
      <c r="W94" s="4">
        <f t="shared" si="28"/>
        <v>180</v>
      </c>
      <c r="X94" s="4">
        <v>90</v>
      </c>
      <c r="Y94" s="4">
        <f t="shared" si="29"/>
        <v>90</v>
      </c>
      <c r="Z94" s="4"/>
      <c r="AA94" s="21">
        <f t="shared" si="30"/>
        <v>137</v>
      </c>
      <c r="AB94" s="6">
        <f t="shared" si="31"/>
        <v>0.34306569343065696</v>
      </c>
      <c r="AC94" s="4">
        <v>15</v>
      </c>
      <c r="AD94" s="4">
        <f t="shared" si="32"/>
        <v>113</v>
      </c>
      <c r="AE94" s="4">
        <f t="shared" si="33"/>
        <v>119.64705882352942</v>
      </c>
      <c r="AF94" s="6">
        <f t="shared" si="34"/>
        <v>0.24778761061946908</v>
      </c>
      <c r="AG94" s="7">
        <v>138</v>
      </c>
      <c r="AH94" s="6">
        <f t="shared" si="35"/>
        <v>0.34782608695652173</v>
      </c>
      <c r="AI94" s="4">
        <f t="shared" si="36"/>
        <v>48</v>
      </c>
      <c r="AJ94" s="28"/>
      <c r="AK94" s="6"/>
      <c r="AL94" s="6"/>
      <c r="AM94" s="6">
        <f t="shared" si="37"/>
        <v>1.0588235294117647</v>
      </c>
      <c r="AN94" s="6">
        <f t="shared" si="38"/>
        <v>1.069767441860465</v>
      </c>
      <c r="AO94" s="6">
        <f t="shared" si="39"/>
        <v>1.0588235294117647</v>
      </c>
      <c r="AP94" s="4" t="str">
        <f t="shared" si="40"/>
        <v>-</v>
      </c>
      <c r="AQ94" s="4" t="str">
        <f t="shared" si="41"/>
        <v>-</v>
      </c>
      <c r="AR94" s="4" t="str">
        <f t="shared" si="42"/>
        <v>-</v>
      </c>
      <c r="AS94" s="4" t="str">
        <f t="shared" si="43"/>
        <v>-</v>
      </c>
      <c r="AT94" s="4" t="str">
        <f t="shared" si="44"/>
        <v>-</v>
      </c>
      <c r="AU94" s="4" t="str">
        <f t="shared" si="45"/>
        <v>-</v>
      </c>
      <c r="AV94" s="4">
        <v>0</v>
      </c>
      <c r="AW94" s="4" t="s">
        <v>657</v>
      </c>
      <c r="AX94" s="4"/>
      <c r="AY94" s="4"/>
      <c r="AZ94" s="4" t="s">
        <v>654</v>
      </c>
      <c r="BA94" s="4">
        <v>113</v>
      </c>
      <c r="BB94" s="4">
        <v>113</v>
      </c>
      <c r="BC94" s="4">
        <f t="shared" si="46"/>
        <v>113</v>
      </c>
      <c r="BD94" s="19">
        <v>4</v>
      </c>
      <c r="BE94" s="19">
        <v>8</v>
      </c>
      <c r="BF94" s="16">
        <v>3</v>
      </c>
      <c r="BG94" s="36">
        <v>46174</v>
      </c>
      <c r="BH94" t="s">
        <v>410</v>
      </c>
      <c r="BI94">
        <v>150</v>
      </c>
      <c r="BJ94" s="4" t="s">
        <v>476</v>
      </c>
      <c r="BL94" s="44">
        <f t="shared" si="47"/>
        <v>1.0943912448700299E-2</v>
      </c>
      <c r="BM94" t="s">
        <v>792</v>
      </c>
    </row>
    <row r="95" spans="1:65" x14ac:dyDescent="0.4">
      <c r="A95" s="3">
        <v>221</v>
      </c>
      <c r="B95" s="3">
        <f t="shared" si="48"/>
        <v>92</v>
      </c>
      <c r="C95" s="33">
        <v>103792</v>
      </c>
      <c r="D95" s="4" t="s">
        <v>117</v>
      </c>
      <c r="E95" s="4">
        <v>104021</v>
      </c>
      <c r="F95" s="4" t="s">
        <v>386</v>
      </c>
      <c r="G95" s="5">
        <v>4977564687144</v>
      </c>
      <c r="H95" s="5">
        <v>8</v>
      </c>
      <c r="I95" s="5" t="str">
        <f t="shared" si="26"/>
        <v>1037928</v>
      </c>
      <c r="J95" s="5"/>
      <c r="K95" s="5"/>
      <c r="L95" s="4">
        <v>1700</v>
      </c>
      <c r="M95" s="4">
        <v>1075</v>
      </c>
      <c r="N95" s="4">
        <v>850</v>
      </c>
      <c r="O95" s="6">
        <f t="shared" si="27"/>
        <v>0.20930232558139539</v>
      </c>
      <c r="P95" s="4" t="s">
        <v>410</v>
      </c>
      <c r="Q95" s="4" t="s">
        <v>410</v>
      </c>
      <c r="R95" s="4" t="s">
        <v>410</v>
      </c>
      <c r="S95" s="4" t="s">
        <v>410</v>
      </c>
      <c r="T95" s="4" t="s">
        <v>410</v>
      </c>
      <c r="U95" s="4" t="s">
        <v>410</v>
      </c>
      <c r="V95" s="4">
        <v>180</v>
      </c>
      <c r="W95" s="4">
        <f t="shared" si="28"/>
        <v>1800</v>
      </c>
      <c r="X95" s="4">
        <v>90</v>
      </c>
      <c r="Y95" s="4">
        <f t="shared" si="29"/>
        <v>900</v>
      </c>
      <c r="Z95" s="4">
        <v>10</v>
      </c>
      <c r="AA95" s="21">
        <f t="shared" si="30"/>
        <v>1138</v>
      </c>
      <c r="AB95" s="6">
        <f t="shared" si="31"/>
        <v>0.20913884007029881</v>
      </c>
      <c r="AC95" s="4">
        <v>15</v>
      </c>
      <c r="AD95" s="4">
        <f t="shared" si="32"/>
        <v>1090</v>
      </c>
      <c r="AE95" s="4">
        <f t="shared" si="33"/>
        <v>1154.1176470588236</v>
      </c>
      <c r="AF95" s="6">
        <f t="shared" si="34"/>
        <v>0.22018348623853223</v>
      </c>
      <c r="AG95" s="7">
        <v>1300</v>
      </c>
      <c r="AH95" s="6">
        <f t="shared" si="35"/>
        <v>0.30769230769230771</v>
      </c>
      <c r="AI95" s="4">
        <f t="shared" si="36"/>
        <v>400</v>
      </c>
      <c r="AJ95" s="28"/>
      <c r="AK95" s="6"/>
      <c r="AL95" s="6"/>
      <c r="AM95" s="6">
        <f t="shared" si="37"/>
        <v>1.0588235294117647</v>
      </c>
      <c r="AN95" s="6">
        <f t="shared" si="38"/>
        <v>1.2093023255813953</v>
      </c>
      <c r="AO95" s="6">
        <f t="shared" si="39"/>
        <v>1.0588235294117647</v>
      </c>
      <c r="AP95" s="4" t="str">
        <f t="shared" si="40"/>
        <v>-</v>
      </c>
      <c r="AQ95" s="4" t="str">
        <f t="shared" si="41"/>
        <v>-</v>
      </c>
      <c r="AR95" s="4" t="str">
        <f t="shared" si="42"/>
        <v>-</v>
      </c>
      <c r="AS95" s="4" t="str">
        <f t="shared" si="43"/>
        <v>-</v>
      </c>
      <c r="AT95" s="4" t="str">
        <f t="shared" si="44"/>
        <v>-</v>
      </c>
      <c r="AU95" s="4" t="str">
        <f t="shared" si="45"/>
        <v>-</v>
      </c>
      <c r="AV95" s="4">
        <v>0</v>
      </c>
      <c r="AW95" s="4" t="s">
        <v>773</v>
      </c>
      <c r="AX95" s="4"/>
      <c r="AY95" s="4"/>
      <c r="AZ95" s="4" t="s">
        <v>770</v>
      </c>
      <c r="BA95" s="4">
        <v>1090</v>
      </c>
      <c r="BB95" s="4">
        <v>1090</v>
      </c>
      <c r="BC95" s="4">
        <f t="shared" si="46"/>
        <v>1090</v>
      </c>
      <c r="BD95" s="19">
        <v>4</v>
      </c>
      <c r="BE95" s="19">
        <v>8</v>
      </c>
      <c r="BF95" s="16">
        <v>3</v>
      </c>
      <c r="BG95" s="36">
        <v>46174</v>
      </c>
      <c r="BH95" t="s">
        <v>410</v>
      </c>
      <c r="BI95">
        <v>150</v>
      </c>
      <c r="BJ95" s="4" t="s">
        <v>571</v>
      </c>
      <c r="BK95">
        <v>2</v>
      </c>
      <c r="BL95" s="44">
        <f t="shared" si="47"/>
        <v>0.15047879616963056</v>
      </c>
      <c r="BM95" t="s">
        <v>792</v>
      </c>
    </row>
    <row r="96" spans="1:65" x14ac:dyDescent="0.4">
      <c r="A96" s="3">
        <v>90</v>
      </c>
      <c r="B96" s="3">
        <f t="shared" si="48"/>
        <v>93</v>
      </c>
      <c r="C96" s="33">
        <v>103793</v>
      </c>
      <c r="D96" s="4" t="str">
        <f>TEXT(C96,"000000")</f>
        <v>103793</v>
      </c>
      <c r="E96" s="4">
        <v>103793</v>
      </c>
      <c r="F96" s="4" t="s">
        <v>268</v>
      </c>
      <c r="G96" s="5">
        <v>4977564687151</v>
      </c>
      <c r="H96" s="5">
        <v>5</v>
      </c>
      <c r="I96" s="5" t="str">
        <f t="shared" si="26"/>
        <v>1037935</v>
      </c>
      <c r="J96" s="5">
        <v>2</v>
      </c>
      <c r="K96" s="5">
        <v>2</v>
      </c>
      <c r="L96" s="4">
        <v>170</v>
      </c>
      <c r="M96" s="4">
        <v>137</v>
      </c>
      <c r="N96" s="4">
        <v>85</v>
      </c>
      <c r="O96" s="6">
        <f t="shared" si="27"/>
        <v>0.37956204379562042</v>
      </c>
      <c r="P96" s="4" t="s">
        <v>410</v>
      </c>
      <c r="Q96" s="4" t="s">
        <v>410</v>
      </c>
      <c r="R96" s="4" t="s">
        <v>410</v>
      </c>
      <c r="S96" s="4" t="s">
        <v>410</v>
      </c>
      <c r="T96" s="4" t="s">
        <v>410</v>
      </c>
      <c r="U96" s="4" t="s">
        <v>410</v>
      </c>
      <c r="V96" s="4">
        <v>180</v>
      </c>
      <c r="W96" s="4">
        <f t="shared" si="28"/>
        <v>180</v>
      </c>
      <c r="X96" s="4">
        <v>90</v>
      </c>
      <c r="Y96" s="4">
        <f t="shared" si="29"/>
        <v>90</v>
      </c>
      <c r="Z96" s="4"/>
      <c r="AA96" s="21">
        <f t="shared" si="30"/>
        <v>145</v>
      </c>
      <c r="AB96" s="6">
        <f t="shared" si="31"/>
        <v>0.37931034482758619</v>
      </c>
      <c r="AC96" s="4">
        <v>4.75</v>
      </c>
      <c r="AD96" s="4">
        <f t="shared" si="32"/>
        <v>113</v>
      </c>
      <c r="AE96" s="4">
        <f t="shared" si="33"/>
        <v>119.64705882352942</v>
      </c>
      <c r="AF96" s="6">
        <f t="shared" si="34"/>
        <v>0.24778761061946908</v>
      </c>
      <c r="AG96" s="7">
        <v>138</v>
      </c>
      <c r="AH96" s="6">
        <f t="shared" si="35"/>
        <v>0.34782608695652173</v>
      </c>
      <c r="AI96" s="4">
        <f t="shared" si="36"/>
        <v>48</v>
      </c>
      <c r="AJ96" s="28"/>
      <c r="AK96" s="6"/>
      <c r="AL96" s="6"/>
      <c r="AM96" s="6">
        <f t="shared" si="37"/>
        <v>1.0588235294117647</v>
      </c>
      <c r="AN96" s="6">
        <f t="shared" si="38"/>
        <v>1.0072992700729928</v>
      </c>
      <c r="AO96" s="6">
        <f t="shared" si="39"/>
        <v>1.0588235294117647</v>
      </c>
      <c r="AP96" s="4" t="str">
        <f t="shared" si="40"/>
        <v>-</v>
      </c>
      <c r="AQ96" s="4" t="str">
        <f t="shared" si="41"/>
        <v>-</v>
      </c>
      <c r="AR96" s="4" t="str">
        <f t="shared" si="42"/>
        <v>-</v>
      </c>
      <c r="AS96" s="4" t="str">
        <f t="shared" si="43"/>
        <v>-</v>
      </c>
      <c r="AT96" s="4" t="str">
        <f t="shared" si="44"/>
        <v>-</v>
      </c>
      <c r="AU96" s="4" t="str">
        <f t="shared" si="45"/>
        <v>-</v>
      </c>
      <c r="AV96" s="4">
        <v>0</v>
      </c>
      <c r="AW96" s="4" t="s">
        <v>658</v>
      </c>
      <c r="AX96" s="4"/>
      <c r="AY96" s="4"/>
      <c r="AZ96" s="4" t="s">
        <v>654</v>
      </c>
      <c r="BA96" s="4">
        <v>113</v>
      </c>
      <c r="BB96" s="4">
        <v>113</v>
      </c>
      <c r="BC96" s="4">
        <f t="shared" si="46"/>
        <v>113</v>
      </c>
      <c r="BD96" s="19">
        <v>4</v>
      </c>
      <c r="BE96" s="19">
        <v>8</v>
      </c>
      <c r="BF96" s="16">
        <v>3</v>
      </c>
      <c r="BG96" s="36">
        <v>46174</v>
      </c>
      <c r="BH96" t="s">
        <v>410</v>
      </c>
      <c r="BI96">
        <v>150</v>
      </c>
      <c r="BJ96" s="4" t="s">
        <v>477</v>
      </c>
      <c r="BL96" s="44">
        <f t="shared" si="47"/>
        <v>-5.1524259338771916E-2</v>
      </c>
      <c r="BM96" t="s">
        <v>792</v>
      </c>
    </row>
    <row r="97" spans="1:65" x14ac:dyDescent="0.4">
      <c r="A97" s="3">
        <v>222</v>
      </c>
      <c r="B97" s="3">
        <f t="shared" si="48"/>
        <v>94</v>
      </c>
      <c r="C97" s="33">
        <v>103793</v>
      </c>
      <c r="D97" s="4" t="s">
        <v>118</v>
      </c>
      <c r="E97" s="4">
        <v>104022</v>
      </c>
      <c r="F97" s="4" t="s">
        <v>387</v>
      </c>
      <c r="G97" s="5">
        <v>4977564687151</v>
      </c>
      <c r="H97" s="5">
        <v>8</v>
      </c>
      <c r="I97" s="5" t="str">
        <f t="shared" si="26"/>
        <v>1037938</v>
      </c>
      <c r="J97" s="5"/>
      <c r="K97" s="5"/>
      <c r="L97" s="4">
        <v>1700</v>
      </c>
      <c r="M97" s="4">
        <v>1313</v>
      </c>
      <c r="N97" s="4">
        <v>850</v>
      </c>
      <c r="O97" s="6">
        <f t="shared" si="27"/>
        <v>0.35262757044935267</v>
      </c>
      <c r="P97" s="4" t="s">
        <v>410</v>
      </c>
      <c r="Q97" s="4" t="s">
        <v>410</v>
      </c>
      <c r="R97" s="4" t="s">
        <v>410</v>
      </c>
      <c r="S97" s="4" t="s">
        <v>410</v>
      </c>
      <c r="T97" s="4" t="s">
        <v>410</v>
      </c>
      <c r="U97" s="4" t="s">
        <v>410</v>
      </c>
      <c r="V97" s="4">
        <v>180</v>
      </c>
      <c r="W97" s="4">
        <f t="shared" si="28"/>
        <v>1800</v>
      </c>
      <c r="X97" s="4">
        <v>90</v>
      </c>
      <c r="Y97" s="4">
        <f t="shared" si="29"/>
        <v>900</v>
      </c>
      <c r="Z97" s="4">
        <v>10</v>
      </c>
      <c r="AA97" s="21">
        <f t="shared" si="30"/>
        <v>1390</v>
      </c>
      <c r="AB97" s="6">
        <f t="shared" si="31"/>
        <v>0.35251798561151082</v>
      </c>
      <c r="AC97" s="4">
        <v>4.75</v>
      </c>
      <c r="AD97" s="4">
        <f t="shared" si="32"/>
        <v>1090</v>
      </c>
      <c r="AE97" s="4">
        <f t="shared" si="33"/>
        <v>1154.1176470588236</v>
      </c>
      <c r="AF97" s="6">
        <f t="shared" si="34"/>
        <v>0.22018348623853223</v>
      </c>
      <c r="AG97" s="7">
        <v>1300</v>
      </c>
      <c r="AH97" s="6">
        <f t="shared" si="35"/>
        <v>0.30769230769230771</v>
      </c>
      <c r="AI97" s="4">
        <f t="shared" si="36"/>
        <v>400</v>
      </c>
      <c r="AJ97" s="28"/>
      <c r="AK97" s="6"/>
      <c r="AL97" s="6"/>
      <c r="AM97" s="6">
        <f t="shared" si="37"/>
        <v>1.0588235294117647</v>
      </c>
      <c r="AN97" s="6">
        <f t="shared" si="38"/>
        <v>0.99009900990099009</v>
      </c>
      <c r="AO97" s="6">
        <f t="shared" si="39"/>
        <v>1.0588235294117647</v>
      </c>
      <c r="AP97" s="4" t="str">
        <f t="shared" si="40"/>
        <v>-</v>
      </c>
      <c r="AQ97" s="4" t="str">
        <f t="shared" si="41"/>
        <v>-</v>
      </c>
      <c r="AR97" s="4" t="str">
        <f t="shared" si="42"/>
        <v>-</v>
      </c>
      <c r="AS97" s="4" t="str">
        <f t="shared" si="43"/>
        <v>-</v>
      </c>
      <c r="AT97" s="4" t="str">
        <f t="shared" si="44"/>
        <v>-</v>
      </c>
      <c r="AU97" s="4" t="str">
        <f t="shared" si="45"/>
        <v>-</v>
      </c>
      <c r="AV97" s="4">
        <v>0</v>
      </c>
      <c r="AW97" s="4" t="s">
        <v>774</v>
      </c>
      <c r="AX97" s="4"/>
      <c r="AY97" s="4"/>
      <c r="AZ97" s="4" t="s">
        <v>770</v>
      </c>
      <c r="BA97" s="4">
        <v>1090</v>
      </c>
      <c r="BB97" s="4">
        <v>1090</v>
      </c>
      <c r="BC97" s="4">
        <f t="shared" si="46"/>
        <v>1090</v>
      </c>
      <c r="BD97" s="19">
        <v>4</v>
      </c>
      <c r="BE97" s="19">
        <v>8</v>
      </c>
      <c r="BF97" s="16">
        <v>3</v>
      </c>
      <c r="BG97" s="36">
        <v>46174</v>
      </c>
      <c r="BH97" t="s">
        <v>410</v>
      </c>
      <c r="BI97">
        <v>150</v>
      </c>
      <c r="BJ97" s="4" t="s">
        <v>572</v>
      </c>
      <c r="BK97">
        <v>2</v>
      </c>
      <c r="BL97" s="44">
        <f t="shared" si="47"/>
        <v>-6.8724519510774629E-2</v>
      </c>
      <c r="BM97" t="s">
        <v>792</v>
      </c>
    </row>
    <row r="98" spans="1:65" x14ac:dyDescent="0.4">
      <c r="A98" s="3">
        <v>91</v>
      </c>
      <c r="B98" s="3">
        <f t="shared" si="48"/>
        <v>95</v>
      </c>
      <c r="C98" s="33">
        <v>103794</v>
      </c>
      <c r="D98" s="4" t="str">
        <f>TEXT(C98,"000000")</f>
        <v>103794</v>
      </c>
      <c r="E98" s="4">
        <v>103794</v>
      </c>
      <c r="F98" s="4" t="s">
        <v>269</v>
      </c>
      <c r="G98" s="5">
        <v>4977564687168</v>
      </c>
      <c r="H98" s="5">
        <v>5</v>
      </c>
      <c r="I98" s="5" t="str">
        <f t="shared" si="26"/>
        <v>1037945</v>
      </c>
      <c r="J98" s="5">
        <v>2</v>
      </c>
      <c r="K98" s="5">
        <v>2</v>
      </c>
      <c r="L98" s="4">
        <v>170</v>
      </c>
      <c r="M98" s="4">
        <v>129</v>
      </c>
      <c r="N98" s="4">
        <v>85</v>
      </c>
      <c r="O98" s="6">
        <f t="shared" si="27"/>
        <v>0.34108527131782951</v>
      </c>
      <c r="P98" s="4" t="s">
        <v>410</v>
      </c>
      <c r="Q98" s="4" t="s">
        <v>410</v>
      </c>
      <c r="R98" s="4" t="s">
        <v>410</v>
      </c>
      <c r="S98" s="4" t="s">
        <v>410</v>
      </c>
      <c r="T98" s="4" t="s">
        <v>410</v>
      </c>
      <c r="U98" s="4" t="s">
        <v>410</v>
      </c>
      <c r="V98" s="4">
        <v>180</v>
      </c>
      <c r="W98" s="4">
        <f t="shared" si="28"/>
        <v>180</v>
      </c>
      <c r="X98" s="4">
        <v>90</v>
      </c>
      <c r="Y98" s="4">
        <f t="shared" si="29"/>
        <v>90</v>
      </c>
      <c r="Z98" s="4"/>
      <c r="AA98" s="21">
        <f t="shared" si="30"/>
        <v>137</v>
      </c>
      <c r="AB98" s="6">
        <f t="shared" si="31"/>
        <v>0.34306569343065696</v>
      </c>
      <c r="AC98" s="4">
        <v>38.75</v>
      </c>
      <c r="AD98" s="4">
        <f t="shared" si="32"/>
        <v>113</v>
      </c>
      <c r="AE98" s="4">
        <f t="shared" si="33"/>
        <v>119.64705882352942</v>
      </c>
      <c r="AF98" s="6">
        <f t="shared" si="34"/>
        <v>0.24778761061946908</v>
      </c>
      <c r="AG98" s="7">
        <v>138</v>
      </c>
      <c r="AH98" s="6">
        <f t="shared" si="35"/>
        <v>0.34782608695652173</v>
      </c>
      <c r="AI98" s="4">
        <f t="shared" si="36"/>
        <v>48</v>
      </c>
      <c r="AJ98" s="28"/>
      <c r="AK98" s="6"/>
      <c r="AL98" s="6"/>
      <c r="AM98" s="6">
        <f t="shared" si="37"/>
        <v>1.0588235294117647</v>
      </c>
      <c r="AN98" s="6">
        <f t="shared" si="38"/>
        <v>1.069767441860465</v>
      </c>
      <c r="AO98" s="6">
        <f t="shared" si="39"/>
        <v>1.0588235294117647</v>
      </c>
      <c r="AP98" s="4" t="str">
        <f t="shared" si="40"/>
        <v>-</v>
      </c>
      <c r="AQ98" s="4" t="str">
        <f t="shared" si="41"/>
        <v>-</v>
      </c>
      <c r="AR98" s="4" t="str">
        <f t="shared" si="42"/>
        <v>-</v>
      </c>
      <c r="AS98" s="4" t="str">
        <f t="shared" si="43"/>
        <v>-</v>
      </c>
      <c r="AT98" s="4" t="str">
        <f t="shared" si="44"/>
        <v>-</v>
      </c>
      <c r="AU98" s="4" t="str">
        <f t="shared" si="45"/>
        <v>-</v>
      </c>
      <c r="AV98" s="4">
        <v>0</v>
      </c>
      <c r="AW98" s="4" t="s">
        <v>659</v>
      </c>
      <c r="AX98" s="4"/>
      <c r="AY98" s="4"/>
      <c r="AZ98" s="4" t="s">
        <v>654</v>
      </c>
      <c r="BA98" s="4">
        <v>113</v>
      </c>
      <c r="BB98" s="4">
        <v>113</v>
      </c>
      <c r="BC98" s="4">
        <f t="shared" si="46"/>
        <v>113</v>
      </c>
      <c r="BD98" s="19">
        <v>4</v>
      </c>
      <c r="BE98" s="19">
        <v>8</v>
      </c>
      <c r="BF98" s="16">
        <v>3</v>
      </c>
      <c r="BG98" s="36">
        <v>46174</v>
      </c>
      <c r="BH98" t="s">
        <v>410</v>
      </c>
      <c r="BI98">
        <v>150</v>
      </c>
      <c r="BJ98" s="4" t="s">
        <v>478</v>
      </c>
      <c r="BL98" s="44">
        <f t="shared" si="47"/>
        <v>1.0943912448700299E-2</v>
      </c>
      <c r="BM98" t="s">
        <v>792</v>
      </c>
    </row>
    <row r="99" spans="1:65" x14ac:dyDescent="0.4">
      <c r="A99" s="3">
        <v>223</v>
      </c>
      <c r="B99" s="3">
        <f t="shared" si="48"/>
        <v>96</v>
      </c>
      <c r="C99" s="33">
        <v>103794</v>
      </c>
      <c r="D99" s="4" t="s">
        <v>119</v>
      </c>
      <c r="E99" s="4">
        <v>104023</v>
      </c>
      <c r="F99" s="4" t="s">
        <v>388</v>
      </c>
      <c r="G99" s="5">
        <v>4977564687168</v>
      </c>
      <c r="H99" s="5">
        <v>8</v>
      </c>
      <c r="I99" s="5" t="str">
        <f t="shared" si="26"/>
        <v>1037948</v>
      </c>
      <c r="J99" s="5"/>
      <c r="K99" s="5"/>
      <c r="L99" s="4">
        <v>1700</v>
      </c>
      <c r="M99" s="4">
        <v>1211</v>
      </c>
      <c r="N99" s="4">
        <v>850</v>
      </c>
      <c r="O99" s="6">
        <f t="shared" si="27"/>
        <v>0.29810074318744839</v>
      </c>
      <c r="P99" s="4" t="s">
        <v>410</v>
      </c>
      <c r="Q99" s="4" t="s">
        <v>410</v>
      </c>
      <c r="R99" s="4" t="s">
        <v>410</v>
      </c>
      <c r="S99" s="4" t="s">
        <v>410</v>
      </c>
      <c r="T99" s="4" t="s">
        <v>410</v>
      </c>
      <c r="U99" s="4" t="s">
        <v>410</v>
      </c>
      <c r="V99" s="4">
        <v>180</v>
      </c>
      <c r="W99" s="4">
        <f t="shared" si="28"/>
        <v>1800</v>
      </c>
      <c r="X99" s="4">
        <v>90</v>
      </c>
      <c r="Y99" s="4">
        <f t="shared" si="29"/>
        <v>900</v>
      </c>
      <c r="Z99" s="4">
        <v>10</v>
      </c>
      <c r="AA99" s="21">
        <f t="shared" si="30"/>
        <v>1282</v>
      </c>
      <c r="AB99" s="6">
        <f t="shared" si="31"/>
        <v>0.29797191887675512</v>
      </c>
      <c r="AC99" s="4">
        <v>38.75</v>
      </c>
      <c r="AD99" s="4">
        <f t="shared" si="32"/>
        <v>1090</v>
      </c>
      <c r="AE99" s="4">
        <f t="shared" si="33"/>
        <v>1154.1176470588236</v>
      </c>
      <c r="AF99" s="6">
        <f t="shared" si="34"/>
        <v>0.22018348623853223</v>
      </c>
      <c r="AG99" s="7">
        <v>1300</v>
      </c>
      <c r="AH99" s="6">
        <f t="shared" si="35"/>
        <v>0.30769230769230771</v>
      </c>
      <c r="AI99" s="4">
        <f t="shared" si="36"/>
        <v>400</v>
      </c>
      <c r="AJ99" s="28"/>
      <c r="AK99" s="6"/>
      <c r="AL99" s="6"/>
      <c r="AM99" s="6">
        <f t="shared" si="37"/>
        <v>1.0588235294117647</v>
      </c>
      <c r="AN99" s="6">
        <f t="shared" si="38"/>
        <v>1.0734929810074318</v>
      </c>
      <c r="AO99" s="6">
        <f t="shared" si="39"/>
        <v>1.0588235294117647</v>
      </c>
      <c r="AP99" s="4" t="str">
        <f t="shared" si="40"/>
        <v>-</v>
      </c>
      <c r="AQ99" s="4" t="str">
        <f t="shared" si="41"/>
        <v>-</v>
      </c>
      <c r="AR99" s="4" t="str">
        <f t="shared" si="42"/>
        <v>-</v>
      </c>
      <c r="AS99" s="4" t="str">
        <f t="shared" si="43"/>
        <v>-</v>
      </c>
      <c r="AT99" s="4" t="str">
        <f t="shared" si="44"/>
        <v>-</v>
      </c>
      <c r="AU99" s="4" t="str">
        <f t="shared" si="45"/>
        <v>-</v>
      </c>
      <c r="AV99" s="4">
        <v>0</v>
      </c>
      <c r="AW99" s="4" t="s">
        <v>775</v>
      </c>
      <c r="AX99" s="4"/>
      <c r="AY99" s="4"/>
      <c r="AZ99" s="4" t="s">
        <v>770</v>
      </c>
      <c r="BA99" s="4">
        <v>1090</v>
      </c>
      <c r="BB99" s="4">
        <v>1090</v>
      </c>
      <c r="BC99" s="4">
        <f t="shared" si="46"/>
        <v>1090</v>
      </c>
      <c r="BD99" s="19">
        <v>4</v>
      </c>
      <c r="BE99" s="19">
        <v>8</v>
      </c>
      <c r="BF99" s="16">
        <v>3</v>
      </c>
      <c r="BG99" s="36">
        <v>46174</v>
      </c>
      <c r="BH99" t="s">
        <v>410</v>
      </c>
      <c r="BI99">
        <v>150</v>
      </c>
      <c r="BJ99" s="4" t="s">
        <v>573</v>
      </c>
      <c r="BK99">
        <v>2</v>
      </c>
      <c r="BL99" s="44">
        <f t="shared" si="47"/>
        <v>1.4669451595667127E-2</v>
      </c>
      <c r="BM99" t="s">
        <v>792</v>
      </c>
    </row>
    <row r="100" spans="1:65" x14ac:dyDescent="0.4">
      <c r="A100" s="3">
        <v>92</v>
      </c>
      <c r="B100" s="3">
        <f t="shared" si="48"/>
        <v>97</v>
      </c>
      <c r="C100" s="33">
        <v>103795</v>
      </c>
      <c r="D100" s="4" t="str">
        <f>TEXT(C100,"000000")</f>
        <v>103795</v>
      </c>
      <c r="E100" s="4">
        <v>103795</v>
      </c>
      <c r="F100" s="4" t="s">
        <v>270</v>
      </c>
      <c r="G100" s="5">
        <v>4977564705336</v>
      </c>
      <c r="H100" s="5">
        <v>5</v>
      </c>
      <c r="I100" s="5" t="str">
        <f t="shared" si="26"/>
        <v>1037955</v>
      </c>
      <c r="J100" s="5">
        <v>2</v>
      </c>
      <c r="K100" s="5">
        <v>2</v>
      </c>
      <c r="L100" s="4">
        <v>300</v>
      </c>
      <c r="M100" s="4">
        <v>228</v>
      </c>
      <c r="N100" s="4">
        <v>150</v>
      </c>
      <c r="O100" s="6">
        <f t="shared" si="27"/>
        <v>0.34210526315789469</v>
      </c>
      <c r="P100" s="4" t="s">
        <v>410</v>
      </c>
      <c r="Q100" s="4" t="s">
        <v>410</v>
      </c>
      <c r="R100" s="4" t="s">
        <v>410</v>
      </c>
      <c r="S100" s="4" t="s">
        <v>410</v>
      </c>
      <c r="T100" s="4" t="s">
        <v>410</v>
      </c>
      <c r="U100" s="4" t="s">
        <v>410</v>
      </c>
      <c r="V100" s="4">
        <v>340</v>
      </c>
      <c r="W100" s="4">
        <f t="shared" si="28"/>
        <v>340</v>
      </c>
      <c r="X100" s="4">
        <v>170</v>
      </c>
      <c r="Y100" s="4">
        <f t="shared" si="29"/>
        <v>170</v>
      </c>
      <c r="Z100" s="4"/>
      <c r="AA100" s="21">
        <f t="shared" si="30"/>
        <v>258</v>
      </c>
      <c r="AB100" s="6">
        <f t="shared" si="31"/>
        <v>0.34108527131782951</v>
      </c>
      <c r="AC100" s="4">
        <v>0</v>
      </c>
      <c r="AD100" s="4">
        <f t="shared" si="32"/>
        <v>300</v>
      </c>
      <c r="AE100" s="4">
        <f t="shared" si="33"/>
        <v>340</v>
      </c>
      <c r="AF100" s="6">
        <f t="shared" si="34"/>
        <v>0.5</v>
      </c>
      <c r="AG100" s="7">
        <v>258</v>
      </c>
      <c r="AH100" s="6">
        <f t="shared" si="35"/>
        <v>0.34108527131782951</v>
      </c>
      <c r="AI100" s="4">
        <f t="shared" si="36"/>
        <v>88</v>
      </c>
      <c r="AJ100" s="28"/>
      <c r="AK100" s="6"/>
      <c r="AL100" s="6"/>
      <c r="AM100" s="6">
        <f t="shared" si="37"/>
        <v>1.1333333333333333</v>
      </c>
      <c r="AN100" s="6">
        <f t="shared" si="38"/>
        <v>1.131578947368421</v>
      </c>
      <c r="AO100" s="6">
        <f t="shared" si="39"/>
        <v>1.1333333333333333</v>
      </c>
      <c r="AP100" s="4" t="str">
        <f t="shared" si="40"/>
        <v>-</v>
      </c>
      <c r="AQ100" s="4" t="str">
        <f t="shared" si="41"/>
        <v>-</v>
      </c>
      <c r="AR100" s="4" t="str">
        <f t="shared" si="42"/>
        <v>-</v>
      </c>
      <c r="AS100" s="4" t="str">
        <f t="shared" si="43"/>
        <v>-</v>
      </c>
      <c r="AT100" s="4" t="str">
        <f t="shared" si="44"/>
        <v>-</v>
      </c>
      <c r="AU100" s="4" t="str">
        <f t="shared" si="45"/>
        <v>-</v>
      </c>
      <c r="AV100" s="4">
        <v>0</v>
      </c>
      <c r="AW100" s="4" t="s">
        <v>660</v>
      </c>
      <c r="AX100" s="4">
        <v>1</v>
      </c>
      <c r="AY100" s="4">
        <v>5</v>
      </c>
      <c r="AZ100" s="4" t="s">
        <v>661</v>
      </c>
      <c r="BA100" s="4">
        <v>1500</v>
      </c>
      <c r="BB100" s="4">
        <v>1500</v>
      </c>
      <c r="BC100" s="4">
        <f t="shared" si="46"/>
        <v>300</v>
      </c>
      <c r="BD100" s="19">
        <v>4</v>
      </c>
      <c r="BE100" s="19">
        <v>8</v>
      </c>
      <c r="BF100" s="16">
        <v>3</v>
      </c>
      <c r="BG100" s="36">
        <v>46174</v>
      </c>
      <c r="BH100" t="s">
        <v>410</v>
      </c>
      <c r="BI100">
        <v>210</v>
      </c>
      <c r="BJ100" s="4" t="s">
        <v>479</v>
      </c>
      <c r="BL100" s="44">
        <f t="shared" si="47"/>
        <v>-1.7543859649122862E-3</v>
      </c>
      <c r="BM100" t="s">
        <v>792</v>
      </c>
    </row>
    <row r="101" spans="1:65" x14ac:dyDescent="0.4">
      <c r="A101" s="3">
        <v>224</v>
      </c>
      <c r="B101" s="3">
        <f t="shared" si="48"/>
        <v>98</v>
      </c>
      <c r="C101" s="33">
        <v>103795</v>
      </c>
      <c r="D101" s="4" t="s">
        <v>120</v>
      </c>
      <c r="E101" s="4">
        <v>104024</v>
      </c>
      <c r="F101" s="4" t="s">
        <v>389</v>
      </c>
      <c r="G101" s="5">
        <v>4977564705336</v>
      </c>
      <c r="H101" s="5">
        <v>8</v>
      </c>
      <c r="I101" s="5" t="str">
        <f t="shared" si="26"/>
        <v>1037958</v>
      </c>
      <c r="J101" s="5"/>
      <c r="K101" s="5"/>
      <c r="L101" s="4">
        <v>3000</v>
      </c>
      <c r="M101" s="4">
        <v>1923</v>
      </c>
      <c r="N101" s="4">
        <v>1500</v>
      </c>
      <c r="O101" s="6">
        <f t="shared" si="27"/>
        <v>0.21996879875195008</v>
      </c>
      <c r="P101" s="4" t="s">
        <v>410</v>
      </c>
      <c r="Q101" s="4" t="s">
        <v>410</v>
      </c>
      <c r="R101" s="4" t="s">
        <v>410</v>
      </c>
      <c r="S101" s="4" t="s">
        <v>410</v>
      </c>
      <c r="T101" s="4" t="s">
        <v>410</v>
      </c>
      <c r="U101" s="4" t="s">
        <v>410</v>
      </c>
      <c r="V101" s="4">
        <v>340</v>
      </c>
      <c r="W101" s="4">
        <f t="shared" si="28"/>
        <v>3400</v>
      </c>
      <c r="X101" s="4">
        <v>170</v>
      </c>
      <c r="Y101" s="4">
        <f t="shared" si="29"/>
        <v>1700</v>
      </c>
      <c r="Z101" s="4">
        <v>10</v>
      </c>
      <c r="AA101" s="21">
        <f t="shared" si="30"/>
        <v>2179</v>
      </c>
      <c r="AB101" s="6">
        <f t="shared" si="31"/>
        <v>0.21982560807709961</v>
      </c>
      <c r="AC101" s="4">
        <v>0</v>
      </c>
      <c r="AD101" s="4">
        <f t="shared" si="32"/>
        <v>3000</v>
      </c>
      <c r="AE101" s="4">
        <f t="shared" si="33"/>
        <v>3400</v>
      </c>
      <c r="AF101" s="6">
        <f t="shared" si="34"/>
        <v>0.5</v>
      </c>
      <c r="AG101" s="7">
        <v>2380</v>
      </c>
      <c r="AH101" s="6">
        <f t="shared" si="35"/>
        <v>0.2857142857142857</v>
      </c>
      <c r="AI101" s="4">
        <f t="shared" si="36"/>
        <v>680</v>
      </c>
      <c r="AJ101" s="28"/>
      <c r="AK101" s="6"/>
      <c r="AL101" s="6"/>
      <c r="AM101" s="6">
        <f t="shared" si="37"/>
        <v>1.1333333333333333</v>
      </c>
      <c r="AN101" s="6">
        <f t="shared" si="38"/>
        <v>1.2376495059802393</v>
      </c>
      <c r="AO101" s="6">
        <f t="shared" si="39"/>
        <v>1.1333333333333333</v>
      </c>
      <c r="AP101" s="4" t="str">
        <f t="shared" si="40"/>
        <v>-</v>
      </c>
      <c r="AQ101" s="4" t="str">
        <f t="shared" si="41"/>
        <v>-</v>
      </c>
      <c r="AR101" s="4" t="str">
        <f t="shared" si="42"/>
        <v>-</v>
      </c>
      <c r="AS101" s="4" t="str">
        <f t="shared" si="43"/>
        <v>-</v>
      </c>
      <c r="AT101" s="4" t="str">
        <f t="shared" si="44"/>
        <v>-</v>
      </c>
      <c r="AU101" s="4" t="str">
        <f t="shared" si="45"/>
        <v>-</v>
      </c>
      <c r="AV101" s="4">
        <v>0</v>
      </c>
      <c r="AW101" s="4" t="s">
        <v>660</v>
      </c>
      <c r="AX101" s="4">
        <v>10</v>
      </c>
      <c r="AY101" s="4">
        <v>5</v>
      </c>
      <c r="AZ101" s="4" t="s">
        <v>661</v>
      </c>
      <c r="BA101" s="4">
        <v>1500</v>
      </c>
      <c r="BB101" s="4">
        <v>1500</v>
      </c>
      <c r="BC101" s="4">
        <f t="shared" si="46"/>
        <v>3000</v>
      </c>
      <c r="BD101" s="19">
        <v>4</v>
      </c>
      <c r="BE101" s="19">
        <v>8</v>
      </c>
      <c r="BF101" s="16">
        <v>3</v>
      </c>
      <c r="BG101" s="36">
        <v>46174</v>
      </c>
      <c r="BH101" t="s">
        <v>410</v>
      </c>
      <c r="BI101">
        <v>210</v>
      </c>
      <c r="BJ101" s="4" t="s">
        <v>479</v>
      </c>
      <c r="BK101">
        <v>2</v>
      </c>
      <c r="BL101" s="44">
        <f t="shared" si="47"/>
        <v>0.10431617264690596</v>
      </c>
      <c r="BM101" t="s">
        <v>792</v>
      </c>
    </row>
    <row r="102" spans="1:65" x14ac:dyDescent="0.4">
      <c r="A102" s="3">
        <v>93</v>
      </c>
      <c r="B102" s="3">
        <f t="shared" si="48"/>
        <v>99</v>
      </c>
      <c r="C102" s="33">
        <v>103796</v>
      </c>
      <c r="D102" s="4" t="str">
        <f>TEXT(C102,"000000")</f>
        <v>103796</v>
      </c>
      <c r="E102" s="4">
        <v>103796</v>
      </c>
      <c r="F102" s="4" t="s">
        <v>271</v>
      </c>
      <c r="G102" s="5">
        <v>4977564705343</v>
      </c>
      <c r="H102" s="5">
        <v>5</v>
      </c>
      <c r="I102" s="5" t="str">
        <f t="shared" si="26"/>
        <v>1037965</v>
      </c>
      <c r="J102" s="5">
        <v>2</v>
      </c>
      <c r="K102" s="5">
        <v>2</v>
      </c>
      <c r="L102" s="4">
        <v>300</v>
      </c>
      <c r="M102" s="4">
        <v>228</v>
      </c>
      <c r="N102" s="4">
        <v>150</v>
      </c>
      <c r="O102" s="6">
        <f t="shared" si="27"/>
        <v>0.34210526315789469</v>
      </c>
      <c r="P102" s="4" t="s">
        <v>410</v>
      </c>
      <c r="Q102" s="4" t="s">
        <v>410</v>
      </c>
      <c r="R102" s="4" t="s">
        <v>410</v>
      </c>
      <c r="S102" s="4" t="s">
        <v>410</v>
      </c>
      <c r="T102" s="4" t="s">
        <v>410</v>
      </c>
      <c r="U102" s="4" t="s">
        <v>410</v>
      </c>
      <c r="V102" s="4">
        <v>340</v>
      </c>
      <c r="W102" s="4">
        <f t="shared" si="28"/>
        <v>340</v>
      </c>
      <c r="X102" s="4">
        <v>170</v>
      </c>
      <c r="Y102" s="4">
        <f t="shared" si="29"/>
        <v>170</v>
      </c>
      <c r="Z102" s="4"/>
      <c r="AA102" s="21">
        <f t="shared" si="30"/>
        <v>258</v>
      </c>
      <c r="AB102" s="6">
        <f t="shared" si="31"/>
        <v>0.34108527131782951</v>
      </c>
      <c r="AC102" s="4">
        <v>0</v>
      </c>
      <c r="AD102" s="4">
        <f t="shared" si="32"/>
        <v>300</v>
      </c>
      <c r="AE102" s="4">
        <f t="shared" si="33"/>
        <v>340</v>
      </c>
      <c r="AF102" s="6">
        <f t="shared" si="34"/>
        <v>0.5</v>
      </c>
      <c r="AG102" s="7">
        <v>258</v>
      </c>
      <c r="AH102" s="6">
        <f t="shared" si="35"/>
        <v>0.34108527131782951</v>
      </c>
      <c r="AI102" s="4">
        <f t="shared" si="36"/>
        <v>88</v>
      </c>
      <c r="AJ102" s="28"/>
      <c r="AK102" s="6"/>
      <c r="AL102" s="6"/>
      <c r="AM102" s="6">
        <f t="shared" si="37"/>
        <v>1.1333333333333333</v>
      </c>
      <c r="AN102" s="6">
        <f t="shared" si="38"/>
        <v>1.131578947368421</v>
      </c>
      <c r="AO102" s="6">
        <f t="shared" si="39"/>
        <v>1.1333333333333333</v>
      </c>
      <c r="AP102" s="4" t="str">
        <f t="shared" si="40"/>
        <v>-</v>
      </c>
      <c r="AQ102" s="4" t="str">
        <f t="shared" si="41"/>
        <v>-</v>
      </c>
      <c r="AR102" s="4" t="str">
        <f t="shared" si="42"/>
        <v>-</v>
      </c>
      <c r="AS102" s="4" t="str">
        <f t="shared" si="43"/>
        <v>-</v>
      </c>
      <c r="AT102" s="4" t="str">
        <f t="shared" si="44"/>
        <v>-</v>
      </c>
      <c r="AU102" s="4" t="str">
        <f t="shared" si="45"/>
        <v>-</v>
      </c>
      <c r="AV102" s="4">
        <v>0</v>
      </c>
      <c r="AW102" s="4" t="s">
        <v>662</v>
      </c>
      <c r="AX102" s="4">
        <v>1</v>
      </c>
      <c r="AY102" s="4">
        <v>5</v>
      </c>
      <c r="AZ102" s="4" t="s">
        <v>661</v>
      </c>
      <c r="BA102" s="4">
        <v>1500</v>
      </c>
      <c r="BB102" s="4">
        <v>1500</v>
      </c>
      <c r="BC102" s="4">
        <f t="shared" si="46"/>
        <v>300</v>
      </c>
      <c r="BD102" s="19">
        <v>4</v>
      </c>
      <c r="BE102" s="19">
        <v>8</v>
      </c>
      <c r="BF102" s="16">
        <v>3</v>
      </c>
      <c r="BG102" s="36">
        <v>46174</v>
      </c>
      <c r="BH102" t="s">
        <v>410</v>
      </c>
      <c r="BI102" t="s">
        <v>410</v>
      </c>
      <c r="BJ102" s="4" t="s">
        <v>480</v>
      </c>
      <c r="BL102" s="44">
        <f t="shared" si="47"/>
        <v>-1.7543859649122862E-3</v>
      </c>
      <c r="BM102" t="s">
        <v>792</v>
      </c>
    </row>
    <row r="103" spans="1:65" x14ac:dyDescent="0.4">
      <c r="A103" s="3">
        <v>225</v>
      </c>
      <c r="B103" s="3">
        <f t="shared" si="48"/>
        <v>100</v>
      </c>
      <c r="C103" s="33">
        <v>103796</v>
      </c>
      <c r="D103" s="4" t="s">
        <v>121</v>
      </c>
      <c r="E103" s="4">
        <v>104025</v>
      </c>
      <c r="F103" s="4" t="s">
        <v>390</v>
      </c>
      <c r="G103" s="5">
        <v>4977564705343</v>
      </c>
      <c r="H103" s="5">
        <v>8</v>
      </c>
      <c r="I103" s="5" t="str">
        <f t="shared" si="26"/>
        <v>1037968</v>
      </c>
      <c r="J103" s="5"/>
      <c r="K103" s="5"/>
      <c r="L103" s="4">
        <v>3000</v>
      </c>
      <c r="M103" s="4">
        <v>1923</v>
      </c>
      <c r="N103" s="4">
        <v>1500</v>
      </c>
      <c r="O103" s="6">
        <f t="shared" si="27"/>
        <v>0.21996879875195008</v>
      </c>
      <c r="P103" s="4" t="s">
        <v>410</v>
      </c>
      <c r="Q103" s="4" t="s">
        <v>410</v>
      </c>
      <c r="R103" s="4" t="s">
        <v>410</v>
      </c>
      <c r="S103" s="4" t="s">
        <v>410</v>
      </c>
      <c r="T103" s="4" t="s">
        <v>410</v>
      </c>
      <c r="U103" s="4" t="s">
        <v>410</v>
      </c>
      <c r="V103" s="4">
        <v>340</v>
      </c>
      <c r="W103" s="4">
        <f t="shared" si="28"/>
        <v>3400</v>
      </c>
      <c r="X103" s="4">
        <v>170</v>
      </c>
      <c r="Y103" s="4">
        <f t="shared" si="29"/>
        <v>1700</v>
      </c>
      <c r="Z103" s="4">
        <v>10</v>
      </c>
      <c r="AA103" s="21">
        <f t="shared" si="30"/>
        <v>2179</v>
      </c>
      <c r="AB103" s="6">
        <f t="shared" si="31"/>
        <v>0.21982560807709961</v>
      </c>
      <c r="AC103" s="4">
        <v>0</v>
      </c>
      <c r="AD103" s="4">
        <f t="shared" si="32"/>
        <v>3000</v>
      </c>
      <c r="AE103" s="4">
        <f t="shared" si="33"/>
        <v>3400</v>
      </c>
      <c r="AF103" s="6">
        <f t="shared" si="34"/>
        <v>0.5</v>
      </c>
      <c r="AG103" s="7">
        <v>2380</v>
      </c>
      <c r="AH103" s="6">
        <f t="shared" si="35"/>
        <v>0.2857142857142857</v>
      </c>
      <c r="AI103" s="4">
        <f t="shared" si="36"/>
        <v>680</v>
      </c>
      <c r="AJ103" s="28"/>
      <c r="AK103" s="6"/>
      <c r="AL103" s="6"/>
      <c r="AM103" s="6">
        <f t="shared" si="37"/>
        <v>1.1333333333333333</v>
      </c>
      <c r="AN103" s="6">
        <f t="shared" si="38"/>
        <v>1.2376495059802393</v>
      </c>
      <c r="AO103" s="6">
        <f t="shared" si="39"/>
        <v>1.1333333333333333</v>
      </c>
      <c r="AP103" s="4" t="str">
        <f t="shared" si="40"/>
        <v>-</v>
      </c>
      <c r="AQ103" s="4" t="str">
        <f t="shared" si="41"/>
        <v>-</v>
      </c>
      <c r="AR103" s="4" t="str">
        <f t="shared" si="42"/>
        <v>-</v>
      </c>
      <c r="AS103" s="4" t="str">
        <f t="shared" si="43"/>
        <v>-</v>
      </c>
      <c r="AT103" s="4" t="str">
        <f t="shared" si="44"/>
        <v>-</v>
      </c>
      <c r="AU103" s="4" t="str">
        <f t="shared" si="45"/>
        <v>-</v>
      </c>
      <c r="AV103" s="4">
        <v>0</v>
      </c>
      <c r="AW103" s="4" t="s">
        <v>662</v>
      </c>
      <c r="AX103" s="4">
        <v>10</v>
      </c>
      <c r="AY103" s="4">
        <v>5</v>
      </c>
      <c r="AZ103" s="4" t="s">
        <v>661</v>
      </c>
      <c r="BA103" s="4">
        <v>1500</v>
      </c>
      <c r="BB103" s="4">
        <v>1500</v>
      </c>
      <c r="BC103" s="4">
        <f t="shared" si="46"/>
        <v>3000</v>
      </c>
      <c r="BD103" s="19">
        <v>4</v>
      </c>
      <c r="BE103" s="19">
        <v>8</v>
      </c>
      <c r="BF103" s="16">
        <v>3</v>
      </c>
      <c r="BG103" s="36">
        <v>46174</v>
      </c>
      <c r="BH103" t="s">
        <v>410</v>
      </c>
      <c r="BI103" t="s">
        <v>410</v>
      </c>
      <c r="BJ103" s="4" t="s">
        <v>480</v>
      </c>
      <c r="BK103">
        <v>2</v>
      </c>
      <c r="BL103" s="44">
        <f t="shared" si="47"/>
        <v>0.10431617264690596</v>
      </c>
      <c r="BM103" t="s">
        <v>792</v>
      </c>
    </row>
    <row r="104" spans="1:65" x14ac:dyDescent="0.4">
      <c r="A104" s="3">
        <v>94</v>
      </c>
      <c r="B104" s="3">
        <f t="shared" si="48"/>
        <v>101</v>
      </c>
      <c r="C104" s="33">
        <v>103798</v>
      </c>
      <c r="D104" s="4" t="str">
        <f>TEXT(C104,"000000")</f>
        <v>103798</v>
      </c>
      <c r="E104" s="4">
        <v>103798</v>
      </c>
      <c r="F104" s="4" t="s">
        <v>272</v>
      </c>
      <c r="G104" s="5">
        <v>4977564705350</v>
      </c>
      <c r="H104" s="5">
        <v>5</v>
      </c>
      <c r="I104" s="5" t="str">
        <f t="shared" si="26"/>
        <v>1037985</v>
      </c>
      <c r="J104" s="5">
        <v>2</v>
      </c>
      <c r="K104" s="5">
        <v>2</v>
      </c>
      <c r="L104" s="4">
        <v>300</v>
      </c>
      <c r="M104" s="4">
        <v>228</v>
      </c>
      <c r="N104" s="4">
        <v>150</v>
      </c>
      <c r="O104" s="6">
        <f t="shared" si="27"/>
        <v>0.34210526315789469</v>
      </c>
      <c r="P104" s="4" t="s">
        <v>410</v>
      </c>
      <c r="Q104" s="4" t="s">
        <v>410</v>
      </c>
      <c r="R104" s="4" t="s">
        <v>410</v>
      </c>
      <c r="S104" s="4" t="s">
        <v>410</v>
      </c>
      <c r="T104" s="4" t="s">
        <v>410</v>
      </c>
      <c r="U104" s="4" t="s">
        <v>410</v>
      </c>
      <c r="V104" s="4">
        <v>340</v>
      </c>
      <c r="W104" s="4">
        <f t="shared" si="28"/>
        <v>340</v>
      </c>
      <c r="X104" s="4">
        <v>170</v>
      </c>
      <c r="Y104" s="4">
        <f t="shared" si="29"/>
        <v>170</v>
      </c>
      <c r="Z104" s="4"/>
      <c r="AA104" s="21">
        <f t="shared" si="30"/>
        <v>258</v>
      </c>
      <c r="AB104" s="6">
        <f t="shared" si="31"/>
        <v>0.34108527131782951</v>
      </c>
      <c r="AC104" s="4">
        <v>0</v>
      </c>
      <c r="AD104" s="4">
        <f t="shared" si="32"/>
        <v>300</v>
      </c>
      <c r="AE104" s="4">
        <f t="shared" si="33"/>
        <v>340</v>
      </c>
      <c r="AF104" s="6">
        <f t="shared" si="34"/>
        <v>0.5</v>
      </c>
      <c r="AG104" s="7">
        <v>258</v>
      </c>
      <c r="AH104" s="6">
        <f t="shared" si="35"/>
        <v>0.34108527131782951</v>
      </c>
      <c r="AI104" s="4">
        <f t="shared" si="36"/>
        <v>88</v>
      </c>
      <c r="AJ104" s="28"/>
      <c r="AK104" s="6"/>
      <c r="AL104" s="6"/>
      <c r="AM104" s="6">
        <f t="shared" si="37"/>
        <v>1.1333333333333333</v>
      </c>
      <c r="AN104" s="6">
        <f t="shared" si="38"/>
        <v>1.131578947368421</v>
      </c>
      <c r="AO104" s="6">
        <f t="shared" si="39"/>
        <v>1.1333333333333333</v>
      </c>
      <c r="AP104" s="4" t="str">
        <f t="shared" si="40"/>
        <v>-</v>
      </c>
      <c r="AQ104" s="4" t="str">
        <f t="shared" si="41"/>
        <v>-</v>
      </c>
      <c r="AR104" s="4" t="str">
        <f t="shared" si="42"/>
        <v>-</v>
      </c>
      <c r="AS104" s="4" t="str">
        <f t="shared" si="43"/>
        <v>-</v>
      </c>
      <c r="AT104" s="4" t="str">
        <f t="shared" si="44"/>
        <v>-</v>
      </c>
      <c r="AU104" s="4" t="str">
        <f t="shared" si="45"/>
        <v>-</v>
      </c>
      <c r="AV104" s="4">
        <v>0</v>
      </c>
      <c r="AW104" s="4" t="s">
        <v>663</v>
      </c>
      <c r="AX104" s="4">
        <v>1</v>
      </c>
      <c r="AY104" s="4">
        <v>5</v>
      </c>
      <c r="AZ104" s="4" t="s">
        <v>661</v>
      </c>
      <c r="BA104" s="4">
        <v>1500</v>
      </c>
      <c r="BB104" s="4">
        <v>1500</v>
      </c>
      <c r="BC104" s="4">
        <f t="shared" si="46"/>
        <v>300</v>
      </c>
      <c r="BD104" s="19">
        <v>4</v>
      </c>
      <c r="BE104" s="19">
        <v>8</v>
      </c>
      <c r="BF104" s="16">
        <v>3</v>
      </c>
      <c r="BG104" s="36">
        <v>46174</v>
      </c>
      <c r="BH104" t="s">
        <v>410</v>
      </c>
      <c r="BI104">
        <v>210</v>
      </c>
      <c r="BJ104" s="4" t="s">
        <v>481</v>
      </c>
      <c r="BL104" s="44">
        <f t="shared" si="47"/>
        <v>-1.7543859649122862E-3</v>
      </c>
      <c r="BM104" t="s">
        <v>792</v>
      </c>
    </row>
    <row r="105" spans="1:65" x14ac:dyDescent="0.4">
      <c r="A105" s="3">
        <v>226</v>
      </c>
      <c r="B105" s="3">
        <f t="shared" si="48"/>
        <v>102</v>
      </c>
      <c r="C105" s="33">
        <v>103798</v>
      </c>
      <c r="D105" s="4" t="s">
        <v>122</v>
      </c>
      <c r="E105" s="4">
        <v>104026</v>
      </c>
      <c r="F105" s="4" t="s">
        <v>391</v>
      </c>
      <c r="G105" s="5">
        <v>4977564705350</v>
      </c>
      <c r="H105" s="5">
        <v>8</v>
      </c>
      <c r="I105" s="5" t="str">
        <f t="shared" si="26"/>
        <v>1037988</v>
      </c>
      <c r="J105" s="5"/>
      <c r="K105" s="5"/>
      <c r="L105" s="4">
        <v>3000</v>
      </c>
      <c r="M105" s="4">
        <v>1923</v>
      </c>
      <c r="N105" s="4">
        <v>1500</v>
      </c>
      <c r="O105" s="6">
        <f t="shared" si="27"/>
        <v>0.21996879875195008</v>
      </c>
      <c r="P105" s="4" t="s">
        <v>410</v>
      </c>
      <c r="Q105" s="4" t="s">
        <v>410</v>
      </c>
      <c r="R105" s="4" t="s">
        <v>410</v>
      </c>
      <c r="S105" s="4" t="s">
        <v>410</v>
      </c>
      <c r="T105" s="4" t="s">
        <v>410</v>
      </c>
      <c r="U105" s="4" t="s">
        <v>410</v>
      </c>
      <c r="V105" s="4">
        <v>340</v>
      </c>
      <c r="W105" s="4">
        <f t="shared" si="28"/>
        <v>3400</v>
      </c>
      <c r="X105" s="4">
        <v>170</v>
      </c>
      <c r="Y105" s="4">
        <f t="shared" si="29"/>
        <v>1700</v>
      </c>
      <c r="Z105" s="4">
        <v>10</v>
      </c>
      <c r="AA105" s="21">
        <f t="shared" si="30"/>
        <v>2179</v>
      </c>
      <c r="AB105" s="6">
        <f t="shared" si="31"/>
        <v>0.21982560807709961</v>
      </c>
      <c r="AC105" s="4">
        <v>0</v>
      </c>
      <c r="AD105" s="4">
        <f t="shared" si="32"/>
        <v>3000</v>
      </c>
      <c r="AE105" s="4">
        <f t="shared" si="33"/>
        <v>3400</v>
      </c>
      <c r="AF105" s="6">
        <f t="shared" si="34"/>
        <v>0.5</v>
      </c>
      <c r="AG105" s="7">
        <v>2380</v>
      </c>
      <c r="AH105" s="6">
        <f t="shared" si="35"/>
        <v>0.2857142857142857</v>
      </c>
      <c r="AI105" s="4">
        <f t="shared" si="36"/>
        <v>680</v>
      </c>
      <c r="AJ105" s="28"/>
      <c r="AK105" s="6"/>
      <c r="AL105" s="6"/>
      <c r="AM105" s="6">
        <f t="shared" si="37"/>
        <v>1.1333333333333333</v>
      </c>
      <c r="AN105" s="6">
        <f t="shared" si="38"/>
        <v>1.2376495059802393</v>
      </c>
      <c r="AO105" s="6">
        <f t="shared" si="39"/>
        <v>1.1333333333333333</v>
      </c>
      <c r="AP105" s="4" t="str">
        <f t="shared" si="40"/>
        <v>-</v>
      </c>
      <c r="AQ105" s="4" t="str">
        <f t="shared" si="41"/>
        <v>-</v>
      </c>
      <c r="AR105" s="4" t="str">
        <f t="shared" si="42"/>
        <v>-</v>
      </c>
      <c r="AS105" s="4" t="str">
        <f t="shared" si="43"/>
        <v>-</v>
      </c>
      <c r="AT105" s="4" t="str">
        <f t="shared" si="44"/>
        <v>-</v>
      </c>
      <c r="AU105" s="4" t="str">
        <f t="shared" si="45"/>
        <v>-</v>
      </c>
      <c r="AV105" s="4">
        <v>0</v>
      </c>
      <c r="AW105" s="4" t="s">
        <v>663</v>
      </c>
      <c r="AX105" s="4">
        <v>10</v>
      </c>
      <c r="AY105" s="4">
        <v>5</v>
      </c>
      <c r="AZ105" s="4" t="s">
        <v>661</v>
      </c>
      <c r="BA105" s="4">
        <v>1500</v>
      </c>
      <c r="BB105" s="4">
        <v>1500</v>
      </c>
      <c r="BC105" s="4">
        <f t="shared" si="46"/>
        <v>3000</v>
      </c>
      <c r="BD105" s="19">
        <v>4</v>
      </c>
      <c r="BE105" s="19">
        <v>8</v>
      </c>
      <c r="BF105" s="16">
        <v>3</v>
      </c>
      <c r="BG105" s="36">
        <v>46174</v>
      </c>
      <c r="BH105" t="s">
        <v>410</v>
      </c>
      <c r="BI105">
        <v>210</v>
      </c>
      <c r="BJ105" s="4" t="s">
        <v>481</v>
      </c>
      <c r="BK105">
        <v>2</v>
      </c>
      <c r="BL105" s="44">
        <f t="shared" si="47"/>
        <v>0.10431617264690596</v>
      </c>
      <c r="BM105" t="s">
        <v>792</v>
      </c>
    </row>
    <row r="106" spans="1:65" x14ac:dyDescent="0.4">
      <c r="A106" s="3">
        <v>95</v>
      </c>
      <c r="B106" s="3">
        <f t="shared" si="48"/>
        <v>103</v>
      </c>
      <c r="C106" s="33">
        <v>103799</v>
      </c>
      <c r="D106" s="4" t="str">
        <f>TEXT(C106,"000000")</f>
        <v>103799</v>
      </c>
      <c r="E106" s="4">
        <v>103799</v>
      </c>
      <c r="F106" s="4" t="s">
        <v>273</v>
      </c>
      <c r="G106" s="5">
        <v>4977564705367</v>
      </c>
      <c r="H106" s="5">
        <v>5</v>
      </c>
      <c r="I106" s="5" t="str">
        <f t="shared" si="26"/>
        <v>1037995</v>
      </c>
      <c r="J106" s="5">
        <v>2</v>
      </c>
      <c r="K106" s="5">
        <v>2</v>
      </c>
      <c r="L106" s="4">
        <v>300</v>
      </c>
      <c r="M106" s="4">
        <v>228</v>
      </c>
      <c r="N106" s="4">
        <v>150</v>
      </c>
      <c r="O106" s="6">
        <f t="shared" si="27"/>
        <v>0.34210526315789469</v>
      </c>
      <c r="P106" s="4" t="s">
        <v>410</v>
      </c>
      <c r="Q106" s="4" t="s">
        <v>410</v>
      </c>
      <c r="R106" s="4" t="s">
        <v>410</v>
      </c>
      <c r="S106" s="4" t="s">
        <v>410</v>
      </c>
      <c r="T106" s="4" t="s">
        <v>410</v>
      </c>
      <c r="U106" s="4" t="s">
        <v>410</v>
      </c>
      <c r="V106" s="4">
        <v>340</v>
      </c>
      <c r="W106" s="4">
        <f t="shared" si="28"/>
        <v>340</v>
      </c>
      <c r="X106" s="4">
        <v>170</v>
      </c>
      <c r="Y106" s="4">
        <f t="shared" si="29"/>
        <v>170</v>
      </c>
      <c r="Z106" s="4"/>
      <c r="AA106" s="21">
        <f t="shared" si="30"/>
        <v>258</v>
      </c>
      <c r="AB106" s="6">
        <f t="shared" si="31"/>
        <v>0.34108527131782951</v>
      </c>
      <c r="AC106" s="4">
        <v>0</v>
      </c>
      <c r="AD106" s="4">
        <f t="shared" si="32"/>
        <v>300</v>
      </c>
      <c r="AE106" s="4">
        <f t="shared" si="33"/>
        <v>340</v>
      </c>
      <c r="AF106" s="6">
        <f t="shared" si="34"/>
        <v>0.5</v>
      </c>
      <c r="AG106" s="7">
        <v>258</v>
      </c>
      <c r="AH106" s="6">
        <f t="shared" si="35"/>
        <v>0.34108527131782951</v>
      </c>
      <c r="AI106" s="4">
        <f t="shared" si="36"/>
        <v>88</v>
      </c>
      <c r="AJ106" s="28"/>
      <c r="AK106" s="6"/>
      <c r="AL106" s="6"/>
      <c r="AM106" s="6">
        <f t="shared" si="37"/>
        <v>1.1333333333333333</v>
      </c>
      <c r="AN106" s="6">
        <f t="shared" si="38"/>
        <v>1.131578947368421</v>
      </c>
      <c r="AO106" s="6">
        <f t="shared" si="39"/>
        <v>1.1333333333333333</v>
      </c>
      <c r="AP106" s="4" t="str">
        <f t="shared" si="40"/>
        <v>-</v>
      </c>
      <c r="AQ106" s="4" t="str">
        <f t="shared" si="41"/>
        <v>-</v>
      </c>
      <c r="AR106" s="4" t="str">
        <f t="shared" si="42"/>
        <v>-</v>
      </c>
      <c r="AS106" s="4" t="str">
        <f t="shared" si="43"/>
        <v>-</v>
      </c>
      <c r="AT106" s="4" t="str">
        <f t="shared" si="44"/>
        <v>-</v>
      </c>
      <c r="AU106" s="4" t="str">
        <f t="shared" si="45"/>
        <v>-</v>
      </c>
      <c r="AV106" s="4">
        <v>0</v>
      </c>
      <c r="AW106" s="4" t="s">
        <v>664</v>
      </c>
      <c r="AX106" s="4">
        <v>1</v>
      </c>
      <c r="AY106" s="4">
        <v>5</v>
      </c>
      <c r="AZ106" s="4" t="s">
        <v>661</v>
      </c>
      <c r="BA106" s="4">
        <v>1500</v>
      </c>
      <c r="BB106" s="4">
        <v>1500</v>
      </c>
      <c r="BC106" s="4">
        <f t="shared" si="46"/>
        <v>300</v>
      </c>
      <c r="BD106" s="19">
        <v>4</v>
      </c>
      <c r="BE106" s="19">
        <v>8</v>
      </c>
      <c r="BF106" s="16">
        <v>3</v>
      </c>
      <c r="BG106" s="36">
        <v>46174</v>
      </c>
      <c r="BH106" t="s">
        <v>410</v>
      </c>
      <c r="BI106" t="s">
        <v>410</v>
      </c>
      <c r="BJ106" s="4" t="s">
        <v>482</v>
      </c>
      <c r="BL106" s="44">
        <f t="shared" si="47"/>
        <v>-1.7543859649122862E-3</v>
      </c>
      <c r="BM106" t="s">
        <v>792</v>
      </c>
    </row>
    <row r="107" spans="1:65" x14ac:dyDescent="0.4">
      <c r="A107" s="3">
        <v>227</v>
      </c>
      <c r="B107" s="3">
        <f t="shared" si="48"/>
        <v>104</v>
      </c>
      <c r="C107" s="33">
        <v>103799</v>
      </c>
      <c r="D107" s="4" t="s">
        <v>123</v>
      </c>
      <c r="E107" s="4">
        <v>104027</v>
      </c>
      <c r="F107" s="4" t="s">
        <v>392</v>
      </c>
      <c r="G107" s="5">
        <v>4977564705367</v>
      </c>
      <c r="H107" s="5">
        <v>8</v>
      </c>
      <c r="I107" s="5" t="str">
        <f t="shared" si="26"/>
        <v>1037998</v>
      </c>
      <c r="J107" s="5"/>
      <c r="K107" s="5"/>
      <c r="L107" s="4">
        <v>3000</v>
      </c>
      <c r="M107" s="4">
        <v>1923</v>
      </c>
      <c r="N107" s="4">
        <v>1500</v>
      </c>
      <c r="O107" s="6">
        <f t="shared" si="27"/>
        <v>0.21996879875195008</v>
      </c>
      <c r="P107" s="4" t="s">
        <v>410</v>
      </c>
      <c r="Q107" s="4" t="s">
        <v>410</v>
      </c>
      <c r="R107" s="4" t="s">
        <v>410</v>
      </c>
      <c r="S107" s="4" t="s">
        <v>410</v>
      </c>
      <c r="T107" s="4" t="s">
        <v>410</v>
      </c>
      <c r="U107" s="4" t="s">
        <v>410</v>
      </c>
      <c r="V107" s="4">
        <v>340</v>
      </c>
      <c r="W107" s="4">
        <f t="shared" si="28"/>
        <v>3400</v>
      </c>
      <c r="X107" s="4">
        <v>170</v>
      </c>
      <c r="Y107" s="4">
        <f t="shared" si="29"/>
        <v>1700</v>
      </c>
      <c r="Z107" s="4">
        <v>10</v>
      </c>
      <c r="AA107" s="21">
        <f t="shared" si="30"/>
        <v>2179</v>
      </c>
      <c r="AB107" s="6">
        <f t="shared" si="31"/>
        <v>0.21982560807709961</v>
      </c>
      <c r="AC107" s="4">
        <v>0</v>
      </c>
      <c r="AD107" s="4">
        <f t="shared" si="32"/>
        <v>3000</v>
      </c>
      <c r="AE107" s="4">
        <f t="shared" si="33"/>
        <v>3400</v>
      </c>
      <c r="AF107" s="6">
        <f t="shared" si="34"/>
        <v>0.5</v>
      </c>
      <c r="AG107" s="7">
        <v>2380</v>
      </c>
      <c r="AH107" s="6">
        <f t="shared" si="35"/>
        <v>0.2857142857142857</v>
      </c>
      <c r="AI107" s="4">
        <f t="shared" si="36"/>
        <v>680</v>
      </c>
      <c r="AJ107" s="28"/>
      <c r="AK107" s="6"/>
      <c r="AL107" s="6"/>
      <c r="AM107" s="6">
        <f t="shared" si="37"/>
        <v>1.1333333333333333</v>
      </c>
      <c r="AN107" s="6">
        <f t="shared" si="38"/>
        <v>1.2376495059802393</v>
      </c>
      <c r="AO107" s="6">
        <f t="shared" si="39"/>
        <v>1.1333333333333333</v>
      </c>
      <c r="AP107" s="4" t="str">
        <f t="shared" si="40"/>
        <v>-</v>
      </c>
      <c r="AQ107" s="4" t="str">
        <f t="shared" si="41"/>
        <v>-</v>
      </c>
      <c r="AR107" s="4" t="str">
        <f t="shared" si="42"/>
        <v>-</v>
      </c>
      <c r="AS107" s="4" t="str">
        <f t="shared" si="43"/>
        <v>-</v>
      </c>
      <c r="AT107" s="4" t="str">
        <f t="shared" si="44"/>
        <v>-</v>
      </c>
      <c r="AU107" s="4" t="str">
        <f t="shared" si="45"/>
        <v>-</v>
      </c>
      <c r="AV107" s="4">
        <v>0</v>
      </c>
      <c r="AW107" s="4" t="s">
        <v>664</v>
      </c>
      <c r="AX107" s="4">
        <v>10</v>
      </c>
      <c r="AY107" s="4">
        <v>5</v>
      </c>
      <c r="AZ107" s="4" t="s">
        <v>661</v>
      </c>
      <c r="BA107" s="4">
        <v>1500</v>
      </c>
      <c r="BB107" s="4">
        <v>1500</v>
      </c>
      <c r="BC107" s="4">
        <f t="shared" si="46"/>
        <v>3000</v>
      </c>
      <c r="BD107" s="19">
        <v>4</v>
      </c>
      <c r="BE107" s="19">
        <v>8</v>
      </c>
      <c r="BF107" s="16">
        <v>3</v>
      </c>
      <c r="BG107" s="36">
        <v>46174</v>
      </c>
      <c r="BH107" t="s">
        <v>410</v>
      </c>
      <c r="BI107" t="s">
        <v>410</v>
      </c>
      <c r="BJ107" s="4" t="s">
        <v>482</v>
      </c>
      <c r="BK107">
        <v>2</v>
      </c>
      <c r="BL107" s="44">
        <f t="shared" si="47"/>
        <v>0.10431617264690596</v>
      </c>
      <c r="BM107" t="s">
        <v>792</v>
      </c>
    </row>
    <row r="108" spans="1:65" x14ac:dyDescent="0.4">
      <c r="A108" s="3">
        <v>96</v>
      </c>
      <c r="B108" s="3">
        <f t="shared" si="48"/>
        <v>105</v>
      </c>
      <c r="C108" s="33">
        <v>103800</v>
      </c>
      <c r="D108" s="4" t="str">
        <f>TEXT(C108,"000000")</f>
        <v>103800</v>
      </c>
      <c r="E108" s="4">
        <v>103800</v>
      </c>
      <c r="F108" s="4" t="s">
        <v>274</v>
      </c>
      <c r="G108" s="5">
        <v>4977564705374</v>
      </c>
      <c r="H108" s="5">
        <v>5</v>
      </c>
      <c r="I108" s="5" t="str">
        <f t="shared" si="26"/>
        <v>1038005</v>
      </c>
      <c r="J108" s="5">
        <v>2</v>
      </c>
      <c r="K108" s="5">
        <v>2</v>
      </c>
      <c r="L108" s="4">
        <v>300</v>
      </c>
      <c r="M108" s="4">
        <v>228</v>
      </c>
      <c r="N108" s="4">
        <v>150</v>
      </c>
      <c r="O108" s="6">
        <f t="shared" si="27"/>
        <v>0.34210526315789469</v>
      </c>
      <c r="P108" s="4" t="s">
        <v>410</v>
      </c>
      <c r="Q108" s="4" t="s">
        <v>410</v>
      </c>
      <c r="R108" s="4" t="s">
        <v>410</v>
      </c>
      <c r="S108" s="4" t="s">
        <v>410</v>
      </c>
      <c r="T108" s="4" t="s">
        <v>410</v>
      </c>
      <c r="U108" s="4" t="s">
        <v>410</v>
      </c>
      <c r="V108" s="4">
        <v>340</v>
      </c>
      <c r="W108" s="4">
        <f t="shared" si="28"/>
        <v>340</v>
      </c>
      <c r="X108" s="4">
        <v>170</v>
      </c>
      <c r="Y108" s="4">
        <f t="shared" si="29"/>
        <v>170</v>
      </c>
      <c r="Z108" s="4"/>
      <c r="AA108" s="21">
        <f t="shared" si="30"/>
        <v>258</v>
      </c>
      <c r="AB108" s="6">
        <f t="shared" si="31"/>
        <v>0.34108527131782951</v>
      </c>
      <c r="AC108" s="4">
        <v>0</v>
      </c>
      <c r="AD108" s="4">
        <f t="shared" si="32"/>
        <v>300</v>
      </c>
      <c r="AE108" s="4">
        <f t="shared" si="33"/>
        <v>340</v>
      </c>
      <c r="AF108" s="6">
        <f t="shared" si="34"/>
        <v>0.5</v>
      </c>
      <c r="AG108" s="7">
        <v>258</v>
      </c>
      <c r="AH108" s="6">
        <f t="shared" si="35"/>
        <v>0.34108527131782951</v>
      </c>
      <c r="AI108" s="4">
        <f t="shared" si="36"/>
        <v>88</v>
      </c>
      <c r="AJ108" s="28"/>
      <c r="AK108" s="6"/>
      <c r="AL108" s="6"/>
      <c r="AM108" s="6">
        <f t="shared" si="37"/>
        <v>1.1333333333333333</v>
      </c>
      <c r="AN108" s="6">
        <f t="shared" si="38"/>
        <v>1.131578947368421</v>
      </c>
      <c r="AO108" s="6">
        <f t="shared" si="39"/>
        <v>1.1333333333333333</v>
      </c>
      <c r="AP108" s="4" t="str">
        <f t="shared" si="40"/>
        <v>-</v>
      </c>
      <c r="AQ108" s="4" t="str">
        <f t="shared" si="41"/>
        <v>-</v>
      </c>
      <c r="AR108" s="4" t="str">
        <f t="shared" si="42"/>
        <v>-</v>
      </c>
      <c r="AS108" s="4" t="str">
        <f t="shared" si="43"/>
        <v>-</v>
      </c>
      <c r="AT108" s="4" t="str">
        <f t="shared" si="44"/>
        <v>-</v>
      </c>
      <c r="AU108" s="4" t="str">
        <f t="shared" si="45"/>
        <v>-</v>
      </c>
      <c r="AV108" s="4">
        <v>0</v>
      </c>
      <c r="AW108" s="4" t="s">
        <v>665</v>
      </c>
      <c r="AX108" s="4">
        <v>1</v>
      </c>
      <c r="AY108" s="4">
        <v>5</v>
      </c>
      <c r="AZ108" s="4" t="s">
        <v>661</v>
      </c>
      <c r="BA108" s="4">
        <v>1500</v>
      </c>
      <c r="BB108" s="4">
        <v>1500</v>
      </c>
      <c r="BC108" s="4">
        <f t="shared" si="46"/>
        <v>300</v>
      </c>
      <c r="BD108" s="19">
        <v>4</v>
      </c>
      <c r="BE108" s="19">
        <v>8</v>
      </c>
      <c r="BF108" s="16">
        <v>3</v>
      </c>
      <c r="BG108" s="36">
        <v>46174</v>
      </c>
      <c r="BH108" t="s">
        <v>410</v>
      </c>
      <c r="BI108">
        <v>210</v>
      </c>
      <c r="BJ108" s="4" t="s">
        <v>483</v>
      </c>
      <c r="BL108" s="44">
        <f t="shared" si="47"/>
        <v>-1.7543859649122862E-3</v>
      </c>
      <c r="BM108" t="s">
        <v>792</v>
      </c>
    </row>
    <row r="109" spans="1:65" x14ac:dyDescent="0.4">
      <c r="A109" s="3">
        <v>228</v>
      </c>
      <c r="B109" s="3">
        <f t="shared" si="48"/>
        <v>106</v>
      </c>
      <c r="C109" s="33">
        <v>103800</v>
      </c>
      <c r="D109" s="4" t="s">
        <v>124</v>
      </c>
      <c r="E109" s="4">
        <v>104028</v>
      </c>
      <c r="F109" s="4" t="s">
        <v>393</v>
      </c>
      <c r="G109" s="5">
        <v>4977564705374</v>
      </c>
      <c r="H109" s="5">
        <v>8</v>
      </c>
      <c r="I109" s="5" t="str">
        <f t="shared" si="26"/>
        <v>1038008</v>
      </c>
      <c r="J109" s="5"/>
      <c r="K109" s="5"/>
      <c r="L109" s="4">
        <v>3000</v>
      </c>
      <c r="M109" s="4">
        <v>2138</v>
      </c>
      <c r="N109" s="4">
        <v>1500</v>
      </c>
      <c r="O109" s="6">
        <f t="shared" si="27"/>
        <v>0.29840972871842841</v>
      </c>
      <c r="P109" s="4" t="s">
        <v>410</v>
      </c>
      <c r="Q109" s="4" t="s">
        <v>410</v>
      </c>
      <c r="R109" s="4" t="s">
        <v>410</v>
      </c>
      <c r="S109" s="4" t="s">
        <v>410</v>
      </c>
      <c r="T109" s="4" t="s">
        <v>410</v>
      </c>
      <c r="U109" s="4" t="s">
        <v>410</v>
      </c>
      <c r="V109" s="4">
        <v>340</v>
      </c>
      <c r="W109" s="4">
        <f t="shared" si="28"/>
        <v>3400</v>
      </c>
      <c r="X109" s="4">
        <v>170</v>
      </c>
      <c r="Y109" s="4">
        <f t="shared" si="29"/>
        <v>1700</v>
      </c>
      <c r="Z109" s="4">
        <v>10</v>
      </c>
      <c r="AA109" s="21">
        <f t="shared" si="30"/>
        <v>2423</v>
      </c>
      <c r="AB109" s="6">
        <f t="shared" si="31"/>
        <v>0.29839042509286007</v>
      </c>
      <c r="AC109" s="4">
        <v>0</v>
      </c>
      <c r="AD109" s="4">
        <f t="shared" si="32"/>
        <v>3000</v>
      </c>
      <c r="AE109" s="4">
        <f t="shared" si="33"/>
        <v>3400</v>
      </c>
      <c r="AF109" s="6">
        <f t="shared" si="34"/>
        <v>0.5</v>
      </c>
      <c r="AG109" s="7">
        <v>2380</v>
      </c>
      <c r="AH109" s="6">
        <f t="shared" si="35"/>
        <v>0.2857142857142857</v>
      </c>
      <c r="AI109" s="4">
        <f t="shared" si="36"/>
        <v>680</v>
      </c>
      <c r="AJ109" s="28"/>
      <c r="AK109" s="6"/>
      <c r="AL109" s="6"/>
      <c r="AM109" s="6">
        <f t="shared" si="37"/>
        <v>1.1333333333333333</v>
      </c>
      <c r="AN109" s="6">
        <f t="shared" si="38"/>
        <v>1.1131898971000935</v>
      </c>
      <c r="AO109" s="6">
        <f t="shared" si="39"/>
        <v>1.1333333333333333</v>
      </c>
      <c r="AP109" s="4" t="str">
        <f t="shared" si="40"/>
        <v>-</v>
      </c>
      <c r="AQ109" s="4" t="str">
        <f t="shared" si="41"/>
        <v>-</v>
      </c>
      <c r="AR109" s="4" t="str">
        <f t="shared" si="42"/>
        <v>-</v>
      </c>
      <c r="AS109" s="4" t="str">
        <f t="shared" si="43"/>
        <v>-</v>
      </c>
      <c r="AT109" s="4" t="str">
        <f t="shared" si="44"/>
        <v>-</v>
      </c>
      <c r="AU109" s="4" t="str">
        <f t="shared" si="45"/>
        <v>-</v>
      </c>
      <c r="AV109" s="4">
        <v>0</v>
      </c>
      <c r="AW109" s="4" t="s">
        <v>665</v>
      </c>
      <c r="AX109" s="4">
        <v>10</v>
      </c>
      <c r="AY109" s="4">
        <v>5</v>
      </c>
      <c r="AZ109" s="4" t="s">
        <v>661</v>
      </c>
      <c r="BA109" s="4">
        <v>1500</v>
      </c>
      <c r="BB109" s="4">
        <v>1500</v>
      </c>
      <c r="BC109" s="4">
        <f t="shared" si="46"/>
        <v>3000</v>
      </c>
      <c r="BD109" s="19">
        <v>4</v>
      </c>
      <c r="BE109" s="19">
        <v>8</v>
      </c>
      <c r="BF109" s="16">
        <v>3</v>
      </c>
      <c r="BG109" s="36">
        <v>46174</v>
      </c>
      <c r="BH109" t="s">
        <v>410</v>
      </c>
      <c r="BI109">
        <v>210</v>
      </c>
      <c r="BJ109" s="4" t="s">
        <v>483</v>
      </c>
      <c r="BK109">
        <v>2</v>
      </c>
      <c r="BL109" s="44">
        <f t="shared" si="47"/>
        <v>-2.0143436233239775E-2</v>
      </c>
      <c r="BM109" t="s">
        <v>792</v>
      </c>
    </row>
    <row r="110" spans="1:65" x14ac:dyDescent="0.4">
      <c r="A110" s="3">
        <v>97</v>
      </c>
      <c r="B110" s="3">
        <f t="shared" si="48"/>
        <v>107</v>
      </c>
      <c r="C110" s="33">
        <v>103801</v>
      </c>
      <c r="D110" s="4" t="str">
        <f>TEXT(C110,"000000")</f>
        <v>103801</v>
      </c>
      <c r="E110" s="4">
        <v>103801</v>
      </c>
      <c r="F110" s="4" t="s">
        <v>275</v>
      </c>
      <c r="G110" s="5">
        <v>4977564705381</v>
      </c>
      <c r="H110" s="5">
        <v>5</v>
      </c>
      <c r="I110" s="5" t="str">
        <f t="shared" si="26"/>
        <v>1038015</v>
      </c>
      <c r="J110" s="5">
        <v>2</v>
      </c>
      <c r="K110" s="5">
        <v>2</v>
      </c>
      <c r="L110" s="4">
        <v>300</v>
      </c>
      <c r="M110" s="4">
        <v>228</v>
      </c>
      <c r="N110" s="4">
        <v>150</v>
      </c>
      <c r="O110" s="6">
        <f t="shared" si="27"/>
        <v>0.34210526315789469</v>
      </c>
      <c r="P110" s="4" t="s">
        <v>410</v>
      </c>
      <c r="Q110" s="4" t="s">
        <v>410</v>
      </c>
      <c r="R110" s="4" t="s">
        <v>410</v>
      </c>
      <c r="S110" s="4" t="s">
        <v>410</v>
      </c>
      <c r="T110" s="4" t="s">
        <v>410</v>
      </c>
      <c r="U110" s="4" t="s">
        <v>410</v>
      </c>
      <c r="V110" s="4">
        <v>340</v>
      </c>
      <c r="W110" s="4">
        <f t="shared" si="28"/>
        <v>340</v>
      </c>
      <c r="X110" s="4">
        <v>170</v>
      </c>
      <c r="Y110" s="4">
        <f t="shared" si="29"/>
        <v>170</v>
      </c>
      <c r="Z110" s="4"/>
      <c r="AA110" s="21">
        <f t="shared" si="30"/>
        <v>258</v>
      </c>
      <c r="AB110" s="6">
        <f t="shared" si="31"/>
        <v>0.34108527131782951</v>
      </c>
      <c r="AC110" s="4">
        <v>1.25</v>
      </c>
      <c r="AD110" s="4">
        <f t="shared" si="32"/>
        <v>300</v>
      </c>
      <c r="AE110" s="4">
        <f t="shared" si="33"/>
        <v>340</v>
      </c>
      <c r="AF110" s="6">
        <f t="shared" si="34"/>
        <v>0.5</v>
      </c>
      <c r="AG110" s="7">
        <v>258</v>
      </c>
      <c r="AH110" s="6">
        <f t="shared" si="35"/>
        <v>0.34108527131782951</v>
      </c>
      <c r="AI110" s="4">
        <f t="shared" si="36"/>
        <v>88</v>
      </c>
      <c r="AJ110" s="28"/>
      <c r="AK110" s="6"/>
      <c r="AL110" s="6"/>
      <c r="AM110" s="6">
        <f t="shared" si="37"/>
        <v>1.1333333333333333</v>
      </c>
      <c r="AN110" s="6">
        <f t="shared" si="38"/>
        <v>1.131578947368421</v>
      </c>
      <c r="AO110" s="6">
        <f t="shared" si="39"/>
        <v>1.1333333333333333</v>
      </c>
      <c r="AP110" s="4" t="str">
        <f t="shared" si="40"/>
        <v>-</v>
      </c>
      <c r="AQ110" s="4" t="str">
        <f t="shared" si="41"/>
        <v>-</v>
      </c>
      <c r="AR110" s="4" t="str">
        <f t="shared" si="42"/>
        <v>-</v>
      </c>
      <c r="AS110" s="4" t="str">
        <f t="shared" si="43"/>
        <v>-</v>
      </c>
      <c r="AT110" s="4" t="str">
        <f t="shared" si="44"/>
        <v>-</v>
      </c>
      <c r="AU110" s="4" t="str">
        <f t="shared" si="45"/>
        <v>-</v>
      </c>
      <c r="AV110" s="4">
        <v>0</v>
      </c>
      <c r="AW110" s="4" t="s">
        <v>666</v>
      </c>
      <c r="AX110" s="4">
        <v>1</v>
      </c>
      <c r="AY110" s="4">
        <v>5</v>
      </c>
      <c r="AZ110" s="4" t="s">
        <v>661</v>
      </c>
      <c r="BA110" s="4">
        <v>1500</v>
      </c>
      <c r="BB110" s="4">
        <v>1500</v>
      </c>
      <c r="BC110" s="4">
        <f t="shared" si="46"/>
        <v>300</v>
      </c>
      <c r="BD110" s="19">
        <v>4</v>
      </c>
      <c r="BE110" s="19">
        <v>8</v>
      </c>
      <c r="BF110" s="16">
        <v>3</v>
      </c>
      <c r="BG110" s="36">
        <v>46174</v>
      </c>
      <c r="BH110" t="s">
        <v>410</v>
      </c>
      <c r="BI110">
        <v>210</v>
      </c>
      <c r="BJ110" s="4" t="s">
        <v>484</v>
      </c>
      <c r="BL110" s="44">
        <f t="shared" si="47"/>
        <v>-1.7543859649122862E-3</v>
      </c>
      <c r="BM110" t="s">
        <v>792</v>
      </c>
    </row>
    <row r="111" spans="1:65" x14ac:dyDescent="0.4">
      <c r="A111" s="3">
        <v>229</v>
      </c>
      <c r="B111" s="3">
        <f t="shared" si="48"/>
        <v>108</v>
      </c>
      <c r="C111" s="33">
        <v>103801</v>
      </c>
      <c r="D111" s="4" t="s">
        <v>125</v>
      </c>
      <c r="E111" s="4">
        <v>104029</v>
      </c>
      <c r="F111" s="4" t="s">
        <v>394</v>
      </c>
      <c r="G111" s="5">
        <v>4977564705381</v>
      </c>
      <c r="H111" s="5">
        <v>8</v>
      </c>
      <c r="I111" s="5" t="str">
        <f t="shared" si="26"/>
        <v>1038018</v>
      </c>
      <c r="J111" s="5"/>
      <c r="K111" s="5"/>
      <c r="L111" s="4">
        <v>3000</v>
      </c>
      <c r="M111" s="4">
        <v>2295</v>
      </c>
      <c r="N111" s="4">
        <v>1500</v>
      </c>
      <c r="O111" s="6">
        <f t="shared" si="27"/>
        <v>0.34640522875816993</v>
      </c>
      <c r="P111" s="4" t="s">
        <v>410</v>
      </c>
      <c r="Q111" s="4" t="s">
        <v>410</v>
      </c>
      <c r="R111" s="4" t="s">
        <v>410</v>
      </c>
      <c r="S111" s="4" t="s">
        <v>410</v>
      </c>
      <c r="T111" s="4" t="s">
        <v>410</v>
      </c>
      <c r="U111" s="4" t="s">
        <v>410</v>
      </c>
      <c r="V111" s="4">
        <v>340</v>
      </c>
      <c r="W111" s="4">
        <f t="shared" si="28"/>
        <v>3400</v>
      </c>
      <c r="X111" s="4">
        <v>170</v>
      </c>
      <c r="Y111" s="4">
        <f t="shared" si="29"/>
        <v>1700</v>
      </c>
      <c r="Z111" s="4">
        <v>10</v>
      </c>
      <c r="AA111" s="21">
        <f t="shared" si="30"/>
        <v>2601</v>
      </c>
      <c r="AB111" s="6">
        <f t="shared" si="31"/>
        <v>0.34640522875816993</v>
      </c>
      <c r="AC111" s="4">
        <v>1.25</v>
      </c>
      <c r="AD111" s="4">
        <f t="shared" si="32"/>
        <v>3000</v>
      </c>
      <c r="AE111" s="4">
        <f t="shared" si="33"/>
        <v>3400</v>
      </c>
      <c r="AF111" s="6">
        <f t="shared" si="34"/>
        <v>0.5</v>
      </c>
      <c r="AG111" s="7">
        <v>2380</v>
      </c>
      <c r="AH111" s="6">
        <f t="shared" si="35"/>
        <v>0.2857142857142857</v>
      </c>
      <c r="AI111" s="4">
        <f t="shared" si="36"/>
        <v>680</v>
      </c>
      <c r="AJ111" s="28"/>
      <c r="AK111" s="6"/>
      <c r="AL111" s="6"/>
      <c r="AM111" s="6">
        <f t="shared" si="37"/>
        <v>1.1333333333333333</v>
      </c>
      <c r="AN111" s="6">
        <f t="shared" si="38"/>
        <v>1.037037037037037</v>
      </c>
      <c r="AO111" s="6">
        <f t="shared" si="39"/>
        <v>1.1333333333333333</v>
      </c>
      <c r="AP111" s="4" t="str">
        <f t="shared" si="40"/>
        <v>-</v>
      </c>
      <c r="AQ111" s="4" t="str">
        <f t="shared" si="41"/>
        <v>-</v>
      </c>
      <c r="AR111" s="4" t="str">
        <f t="shared" si="42"/>
        <v>-</v>
      </c>
      <c r="AS111" s="4" t="str">
        <f t="shared" si="43"/>
        <v>-</v>
      </c>
      <c r="AT111" s="4" t="str">
        <f t="shared" si="44"/>
        <v>-</v>
      </c>
      <c r="AU111" s="4" t="str">
        <f t="shared" si="45"/>
        <v>-</v>
      </c>
      <c r="AV111" s="4">
        <v>0</v>
      </c>
      <c r="AW111" s="4" t="s">
        <v>666</v>
      </c>
      <c r="AX111" s="4">
        <v>10</v>
      </c>
      <c r="AY111" s="4">
        <v>5</v>
      </c>
      <c r="AZ111" s="4" t="s">
        <v>661</v>
      </c>
      <c r="BA111" s="4">
        <v>1500</v>
      </c>
      <c r="BB111" s="4">
        <v>1500</v>
      </c>
      <c r="BC111" s="4">
        <f t="shared" si="46"/>
        <v>3000</v>
      </c>
      <c r="BD111" s="19">
        <v>4</v>
      </c>
      <c r="BE111" s="19">
        <v>8</v>
      </c>
      <c r="BF111" s="16">
        <v>3</v>
      </c>
      <c r="BG111" s="36">
        <v>46174</v>
      </c>
      <c r="BH111" t="s">
        <v>410</v>
      </c>
      <c r="BI111">
        <v>210</v>
      </c>
      <c r="BJ111" s="4" t="s">
        <v>484</v>
      </c>
      <c r="BK111">
        <v>2</v>
      </c>
      <c r="BL111" s="44">
        <f t="shared" si="47"/>
        <v>-9.6296296296296324E-2</v>
      </c>
      <c r="BM111" t="s">
        <v>792</v>
      </c>
    </row>
    <row r="112" spans="1:65" x14ac:dyDescent="0.4">
      <c r="A112" s="3">
        <v>98</v>
      </c>
      <c r="B112" s="3">
        <f t="shared" si="48"/>
        <v>109</v>
      </c>
      <c r="C112" s="4">
        <v>686807</v>
      </c>
      <c r="D112" s="4" t="str">
        <f t="shared" ref="D112:D129" si="50">TEXT(C112,"000000")</f>
        <v>686807</v>
      </c>
      <c r="E112" s="4">
        <v>686807</v>
      </c>
      <c r="F112" s="4" t="s">
        <v>276</v>
      </c>
      <c r="G112" s="5">
        <v>4977564088590</v>
      </c>
      <c r="H112" s="5">
        <v>5</v>
      </c>
      <c r="I112" s="5" t="str">
        <f t="shared" si="26"/>
        <v>6868075</v>
      </c>
      <c r="J112" s="5">
        <v>1</v>
      </c>
      <c r="K112" s="5">
        <v>1</v>
      </c>
      <c r="L112" s="4">
        <v>1750</v>
      </c>
      <c r="M112" s="4">
        <v>1442</v>
      </c>
      <c r="N112" s="4">
        <v>875</v>
      </c>
      <c r="O112" s="6">
        <f t="shared" si="27"/>
        <v>0.39320388349514568</v>
      </c>
      <c r="P112" s="4" t="s">
        <v>410</v>
      </c>
      <c r="Q112" s="4" t="s">
        <v>410</v>
      </c>
      <c r="R112" s="4" t="s">
        <v>410</v>
      </c>
      <c r="S112" s="4" t="s">
        <v>410</v>
      </c>
      <c r="T112" s="4" t="s">
        <v>410</v>
      </c>
      <c r="U112" s="4" t="s">
        <v>410</v>
      </c>
      <c r="V112" s="4">
        <v>1850</v>
      </c>
      <c r="W112" s="4">
        <f t="shared" si="28"/>
        <v>1850</v>
      </c>
      <c r="X112" s="4">
        <v>925</v>
      </c>
      <c r="Y112" s="4">
        <f t="shared" si="29"/>
        <v>925</v>
      </c>
      <c r="Z112" s="4"/>
      <c r="AA112" s="21">
        <f t="shared" si="30"/>
        <v>1524</v>
      </c>
      <c r="AB112" s="6">
        <f t="shared" si="31"/>
        <v>0.39304461942257218</v>
      </c>
      <c r="AC112" s="4">
        <v>0.5</v>
      </c>
      <c r="AD112" s="4">
        <f t="shared" si="32"/>
        <v>1650</v>
      </c>
      <c r="AE112" s="4">
        <f t="shared" si="33"/>
        <v>1744.2857142857142</v>
      </c>
      <c r="AF112" s="6">
        <f t="shared" si="34"/>
        <v>0.46969696969696972</v>
      </c>
      <c r="AG112" s="7">
        <v>1480</v>
      </c>
      <c r="AH112" s="6">
        <f t="shared" si="35"/>
        <v>0.375</v>
      </c>
      <c r="AI112" s="4">
        <f t="shared" si="36"/>
        <v>555</v>
      </c>
      <c r="AJ112" s="28"/>
      <c r="AK112" s="6"/>
      <c r="AL112" s="6"/>
      <c r="AM112" s="6">
        <f t="shared" si="37"/>
        <v>1.0571428571428572</v>
      </c>
      <c r="AN112" s="6">
        <f t="shared" si="38"/>
        <v>1.0263522884882108</v>
      </c>
      <c r="AO112" s="6">
        <f t="shared" si="39"/>
        <v>1.0571428571428572</v>
      </c>
      <c r="AP112" s="4" t="str">
        <f t="shared" si="40"/>
        <v>-</v>
      </c>
      <c r="AQ112" s="4" t="str">
        <f t="shared" si="41"/>
        <v>-</v>
      </c>
      <c r="AR112" s="4" t="str">
        <f t="shared" si="42"/>
        <v>-</v>
      </c>
      <c r="AS112" s="4" t="str">
        <f t="shared" si="43"/>
        <v>-</v>
      </c>
      <c r="AT112" s="4" t="str">
        <f t="shared" si="44"/>
        <v>-</v>
      </c>
      <c r="AU112" s="4" t="str">
        <f t="shared" si="45"/>
        <v>-</v>
      </c>
      <c r="AV112" s="4">
        <v>0</v>
      </c>
      <c r="AW112" s="4" t="s">
        <v>667</v>
      </c>
      <c r="AX112" s="4"/>
      <c r="AY112" s="4"/>
      <c r="AZ112" s="4" t="s">
        <v>616</v>
      </c>
      <c r="BA112" s="4">
        <v>1650</v>
      </c>
      <c r="BB112" s="4">
        <v>1650</v>
      </c>
      <c r="BC112" s="4">
        <f t="shared" si="46"/>
        <v>1650</v>
      </c>
      <c r="BD112" s="19">
        <v>4</v>
      </c>
      <c r="BE112" s="19">
        <v>8</v>
      </c>
      <c r="BF112" s="16">
        <v>3</v>
      </c>
      <c r="BG112" s="36">
        <v>46174</v>
      </c>
      <c r="BH112" t="s">
        <v>410</v>
      </c>
      <c r="BI112">
        <v>1697</v>
      </c>
      <c r="BJ112" s="4" t="s">
        <v>485</v>
      </c>
      <c r="BL112" s="44">
        <f t="shared" si="47"/>
        <v>-3.0790568654646355E-2</v>
      </c>
      <c r="BM112" t="s">
        <v>792</v>
      </c>
    </row>
    <row r="113" spans="1:65" x14ac:dyDescent="0.4">
      <c r="A113" s="3">
        <v>99</v>
      </c>
      <c r="B113" s="3">
        <f t="shared" si="48"/>
        <v>110</v>
      </c>
      <c r="C113" s="4">
        <v>945734</v>
      </c>
      <c r="D113" s="4" t="str">
        <f t="shared" si="50"/>
        <v>945734</v>
      </c>
      <c r="E113" s="4">
        <v>945734</v>
      </c>
      <c r="F113" s="4" t="s">
        <v>277</v>
      </c>
      <c r="G113" s="5">
        <v>4977564088620</v>
      </c>
      <c r="H113" s="5">
        <v>5</v>
      </c>
      <c r="I113" s="5" t="str">
        <f t="shared" si="26"/>
        <v>9457345</v>
      </c>
      <c r="J113" s="5">
        <v>1</v>
      </c>
      <c r="K113" s="5">
        <v>1</v>
      </c>
      <c r="L113" s="4">
        <v>1750</v>
      </c>
      <c r="M113" s="4">
        <v>1171</v>
      </c>
      <c r="N113" s="4">
        <v>875</v>
      </c>
      <c r="O113" s="6">
        <f t="shared" si="27"/>
        <v>0.25277540563620837</v>
      </c>
      <c r="P113" s="4" t="s">
        <v>410</v>
      </c>
      <c r="Q113" s="4" t="s">
        <v>410</v>
      </c>
      <c r="R113" s="4" t="s">
        <v>410</v>
      </c>
      <c r="S113" s="4" t="s">
        <v>410</v>
      </c>
      <c r="T113" s="4" t="s">
        <v>410</v>
      </c>
      <c r="U113" s="4" t="s">
        <v>410</v>
      </c>
      <c r="V113" s="4">
        <v>1850</v>
      </c>
      <c r="W113" s="4">
        <f t="shared" si="28"/>
        <v>1850</v>
      </c>
      <c r="X113" s="4">
        <v>925</v>
      </c>
      <c r="Y113" s="4">
        <f t="shared" si="29"/>
        <v>925</v>
      </c>
      <c r="Z113" s="4"/>
      <c r="AA113" s="21">
        <f t="shared" si="30"/>
        <v>1238</v>
      </c>
      <c r="AB113" s="6">
        <f t="shared" si="31"/>
        <v>0.25282714054927302</v>
      </c>
      <c r="AC113" s="4">
        <v>0.75</v>
      </c>
      <c r="AD113" s="4">
        <f t="shared" si="32"/>
        <v>1712</v>
      </c>
      <c r="AE113" s="4">
        <f t="shared" si="33"/>
        <v>1809.8285714285714</v>
      </c>
      <c r="AF113" s="6">
        <f t="shared" si="34"/>
        <v>0.48890186915887845</v>
      </c>
      <c r="AG113" s="7">
        <v>1380</v>
      </c>
      <c r="AH113" s="6">
        <f t="shared" si="35"/>
        <v>0.32971014492753625</v>
      </c>
      <c r="AI113" s="4">
        <f t="shared" si="36"/>
        <v>455</v>
      </c>
      <c r="AJ113" s="28"/>
      <c r="AK113" s="6"/>
      <c r="AL113" s="6"/>
      <c r="AM113" s="6">
        <f t="shared" si="37"/>
        <v>1.0571428571428572</v>
      </c>
      <c r="AN113" s="6">
        <f t="shared" si="38"/>
        <v>1.1784799316823229</v>
      </c>
      <c r="AO113" s="6">
        <f t="shared" si="39"/>
        <v>1.0571428571428572</v>
      </c>
      <c r="AP113" s="4" t="str">
        <f t="shared" si="40"/>
        <v>-</v>
      </c>
      <c r="AQ113" s="4" t="str">
        <f t="shared" si="41"/>
        <v>-</v>
      </c>
      <c r="AR113" s="4" t="str">
        <f t="shared" si="42"/>
        <v>-</v>
      </c>
      <c r="AS113" s="4" t="str">
        <f t="shared" si="43"/>
        <v>-</v>
      </c>
      <c r="AT113" s="4" t="str">
        <f t="shared" si="44"/>
        <v>-</v>
      </c>
      <c r="AU113" s="4" t="str">
        <f t="shared" si="45"/>
        <v>-</v>
      </c>
      <c r="AV113" s="4">
        <v>0</v>
      </c>
      <c r="AW113" s="4" t="s">
        <v>668</v>
      </c>
      <c r="AX113" s="4"/>
      <c r="AY113" s="4"/>
      <c r="AZ113" s="4" t="s">
        <v>616</v>
      </c>
      <c r="BA113" s="4">
        <v>1712</v>
      </c>
      <c r="BB113" s="4">
        <v>1712</v>
      </c>
      <c r="BC113" s="4">
        <f t="shared" si="46"/>
        <v>1712</v>
      </c>
      <c r="BD113" s="19">
        <v>4</v>
      </c>
      <c r="BE113" s="19">
        <v>8</v>
      </c>
      <c r="BF113" s="16">
        <v>3</v>
      </c>
      <c r="BG113" s="36">
        <v>46174</v>
      </c>
      <c r="BH113" t="s">
        <v>410</v>
      </c>
      <c r="BI113">
        <v>1697</v>
      </c>
      <c r="BJ113" s="4" t="s">
        <v>486</v>
      </c>
      <c r="BL113" s="44">
        <f t="shared" si="47"/>
        <v>0.12133707453946574</v>
      </c>
      <c r="BM113" t="s">
        <v>792</v>
      </c>
    </row>
    <row r="114" spans="1:65" x14ac:dyDescent="0.4">
      <c r="A114" s="3">
        <v>100</v>
      </c>
      <c r="B114" s="3">
        <f t="shared" si="48"/>
        <v>111</v>
      </c>
      <c r="C114" s="4">
        <v>430628</v>
      </c>
      <c r="D114" s="4" t="str">
        <f t="shared" si="50"/>
        <v>430628</v>
      </c>
      <c r="E114" s="4">
        <v>430628</v>
      </c>
      <c r="F114" s="4" t="s">
        <v>278</v>
      </c>
      <c r="G114" s="5">
        <v>4977564035020</v>
      </c>
      <c r="H114" s="5">
        <v>5</v>
      </c>
      <c r="I114" s="5" t="str">
        <f t="shared" si="26"/>
        <v>4306285</v>
      </c>
      <c r="J114" s="34">
        <v>2</v>
      </c>
      <c r="K114" s="34">
        <v>2</v>
      </c>
      <c r="L114" s="4">
        <v>470</v>
      </c>
      <c r="M114" s="4">
        <v>338</v>
      </c>
      <c r="N114" s="4">
        <v>235</v>
      </c>
      <c r="O114" s="6">
        <f t="shared" si="27"/>
        <v>0.30473372781065089</v>
      </c>
      <c r="P114" s="4" t="s">
        <v>410</v>
      </c>
      <c r="Q114" s="4" t="s">
        <v>410</v>
      </c>
      <c r="R114" s="4" t="s">
        <v>410</v>
      </c>
      <c r="S114" s="4" t="s">
        <v>410</v>
      </c>
      <c r="T114" s="4" t="s">
        <v>410</v>
      </c>
      <c r="U114" s="4" t="s">
        <v>410</v>
      </c>
      <c r="V114" s="4">
        <v>500</v>
      </c>
      <c r="W114" s="4">
        <f t="shared" si="28"/>
        <v>500</v>
      </c>
      <c r="X114" s="4">
        <v>250</v>
      </c>
      <c r="Y114" s="4">
        <f t="shared" si="29"/>
        <v>250</v>
      </c>
      <c r="Z114" s="4"/>
      <c r="AA114" s="21">
        <f t="shared" si="30"/>
        <v>360</v>
      </c>
      <c r="AB114" s="6">
        <f t="shared" si="31"/>
        <v>0.30555555555555558</v>
      </c>
      <c r="AC114" s="4">
        <v>5</v>
      </c>
      <c r="AD114" s="4">
        <f t="shared" si="32"/>
        <v>465</v>
      </c>
      <c r="AE114" s="4">
        <f t="shared" si="33"/>
        <v>494.68085106382978</v>
      </c>
      <c r="AF114" s="6">
        <f t="shared" si="34"/>
        <v>0.4946236559139785</v>
      </c>
      <c r="AG114" s="7">
        <v>380</v>
      </c>
      <c r="AH114" s="6">
        <f t="shared" si="35"/>
        <v>0.34210526315789469</v>
      </c>
      <c r="AI114" s="4">
        <f t="shared" si="36"/>
        <v>130</v>
      </c>
      <c r="AJ114" s="28"/>
      <c r="AK114" s="6"/>
      <c r="AL114" s="6"/>
      <c r="AM114" s="6">
        <f t="shared" si="37"/>
        <v>1.0638297872340425</v>
      </c>
      <c r="AN114" s="6">
        <f t="shared" si="38"/>
        <v>1.1242603550295858</v>
      </c>
      <c r="AO114" s="6">
        <f t="shared" si="39"/>
        <v>1.0638297872340425</v>
      </c>
      <c r="AP114" s="4" t="str">
        <f t="shared" si="40"/>
        <v>-</v>
      </c>
      <c r="AQ114" s="4" t="str">
        <f t="shared" si="41"/>
        <v>-</v>
      </c>
      <c r="AR114" s="4" t="str">
        <f t="shared" si="42"/>
        <v>-</v>
      </c>
      <c r="AS114" s="4" t="str">
        <f t="shared" si="43"/>
        <v>-</v>
      </c>
      <c r="AT114" s="4" t="str">
        <f t="shared" si="44"/>
        <v>-</v>
      </c>
      <c r="AU114" s="4" t="str">
        <f t="shared" si="45"/>
        <v>-</v>
      </c>
      <c r="AV114" s="4">
        <v>0</v>
      </c>
      <c r="AW114" s="4" t="s">
        <v>669</v>
      </c>
      <c r="AX114" s="4"/>
      <c r="AY114" s="4"/>
      <c r="AZ114" s="4" t="s">
        <v>616</v>
      </c>
      <c r="BA114" s="4">
        <v>465</v>
      </c>
      <c r="BB114" s="4">
        <v>465</v>
      </c>
      <c r="BC114" s="4">
        <f t="shared" si="46"/>
        <v>465</v>
      </c>
      <c r="BD114" s="19">
        <v>4</v>
      </c>
      <c r="BE114" s="19">
        <v>1</v>
      </c>
      <c r="BF114" s="16">
        <v>3</v>
      </c>
      <c r="BG114" s="36">
        <v>46174</v>
      </c>
      <c r="BH114" t="s">
        <v>410</v>
      </c>
      <c r="BI114">
        <v>470</v>
      </c>
      <c r="BJ114" s="4" t="s">
        <v>487</v>
      </c>
      <c r="BL114" s="44">
        <f t="shared" si="47"/>
        <v>6.0430567795543233E-2</v>
      </c>
      <c r="BM114" t="s">
        <v>792</v>
      </c>
    </row>
    <row r="115" spans="1:65" x14ac:dyDescent="0.4">
      <c r="A115" s="3">
        <v>101</v>
      </c>
      <c r="B115" s="3">
        <f t="shared" si="48"/>
        <v>112</v>
      </c>
      <c r="C115" s="4" t="s">
        <v>126</v>
      </c>
      <c r="D115" s="4" t="str">
        <f t="shared" si="50"/>
        <v>J054LY</v>
      </c>
      <c r="E115" s="4" t="s">
        <v>126</v>
      </c>
      <c r="F115" s="4" t="s">
        <v>279</v>
      </c>
      <c r="G115" s="5">
        <v>4977564659820</v>
      </c>
      <c r="H115" s="5">
        <v>5</v>
      </c>
      <c r="I115" s="5" t="str">
        <f t="shared" si="26"/>
        <v>J054LY5</v>
      </c>
      <c r="J115" s="5">
        <v>1</v>
      </c>
      <c r="K115" s="5">
        <v>1</v>
      </c>
      <c r="L115" s="4">
        <v>240</v>
      </c>
      <c r="M115" s="4">
        <v>195</v>
      </c>
      <c r="N115" s="4">
        <v>120</v>
      </c>
      <c r="O115" s="6">
        <f t="shared" si="27"/>
        <v>0.38461538461538458</v>
      </c>
      <c r="P115" s="4" t="s">
        <v>410</v>
      </c>
      <c r="Q115" s="4" t="s">
        <v>410</v>
      </c>
      <c r="R115" s="4" t="s">
        <v>410</v>
      </c>
      <c r="S115" s="4" t="s">
        <v>410</v>
      </c>
      <c r="T115" s="4" t="s">
        <v>410</v>
      </c>
      <c r="U115" s="4" t="s">
        <v>410</v>
      </c>
      <c r="V115" s="4">
        <v>300</v>
      </c>
      <c r="W115" s="4">
        <f t="shared" si="28"/>
        <v>300</v>
      </c>
      <c r="X115" s="4">
        <v>134</v>
      </c>
      <c r="Y115" s="4">
        <f t="shared" si="29"/>
        <v>134</v>
      </c>
      <c r="Z115" s="4"/>
      <c r="AA115" s="21">
        <f t="shared" si="30"/>
        <v>218</v>
      </c>
      <c r="AB115" s="6">
        <f t="shared" si="31"/>
        <v>0.38532110091743121</v>
      </c>
      <c r="AC115" s="4">
        <v>12.75</v>
      </c>
      <c r="AD115" s="4" t="str">
        <f t="shared" si="32"/>
        <v>-</v>
      </c>
      <c r="AE115" s="4" t="e">
        <f t="shared" si="33"/>
        <v>#VALUE!</v>
      </c>
      <c r="AF115" s="6" t="e">
        <f t="shared" si="34"/>
        <v>#VALUE!</v>
      </c>
      <c r="AG115" s="7">
        <v>218</v>
      </c>
      <c r="AH115" s="6">
        <f t="shared" si="35"/>
        <v>0.38532110091743121</v>
      </c>
      <c r="AI115" s="4">
        <f t="shared" si="36"/>
        <v>84</v>
      </c>
      <c r="AJ115" s="28"/>
      <c r="AK115" s="6"/>
      <c r="AL115" s="6"/>
      <c r="AM115" s="6">
        <f t="shared" si="37"/>
        <v>1.25</v>
      </c>
      <c r="AN115" s="6">
        <f t="shared" si="38"/>
        <v>1.117948717948718</v>
      </c>
      <c r="AO115" s="6">
        <f t="shared" si="39"/>
        <v>1.1166666666666667</v>
      </c>
      <c r="AP115" s="4" t="str">
        <f t="shared" si="40"/>
        <v>-</v>
      </c>
      <c r="AQ115" s="4" t="str">
        <f t="shared" si="41"/>
        <v>-</v>
      </c>
      <c r="AR115" s="4" t="str">
        <f t="shared" si="42"/>
        <v>-</v>
      </c>
      <c r="AS115" s="4" t="str">
        <f t="shared" si="43"/>
        <v>-</v>
      </c>
      <c r="AT115" s="4" t="str">
        <f t="shared" si="44"/>
        <v>-</v>
      </c>
      <c r="AU115" s="4" t="str">
        <f t="shared" si="45"/>
        <v>-</v>
      </c>
      <c r="AV115" s="4">
        <v>0</v>
      </c>
      <c r="AW115" s="4" t="s">
        <v>410</v>
      </c>
      <c r="AX115" s="4"/>
      <c r="AY115" s="4"/>
      <c r="AZ115" s="4" t="s">
        <v>410</v>
      </c>
      <c r="BA115" s="4" t="s">
        <v>410</v>
      </c>
      <c r="BB115" s="4" t="s">
        <v>410</v>
      </c>
      <c r="BC115" s="4" t="str">
        <f t="shared" si="46"/>
        <v>-</v>
      </c>
      <c r="BD115" s="19">
        <v>4</v>
      </c>
      <c r="BE115" s="19">
        <v>1</v>
      </c>
      <c r="BF115" s="16">
        <v>3</v>
      </c>
      <c r="BG115" s="36">
        <v>46174</v>
      </c>
      <c r="BH115" t="s">
        <v>410</v>
      </c>
      <c r="BI115">
        <v>270</v>
      </c>
      <c r="BJ115" s="4" t="s">
        <v>410</v>
      </c>
      <c r="BL115" s="44">
        <f t="shared" si="47"/>
        <v>1.2820512820512775E-3</v>
      </c>
      <c r="BM115" t="s">
        <v>792</v>
      </c>
    </row>
    <row r="116" spans="1:65" x14ac:dyDescent="0.4">
      <c r="A116" s="3">
        <v>103</v>
      </c>
      <c r="B116" s="3">
        <f t="shared" si="48"/>
        <v>113</v>
      </c>
      <c r="C116" s="4" t="s">
        <v>127</v>
      </c>
      <c r="D116" s="4" t="str">
        <f t="shared" si="50"/>
        <v>J056LY</v>
      </c>
      <c r="E116" s="4" t="s">
        <v>127</v>
      </c>
      <c r="F116" s="4" t="s">
        <v>280</v>
      </c>
      <c r="G116" s="5">
        <v>4977564659844</v>
      </c>
      <c r="H116" s="5">
        <v>5</v>
      </c>
      <c r="I116" s="5" t="str">
        <f t="shared" si="26"/>
        <v>J056LY5</v>
      </c>
      <c r="J116" s="5">
        <v>1</v>
      </c>
      <c r="K116" s="5">
        <v>1</v>
      </c>
      <c r="L116" s="4">
        <v>1650</v>
      </c>
      <c r="M116" s="4">
        <v>1346</v>
      </c>
      <c r="N116" s="4">
        <v>825</v>
      </c>
      <c r="O116" s="6">
        <f t="shared" si="27"/>
        <v>0.38707280832095092</v>
      </c>
      <c r="P116" s="4" t="s">
        <v>410</v>
      </c>
      <c r="Q116" s="4" t="s">
        <v>410</v>
      </c>
      <c r="R116" s="4" t="s">
        <v>410</v>
      </c>
      <c r="S116" s="4" t="s">
        <v>410</v>
      </c>
      <c r="T116" s="4" t="s">
        <v>410</v>
      </c>
      <c r="U116" s="4" t="s">
        <v>410</v>
      </c>
      <c r="V116" s="4">
        <v>2000</v>
      </c>
      <c r="W116" s="4">
        <f t="shared" si="28"/>
        <v>2000</v>
      </c>
      <c r="X116" s="4">
        <v>917</v>
      </c>
      <c r="Y116" s="4">
        <f t="shared" si="29"/>
        <v>917</v>
      </c>
      <c r="Z116" s="4"/>
      <c r="AA116" s="21">
        <f t="shared" si="30"/>
        <v>1496</v>
      </c>
      <c r="AB116" s="6">
        <f t="shared" si="31"/>
        <v>0.38703208556149737</v>
      </c>
      <c r="AC116" s="4">
        <v>3.25</v>
      </c>
      <c r="AD116" s="4" t="str">
        <f t="shared" si="32"/>
        <v>-</v>
      </c>
      <c r="AE116" s="4" t="e">
        <f t="shared" si="33"/>
        <v>#VALUE!</v>
      </c>
      <c r="AF116" s="6" t="e">
        <f t="shared" si="34"/>
        <v>#VALUE!</v>
      </c>
      <c r="AG116" s="7">
        <v>1480</v>
      </c>
      <c r="AH116" s="6">
        <f t="shared" si="35"/>
        <v>0.38040540540540535</v>
      </c>
      <c r="AI116" s="4">
        <f t="shared" si="36"/>
        <v>563</v>
      </c>
      <c r="AJ116" s="28"/>
      <c r="AK116" s="6"/>
      <c r="AL116" s="6"/>
      <c r="AM116" s="6">
        <f t="shared" si="37"/>
        <v>1.2121212121212122</v>
      </c>
      <c r="AN116" s="6">
        <f t="shared" si="38"/>
        <v>1.0995542347696881</v>
      </c>
      <c r="AO116" s="6">
        <f t="shared" si="39"/>
        <v>1.1115151515151516</v>
      </c>
      <c r="AP116" s="4" t="str">
        <f t="shared" si="40"/>
        <v>-</v>
      </c>
      <c r="AQ116" s="4" t="str">
        <f t="shared" si="41"/>
        <v>-</v>
      </c>
      <c r="AR116" s="4" t="str">
        <f t="shared" si="42"/>
        <v>-</v>
      </c>
      <c r="AS116" s="4" t="str">
        <f t="shared" si="43"/>
        <v>-</v>
      </c>
      <c r="AT116" s="4" t="str">
        <f t="shared" si="44"/>
        <v>-</v>
      </c>
      <c r="AU116" s="4" t="str">
        <f t="shared" si="45"/>
        <v>-</v>
      </c>
      <c r="AV116" s="4">
        <v>0</v>
      </c>
      <c r="AW116" s="4" t="s">
        <v>410</v>
      </c>
      <c r="AX116" s="4"/>
      <c r="AY116" s="4"/>
      <c r="AZ116" s="4" t="s">
        <v>410</v>
      </c>
      <c r="BA116" s="4" t="s">
        <v>410</v>
      </c>
      <c r="BB116" s="4" t="s">
        <v>410</v>
      </c>
      <c r="BC116" s="4" t="str">
        <f t="shared" si="46"/>
        <v>-</v>
      </c>
      <c r="BD116" s="19">
        <v>4</v>
      </c>
      <c r="BE116" s="19">
        <v>1</v>
      </c>
      <c r="BF116" s="16">
        <v>3</v>
      </c>
      <c r="BG116" s="36">
        <v>46174</v>
      </c>
      <c r="BH116" t="s">
        <v>410</v>
      </c>
      <c r="BI116">
        <v>1800</v>
      </c>
      <c r="BJ116" s="4" t="s">
        <v>410</v>
      </c>
      <c r="BL116" s="44">
        <f t="shared" si="47"/>
        <v>-1.1960916745463512E-2</v>
      </c>
      <c r="BM116" t="s">
        <v>792</v>
      </c>
    </row>
    <row r="117" spans="1:65" x14ac:dyDescent="0.4">
      <c r="A117" s="3">
        <v>104</v>
      </c>
      <c r="B117" s="3">
        <f t="shared" si="48"/>
        <v>114</v>
      </c>
      <c r="C117" s="4" t="s">
        <v>128</v>
      </c>
      <c r="D117" s="4" t="str">
        <f t="shared" si="50"/>
        <v>J061LY</v>
      </c>
      <c r="E117" s="4" t="s">
        <v>128</v>
      </c>
      <c r="F117" s="4" t="s">
        <v>281</v>
      </c>
      <c r="G117" s="5">
        <v>4977564659912</v>
      </c>
      <c r="H117" s="5">
        <v>5</v>
      </c>
      <c r="I117" s="5" t="str">
        <f t="shared" si="26"/>
        <v>J061LY5</v>
      </c>
      <c r="J117" s="5">
        <v>1</v>
      </c>
      <c r="K117" s="5">
        <v>1</v>
      </c>
      <c r="L117" s="4">
        <v>2510</v>
      </c>
      <c r="M117" s="4">
        <v>2048</v>
      </c>
      <c r="N117" s="4">
        <v>1255</v>
      </c>
      <c r="O117" s="6">
        <f t="shared" si="27"/>
        <v>0.38720703125</v>
      </c>
      <c r="P117" s="4" t="s">
        <v>410</v>
      </c>
      <c r="Q117" s="4" t="s">
        <v>410</v>
      </c>
      <c r="R117" s="4" t="s">
        <v>410</v>
      </c>
      <c r="S117" s="4" t="s">
        <v>410</v>
      </c>
      <c r="T117" s="4" t="s">
        <v>410</v>
      </c>
      <c r="U117" s="4" t="s">
        <v>410</v>
      </c>
      <c r="V117" s="4">
        <v>3000</v>
      </c>
      <c r="W117" s="4">
        <f t="shared" si="28"/>
        <v>3000</v>
      </c>
      <c r="X117" s="4">
        <v>1395</v>
      </c>
      <c r="Y117" s="4">
        <f t="shared" si="29"/>
        <v>1395</v>
      </c>
      <c r="Z117" s="4"/>
      <c r="AA117" s="21">
        <f t="shared" si="30"/>
        <v>2276</v>
      </c>
      <c r="AB117" s="6">
        <f t="shared" si="31"/>
        <v>0.38708260105448156</v>
      </c>
      <c r="AC117" s="4">
        <v>5.5</v>
      </c>
      <c r="AD117" s="4">
        <f t="shared" si="32"/>
        <v>2700</v>
      </c>
      <c r="AE117" s="4">
        <f t="shared" si="33"/>
        <v>3001.1952191235059</v>
      </c>
      <c r="AF117" s="6">
        <f t="shared" si="34"/>
        <v>0.53518518518518521</v>
      </c>
      <c r="AG117" s="7">
        <v>2280</v>
      </c>
      <c r="AH117" s="6">
        <f t="shared" si="35"/>
        <v>0.38815789473684215</v>
      </c>
      <c r="AI117" s="4">
        <f t="shared" si="36"/>
        <v>885</v>
      </c>
      <c r="AJ117" s="28"/>
      <c r="AK117" s="6"/>
      <c r="AL117" s="6"/>
      <c r="AM117" s="6">
        <f t="shared" si="37"/>
        <v>1.1952191235059761</v>
      </c>
      <c r="AN117" s="6">
        <f t="shared" si="38"/>
        <v>1.11328125</v>
      </c>
      <c r="AO117" s="6">
        <f t="shared" si="39"/>
        <v>1.1115537848605577</v>
      </c>
      <c r="AP117" s="4" t="str">
        <f t="shared" si="40"/>
        <v>-</v>
      </c>
      <c r="AQ117" s="4" t="str">
        <f t="shared" si="41"/>
        <v>-</v>
      </c>
      <c r="AR117" s="4" t="str">
        <f t="shared" si="42"/>
        <v>-</v>
      </c>
      <c r="AS117" s="4" t="str">
        <f t="shared" si="43"/>
        <v>-</v>
      </c>
      <c r="AT117" s="4" t="str">
        <f t="shared" si="44"/>
        <v>-</v>
      </c>
      <c r="AU117" s="4" t="str">
        <f t="shared" si="45"/>
        <v>-</v>
      </c>
      <c r="AV117" s="4">
        <v>0</v>
      </c>
      <c r="AW117" s="4" t="s">
        <v>671</v>
      </c>
      <c r="AX117" s="4"/>
      <c r="AY117" s="4"/>
      <c r="AZ117" s="4" t="s">
        <v>670</v>
      </c>
      <c r="BA117" s="4">
        <v>2700</v>
      </c>
      <c r="BB117" s="4">
        <v>2700</v>
      </c>
      <c r="BC117" s="4">
        <f t="shared" si="46"/>
        <v>2700</v>
      </c>
      <c r="BD117" s="19">
        <v>4</v>
      </c>
      <c r="BE117" s="19">
        <v>1</v>
      </c>
      <c r="BF117" s="16">
        <v>3</v>
      </c>
      <c r="BG117" s="36">
        <v>46174</v>
      </c>
      <c r="BH117" t="s">
        <v>410</v>
      </c>
      <c r="BI117">
        <v>400</v>
      </c>
      <c r="BJ117" s="4" t="s">
        <v>488</v>
      </c>
      <c r="BL117" s="44">
        <f t="shared" si="47"/>
        <v>1.7274651394423302E-3</v>
      </c>
      <c r="BM117" t="s">
        <v>792</v>
      </c>
    </row>
    <row r="118" spans="1:65" x14ac:dyDescent="0.4">
      <c r="A118" s="3">
        <v>105</v>
      </c>
      <c r="B118" s="3">
        <f t="shared" si="48"/>
        <v>115</v>
      </c>
      <c r="C118" s="4" t="s">
        <v>129</v>
      </c>
      <c r="D118" s="4" t="str">
        <f t="shared" si="50"/>
        <v>J053LY</v>
      </c>
      <c r="E118" s="4" t="s">
        <v>129</v>
      </c>
      <c r="F118" s="4" t="s">
        <v>282</v>
      </c>
      <c r="G118" s="5">
        <v>4977564659813</v>
      </c>
      <c r="H118" s="5">
        <v>5</v>
      </c>
      <c r="I118" s="5" t="str">
        <f t="shared" si="26"/>
        <v>J053LY5</v>
      </c>
      <c r="J118" s="5">
        <v>1</v>
      </c>
      <c r="K118" s="5">
        <v>1</v>
      </c>
      <c r="L118" s="4">
        <v>1550</v>
      </c>
      <c r="M118" s="4">
        <v>1277</v>
      </c>
      <c r="N118" s="4">
        <v>775</v>
      </c>
      <c r="O118" s="6">
        <f t="shared" si="27"/>
        <v>0.39310884886452624</v>
      </c>
      <c r="P118" s="4" t="s">
        <v>410</v>
      </c>
      <c r="Q118" s="4" t="s">
        <v>410</v>
      </c>
      <c r="R118" s="4" t="s">
        <v>410</v>
      </c>
      <c r="S118" s="4" t="s">
        <v>410</v>
      </c>
      <c r="T118" s="4" t="s">
        <v>410</v>
      </c>
      <c r="U118" s="4" t="s">
        <v>410</v>
      </c>
      <c r="V118" s="4">
        <v>1900</v>
      </c>
      <c r="W118" s="4">
        <f t="shared" si="28"/>
        <v>1900</v>
      </c>
      <c r="X118" s="4">
        <v>867</v>
      </c>
      <c r="Y118" s="4">
        <f t="shared" si="29"/>
        <v>867</v>
      </c>
      <c r="Z118" s="4"/>
      <c r="AA118" s="21">
        <f t="shared" si="30"/>
        <v>1429</v>
      </c>
      <c r="AB118" s="6">
        <f t="shared" si="31"/>
        <v>0.39328201539538143</v>
      </c>
      <c r="AC118" s="4">
        <v>11</v>
      </c>
      <c r="AD118" s="4">
        <f t="shared" si="32"/>
        <v>1716</v>
      </c>
      <c r="AE118" s="4">
        <f t="shared" si="33"/>
        <v>1919.7058064516127</v>
      </c>
      <c r="AF118" s="6">
        <f t="shared" si="34"/>
        <v>0.54836829836829826</v>
      </c>
      <c r="AG118" s="7">
        <v>1430</v>
      </c>
      <c r="AH118" s="6">
        <f t="shared" si="35"/>
        <v>0.39370629370629373</v>
      </c>
      <c r="AI118" s="4">
        <f t="shared" si="36"/>
        <v>563</v>
      </c>
      <c r="AJ118" s="28"/>
      <c r="AK118" s="6"/>
      <c r="AL118" s="6"/>
      <c r="AM118" s="6">
        <f t="shared" si="37"/>
        <v>1.2258064516129032</v>
      </c>
      <c r="AN118" s="6">
        <f t="shared" si="38"/>
        <v>1.1198120595144871</v>
      </c>
      <c r="AO118" s="6">
        <f t="shared" si="39"/>
        <v>1.1187096774193548</v>
      </c>
      <c r="AP118" s="4" t="str">
        <f t="shared" si="40"/>
        <v>-</v>
      </c>
      <c r="AQ118" s="4" t="str">
        <f t="shared" si="41"/>
        <v>-</v>
      </c>
      <c r="AR118" s="4" t="str">
        <f t="shared" si="42"/>
        <v>-</v>
      </c>
      <c r="AS118" s="4" t="str">
        <f t="shared" si="43"/>
        <v>-</v>
      </c>
      <c r="AT118" s="4" t="str">
        <f t="shared" si="44"/>
        <v>-</v>
      </c>
      <c r="AU118" s="4" t="str">
        <f t="shared" si="45"/>
        <v>-</v>
      </c>
      <c r="AV118" s="4">
        <v>0</v>
      </c>
      <c r="AW118" s="4" t="s">
        <v>672</v>
      </c>
      <c r="AX118" s="4"/>
      <c r="AY118" s="4"/>
      <c r="AZ118" s="4" t="s">
        <v>670</v>
      </c>
      <c r="BA118" s="4">
        <v>1716</v>
      </c>
      <c r="BB118" s="4">
        <v>1716</v>
      </c>
      <c r="BC118" s="4">
        <f t="shared" si="46"/>
        <v>1716</v>
      </c>
      <c r="BD118" s="19">
        <v>4</v>
      </c>
      <c r="BE118" s="19">
        <v>1</v>
      </c>
      <c r="BF118" s="16">
        <v>3</v>
      </c>
      <c r="BG118" s="36">
        <v>46174</v>
      </c>
      <c r="BH118" t="s">
        <v>410</v>
      </c>
      <c r="BI118">
        <v>1700</v>
      </c>
      <c r="BJ118" s="4" t="s">
        <v>489</v>
      </c>
      <c r="BL118" s="44">
        <f t="shared" si="47"/>
        <v>1.1023820951323593E-3</v>
      </c>
      <c r="BM118" t="s">
        <v>792</v>
      </c>
    </row>
    <row r="119" spans="1:65" x14ac:dyDescent="0.4">
      <c r="A119" s="3">
        <v>106</v>
      </c>
      <c r="B119" s="3">
        <f t="shared" si="48"/>
        <v>116</v>
      </c>
      <c r="C119" s="4" t="s">
        <v>130</v>
      </c>
      <c r="D119" s="4" t="str">
        <f t="shared" si="50"/>
        <v>J058LY</v>
      </c>
      <c r="E119" s="4" t="s">
        <v>130</v>
      </c>
      <c r="F119" s="4" t="s">
        <v>283</v>
      </c>
      <c r="G119" s="5">
        <v>4977564659882</v>
      </c>
      <c r="H119" s="5">
        <v>5</v>
      </c>
      <c r="I119" s="5" t="str">
        <f t="shared" ref="I119:I170" si="51">C119&amp;H119</f>
        <v>J058LY5</v>
      </c>
      <c r="J119" s="5">
        <v>1</v>
      </c>
      <c r="K119" s="5">
        <v>1</v>
      </c>
      <c r="L119" s="4">
        <v>540</v>
      </c>
      <c r="M119" s="4">
        <v>444</v>
      </c>
      <c r="N119" s="4">
        <v>270</v>
      </c>
      <c r="O119" s="6">
        <f t="shared" ref="O119:O170" si="52">1-N119/M119</f>
        <v>0.39189189189189189</v>
      </c>
      <c r="P119" s="4" t="s">
        <v>410</v>
      </c>
      <c r="Q119" s="4" t="s">
        <v>410</v>
      </c>
      <c r="R119" s="4" t="s">
        <v>410</v>
      </c>
      <c r="S119" s="4" t="s">
        <v>410</v>
      </c>
      <c r="T119" s="4" t="s">
        <v>410</v>
      </c>
      <c r="U119" s="4" t="s">
        <v>410</v>
      </c>
      <c r="V119" s="4">
        <v>670</v>
      </c>
      <c r="W119" s="4">
        <f t="shared" ref="W119:W170" si="53">IF(Z119="",V119,V119*Z119)</f>
        <v>670</v>
      </c>
      <c r="X119" s="4">
        <v>302</v>
      </c>
      <c r="Y119" s="4">
        <f t="shared" ref="Y119:Y170" si="54">IF(Z119="",X119,X119*Z119)</f>
        <v>302</v>
      </c>
      <c r="Z119" s="4"/>
      <c r="AA119" s="21">
        <f t="shared" ref="AA119:AA170" si="55">ROUND(M119*AO119,0)</f>
        <v>497</v>
      </c>
      <c r="AB119" s="6">
        <f t="shared" ref="AB119:AB170" si="56">1-Y119/AA119</f>
        <v>0.39235412474849096</v>
      </c>
      <c r="AC119" s="4">
        <v>4.25</v>
      </c>
      <c r="AD119" s="4">
        <f t="shared" ref="AD119:AD170" si="57">BC119</f>
        <v>570</v>
      </c>
      <c r="AE119" s="4">
        <f t="shared" ref="AE119:AE170" si="58">AD119*AO119</f>
        <v>637.55555555555554</v>
      </c>
      <c r="AF119" s="6">
        <f t="shared" ref="AF119:AF170" si="59">1-Y119/AE119</f>
        <v>0.52631578947368418</v>
      </c>
      <c r="AG119" s="7">
        <v>488</v>
      </c>
      <c r="AH119" s="6">
        <f t="shared" ref="AH119:AH170" si="60">1-Y119/AG119</f>
        <v>0.38114754098360659</v>
      </c>
      <c r="AI119" s="4">
        <f t="shared" ref="AI119:AI170" si="61">AG119-Y119</f>
        <v>186</v>
      </c>
      <c r="AJ119" s="28"/>
      <c r="AK119" s="6"/>
      <c r="AL119" s="6"/>
      <c r="AM119" s="6">
        <f t="shared" ref="AM119:AM170" si="62">W119/L119</f>
        <v>1.2407407407407407</v>
      </c>
      <c r="AN119" s="6">
        <f t="shared" ref="AN119:AN170" si="63">AG119/M119</f>
        <v>1.0990990990990992</v>
      </c>
      <c r="AO119" s="6">
        <f t="shared" ref="AO119:AO170" si="64">Y119/N119</f>
        <v>1.1185185185185185</v>
      </c>
      <c r="AP119" s="4" t="str">
        <f t="shared" ref="AP119:AP170" si="65">IFERROR(ROUND($AG119*P119/$M119,0),"-")</f>
        <v>-</v>
      </c>
      <c r="AQ119" s="4" t="str">
        <f t="shared" ref="AQ119:AQ170" si="66">IF(Q119="","-",Q119)</f>
        <v>-</v>
      </c>
      <c r="AR119" s="4" t="str">
        <f t="shared" ref="AR119:AR170" si="67">IF(R119="","-",R119)</f>
        <v>-</v>
      </c>
      <c r="AS119" s="4" t="str">
        <f t="shared" ref="AS119:AS170" si="68">IFERROR(ROUND($AG119*S119/$M119,0),"-")</f>
        <v>-</v>
      </c>
      <c r="AT119" s="4" t="str">
        <f t="shared" ref="AT119:AT170" si="69">IF(T119="","-",T119)</f>
        <v>-</v>
      </c>
      <c r="AU119" s="4" t="str">
        <f t="shared" ref="AU119:AU170" si="70">IF(U119="","-",U119)</f>
        <v>-</v>
      </c>
      <c r="AV119" s="4">
        <v>0</v>
      </c>
      <c r="AW119" s="4" t="s">
        <v>673</v>
      </c>
      <c r="AX119" s="4"/>
      <c r="AY119" s="4"/>
      <c r="AZ119" s="4" t="s">
        <v>674</v>
      </c>
      <c r="BA119" s="4">
        <v>570</v>
      </c>
      <c r="BB119" s="4">
        <v>570</v>
      </c>
      <c r="BC119" s="4">
        <f t="shared" ref="BC119:BC170" si="71">IF(AX119="",BB119,AX119/AY119*BB119)</f>
        <v>570</v>
      </c>
      <c r="BD119" s="19">
        <v>4</v>
      </c>
      <c r="BE119" s="19">
        <v>1</v>
      </c>
      <c r="BF119" s="16">
        <v>3</v>
      </c>
      <c r="BG119" s="36">
        <v>46174</v>
      </c>
      <c r="BH119" t="s">
        <v>410</v>
      </c>
      <c r="BI119" t="s">
        <v>410</v>
      </c>
      <c r="BJ119" s="4" t="s">
        <v>490</v>
      </c>
      <c r="BL119" s="44">
        <f t="shared" si="47"/>
        <v>-1.941941941941927E-2</v>
      </c>
      <c r="BM119" t="s">
        <v>792</v>
      </c>
    </row>
    <row r="120" spans="1:65" x14ac:dyDescent="0.4">
      <c r="A120" s="3">
        <v>107</v>
      </c>
      <c r="B120" s="3">
        <f t="shared" si="48"/>
        <v>117</v>
      </c>
      <c r="C120" s="4" t="s">
        <v>131</v>
      </c>
      <c r="D120" s="4" t="str">
        <f t="shared" si="50"/>
        <v>J059LY</v>
      </c>
      <c r="E120" s="4" t="s">
        <v>131</v>
      </c>
      <c r="F120" s="4" t="s">
        <v>284</v>
      </c>
      <c r="G120" s="5">
        <v>4977564659899</v>
      </c>
      <c r="H120" s="5">
        <v>5</v>
      </c>
      <c r="I120" s="5" t="str">
        <f t="shared" si="51"/>
        <v>J059LY5</v>
      </c>
      <c r="J120" s="5">
        <v>1</v>
      </c>
      <c r="K120" s="5">
        <v>1</v>
      </c>
      <c r="L120" s="4">
        <v>540</v>
      </c>
      <c r="M120" s="4">
        <v>444</v>
      </c>
      <c r="N120" s="4">
        <v>270</v>
      </c>
      <c r="O120" s="6">
        <f t="shared" si="52"/>
        <v>0.39189189189189189</v>
      </c>
      <c r="P120" s="4" t="s">
        <v>410</v>
      </c>
      <c r="Q120" s="4" t="s">
        <v>410</v>
      </c>
      <c r="R120" s="4" t="s">
        <v>410</v>
      </c>
      <c r="S120" s="4" t="s">
        <v>410</v>
      </c>
      <c r="T120" s="4" t="s">
        <v>410</v>
      </c>
      <c r="U120" s="4" t="s">
        <v>410</v>
      </c>
      <c r="V120" s="4">
        <v>670</v>
      </c>
      <c r="W120" s="4">
        <f t="shared" si="53"/>
        <v>670</v>
      </c>
      <c r="X120" s="4">
        <v>302</v>
      </c>
      <c r="Y120" s="4">
        <f t="shared" si="54"/>
        <v>302</v>
      </c>
      <c r="Z120" s="4"/>
      <c r="AA120" s="21">
        <f t="shared" si="55"/>
        <v>497</v>
      </c>
      <c r="AB120" s="6">
        <f t="shared" si="56"/>
        <v>0.39235412474849096</v>
      </c>
      <c r="AC120" s="4">
        <v>4.5</v>
      </c>
      <c r="AD120" s="4">
        <f t="shared" si="57"/>
        <v>313</v>
      </c>
      <c r="AE120" s="4">
        <f t="shared" si="58"/>
        <v>350.09629629629626</v>
      </c>
      <c r="AF120" s="6">
        <f t="shared" si="59"/>
        <v>0.13738019169329063</v>
      </c>
      <c r="AG120" s="7">
        <v>488</v>
      </c>
      <c r="AH120" s="6">
        <f t="shared" si="60"/>
        <v>0.38114754098360659</v>
      </c>
      <c r="AI120" s="4">
        <f t="shared" si="61"/>
        <v>186</v>
      </c>
      <c r="AJ120" s="28"/>
      <c r="AK120" s="6"/>
      <c r="AL120" s="6"/>
      <c r="AM120" s="6">
        <f t="shared" si="62"/>
        <v>1.2407407407407407</v>
      </c>
      <c r="AN120" s="6">
        <f t="shared" si="63"/>
        <v>1.0990990990990992</v>
      </c>
      <c r="AO120" s="6">
        <f t="shared" si="64"/>
        <v>1.1185185185185185</v>
      </c>
      <c r="AP120" s="4" t="str">
        <f t="shared" si="65"/>
        <v>-</v>
      </c>
      <c r="AQ120" s="4" t="str">
        <f t="shared" si="66"/>
        <v>-</v>
      </c>
      <c r="AR120" s="4" t="str">
        <f t="shared" si="67"/>
        <v>-</v>
      </c>
      <c r="AS120" s="4" t="str">
        <f t="shared" si="68"/>
        <v>-</v>
      </c>
      <c r="AT120" s="4" t="str">
        <f t="shared" si="69"/>
        <v>-</v>
      </c>
      <c r="AU120" s="4" t="str">
        <f t="shared" si="70"/>
        <v>-</v>
      </c>
      <c r="AV120" s="4">
        <v>0</v>
      </c>
      <c r="AW120" s="4" t="s">
        <v>675</v>
      </c>
      <c r="AX120" s="4"/>
      <c r="AY120" s="4"/>
      <c r="AZ120" s="4" t="s">
        <v>676</v>
      </c>
      <c r="BA120" s="4">
        <v>311</v>
      </c>
      <c r="BB120" s="4">
        <v>313</v>
      </c>
      <c r="BC120" s="4">
        <f t="shared" si="71"/>
        <v>313</v>
      </c>
      <c r="BD120" s="19">
        <v>4</v>
      </c>
      <c r="BE120" s="19">
        <v>8</v>
      </c>
      <c r="BF120" s="16">
        <v>3</v>
      </c>
      <c r="BG120" s="36">
        <v>46174</v>
      </c>
      <c r="BH120" t="s">
        <v>410</v>
      </c>
      <c r="BI120">
        <v>600</v>
      </c>
      <c r="BJ120" s="4" t="s">
        <v>789</v>
      </c>
      <c r="BL120" s="44">
        <f t="shared" ref="BL120:BL171" si="72">AN120-AO120</f>
        <v>-1.941941941941927E-2</v>
      </c>
      <c r="BM120" t="s">
        <v>792</v>
      </c>
    </row>
    <row r="121" spans="1:65" x14ac:dyDescent="0.4">
      <c r="A121" s="3">
        <v>108</v>
      </c>
      <c r="B121" s="3">
        <f t="shared" si="48"/>
        <v>118</v>
      </c>
      <c r="C121" s="4" t="s">
        <v>132</v>
      </c>
      <c r="D121" s="4" t="str">
        <f t="shared" si="50"/>
        <v>J057LY</v>
      </c>
      <c r="E121" s="4" t="s">
        <v>132</v>
      </c>
      <c r="F121" s="4" t="s">
        <v>285</v>
      </c>
      <c r="G121" s="5">
        <v>4977564659851</v>
      </c>
      <c r="H121" s="5">
        <v>5</v>
      </c>
      <c r="I121" s="5" t="str">
        <f t="shared" si="51"/>
        <v>J057LY5</v>
      </c>
      <c r="J121" s="5">
        <v>1</v>
      </c>
      <c r="K121" s="5">
        <v>1</v>
      </c>
      <c r="L121" s="4">
        <v>640</v>
      </c>
      <c r="M121" s="4">
        <v>527</v>
      </c>
      <c r="N121" s="4">
        <v>320</v>
      </c>
      <c r="O121" s="6">
        <f t="shared" si="52"/>
        <v>0.39278937381404178</v>
      </c>
      <c r="P121" s="4" t="s">
        <v>410</v>
      </c>
      <c r="Q121" s="4" t="s">
        <v>410</v>
      </c>
      <c r="R121" s="4" t="s">
        <v>410</v>
      </c>
      <c r="S121" s="4" t="s">
        <v>410</v>
      </c>
      <c r="T121" s="4" t="s">
        <v>410</v>
      </c>
      <c r="U121" s="4" t="s">
        <v>410</v>
      </c>
      <c r="V121" s="4">
        <v>780</v>
      </c>
      <c r="W121" s="4">
        <f t="shared" si="53"/>
        <v>780</v>
      </c>
      <c r="X121" s="4">
        <v>357</v>
      </c>
      <c r="Y121" s="4">
        <f t="shared" si="54"/>
        <v>357</v>
      </c>
      <c r="Z121" s="4"/>
      <c r="AA121" s="21">
        <f t="shared" si="55"/>
        <v>588</v>
      </c>
      <c r="AB121" s="6">
        <f t="shared" si="56"/>
        <v>0.3928571428571429</v>
      </c>
      <c r="AC121" s="4">
        <v>5.5</v>
      </c>
      <c r="AD121" s="4">
        <f t="shared" si="57"/>
        <v>599.5</v>
      </c>
      <c r="AE121" s="4">
        <f t="shared" si="58"/>
        <v>668.81718750000005</v>
      </c>
      <c r="AF121" s="6">
        <f t="shared" si="59"/>
        <v>0.46622185154295248</v>
      </c>
      <c r="AG121" s="7">
        <v>588</v>
      </c>
      <c r="AH121" s="6">
        <f t="shared" si="60"/>
        <v>0.3928571428571429</v>
      </c>
      <c r="AI121" s="4">
        <f t="shared" si="61"/>
        <v>231</v>
      </c>
      <c r="AJ121" s="28"/>
      <c r="AK121" s="6"/>
      <c r="AL121" s="6"/>
      <c r="AM121" s="6">
        <f t="shared" si="62"/>
        <v>1.21875</v>
      </c>
      <c r="AN121" s="6">
        <f t="shared" si="63"/>
        <v>1.1157495256166983</v>
      </c>
      <c r="AO121" s="6">
        <f t="shared" si="64"/>
        <v>1.1156250000000001</v>
      </c>
      <c r="AP121" s="4" t="str">
        <f t="shared" si="65"/>
        <v>-</v>
      </c>
      <c r="AQ121" s="4" t="str">
        <f t="shared" si="66"/>
        <v>-</v>
      </c>
      <c r="AR121" s="4" t="str">
        <f t="shared" si="67"/>
        <v>-</v>
      </c>
      <c r="AS121" s="4" t="str">
        <f t="shared" si="68"/>
        <v>-</v>
      </c>
      <c r="AT121" s="4" t="str">
        <f t="shared" si="69"/>
        <v>-</v>
      </c>
      <c r="AU121" s="4" t="str">
        <f t="shared" si="70"/>
        <v>-</v>
      </c>
      <c r="AV121" s="4">
        <v>0</v>
      </c>
      <c r="AW121" s="4" t="s">
        <v>677</v>
      </c>
      <c r="AX121" s="4">
        <v>1</v>
      </c>
      <c r="AY121" s="4">
        <v>2</v>
      </c>
      <c r="AZ121" s="4" t="s">
        <v>678</v>
      </c>
      <c r="BA121" s="4">
        <v>1199</v>
      </c>
      <c r="BB121" s="4">
        <v>1199</v>
      </c>
      <c r="BC121" s="4">
        <f t="shared" si="71"/>
        <v>599.5</v>
      </c>
      <c r="BD121" s="19">
        <v>4</v>
      </c>
      <c r="BE121" s="19">
        <v>1</v>
      </c>
      <c r="BF121" s="16">
        <v>3</v>
      </c>
      <c r="BG121" s="36">
        <v>46174</v>
      </c>
      <c r="BH121" t="s">
        <v>410</v>
      </c>
      <c r="BI121">
        <v>700</v>
      </c>
      <c r="BJ121" s="4" t="s">
        <v>491</v>
      </c>
      <c r="BL121" s="44">
        <f t="shared" si="72"/>
        <v>1.2452561669817896E-4</v>
      </c>
      <c r="BM121" t="s">
        <v>792</v>
      </c>
    </row>
    <row r="122" spans="1:65" x14ac:dyDescent="0.4">
      <c r="A122" s="3">
        <v>109</v>
      </c>
      <c r="B122" s="3">
        <f t="shared" si="48"/>
        <v>119</v>
      </c>
      <c r="C122" s="4" t="s">
        <v>133</v>
      </c>
      <c r="D122" s="4" t="str">
        <f t="shared" si="50"/>
        <v>J980LM</v>
      </c>
      <c r="E122" s="4" t="s">
        <v>133</v>
      </c>
      <c r="F122" s="4" t="s">
        <v>286</v>
      </c>
      <c r="G122" s="5">
        <v>4977564110116</v>
      </c>
      <c r="H122" s="5">
        <v>5</v>
      </c>
      <c r="I122" s="5" t="str">
        <f t="shared" si="51"/>
        <v>J980LM5</v>
      </c>
      <c r="J122" s="5">
        <v>1</v>
      </c>
      <c r="K122" s="5">
        <v>1</v>
      </c>
      <c r="L122" s="4">
        <v>520</v>
      </c>
      <c r="M122" s="4">
        <v>348</v>
      </c>
      <c r="N122" s="4">
        <v>237</v>
      </c>
      <c r="O122" s="6">
        <f t="shared" si="52"/>
        <v>0.31896551724137934</v>
      </c>
      <c r="P122" s="4" t="s">
        <v>410</v>
      </c>
      <c r="Q122" s="4" t="s">
        <v>410</v>
      </c>
      <c r="R122" s="4" t="s">
        <v>410</v>
      </c>
      <c r="S122" s="4" t="s">
        <v>410</v>
      </c>
      <c r="T122" s="4" t="s">
        <v>410</v>
      </c>
      <c r="U122" s="4" t="s">
        <v>410</v>
      </c>
      <c r="V122" s="4">
        <v>580</v>
      </c>
      <c r="W122" s="4">
        <f t="shared" si="53"/>
        <v>580</v>
      </c>
      <c r="X122" s="4">
        <v>265</v>
      </c>
      <c r="Y122" s="4">
        <f t="shared" si="54"/>
        <v>265</v>
      </c>
      <c r="Z122" s="4"/>
      <c r="AA122" s="21">
        <f t="shared" si="55"/>
        <v>389</v>
      </c>
      <c r="AB122" s="6">
        <f t="shared" si="56"/>
        <v>0.31876606683804631</v>
      </c>
      <c r="AC122" s="4">
        <v>2.75</v>
      </c>
      <c r="AD122" s="4">
        <f t="shared" si="57"/>
        <v>152</v>
      </c>
      <c r="AE122" s="4">
        <f t="shared" si="58"/>
        <v>169.95780590717297</v>
      </c>
      <c r="AF122" s="6">
        <f t="shared" si="59"/>
        <v>-0.55921052631578982</v>
      </c>
      <c r="AG122" s="7">
        <v>388</v>
      </c>
      <c r="AH122" s="6">
        <f t="shared" si="60"/>
        <v>0.3170103092783505</v>
      </c>
      <c r="AI122" s="4">
        <f t="shared" si="61"/>
        <v>123</v>
      </c>
      <c r="AJ122" s="28"/>
      <c r="AK122" s="6"/>
      <c r="AL122" s="6"/>
      <c r="AM122" s="6">
        <f t="shared" si="62"/>
        <v>1.1153846153846154</v>
      </c>
      <c r="AN122" s="6">
        <f t="shared" si="63"/>
        <v>1.1149425287356323</v>
      </c>
      <c r="AO122" s="6">
        <f t="shared" si="64"/>
        <v>1.1181434599156117</v>
      </c>
      <c r="AP122" s="4" t="str">
        <f t="shared" si="65"/>
        <v>-</v>
      </c>
      <c r="AQ122" s="4" t="str">
        <f t="shared" si="66"/>
        <v>-</v>
      </c>
      <c r="AR122" s="4" t="str">
        <f t="shared" si="67"/>
        <v>-</v>
      </c>
      <c r="AS122" s="4" t="str">
        <f t="shared" si="68"/>
        <v>-</v>
      </c>
      <c r="AT122" s="4" t="str">
        <f t="shared" si="69"/>
        <v>-</v>
      </c>
      <c r="AU122" s="4" t="str">
        <f t="shared" si="70"/>
        <v>-</v>
      </c>
      <c r="AV122" s="4">
        <v>0</v>
      </c>
      <c r="AW122" s="4" t="s">
        <v>679</v>
      </c>
      <c r="AX122" s="4"/>
      <c r="AY122" s="4"/>
      <c r="AZ122" s="4" t="s">
        <v>676</v>
      </c>
      <c r="BA122" s="4">
        <v>126</v>
      </c>
      <c r="BB122" s="4">
        <v>152</v>
      </c>
      <c r="BC122" s="4">
        <f t="shared" si="71"/>
        <v>152</v>
      </c>
      <c r="BD122" s="19">
        <v>4</v>
      </c>
      <c r="BE122" s="19">
        <v>1</v>
      </c>
      <c r="BF122" s="16">
        <v>3</v>
      </c>
      <c r="BG122" s="36">
        <v>46174</v>
      </c>
      <c r="BH122" t="s">
        <v>410</v>
      </c>
      <c r="BI122">
        <v>520</v>
      </c>
      <c r="BJ122" s="4" t="s">
        <v>790</v>
      </c>
      <c r="BL122" s="44">
        <f t="shared" si="72"/>
        <v>-3.2009311799794382E-3</v>
      </c>
      <c r="BM122" t="s">
        <v>792</v>
      </c>
    </row>
    <row r="123" spans="1:65" x14ac:dyDescent="0.4">
      <c r="A123" s="3">
        <v>110</v>
      </c>
      <c r="B123" s="3">
        <f t="shared" si="48"/>
        <v>120</v>
      </c>
      <c r="C123" s="4">
        <v>670420</v>
      </c>
      <c r="D123" s="4" t="str">
        <f t="shared" si="50"/>
        <v>670420</v>
      </c>
      <c r="E123" s="4">
        <v>670420</v>
      </c>
      <c r="F123" s="4" t="s">
        <v>287</v>
      </c>
      <c r="G123" s="5">
        <v>4977564307301</v>
      </c>
      <c r="H123" s="5">
        <v>5</v>
      </c>
      <c r="I123" s="5" t="str">
        <f t="shared" si="51"/>
        <v>6704205</v>
      </c>
      <c r="J123" s="5">
        <v>1</v>
      </c>
      <c r="K123" s="5">
        <v>1</v>
      </c>
      <c r="L123" s="4">
        <v>190</v>
      </c>
      <c r="M123" s="4">
        <v>137</v>
      </c>
      <c r="N123" s="4">
        <v>85</v>
      </c>
      <c r="O123" s="6">
        <f t="shared" si="52"/>
        <v>0.37956204379562042</v>
      </c>
      <c r="P123" s="4" t="s">
        <v>410</v>
      </c>
      <c r="Q123" s="4" t="s">
        <v>410</v>
      </c>
      <c r="R123" s="4" t="s">
        <v>410</v>
      </c>
      <c r="S123" s="4" t="s">
        <v>410</v>
      </c>
      <c r="T123" s="4" t="s">
        <v>410</v>
      </c>
      <c r="U123" s="4" t="s">
        <v>410</v>
      </c>
      <c r="V123" s="4">
        <v>210</v>
      </c>
      <c r="W123" s="4">
        <f t="shared" si="53"/>
        <v>210</v>
      </c>
      <c r="X123" s="4">
        <v>94</v>
      </c>
      <c r="Y123" s="4">
        <f t="shared" si="54"/>
        <v>94</v>
      </c>
      <c r="Z123" s="4"/>
      <c r="AA123" s="21">
        <f t="shared" si="55"/>
        <v>152</v>
      </c>
      <c r="AB123" s="6">
        <f t="shared" si="56"/>
        <v>0.38157894736842102</v>
      </c>
      <c r="AC123" s="4">
        <v>49.25</v>
      </c>
      <c r="AD123" s="4">
        <f t="shared" si="57"/>
        <v>1802</v>
      </c>
      <c r="AE123" s="4">
        <f t="shared" si="58"/>
        <v>1992.8000000000002</v>
      </c>
      <c r="AF123" s="6">
        <f t="shared" si="59"/>
        <v>0.95283018867924529</v>
      </c>
      <c r="AG123" s="7">
        <v>152</v>
      </c>
      <c r="AH123" s="6">
        <f t="shared" si="60"/>
        <v>0.38157894736842102</v>
      </c>
      <c r="AI123" s="4">
        <f t="shared" si="61"/>
        <v>58</v>
      </c>
      <c r="AJ123" s="28"/>
      <c r="AK123" s="6"/>
      <c r="AL123" s="6"/>
      <c r="AM123" s="6">
        <f t="shared" si="62"/>
        <v>1.1052631578947369</v>
      </c>
      <c r="AN123" s="6">
        <f t="shared" si="63"/>
        <v>1.1094890510948905</v>
      </c>
      <c r="AO123" s="6">
        <f t="shared" si="64"/>
        <v>1.1058823529411765</v>
      </c>
      <c r="AP123" s="4" t="str">
        <f t="shared" si="65"/>
        <v>-</v>
      </c>
      <c r="AQ123" s="4" t="str">
        <f t="shared" si="66"/>
        <v>-</v>
      </c>
      <c r="AR123" s="4" t="str">
        <f t="shared" si="67"/>
        <v>-</v>
      </c>
      <c r="AS123" s="4" t="str">
        <f t="shared" si="68"/>
        <v>-</v>
      </c>
      <c r="AT123" s="4" t="str">
        <f t="shared" si="69"/>
        <v>-</v>
      </c>
      <c r="AU123" s="4" t="str">
        <f t="shared" si="70"/>
        <v>-</v>
      </c>
      <c r="AV123" s="4">
        <v>0</v>
      </c>
      <c r="AW123" s="4" t="s">
        <v>680</v>
      </c>
      <c r="AX123" s="4"/>
      <c r="AY123" s="4"/>
      <c r="AZ123" s="4" t="s">
        <v>681</v>
      </c>
      <c r="BA123" s="4">
        <v>1802</v>
      </c>
      <c r="BB123" s="4">
        <v>1802</v>
      </c>
      <c r="BC123" s="4">
        <f t="shared" si="71"/>
        <v>1802</v>
      </c>
      <c r="BD123" s="19">
        <v>4</v>
      </c>
      <c r="BE123" s="19">
        <v>1</v>
      </c>
      <c r="BF123" s="16">
        <v>3</v>
      </c>
      <c r="BG123" s="36">
        <v>46174</v>
      </c>
      <c r="BH123" t="s">
        <v>410</v>
      </c>
      <c r="BI123">
        <v>190</v>
      </c>
      <c r="BJ123" s="4" t="s">
        <v>492</v>
      </c>
      <c r="BL123" s="44">
        <f t="shared" si="72"/>
        <v>3.6066981537139498E-3</v>
      </c>
      <c r="BM123" t="s">
        <v>792</v>
      </c>
    </row>
    <row r="124" spans="1:65" x14ac:dyDescent="0.4">
      <c r="A124" s="3">
        <v>111</v>
      </c>
      <c r="B124" s="3">
        <f t="shared" si="48"/>
        <v>121</v>
      </c>
      <c r="C124" s="4">
        <v>395411</v>
      </c>
      <c r="D124" s="4" t="str">
        <f t="shared" si="50"/>
        <v>395411</v>
      </c>
      <c r="E124" s="4">
        <v>395411</v>
      </c>
      <c r="F124" s="4" t="s">
        <v>288</v>
      </c>
      <c r="G124" s="5">
        <v>4977564307240</v>
      </c>
      <c r="H124" s="5">
        <v>5</v>
      </c>
      <c r="I124" s="5" t="str">
        <f t="shared" si="51"/>
        <v>3954115</v>
      </c>
      <c r="J124" s="5">
        <v>1</v>
      </c>
      <c r="K124" s="5">
        <v>1</v>
      </c>
      <c r="L124" s="4">
        <v>1900</v>
      </c>
      <c r="M124" s="4">
        <v>1131</v>
      </c>
      <c r="N124" s="4">
        <v>850</v>
      </c>
      <c r="O124" s="6">
        <f t="shared" si="52"/>
        <v>0.24845269672855885</v>
      </c>
      <c r="P124" s="4" t="s">
        <v>410</v>
      </c>
      <c r="Q124" s="4" t="s">
        <v>410</v>
      </c>
      <c r="R124" s="4" t="s">
        <v>410</v>
      </c>
      <c r="S124" s="4" t="s">
        <v>410</v>
      </c>
      <c r="T124" s="4" t="s">
        <v>410</v>
      </c>
      <c r="U124" s="4" t="s">
        <v>410</v>
      </c>
      <c r="V124" s="4">
        <v>210</v>
      </c>
      <c r="W124" s="4">
        <f t="shared" si="53"/>
        <v>2100</v>
      </c>
      <c r="X124" s="4">
        <v>94</v>
      </c>
      <c r="Y124" s="4">
        <f t="shared" si="54"/>
        <v>940</v>
      </c>
      <c r="Z124" s="4">
        <v>10</v>
      </c>
      <c r="AA124" s="21">
        <f t="shared" si="55"/>
        <v>1251</v>
      </c>
      <c r="AB124" s="6">
        <f t="shared" si="56"/>
        <v>0.24860111910471627</v>
      </c>
      <c r="AC124" s="4">
        <v>4.75</v>
      </c>
      <c r="AD124" s="4">
        <f t="shared" si="57"/>
        <v>171</v>
      </c>
      <c r="AE124" s="4">
        <f t="shared" si="58"/>
        <v>189.10588235294119</v>
      </c>
      <c r="AF124" s="6">
        <f t="shared" si="59"/>
        <v>-3.9707602339181278</v>
      </c>
      <c r="AG124" s="7">
        <v>1440</v>
      </c>
      <c r="AH124" s="6">
        <f t="shared" si="60"/>
        <v>0.34722222222222221</v>
      </c>
      <c r="AI124" s="4">
        <f t="shared" si="61"/>
        <v>500</v>
      </c>
      <c r="AJ124" s="28"/>
      <c r="AK124" s="6"/>
      <c r="AL124" s="6"/>
      <c r="AM124" s="6">
        <f t="shared" si="62"/>
        <v>1.1052631578947369</v>
      </c>
      <c r="AN124" s="6">
        <f t="shared" si="63"/>
        <v>1.273209549071618</v>
      </c>
      <c r="AO124" s="6">
        <f t="shared" si="64"/>
        <v>1.1058823529411765</v>
      </c>
      <c r="AP124" s="4" t="str">
        <f t="shared" si="65"/>
        <v>-</v>
      </c>
      <c r="AQ124" s="4" t="str">
        <f t="shared" si="66"/>
        <v>-</v>
      </c>
      <c r="AR124" s="4" t="str">
        <f t="shared" si="67"/>
        <v>-</v>
      </c>
      <c r="AS124" s="4" t="str">
        <f t="shared" si="68"/>
        <v>-</v>
      </c>
      <c r="AT124" s="4" t="str">
        <f t="shared" si="69"/>
        <v>-</v>
      </c>
      <c r="AU124" s="4" t="str">
        <f t="shared" si="70"/>
        <v>-</v>
      </c>
      <c r="AV124" s="4">
        <v>0</v>
      </c>
      <c r="AW124" s="4" t="s">
        <v>682</v>
      </c>
      <c r="AX124" s="4"/>
      <c r="AY124" s="4"/>
      <c r="AZ124" s="4" t="s">
        <v>654</v>
      </c>
      <c r="BA124" s="4">
        <v>171</v>
      </c>
      <c r="BB124" s="4">
        <v>171</v>
      </c>
      <c r="BC124" s="4">
        <f t="shared" si="71"/>
        <v>171</v>
      </c>
      <c r="BD124" s="19">
        <v>4</v>
      </c>
      <c r="BE124" s="19">
        <v>1</v>
      </c>
      <c r="BF124" s="16">
        <v>3</v>
      </c>
      <c r="BG124" s="36">
        <v>46174</v>
      </c>
      <c r="BH124">
        <v>1330</v>
      </c>
      <c r="BI124">
        <v>190</v>
      </c>
      <c r="BJ124" s="4" t="s">
        <v>493</v>
      </c>
      <c r="BL124" s="44">
        <f t="shared" si="72"/>
        <v>0.16732719613044145</v>
      </c>
      <c r="BM124" t="s">
        <v>792</v>
      </c>
    </row>
    <row r="125" spans="1:65" x14ac:dyDescent="0.4">
      <c r="A125" s="3">
        <v>112</v>
      </c>
      <c r="B125" s="3">
        <f t="shared" si="48"/>
        <v>122</v>
      </c>
      <c r="C125" s="4" t="s">
        <v>134</v>
      </c>
      <c r="D125" s="4" t="str">
        <f t="shared" si="50"/>
        <v>J062LY</v>
      </c>
      <c r="E125" s="4" t="s">
        <v>134</v>
      </c>
      <c r="F125" s="4" t="s">
        <v>289</v>
      </c>
      <c r="G125" s="5">
        <v>4977564307257</v>
      </c>
      <c r="H125" s="5">
        <v>5</v>
      </c>
      <c r="I125" s="5" t="str">
        <f t="shared" si="51"/>
        <v>J062LY5</v>
      </c>
      <c r="J125" s="5">
        <v>1</v>
      </c>
      <c r="K125" s="5">
        <v>1</v>
      </c>
      <c r="L125" s="4">
        <v>200</v>
      </c>
      <c r="M125" s="4">
        <v>147</v>
      </c>
      <c r="N125" s="4">
        <v>100</v>
      </c>
      <c r="O125" s="6">
        <f t="shared" si="52"/>
        <v>0.31972789115646261</v>
      </c>
      <c r="P125" s="4" t="s">
        <v>410</v>
      </c>
      <c r="Q125" s="4" t="s">
        <v>410</v>
      </c>
      <c r="R125" s="4" t="s">
        <v>410</v>
      </c>
      <c r="S125" s="4" t="s">
        <v>410</v>
      </c>
      <c r="T125" s="4" t="s">
        <v>410</v>
      </c>
      <c r="U125" s="4" t="s">
        <v>410</v>
      </c>
      <c r="V125" s="4">
        <v>240</v>
      </c>
      <c r="W125" s="4">
        <f t="shared" si="53"/>
        <v>240</v>
      </c>
      <c r="X125" s="4">
        <v>109</v>
      </c>
      <c r="Y125" s="4">
        <f t="shared" si="54"/>
        <v>109</v>
      </c>
      <c r="Z125" s="4"/>
      <c r="AA125" s="21">
        <f t="shared" si="55"/>
        <v>160</v>
      </c>
      <c r="AB125" s="6">
        <f t="shared" si="56"/>
        <v>0.31874999999999998</v>
      </c>
      <c r="AC125" s="4">
        <v>1.5</v>
      </c>
      <c r="AD125" s="4">
        <f t="shared" si="57"/>
        <v>223</v>
      </c>
      <c r="AE125" s="4">
        <f t="shared" si="58"/>
        <v>243.07000000000002</v>
      </c>
      <c r="AF125" s="6">
        <f t="shared" si="59"/>
        <v>0.55156950672645744</v>
      </c>
      <c r="AG125" s="7">
        <v>160</v>
      </c>
      <c r="AH125" s="6">
        <f t="shared" si="60"/>
        <v>0.31874999999999998</v>
      </c>
      <c r="AI125" s="4">
        <f t="shared" si="61"/>
        <v>51</v>
      </c>
      <c r="AJ125" s="28"/>
      <c r="AK125" s="6"/>
      <c r="AL125" s="6"/>
      <c r="AM125" s="6">
        <f t="shared" si="62"/>
        <v>1.2</v>
      </c>
      <c r="AN125" s="6">
        <f t="shared" si="63"/>
        <v>1.08843537414966</v>
      </c>
      <c r="AO125" s="6">
        <f t="shared" si="64"/>
        <v>1.0900000000000001</v>
      </c>
      <c r="AP125" s="4" t="str">
        <f t="shared" si="65"/>
        <v>-</v>
      </c>
      <c r="AQ125" s="4" t="str">
        <f t="shared" si="66"/>
        <v>-</v>
      </c>
      <c r="AR125" s="4" t="str">
        <f t="shared" si="67"/>
        <v>-</v>
      </c>
      <c r="AS125" s="4" t="str">
        <f t="shared" si="68"/>
        <v>-</v>
      </c>
      <c r="AT125" s="4" t="str">
        <f t="shared" si="69"/>
        <v>-</v>
      </c>
      <c r="AU125" s="4" t="str">
        <f t="shared" si="70"/>
        <v>-</v>
      </c>
      <c r="AV125" s="4">
        <v>0</v>
      </c>
      <c r="AW125" s="4" t="s">
        <v>683</v>
      </c>
      <c r="AX125" s="4"/>
      <c r="AY125" s="4"/>
      <c r="AZ125" s="4" t="s">
        <v>654</v>
      </c>
      <c r="BA125" s="4">
        <v>223</v>
      </c>
      <c r="BB125" s="4">
        <v>223</v>
      </c>
      <c r="BC125" s="4">
        <f t="shared" si="71"/>
        <v>223</v>
      </c>
      <c r="BD125" s="19">
        <v>4</v>
      </c>
      <c r="BE125" s="19">
        <v>1</v>
      </c>
      <c r="BF125" s="16">
        <v>3</v>
      </c>
      <c r="BG125" s="36">
        <v>46174</v>
      </c>
      <c r="BH125">
        <v>1170</v>
      </c>
      <c r="BI125">
        <v>211</v>
      </c>
      <c r="BJ125" s="4" t="s">
        <v>494</v>
      </c>
      <c r="BL125" s="44">
        <f t="shared" si="72"/>
        <v>-1.5646258503401178E-3</v>
      </c>
      <c r="BM125" t="s">
        <v>792</v>
      </c>
    </row>
    <row r="126" spans="1:65" x14ac:dyDescent="0.4">
      <c r="A126" s="3">
        <v>113</v>
      </c>
      <c r="B126" s="3">
        <f t="shared" si="48"/>
        <v>123</v>
      </c>
      <c r="C126" s="4" t="s">
        <v>135</v>
      </c>
      <c r="D126" s="4" t="str">
        <f t="shared" si="50"/>
        <v>JX4142</v>
      </c>
      <c r="E126" s="4" t="s">
        <v>135</v>
      </c>
      <c r="F126" s="4" t="s">
        <v>290</v>
      </c>
      <c r="G126" s="5">
        <v>4977564607814</v>
      </c>
      <c r="H126" s="5">
        <v>5</v>
      </c>
      <c r="I126" s="5" t="str">
        <f t="shared" si="51"/>
        <v>JX41425</v>
      </c>
      <c r="J126" s="5">
        <v>1</v>
      </c>
      <c r="K126" s="5">
        <v>1</v>
      </c>
      <c r="L126" s="4">
        <v>0</v>
      </c>
      <c r="M126" s="4">
        <v>189</v>
      </c>
      <c r="N126" s="4">
        <v>128</v>
      </c>
      <c r="O126" s="6">
        <f t="shared" si="52"/>
        <v>0.32275132275132279</v>
      </c>
      <c r="P126" s="4" t="s">
        <v>410</v>
      </c>
      <c r="Q126" s="4" t="s">
        <v>410</v>
      </c>
      <c r="R126" s="4" t="s">
        <v>410</v>
      </c>
      <c r="S126" s="4" t="s">
        <v>410</v>
      </c>
      <c r="T126" s="4" t="s">
        <v>410</v>
      </c>
      <c r="U126" s="4" t="s">
        <v>410</v>
      </c>
      <c r="V126" s="4">
        <v>0</v>
      </c>
      <c r="W126" s="4">
        <f t="shared" si="53"/>
        <v>0</v>
      </c>
      <c r="X126" s="4">
        <v>141</v>
      </c>
      <c r="Y126" s="4">
        <f t="shared" si="54"/>
        <v>141</v>
      </c>
      <c r="Z126" s="4"/>
      <c r="AA126" s="21">
        <f t="shared" si="55"/>
        <v>208</v>
      </c>
      <c r="AB126" s="6">
        <f t="shared" si="56"/>
        <v>0.32211538461538458</v>
      </c>
      <c r="AC126" s="4">
        <v>13.750000000000002</v>
      </c>
      <c r="AD126" s="4" t="str">
        <f t="shared" si="57"/>
        <v>-</v>
      </c>
      <c r="AE126" s="4" t="e">
        <f t="shared" si="58"/>
        <v>#VALUE!</v>
      </c>
      <c r="AF126" s="6" t="e">
        <f t="shared" si="59"/>
        <v>#VALUE!</v>
      </c>
      <c r="AG126" s="7">
        <v>208</v>
      </c>
      <c r="AH126" s="6">
        <f t="shared" si="60"/>
        <v>0.32211538461538458</v>
      </c>
      <c r="AI126" s="4">
        <f t="shared" si="61"/>
        <v>67</v>
      </c>
      <c r="AJ126" s="28"/>
      <c r="AK126" s="6"/>
      <c r="AL126" s="6"/>
      <c r="AM126" s="6" t="e">
        <f t="shared" si="62"/>
        <v>#DIV/0!</v>
      </c>
      <c r="AN126" s="6">
        <f t="shared" si="63"/>
        <v>1.1005291005291005</v>
      </c>
      <c r="AO126" s="6">
        <f t="shared" si="64"/>
        <v>1.1015625</v>
      </c>
      <c r="AP126" s="4" t="str">
        <f t="shared" si="65"/>
        <v>-</v>
      </c>
      <c r="AQ126" s="4" t="str">
        <f t="shared" si="66"/>
        <v>-</v>
      </c>
      <c r="AR126" s="4" t="str">
        <f t="shared" si="67"/>
        <v>-</v>
      </c>
      <c r="AS126" s="4" t="str">
        <f t="shared" si="68"/>
        <v>-</v>
      </c>
      <c r="AT126" s="4" t="str">
        <f t="shared" si="69"/>
        <v>-</v>
      </c>
      <c r="AU126" s="4" t="str">
        <f t="shared" si="70"/>
        <v>-</v>
      </c>
      <c r="AV126" s="4">
        <v>0</v>
      </c>
      <c r="AW126" s="4" t="s">
        <v>410</v>
      </c>
      <c r="AX126" s="4"/>
      <c r="AY126" s="4"/>
      <c r="AZ126" s="4" t="s">
        <v>410</v>
      </c>
      <c r="BA126" s="4" t="s">
        <v>410</v>
      </c>
      <c r="BB126" s="4" t="s">
        <v>410</v>
      </c>
      <c r="BC126" s="4" t="str">
        <f t="shared" si="71"/>
        <v>-</v>
      </c>
      <c r="BD126" s="19">
        <v>4</v>
      </c>
      <c r="BE126" s="19">
        <v>1</v>
      </c>
      <c r="BF126" s="16">
        <v>3</v>
      </c>
      <c r="BG126" s="36">
        <v>46174</v>
      </c>
      <c r="BH126" t="s">
        <v>410</v>
      </c>
      <c r="BI126">
        <v>347</v>
      </c>
      <c r="BJ126" s="4" t="s">
        <v>410</v>
      </c>
      <c r="BL126" s="44">
        <f t="shared" si="72"/>
        <v>-1.033399470899532E-3</v>
      </c>
      <c r="BM126" t="s">
        <v>792</v>
      </c>
    </row>
    <row r="127" spans="1:65" x14ac:dyDescent="0.4">
      <c r="A127" s="3">
        <v>114</v>
      </c>
      <c r="B127" s="3">
        <f t="shared" si="48"/>
        <v>124</v>
      </c>
      <c r="C127" s="4" t="s">
        <v>136</v>
      </c>
      <c r="D127" s="4" t="str">
        <f t="shared" si="50"/>
        <v>JX4141</v>
      </c>
      <c r="E127" s="4" t="s">
        <v>136</v>
      </c>
      <c r="F127" s="4" t="s">
        <v>291</v>
      </c>
      <c r="G127" s="5">
        <v>4977564607821</v>
      </c>
      <c r="H127" s="5">
        <v>5</v>
      </c>
      <c r="I127" s="5" t="str">
        <f t="shared" si="51"/>
        <v>JX41415</v>
      </c>
      <c r="J127" s="5">
        <v>1</v>
      </c>
      <c r="K127" s="5">
        <v>1</v>
      </c>
      <c r="L127" s="4">
        <v>0</v>
      </c>
      <c r="M127" s="4">
        <v>781</v>
      </c>
      <c r="N127" s="4">
        <v>530</v>
      </c>
      <c r="O127" s="6">
        <f t="shared" si="52"/>
        <v>0.32138284250960303</v>
      </c>
      <c r="P127" s="4" t="s">
        <v>410</v>
      </c>
      <c r="Q127" s="4" t="s">
        <v>410</v>
      </c>
      <c r="R127" s="4" t="s">
        <v>410</v>
      </c>
      <c r="S127" s="4" t="s">
        <v>410</v>
      </c>
      <c r="T127" s="4" t="s">
        <v>410</v>
      </c>
      <c r="U127" s="4" t="s">
        <v>410</v>
      </c>
      <c r="V127" s="4">
        <v>0</v>
      </c>
      <c r="W127" s="4">
        <f t="shared" si="53"/>
        <v>0</v>
      </c>
      <c r="X127" s="4">
        <v>583</v>
      </c>
      <c r="Y127" s="4">
        <f t="shared" si="54"/>
        <v>583</v>
      </c>
      <c r="Z127" s="4"/>
      <c r="AA127" s="21">
        <f t="shared" si="55"/>
        <v>859</v>
      </c>
      <c r="AB127" s="6">
        <f t="shared" si="56"/>
        <v>0.32130384167636783</v>
      </c>
      <c r="AC127" s="4">
        <v>11.5</v>
      </c>
      <c r="AD127" s="4" t="str">
        <f t="shared" si="57"/>
        <v>-</v>
      </c>
      <c r="AE127" s="4" t="e">
        <f t="shared" si="58"/>
        <v>#VALUE!</v>
      </c>
      <c r="AF127" s="6" t="e">
        <f t="shared" si="59"/>
        <v>#VALUE!</v>
      </c>
      <c r="AG127" s="7">
        <v>859</v>
      </c>
      <c r="AH127" s="6">
        <f t="shared" si="60"/>
        <v>0.32130384167636783</v>
      </c>
      <c r="AI127" s="4">
        <f t="shared" si="61"/>
        <v>276</v>
      </c>
      <c r="AJ127" s="28"/>
      <c r="AK127" s="6"/>
      <c r="AL127" s="6"/>
      <c r="AM127" s="6" t="e">
        <f t="shared" si="62"/>
        <v>#DIV/0!</v>
      </c>
      <c r="AN127" s="6">
        <f t="shared" si="63"/>
        <v>1.0998719590268886</v>
      </c>
      <c r="AO127" s="6">
        <f t="shared" si="64"/>
        <v>1.1000000000000001</v>
      </c>
      <c r="AP127" s="4" t="str">
        <f t="shared" si="65"/>
        <v>-</v>
      </c>
      <c r="AQ127" s="4" t="str">
        <f t="shared" si="66"/>
        <v>-</v>
      </c>
      <c r="AR127" s="4" t="str">
        <f t="shared" si="67"/>
        <v>-</v>
      </c>
      <c r="AS127" s="4" t="str">
        <f t="shared" si="68"/>
        <v>-</v>
      </c>
      <c r="AT127" s="4" t="str">
        <f t="shared" si="69"/>
        <v>-</v>
      </c>
      <c r="AU127" s="4" t="str">
        <f t="shared" si="70"/>
        <v>-</v>
      </c>
      <c r="AV127" s="4">
        <v>0</v>
      </c>
      <c r="AW127" s="4" t="s">
        <v>410</v>
      </c>
      <c r="AX127" s="4"/>
      <c r="AY127" s="4"/>
      <c r="AZ127" s="4" t="s">
        <v>410</v>
      </c>
      <c r="BA127" s="4" t="s">
        <v>410</v>
      </c>
      <c r="BB127" s="4" t="s">
        <v>410</v>
      </c>
      <c r="BC127" s="4" t="str">
        <f t="shared" si="71"/>
        <v>-</v>
      </c>
      <c r="BD127" s="19">
        <v>4</v>
      </c>
      <c r="BE127" s="19">
        <v>1</v>
      </c>
      <c r="BF127" s="16">
        <v>3</v>
      </c>
      <c r="BG127" s="36">
        <v>46174</v>
      </c>
      <c r="BH127">
        <v>704</v>
      </c>
      <c r="BI127">
        <v>879</v>
      </c>
      <c r="BJ127" s="4" t="s">
        <v>410</v>
      </c>
      <c r="BL127" s="44">
        <f t="shared" si="72"/>
        <v>-1.2804097311147622E-4</v>
      </c>
      <c r="BM127" t="s">
        <v>792</v>
      </c>
    </row>
    <row r="128" spans="1:65" x14ac:dyDescent="0.4">
      <c r="A128" s="3">
        <v>117</v>
      </c>
      <c r="B128" s="3">
        <f t="shared" si="48"/>
        <v>125</v>
      </c>
      <c r="C128" s="4" t="s">
        <v>137</v>
      </c>
      <c r="D128" s="4" t="str">
        <f t="shared" si="50"/>
        <v>JZ3330</v>
      </c>
      <c r="E128" s="4" t="s">
        <v>137</v>
      </c>
      <c r="F128" s="4" t="s">
        <v>292</v>
      </c>
      <c r="G128" s="5">
        <v>4977564720315</v>
      </c>
      <c r="H128" s="5">
        <v>5</v>
      </c>
      <c r="I128" s="5" t="str">
        <f t="shared" si="51"/>
        <v>JZ33305</v>
      </c>
      <c r="J128" s="5">
        <v>1</v>
      </c>
      <c r="K128" s="5">
        <v>1</v>
      </c>
      <c r="L128" s="4">
        <v>560</v>
      </c>
      <c r="M128" s="4">
        <v>461</v>
      </c>
      <c r="N128" s="4">
        <v>280</v>
      </c>
      <c r="O128" s="6">
        <f t="shared" si="52"/>
        <v>0.3926247288503254</v>
      </c>
      <c r="P128" s="4" t="s">
        <v>410</v>
      </c>
      <c r="Q128" s="4" t="s">
        <v>410</v>
      </c>
      <c r="R128" s="4" t="s">
        <v>410</v>
      </c>
      <c r="S128" s="4" t="s">
        <v>410</v>
      </c>
      <c r="T128" s="4" t="s">
        <v>410</v>
      </c>
      <c r="U128" s="4" t="s">
        <v>410</v>
      </c>
      <c r="V128" s="4">
        <v>0</v>
      </c>
      <c r="W128" s="4">
        <f t="shared" si="53"/>
        <v>0</v>
      </c>
      <c r="X128" s="4">
        <v>325</v>
      </c>
      <c r="Y128" s="4">
        <f t="shared" si="54"/>
        <v>325</v>
      </c>
      <c r="Z128" s="4"/>
      <c r="AA128" s="21">
        <f t="shared" si="55"/>
        <v>535</v>
      </c>
      <c r="AB128" s="6">
        <f t="shared" si="56"/>
        <v>0.39252336448598135</v>
      </c>
      <c r="AC128" s="4">
        <v>1</v>
      </c>
      <c r="AD128" s="4" t="str">
        <f t="shared" si="57"/>
        <v>-</v>
      </c>
      <c r="AE128" s="4" t="e">
        <f t="shared" si="58"/>
        <v>#VALUE!</v>
      </c>
      <c r="AF128" s="6" t="e">
        <f t="shared" si="59"/>
        <v>#VALUE!</v>
      </c>
      <c r="AG128" s="7">
        <v>528</v>
      </c>
      <c r="AH128" s="6">
        <f t="shared" si="60"/>
        <v>0.38446969696969702</v>
      </c>
      <c r="AI128" s="4">
        <f t="shared" si="61"/>
        <v>203</v>
      </c>
      <c r="AJ128" s="28"/>
      <c r="AK128" s="6"/>
      <c r="AL128" s="6"/>
      <c r="AM128" s="6">
        <f t="shared" si="62"/>
        <v>0</v>
      </c>
      <c r="AN128" s="6">
        <f t="shared" si="63"/>
        <v>1.1453362255965294</v>
      </c>
      <c r="AO128" s="6">
        <f t="shared" si="64"/>
        <v>1.1607142857142858</v>
      </c>
      <c r="AP128" s="4" t="str">
        <f t="shared" si="65"/>
        <v>-</v>
      </c>
      <c r="AQ128" s="4" t="str">
        <f t="shared" si="66"/>
        <v>-</v>
      </c>
      <c r="AR128" s="4" t="str">
        <f t="shared" si="67"/>
        <v>-</v>
      </c>
      <c r="AS128" s="4" t="str">
        <f t="shared" si="68"/>
        <v>-</v>
      </c>
      <c r="AT128" s="4" t="str">
        <f t="shared" si="69"/>
        <v>-</v>
      </c>
      <c r="AU128" s="4" t="str">
        <f t="shared" si="70"/>
        <v>-</v>
      </c>
      <c r="AV128" s="4">
        <v>0</v>
      </c>
      <c r="AW128" s="4" t="s">
        <v>410</v>
      </c>
      <c r="AX128" s="4"/>
      <c r="AY128" s="4"/>
      <c r="AZ128" s="4" t="s">
        <v>410</v>
      </c>
      <c r="BA128" s="4" t="s">
        <v>410</v>
      </c>
      <c r="BB128" s="4" t="s">
        <v>410</v>
      </c>
      <c r="BC128" s="4" t="str">
        <f t="shared" si="71"/>
        <v>-</v>
      </c>
      <c r="BD128" s="19">
        <v>4</v>
      </c>
      <c r="BE128" s="19">
        <v>8</v>
      </c>
      <c r="BF128" s="16">
        <v>3</v>
      </c>
      <c r="BG128" s="36">
        <v>46174</v>
      </c>
      <c r="BH128" t="s">
        <v>410</v>
      </c>
      <c r="BI128">
        <v>526</v>
      </c>
      <c r="BJ128" s="4" t="s">
        <v>410</v>
      </c>
      <c r="BL128" s="44">
        <f t="shared" si="72"/>
        <v>-1.5378060117756442E-2</v>
      </c>
      <c r="BM128" t="s">
        <v>792</v>
      </c>
    </row>
    <row r="129" spans="1:65" x14ac:dyDescent="0.4">
      <c r="A129" s="3">
        <v>118</v>
      </c>
      <c r="B129" s="3">
        <f t="shared" si="48"/>
        <v>126</v>
      </c>
      <c r="C129" s="4">
        <v>179304</v>
      </c>
      <c r="D129" s="4" t="str">
        <f t="shared" si="50"/>
        <v>179304</v>
      </c>
      <c r="E129" s="4">
        <v>179304</v>
      </c>
      <c r="F129" s="4" t="s">
        <v>293</v>
      </c>
      <c r="G129" s="5">
        <v>4977564571634</v>
      </c>
      <c r="H129" s="5">
        <v>5</v>
      </c>
      <c r="I129" s="5" t="str">
        <f t="shared" si="51"/>
        <v>1793045</v>
      </c>
      <c r="J129" s="5">
        <v>1</v>
      </c>
      <c r="K129" s="5">
        <v>1</v>
      </c>
      <c r="L129" s="4">
        <v>700</v>
      </c>
      <c r="M129" s="4">
        <v>502</v>
      </c>
      <c r="N129" s="4">
        <v>350</v>
      </c>
      <c r="O129" s="6">
        <f t="shared" si="52"/>
        <v>0.3027888446215139</v>
      </c>
      <c r="P129" s="4" t="s">
        <v>410</v>
      </c>
      <c r="Q129" s="4" t="s">
        <v>410</v>
      </c>
      <c r="R129" s="4" t="s">
        <v>410</v>
      </c>
      <c r="S129" s="4" t="s">
        <v>410</v>
      </c>
      <c r="T129" s="4" t="s">
        <v>410</v>
      </c>
      <c r="U129" s="4" t="s">
        <v>410</v>
      </c>
      <c r="V129" s="4">
        <v>800</v>
      </c>
      <c r="W129" s="4">
        <f t="shared" si="53"/>
        <v>800</v>
      </c>
      <c r="X129" s="4">
        <v>400</v>
      </c>
      <c r="Y129" s="4">
        <f t="shared" si="54"/>
        <v>400</v>
      </c>
      <c r="Z129" s="4"/>
      <c r="AA129" s="21">
        <f t="shared" si="55"/>
        <v>574</v>
      </c>
      <c r="AB129" s="6">
        <f t="shared" si="56"/>
        <v>0.30313588850174211</v>
      </c>
      <c r="AC129" s="4">
        <v>0.5</v>
      </c>
      <c r="AD129" s="4">
        <f t="shared" si="57"/>
        <v>252</v>
      </c>
      <c r="AE129" s="4">
        <f t="shared" si="58"/>
        <v>288</v>
      </c>
      <c r="AF129" s="6">
        <f t="shared" si="59"/>
        <v>-0.38888888888888884</v>
      </c>
      <c r="AG129" s="7">
        <v>578</v>
      </c>
      <c r="AH129" s="6">
        <f t="shared" si="60"/>
        <v>0.30795847750865057</v>
      </c>
      <c r="AI129" s="4">
        <f t="shared" si="61"/>
        <v>178</v>
      </c>
      <c r="AJ129" s="28"/>
      <c r="AK129" s="6"/>
      <c r="AL129" s="6"/>
      <c r="AM129" s="6">
        <f t="shared" si="62"/>
        <v>1.1428571428571428</v>
      </c>
      <c r="AN129" s="6">
        <f t="shared" si="63"/>
        <v>1.1513944223107571</v>
      </c>
      <c r="AO129" s="6">
        <f t="shared" si="64"/>
        <v>1.1428571428571428</v>
      </c>
      <c r="AP129" s="4" t="str">
        <f t="shared" si="65"/>
        <v>-</v>
      </c>
      <c r="AQ129" s="4" t="str">
        <f t="shared" si="66"/>
        <v>-</v>
      </c>
      <c r="AR129" s="4" t="str">
        <f t="shared" si="67"/>
        <v>-</v>
      </c>
      <c r="AS129" s="4" t="str">
        <f t="shared" si="68"/>
        <v>-</v>
      </c>
      <c r="AT129" s="4" t="str">
        <f t="shared" si="69"/>
        <v>-</v>
      </c>
      <c r="AU129" s="4" t="str">
        <f t="shared" si="70"/>
        <v>-</v>
      </c>
      <c r="AV129" s="4">
        <v>0</v>
      </c>
      <c r="AW129" s="4" t="s">
        <v>684</v>
      </c>
      <c r="AX129" s="4"/>
      <c r="AY129" s="4"/>
      <c r="AZ129" s="4" t="s">
        <v>676</v>
      </c>
      <c r="BA129" s="4">
        <v>252</v>
      </c>
      <c r="BB129" s="4">
        <v>252</v>
      </c>
      <c r="BC129" s="4">
        <f t="shared" si="71"/>
        <v>252</v>
      </c>
      <c r="BD129" s="19">
        <v>4</v>
      </c>
      <c r="BE129" s="19">
        <v>1</v>
      </c>
      <c r="BF129" s="16">
        <v>3</v>
      </c>
      <c r="BG129" s="36">
        <v>46174</v>
      </c>
      <c r="BH129">
        <v>570</v>
      </c>
      <c r="BI129">
        <v>700</v>
      </c>
      <c r="BJ129" s="4" t="s">
        <v>495</v>
      </c>
      <c r="BL129" s="44">
        <f t="shared" si="72"/>
        <v>8.537279453614266E-3</v>
      </c>
      <c r="BM129" t="s">
        <v>792</v>
      </c>
    </row>
    <row r="130" spans="1:65" x14ac:dyDescent="0.4">
      <c r="A130" s="3">
        <v>122</v>
      </c>
      <c r="B130" s="3">
        <f t="shared" si="48"/>
        <v>127</v>
      </c>
      <c r="C130" s="4">
        <v>526581</v>
      </c>
      <c r="D130" s="4" t="str">
        <f t="shared" ref="D130:D146" si="73">TEXT(C130,"000000")</f>
        <v>526581</v>
      </c>
      <c r="E130" s="4">
        <v>526581</v>
      </c>
      <c r="F130" s="4" t="s">
        <v>294</v>
      </c>
      <c r="G130" s="5">
        <v>4977564686482</v>
      </c>
      <c r="H130" s="5">
        <v>5</v>
      </c>
      <c r="I130" s="5" t="str">
        <f t="shared" si="51"/>
        <v>5265815</v>
      </c>
      <c r="J130" s="5">
        <v>1</v>
      </c>
      <c r="K130" s="5">
        <v>1</v>
      </c>
      <c r="L130" s="4">
        <v>170</v>
      </c>
      <c r="M130" s="4">
        <v>114</v>
      </c>
      <c r="N130" s="4">
        <v>68</v>
      </c>
      <c r="O130" s="6">
        <f t="shared" si="52"/>
        <v>0.40350877192982459</v>
      </c>
      <c r="P130" s="4" t="s">
        <v>410</v>
      </c>
      <c r="Q130" s="4" t="s">
        <v>410</v>
      </c>
      <c r="R130" s="4" t="s">
        <v>410</v>
      </c>
      <c r="S130" s="4" t="s">
        <v>410</v>
      </c>
      <c r="T130" s="4" t="s">
        <v>410</v>
      </c>
      <c r="U130" s="4" t="s">
        <v>410</v>
      </c>
      <c r="V130" s="4">
        <v>180</v>
      </c>
      <c r="W130" s="4">
        <f t="shared" si="53"/>
        <v>180</v>
      </c>
      <c r="X130" s="4">
        <v>72</v>
      </c>
      <c r="Y130" s="4">
        <f t="shared" si="54"/>
        <v>72</v>
      </c>
      <c r="Z130" s="4"/>
      <c r="AA130" s="21">
        <f t="shared" si="55"/>
        <v>121</v>
      </c>
      <c r="AB130" s="6">
        <f t="shared" si="56"/>
        <v>0.4049586776859504</v>
      </c>
      <c r="AC130" s="4">
        <v>10</v>
      </c>
      <c r="AD130" s="4">
        <f t="shared" si="57"/>
        <v>145</v>
      </c>
      <c r="AE130" s="4">
        <f t="shared" si="58"/>
        <v>153.52941176470588</v>
      </c>
      <c r="AF130" s="6">
        <f t="shared" si="59"/>
        <v>0.53103448275862064</v>
      </c>
      <c r="AG130" s="7">
        <v>118</v>
      </c>
      <c r="AH130" s="6">
        <f t="shared" si="60"/>
        <v>0.38983050847457623</v>
      </c>
      <c r="AI130" s="4">
        <f t="shared" si="61"/>
        <v>46</v>
      </c>
      <c r="AJ130" s="28"/>
      <c r="AK130" s="6"/>
      <c r="AL130" s="6"/>
      <c r="AM130" s="6">
        <f t="shared" si="62"/>
        <v>1.0588235294117647</v>
      </c>
      <c r="AN130" s="6">
        <f t="shared" si="63"/>
        <v>1.0350877192982457</v>
      </c>
      <c r="AO130" s="6">
        <f t="shared" si="64"/>
        <v>1.0588235294117647</v>
      </c>
      <c r="AP130" s="4" t="str">
        <f t="shared" si="65"/>
        <v>-</v>
      </c>
      <c r="AQ130" s="4" t="str">
        <f t="shared" si="66"/>
        <v>-</v>
      </c>
      <c r="AR130" s="4" t="str">
        <f t="shared" si="67"/>
        <v>-</v>
      </c>
      <c r="AS130" s="4" t="str">
        <f t="shared" si="68"/>
        <v>-</v>
      </c>
      <c r="AT130" s="4" t="str">
        <f t="shared" si="69"/>
        <v>-</v>
      </c>
      <c r="AU130" s="4" t="str">
        <f t="shared" si="70"/>
        <v>-</v>
      </c>
      <c r="AV130" s="4">
        <v>0</v>
      </c>
      <c r="AW130" s="4" t="s">
        <v>686</v>
      </c>
      <c r="AX130" s="4">
        <v>1</v>
      </c>
      <c r="AY130" s="4">
        <v>2</v>
      </c>
      <c r="AZ130" s="4" t="s">
        <v>687</v>
      </c>
      <c r="BA130" s="4">
        <v>290</v>
      </c>
      <c r="BB130" s="4">
        <v>290</v>
      </c>
      <c r="BC130" s="4">
        <f t="shared" si="71"/>
        <v>145</v>
      </c>
      <c r="BD130" s="19">
        <v>4</v>
      </c>
      <c r="BE130" s="19">
        <v>1</v>
      </c>
      <c r="BF130" s="16">
        <v>3</v>
      </c>
      <c r="BG130" s="36">
        <v>46174</v>
      </c>
      <c r="BH130" t="s">
        <v>410</v>
      </c>
      <c r="BI130" t="s">
        <v>410</v>
      </c>
      <c r="BJ130" s="4" t="s">
        <v>496</v>
      </c>
      <c r="BL130" s="44">
        <f t="shared" si="72"/>
        <v>-2.3735810113518996E-2</v>
      </c>
      <c r="BM130" t="s">
        <v>792</v>
      </c>
    </row>
    <row r="131" spans="1:65" x14ac:dyDescent="0.4">
      <c r="A131" s="3">
        <v>123</v>
      </c>
      <c r="B131" s="3">
        <f t="shared" si="48"/>
        <v>128</v>
      </c>
      <c r="C131" s="4">
        <v>684780</v>
      </c>
      <c r="D131" s="4" t="str">
        <f t="shared" si="73"/>
        <v>684780</v>
      </c>
      <c r="E131" s="4">
        <v>684780</v>
      </c>
      <c r="F131" s="4" t="s">
        <v>295</v>
      </c>
      <c r="G131" s="5">
        <v>4977564482572</v>
      </c>
      <c r="H131" s="5">
        <v>5</v>
      </c>
      <c r="I131" s="5" t="str">
        <f t="shared" si="51"/>
        <v>6847805</v>
      </c>
      <c r="J131" s="5">
        <v>1</v>
      </c>
      <c r="K131" s="5">
        <v>1</v>
      </c>
      <c r="L131" s="4">
        <v>630</v>
      </c>
      <c r="M131" s="4">
        <v>464</v>
      </c>
      <c r="N131" s="4">
        <v>281</v>
      </c>
      <c r="O131" s="6">
        <f t="shared" si="52"/>
        <v>0.3943965517241379</v>
      </c>
      <c r="P131" s="4" t="s">
        <v>410</v>
      </c>
      <c r="Q131" s="4" t="s">
        <v>410</v>
      </c>
      <c r="R131" s="4" t="s">
        <v>410</v>
      </c>
      <c r="S131" s="4" t="s">
        <v>410</v>
      </c>
      <c r="T131" s="4" t="s">
        <v>410</v>
      </c>
      <c r="U131" s="4" t="s">
        <v>410</v>
      </c>
      <c r="V131" s="4">
        <v>650</v>
      </c>
      <c r="W131" s="4">
        <f t="shared" si="53"/>
        <v>650</v>
      </c>
      <c r="X131" s="4">
        <v>290</v>
      </c>
      <c r="Y131" s="4">
        <f t="shared" si="54"/>
        <v>290</v>
      </c>
      <c r="Z131" s="4"/>
      <c r="AA131" s="21">
        <f t="shared" si="55"/>
        <v>479</v>
      </c>
      <c r="AB131" s="6">
        <f t="shared" si="56"/>
        <v>0.39457202505219202</v>
      </c>
      <c r="AC131" s="4">
        <v>5.25</v>
      </c>
      <c r="AD131" s="4">
        <f t="shared" si="57"/>
        <v>291</v>
      </c>
      <c r="AE131" s="4">
        <f t="shared" si="58"/>
        <v>300.3202846975089</v>
      </c>
      <c r="AF131" s="6">
        <f t="shared" si="59"/>
        <v>3.4364261168384869E-2</v>
      </c>
      <c r="AG131" s="7">
        <v>478</v>
      </c>
      <c r="AH131" s="6">
        <f t="shared" si="60"/>
        <v>0.39330543933054396</v>
      </c>
      <c r="AI131" s="4">
        <f t="shared" si="61"/>
        <v>188</v>
      </c>
      <c r="AJ131" s="28"/>
      <c r="AK131" s="6"/>
      <c r="AL131" s="6"/>
      <c r="AM131" s="6">
        <f t="shared" si="62"/>
        <v>1.0317460317460319</v>
      </c>
      <c r="AN131" s="6">
        <f t="shared" si="63"/>
        <v>1.0301724137931034</v>
      </c>
      <c r="AO131" s="6">
        <f t="shared" si="64"/>
        <v>1.0320284697508897</v>
      </c>
      <c r="AP131" s="4" t="str">
        <f t="shared" si="65"/>
        <v>-</v>
      </c>
      <c r="AQ131" s="4" t="str">
        <f t="shared" si="66"/>
        <v>-</v>
      </c>
      <c r="AR131" s="4" t="str">
        <f t="shared" si="67"/>
        <v>-</v>
      </c>
      <c r="AS131" s="4" t="str">
        <f t="shared" si="68"/>
        <v>-</v>
      </c>
      <c r="AT131" s="4" t="str">
        <f t="shared" si="69"/>
        <v>-</v>
      </c>
      <c r="AU131" s="4" t="str">
        <f t="shared" si="70"/>
        <v>-</v>
      </c>
      <c r="AV131" s="4">
        <v>0</v>
      </c>
      <c r="AW131" s="4" t="s">
        <v>688</v>
      </c>
      <c r="AX131" s="4"/>
      <c r="AY131" s="4"/>
      <c r="AZ131" s="4" t="s">
        <v>689</v>
      </c>
      <c r="BA131" s="4">
        <v>291</v>
      </c>
      <c r="BB131" s="4">
        <v>291</v>
      </c>
      <c r="BC131" s="4">
        <f t="shared" si="71"/>
        <v>291</v>
      </c>
      <c r="BD131" s="19">
        <v>4</v>
      </c>
      <c r="BE131" s="19">
        <v>1</v>
      </c>
      <c r="BF131" s="16">
        <v>3</v>
      </c>
      <c r="BG131" s="36">
        <v>46174</v>
      </c>
      <c r="BH131" t="s">
        <v>410</v>
      </c>
      <c r="BI131">
        <v>505</v>
      </c>
      <c r="BJ131" s="4" t="s">
        <v>497</v>
      </c>
      <c r="BL131" s="44">
        <f t="shared" si="72"/>
        <v>-1.8560559577862623E-3</v>
      </c>
      <c r="BM131" t="s">
        <v>792</v>
      </c>
    </row>
    <row r="132" spans="1:65" x14ac:dyDescent="0.4">
      <c r="A132" s="3">
        <v>124</v>
      </c>
      <c r="B132" s="3">
        <f t="shared" si="48"/>
        <v>129</v>
      </c>
      <c r="C132" s="4" t="s">
        <v>138</v>
      </c>
      <c r="D132" s="4" t="str">
        <f t="shared" si="73"/>
        <v>J082LY</v>
      </c>
      <c r="E132" s="4" t="s">
        <v>138</v>
      </c>
      <c r="F132" s="4" t="s">
        <v>296</v>
      </c>
      <c r="G132" s="5">
        <v>4977564482589</v>
      </c>
      <c r="H132" s="5">
        <v>5</v>
      </c>
      <c r="I132" s="5" t="str">
        <f t="shared" si="51"/>
        <v>J082LY5</v>
      </c>
      <c r="J132" s="5">
        <v>1</v>
      </c>
      <c r="K132" s="5">
        <v>1</v>
      </c>
      <c r="L132" s="4">
        <v>580</v>
      </c>
      <c r="M132" s="4">
        <v>425</v>
      </c>
      <c r="N132" s="4">
        <v>258</v>
      </c>
      <c r="O132" s="6">
        <f t="shared" si="52"/>
        <v>0.39294117647058824</v>
      </c>
      <c r="P132" s="4" t="s">
        <v>410</v>
      </c>
      <c r="Q132" s="4" t="s">
        <v>410</v>
      </c>
      <c r="R132" s="4" t="s">
        <v>410</v>
      </c>
      <c r="S132" s="4" t="s">
        <v>410</v>
      </c>
      <c r="T132" s="4" t="s">
        <v>410</v>
      </c>
      <c r="U132" s="4" t="s">
        <v>410</v>
      </c>
      <c r="V132" s="4">
        <v>650</v>
      </c>
      <c r="W132" s="4">
        <f t="shared" si="53"/>
        <v>650</v>
      </c>
      <c r="X132" s="4">
        <v>290</v>
      </c>
      <c r="Y132" s="4">
        <f t="shared" si="54"/>
        <v>290</v>
      </c>
      <c r="Z132" s="4"/>
      <c r="AA132" s="21">
        <f t="shared" si="55"/>
        <v>478</v>
      </c>
      <c r="AB132" s="6">
        <f t="shared" si="56"/>
        <v>0.39330543933054396</v>
      </c>
      <c r="AC132" s="4">
        <v>2.5</v>
      </c>
      <c r="AD132" s="4">
        <f t="shared" si="57"/>
        <v>638</v>
      </c>
      <c r="AE132" s="4">
        <f t="shared" si="58"/>
        <v>717.1317829457364</v>
      </c>
      <c r="AF132" s="6">
        <f t="shared" si="59"/>
        <v>0.59561128526645768</v>
      </c>
      <c r="AG132" s="7">
        <v>478</v>
      </c>
      <c r="AH132" s="6">
        <f t="shared" si="60"/>
        <v>0.39330543933054396</v>
      </c>
      <c r="AI132" s="4">
        <f t="shared" si="61"/>
        <v>188</v>
      </c>
      <c r="AJ132" s="28"/>
      <c r="AK132" s="6"/>
      <c r="AL132" s="6"/>
      <c r="AM132" s="6">
        <f t="shared" si="62"/>
        <v>1.1206896551724137</v>
      </c>
      <c r="AN132" s="6">
        <f t="shared" si="63"/>
        <v>1.1247058823529412</v>
      </c>
      <c r="AO132" s="6">
        <f t="shared" si="64"/>
        <v>1.124031007751938</v>
      </c>
      <c r="AP132" s="4" t="str">
        <f t="shared" si="65"/>
        <v>-</v>
      </c>
      <c r="AQ132" s="4" t="str">
        <f t="shared" si="66"/>
        <v>-</v>
      </c>
      <c r="AR132" s="4" t="str">
        <f t="shared" si="67"/>
        <v>-</v>
      </c>
      <c r="AS132" s="4" t="str">
        <f t="shared" si="68"/>
        <v>-</v>
      </c>
      <c r="AT132" s="4" t="str">
        <f t="shared" si="69"/>
        <v>-</v>
      </c>
      <c r="AU132" s="4" t="str">
        <f t="shared" si="70"/>
        <v>-</v>
      </c>
      <c r="AV132" s="4">
        <v>0</v>
      </c>
      <c r="AW132" s="4" t="s">
        <v>690</v>
      </c>
      <c r="AX132" s="4"/>
      <c r="AY132" s="4"/>
      <c r="AZ132" s="4" t="s">
        <v>691</v>
      </c>
      <c r="BA132" s="4">
        <v>638</v>
      </c>
      <c r="BB132" s="4">
        <v>638</v>
      </c>
      <c r="BC132" s="4">
        <f t="shared" si="71"/>
        <v>638</v>
      </c>
      <c r="BD132" s="19">
        <v>4</v>
      </c>
      <c r="BE132" s="19">
        <v>8</v>
      </c>
      <c r="BF132" s="16">
        <v>3</v>
      </c>
      <c r="BG132" s="36">
        <v>46174</v>
      </c>
      <c r="BH132" t="s">
        <v>410</v>
      </c>
      <c r="BI132">
        <v>515</v>
      </c>
      <c r="BJ132" s="4" t="s">
        <v>498</v>
      </c>
      <c r="BL132" s="44">
        <f t="shared" si="72"/>
        <v>6.7487460100323915E-4</v>
      </c>
      <c r="BM132" t="s">
        <v>792</v>
      </c>
    </row>
    <row r="133" spans="1:65" x14ac:dyDescent="0.4">
      <c r="A133" s="3">
        <v>125</v>
      </c>
      <c r="B133" s="3">
        <f t="shared" si="48"/>
        <v>130</v>
      </c>
      <c r="C133" s="4">
        <v>679392</v>
      </c>
      <c r="D133" s="4" t="str">
        <f t="shared" si="73"/>
        <v>679392</v>
      </c>
      <c r="E133" s="4">
        <v>679392</v>
      </c>
      <c r="F133" s="4" t="s">
        <v>297</v>
      </c>
      <c r="G133" s="5">
        <v>4977564482596</v>
      </c>
      <c r="H133" s="5">
        <v>5</v>
      </c>
      <c r="I133" s="5" t="str">
        <f t="shared" si="51"/>
        <v>6793925</v>
      </c>
      <c r="J133" s="5">
        <v>1</v>
      </c>
      <c r="K133" s="5">
        <v>1</v>
      </c>
      <c r="L133" s="4">
        <v>630</v>
      </c>
      <c r="M133" s="4">
        <v>459</v>
      </c>
      <c r="N133" s="4">
        <v>281</v>
      </c>
      <c r="O133" s="6">
        <f t="shared" si="52"/>
        <v>0.3877995642701525</v>
      </c>
      <c r="P133" s="4" t="s">
        <v>410</v>
      </c>
      <c r="Q133" s="4" t="s">
        <v>410</v>
      </c>
      <c r="R133" s="4" t="s">
        <v>410</v>
      </c>
      <c r="S133" s="4" t="s">
        <v>410</v>
      </c>
      <c r="T133" s="4" t="s">
        <v>410</v>
      </c>
      <c r="U133" s="4" t="s">
        <v>410</v>
      </c>
      <c r="V133" s="4">
        <v>650</v>
      </c>
      <c r="W133" s="4">
        <f t="shared" si="53"/>
        <v>650</v>
      </c>
      <c r="X133" s="4">
        <v>290</v>
      </c>
      <c r="Y133" s="4">
        <f t="shared" si="54"/>
        <v>290</v>
      </c>
      <c r="Z133" s="4"/>
      <c r="AA133" s="21">
        <f t="shared" si="55"/>
        <v>474</v>
      </c>
      <c r="AB133" s="6">
        <f t="shared" si="56"/>
        <v>0.38818565400843885</v>
      </c>
      <c r="AC133" s="4">
        <v>1.7500000000000002</v>
      </c>
      <c r="AD133" s="4">
        <f t="shared" si="57"/>
        <v>630</v>
      </c>
      <c r="AE133" s="4">
        <f t="shared" si="58"/>
        <v>650.17793594306045</v>
      </c>
      <c r="AF133" s="6">
        <f t="shared" si="59"/>
        <v>0.553968253968254</v>
      </c>
      <c r="AG133" s="7">
        <v>478</v>
      </c>
      <c r="AH133" s="6">
        <f t="shared" si="60"/>
        <v>0.39330543933054396</v>
      </c>
      <c r="AI133" s="4">
        <f t="shared" si="61"/>
        <v>188</v>
      </c>
      <c r="AJ133" s="28"/>
      <c r="AK133" s="6"/>
      <c r="AL133" s="6"/>
      <c r="AM133" s="6">
        <f t="shared" si="62"/>
        <v>1.0317460317460319</v>
      </c>
      <c r="AN133" s="6">
        <f t="shared" si="63"/>
        <v>1.0413943355119826</v>
      </c>
      <c r="AO133" s="6">
        <f t="shared" si="64"/>
        <v>1.0320284697508897</v>
      </c>
      <c r="AP133" s="4" t="str">
        <f t="shared" si="65"/>
        <v>-</v>
      </c>
      <c r="AQ133" s="4" t="str">
        <f t="shared" si="66"/>
        <v>-</v>
      </c>
      <c r="AR133" s="4" t="str">
        <f t="shared" si="67"/>
        <v>-</v>
      </c>
      <c r="AS133" s="4" t="str">
        <f t="shared" si="68"/>
        <v>-</v>
      </c>
      <c r="AT133" s="4" t="str">
        <f t="shared" si="69"/>
        <v>-</v>
      </c>
      <c r="AU133" s="4" t="str">
        <f t="shared" si="70"/>
        <v>-</v>
      </c>
      <c r="AV133" s="4">
        <v>0</v>
      </c>
      <c r="AW133" s="4" t="s">
        <v>692</v>
      </c>
      <c r="AX133" s="4">
        <v>1</v>
      </c>
      <c r="AY133" s="4">
        <v>3</v>
      </c>
      <c r="AZ133" s="4" t="s">
        <v>693</v>
      </c>
      <c r="BA133" s="4">
        <v>1890</v>
      </c>
      <c r="BB133" s="4">
        <v>1890</v>
      </c>
      <c r="BC133" s="4">
        <f t="shared" si="71"/>
        <v>630</v>
      </c>
      <c r="BD133" s="19">
        <v>4</v>
      </c>
      <c r="BE133" s="19">
        <v>8</v>
      </c>
      <c r="BF133" s="16">
        <v>3</v>
      </c>
      <c r="BG133" s="36">
        <v>46174</v>
      </c>
      <c r="BH133" t="s">
        <v>410</v>
      </c>
      <c r="BI133">
        <v>505</v>
      </c>
      <c r="BJ133" s="4" t="s">
        <v>499</v>
      </c>
      <c r="BL133" s="44">
        <f t="shared" si="72"/>
        <v>9.3658657610928842E-3</v>
      </c>
      <c r="BM133" t="s">
        <v>792</v>
      </c>
    </row>
    <row r="134" spans="1:65" x14ac:dyDescent="0.4">
      <c r="A134" s="3">
        <v>126</v>
      </c>
      <c r="B134" s="3">
        <f t="shared" ref="B134:B197" si="74">B133+1</f>
        <v>131</v>
      </c>
      <c r="C134" s="4" t="s">
        <v>139</v>
      </c>
      <c r="D134" s="4" t="str">
        <f t="shared" si="73"/>
        <v>J083LY</v>
      </c>
      <c r="E134" s="4" t="s">
        <v>139</v>
      </c>
      <c r="F134" s="4" t="s">
        <v>298</v>
      </c>
      <c r="G134" s="5">
        <v>4977564482602</v>
      </c>
      <c r="H134" s="5">
        <v>5</v>
      </c>
      <c r="I134" s="5" t="str">
        <f t="shared" si="51"/>
        <v>J083LY5</v>
      </c>
      <c r="J134" s="5">
        <v>1</v>
      </c>
      <c r="K134" s="5">
        <v>1</v>
      </c>
      <c r="L134" s="4">
        <v>580</v>
      </c>
      <c r="M134" s="4">
        <v>421</v>
      </c>
      <c r="N134" s="4">
        <v>258</v>
      </c>
      <c r="O134" s="6">
        <f t="shared" si="52"/>
        <v>0.38717339667458428</v>
      </c>
      <c r="P134" s="4" t="s">
        <v>410</v>
      </c>
      <c r="Q134" s="4" t="s">
        <v>410</v>
      </c>
      <c r="R134" s="4" t="s">
        <v>410</v>
      </c>
      <c r="S134" s="4" t="s">
        <v>410</v>
      </c>
      <c r="T134" s="4" t="s">
        <v>410</v>
      </c>
      <c r="U134" s="4" t="s">
        <v>410</v>
      </c>
      <c r="V134" s="4">
        <v>650</v>
      </c>
      <c r="W134" s="4">
        <f t="shared" si="53"/>
        <v>650</v>
      </c>
      <c r="X134" s="4">
        <v>290</v>
      </c>
      <c r="Y134" s="4">
        <f t="shared" si="54"/>
        <v>290</v>
      </c>
      <c r="Z134" s="4"/>
      <c r="AA134" s="21">
        <f t="shared" si="55"/>
        <v>473</v>
      </c>
      <c r="AB134" s="6">
        <f t="shared" si="56"/>
        <v>0.38689217758985206</v>
      </c>
      <c r="AC134" s="4">
        <v>0.5</v>
      </c>
      <c r="AD134" s="4">
        <f t="shared" si="57"/>
        <v>630</v>
      </c>
      <c r="AE134" s="4">
        <f t="shared" si="58"/>
        <v>708.1395348837209</v>
      </c>
      <c r="AF134" s="6">
        <f t="shared" si="59"/>
        <v>0.59047619047619038</v>
      </c>
      <c r="AG134" s="7">
        <v>478</v>
      </c>
      <c r="AH134" s="6">
        <f t="shared" si="60"/>
        <v>0.39330543933054396</v>
      </c>
      <c r="AI134" s="4">
        <f t="shared" si="61"/>
        <v>188</v>
      </c>
      <c r="AJ134" s="28"/>
      <c r="AK134" s="6"/>
      <c r="AL134" s="6"/>
      <c r="AM134" s="6">
        <f t="shared" si="62"/>
        <v>1.1206896551724137</v>
      </c>
      <c r="AN134" s="6">
        <f t="shared" si="63"/>
        <v>1.1353919239904988</v>
      </c>
      <c r="AO134" s="6">
        <f t="shared" si="64"/>
        <v>1.124031007751938</v>
      </c>
      <c r="AP134" s="4" t="str">
        <f t="shared" si="65"/>
        <v>-</v>
      </c>
      <c r="AQ134" s="4" t="str">
        <f t="shared" si="66"/>
        <v>-</v>
      </c>
      <c r="AR134" s="4" t="str">
        <f t="shared" si="67"/>
        <v>-</v>
      </c>
      <c r="AS134" s="4" t="str">
        <f t="shared" si="68"/>
        <v>-</v>
      </c>
      <c r="AT134" s="4" t="str">
        <f t="shared" si="69"/>
        <v>-</v>
      </c>
      <c r="AU134" s="4" t="str">
        <f t="shared" si="70"/>
        <v>-</v>
      </c>
      <c r="AV134" s="4">
        <v>0</v>
      </c>
      <c r="AW134" s="4" t="s">
        <v>694</v>
      </c>
      <c r="AX134" s="4">
        <v>1</v>
      </c>
      <c r="AY134" s="4">
        <v>3</v>
      </c>
      <c r="AZ134" s="4" t="s">
        <v>693</v>
      </c>
      <c r="BA134" s="4">
        <v>1890</v>
      </c>
      <c r="BB134" s="4">
        <v>1890</v>
      </c>
      <c r="BC134" s="4">
        <f t="shared" si="71"/>
        <v>630</v>
      </c>
      <c r="BD134" s="19">
        <v>4</v>
      </c>
      <c r="BE134" s="19">
        <v>8</v>
      </c>
      <c r="BF134" s="16">
        <v>3</v>
      </c>
      <c r="BG134" s="36">
        <v>46174</v>
      </c>
      <c r="BH134" t="s">
        <v>410</v>
      </c>
      <c r="BI134">
        <v>515</v>
      </c>
      <c r="BJ134" s="4" t="s">
        <v>500</v>
      </c>
      <c r="BL134" s="44">
        <f t="shared" si="72"/>
        <v>1.1360916238560836E-2</v>
      </c>
      <c r="BM134" t="s">
        <v>792</v>
      </c>
    </row>
    <row r="135" spans="1:65" x14ac:dyDescent="0.4">
      <c r="A135" s="3">
        <v>127</v>
      </c>
      <c r="B135" s="3">
        <f t="shared" si="74"/>
        <v>132</v>
      </c>
      <c r="C135" s="4">
        <v>684781</v>
      </c>
      <c r="D135" s="4" t="str">
        <f t="shared" si="73"/>
        <v>684781</v>
      </c>
      <c r="E135" s="4">
        <v>684781</v>
      </c>
      <c r="F135" s="4" t="s">
        <v>299</v>
      </c>
      <c r="G135" s="5">
        <v>4977564482619</v>
      </c>
      <c r="H135" s="5">
        <v>5</v>
      </c>
      <c r="I135" s="5" t="str">
        <f t="shared" si="51"/>
        <v>6847815</v>
      </c>
      <c r="J135" s="5">
        <v>1</v>
      </c>
      <c r="K135" s="5">
        <v>1</v>
      </c>
      <c r="L135" s="4">
        <v>630</v>
      </c>
      <c r="M135" s="4">
        <v>464</v>
      </c>
      <c r="N135" s="4">
        <v>281</v>
      </c>
      <c r="O135" s="6">
        <f t="shared" si="52"/>
        <v>0.3943965517241379</v>
      </c>
      <c r="P135" s="4" t="s">
        <v>410</v>
      </c>
      <c r="Q135" s="4" t="s">
        <v>410</v>
      </c>
      <c r="R135" s="4" t="s">
        <v>410</v>
      </c>
      <c r="S135" s="4" t="s">
        <v>410</v>
      </c>
      <c r="T135" s="4" t="s">
        <v>410</v>
      </c>
      <c r="U135" s="4" t="s">
        <v>410</v>
      </c>
      <c r="V135" s="4">
        <v>650</v>
      </c>
      <c r="W135" s="4">
        <f t="shared" si="53"/>
        <v>650</v>
      </c>
      <c r="X135" s="4">
        <v>290</v>
      </c>
      <c r="Y135" s="4">
        <f t="shared" si="54"/>
        <v>290</v>
      </c>
      <c r="Z135" s="4"/>
      <c r="AA135" s="21">
        <f t="shared" si="55"/>
        <v>479</v>
      </c>
      <c r="AB135" s="6">
        <f t="shared" si="56"/>
        <v>0.39457202505219202</v>
      </c>
      <c r="AC135" s="4">
        <v>2.25</v>
      </c>
      <c r="AD135" s="4">
        <f t="shared" si="57"/>
        <v>291</v>
      </c>
      <c r="AE135" s="4">
        <f t="shared" si="58"/>
        <v>300.3202846975089</v>
      </c>
      <c r="AF135" s="6">
        <f t="shared" si="59"/>
        <v>3.4364261168384869E-2</v>
      </c>
      <c r="AG135" s="7">
        <v>478</v>
      </c>
      <c r="AH135" s="6">
        <f t="shared" si="60"/>
        <v>0.39330543933054396</v>
      </c>
      <c r="AI135" s="4">
        <f t="shared" si="61"/>
        <v>188</v>
      </c>
      <c r="AJ135" s="28"/>
      <c r="AK135" s="6"/>
      <c r="AL135" s="6"/>
      <c r="AM135" s="6">
        <f t="shared" si="62"/>
        <v>1.0317460317460319</v>
      </c>
      <c r="AN135" s="6">
        <f t="shared" si="63"/>
        <v>1.0301724137931034</v>
      </c>
      <c r="AO135" s="6">
        <f t="shared" si="64"/>
        <v>1.0320284697508897</v>
      </c>
      <c r="AP135" s="4" t="str">
        <f t="shared" si="65"/>
        <v>-</v>
      </c>
      <c r="AQ135" s="4" t="str">
        <f t="shared" si="66"/>
        <v>-</v>
      </c>
      <c r="AR135" s="4" t="str">
        <f t="shared" si="67"/>
        <v>-</v>
      </c>
      <c r="AS135" s="4" t="str">
        <f t="shared" si="68"/>
        <v>-</v>
      </c>
      <c r="AT135" s="4" t="str">
        <f t="shared" si="69"/>
        <v>-</v>
      </c>
      <c r="AU135" s="4" t="str">
        <f t="shared" si="70"/>
        <v>-</v>
      </c>
      <c r="AV135" s="4">
        <v>0</v>
      </c>
      <c r="AW135" s="4" t="s">
        <v>695</v>
      </c>
      <c r="AX135" s="4"/>
      <c r="AY135" s="4"/>
      <c r="AZ135" s="4" t="s">
        <v>689</v>
      </c>
      <c r="BA135" s="4">
        <v>291</v>
      </c>
      <c r="BB135" s="4">
        <v>291</v>
      </c>
      <c r="BC135" s="4">
        <f t="shared" si="71"/>
        <v>291</v>
      </c>
      <c r="BD135" s="19">
        <v>4</v>
      </c>
      <c r="BE135" s="19">
        <v>1</v>
      </c>
      <c r="BF135" s="16">
        <v>3</v>
      </c>
      <c r="BG135" s="36">
        <v>46174</v>
      </c>
      <c r="BH135" t="s">
        <v>410</v>
      </c>
      <c r="BI135">
        <v>505</v>
      </c>
      <c r="BJ135" s="4" t="s">
        <v>501</v>
      </c>
      <c r="BL135" s="44">
        <f t="shared" si="72"/>
        <v>-1.8560559577862623E-3</v>
      </c>
      <c r="BM135" t="s">
        <v>792</v>
      </c>
    </row>
    <row r="136" spans="1:65" x14ac:dyDescent="0.4">
      <c r="A136" s="3">
        <v>129</v>
      </c>
      <c r="B136" s="3">
        <f t="shared" si="74"/>
        <v>133</v>
      </c>
      <c r="C136" s="4">
        <v>669494</v>
      </c>
      <c r="D136" s="4" t="str">
        <f t="shared" si="73"/>
        <v>669494</v>
      </c>
      <c r="E136" s="4">
        <v>669494</v>
      </c>
      <c r="F136" s="4" t="s">
        <v>300</v>
      </c>
      <c r="G136" s="5">
        <v>4977564485726</v>
      </c>
      <c r="H136" s="5">
        <v>5</v>
      </c>
      <c r="I136" s="5" t="str">
        <f t="shared" si="51"/>
        <v>6694945</v>
      </c>
      <c r="J136" s="5">
        <v>1</v>
      </c>
      <c r="K136" s="5">
        <v>1</v>
      </c>
      <c r="L136" s="4">
        <v>630</v>
      </c>
      <c r="M136" s="4">
        <v>464</v>
      </c>
      <c r="N136" s="4">
        <v>281</v>
      </c>
      <c r="O136" s="6">
        <f t="shared" si="52"/>
        <v>0.3943965517241379</v>
      </c>
      <c r="P136" s="4" t="s">
        <v>410</v>
      </c>
      <c r="Q136" s="4" t="s">
        <v>410</v>
      </c>
      <c r="R136" s="4" t="s">
        <v>410</v>
      </c>
      <c r="S136" s="4" t="s">
        <v>410</v>
      </c>
      <c r="T136" s="4" t="s">
        <v>410</v>
      </c>
      <c r="U136" s="4" t="s">
        <v>410</v>
      </c>
      <c r="V136" s="4">
        <v>650</v>
      </c>
      <c r="W136" s="4">
        <f t="shared" si="53"/>
        <v>650</v>
      </c>
      <c r="X136" s="4">
        <v>290</v>
      </c>
      <c r="Y136" s="4">
        <f t="shared" si="54"/>
        <v>290</v>
      </c>
      <c r="Z136" s="4"/>
      <c r="AA136" s="21">
        <f t="shared" si="55"/>
        <v>479</v>
      </c>
      <c r="AB136" s="6">
        <f t="shared" si="56"/>
        <v>0.39457202505219202</v>
      </c>
      <c r="AC136" s="4">
        <v>7.75</v>
      </c>
      <c r="AD136" s="4">
        <f t="shared" si="57"/>
        <v>291</v>
      </c>
      <c r="AE136" s="4">
        <f t="shared" si="58"/>
        <v>300.3202846975089</v>
      </c>
      <c r="AF136" s="6">
        <f t="shared" si="59"/>
        <v>3.4364261168384869E-2</v>
      </c>
      <c r="AG136" s="7">
        <v>478</v>
      </c>
      <c r="AH136" s="6">
        <f t="shared" si="60"/>
        <v>0.39330543933054396</v>
      </c>
      <c r="AI136" s="4">
        <f t="shared" si="61"/>
        <v>188</v>
      </c>
      <c r="AJ136" s="28"/>
      <c r="AK136" s="6"/>
      <c r="AL136" s="6"/>
      <c r="AM136" s="6">
        <f t="shared" si="62"/>
        <v>1.0317460317460319</v>
      </c>
      <c r="AN136" s="6">
        <f t="shared" si="63"/>
        <v>1.0301724137931034</v>
      </c>
      <c r="AO136" s="6">
        <f t="shared" si="64"/>
        <v>1.0320284697508897</v>
      </c>
      <c r="AP136" s="4" t="str">
        <f t="shared" si="65"/>
        <v>-</v>
      </c>
      <c r="AQ136" s="4" t="str">
        <f t="shared" si="66"/>
        <v>-</v>
      </c>
      <c r="AR136" s="4" t="str">
        <f t="shared" si="67"/>
        <v>-</v>
      </c>
      <c r="AS136" s="4" t="str">
        <f t="shared" si="68"/>
        <v>-</v>
      </c>
      <c r="AT136" s="4" t="str">
        <f t="shared" si="69"/>
        <v>-</v>
      </c>
      <c r="AU136" s="4" t="str">
        <f t="shared" si="70"/>
        <v>-</v>
      </c>
      <c r="AV136" s="4">
        <v>0</v>
      </c>
      <c r="AW136" s="4" t="s">
        <v>696</v>
      </c>
      <c r="AX136" s="4"/>
      <c r="AY136" s="4"/>
      <c r="AZ136" s="4" t="s">
        <v>689</v>
      </c>
      <c r="BA136" s="4">
        <v>291</v>
      </c>
      <c r="BB136" s="4">
        <v>291</v>
      </c>
      <c r="BC136" s="4">
        <f t="shared" si="71"/>
        <v>291</v>
      </c>
      <c r="BD136" s="19">
        <v>4</v>
      </c>
      <c r="BE136" s="19">
        <v>1</v>
      </c>
      <c r="BF136" s="16">
        <v>3</v>
      </c>
      <c r="BG136" s="36">
        <v>46174</v>
      </c>
      <c r="BH136" t="s">
        <v>410</v>
      </c>
      <c r="BI136" t="s">
        <v>410</v>
      </c>
      <c r="BJ136" s="4" t="s">
        <v>502</v>
      </c>
      <c r="BL136" s="44">
        <f t="shared" si="72"/>
        <v>-1.8560559577862623E-3</v>
      </c>
      <c r="BM136" t="s">
        <v>792</v>
      </c>
    </row>
    <row r="137" spans="1:65" x14ac:dyDescent="0.4">
      <c r="A137" s="3">
        <v>130</v>
      </c>
      <c r="B137" s="3">
        <f t="shared" si="74"/>
        <v>134</v>
      </c>
      <c r="C137" s="4" t="s">
        <v>140</v>
      </c>
      <c r="D137" s="4" t="str">
        <f t="shared" si="73"/>
        <v>J084LY</v>
      </c>
      <c r="E137" s="4" t="s">
        <v>140</v>
      </c>
      <c r="F137" s="4" t="s">
        <v>301</v>
      </c>
      <c r="G137" s="5">
        <v>4977564485245</v>
      </c>
      <c r="H137" s="5">
        <v>5</v>
      </c>
      <c r="I137" s="5" t="str">
        <f t="shared" si="51"/>
        <v>J084LY5</v>
      </c>
      <c r="J137" s="5">
        <v>1</v>
      </c>
      <c r="K137" s="5">
        <v>1</v>
      </c>
      <c r="L137" s="4">
        <v>210</v>
      </c>
      <c r="M137" s="4">
        <v>171</v>
      </c>
      <c r="N137" s="4">
        <v>105</v>
      </c>
      <c r="O137" s="6">
        <f t="shared" si="52"/>
        <v>0.38596491228070173</v>
      </c>
      <c r="P137" s="4" t="s">
        <v>410</v>
      </c>
      <c r="Q137" s="4" t="s">
        <v>410</v>
      </c>
      <c r="R137" s="4" t="s">
        <v>410</v>
      </c>
      <c r="S137" s="4" t="s">
        <v>410</v>
      </c>
      <c r="T137" s="4" t="s">
        <v>410</v>
      </c>
      <c r="U137" s="4" t="s">
        <v>410</v>
      </c>
      <c r="V137" s="4">
        <v>250</v>
      </c>
      <c r="W137" s="4">
        <f t="shared" si="53"/>
        <v>250</v>
      </c>
      <c r="X137" s="4">
        <v>113</v>
      </c>
      <c r="Y137" s="4">
        <f t="shared" si="54"/>
        <v>113</v>
      </c>
      <c r="Z137" s="4"/>
      <c r="AA137" s="21">
        <f t="shared" si="55"/>
        <v>184</v>
      </c>
      <c r="AB137" s="6">
        <f t="shared" si="56"/>
        <v>0.38586956521739135</v>
      </c>
      <c r="AC137" s="4">
        <v>1</v>
      </c>
      <c r="AD137" s="4">
        <f t="shared" si="57"/>
        <v>220</v>
      </c>
      <c r="AE137" s="4">
        <f t="shared" si="58"/>
        <v>236.76190476190476</v>
      </c>
      <c r="AF137" s="6">
        <f t="shared" si="59"/>
        <v>0.52272727272727271</v>
      </c>
      <c r="AG137" s="7">
        <v>188</v>
      </c>
      <c r="AH137" s="6">
        <f t="shared" si="60"/>
        <v>0.39893617021276595</v>
      </c>
      <c r="AI137" s="4">
        <f t="shared" si="61"/>
        <v>75</v>
      </c>
      <c r="AJ137" s="28"/>
      <c r="AK137" s="6"/>
      <c r="AL137" s="6"/>
      <c r="AM137" s="6">
        <f t="shared" si="62"/>
        <v>1.1904761904761905</v>
      </c>
      <c r="AN137" s="6">
        <f t="shared" si="63"/>
        <v>1.0994152046783625</v>
      </c>
      <c r="AO137" s="6">
        <f t="shared" si="64"/>
        <v>1.0761904761904761</v>
      </c>
      <c r="AP137" s="4" t="str">
        <f t="shared" si="65"/>
        <v>-</v>
      </c>
      <c r="AQ137" s="4" t="str">
        <f t="shared" si="66"/>
        <v>-</v>
      </c>
      <c r="AR137" s="4" t="str">
        <f t="shared" si="67"/>
        <v>-</v>
      </c>
      <c r="AS137" s="4" t="str">
        <f t="shared" si="68"/>
        <v>-</v>
      </c>
      <c r="AT137" s="4" t="str">
        <f t="shared" si="69"/>
        <v>-</v>
      </c>
      <c r="AU137" s="4" t="str">
        <f t="shared" si="70"/>
        <v>-</v>
      </c>
      <c r="AV137" s="4">
        <v>0</v>
      </c>
      <c r="AW137" s="4" t="s">
        <v>697</v>
      </c>
      <c r="AX137" s="4"/>
      <c r="AY137" s="4"/>
      <c r="AZ137" s="4" t="s">
        <v>616</v>
      </c>
      <c r="BA137" s="4">
        <v>220</v>
      </c>
      <c r="BB137" s="4">
        <v>220</v>
      </c>
      <c r="BC137" s="4">
        <f t="shared" si="71"/>
        <v>220</v>
      </c>
      <c r="BD137" s="19">
        <v>4</v>
      </c>
      <c r="BE137" s="19">
        <v>1</v>
      </c>
      <c r="BF137" s="16">
        <v>3</v>
      </c>
      <c r="BG137" s="36">
        <v>46174</v>
      </c>
      <c r="BH137" t="s">
        <v>410</v>
      </c>
      <c r="BI137">
        <v>153</v>
      </c>
      <c r="BJ137" s="4" t="s">
        <v>503</v>
      </c>
      <c r="BL137" s="44">
        <f t="shared" si="72"/>
        <v>2.322472848788637E-2</v>
      </c>
      <c r="BM137" t="s">
        <v>792</v>
      </c>
    </row>
    <row r="138" spans="1:65" x14ac:dyDescent="0.4">
      <c r="A138" s="3">
        <v>131</v>
      </c>
      <c r="B138" s="3">
        <f t="shared" si="74"/>
        <v>135</v>
      </c>
      <c r="C138" s="4" t="s">
        <v>141</v>
      </c>
      <c r="D138" s="4" t="str">
        <f t="shared" si="73"/>
        <v>J086LY</v>
      </c>
      <c r="E138" s="4" t="s">
        <v>141</v>
      </c>
      <c r="F138" s="4" t="s">
        <v>302</v>
      </c>
      <c r="G138" s="5">
        <v>4977564485269</v>
      </c>
      <c r="H138" s="5">
        <v>5</v>
      </c>
      <c r="I138" s="5" t="str">
        <f t="shared" si="51"/>
        <v>J086LY5</v>
      </c>
      <c r="J138" s="5">
        <v>1</v>
      </c>
      <c r="K138" s="5">
        <v>1</v>
      </c>
      <c r="L138" s="4">
        <v>210</v>
      </c>
      <c r="M138" s="4">
        <v>160</v>
      </c>
      <c r="N138" s="4">
        <v>105</v>
      </c>
      <c r="O138" s="6">
        <f t="shared" si="52"/>
        <v>0.34375</v>
      </c>
      <c r="P138" s="4" t="s">
        <v>410</v>
      </c>
      <c r="Q138" s="4" t="s">
        <v>410</v>
      </c>
      <c r="R138" s="4" t="s">
        <v>410</v>
      </c>
      <c r="S138" s="4" t="s">
        <v>410</v>
      </c>
      <c r="T138" s="4" t="s">
        <v>410</v>
      </c>
      <c r="U138" s="4" t="s">
        <v>410</v>
      </c>
      <c r="V138" s="4">
        <v>250</v>
      </c>
      <c r="W138" s="4">
        <f t="shared" si="53"/>
        <v>250</v>
      </c>
      <c r="X138" s="4">
        <v>113</v>
      </c>
      <c r="Y138" s="4">
        <f t="shared" si="54"/>
        <v>113</v>
      </c>
      <c r="Z138" s="4"/>
      <c r="AA138" s="21">
        <f t="shared" si="55"/>
        <v>172</v>
      </c>
      <c r="AB138" s="6">
        <f t="shared" si="56"/>
        <v>0.34302325581395354</v>
      </c>
      <c r="AC138" s="4">
        <v>0.25</v>
      </c>
      <c r="AD138" s="4" t="str">
        <f t="shared" si="57"/>
        <v>-</v>
      </c>
      <c r="AE138" s="4" t="e">
        <f t="shared" si="58"/>
        <v>#VALUE!</v>
      </c>
      <c r="AF138" s="6" t="e">
        <f t="shared" si="59"/>
        <v>#VALUE!</v>
      </c>
      <c r="AG138" s="7">
        <v>188</v>
      </c>
      <c r="AH138" s="6">
        <f t="shared" si="60"/>
        <v>0.39893617021276595</v>
      </c>
      <c r="AI138" s="4">
        <f t="shared" si="61"/>
        <v>75</v>
      </c>
      <c r="AJ138" s="28"/>
      <c r="AK138" s="6"/>
      <c r="AL138" s="6"/>
      <c r="AM138" s="6">
        <f t="shared" si="62"/>
        <v>1.1904761904761905</v>
      </c>
      <c r="AN138" s="6">
        <f t="shared" si="63"/>
        <v>1.175</v>
      </c>
      <c r="AO138" s="6">
        <f t="shared" si="64"/>
        <v>1.0761904761904761</v>
      </c>
      <c r="AP138" s="4" t="str">
        <f t="shared" si="65"/>
        <v>-</v>
      </c>
      <c r="AQ138" s="4" t="str">
        <f t="shared" si="66"/>
        <v>-</v>
      </c>
      <c r="AR138" s="4" t="str">
        <f t="shared" si="67"/>
        <v>-</v>
      </c>
      <c r="AS138" s="4" t="str">
        <f t="shared" si="68"/>
        <v>-</v>
      </c>
      <c r="AT138" s="4" t="str">
        <f t="shared" si="69"/>
        <v>-</v>
      </c>
      <c r="AU138" s="4" t="str">
        <f t="shared" si="70"/>
        <v>-</v>
      </c>
      <c r="AV138" s="4">
        <v>0</v>
      </c>
      <c r="AW138" s="4" t="s">
        <v>410</v>
      </c>
      <c r="AX138" s="4"/>
      <c r="AY138" s="4"/>
      <c r="AZ138" s="4" t="s">
        <v>410</v>
      </c>
      <c r="BA138" s="4" t="s">
        <v>410</v>
      </c>
      <c r="BB138" s="4" t="s">
        <v>410</v>
      </c>
      <c r="BC138" s="4" t="str">
        <f t="shared" si="71"/>
        <v>-</v>
      </c>
      <c r="BD138" s="19">
        <v>4</v>
      </c>
      <c r="BE138" s="19">
        <v>1</v>
      </c>
      <c r="BF138" s="16">
        <v>3</v>
      </c>
      <c r="BG138" s="36">
        <v>46174</v>
      </c>
      <c r="BH138" t="s">
        <v>410</v>
      </c>
      <c r="BI138">
        <v>191</v>
      </c>
      <c r="BJ138" s="4" t="s">
        <v>410</v>
      </c>
      <c r="BL138" s="44">
        <f t="shared" si="72"/>
        <v>9.8809523809523903E-2</v>
      </c>
      <c r="BM138" t="s">
        <v>792</v>
      </c>
    </row>
    <row r="139" spans="1:65" x14ac:dyDescent="0.4">
      <c r="A139" s="3">
        <v>132</v>
      </c>
      <c r="B139" s="3">
        <f t="shared" si="74"/>
        <v>136</v>
      </c>
      <c r="C139" s="4" t="s">
        <v>142</v>
      </c>
      <c r="D139" s="4" t="str">
        <f t="shared" si="73"/>
        <v>J087LY</v>
      </c>
      <c r="E139" s="4" t="s">
        <v>142</v>
      </c>
      <c r="F139" s="4" t="s">
        <v>303</v>
      </c>
      <c r="G139" s="5">
        <v>4977564485276</v>
      </c>
      <c r="H139" s="5">
        <v>5</v>
      </c>
      <c r="I139" s="5" t="str">
        <f t="shared" si="51"/>
        <v>J087LY5</v>
      </c>
      <c r="J139" s="5">
        <v>1</v>
      </c>
      <c r="K139" s="5">
        <v>1</v>
      </c>
      <c r="L139" s="4">
        <v>210</v>
      </c>
      <c r="M139" s="4">
        <v>171</v>
      </c>
      <c r="N139" s="4">
        <v>105</v>
      </c>
      <c r="O139" s="6">
        <f t="shared" si="52"/>
        <v>0.38596491228070173</v>
      </c>
      <c r="P139" s="4" t="s">
        <v>410</v>
      </c>
      <c r="Q139" s="4" t="s">
        <v>410</v>
      </c>
      <c r="R139" s="4" t="s">
        <v>410</v>
      </c>
      <c r="S139" s="4" t="s">
        <v>410</v>
      </c>
      <c r="T139" s="4" t="s">
        <v>410</v>
      </c>
      <c r="U139" s="4" t="s">
        <v>410</v>
      </c>
      <c r="V139" s="4">
        <v>250</v>
      </c>
      <c r="W139" s="4">
        <f t="shared" si="53"/>
        <v>250</v>
      </c>
      <c r="X139" s="4">
        <v>113</v>
      </c>
      <c r="Y139" s="4">
        <f t="shared" si="54"/>
        <v>113</v>
      </c>
      <c r="Z139" s="4"/>
      <c r="AA139" s="21">
        <f t="shared" si="55"/>
        <v>184</v>
      </c>
      <c r="AB139" s="6">
        <f t="shared" si="56"/>
        <v>0.38586956521739135</v>
      </c>
      <c r="AC139" s="4">
        <v>1.25</v>
      </c>
      <c r="AD139" s="4">
        <f t="shared" si="57"/>
        <v>253</v>
      </c>
      <c r="AE139" s="4">
        <f t="shared" si="58"/>
        <v>272.27619047619044</v>
      </c>
      <c r="AF139" s="6">
        <f t="shared" si="59"/>
        <v>0.58498023715415015</v>
      </c>
      <c r="AG139" s="7">
        <v>188</v>
      </c>
      <c r="AH139" s="6">
        <f t="shared" si="60"/>
        <v>0.39893617021276595</v>
      </c>
      <c r="AI139" s="4">
        <f t="shared" si="61"/>
        <v>75</v>
      </c>
      <c r="AJ139" s="28"/>
      <c r="AK139" s="6"/>
      <c r="AL139" s="6"/>
      <c r="AM139" s="6">
        <f t="shared" si="62"/>
        <v>1.1904761904761905</v>
      </c>
      <c r="AN139" s="6">
        <f t="shared" si="63"/>
        <v>1.0994152046783625</v>
      </c>
      <c r="AO139" s="6">
        <f t="shared" si="64"/>
        <v>1.0761904761904761</v>
      </c>
      <c r="AP139" s="4" t="str">
        <f t="shared" si="65"/>
        <v>-</v>
      </c>
      <c r="AQ139" s="4" t="str">
        <f t="shared" si="66"/>
        <v>-</v>
      </c>
      <c r="AR139" s="4" t="str">
        <f t="shared" si="67"/>
        <v>-</v>
      </c>
      <c r="AS139" s="4" t="str">
        <f t="shared" si="68"/>
        <v>-</v>
      </c>
      <c r="AT139" s="4" t="str">
        <f t="shared" si="69"/>
        <v>-</v>
      </c>
      <c r="AU139" s="4" t="str">
        <f t="shared" si="70"/>
        <v>-</v>
      </c>
      <c r="AV139" s="4">
        <v>0</v>
      </c>
      <c r="AW139" s="4" t="s">
        <v>698</v>
      </c>
      <c r="AX139" s="4"/>
      <c r="AY139" s="4"/>
      <c r="AZ139" s="4" t="s">
        <v>616</v>
      </c>
      <c r="BA139" s="4">
        <v>253</v>
      </c>
      <c r="BB139" s="4">
        <v>253</v>
      </c>
      <c r="BC139" s="4">
        <f t="shared" si="71"/>
        <v>253</v>
      </c>
      <c r="BD139" s="19">
        <v>4</v>
      </c>
      <c r="BE139" s="19">
        <v>1</v>
      </c>
      <c r="BF139" s="16">
        <v>3</v>
      </c>
      <c r="BG139" s="36">
        <v>46174</v>
      </c>
      <c r="BH139" t="s">
        <v>410</v>
      </c>
      <c r="BI139">
        <v>191</v>
      </c>
      <c r="BJ139" s="4" t="s">
        <v>504</v>
      </c>
      <c r="BL139" s="44">
        <f t="shared" si="72"/>
        <v>2.322472848788637E-2</v>
      </c>
      <c r="BM139" t="s">
        <v>792</v>
      </c>
    </row>
    <row r="140" spans="1:65" x14ac:dyDescent="0.4">
      <c r="A140" s="3">
        <v>133</v>
      </c>
      <c r="B140" s="3">
        <f t="shared" si="74"/>
        <v>137</v>
      </c>
      <c r="C140" s="4" t="s">
        <v>143</v>
      </c>
      <c r="D140" s="4" t="str">
        <f t="shared" si="73"/>
        <v>J088LY</v>
      </c>
      <c r="E140" s="4" t="s">
        <v>143</v>
      </c>
      <c r="F140" s="4" t="s">
        <v>304</v>
      </c>
      <c r="G140" s="5">
        <v>4977564485771</v>
      </c>
      <c r="H140" s="5">
        <v>5</v>
      </c>
      <c r="I140" s="5" t="str">
        <f t="shared" si="51"/>
        <v>J088LY5</v>
      </c>
      <c r="J140" s="5">
        <v>1</v>
      </c>
      <c r="K140" s="5">
        <v>1</v>
      </c>
      <c r="L140" s="4">
        <v>210</v>
      </c>
      <c r="M140" s="4">
        <v>173</v>
      </c>
      <c r="N140" s="4">
        <v>105</v>
      </c>
      <c r="O140" s="6">
        <f t="shared" si="52"/>
        <v>0.39306358381502893</v>
      </c>
      <c r="P140" s="4" t="s">
        <v>410</v>
      </c>
      <c r="Q140" s="4" t="s">
        <v>410</v>
      </c>
      <c r="R140" s="4" t="s">
        <v>410</v>
      </c>
      <c r="S140" s="4" t="s">
        <v>410</v>
      </c>
      <c r="T140" s="4" t="s">
        <v>410</v>
      </c>
      <c r="U140" s="4" t="s">
        <v>410</v>
      </c>
      <c r="V140" s="4">
        <v>250</v>
      </c>
      <c r="W140" s="4">
        <f t="shared" si="53"/>
        <v>250</v>
      </c>
      <c r="X140" s="4">
        <v>113</v>
      </c>
      <c r="Y140" s="4">
        <f t="shared" si="54"/>
        <v>113</v>
      </c>
      <c r="Z140" s="4"/>
      <c r="AA140" s="21">
        <f t="shared" si="55"/>
        <v>186</v>
      </c>
      <c r="AB140" s="6">
        <f t="shared" si="56"/>
        <v>0.39247311827956988</v>
      </c>
      <c r="AC140" s="4">
        <v>13.25</v>
      </c>
      <c r="AD140" s="4" t="str">
        <f t="shared" si="57"/>
        <v>-</v>
      </c>
      <c r="AE140" s="4" t="e">
        <f t="shared" si="58"/>
        <v>#VALUE!</v>
      </c>
      <c r="AF140" s="6" t="e">
        <f t="shared" si="59"/>
        <v>#VALUE!</v>
      </c>
      <c r="AG140" s="7">
        <v>188</v>
      </c>
      <c r="AH140" s="6">
        <f t="shared" si="60"/>
        <v>0.39893617021276595</v>
      </c>
      <c r="AI140" s="4">
        <f t="shared" si="61"/>
        <v>75</v>
      </c>
      <c r="AJ140" s="28"/>
      <c r="AK140" s="6"/>
      <c r="AL140" s="6"/>
      <c r="AM140" s="6">
        <f t="shared" si="62"/>
        <v>1.1904761904761905</v>
      </c>
      <c r="AN140" s="6">
        <f t="shared" si="63"/>
        <v>1.0867052023121386</v>
      </c>
      <c r="AO140" s="6">
        <f t="shared" si="64"/>
        <v>1.0761904761904761</v>
      </c>
      <c r="AP140" s="4" t="str">
        <f t="shared" si="65"/>
        <v>-</v>
      </c>
      <c r="AQ140" s="4" t="str">
        <f t="shared" si="66"/>
        <v>-</v>
      </c>
      <c r="AR140" s="4" t="str">
        <f t="shared" si="67"/>
        <v>-</v>
      </c>
      <c r="AS140" s="4" t="str">
        <f t="shared" si="68"/>
        <v>-</v>
      </c>
      <c r="AT140" s="4" t="str">
        <f t="shared" si="69"/>
        <v>-</v>
      </c>
      <c r="AU140" s="4" t="str">
        <f t="shared" si="70"/>
        <v>-</v>
      </c>
      <c r="AV140" s="4">
        <v>0</v>
      </c>
      <c r="AW140" s="4" t="s">
        <v>410</v>
      </c>
      <c r="AX140" s="4"/>
      <c r="AY140" s="4"/>
      <c r="AZ140" s="4" t="s">
        <v>410</v>
      </c>
      <c r="BA140" s="4" t="s">
        <v>410</v>
      </c>
      <c r="BB140" s="4" t="s">
        <v>410</v>
      </c>
      <c r="BC140" s="4" t="str">
        <f t="shared" si="71"/>
        <v>-</v>
      </c>
      <c r="BD140" s="19">
        <v>4</v>
      </c>
      <c r="BE140" s="19">
        <v>1</v>
      </c>
      <c r="BF140" s="16">
        <v>3</v>
      </c>
      <c r="BG140" s="36">
        <v>46174</v>
      </c>
      <c r="BH140" t="s">
        <v>410</v>
      </c>
      <c r="BI140">
        <v>191</v>
      </c>
      <c r="BJ140" s="4" t="s">
        <v>410</v>
      </c>
      <c r="BL140" s="44">
        <f t="shared" si="72"/>
        <v>1.0514726121662488E-2</v>
      </c>
      <c r="BM140" t="s">
        <v>792</v>
      </c>
    </row>
    <row r="141" spans="1:65" x14ac:dyDescent="0.4">
      <c r="A141" s="3">
        <v>134</v>
      </c>
      <c r="B141" s="3">
        <f t="shared" si="74"/>
        <v>138</v>
      </c>
      <c r="C141" s="4" t="s">
        <v>144</v>
      </c>
      <c r="D141" s="4" t="str">
        <f t="shared" si="73"/>
        <v>J090LY</v>
      </c>
      <c r="E141" s="4" t="s">
        <v>144</v>
      </c>
      <c r="F141" s="4" t="s">
        <v>305</v>
      </c>
      <c r="G141" s="5">
        <v>4977564485283</v>
      </c>
      <c r="H141" s="5">
        <v>5</v>
      </c>
      <c r="I141" s="5" t="str">
        <f t="shared" si="51"/>
        <v>J090LY5</v>
      </c>
      <c r="J141" s="5">
        <v>1</v>
      </c>
      <c r="K141" s="5">
        <v>1</v>
      </c>
      <c r="L141" s="4">
        <v>250</v>
      </c>
      <c r="M141" s="4">
        <v>206</v>
      </c>
      <c r="N141" s="4">
        <v>125</v>
      </c>
      <c r="O141" s="6">
        <f t="shared" si="52"/>
        <v>0.39320388349514568</v>
      </c>
      <c r="P141" s="4" t="s">
        <v>410</v>
      </c>
      <c r="Q141" s="4" t="s">
        <v>410</v>
      </c>
      <c r="R141" s="4" t="s">
        <v>410</v>
      </c>
      <c r="S141" s="4" t="s">
        <v>410</v>
      </c>
      <c r="T141" s="4" t="s">
        <v>410</v>
      </c>
      <c r="U141" s="4" t="s">
        <v>410</v>
      </c>
      <c r="V141" s="4">
        <v>290</v>
      </c>
      <c r="W141" s="4">
        <f t="shared" si="53"/>
        <v>290</v>
      </c>
      <c r="X141" s="4">
        <v>135</v>
      </c>
      <c r="Y141" s="4">
        <f t="shared" si="54"/>
        <v>135</v>
      </c>
      <c r="Z141" s="4"/>
      <c r="AA141" s="21">
        <f t="shared" si="55"/>
        <v>222</v>
      </c>
      <c r="AB141" s="6">
        <f t="shared" si="56"/>
        <v>0.39189189189189189</v>
      </c>
      <c r="AC141" s="4">
        <v>0.5</v>
      </c>
      <c r="AD141" s="4">
        <f t="shared" si="57"/>
        <v>258</v>
      </c>
      <c r="AE141" s="4">
        <f t="shared" si="58"/>
        <v>278.64000000000004</v>
      </c>
      <c r="AF141" s="6">
        <f t="shared" si="59"/>
        <v>0.51550387596899228</v>
      </c>
      <c r="AG141" s="7">
        <v>230</v>
      </c>
      <c r="AH141" s="6">
        <f t="shared" si="60"/>
        <v>0.41304347826086951</v>
      </c>
      <c r="AI141" s="4">
        <f t="shared" si="61"/>
        <v>95</v>
      </c>
      <c r="AJ141" s="28"/>
      <c r="AK141" s="6"/>
      <c r="AL141" s="6"/>
      <c r="AM141" s="6">
        <f t="shared" si="62"/>
        <v>1.1599999999999999</v>
      </c>
      <c r="AN141" s="6">
        <f t="shared" si="63"/>
        <v>1.116504854368932</v>
      </c>
      <c r="AO141" s="6">
        <f t="shared" si="64"/>
        <v>1.08</v>
      </c>
      <c r="AP141" s="4" t="str">
        <f t="shared" si="65"/>
        <v>-</v>
      </c>
      <c r="AQ141" s="4" t="str">
        <f t="shared" si="66"/>
        <v>-</v>
      </c>
      <c r="AR141" s="4" t="str">
        <f t="shared" si="67"/>
        <v>-</v>
      </c>
      <c r="AS141" s="4" t="str">
        <f t="shared" si="68"/>
        <v>-</v>
      </c>
      <c r="AT141" s="4" t="str">
        <f t="shared" si="69"/>
        <v>-</v>
      </c>
      <c r="AU141" s="4" t="str">
        <f t="shared" si="70"/>
        <v>-</v>
      </c>
      <c r="AV141" s="4">
        <v>0</v>
      </c>
      <c r="AW141" s="4" t="s">
        <v>699</v>
      </c>
      <c r="AX141" s="4"/>
      <c r="AY141" s="4"/>
      <c r="AZ141" s="4" t="s">
        <v>586</v>
      </c>
      <c r="BA141" s="4">
        <v>258</v>
      </c>
      <c r="BB141" s="4">
        <v>258</v>
      </c>
      <c r="BC141" s="4">
        <f t="shared" si="71"/>
        <v>258</v>
      </c>
      <c r="BD141" s="19">
        <v>4</v>
      </c>
      <c r="BE141" s="19">
        <v>1</v>
      </c>
      <c r="BF141" s="16">
        <v>3</v>
      </c>
      <c r="BG141" s="36">
        <v>46174</v>
      </c>
      <c r="BH141" t="s">
        <v>410</v>
      </c>
      <c r="BI141" t="s">
        <v>410</v>
      </c>
      <c r="BJ141" s="4" t="s">
        <v>505</v>
      </c>
      <c r="BL141" s="44">
        <f t="shared" si="72"/>
        <v>3.6504854368931916E-2</v>
      </c>
      <c r="BM141" t="s">
        <v>792</v>
      </c>
    </row>
    <row r="142" spans="1:65" x14ac:dyDescent="0.4">
      <c r="A142" s="3">
        <v>135</v>
      </c>
      <c r="B142" s="3">
        <f t="shared" si="74"/>
        <v>139</v>
      </c>
      <c r="C142" s="4" t="s">
        <v>145</v>
      </c>
      <c r="D142" s="4" t="str">
        <f t="shared" si="73"/>
        <v>J091LY</v>
      </c>
      <c r="E142" s="4" t="s">
        <v>145</v>
      </c>
      <c r="F142" s="4" t="s">
        <v>306</v>
      </c>
      <c r="G142" s="5">
        <v>4977564485290</v>
      </c>
      <c r="H142" s="5">
        <v>5</v>
      </c>
      <c r="I142" s="5" t="str">
        <f t="shared" si="51"/>
        <v>J091LY5</v>
      </c>
      <c r="J142" s="5">
        <v>1</v>
      </c>
      <c r="K142" s="5">
        <v>1</v>
      </c>
      <c r="L142" s="4">
        <v>250</v>
      </c>
      <c r="M142" s="4">
        <v>206</v>
      </c>
      <c r="N142" s="4">
        <v>125</v>
      </c>
      <c r="O142" s="6">
        <f t="shared" si="52"/>
        <v>0.39320388349514568</v>
      </c>
      <c r="P142" s="4" t="s">
        <v>410</v>
      </c>
      <c r="Q142" s="4" t="s">
        <v>410</v>
      </c>
      <c r="R142" s="4" t="s">
        <v>410</v>
      </c>
      <c r="S142" s="4" t="s">
        <v>410</v>
      </c>
      <c r="T142" s="4" t="s">
        <v>410</v>
      </c>
      <c r="U142" s="4" t="s">
        <v>410</v>
      </c>
      <c r="V142" s="4">
        <v>290</v>
      </c>
      <c r="W142" s="4">
        <f t="shared" si="53"/>
        <v>290</v>
      </c>
      <c r="X142" s="4">
        <v>135</v>
      </c>
      <c r="Y142" s="4">
        <f t="shared" si="54"/>
        <v>135</v>
      </c>
      <c r="Z142" s="4"/>
      <c r="AA142" s="21">
        <f t="shared" si="55"/>
        <v>222</v>
      </c>
      <c r="AB142" s="6">
        <f t="shared" si="56"/>
        <v>0.39189189189189189</v>
      </c>
      <c r="AC142" s="4">
        <v>0.75</v>
      </c>
      <c r="AD142" s="4">
        <f t="shared" si="57"/>
        <v>258</v>
      </c>
      <c r="AE142" s="4">
        <f t="shared" si="58"/>
        <v>278.64000000000004</v>
      </c>
      <c r="AF142" s="6">
        <f t="shared" si="59"/>
        <v>0.51550387596899228</v>
      </c>
      <c r="AG142" s="7">
        <v>230</v>
      </c>
      <c r="AH142" s="6">
        <f t="shared" si="60"/>
        <v>0.41304347826086951</v>
      </c>
      <c r="AI142" s="4">
        <f t="shared" si="61"/>
        <v>95</v>
      </c>
      <c r="AJ142" s="28"/>
      <c r="AK142" s="6"/>
      <c r="AL142" s="6"/>
      <c r="AM142" s="6">
        <f t="shared" si="62"/>
        <v>1.1599999999999999</v>
      </c>
      <c r="AN142" s="6">
        <f t="shared" si="63"/>
        <v>1.116504854368932</v>
      </c>
      <c r="AO142" s="6">
        <f t="shared" si="64"/>
        <v>1.08</v>
      </c>
      <c r="AP142" s="4" t="str">
        <f t="shared" si="65"/>
        <v>-</v>
      </c>
      <c r="AQ142" s="4" t="str">
        <f t="shared" si="66"/>
        <v>-</v>
      </c>
      <c r="AR142" s="4" t="str">
        <f t="shared" si="67"/>
        <v>-</v>
      </c>
      <c r="AS142" s="4" t="str">
        <f t="shared" si="68"/>
        <v>-</v>
      </c>
      <c r="AT142" s="4" t="str">
        <f t="shared" si="69"/>
        <v>-</v>
      </c>
      <c r="AU142" s="4" t="str">
        <f t="shared" si="70"/>
        <v>-</v>
      </c>
      <c r="AV142" s="4">
        <v>0</v>
      </c>
      <c r="AW142" s="4" t="s">
        <v>700</v>
      </c>
      <c r="AX142" s="4"/>
      <c r="AY142" s="4"/>
      <c r="AZ142" s="4" t="s">
        <v>616</v>
      </c>
      <c r="BA142" s="4">
        <v>258</v>
      </c>
      <c r="BB142" s="4">
        <v>258</v>
      </c>
      <c r="BC142" s="4">
        <f t="shared" si="71"/>
        <v>258</v>
      </c>
      <c r="BD142" s="19">
        <v>4</v>
      </c>
      <c r="BE142" s="19">
        <v>1</v>
      </c>
      <c r="BF142" s="16">
        <v>3</v>
      </c>
      <c r="BG142" s="36">
        <v>46174</v>
      </c>
      <c r="BH142" t="s">
        <v>410</v>
      </c>
      <c r="BI142" t="s">
        <v>410</v>
      </c>
      <c r="BJ142" s="4" t="s">
        <v>506</v>
      </c>
      <c r="BL142" s="44">
        <f t="shared" si="72"/>
        <v>3.6504854368931916E-2</v>
      </c>
      <c r="BM142" t="s">
        <v>792</v>
      </c>
    </row>
    <row r="143" spans="1:65" x14ac:dyDescent="0.4">
      <c r="A143" s="3">
        <v>136</v>
      </c>
      <c r="B143" s="3">
        <f t="shared" si="74"/>
        <v>140</v>
      </c>
      <c r="C143" s="4" t="s">
        <v>146</v>
      </c>
      <c r="D143" s="4" t="str">
        <f t="shared" si="73"/>
        <v>J092LY</v>
      </c>
      <c r="E143" s="4" t="s">
        <v>146</v>
      </c>
      <c r="F143" s="4" t="s">
        <v>307</v>
      </c>
      <c r="G143" s="5">
        <v>4977564485306</v>
      </c>
      <c r="H143" s="5">
        <v>5</v>
      </c>
      <c r="I143" s="5" t="str">
        <f t="shared" si="51"/>
        <v>J092LY5</v>
      </c>
      <c r="J143" s="5">
        <v>1</v>
      </c>
      <c r="K143" s="5">
        <v>1</v>
      </c>
      <c r="L143" s="4">
        <v>250</v>
      </c>
      <c r="M143" s="4">
        <v>206</v>
      </c>
      <c r="N143" s="4">
        <v>125</v>
      </c>
      <c r="O143" s="6">
        <f t="shared" si="52"/>
        <v>0.39320388349514568</v>
      </c>
      <c r="P143" s="4" t="s">
        <v>410</v>
      </c>
      <c r="Q143" s="4" t="s">
        <v>410</v>
      </c>
      <c r="R143" s="4" t="s">
        <v>410</v>
      </c>
      <c r="S143" s="4" t="s">
        <v>410</v>
      </c>
      <c r="T143" s="4" t="s">
        <v>410</v>
      </c>
      <c r="U143" s="4" t="s">
        <v>410</v>
      </c>
      <c r="V143" s="4">
        <v>290</v>
      </c>
      <c r="W143" s="4">
        <f t="shared" si="53"/>
        <v>290</v>
      </c>
      <c r="X143" s="4">
        <v>135</v>
      </c>
      <c r="Y143" s="4">
        <f t="shared" si="54"/>
        <v>135</v>
      </c>
      <c r="Z143" s="4"/>
      <c r="AA143" s="21">
        <f t="shared" si="55"/>
        <v>222</v>
      </c>
      <c r="AB143" s="6">
        <f t="shared" si="56"/>
        <v>0.39189189189189189</v>
      </c>
      <c r="AC143" s="4">
        <v>0.25</v>
      </c>
      <c r="AD143" s="4">
        <f t="shared" si="57"/>
        <v>258</v>
      </c>
      <c r="AE143" s="4">
        <f t="shared" si="58"/>
        <v>278.64000000000004</v>
      </c>
      <c r="AF143" s="6">
        <f t="shared" si="59"/>
        <v>0.51550387596899228</v>
      </c>
      <c r="AG143" s="7">
        <v>230</v>
      </c>
      <c r="AH143" s="6">
        <f t="shared" si="60"/>
        <v>0.41304347826086951</v>
      </c>
      <c r="AI143" s="4">
        <f t="shared" si="61"/>
        <v>95</v>
      </c>
      <c r="AJ143" s="28"/>
      <c r="AK143" s="6"/>
      <c r="AL143" s="6"/>
      <c r="AM143" s="6">
        <f t="shared" si="62"/>
        <v>1.1599999999999999</v>
      </c>
      <c r="AN143" s="6">
        <f t="shared" si="63"/>
        <v>1.116504854368932</v>
      </c>
      <c r="AO143" s="6">
        <f t="shared" si="64"/>
        <v>1.08</v>
      </c>
      <c r="AP143" s="4" t="str">
        <f t="shared" si="65"/>
        <v>-</v>
      </c>
      <c r="AQ143" s="4" t="str">
        <f t="shared" si="66"/>
        <v>-</v>
      </c>
      <c r="AR143" s="4" t="str">
        <f t="shared" si="67"/>
        <v>-</v>
      </c>
      <c r="AS143" s="4" t="str">
        <f t="shared" si="68"/>
        <v>-</v>
      </c>
      <c r="AT143" s="4" t="str">
        <f t="shared" si="69"/>
        <v>-</v>
      </c>
      <c r="AU143" s="4" t="str">
        <f t="shared" si="70"/>
        <v>-</v>
      </c>
      <c r="AV143" s="4">
        <v>0</v>
      </c>
      <c r="AW143" s="4" t="s">
        <v>701</v>
      </c>
      <c r="AX143" s="4"/>
      <c r="AY143" s="4"/>
      <c r="AZ143" s="4" t="s">
        <v>616</v>
      </c>
      <c r="BA143" s="4">
        <v>258</v>
      </c>
      <c r="BB143" s="4">
        <v>258</v>
      </c>
      <c r="BC143" s="4">
        <f t="shared" si="71"/>
        <v>258</v>
      </c>
      <c r="BD143" s="19">
        <v>4</v>
      </c>
      <c r="BE143" s="19">
        <v>1</v>
      </c>
      <c r="BF143" s="16">
        <v>3</v>
      </c>
      <c r="BG143" s="36">
        <v>46174</v>
      </c>
      <c r="BH143" t="s">
        <v>410</v>
      </c>
      <c r="BI143">
        <v>254</v>
      </c>
      <c r="BJ143" s="4" t="s">
        <v>507</v>
      </c>
      <c r="BL143" s="44">
        <f t="shared" si="72"/>
        <v>3.6504854368931916E-2</v>
      </c>
      <c r="BM143" t="s">
        <v>792</v>
      </c>
    </row>
    <row r="144" spans="1:65" x14ac:dyDescent="0.4">
      <c r="A144" s="3">
        <v>137</v>
      </c>
      <c r="B144" s="3">
        <f t="shared" si="74"/>
        <v>141</v>
      </c>
      <c r="C144" s="4" t="s">
        <v>147</v>
      </c>
      <c r="D144" s="4" t="str">
        <f t="shared" si="73"/>
        <v>J093LY</v>
      </c>
      <c r="E144" s="4" t="s">
        <v>147</v>
      </c>
      <c r="F144" s="4" t="s">
        <v>308</v>
      </c>
      <c r="G144" s="5">
        <v>4977564485313</v>
      </c>
      <c r="H144" s="5">
        <v>5</v>
      </c>
      <c r="I144" s="5" t="str">
        <f t="shared" si="51"/>
        <v>J093LY5</v>
      </c>
      <c r="J144" s="5">
        <v>1</v>
      </c>
      <c r="K144" s="5">
        <v>1</v>
      </c>
      <c r="L144" s="4">
        <v>250</v>
      </c>
      <c r="M144" s="4">
        <v>165</v>
      </c>
      <c r="N144" s="4">
        <v>125</v>
      </c>
      <c r="O144" s="6">
        <f t="shared" si="52"/>
        <v>0.24242424242424243</v>
      </c>
      <c r="P144" s="4" t="s">
        <v>410</v>
      </c>
      <c r="Q144" s="4" t="s">
        <v>410</v>
      </c>
      <c r="R144" s="4" t="s">
        <v>410</v>
      </c>
      <c r="S144" s="4" t="s">
        <v>410</v>
      </c>
      <c r="T144" s="4" t="s">
        <v>410</v>
      </c>
      <c r="U144" s="4" t="s">
        <v>410</v>
      </c>
      <c r="V144" s="4">
        <v>290</v>
      </c>
      <c r="W144" s="4">
        <f t="shared" si="53"/>
        <v>290</v>
      </c>
      <c r="X144" s="4">
        <v>135</v>
      </c>
      <c r="Y144" s="4">
        <f t="shared" si="54"/>
        <v>135</v>
      </c>
      <c r="Z144" s="4"/>
      <c r="AA144" s="21">
        <f t="shared" si="55"/>
        <v>178</v>
      </c>
      <c r="AB144" s="6">
        <f t="shared" si="56"/>
        <v>0.2415730337078652</v>
      </c>
      <c r="AC144" s="4">
        <v>4</v>
      </c>
      <c r="AD144" s="4">
        <f t="shared" si="57"/>
        <v>258</v>
      </c>
      <c r="AE144" s="4">
        <f t="shared" si="58"/>
        <v>278.64000000000004</v>
      </c>
      <c r="AF144" s="6">
        <f t="shared" si="59"/>
        <v>0.51550387596899228</v>
      </c>
      <c r="AG144" s="7">
        <v>230</v>
      </c>
      <c r="AH144" s="6">
        <f t="shared" si="60"/>
        <v>0.41304347826086951</v>
      </c>
      <c r="AI144" s="4">
        <f t="shared" si="61"/>
        <v>95</v>
      </c>
      <c r="AJ144" s="28"/>
      <c r="AK144" s="6"/>
      <c r="AL144" s="6"/>
      <c r="AM144" s="6">
        <f t="shared" si="62"/>
        <v>1.1599999999999999</v>
      </c>
      <c r="AN144" s="6">
        <f t="shared" si="63"/>
        <v>1.393939393939394</v>
      </c>
      <c r="AO144" s="6">
        <f t="shared" si="64"/>
        <v>1.08</v>
      </c>
      <c r="AP144" s="4" t="str">
        <f t="shared" si="65"/>
        <v>-</v>
      </c>
      <c r="AQ144" s="4" t="str">
        <f t="shared" si="66"/>
        <v>-</v>
      </c>
      <c r="AR144" s="4" t="str">
        <f t="shared" si="67"/>
        <v>-</v>
      </c>
      <c r="AS144" s="4" t="str">
        <f t="shared" si="68"/>
        <v>-</v>
      </c>
      <c r="AT144" s="4" t="str">
        <f t="shared" si="69"/>
        <v>-</v>
      </c>
      <c r="AU144" s="4" t="str">
        <f t="shared" si="70"/>
        <v>-</v>
      </c>
      <c r="AV144" s="4">
        <v>0</v>
      </c>
      <c r="AW144" s="4" t="s">
        <v>702</v>
      </c>
      <c r="AX144" s="4"/>
      <c r="AY144" s="4"/>
      <c r="AZ144" s="4" t="s">
        <v>616</v>
      </c>
      <c r="BA144" s="4">
        <v>258</v>
      </c>
      <c r="BB144" s="4">
        <v>258</v>
      </c>
      <c r="BC144" s="4">
        <f t="shared" si="71"/>
        <v>258</v>
      </c>
      <c r="BD144" s="19">
        <v>4</v>
      </c>
      <c r="BE144" s="19">
        <v>1</v>
      </c>
      <c r="BF144" s="16">
        <v>3</v>
      </c>
      <c r="BG144" s="36">
        <v>46174</v>
      </c>
      <c r="BH144" t="s">
        <v>410</v>
      </c>
      <c r="BI144">
        <v>254</v>
      </c>
      <c r="BJ144" s="4" t="s">
        <v>508</v>
      </c>
      <c r="BL144" s="44">
        <f t="shared" si="72"/>
        <v>0.31393939393939396</v>
      </c>
      <c r="BM144" t="s">
        <v>792</v>
      </c>
    </row>
    <row r="145" spans="1:65" x14ac:dyDescent="0.4">
      <c r="A145" s="3">
        <v>138</v>
      </c>
      <c r="B145" s="3">
        <f t="shared" si="74"/>
        <v>142</v>
      </c>
      <c r="C145" s="4" t="s">
        <v>148</v>
      </c>
      <c r="D145" s="4" t="str">
        <f t="shared" si="73"/>
        <v>J094LY</v>
      </c>
      <c r="E145" s="4" t="s">
        <v>148</v>
      </c>
      <c r="F145" s="4" t="s">
        <v>309</v>
      </c>
      <c r="G145" s="5">
        <v>4977564485788</v>
      </c>
      <c r="H145" s="5">
        <v>5</v>
      </c>
      <c r="I145" s="5" t="str">
        <f t="shared" si="51"/>
        <v>J094LY5</v>
      </c>
      <c r="J145" s="5">
        <v>1</v>
      </c>
      <c r="K145" s="5">
        <v>1</v>
      </c>
      <c r="L145" s="4">
        <v>250</v>
      </c>
      <c r="M145" s="4">
        <v>206</v>
      </c>
      <c r="N145" s="4">
        <v>125</v>
      </c>
      <c r="O145" s="6">
        <f t="shared" si="52"/>
        <v>0.39320388349514568</v>
      </c>
      <c r="P145" s="4" t="s">
        <v>410</v>
      </c>
      <c r="Q145" s="4" t="s">
        <v>410</v>
      </c>
      <c r="R145" s="4" t="s">
        <v>410</v>
      </c>
      <c r="S145" s="4" t="s">
        <v>410</v>
      </c>
      <c r="T145" s="4" t="s">
        <v>410</v>
      </c>
      <c r="U145" s="4" t="s">
        <v>410</v>
      </c>
      <c r="V145" s="4">
        <v>290</v>
      </c>
      <c r="W145" s="4">
        <f t="shared" si="53"/>
        <v>290</v>
      </c>
      <c r="X145" s="4">
        <v>135</v>
      </c>
      <c r="Y145" s="4">
        <f t="shared" si="54"/>
        <v>135</v>
      </c>
      <c r="Z145" s="4"/>
      <c r="AA145" s="21">
        <f t="shared" si="55"/>
        <v>222</v>
      </c>
      <c r="AB145" s="6">
        <f t="shared" si="56"/>
        <v>0.39189189189189189</v>
      </c>
      <c r="AC145" s="4">
        <v>1.7500000000000002</v>
      </c>
      <c r="AD145" s="4">
        <f t="shared" si="57"/>
        <v>217</v>
      </c>
      <c r="AE145" s="4">
        <f t="shared" si="58"/>
        <v>234.36</v>
      </c>
      <c r="AF145" s="6">
        <f t="shared" si="59"/>
        <v>0.42396313364055305</v>
      </c>
      <c r="AG145" s="7">
        <v>230</v>
      </c>
      <c r="AH145" s="6">
        <f t="shared" si="60"/>
        <v>0.41304347826086951</v>
      </c>
      <c r="AI145" s="4">
        <f t="shared" si="61"/>
        <v>95</v>
      </c>
      <c r="AJ145" s="28"/>
      <c r="AK145" s="6"/>
      <c r="AL145" s="6"/>
      <c r="AM145" s="6">
        <f t="shared" si="62"/>
        <v>1.1599999999999999</v>
      </c>
      <c r="AN145" s="6">
        <f t="shared" si="63"/>
        <v>1.116504854368932</v>
      </c>
      <c r="AO145" s="6">
        <f t="shared" si="64"/>
        <v>1.08</v>
      </c>
      <c r="AP145" s="4" t="str">
        <f t="shared" si="65"/>
        <v>-</v>
      </c>
      <c r="AQ145" s="4" t="str">
        <f t="shared" si="66"/>
        <v>-</v>
      </c>
      <c r="AR145" s="4" t="str">
        <f t="shared" si="67"/>
        <v>-</v>
      </c>
      <c r="AS145" s="4" t="str">
        <f t="shared" si="68"/>
        <v>-</v>
      </c>
      <c r="AT145" s="4" t="str">
        <f t="shared" si="69"/>
        <v>-</v>
      </c>
      <c r="AU145" s="4" t="str">
        <f t="shared" si="70"/>
        <v>-</v>
      </c>
      <c r="AV145" s="4">
        <v>0</v>
      </c>
      <c r="AW145" s="4" t="s">
        <v>703</v>
      </c>
      <c r="AX145" s="4"/>
      <c r="AY145" s="4"/>
      <c r="AZ145" s="4" t="s">
        <v>616</v>
      </c>
      <c r="BA145" s="4">
        <v>217</v>
      </c>
      <c r="BB145" s="4">
        <v>217</v>
      </c>
      <c r="BC145" s="4">
        <f t="shared" si="71"/>
        <v>217</v>
      </c>
      <c r="BD145" s="19">
        <v>4</v>
      </c>
      <c r="BE145" s="19">
        <v>1</v>
      </c>
      <c r="BF145" s="16">
        <v>3</v>
      </c>
      <c r="BG145" s="36">
        <v>46174</v>
      </c>
      <c r="BH145" t="s">
        <v>410</v>
      </c>
      <c r="BI145" t="s">
        <v>410</v>
      </c>
      <c r="BJ145" s="4" t="s">
        <v>509</v>
      </c>
      <c r="BL145" s="44">
        <f t="shared" si="72"/>
        <v>3.6504854368931916E-2</v>
      </c>
      <c r="BM145" t="s">
        <v>792</v>
      </c>
    </row>
    <row r="146" spans="1:65" x14ac:dyDescent="0.4">
      <c r="A146" s="3">
        <v>139</v>
      </c>
      <c r="B146" s="3">
        <f t="shared" si="74"/>
        <v>143</v>
      </c>
      <c r="C146" s="33">
        <v>640599</v>
      </c>
      <c r="D146" s="4" t="str">
        <f t="shared" si="73"/>
        <v>640599</v>
      </c>
      <c r="E146" s="4">
        <v>640599</v>
      </c>
      <c r="F146" s="4" t="s">
        <v>310</v>
      </c>
      <c r="G146" s="5">
        <v>4977564485191</v>
      </c>
      <c r="H146" s="5">
        <v>5</v>
      </c>
      <c r="I146" s="5" t="str">
        <f t="shared" si="51"/>
        <v>6405995</v>
      </c>
      <c r="J146" s="5">
        <v>2</v>
      </c>
      <c r="K146" s="5">
        <v>2</v>
      </c>
      <c r="L146" s="4">
        <v>330</v>
      </c>
      <c r="M146" s="4">
        <v>211</v>
      </c>
      <c r="N146" s="4">
        <v>141</v>
      </c>
      <c r="O146" s="6">
        <f t="shared" si="52"/>
        <v>0.33175355450236965</v>
      </c>
      <c r="P146" s="4" t="s">
        <v>410</v>
      </c>
      <c r="Q146" s="4" t="s">
        <v>410</v>
      </c>
      <c r="R146" s="4" t="s">
        <v>410</v>
      </c>
      <c r="S146" s="4" t="s">
        <v>410</v>
      </c>
      <c r="T146" s="4" t="s">
        <v>410</v>
      </c>
      <c r="U146" s="4" t="s">
        <v>410</v>
      </c>
      <c r="V146" s="4">
        <v>350</v>
      </c>
      <c r="W146" s="4">
        <f t="shared" si="53"/>
        <v>350</v>
      </c>
      <c r="X146" s="4">
        <v>150</v>
      </c>
      <c r="Y146" s="4">
        <f t="shared" si="54"/>
        <v>150</v>
      </c>
      <c r="Z146" s="4"/>
      <c r="AA146" s="21">
        <f t="shared" si="55"/>
        <v>224</v>
      </c>
      <c r="AB146" s="6">
        <f t="shared" si="56"/>
        <v>0.3303571428571429</v>
      </c>
      <c r="AC146" s="4">
        <v>5.25</v>
      </c>
      <c r="AD146" s="4">
        <f t="shared" si="57"/>
        <v>149</v>
      </c>
      <c r="AE146" s="4">
        <f t="shared" si="58"/>
        <v>158.51063829787233</v>
      </c>
      <c r="AF146" s="6">
        <f t="shared" si="59"/>
        <v>5.3691275167785157E-2</v>
      </c>
      <c r="AG146" s="7">
        <v>212</v>
      </c>
      <c r="AH146" s="6">
        <f t="shared" si="60"/>
        <v>0.29245283018867929</v>
      </c>
      <c r="AI146" s="4">
        <f t="shared" si="61"/>
        <v>62</v>
      </c>
      <c r="AJ146" s="28"/>
      <c r="AK146" s="6"/>
      <c r="AL146" s="6"/>
      <c r="AM146" s="6">
        <f t="shared" si="62"/>
        <v>1.0606060606060606</v>
      </c>
      <c r="AN146" s="6">
        <f t="shared" si="63"/>
        <v>1.0047393364928909</v>
      </c>
      <c r="AO146" s="6">
        <f t="shared" si="64"/>
        <v>1.0638297872340425</v>
      </c>
      <c r="AP146" s="4" t="str">
        <f t="shared" si="65"/>
        <v>-</v>
      </c>
      <c r="AQ146" s="4" t="str">
        <f t="shared" si="66"/>
        <v>-</v>
      </c>
      <c r="AR146" s="4" t="str">
        <f t="shared" si="67"/>
        <v>-</v>
      </c>
      <c r="AS146" s="4" t="str">
        <f t="shared" si="68"/>
        <v>-</v>
      </c>
      <c r="AT146" s="4" t="str">
        <f t="shared" si="69"/>
        <v>-</v>
      </c>
      <c r="AU146" s="4" t="str">
        <f t="shared" si="70"/>
        <v>-</v>
      </c>
      <c r="AV146" s="4" t="s">
        <v>189</v>
      </c>
      <c r="AW146" s="4" t="s">
        <v>704</v>
      </c>
      <c r="AX146" s="4"/>
      <c r="AY146" s="4"/>
      <c r="AZ146" s="4" t="s">
        <v>654</v>
      </c>
      <c r="BA146" s="4">
        <v>149</v>
      </c>
      <c r="BB146" s="4">
        <v>149</v>
      </c>
      <c r="BC146" s="4">
        <f t="shared" si="71"/>
        <v>149</v>
      </c>
      <c r="BD146" s="19">
        <v>4</v>
      </c>
      <c r="BE146" s="19">
        <v>1</v>
      </c>
      <c r="BF146" s="16">
        <v>3</v>
      </c>
      <c r="BG146" s="36">
        <v>46174</v>
      </c>
      <c r="BH146">
        <v>169</v>
      </c>
      <c r="BI146">
        <v>186</v>
      </c>
      <c r="BJ146" s="4" t="s">
        <v>510</v>
      </c>
      <c r="BL146" s="44">
        <f t="shared" si="72"/>
        <v>-5.9090450741151601E-2</v>
      </c>
      <c r="BM146" t="s">
        <v>792</v>
      </c>
    </row>
    <row r="147" spans="1:65" x14ac:dyDescent="0.4">
      <c r="A147" s="3">
        <v>234</v>
      </c>
      <c r="B147" s="3">
        <f t="shared" si="74"/>
        <v>144</v>
      </c>
      <c r="C147" s="33">
        <v>640599</v>
      </c>
      <c r="D147" s="4" t="s">
        <v>149</v>
      </c>
      <c r="E147" s="4">
        <v>640600</v>
      </c>
      <c r="F147" s="4" t="s">
        <v>395</v>
      </c>
      <c r="G147" s="5">
        <v>4977564485191</v>
      </c>
      <c r="H147" s="5">
        <v>8</v>
      </c>
      <c r="I147" s="5" t="str">
        <f t="shared" si="51"/>
        <v>6405998</v>
      </c>
      <c r="J147" s="5"/>
      <c r="K147" s="5"/>
      <c r="L147" s="4">
        <v>3300</v>
      </c>
      <c r="M147" s="4">
        <v>1936</v>
      </c>
      <c r="N147" s="4">
        <v>1410</v>
      </c>
      <c r="O147" s="6">
        <f t="shared" si="52"/>
        <v>0.27169421487603307</v>
      </c>
      <c r="P147" s="4" t="s">
        <v>410</v>
      </c>
      <c r="Q147" s="4" t="s">
        <v>410</v>
      </c>
      <c r="R147" s="4" t="s">
        <v>410</v>
      </c>
      <c r="S147" s="4" t="s">
        <v>410</v>
      </c>
      <c r="T147" s="4" t="s">
        <v>410</v>
      </c>
      <c r="U147" s="4" t="s">
        <v>410</v>
      </c>
      <c r="V147" s="4">
        <v>350</v>
      </c>
      <c r="W147" s="4">
        <f t="shared" si="53"/>
        <v>3500</v>
      </c>
      <c r="X147" s="4">
        <v>150</v>
      </c>
      <c r="Y147" s="4">
        <f t="shared" si="54"/>
        <v>1500</v>
      </c>
      <c r="Z147" s="4">
        <v>10</v>
      </c>
      <c r="AA147" s="21">
        <f t="shared" si="55"/>
        <v>2060</v>
      </c>
      <c r="AB147" s="6">
        <f t="shared" si="56"/>
        <v>0.27184466019417475</v>
      </c>
      <c r="AC147" s="4">
        <v>5.25</v>
      </c>
      <c r="AD147" s="4">
        <f t="shared" si="57"/>
        <v>149</v>
      </c>
      <c r="AE147" s="4">
        <f t="shared" si="58"/>
        <v>158.51063829787233</v>
      </c>
      <c r="AF147" s="6">
        <f t="shared" si="59"/>
        <v>-8.4630872483221484</v>
      </c>
      <c r="AG147" s="7">
        <v>2010</v>
      </c>
      <c r="AH147" s="6">
        <f t="shared" si="60"/>
        <v>0.25373134328358204</v>
      </c>
      <c r="AI147" s="4">
        <f t="shared" si="61"/>
        <v>510</v>
      </c>
      <c r="AJ147" s="28"/>
      <c r="AK147" s="6"/>
      <c r="AL147" s="6"/>
      <c r="AM147" s="6">
        <f t="shared" si="62"/>
        <v>1.0606060606060606</v>
      </c>
      <c r="AN147" s="6">
        <f t="shared" si="63"/>
        <v>1.0382231404958677</v>
      </c>
      <c r="AO147" s="6">
        <f t="shared" si="64"/>
        <v>1.0638297872340425</v>
      </c>
      <c r="AP147" s="4" t="str">
        <f t="shared" si="65"/>
        <v>-</v>
      </c>
      <c r="AQ147" s="4" t="str">
        <f t="shared" si="66"/>
        <v>-</v>
      </c>
      <c r="AR147" s="4" t="str">
        <f t="shared" si="67"/>
        <v>-</v>
      </c>
      <c r="AS147" s="4" t="str">
        <f t="shared" si="68"/>
        <v>-</v>
      </c>
      <c r="AT147" s="4" t="str">
        <f t="shared" si="69"/>
        <v>-</v>
      </c>
      <c r="AU147" s="4" t="str">
        <f t="shared" si="70"/>
        <v>-</v>
      </c>
      <c r="AV147" s="4" t="s">
        <v>189</v>
      </c>
      <c r="AW147" s="4" t="s">
        <v>704</v>
      </c>
      <c r="AX147" s="4"/>
      <c r="AY147" s="4"/>
      <c r="AZ147" s="4" t="s">
        <v>654</v>
      </c>
      <c r="BA147" s="4">
        <v>149</v>
      </c>
      <c r="BB147" s="4">
        <v>149</v>
      </c>
      <c r="BC147" s="4">
        <f t="shared" si="71"/>
        <v>149</v>
      </c>
      <c r="BD147" s="19">
        <v>4</v>
      </c>
      <c r="BE147" s="19">
        <v>1</v>
      </c>
      <c r="BF147" s="16">
        <v>3</v>
      </c>
      <c r="BG147" s="36">
        <v>46174</v>
      </c>
      <c r="BH147">
        <v>169</v>
      </c>
      <c r="BI147">
        <v>186</v>
      </c>
      <c r="BJ147" s="4" t="s">
        <v>510</v>
      </c>
      <c r="BK147">
        <v>2</v>
      </c>
      <c r="BL147" s="44">
        <f t="shared" si="72"/>
        <v>-2.560664673817481E-2</v>
      </c>
      <c r="BM147" t="s">
        <v>792</v>
      </c>
    </row>
    <row r="148" spans="1:65" x14ac:dyDescent="0.4">
      <c r="A148" s="3">
        <v>140</v>
      </c>
      <c r="B148" s="3">
        <f t="shared" si="74"/>
        <v>145</v>
      </c>
      <c r="C148" s="33">
        <v>640601</v>
      </c>
      <c r="D148" s="4" t="str">
        <f>TEXT(C148,"000000")</f>
        <v>640601</v>
      </c>
      <c r="E148" s="4">
        <v>640601</v>
      </c>
      <c r="F148" s="4" t="s">
        <v>311</v>
      </c>
      <c r="G148" s="5">
        <v>4977564485207</v>
      </c>
      <c r="H148" s="5">
        <v>5</v>
      </c>
      <c r="I148" s="5" t="str">
        <f t="shared" si="51"/>
        <v>6406015</v>
      </c>
      <c r="J148" s="5">
        <v>2</v>
      </c>
      <c r="K148" s="5">
        <v>2</v>
      </c>
      <c r="L148" s="4">
        <v>330</v>
      </c>
      <c r="M148" s="4">
        <v>211</v>
      </c>
      <c r="N148" s="4">
        <v>141</v>
      </c>
      <c r="O148" s="6">
        <f t="shared" si="52"/>
        <v>0.33175355450236965</v>
      </c>
      <c r="P148" s="4" t="s">
        <v>410</v>
      </c>
      <c r="Q148" s="4" t="s">
        <v>410</v>
      </c>
      <c r="R148" s="4" t="s">
        <v>410</v>
      </c>
      <c r="S148" s="4" t="s">
        <v>410</v>
      </c>
      <c r="T148" s="4" t="s">
        <v>410</v>
      </c>
      <c r="U148" s="4" t="s">
        <v>410</v>
      </c>
      <c r="V148" s="4">
        <v>350</v>
      </c>
      <c r="W148" s="4">
        <f t="shared" si="53"/>
        <v>350</v>
      </c>
      <c r="X148" s="4">
        <v>150</v>
      </c>
      <c r="Y148" s="4">
        <f t="shared" si="54"/>
        <v>150</v>
      </c>
      <c r="Z148" s="4"/>
      <c r="AA148" s="21">
        <f t="shared" si="55"/>
        <v>224</v>
      </c>
      <c r="AB148" s="6">
        <f t="shared" si="56"/>
        <v>0.3303571428571429</v>
      </c>
      <c r="AC148" s="4">
        <v>3.5000000000000004</v>
      </c>
      <c r="AD148" s="4">
        <f t="shared" si="57"/>
        <v>149</v>
      </c>
      <c r="AE148" s="4">
        <f t="shared" si="58"/>
        <v>158.51063829787233</v>
      </c>
      <c r="AF148" s="6">
        <f t="shared" si="59"/>
        <v>5.3691275167785157E-2</v>
      </c>
      <c r="AG148" s="7">
        <v>212</v>
      </c>
      <c r="AH148" s="6">
        <f t="shared" si="60"/>
        <v>0.29245283018867929</v>
      </c>
      <c r="AI148" s="4">
        <f t="shared" si="61"/>
        <v>62</v>
      </c>
      <c r="AJ148" s="28"/>
      <c r="AK148" s="6"/>
      <c r="AL148" s="6"/>
      <c r="AM148" s="6">
        <f t="shared" si="62"/>
        <v>1.0606060606060606</v>
      </c>
      <c r="AN148" s="6">
        <f t="shared" si="63"/>
        <v>1.0047393364928909</v>
      </c>
      <c r="AO148" s="6">
        <f t="shared" si="64"/>
        <v>1.0638297872340425</v>
      </c>
      <c r="AP148" s="4" t="str">
        <f t="shared" si="65"/>
        <v>-</v>
      </c>
      <c r="AQ148" s="4" t="str">
        <f t="shared" si="66"/>
        <v>-</v>
      </c>
      <c r="AR148" s="4" t="str">
        <f t="shared" si="67"/>
        <v>-</v>
      </c>
      <c r="AS148" s="4" t="str">
        <f t="shared" si="68"/>
        <v>-</v>
      </c>
      <c r="AT148" s="4" t="str">
        <f t="shared" si="69"/>
        <v>-</v>
      </c>
      <c r="AU148" s="4" t="str">
        <f t="shared" si="70"/>
        <v>-</v>
      </c>
      <c r="AV148" s="4" t="s">
        <v>189</v>
      </c>
      <c r="AW148" s="4" t="s">
        <v>705</v>
      </c>
      <c r="AX148" s="4"/>
      <c r="AY148" s="4"/>
      <c r="AZ148" s="4" t="s">
        <v>654</v>
      </c>
      <c r="BA148" s="4">
        <v>149</v>
      </c>
      <c r="BB148" s="4">
        <v>149</v>
      </c>
      <c r="BC148" s="4">
        <f t="shared" si="71"/>
        <v>149</v>
      </c>
      <c r="BD148" s="19">
        <v>4</v>
      </c>
      <c r="BE148" s="19">
        <v>1</v>
      </c>
      <c r="BF148" s="16">
        <v>3</v>
      </c>
      <c r="BG148" s="36">
        <v>46174</v>
      </c>
      <c r="BH148" t="s">
        <v>410</v>
      </c>
      <c r="BI148">
        <v>186</v>
      </c>
      <c r="BJ148" s="4" t="s">
        <v>511</v>
      </c>
      <c r="BL148" s="44">
        <f t="shared" si="72"/>
        <v>-5.9090450741151601E-2</v>
      </c>
      <c r="BM148" t="s">
        <v>792</v>
      </c>
    </row>
    <row r="149" spans="1:65" x14ac:dyDescent="0.4">
      <c r="A149" s="3">
        <v>235</v>
      </c>
      <c r="B149" s="3">
        <f t="shared" si="74"/>
        <v>146</v>
      </c>
      <c r="C149" s="33">
        <v>640601</v>
      </c>
      <c r="D149" s="4" t="s">
        <v>150</v>
      </c>
      <c r="E149" s="4">
        <v>640603</v>
      </c>
      <c r="F149" s="4" t="s">
        <v>396</v>
      </c>
      <c r="G149" s="5">
        <v>4977564485207</v>
      </c>
      <c r="H149" s="5">
        <v>8</v>
      </c>
      <c r="I149" s="5" t="str">
        <f t="shared" si="51"/>
        <v>6406018</v>
      </c>
      <c r="J149" s="5"/>
      <c r="K149" s="5"/>
      <c r="L149" s="4">
        <v>3300</v>
      </c>
      <c r="M149" s="4">
        <v>1936</v>
      </c>
      <c r="N149" s="4">
        <v>1410</v>
      </c>
      <c r="O149" s="6">
        <f t="shared" si="52"/>
        <v>0.27169421487603307</v>
      </c>
      <c r="P149" s="4" t="s">
        <v>410</v>
      </c>
      <c r="Q149" s="4" t="s">
        <v>410</v>
      </c>
      <c r="R149" s="4" t="s">
        <v>410</v>
      </c>
      <c r="S149" s="4" t="s">
        <v>410</v>
      </c>
      <c r="T149" s="4" t="s">
        <v>410</v>
      </c>
      <c r="U149" s="4" t="s">
        <v>410</v>
      </c>
      <c r="V149" s="4">
        <v>350</v>
      </c>
      <c r="W149" s="4">
        <f t="shared" si="53"/>
        <v>3500</v>
      </c>
      <c r="X149" s="4">
        <v>150</v>
      </c>
      <c r="Y149" s="4">
        <f t="shared" si="54"/>
        <v>1500</v>
      </c>
      <c r="Z149" s="4">
        <v>10</v>
      </c>
      <c r="AA149" s="21">
        <f t="shared" si="55"/>
        <v>2060</v>
      </c>
      <c r="AB149" s="6">
        <f t="shared" si="56"/>
        <v>0.27184466019417475</v>
      </c>
      <c r="AC149" s="4">
        <v>3.5000000000000004</v>
      </c>
      <c r="AD149" s="4">
        <f t="shared" si="57"/>
        <v>149</v>
      </c>
      <c r="AE149" s="4">
        <f t="shared" si="58"/>
        <v>158.51063829787233</v>
      </c>
      <c r="AF149" s="6">
        <f t="shared" si="59"/>
        <v>-8.4630872483221484</v>
      </c>
      <c r="AG149" s="7">
        <v>2010</v>
      </c>
      <c r="AH149" s="6">
        <f t="shared" si="60"/>
        <v>0.25373134328358204</v>
      </c>
      <c r="AI149" s="4">
        <f t="shared" si="61"/>
        <v>510</v>
      </c>
      <c r="AJ149" s="28"/>
      <c r="AK149" s="6"/>
      <c r="AL149" s="6"/>
      <c r="AM149" s="6">
        <f t="shared" si="62"/>
        <v>1.0606060606060606</v>
      </c>
      <c r="AN149" s="6">
        <f t="shared" si="63"/>
        <v>1.0382231404958677</v>
      </c>
      <c r="AO149" s="6">
        <f t="shared" si="64"/>
        <v>1.0638297872340425</v>
      </c>
      <c r="AP149" s="4" t="str">
        <f t="shared" si="65"/>
        <v>-</v>
      </c>
      <c r="AQ149" s="4" t="str">
        <f t="shared" si="66"/>
        <v>-</v>
      </c>
      <c r="AR149" s="4" t="str">
        <f t="shared" si="67"/>
        <v>-</v>
      </c>
      <c r="AS149" s="4" t="str">
        <f t="shared" si="68"/>
        <v>-</v>
      </c>
      <c r="AT149" s="4" t="str">
        <f t="shared" si="69"/>
        <v>-</v>
      </c>
      <c r="AU149" s="4" t="str">
        <f t="shared" si="70"/>
        <v>-</v>
      </c>
      <c r="AV149" s="4" t="s">
        <v>189</v>
      </c>
      <c r="AW149" s="4" t="s">
        <v>705</v>
      </c>
      <c r="AX149" s="4"/>
      <c r="AY149" s="4"/>
      <c r="AZ149" s="4" t="s">
        <v>654</v>
      </c>
      <c r="BA149" s="4">
        <v>149</v>
      </c>
      <c r="BB149" s="4">
        <v>149</v>
      </c>
      <c r="BC149" s="4">
        <f t="shared" si="71"/>
        <v>149</v>
      </c>
      <c r="BD149" s="19">
        <v>4</v>
      </c>
      <c r="BE149" s="19">
        <v>1</v>
      </c>
      <c r="BF149" s="16">
        <v>3</v>
      </c>
      <c r="BG149" s="36">
        <v>46174</v>
      </c>
      <c r="BH149" t="s">
        <v>410</v>
      </c>
      <c r="BI149">
        <v>186</v>
      </c>
      <c r="BJ149" s="4" t="s">
        <v>511</v>
      </c>
      <c r="BK149">
        <v>2</v>
      </c>
      <c r="BL149" s="44">
        <f t="shared" si="72"/>
        <v>-2.560664673817481E-2</v>
      </c>
      <c r="BM149" t="s">
        <v>792</v>
      </c>
    </row>
    <row r="150" spans="1:65" x14ac:dyDescent="0.4">
      <c r="A150" s="3">
        <v>141</v>
      </c>
      <c r="B150" s="3">
        <f t="shared" si="74"/>
        <v>147</v>
      </c>
      <c r="C150" s="33">
        <v>640597</v>
      </c>
      <c r="D150" s="4" t="str">
        <f>TEXT(C150,"000000")</f>
        <v>640597</v>
      </c>
      <c r="E150" s="4">
        <v>640597</v>
      </c>
      <c r="F150" s="4" t="s">
        <v>312</v>
      </c>
      <c r="G150" s="5">
        <v>4977564485214</v>
      </c>
      <c r="H150" s="5">
        <v>5</v>
      </c>
      <c r="I150" s="5" t="str">
        <f t="shared" si="51"/>
        <v>6405975</v>
      </c>
      <c r="J150" s="5">
        <v>2</v>
      </c>
      <c r="K150" s="5">
        <v>2</v>
      </c>
      <c r="L150" s="4">
        <v>330</v>
      </c>
      <c r="M150" s="4">
        <v>211</v>
      </c>
      <c r="N150" s="4">
        <v>141</v>
      </c>
      <c r="O150" s="6">
        <f t="shared" si="52"/>
        <v>0.33175355450236965</v>
      </c>
      <c r="P150" s="4" t="s">
        <v>410</v>
      </c>
      <c r="Q150" s="4" t="s">
        <v>410</v>
      </c>
      <c r="R150" s="4" t="s">
        <v>410</v>
      </c>
      <c r="S150" s="4" t="s">
        <v>410</v>
      </c>
      <c r="T150" s="4" t="s">
        <v>410</v>
      </c>
      <c r="U150" s="4" t="s">
        <v>410</v>
      </c>
      <c r="V150" s="4">
        <v>350</v>
      </c>
      <c r="W150" s="4">
        <f t="shared" si="53"/>
        <v>350</v>
      </c>
      <c r="X150" s="4">
        <v>150</v>
      </c>
      <c r="Y150" s="4">
        <f t="shared" si="54"/>
        <v>150</v>
      </c>
      <c r="Z150" s="4"/>
      <c r="AA150" s="21">
        <f t="shared" si="55"/>
        <v>224</v>
      </c>
      <c r="AB150" s="6">
        <f t="shared" si="56"/>
        <v>0.3303571428571429</v>
      </c>
      <c r="AC150" s="4">
        <v>1</v>
      </c>
      <c r="AD150" s="4">
        <f t="shared" si="57"/>
        <v>149</v>
      </c>
      <c r="AE150" s="4">
        <f t="shared" si="58"/>
        <v>158.51063829787233</v>
      </c>
      <c r="AF150" s="6">
        <f t="shared" si="59"/>
        <v>5.3691275167785157E-2</v>
      </c>
      <c r="AG150" s="7">
        <v>212</v>
      </c>
      <c r="AH150" s="6">
        <f t="shared" si="60"/>
        <v>0.29245283018867929</v>
      </c>
      <c r="AI150" s="4">
        <f t="shared" si="61"/>
        <v>62</v>
      </c>
      <c r="AJ150" s="28"/>
      <c r="AK150" s="6"/>
      <c r="AL150" s="6"/>
      <c r="AM150" s="6">
        <f t="shared" si="62"/>
        <v>1.0606060606060606</v>
      </c>
      <c r="AN150" s="6">
        <f t="shared" si="63"/>
        <v>1.0047393364928909</v>
      </c>
      <c r="AO150" s="6">
        <f t="shared" si="64"/>
        <v>1.0638297872340425</v>
      </c>
      <c r="AP150" s="4" t="str">
        <f t="shared" si="65"/>
        <v>-</v>
      </c>
      <c r="AQ150" s="4" t="str">
        <f t="shared" si="66"/>
        <v>-</v>
      </c>
      <c r="AR150" s="4" t="str">
        <f t="shared" si="67"/>
        <v>-</v>
      </c>
      <c r="AS150" s="4" t="str">
        <f t="shared" si="68"/>
        <v>-</v>
      </c>
      <c r="AT150" s="4" t="str">
        <f t="shared" si="69"/>
        <v>-</v>
      </c>
      <c r="AU150" s="4" t="str">
        <f t="shared" si="70"/>
        <v>-</v>
      </c>
      <c r="AV150" s="4" t="s">
        <v>189</v>
      </c>
      <c r="AW150" s="4" t="s">
        <v>706</v>
      </c>
      <c r="AX150" s="4"/>
      <c r="AY150" s="4"/>
      <c r="AZ150" s="4" t="s">
        <v>654</v>
      </c>
      <c r="BA150" s="4">
        <v>149</v>
      </c>
      <c r="BB150" s="4">
        <v>149</v>
      </c>
      <c r="BC150" s="4">
        <f t="shared" si="71"/>
        <v>149</v>
      </c>
      <c r="BD150" s="19">
        <v>4</v>
      </c>
      <c r="BE150" s="19">
        <v>1</v>
      </c>
      <c r="BF150" s="16">
        <v>3</v>
      </c>
      <c r="BG150" s="36">
        <v>46174</v>
      </c>
      <c r="BH150">
        <v>169</v>
      </c>
      <c r="BI150">
        <v>309</v>
      </c>
      <c r="BJ150" s="4" t="s">
        <v>512</v>
      </c>
      <c r="BL150" s="44">
        <f t="shared" si="72"/>
        <v>-5.9090450741151601E-2</v>
      </c>
      <c r="BM150" t="s">
        <v>792</v>
      </c>
    </row>
    <row r="151" spans="1:65" x14ac:dyDescent="0.4">
      <c r="A151" s="3">
        <v>236</v>
      </c>
      <c r="B151" s="3">
        <f t="shared" si="74"/>
        <v>148</v>
      </c>
      <c r="C151" s="33">
        <v>640597</v>
      </c>
      <c r="D151" s="4" t="s">
        <v>151</v>
      </c>
      <c r="E151" s="4">
        <v>640598</v>
      </c>
      <c r="F151" s="4" t="s">
        <v>397</v>
      </c>
      <c r="G151" s="5">
        <v>4977564485214</v>
      </c>
      <c r="H151" s="5">
        <v>8</v>
      </c>
      <c r="I151" s="5" t="str">
        <f t="shared" si="51"/>
        <v>6405978</v>
      </c>
      <c r="J151" s="5"/>
      <c r="K151" s="5"/>
      <c r="L151" s="4">
        <v>3300</v>
      </c>
      <c r="M151" s="4">
        <v>1936</v>
      </c>
      <c r="N151" s="4">
        <v>1410</v>
      </c>
      <c r="O151" s="6">
        <f t="shared" si="52"/>
        <v>0.27169421487603307</v>
      </c>
      <c r="P151" s="4" t="s">
        <v>410</v>
      </c>
      <c r="Q151" s="4" t="s">
        <v>410</v>
      </c>
      <c r="R151" s="4" t="s">
        <v>410</v>
      </c>
      <c r="S151" s="4" t="s">
        <v>410</v>
      </c>
      <c r="T151" s="4" t="s">
        <v>410</v>
      </c>
      <c r="U151" s="4" t="s">
        <v>410</v>
      </c>
      <c r="V151" s="4">
        <v>350</v>
      </c>
      <c r="W151" s="4">
        <f t="shared" si="53"/>
        <v>3500</v>
      </c>
      <c r="X151" s="4">
        <v>150</v>
      </c>
      <c r="Y151" s="4">
        <f t="shared" si="54"/>
        <v>1500</v>
      </c>
      <c r="Z151" s="4">
        <v>10</v>
      </c>
      <c r="AA151" s="21">
        <f t="shared" si="55"/>
        <v>2060</v>
      </c>
      <c r="AB151" s="6">
        <f t="shared" si="56"/>
        <v>0.27184466019417475</v>
      </c>
      <c r="AC151" s="4">
        <v>1</v>
      </c>
      <c r="AD151" s="4">
        <f t="shared" si="57"/>
        <v>149</v>
      </c>
      <c r="AE151" s="4">
        <f t="shared" si="58"/>
        <v>158.51063829787233</v>
      </c>
      <c r="AF151" s="6">
        <f t="shared" si="59"/>
        <v>-8.4630872483221484</v>
      </c>
      <c r="AG151" s="7">
        <v>2010</v>
      </c>
      <c r="AH151" s="6">
        <f t="shared" si="60"/>
        <v>0.25373134328358204</v>
      </c>
      <c r="AI151" s="4">
        <f t="shared" si="61"/>
        <v>510</v>
      </c>
      <c r="AJ151" s="28"/>
      <c r="AK151" s="6"/>
      <c r="AL151" s="6"/>
      <c r="AM151" s="6">
        <f t="shared" si="62"/>
        <v>1.0606060606060606</v>
      </c>
      <c r="AN151" s="6">
        <f t="shared" si="63"/>
        <v>1.0382231404958677</v>
      </c>
      <c r="AO151" s="6">
        <f t="shared" si="64"/>
        <v>1.0638297872340425</v>
      </c>
      <c r="AP151" s="4" t="str">
        <f t="shared" si="65"/>
        <v>-</v>
      </c>
      <c r="AQ151" s="4" t="str">
        <f t="shared" si="66"/>
        <v>-</v>
      </c>
      <c r="AR151" s="4" t="str">
        <f t="shared" si="67"/>
        <v>-</v>
      </c>
      <c r="AS151" s="4" t="str">
        <f t="shared" si="68"/>
        <v>-</v>
      </c>
      <c r="AT151" s="4" t="str">
        <f t="shared" si="69"/>
        <v>-</v>
      </c>
      <c r="AU151" s="4" t="str">
        <f t="shared" si="70"/>
        <v>-</v>
      </c>
      <c r="AV151" s="4" t="s">
        <v>189</v>
      </c>
      <c r="AW151" s="4" t="s">
        <v>706</v>
      </c>
      <c r="AX151" s="4"/>
      <c r="AY151" s="4"/>
      <c r="AZ151" s="4" t="s">
        <v>654</v>
      </c>
      <c r="BA151" s="4">
        <v>149</v>
      </c>
      <c r="BB151" s="4">
        <v>149</v>
      </c>
      <c r="BC151" s="4">
        <f t="shared" si="71"/>
        <v>149</v>
      </c>
      <c r="BD151" s="19">
        <v>4</v>
      </c>
      <c r="BE151" s="19">
        <v>1</v>
      </c>
      <c r="BF151" s="16">
        <v>3</v>
      </c>
      <c r="BG151" s="36">
        <v>46174</v>
      </c>
      <c r="BH151">
        <v>169</v>
      </c>
      <c r="BI151">
        <v>309</v>
      </c>
      <c r="BJ151" s="4" t="s">
        <v>512</v>
      </c>
      <c r="BK151">
        <v>2</v>
      </c>
      <c r="BL151" s="44">
        <f t="shared" si="72"/>
        <v>-2.560664673817481E-2</v>
      </c>
      <c r="BM151" t="s">
        <v>792</v>
      </c>
    </row>
    <row r="152" spans="1:65" x14ac:dyDescent="0.4">
      <c r="A152" s="3">
        <v>142</v>
      </c>
      <c r="B152" s="3">
        <f t="shared" si="74"/>
        <v>149</v>
      </c>
      <c r="C152" s="4" t="s">
        <v>152</v>
      </c>
      <c r="D152" s="4" t="str">
        <f t="shared" ref="D152:D157" si="75">TEXT(C152,"000000")</f>
        <v>J089LY</v>
      </c>
      <c r="E152" s="4" t="s">
        <v>152</v>
      </c>
      <c r="F152" s="4" t="s">
        <v>313</v>
      </c>
      <c r="G152" s="5">
        <v>4977564485221</v>
      </c>
      <c r="H152" s="5">
        <v>5</v>
      </c>
      <c r="I152" s="5" t="str">
        <f t="shared" si="51"/>
        <v>J089LY5</v>
      </c>
      <c r="J152" s="5">
        <v>1</v>
      </c>
      <c r="K152" s="5">
        <v>1</v>
      </c>
      <c r="L152" s="4">
        <v>300</v>
      </c>
      <c r="M152" s="4">
        <v>216</v>
      </c>
      <c r="N152" s="4">
        <v>129</v>
      </c>
      <c r="O152" s="6">
        <f t="shared" si="52"/>
        <v>0.40277777777777779</v>
      </c>
      <c r="P152" s="4" t="s">
        <v>410</v>
      </c>
      <c r="Q152" s="4" t="s">
        <v>410</v>
      </c>
      <c r="R152" s="4" t="s">
        <v>410</v>
      </c>
      <c r="S152" s="4" t="s">
        <v>410</v>
      </c>
      <c r="T152" s="4" t="s">
        <v>410</v>
      </c>
      <c r="U152" s="4" t="s">
        <v>410</v>
      </c>
      <c r="V152" s="4">
        <v>350</v>
      </c>
      <c r="W152" s="4">
        <f t="shared" si="53"/>
        <v>350</v>
      </c>
      <c r="X152" s="4">
        <v>150</v>
      </c>
      <c r="Y152" s="4">
        <f t="shared" si="54"/>
        <v>150</v>
      </c>
      <c r="Z152" s="4"/>
      <c r="AA152" s="21">
        <f t="shared" si="55"/>
        <v>251</v>
      </c>
      <c r="AB152" s="6">
        <f t="shared" si="56"/>
        <v>0.40239043824701193</v>
      </c>
      <c r="AC152" s="4">
        <v>8</v>
      </c>
      <c r="AD152" s="4">
        <f t="shared" si="57"/>
        <v>149</v>
      </c>
      <c r="AE152" s="4">
        <f t="shared" si="58"/>
        <v>173.25581395348837</v>
      </c>
      <c r="AF152" s="6">
        <f t="shared" si="59"/>
        <v>0.13422818791946312</v>
      </c>
      <c r="AG152" s="7">
        <v>212</v>
      </c>
      <c r="AH152" s="6">
        <f t="shared" si="60"/>
        <v>0.29245283018867929</v>
      </c>
      <c r="AI152" s="4">
        <f t="shared" si="61"/>
        <v>62</v>
      </c>
      <c r="AJ152" s="28"/>
      <c r="AK152" s="6"/>
      <c r="AL152" s="6"/>
      <c r="AM152" s="6">
        <f t="shared" si="62"/>
        <v>1.1666666666666667</v>
      </c>
      <c r="AN152" s="6">
        <f t="shared" si="63"/>
        <v>0.98148148148148151</v>
      </c>
      <c r="AO152" s="6">
        <f t="shared" si="64"/>
        <v>1.1627906976744187</v>
      </c>
      <c r="AP152" s="4" t="str">
        <f t="shared" si="65"/>
        <v>-</v>
      </c>
      <c r="AQ152" s="4" t="str">
        <f t="shared" si="66"/>
        <v>-</v>
      </c>
      <c r="AR152" s="4" t="str">
        <f t="shared" si="67"/>
        <v>-</v>
      </c>
      <c r="AS152" s="4" t="str">
        <f t="shared" si="68"/>
        <v>-</v>
      </c>
      <c r="AT152" s="4" t="str">
        <f t="shared" si="69"/>
        <v>-</v>
      </c>
      <c r="AU152" s="4" t="str">
        <f t="shared" si="70"/>
        <v>-</v>
      </c>
      <c r="AV152" s="4">
        <v>0</v>
      </c>
      <c r="AW152" s="4" t="s">
        <v>707</v>
      </c>
      <c r="AX152" s="4"/>
      <c r="AY152" s="4"/>
      <c r="AZ152" s="4" t="s">
        <v>654</v>
      </c>
      <c r="BA152" s="4">
        <v>149</v>
      </c>
      <c r="BB152" s="4">
        <v>149</v>
      </c>
      <c r="BC152" s="4">
        <f t="shared" si="71"/>
        <v>149</v>
      </c>
      <c r="BD152" s="19">
        <v>4</v>
      </c>
      <c r="BE152" s="19">
        <v>8</v>
      </c>
      <c r="BF152" s="16">
        <v>3</v>
      </c>
      <c r="BG152" s="36">
        <v>46174</v>
      </c>
      <c r="BH152">
        <v>169</v>
      </c>
      <c r="BI152" t="s">
        <v>410</v>
      </c>
      <c r="BJ152" s="4" t="s">
        <v>513</v>
      </c>
      <c r="BL152" s="44">
        <f t="shared" si="72"/>
        <v>-0.18130921619293716</v>
      </c>
      <c r="BM152" t="s">
        <v>792</v>
      </c>
    </row>
    <row r="153" spans="1:65" x14ac:dyDescent="0.4">
      <c r="A153" s="3">
        <v>143</v>
      </c>
      <c r="B153" s="3">
        <f t="shared" si="74"/>
        <v>150</v>
      </c>
      <c r="C153" s="4" t="s">
        <v>153</v>
      </c>
      <c r="D153" s="4" t="str">
        <f t="shared" si="75"/>
        <v>J095LY</v>
      </c>
      <c r="E153" s="4" t="s">
        <v>153</v>
      </c>
      <c r="F153" s="4" t="s">
        <v>314</v>
      </c>
      <c r="G153" s="5">
        <v>4977564410056</v>
      </c>
      <c r="H153" s="5">
        <v>5</v>
      </c>
      <c r="I153" s="5" t="str">
        <f t="shared" si="51"/>
        <v>J095LY5</v>
      </c>
      <c r="J153" s="5">
        <v>1</v>
      </c>
      <c r="K153" s="5">
        <v>1</v>
      </c>
      <c r="L153" s="4">
        <v>0</v>
      </c>
      <c r="M153" s="4">
        <v>64</v>
      </c>
      <c r="N153" s="4">
        <v>39</v>
      </c>
      <c r="O153" s="6">
        <f t="shared" si="52"/>
        <v>0.390625</v>
      </c>
      <c r="P153" s="4" t="s">
        <v>410</v>
      </c>
      <c r="Q153" s="4" t="s">
        <v>410</v>
      </c>
      <c r="R153" s="4" t="s">
        <v>410</v>
      </c>
      <c r="S153" s="4" t="s">
        <v>410</v>
      </c>
      <c r="T153" s="4" t="s">
        <v>410</v>
      </c>
      <c r="U153" s="4" t="s">
        <v>410</v>
      </c>
      <c r="V153" s="4">
        <v>0</v>
      </c>
      <c r="W153" s="4">
        <f t="shared" si="53"/>
        <v>0</v>
      </c>
      <c r="X153" s="4">
        <v>43</v>
      </c>
      <c r="Y153" s="4">
        <f t="shared" si="54"/>
        <v>43</v>
      </c>
      <c r="Z153" s="4"/>
      <c r="AA153" s="21">
        <f t="shared" si="55"/>
        <v>71</v>
      </c>
      <c r="AB153" s="6">
        <f t="shared" si="56"/>
        <v>0.39436619718309862</v>
      </c>
      <c r="AC153" s="4">
        <v>13</v>
      </c>
      <c r="AD153" s="4" t="str">
        <f t="shared" si="57"/>
        <v>-</v>
      </c>
      <c r="AE153" s="4" t="e">
        <f t="shared" si="58"/>
        <v>#VALUE!</v>
      </c>
      <c r="AF153" s="6" t="e">
        <f t="shared" si="59"/>
        <v>#VALUE!</v>
      </c>
      <c r="AG153" s="7">
        <v>74</v>
      </c>
      <c r="AH153" s="6">
        <f t="shared" si="60"/>
        <v>0.41891891891891897</v>
      </c>
      <c r="AI153" s="4">
        <f t="shared" si="61"/>
        <v>31</v>
      </c>
      <c r="AJ153" s="28"/>
      <c r="AK153" s="6"/>
      <c r="AL153" s="6"/>
      <c r="AM153" s="6" t="e">
        <f t="shared" si="62"/>
        <v>#DIV/0!</v>
      </c>
      <c r="AN153" s="6">
        <f t="shared" si="63"/>
        <v>1.15625</v>
      </c>
      <c r="AO153" s="6">
        <f t="shared" si="64"/>
        <v>1.1025641025641026</v>
      </c>
      <c r="AP153" s="4" t="str">
        <f t="shared" si="65"/>
        <v>-</v>
      </c>
      <c r="AQ153" s="4" t="str">
        <f t="shared" si="66"/>
        <v>-</v>
      </c>
      <c r="AR153" s="4" t="str">
        <f t="shared" si="67"/>
        <v>-</v>
      </c>
      <c r="AS153" s="4" t="str">
        <f t="shared" si="68"/>
        <v>-</v>
      </c>
      <c r="AT153" s="4" t="str">
        <f t="shared" si="69"/>
        <v>-</v>
      </c>
      <c r="AU153" s="4" t="str">
        <f t="shared" si="70"/>
        <v>-</v>
      </c>
      <c r="AV153" s="4">
        <v>0</v>
      </c>
      <c r="AW153" s="4" t="s">
        <v>410</v>
      </c>
      <c r="AX153" s="4"/>
      <c r="AY153" s="4"/>
      <c r="AZ153" s="4" t="s">
        <v>410</v>
      </c>
      <c r="BA153" s="4" t="s">
        <v>410</v>
      </c>
      <c r="BB153" s="4" t="s">
        <v>410</v>
      </c>
      <c r="BC153" s="4" t="str">
        <f t="shared" si="71"/>
        <v>-</v>
      </c>
      <c r="BD153" s="19">
        <v>4</v>
      </c>
      <c r="BE153" s="19">
        <v>1</v>
      </c>
      <c r="BF153" s="16">
        <v>3</v>
      </c>
      <c r="BG153" s="36">
        <v>46174</v>
      </c>
      <c r="BH153" t="s">
        <v>410</v>
      </c>
      <c r="BI153">
        <v>100</v>
      </c>
      <c r="BJ153" s="4" t="s">
        <v>410</v>
      </c>
      <c r="BL153" s="44">
        <f t="shared" si="72"/>
        <v>5.3685897435897356E-2</v>
      </c>
      <c r="BM153" t="s">
        <v>792</v>
      </c>
    </row>
    <row r="154" spans="1:65" x14ac:dyDescent="0.4">
      <c r="A154" s="3">
        <v>144</v>
      </c>
      <c r="B154" s="3">
        <f t="shared" si="74"/>
        <v>151</v>
      </c>
      <c r="C154" s="4" t="s">
        <v>154</v>
      </c>
      <c r="D154" s="4" t="str">
        <f t="shared" si="75"/>
        <v>J096LY</v>
      </c>
      <c r="E154" s="4" t="s">
        <v>154</v>
      </c>
      <c r="F154" s="4" t="s">
        <v>315</v>
      </c>
      <c r="G154" s="5">
        <v>4977564410063</v>
      </c>
      <c r="H154" s="5">
        <v>5</v>
      </c>
      <c r="I154" s="5" t="str">
        <f t="shared" si="51"/>
        <v>J096LY5</v>
      </c>
      <c r="J154" s="5">
        <v>1</v>
      </c>
      <c r="K154" s="5">
        <v>1</v>
      </c>
      <c r="L154" s="4">
        <v>0</v>
      </c>
      <c r="M154" s="4">
        <v>64</v>
      </c>
      <c r="N154" s="4">
        <v>39</v>
      </c>
      <c r="O154" s="6">
        <f t="shared" si="52"/>
        <v>0.390625</v>
      </c>
      <c r="P154" s="4" t="s">
        <v>410</v>
      </c>
      <c r="Q154" s="4" t="s">
        <v>410</v>
      </c>
      <c r="R154" s="4" t="s">
        <v>410</v>
      </c>
      <c r="S154" s="4" t="s">
        <v>410</v>
      </c>
      <c r="T154" s="4" t="s">
        <v>410</v>
      </c>
      <c r="U154" s="4" t="s">
        <v>410</v>
      </c>
      <c r="V154" s="4">
        <v>0</v>
      </c>
      <c r="W154" s="4">
        <f t="shared" si="53"/>
        <v>0</v>
      </c>
      <c r="X154" s="4">
        <v>43</v>
      </c>
      <c r="Y154" s="4">
        <f t="shared" si="54"/>
        <v>43</v>
      </c>
      <c r="Z154" s="4"/>
      <c r="AA154" s="21">
        <f t="shared" si="55"/>
        <v>71</v>
      </c>
      <c r="AB154" s="6">
        <f t="shared" si="56"/>
        <v>0.39436619718309862</v>
      </c>
      <c r="AC154" s="4">
        <v>30</v>
      </c>
      <c r="AD154" s="4">
        <f t="shared" si="57"/>
        <v>88.600000000000009</v>
      </c>
      <c r="AE154" s="4">
        <f t="shared" si="58"/>
        <v>97.687179487179506</v>
      </c>
      <c r="AF154" s="6">
        <f t="shared" si="59"/>
        <v>0.5598194130925509</v>
      </c>
      <c r="AG154" s="7">
        <v>74</v>
      </c>
      <c r="AH154" s="6">
        <f t="shared" si="60"/>
        <v>0.41891891891891897</v>
      </c>
      <c r="AI154" s="4">
        <f t="shared" si="61"/>
        <v>31</v>
      </c>
      <c r="AJ154" s="28"/>
      <c r="AK154" s="6"/>
      <c r="AL154" s="6"/>
      <c r="AM154" s="6" t="e">
        <f t="shared" si="62"/>
        <v>#DIV/0!</v>
      </c>
      <c r="AN154" s="6">
        <f t="shared" si="63"/>
        <v>1.15625</v>
      </c>
      <c r="AO154" s="6">
        <f t="shared" si="64"/>
        <v>1.1025641025641026</v>
      </c>
      <c r="AP154" s="4" t="str">
        <f t="shared" si="65"/>
        <v>-</v>
      </c>
      <c r="AQ154" s="4" t="str">
        <f t="shared" si="66"/>
        <v>-</v>
      </c>
      <c r="AR154" s="4" t="str">
        <f t="shared" si="67"/>
        <v>-</v>
      </c>
      <c r="AS154" s="4" t="str">
        <f t="shared" si="68"/>
        <v>-</v>
      </c>
      <c r="AT154" s="4" t="str">
        <f t="shared" si="69"/>
        <v>-</v>
      </c>
      <c r="AU154" s="4" t="str">
        <f t="shared" si="70"/>
        <v>-</v>
      </c>
      <c r="AV154" s="4">
        <v>0</v>
      </c>
      <c r="AW154" s="4" t="s">
        <v>708</v>
      </c>
      <c r="AX154" s="4">
        <v>1</v>
      </c>
      <c r="AY154" s="4">
        <v>10</v>
      </c>
      <c r="AZ154" s="4" t="s">
        <v>709</v>
      </c>
      <c r="BA154" s="4">
        <v>886</v>
      </c>
      <c r="BB154" s="4">
        <v>886</v>
      </c>
      <c r="BC154" s="4">
        <f t="shared" si="71"/>
        <v>88.600000000000009</v>
      </c>
      <c r="BD154" s="19">
        <v>4</v>
      </c>
      <c r="BE154" s="19">
        <v>1</v>
      </c>
      <c r="BF154" s="16">
        <v>3</v>
      </c>
      <c r="BG154" s="36">
        <v>46174</v>
      </c>
      <c r="BH154" t="s">
        <v>410</v>
      </c>
      <c r="BI154">
        <v>88</v>
      </c>
      <c r="BJ154" s="4" t="s">
        <v>514</v>
      </c>
      <c r="BL154" s="44">
        <f t="shared" si="72"/>
        <v>5.3685897435897356E-2</v>
      </c>
      <c r="BM154" t="s">
        <v>792</v>
      </c>
    </row>
    <row r="155" spans="1:65" x14ac:dyDescent="0.4">
      <c r="A155" s="3">
        <v>145</v>
      </c>
      <c r="B155" s="3">
        <f t="shared" si="74"/>
        <v>152</v>
      </c>
      <c r="C155" s="4" t="s">
        <v>155</v>
      </c>
      <c r="D155" s="4" t="str">
        <f t="shared" si="75"/>
        <v>J097LY</v>
      </c>
      <c r="E155" s="4" t="s">
        <v>155</v>
      </c>
      <c r="F155" s="4" t="s">
        <v>316</v>
      </c>
      <c r="G155" s="5">
        <v>4977564410070</v>
      </c>
      <c r="H155" s="5">
        <v>5</v>
      </c>
      <c r="I155" s="5" t="str">
        <f t="shared" si="51"/>
        <v>J097LY5</v>
      </c>
      <c r="J155" s="5">
        <v>1</v>
      </c>
      <c r="K155" s="5">
        <v>1</v>
      </c>
      <c r="L155" s="4">
        <v>0</v>
      </c>
      <c r="M155" s="4">
        <v>63</v>
      </c>
      <c r="N155" s="4">
        <v>39</v>
      </c>
      <c r="O155" s="6">
        <f t="shared" si="52"/>
        <v>0.38095238095238093</v>
      </c>
      <c r="P155" s="4" t="s">
        <v>410</v>
      </c>
      <c r="Q155" s="4" t="s">
        <v>410</v>
      </c>
      <c r="R155" s="4" t="s">
        <v>410</v>
      </c>
      <c r="S155" s="4" t="s">
        <v>410</v>
      </c>
      <c r="T155" s="4" t="s">
        <v>410</v>
      </c>
      <c r="U155" s="4" t="s">
        <v>410</v>
      </c>
      <c r="V155" s="4">
        <v>0</v>
      </c>
      <c r="W155" s="4">
        <f t="shared" si="53"/>
        <v>0</v>
      </c>
      <c r="X155" s="4">
        <v>43</v>
      </c>
      <c r="Y155" s="4">
        <f t="shared" si="54"/>
        <v>43</v>
      </c>
      <c r="Z155" s="4"/>
      <c r="AA155" s="21">
        <f t="shared" si="55"/>
        <v>69</v>
      </c>
      <c r="AB155" s="6">
        <f t="shared" si="56"/>
        <v>0.37681159420289856</v>
      </c>
      <c r="AC155" s="4">
        <v>21.5</v>
      </c>
      <c r="AD155" s="4">
        <f t="shared" si="57"/>
        <v>101</v>
      </c>
      <c r="AE155" s="4">
        <f t="shared" si="58"/>
        <v>111.35897435897436</v>
      </c>
      <c r="AF155" s="6">
        <f t="shared" si="59"/>
        <v>0.61386138613861396</v>
      </c>
      <c r="AG155" s="7">
        <v>74</v>
      </c>
      <c r="AH155" s="6">
        <f t="shared" si="60"/>
        <v>0.41891891891891897</v>
      </c>
      <c r="AI155" s="4">
        <f t="shared" si="61"/>
        <v>31</v>
      </c>
      <c r="AJ155" s="28"/>
      <c r="AK155" s="6"/>
      <c r="AL155" s="6"/>
      <c r="AM155" s="6" t="e">
        <f t="shared" si="62"/>
        <v>#DIV/0!</v>
      </c>
      <c r="AN155" s="6">
        <f t="shared" si="63"/>
        <v>1.1746031746031746</v>
      </c>
      <c r="AO155" s="6">
        <f t="shared" si="64"/>
        <v>1.1025641025641026</v>
      </c>
      <c r="AP155" s="4" t="str">
        <f t="shared" si="65"/>
        <v>-</v>
      </c>
      <c r="AQ155" s="4" t="str">
        <f t="shared" si="66"/>
        <v>-</v>
      </c>
      <c r="AR155" s="4" t="str">
        <f t="shared" si="67"/>
        <v>-</v>
      </c>
      <c r="AS155" s="4" t="str">
        <f t="shared" si="68"/>
        <v>-</v>
      </c>
      <c r="AT155" s="4" t="str">
        <f t="shared" si="69"/>
        <v>-</v>
      </c>
      <c r="AU155" s="4" t="str">
        <f t="shared" si="70"/>
        <v>-</v>
      </c>
      <c r="AV155" s="4">
        <v>0</v>
      </c>
      <c r="AW155" s="4" t="s">
        <v>710</v>
      </c>
      <c r="AX155" s="4"/>
      <c r="AY155" s="4"/>
      <c r="AZ155" s="4" t="s">
        <v>654</v>
      </c>
      <c r="BA155" s="4">
        <v>101</v>
      </c>
      <c r="BB155" s="4">
        <v>101</v>
      </c>
      <c r="BC155" s="4">
        <f t="shared" si="71"/>
        <v>101</v>
      </c>
      <c r="BD155" s="19">
        <v>4</v>
      </c>
      <c r="BE155" s="19">
        <v>1</v>
      </c>
      <c r="BF155" s="16">
        <v>3</v>
      </c>
      <c r="BG155" s="36">
        <v>46174</v>
      </c>
      <c r="BH155" t="s">
        <v>410</v>
      </c>
      <c r="BI155">
        <v>88</v>
      </c>
      <c r="BJ155" s="4" t="s">
        <v>515</v>
      </c>
      <c r="BL155" s="44">
        <f t="shared" si="72"/>
        <v>7.2039072039072005E-2</v>
      </c>
      <c r="BM155" t="s">
        <v>792</v>
      </c>
    </row>
    <row r="156" spans="1:65" x14ac:dyDescent="0.4">
      <c r="A156" s="3">
        <v>146</v>
      </c>
      <c r="B156" s="3">
        <f t="shared" si="74"/>
        <v>153</v>
      </c>
      <c r="C156" s="4" t="s">
        <v>156</v>
      </c>
      <c r="D156" s="4" t="str">
        <f t="shared" si="75"/>
        <v>J098LY</v>
      </c>
      <c r="E156" s="4" t="s">
        <v>156</v>
      </c>
      <c r="F156" s="4" t="s">
        <v>317</v>
      </c>
      <c r="G156" s="5">
        <v>4977564410087</v>
      </c>
      <c r="H156" s="5">
        <v>5</v>
      </c>
      <c r="I156" s="5" t="str">
        <f t="shared" si="51"/>
        <v>J098LY5</v>
      </c>
      <c r="J156" s="5">
        <v>1</v>
      </c>
      <c r="K156" s="5">
        <v>1</v>
      </c>
      <c r="L156" s="4">
        <v>0</v>
      </c>
      <c r="M156" s="4">
        <v>64</v>
      </c>
      <c r="N156" s="4">
        <v>39</v>
      </c>
      <c r="O156" s="6">
        <f t="shared" si="52"/>
        <v>0.390625</v>
      </c>
      <c r="P156" s="4" t="s">
        <v>410</v>
      </c>
      <c r="Q156" s="4" t="s">
        <v>410</v>
      </c>
      <c r="R156" s="4" t="s">
        <v>410</v>
      </c>
      <c r="S156" s="4" t="s">
        <v>410</v>
      </c>
      <c r="T156" s="4" t="s">
        <v>410</v>
      </c>
      <c r="U156" s="4" t="s">
        <v>410</v>
      </c>
      <c r="V156" s="4">
        <v>0</v>
      </c>
      <c r="W156" s="4">
        <f t="shared" si="53"/>
        <v>0</v>
      </c>
      <c r="X156" s="4">
        <v>43</v>
      </c>
      <c r="Y156" s="4">
        <f t="shared" si="54"/>
        <v>43</v>
      </c>
      <c r="Z156" s="4"/>
      <c r="AA156" s="21">
        <f t="shared" si="55"/>
        <v>71</v>
      </c>
      <c r="AB156" s="6">
        <f t="shared" si="56"/>
        <v>0.39436619718309862</v>
      </c>
      <c r="AC156" s="4">
        <v>49.5</v>
      </c>
      <c r="AD156" s="4">
        <f t="shared" si="57"/>
        <v>100</v>
      </c>
      <c r="AE156" s="4">
        <f t="shared" si="58"/>
        <v>110.25641025641026</v>
      </c>
      <c r="AF156" s="6">
        <f t="shared" si="59"/>
        <v>0.6100000000000001</v>
      </c>
      <c r="AG156" s="7">
        <v>74</v>
      </c>
      <c r="AH156" s="6">
        <f t="shared" si="60"/>
        <v>0.41891891891891897</v>
      </c>
      <c r="AI156" s="4">
        <f t="shared" si="61"/>
        <v>31</v>
      </c>
      <c r="AJ156" s="28"/>
      <c r="AK156" s="6"/>
      <c r="AL156" s="6"/>
      <c r="AM156" s="6" t="e">
        <f t="shared" si="62"/>
        <v>#DIV/0!</v>
      </c>
      <c r="AN156" s="6">
        <f t="shared" si="63"/>
        <v>1.15625</v>
      </c>
      <c r="AO156" s="6">
        <f t="shared" si="64"/>
        <v>1.1025641025641026</v>
      </c>
      <c r="AP156" s="4" t="str">
        <f t="shared" si="65"/>
        <v>-</v>
      </c>
      <c r="AQ156" s="4" t="str">
        <f t="shared" si="66"/>
        <v>-</v>
      </c>
      <c r="AR156" s="4" t="str">
        <f t="shared" si="67"/>
        <v>-</v>
      </c>
      <c r="AS156" s="4" t="str">
        <f t="shared" si="68"/>
        <v>-</v>
      </c>
      <c r="AT156" s="4" t="str">
        <f t="shared" si="69"/>
        <v>-</v>
      </c>
      <c r="AU156" s="4" t="str">
        <f t="shared" si="70"/>
        <v>-</v>
      </c>
      <c r="AV156" s="4">
        <v>0</v>
      </c>
      <c r="AW156" s="4" t="s">
        <v>711</v>
      </c>
      <c r="AX156" s="4">
        <v>1</v>
      </c>
      <c r="AY156" s="4">
        <v>10</v>
      </c>
      <c r="AZ156" s="4" t="s">
        <v>712</v>
      </c>
      <c r="BA156" s="4">
        <v>1000</v>
      </c>
      <c r="BB156" s="4">
        <v>1000</v>
      </c>
      <c r="BC156" s="4">
        <f t="shared" si="71"/>
        <v>100</v>
      </c>
      <c r="BD156" s="19">
        <v>4</v>
      </c>
      <c r="BE156" s="19">
        <v>1</v>
      </c>
      <c r="BF156" s="16">
        <v>3</v>
      </c>
      <c r="BG156" s="36">
        <v>46174</v>
      </c>
      <c r="BH156" t="s">
        <v>410</v>
      </c>
      <c r="BI156">
        <v>88</v>
      </c>
      <c r="BJ156" s="4" t="s">
        <v>516</v>
      </c>
      <c r="BL156" s="44">
        <f t="shared" si="72"/>
        <v>5.3685897435897356E-2</v>
      </c>
      <c r="BM156" t="s">
        <v>792</v>
      </c>
    </row>
    <row r="157" spans="1:65" x14ac:dyDescent="0.4">
      <c r="A157" s="3">
        <v>147</v>
      </c>
      <c r="B157" s="3">
        <f t="shared" si="74"/>
        <v>154</v>
      </c>
      <c r="C157" s="33">
        <v>305257</v>
      </c>
      <c r="D157" s="4" t="str">
        <f t="shared" si="75"/>
        <v>305257</v>
      </c>
      <c r="E157" s="4">
        <v>305257</v>
      </c>
      <c r="F157" s="4" t="s">
        <v>318</v>
      </c>
      <c r="G157" s="5">
        <v>4977564410094</v>
      </c>
      <c r="H157" s="5">
        <v>5</v>
      </c>
      <c r="I157" s="5" t="str">
        <f t="shared" si="51"/>
        <v>3052575</v>
      </c>
      <c r="J157" s="5">
        <v>2</v>
      </c>
      <c r="K157" s="5">
        <v>2</v>
      </c>
      <c r="L157" s="4">
        <v>0</v>
      </c>
      <c r="M157" s="4">
        <v>73</v>
      </c>
      <c r="N157" s="4">
        <v>44</v>
      </c>
      <c r="O157" s="6">
        <f t="shared" si="52"/>
        <v>0.39726027397260277</v>
      </c>
      <c r="P157" s="4" t="s">
        <v>410</v>
      </c>
      <c r="Q157" s="4" t="s">
        <v>410</v>
      </c>
      <c r="R157" s="4" t="s">
        <v>410</v>
      </c>
      <c r="S157" s="4" t="s">
        <v>410</v>
      </c>
      <c r="T157" s="4" t="s">
        <v>410</v>
      </c>
      <c r="U157" s="4" t="s">
        <v>410</v>
      </c>
      <c r="V157" s="4">
        <v>0</v>
      </c>
      <c r="W157" s="4">
        <f t="shared" si="53"/>
        <v>0</v>
      </c>
      <c r="X157" s="4">
        <v>43</v>
      </c>
      <c r="Y157" s="4">
        <f t="shared" si="54"/>
        <v>43</v>
      </c>
      <c r="Z157" s="4"/>
      <c r="AA157" s="21">
        <f t="shared" si="55"/>
        <v>71</v>
      </c>
      <c r="AB157" s="6">
        <f t="shared" si="56"/>
        <v>0.39436619718309862</v>
      </c>
      <c r="AC157" s="4">
        <v>31.75</v>
      </c>
      <c r="AD157" s="4">
        <f t="shared" si="57"/>
        <v>100</v>
      </c>
      <c r="AE157" s="4">
        <f t="shared" si="58"/>
        <v>97.727272727272734</v>
      </c>
      <c r="AF157" s="6">
        <f t="shared" si="59"/>
        <v>0.56000000000000005</v>
      </c>
      <c r="AG157" s="7">
        <v>74</v>
      </c>
      <c r="AH157" s="6">
        <f t="shared" si="60"/>
        <v>0.41891891891891897</v>
      </c>
      <c r="AI157" s="4">
        <f t="shared" si="61"/>
        <v>31</v>
      </c>
      <c r="AJ157" s="28"/>
      <c r="AK157" s="6"/>
      <c r="AL157" s="6"/>
      <c r="AM157" s="6" t="e">
        <f t="shared" si="62"/>
        <v>#DIV/0!</v>
      </c>
      <c r="AN157" s="6">
        <f t="shared" si="63"/>
        <v>1.0136986301369864</v>
      </c>
      <c r="AO157" s="6">
        <f t="shared" si="64"/>
        <v>0.97727272727272729</v>
      </c>
      <c r="AP157" s="4" t="str">
        <f t="shared" si="65"/>
        <v>-</v>
      </c>
      <c r="AQ157" s="4" t="str">
        <f t="shared" si="66"/>
        <v>-</v>
      </c>
      <c r="AR157" s="4" t="str">
        <f t="shared" si="67"/>
        <v>-</v>
      </c>
      <c r="AS157" s="4" t="str">
        <f t="shared" si="68"/>
        <v>-</v>
      </c>
      <c r="AT157" s="4" t="str">
        <f t="shared" si="69"/>
        <v>-</v>
      </c>
      <c r="AU157" s="4" t="str">
        <f t="shared" si="70"/>
        <v>-</v>
      </c>
      <c r="AV157" s="4">
        <v>0</v>
      </c>
      <c r="AW157" s="4" t="s">
        <v>713</v>
      </c>
      <c r="AX157" s="4">
        <v>1</v>
      </c>
      <c r="AY157" s="4">
        <v>10</v>
      </c>
      <c r="AZ157" s="4" t="s">
        <v>712</v>
      </c>
      <c r="BA157" s="4">
        <v>1000</v>
      </c>
      <c r="BB157" s="4">
        <v>1000</v>
      </c>
      <c r="BC157" s="4">
        <f t="shared" si="71"/>
        <v>100</v>
      </c>
      <c r="BD157" s="19">
        <v>4</v>
      </c>
      <c r="BE157" s="19">
        <v>1</v>
      </c>
      <c r="BF157" s="16">
        <v>3</v>
      </c>
      <c r="BG157" s="36">
        <v>46174</v>
      </c>
      <c r="BH157" t="s">
        <v>410</v>
      </c>
      <c r="BI157">
        <v>88</v>
      </c>
      <c r="BJ157" s="4" t="s">
        <v>517</v>
      </c>
      <c r="BL157" s="44">
        <f t="shared" si="72"/>
        <v>3.6425902864259063E-2</v>
      </c>
      <c r="BM157" t="s">
        <v>792</v>
      </c>
    </row>
    <row r="158" spans="1:65" x14ac:dyDescent="0.4">
      <c r="A158" s="3">
        <v>237</v>
      </c>
      <c r="B158" s="3">
        <f t="shared" si="74"/>
        <v>155</v>
      </c>
      <c r="C158" s="33">
        <v>305257</v>
      </c>
      <c r="D158" s="4" t="s">
        <v>157</v>
      </c>
      <c r="E158" s="4">
        <v>305256</v>
      </c>
      <c r="F158" s="4" t="s">
        <v>398</v>
      </c>
      <c r="G158" s="5">
        <v>4977564410094</v>
      </c>
      <c r="H158" s="5">
        <v>8</v>
      </c>
      <c r="I158" s="5" t="str">
        <f t="shared" si="51"/>
        <v>3052578</v>
      </c>
      <c r="J158" s="5"/>
      <c r="K158" s="5"/>
      <c r="L158" s="4">
        <v>0</v>
      </c>
      <c r="M158" s="4">
        <v>650</v>
      </c>
      <c r="N158" s="4">
        <v>440</v>
      </c>
      <c r="O158" s="6">
        <f t="shared" si="52"/>
        <v>0.32307692307692304</v>
      </c>
      <c r="P158" s="4" t="s">
        <v>410</v>
      </c>
      <c r="Q158" s="4" t="s">
        <v>410</v>
      </c>
      <c r="R158" s="4" t="s">
        <v>410</v>
      </c>
      <c r="S158" s="4" t="s">
        <v>410</v>
      </c>
      <c r="T158" s="4" t="s">
        <v>410</v>
      </c>
      <c r="U158" s="4" t="s">
        <v>410</v>
      </c>
      <c r="V158" s="4">
        <v>0</v>
      </c>
      <c r="W158" s="4">
        <f t="shared" si="53"/>
        <v>0</v>
      </c>
      <c r="X158" s="4">
        <v>43</v>
      </c>
      <c r="Y158" s="4">
        <f t="shared" si="54"/>
        <v>430</v>
      </c>
      <c r="Z158" s="4">
        <v>10</v>
      </c>
      <c r="AA158" s="21">
        <f t="shared" si="55"/>
        <v>635</v>
      </c>
      <c r="AB158" s="6">
        <f t="shared" si="56"/>
        <v>0.32283464566929132</v>
      </c>
      <c r="AC158" s="4">
        <v>31.75</v>
      </c>
      <c r="AD158" s="4">
        <f t="shared" si="57"/>
        <v>1000</v>
      </c>
      <c r="AE158" s="4">
        <f t="shared" si="58"/>
        <v>977.27272727272725</v>
      </c>
      <c r="AF158" s="6">
        <f t="shared" si="59"/>
        <v>0.56000000000000005</v>
      </c>
      <c r="AG158" s="7">
        <v>660</v>
      </c>
      <c r="AH158" s="6">
        <f t="shared" si="60"/>
        <v>0.34848484848484851</v>
      </c>
      <c r="AI158" s="4">
        <f t="shared" si="61"/>
        <v>230</v>
      </c>
      <c r="AJ158" s="28"/>
      <c r="AK158" s="6"/>
      <c r="AL158" s="6"/>
      <c r="AM158" s="6" t="e">
        <f t="shared" si="62"/>
        <v>#DIV/0!</v>
      </c>
      <c r="AN158" s="6">
        <f t="shared" si="63"/>
        <v>1.0153846153846153</v>
      </c>
      <c r="AO158" s="6">
        <f t="shared" si="64"/>
        <v>0.97727272727272729</v>
      </c>
      <c r="AP158" s="4" t="str">
        <f t="shared" si="65"/>
        <v>-</v>
      </c>
      <c r="AQ158" s="4" t="str">
        <f t="shared" si="66"/>
        <v>-</v>
      </c>
      <c r="AR158" s="4" t="str">
        <f t="shared" si="67"/>
        <v>-</v>
      </c>
      <c r="AS158" s="4" t="str">
        <f t="shared" si="68"/>
        <v>-</v>
      </c>
      <c r="AT158" s="4" t="str">
        <f t="shared" si="69"/>
        <v>-</v>
      </c>
      <c r="AU158" s="4" t="str">
        <f t="shared" si="70"/>
        <v>-</v>
      </c>
      <c r="AV158" s="4">
        <v>0</v>
      </c>
      <c r="AW158" s="4" t="s">
        <v>713</v>
      </c>
      <c r="AX158" s="4"/>
      <c r="AY158" s="4"/>
      <c r="AZ158" s="4" t="s">
        <v>712</v>
      </c>
      <c r="BA158" s="4">
        <v>1000</v>
      </c>
      <c r="BB158" s="4">
        <v>1000</v>
      </c>
      <c r="BC158" s="4">
        <f t="shared" si="71"/>
        <v>1000</v>
      </c>
      <c r="BD158" s="19">
        <v>4</v>
      </c>
      <c r="BE158" s="19">
        <v>1</v>
      </c>
      <c r="BF158" s="16">
        <v>3</v>
      </c>
      <c r="BG158" s="36">
        <v>46174</v>
      </c>
      <c r="BH158" t="s">
        <v>410</v>
      </c>
      <c r="BI158">
        <v>88</v>
      </c>
      <c r="BJ158" s="4" t="s">
        <v>517</v>
      </c>
      <c r="BK158">
        <v>2</v>
      </c>
      <c r="BL158" s="44">
        <f t="shared" si="72"/>
        <v>3.8111888111888037E-2</v>
      </c>
      <c r="BM158" t="s">
        <v>792</v>
      </c>
    </row>
    <row r="159" spans="1:65" x14ac:dyDescent="0.4">
      <c r="A159" s="3">
        <v>148</v>
      </c>
      <c r="B159" s="3">
        <f t="shared" si="74"/>
        <v>156</v>
      </c>
      <c r="C159" s="33">
        <v>626343</v>
      </c>
      <c r="D159" s="4" t="str">
        <f>TEXT(C159,"000000")</f>
        <v>626343</v>
      </c>
      <c r="E159" s="4">
        <v>626343</v>
      </c>
      <c r="F159" s="4" t="s">
        <v>319</v>
      </c>
      <c r="G159" s="5">
        <v>4977564402655</v>
      </c>
      <c r="H159" s="5">
        <v>5</v>
      </c>
      <c r="I159" s="5" t="str">
        <f t="shared" si="51"/>
        <v>6263435</v>
      </c>
      <c r="J159" s="5">
        <v>2</v>
      </c>
      <c r="K159" s="5">
        <v>2</v>
      </c>
      <c r="L159" s="4">
        <v>0</v>
      </c>
      <c r="M159" s="4">
        <v>1548</v>
      </c>
      <c r="N159" s="4">
        <v>920</v>
      </c>
      <c r="O159" s="6">
        <f t="shared" si="52"/>
        <v>0.40568475452196384</v>
      </c>
      <c r="P159" s="4" t="s">
        <v>410</v>
      </c>
      <c r="Q159" s="4" t="s">
        <v>410</v>
      </c>
      <c r="R159" s="4" t="s">
        <v>410</v>
      </c>
      <c r="S159" s="4" t="s">
        <v>410</v>
      </c>
      <c r="T159" s="4" t="s">
        <v>410</v>
      </c>
      <c r="U159" s="4" t="s">
        <v>410</v>
      </c>
      <c r="V159" s="4">
        <v>0</v>
      </c>
      <c r="W159" s="4">
        <f t="shared" si="53"/>
        <v>0</v>
      </c>
      <c r="X159" s="4">
        <v>102</v>
      </c>
      <c r="Y159" s="4">
        <f t="shared" si="54"/>
        <v>1020</v>
      </c>
      <c r="Z159" s="4">
        <v>10</v>
      </c>
      <c r="AA159" s="21">
        <f t="shared" si="55"/>
        <v>1716</v>
      </c>
      <c r="AB159" s="6">
        <f t="shared" si="56"/>
        <v>0.40559440559440563</v>
      </c>
      <c r="AC159" s="4">
        <v>12.5</v>
      </c>
      <c r="AD159" s="4">
        <f t="shared" si="57"/>
        <v>2130</v>
      </c>
      <c r="AE159" s="4">
        <f t="shared" si="58"/>
        <v>2361.521739130435</v>
      </c>
      <c r="AF159" s="6">
        <f t="shared" si="59"/>
        <v>0.568075117370892</v>
      </c>
      <c r="AG159" s="7">
        <v>1580</v>
      </c>
      <c r="AH159" s="6">
        <f t="shared" si="60"/>
        <v>0.35443037974683544</v>
      </c>
      <c r="AI159" s="4">
        <f t="shared" si="61"/>
        <v>560</v>
      </c>
      <c r="AJ159" s="28"/>
      <c r="AK159" s="6"/>
      <c r="AL159" s="6"/>
      <c r="AM159" s="6" t="e">
        <f t="shared" si="62"/>
        <v>#DIV/0!</v>
      </c>
      <c r="AN159" s="6">
        <f t="shared" si="63"/>
        <v>1.020671834625323</v>
      </c>
      <c r="AO159" s="6">
        <f t="shared" si="64"/>
        <v>1.1086956521739131</v>
      </c>
      <c r="AP159" s="4" t="str">
        <f t="shared" si="65"/>
        <v>-</v>
      </c>
      <c r="AQ159" s="4" t="str">
        <f t="shared" si="66"/>
        <v>-</v>
      </c>
      <c r="AR159" s="4" t="str">
        <f t="shared" si="67"/>
        <v>-</v>
      </c>
      <c r="AS159" s="4" t="str">
        <f t="shared" si="68"/>
        <v>-</v>
      </c>
      <c r="AT159" s="4" t="str">
        <f t="shared" si="69"/>
        <v>-</v>
      </c>
      <c r="AU159" s="4" t="str">
        <f t="shared" si="70"/>
        <v>-</v>
      </c>
      <c r="AV159" s="4" t="s">
        <v>190</v>
      </c>
      <c r="AW159" s="4" t="s">
        <v>714</v>
      </c>
      <c r="AX159" s="4">
        <v>10</v>
      </c>
      <c r="AY159" s="4">
        <v>1</v>
      </c>
      <c r="AZ159" s="4" t="s">
        <v>654</v>
      </c>
      <c r="BA159" s="4">
        <v>213</v>
      </c>
      <c r="BB159" s="4">
        <v>213</v>
      </c>
      <c r="BC159" s="4">
        <f t="shared" si="71"/>
        <v>2130</v>
      </c>
      <c r="BD159" s="19">
        <v>4</v>
      </c>
      <c r="BE159" s="19">
        <v>1</v>
      </c>
      <c r="BF159" s="16">
        <v>3</v>
      </c>
      <c r="BG159" s="36">
        <v>46174</v>
      </c>
      <c r="BH159" t="s">
        <v>410</v>
      </c>
      <c r="BI159">
        <v>188</v>
      </c>
      <c r="BJ159" s="4" t="s">
        <v>518</v>
      </c>
      <c r="BL159" s="44">
        <f t="shared" si="72"/>
        <v>-8.8023817548590122E-2</v>
      </c>
      <c r="BM159" t="s">
        <v>792</v>
      </c>
    </row>
    <row r="160" spans="1:65" x14ac:dyDescent="0.4">
      <c r="A160" s="3">
        <v>238</v>
      </c>
      <c r="B160" s="3">
        <f t="shared" si="74"/>
        <v>157</v>
      </c>
      <c r="C160" s="33">
        <v>626343</v>
      </c>
      <c r="D160" s="4" t="s">
        <v>158</v>
      </c>
      <c r="E160" s="4">
        <v>626345</v>
      </c>
      <c r="F160" s="4" t="s">
        <v>399</v>
      </c>
      <c r="G160" s="5">
        <v>4977564402655</v>
      </c>
      <c r="H160" s="5">
        <v>8</v>
      </c>
      <c r="I160" s="5" t="str">
        <f t="shared" si="51"/>
        <v>6263438</v>
      </c>
      <c r="J160" s="5"/>
      <c r="K160" s="5"/>
      <c r="L160" s="4">
        <v>0</v>
      </c>
      <c r="M160" s="4">
        <v>6504</v>
      </c>
      <c r="N160" s="4">
        <v>4600</v>
      </c>
      <c r="O160" s="6">
        <f t="shared" si="52"/>
        <v>0.29274292742927432</v>
      </c>
      <c r="P160" s="4" t="s">
        <v>410</v>
      </c>
      <c r="Q160" s="4" t="s">
        <v>410</v>
      </c>
      <c r="R160" s="4" t="s">
        <v>410</v>
      </c>
      <c r="S160" s="4" t="s">
        <v>410</v>
      </c>
      <c r="T160" s="4" t="s">
        <v>410</v>
      </c>
      <c r="U160" s="4" t="s">
        <v>410</v>
      </c>
      <c r="V160" s="4">
        <v>0</v>
      </c>
      <c r="W160" s="4">
        <f t="shared" si="53"/>
        <v>0</v>
      </c>
      <c r="X160" s="4">
        <v>102</v>
      </c>
      <c r="Y160" s="4">
        <f t="shared" si="54"/>
        <v>5100</v>
      </c>
      <c r="Z160" s="4">
        <v>50</v>
      </c>
      <c r="AA160" s="21">
        <f t="shared" si="55"/>
        <v>7211</v>
      </c>
      <c r="AB160" s="6">
        <f t="shared" si="56"/>
        <v>0.29274719179032038</v>
      </c>
      <c r="AC160" s="4">
        <v>12.5</v>
      </c>
      <c r="AD160" s="4">
        <f t="shared" si="57"/>
        <v>10650</v>
      </c>
      <c r="AE160" s="4">
        <f t="shared" si="58"/>
        <v>11807.608695652174</v>
      </c>
      <c r="AF160" s="6">
        <f t="shared" si="59"/>
        <v>0.568075117370892</v>
      </c>
      <c r="AG160" s="7">
        <v>7500</v>
      </c>
      <c r="AH160" s="6">
        <f t="shared" si="60"/>
        <v>0.31999999999999995</v>
      </c>
      <c r="AI160" s="4">
        <f t="shared" si="61"/>
        <v>2400</v>
      </c>
      <c r="AJ160" s="28"/>
      <c r="AK160" s="6"/>
      <c r="AL160" s="6"/>
      <c r="AM160" s="6" t="e">
        <f t="shared" si="62"/>
        <v>#DIV/0!</v>
      </c>
      <c r="AN160" s="6">
        <f t="shared" si="63"/>
        <v>1.1531365313653137</v>
      </c>
      <c r="AO160" s="6">
        <f t="shared" si="64"/>
        <v>1.1086956521739131</v>
      </c>
      <c r="AP160" s="4" t="str">
        <f t="shared" si="65"/>
        <v>-</v>
      </c>
      <c r="AQ160" s="4" t="str">
        <f t="shared" si="66"/>
        <v>-</v>
      </c>
      <c r="AR160" s="4" t="str">
        <f t="shared" si="67"/>
        <v>-</v>
      </c>
      <c r="AS160" s="4" t="str">
        <f t="shared" si="68"/>
        <v>-</v>
      </c>
      <c r="AT160" s="4" t="str">
        <f t="shared" si="69"/>
        <v>-</v>
      </c>
      <c r="AU160" s="4" t="str">
        <f t="shared" si="70"/>
        <v>-</v>
      </c>
      <c r="AV160" s="4" t="s">
        <v>190</v>
      </c>
      <c r="AW160" s="4" t="s">
        <v>714</v>
      </c>
      <c r="AX160" s="4">
        <v>50</v>
      </c>
      <c r="AY160" s="4">
        <v>1</v>
      </c>
      <c r="AZ160" s="4" t="s">
        <v>654</v>
      </c>
      <c r="BA160" s="4">
        <v>213</v>
      </c>
      <c r="BB160" s="4">
        <v>213</v>
      </c>
      <c r="BC160" s="4">
        <f t="shared" si="71"/>
        <v>10650</v>
      </c>
      <c r="BD160" s="19">
        <v>4</v>
      </c>
      <c r="BE160" s="19">
        <v>1</v>
      </c>
      <c r="BF160" s="16">
        <v>3</v>
      </c>
      <c r="BG160" s="36">
        <v>46174</v>
      </c>
      <c r="BH160" t="s">
        <v>410</v>
      </c>
      <c r="BI160">
        <v>188</v>
      </c>
      <c r="BJ160" s="4" t="s">
        <v>518</v>
      </c>
      <c r="BK160">
        <v>2</v>
      </c>
      <c r="BL160" s="44">
        <f t="shared" si="72"/>
        <v>4.4440879191400606E-2</v>
      </c>
      <c r="BM160" t="s">
        <v>792</v>
      </c>
    </row>
    <row r="161" spans="1:65" x14ac:dyDescent="0.4">
      <c r="A161" s="3">
        <v>149</v>
      </c>
      <c r="B161" s="3">
        <f t="shared" si="74"/>
        <v>158</v>
      </c>
      <c r="C161" s="33">
        <v>626344</v>
      </c>
      <c r="D161" s="4" t="str">
        <f>TEXT(C161,"000000")</f>
        <v>626344</v>
      </c>
      <c r="E161" s="4">
        <v>626344</v>
      </c>
      <c r="F161" s="4" t="s">
        <v>320</v>
      </c>
      <c r="G161" s="5">
        <v>4977564402662</v>
      </c>
      <c r="H161" s="5">
        <v>5</v>
      </c>
      <c r="I161" s="5" t="str">
        <f t="shared" si="51"/>
        <v>6263445</v>
      </c>
      <c r="J161" s="5">
        <v>2</v>
      </c>
      <c r="K161" s="5">
        <v>2</v>
      </c>
      <c r="L161" s="4">
        <v>0</v>
      </c>
      <c r="M161" s="4">
        <v>1240</v>
      </c>
      <c r="N161" s="4">
        <v>920</v>
      </c>
      <c r="O161" s="6">
        <f t="shared" si="52"/>
        <v>0.25806451612903225</v>
      </c>
      <c r="P161" s="4" t="s">
        <v>410</v>
      </c>
      <c r="Q161" s="4" t="s">
        <v>410</v>
      </c>
      <c r="R161" s="4" t="s">
        <v>410</v>
      </c>
      <c r="S161" s="4" t="s">
        <v>410</v>
      </c>
      <c r="T161" s="4" t="s">
        <v>410</v>
      </c>
      <c r="U161" s="4" t="s">
        <v>410</v>
      </c>
      <c r="V161" s="4">
        <v>0</v>
      </c>
      <c r="W161" s="4">
        <f t="shared" si="53"/>
        <v>0</v>
      </c>
      <c r="X161" s="4">
        <v>102</v>
      </c>
      <c r="Y161" s="4">
        <f t="shared" si="54"/>
        <v>1020</v>
      </c>
      <c r="Z161" s="4">
        <v>10</v>
      </c>
      <c r="AA161" s="21">
        <f t="shared" si="55"/>
        <v>1375</v>
      </c>
      <c r="AB161" s="6">
        <f t="shared" si="56"/>
        <v>0.25818181818181818</v>
      </c>
      <c r="AC161" s="4">
        <v>12.5</v>
      </c>
      <c r="AD161" s="4" t="str">
        <f t="shared" si="57"/>
        <v>-</v>
      </c>
      <c r="AE161" s="4" t="e">
        <f t="shared" si="58"/>
        <v>#VALUE!</v>
      </c>
      <c r="AF161" s="6" t="e">
        <f t="shared" si="59"/>
        <v>#VALUE!</v>
      </c>
      <c r="AG161" s="7">
        <v>1580</v>
      </c>
      <c r="AH161" s="6">
        <f t="shared" si="60"/>
        <v>0.35443037974683544</v>
      </c>
      <c r="AI161" s="4">
        <f t="shared" si="61"/>
        <v>560</v>
      </c>
      <c r="AJ161" s="28"/>
      <c r="AK161" s="6"/>
      <c r="AL161" s="6"/>
      <c r="AM161" s="6" t="e">
        <f t="shared" si="62"/>
        <v>#DIV/0!</v>
      </c>
      <c r="AN161" s="6">
        <f t="shared" si="63"/>
        <v>1.2741935483870968</v>
      </c>
      <c r="AO161" s="6">
        <f t="shared" si="64"/>
        <v>1.1086956521739131</v>
      </c>
      <c r="AP161" s="4" t="str">
        <f t="shared" si="65"/>
        <v>-</v>
      </c>
      <c r="AQ161" s="4" t="str">
        <f t="shared" si="66"/>
        <v>-</v>
      </c>
      <c r="AR161" s="4" t="str">
        <f t="shared" si="67"/>
        <v>-</v>
      </c>
      <c r="AS161" s="4" t="str">
        <f t="shared" si="68"/>
        <v>-</v>
      </c>
      <c r="AT161" s="4" t="str">
        <f t="shared" si="69"/>
        <v>-</v>
      </c>
      <c r="AU161" s="4" t="str">
        <f t="shared" si="70"/>
        <v>-</v>
      </c>
      <c r="AV161" s="4" t="s">
        <v>190</v>
      </c>
      <c r="AW161" s="4" t="s">
        <v>410</v>
      </c>
      <c r="AX161" s="4"/>
      <c r="AY161" s="4"/>
      <c r="AZ161" s="4" t="s">
        <v>410</v>
      </c>
      <c r="BA161" s="4" t="s">
        <v>410</v>
      </c>
      <c r="BB161" s="4" t="s">
        <v>410</v>
      </c>
      <c r="BC161" s="4" t="str">
        <f t="shared" si="71"/>
        <v>-</v>
      </c>
      <c r="BD161" s="19">
        <v>4</v>
      </c>
      <c r="BE161" s="19">
        <v>1</v>
      </c>
      <c r="BF161" s="16">
        <v>3</v>
      </c>
      <c r="BG161" s="36">
        <v>46174</v>
      </c>
      <c r="BH161" t="s">
        <v>410</v>
      </c>
      <c r="BI161" t="s">
        <v>410</v>
      </c>
      <c r="BJ161" s="4" t="s">
        <v>410</v>
      </c>
      <c r="BL161" s="44">
        <f t="shared" si="72"/>
        <v>0.16549789621318367</v>
      </c>
      <c r="BM161" t="s">
        <v>792</v>
      </c>
    </row>
    <row r="162" spans="1:65" x14ac:dyDescent="0.4">
      <c r="A162" s="3">
        <v>239</v>
      </c>
      <c r="B162" s="3">
        <f t="shared" si="74"/>
        <v>159</v>
      </c>
      <c r="C162" s="33">
        <v>626344</v>
      </c>
      <c r="D162" s="4" t="s">
        <v>159</v>
      </c>
      <c r="E162" s="4">
        <v>626347</v>
      </c>
      <c r="F162" s="4" t="s">
        <v>400</v>
      </c>
      <c r="G162" s="5">
        <v>4977564402662</v>
      </c>
      <c r="H162" s="5">
        <v>8</v>
      </c>
      <c r="I162" s="5" t="str">
        <f t="shared" si="51"/>
        <v>6263448</v>
      </c>
      <c r="J162" s="5"/>
      <c r="K162" s="5"/>
      <c r="L162" s="4">
        <v>0</v>
      </c>
      <c r="M162" s="4">
        <v>5854</v>
      </c>
      <c r="N162" s="4">
        <v>4600</v>
      </c>
      <c r="O162" s="6">
        <f t="shared" si="52"/>
        <v>0.21421250427058425</v>
      </c>
      <c r="P162" s="4" t="s">
        <v>410</v>
      </c>
      <c r="Q162" s="4" t="s">
        <v>410</v>
      </c>
      <c r="R162" s="4" t="s">
        <v>410</v>
      </c>
      <c r="S162" s="4" t="s">
        <v>410</v>
      </c>
      <c r="T162" s="4" t="s">
        <v>410</v>
      </c>
      <c r="U162" s="4" t="s">
        <v>410</v>
      </c>
      <c r="V162" s="4">
        <v>0</v>
      </c>
      <c r="W162" s="4">
        <f t="shared" si="53"/>
        <v>0</v>
      </c>
      <c r="X162" s="4">
        <v>102</v>
      </c>
      <c r="Y162" s="4">
        <f t="shared" si="54"/>
        <v>5100</v>
      </c>
      <c r="Z162" s="4">
        <v>50</v>
      </c>
      <c r="AA162" s="21">
        <f t="shared" si="55"/>
        <v>6490</v>
      </c>
      <c r="AB162" s="6">
        <f t="shared" si="56"/>
        <v>0.214175654853621</v>
      </c>
      <c r="AC162" s="4">
        <v>12.5</v>
      </c>
      <c r="AD162" s="4" t="str">
        <f t="shared" si="57"/>
        <v>-</v>
      </c>
      <c r="AE162" s="4" t="e">
        <f t="shared" si="58"/>
        <v>#VALUE!</v>
      </c>
      <c r="AF162" s="6" t="e">
        <f t="shared" si="59"/>
        <v>#VALUE!</v>
      </c>
      <c r="AG162" s="7">
        <v>7500</v>
      </c>
      <c r="AH162" s="6">
        <f t="shared" si="60"/>
        <v>0.31999999999999995</v>
      </c>
      <c r="AI162" s="4">
        <f t="shared" si="61"/>
        <v>2400</v>
      </c>
      <c r="AJ162" s="28"/>
      <c r="AK162" s="6"/>
      <c r="AL162" s="6"/>
      <c r="AM162" s="6" t="e">
        <f t="shared" si="62"/>
        <v>#DIV/0!</v>
      </c>
      <c r="AN162" s="6">
        <f t="shared" si="63"/>
        <v>1.2811752647762213</v>
      </c>
      <c r="AO162" s="6">
        <f t="shared" si="64"/>
        <v>1.1086956521739131</v>
      </c>
      <c r="AP162" s="4" t="str">
        <f t="shared" si="65"/>
        <v>-</v>
      </c>
      <c r="AQ162" s="4" t="str">
        <f t="shared" si="66"/>
        <v>-</v>
      </c>
      <c r="AR162" s="4" t="str">
        <f t="shared" si="67"/>
        <v>-</v>
      </c>
      <c r="AS162" s="4" t="str">
        <f t="shared" si="68"/>
        <v>-</v>
      </c>
      <c r="AT162" s="4" t="str">
        <f t="shared" si="69"/>
        <v>-</v>
      </c>
      <c r="AU162" s="4" t="str">
        <f t="shared" si="70"/>
        <v>-</v>
      </c>
      <c r="AV162" s="4" t="s">
        <v>190</v>
      </c>
      <c r="AW162" s="4" t="s">
        <v>410</v>
      </c>
      <c r="AX162" s="4"/>
      <c r="AY162" s="4"/>
      <c r="AZ162" s="4" t="s">
        <v>410</v>
      </c>
      <c r="BA162" s="4" t="s">
        <v>410</v>
      </c>
      <c r="BB162" s="4" t="s">
        <v>410</v>
      </c>
      <c r="BC162" s="4" t="str">
        <f t="shared" si="71"/>
        <v>-</v>
      </c>
      <c r="BD162" s="19">
        <v>4</v>
      </c>
      <c r="BE162" s="19">
        <v>1</v>
      </c>
      <c r="BF162" s="16">
        <v>3</v>
      </c>
      <c r="BG162" s="36">
        <v>46174</v>
      </c>
      <c r="BH162" t="s">
        <v>410</v>
      </c>
      <c r="BI162" t="s">
        <v>410</v>
      </c>
      <c r="BJ162" s="4" t="s">
        <v>410</v>
      </c>
      <c r="BK162">
        <v>2</v>
      </c>
      <c r="BL162" s="44">
        <f t="shared" si="72"/>
        <v>0.17247961260230826</v>
      </c>
      <c r="BM162" t="s">
        <v>792</v>
      </c>
    </row>
    <row r="163" spans="1:65" x14ac:dyDescent="0.4">
      <c r="A163" s="3">
        <v>150</v>
      </c>
      <c r="B163" s="3">
        <f t="shared" si="74"/>
        <v>160</v>
      </c>
      <c r="C163" s="4" t="s">
        <v>160</v>
      </c>
      <c r="D163" s="4" t="str">
        <f>TEXT(C163,"000000")</f>
        <v>J099LY</v>
      </c>
      <c r="E163" s="4" t="s">
        <v>160</v>
      </c>
      <c r="F163" s="4" t="s">
        <v>321</v>
      </c>
      <c r="G163" s="5">
        <v>4977564402679</v>
      </c>
      <c r="H163" s="5">
        <v>5</v>
      </c>
      <c r="I163" s="5" t="str">
        <f t="shared" si="51"/>
        <v>J099LY5</v>
      </c>
      <c r="J163" s="5">
        <v>1</v>
      </c>
      <c r="K163" s="5">
        <v>1</v>
      </c>
      <c r="L163" s="4">
        <v>0</v>
      </c>
      <c r="M163" s="4">
        <v>134</v>
      </c>
      <c r="N163" s="4">
        <v>82</v>
      </c>
      <c r="O163" s="6">
        <f t="shared" si="52"/>
        <v>0.38805970149253732</v>
      </c>
      <c r="P163" s="4" t="s">
        <v>410</v>
      </c>
      <c r="Q163" s="4" t="s">
        <v>410</v>
      </c>
      <c r="R163" s="4" t="s">
        <v>410</v>
      </c>
      <c r="S163" s="4" t="s">
        <v>410</v>
      </c>
      <c r="T163" s="4" t="s">
        <v>410</v>
      </c>
      <c r="U163" s="4" t="s">
        <v>410</v>
      </c>
      <c r="V163" s="4">
        <v>0</v>
      </c>
      <c r="W163" s="4">
        <f t="shared" si="53"/>
        <v>0</v>
      </c>
      <c r="X163" s="4">
        <v>102</v>
      </c>
      <c r="Y163" s="4">
        <f t="shared" si="54"/>
        <v>102</v>
      </c>
      <c r="Z163" s="4"/>
      <c r="AA163" s="21">
        <f t="shared" si="55"/>
        <v>167</v>
      </c>
      <c r="AB163" s="6">
        <f t="shared" si="56"/>
        <v>0.3892215568862275</v>
      </c>
      <c r="AC163" s="4">
        <v>0.5</v>
      </c>
      <c r="AD163" s="4">
        <f t="shared" si="57"/>
        <v>205</v>
      </c>
      <c r="AE163" s="4">
        <f t="shared" si="58"/>
        <v>255</v>
      </c>
      <c r="AF163" s="6">
        <f t="shared" si="59"/>
        <v>0.6</v>
      </c>
      <c r="AG163" s="7">
        <v>168</v>
      </c>
      <c r="AH163" s="6">
        <f t="shared" si="60"/>
        <v>0.3928571428571429</v>
      </c>
      <c r="AI163" s="4">
        <f t="shared" si="61"/>
        <v>66</v>
      </c>
      <c r="AJ163" s="28"/>
      <c r="AK163" s="6"/>
      <c r="AL163" s="6"/>
      <c r="AM163" s="6" t="e">
        <f t="shared" si="62"/>
        <v>#DIV/0!</v>
      </c>
      <c r="AN163" s="6">
        <f t="shared" si="63"/>
        <v>1.2537313432835822</v>
      </c>
      <c r="AO163" s="6">
        <f t="shared" si="64"/>
        <v>1.2439024390243902</v>
      </c>
      <c r="AP163" s="4" t="str">
        <f t="shared" si="65"/>
        <v>-</v>
      </c>
      <c r="AQ163" s="4" t="str">
        <f t="shared" si="66"/>
        <v>-</v>
      </c>
      <c r="AR163" s="4" t="str">
        <f t="shared" si="67"/>
        <v>-</v>
      </c>
      <c r="AS163" s="4" t="str">
        <f t="shared" si="68"/>
        <v>-</v>
      </c>
      <c r="AT163" s="4" t="str">
        <f t="shared" si="69"/>
        <v>-</v>
      </c>
      <c r="AU163" s="4" t="str">
        <f t="shared" si="70"/>
        <v>-</v>
      </c>
      <c r="AV163" s="4">
        <v>0</v>
      </c>
      <c r="AW163" s="4" t="s">
        <v>715</v>
      </c>
      <c r="AX163" s="4"/>
      <c r="AY163" s="4"/>
      <c r="AZ163" s="4" t="s">
        <v>654</v>
      </c>
      <c r="BA163" s="4">
        <v>205</v>
      </c>
      <c r="BB163" s="4">
        <v>205</v>
      </c>
      <c r="BC163" s="4">
        <f t="shared" si="71"/>
        <v>205</v>
      </c>
      <c r="BD163" s="19">
        <v>4</v>
      </c>
      <c r="BE163" s="19">
        <v>1</v>
      </c>
      <c r="BF163" s="16">
        <v>3</v>
      </c>
      <c r="BG163" s="36">
        <v>46174</v>
      </c>
      <c r="BH163" t="s">
        <v>410</v>
      </c>
      <c r="BI163">
        <v>188</v>
      </c>
      <c r="BJ163" s="4" t="s">
        <v>519</v>
      </c>
      <c r="BL163" s="44">
        <f t="shared" si="72"/>
        <v>9.8289042591919173E-3</v>
      </c>
      <c r="BM163" t="s">
        <v>792</v>
      </c>
    </row>
    <row r="164" spans="1:65" x14ac:dyDescent="0.4">
      <c r="A164" s="3">
        <v>151</v>
      </c>
      <c r="B164" s="3">
        <f t="shared" si="74"/>
        <v>161</v>
      </c>
      <c r="C164" s="33">
        <v>606964</v>
      </c>
      <c r="D164" s="4" t="str">
        <f>TEXT(C164,"000000")</f>
        <v>606964</v>
      </c>
      <c r="E164" s="4">
        <v>606964</v>
      </c>
      <c r="F164" s="4" t="s">
        <v>322</v>
      </c>
      <c r="G164" s="5">
        <v>4977564402686</v>
      </c>
      <c r="H164" s="5">
        <v>5</v>
      </c>
      <c r="I164" s="5" t="str">
        <f t="shared" si="51"/>
        <v>6069645</v>
      </c>
      <c r="J164" s="5">
        <v>2</v>
      </c>
      <c r="K164" s="5">
        <v>2</v>
      </c>
      <c r="L164" s="4">
        <v>0</v>
      </c>
      <c r="M164" s="4">
        <v>1394</v>
      </c>
      <c r="N164" s="4">
        <v>920</v>
      </c>
      <c r="O164" s="6">
        <f t="shared" si="52"/>
        <v>0.34002869440459116</v>
      </c>
      <c r="P164" s="4" t="s">
        <v>410</v>
      </c>
      <c r="Q164" s="4" t="s">
        <v>410</v>
      </c>
      <c r="R164" s="4" t="s">
        <v>410</v>
      </c>
      <c r="S164" s="4" t="s">
        <v>410</v>
      </c>
      <c r="T164" s="4" t="s">
        <v>410</v>
      </c>
      <c r="U164" s="4" t="s">
        <v>410</v>
      </c>
      <c r="V164" s="4">
        <v>0</v>
      </c>
      <c r="W164" s="4">
        <f t="shared" si="53"/>
        <v>0</v>
      </c>
      <c r="X164" s="4">
        <v>102</v>
      </c>
      <c r="Y164" s="4">
        <f t="shared" si="54"/>
        <v>1020</v>
      </c>
      <c r="Z164" s="4">
        <v>10</v>
      </c>
      <c r="AA164" s="21">
        <f t="shared" si="55"/>
        <v>1546</v>
      </c>
      <c r="AB164" s="6">
        <f t="shared" si="56"/>
        <v>0.34023285899094435</v>
      </c>
      <c r="AC164" s="4">
        <v>5</v>
      </c>
      <c r="AD164" s="4">
        <f t="shared" si="57"/>
        <v>187</v>
      </c>
      <c r="AE164" s="4">
        <f t="shared" si="58"/>
        <v>207.32608695652175</v>
      </c>
      <c r="AF164" s="6">
        <f t="shared" si="59"/>
        <v>-3.9197860962566846</v>
      </c>
      <c r="AG164" s="7">
        <v>1580</v>
      </c>
      <c r="AH164" s="6">
        <f t="shared" si="60"/>
        <v>0.35443037974683544</v>
      </c>
      <c r="AI164" s="4">
        <f t="shared" si="61"/>
        <v>560</v>
      </c>
      <c r="AJ164" s="28"/>
      <c r="AK164" s="6"/>
      <c r="AL164" s="6"/>
      <c r="AM164" s="6" t="e">
        <f t="shared" si="62"/>
        <v>#DIV/0!</v>
      </c>
      <c r="AN164" s="6">
        <f t="shared" si="63"/>
        <v>1.1334289813486371</v>
      </c>
      <c r="AO164" s="6">
        <f t="shared" si="64"/>
        <v>1.1086956521739131</v>
      </c>
      <c r="AP164" s="4" t="str">
        <f t="shared" si="65"/>
        <v>-</v>
      </c>
      <c r="AQ164" s="4" t="str">
        <f t="shared" si="66"/>
        <v>-</v>
      </c>
      <c r="AR164" s="4" t="str">
        <f t="shared" si="67"/>
        <v>-</v>
      </c>
      <c r="AS164" s="4" t="str">
        <f t="shared" si="68"/>
        <v>-</v>
      </c>
      <c r="AT164" s="4" t="str">
        <f t="shared" si="69"/>
        <v>-</v>
      </c>
      <c r="AU164" s="4" t="str">
        <f t="shared" si="70"/>
        <v>-</v>
      </c>
      <c r="AV164" s="4">
        <v>0</v>
      </c>
      <c r="AW164" s="4" t="s">
        <v>716</v>
      </c>
      <c r="AX164" s="4"/>
      <c r="AY164" s="4"/>
      <c r="AZ164" s="4" t="s">
        <v>654</v>
      </c>
      <c r="BA164" s="4">
        <v>187</v>
      </c>
      <c r="BB164" s="4">
        <v>187</v>
      </c>
      <c r="BC164" s="4">
        <f t="shared" si="71"/>
        <v>187</v>
      </c>
      <c r="BD164" s="19">
        <v>4</v>
      </c>
      <c r="BE164" s="19">
        <v>1</v>
      </c>
      <c r="BF164" s="16">
        <v>3</v>
      </c>
      <c r="BG164" s="36">
        <v>46174</v>
      </c>
      <c r="BH164" t="s">
        <v>410</v>
      </c>
      <c r="BI164">
        <v>188</v>
      </c>
      <c r="BJ164" s="4" t="s">
        <v>520</v>
      </c>
      <c r="BL164" s="44">
        <f t="shared" si="72"/>
        <v>2.4733329174724039E-2</v>
      </c>
      <c r="BM164" t="s">
        <v>792</v>
      </c>
    </row>
    <row r="165" spans="1:65" x14ac:dyDescent="0.4">
      <c r="A165" s="3">
        <v>240</v>
      </c>
      <c r="B165" s="3">
        <f t="shared" si="74"/>
        <v>162</v>
      </c>
      <c r="C165" s="33">
        <v>606964</v>
      </c>
      <c r="D165" s="4" t="s">
        <v>161</v>
      </c>
      <c r="E165" s="4">
        <v>698879</v>
      </c>
      <c r="F165" s="4" t="s">
        <v>401</v>
      </c>
      <c r="G165" s="5">
        <v>4977564402686</v>
      </c>
      <c r="H165" s="5">
        <v>8</v>
      </c>
      <c r="I165" s="5" t="str">
        <f t="shared" si="51"/>
        <v>6069648</v>
      </c>
      <c r="J165" s="5"/>
      <c r="K165" s="5"/>
      <c r="L165" s="4">
        <v>0</v>
      </c>
      <c r="M165" s="4">
        <v>5854</v>
      </c>
      <c r="N165" s="4">
        <v>4600</v>
      </c>
      <c r="O165" s="6">
        <f t="shared" si="52"/>
        <v>0.21421250427058425</v>
      </c>
      <c r="P165" s="4" t="s">
        <v>410</v>
      </c>
      <c r="Q165" s="4" t="s">
        <v>410</v>
      </c>
      <c r="R165" s="4" t="s">
        <v>410</v>
      </c>
      <c r="S165" s="4" t="s">
        <v>410</v>
      </c>
      <c r="T165" s="4" t="s">
        <v>410</v>
      </c>
      <c r="U165" s="4" t="s">
        <v>410</v>
      </c>
      <c r="V165" s="4">
        <v>0</v>
      </c>
      <c r="W165" s="4">
        <f t="shared" si="53"/>
        <v>0</v>
      </c>
      <c r="X165" s="4">
        <v>102</v>
      </c>
      <c r="Y165" s="4">
        <f t="shared" si="54"/>
        <v>5100</v>
      </c>
      <c r="Z165" s="4">
        <v>50</v>
      </c>
      <c r="AA165" s="21">
        <f t="shared" si="55"/>
        <v>6490</v>
      </c>
      <c r="AB165" s="6">
        <f t="shared" si="56"/>
        <v>0.214175654853621</v>
      </c>
      <c r="AC165" s="4">
        <v>5</v>
      </c>
      <c r="AD165" s="4">
        <f t="shared" si="57"/>
        <v>8780</v>
      </c>
      <c r="AE165" s="4">
        <f t="shared" si="58"/>
        <v>9734.347826086956</v>
      </c>
      <c r="AF165" s="6">
        <f t="shared" si="59"/>
        <v>0.47608200455580862</v>
      </c>
      <c r="AG165" s="7">
        <v>7500</v>
      </c>
      <c r="AH165" s="6">
        <f t="shared" si="60"/>
        <v>0.31999999999999995</v>
      </c>
      <c r="AI165" s="4">
        <f t="shared" si="61"/>
        <v>2400</v>
      </c>
      <c r="AJ165" s="28"/>
      <c r="AK165" s="6"/>
      <c r="AL165" s="6"/>
      <c r="AM165" s="6" t="e">
        <f t="shared" si="62"/>
        <v>#DIV/0!</v>
      </c>
      <c r="AN165" s="6">
        <f t="shared" si="63"/>
        <v>1.2811752647762213</v>
      </c>
      <c r="AO165" s="6">
        <f t="shared" si="64"/>
        <v>1.1086956521739131</v>
      </c>
      <c r="AP165" s="4" t="str">
        <f t="shared" si="65"/>
        <v>-</v>
      </c>
      <c r="AQ165" s="4" t="str">
        <f t="shared" si="66"/>
        <v>-</v>
      </c>
      <c r="AR165" s="4" t="str">
        <f t="shared" si="67"/>
        <v>-</v>
      </c>
      <c r="AS165" s="4" t="str">
        <f t="shared" si="68"/>
        <v>-</v>
      </c>
      <c r="AT165" s="4" t="str">
        <f t="shared" si="69"/>
        <v>-</v>
      </c>
      <c r="AU165" s="4" t="str">
        <f t="shared" si="70"/>
        <v>-</v>
      </c>
      <c r="AV165" s="4">
        <v>0</v>
      </c>
      <c r="AW165" s="4" t="s">
        <v>776</v>
      </c>
      <c r="AX165" s="4">
        <v>50</v>
      </c>
      <c r="AY165" s="4">
        <v>5</v>
      </c>
      <c r="AZ165" s="4" t="s">
        <v>777</v>
      </c>
      <c r="BA165" s="4">
        <v>878</v>
      </c>
      <c r="BB165" s="4">
        <v>878</v>
      </c>
      <c r="BC165" s="4">
        <f t="shared" si="71"/>
        <v>8780</v>
      </c>
      <c r="BD165" s="19">
        <v>4</v>
      </c>
      <c r="BE165" s="19">
        <v>1</v>
      </c>
      <c r="BF165" s="16">
        <v>3</v>
      </c>
      <c r="BG165" s="36">
        <v>46174</v>
      </c>
      <c r="BH165" t="s">
        <v>410</v>
      </c>
      <c r="BI165">
        <v>188</v>
      </c>
      <c r="BJ165" s="4" t="s">
        <v>574</v>
      </c>
      <c r="BK165">
        <v>2</v>
      </c>
      <c r="BL165" s="44">
        <f t="shared" si="72"/>
        <v>0.17247961260230826</v>
      </c>
      <c r="BM165" t="s">
        <v>792</v>
      </c>
    </row>
    <row r="166" spans="1:65" x14ac:dyDescent="0.4">
      <c r="A166" s="3">
        <v>152</v>
      </c>
      <c r="B166" s="3">
        <f t="shared" si="74"/>
        <v>163</v>
      </c>
      <c r="C166" s="33">
        <v>389295</v>
      </c>
      <c r="D166" s="4" t="str">
        <f>TEXT(C166,"000000")</f>
        <v>389295</v>
      </c>
      <c r="E166" s="4">
        <v>389295</v>
      </c>
      <c r="F166" s="4" t="s">
        <v>323</v>
      </c>
      <c r="G166" s="5">
        <v>4977564402693</v>
      </c>
      <c r="H166" s="5">
        <v>5</v>
      </c>
      <c r="I166" s="5" t="str">
        <f t="shared" si="51"/>
        <v>3892955</v>
      </c>
      <c r="J166" s="5">
        <v>2</v>
      </c>
      <c r="K166" s="5">
        <v>2</v>
      </c>
      <c r="L166" s="4">
        <v>0</v>
      </c>
      <c r="M166" s="4">
        <v>1446</v>
      </c>
      <c r="N166" s="4">
        <v>920</v>
      </c>
      <c r="O166" s="6">
        <f t="shared" si="52"/>
        <v>0.36376210235131401</v>
      </c>
      <c r="P166" s="4" t="s">
        <v>410</v>
      </c>
      <c r="Q166" s="4" t="s">
        <v>410</v>
      </c>
      <c r="R166" s="4" t="s">
        <v>410</v>
      </c>
      <c r="S166" s="4" t="s">
        <v>410</v>
      </c>
      <c r="T166" s="4" t="s">
        <v>410</v>
      </c>
      <c r="U166" s="4" t="s">
        <v>410</v>
      </c>
      <c r="V166" s="4">
        <v>0</v>
      </c>
      <c r="W166" s="4">
        <f t="shared" si="53"/>
        <v>0</v>
      </c>
      <c r="X166" s="4">
        <v>102</v>
      </c>
      <c r="Y166" s="4">
        <f t="shared" si="54"/>
        <v>1020</v>
      </c>
      <c r="Z166" s="4">
        <v>10</v>
      </c>
      <c r="AA166" s="21">
        <f t="shared" si="55"/>
        <v>1603</v>
      </c>
      <c r="AB166" s="6">
        <f t="shared" si="56"/>
        <v>0.36369307548346852</v>
      </c>
      <c r="AC166" s="4">
        <v>18.25</v>
      </c>
      <c r="AD166" s="4" t="str">
        <f t="shared" si="57"/>
        <v>-</v>
      </c>
      <c r="AE166" s="4" t="e">
        <f t="shared" si="58"/>
        <v>#VALUE!</v>
      </c>
      <c r="AF166" s="6" t="e">
        <f t="shared" si="59"/>
        <v>#VALUE!</v>
      </c>
      <c r="AG166" s="7">
        <v>1580</v>
      </c>
      <c r="AH166" s="6">
        <f t="shared" si="60"/>
        <v>0.35443037974683544</v>
      </c>
      <c r="AI166" s="4">
        <f t="shared" si="61"/>
        <v>560</v>
      </c>
      <c r="AJ166" s="28"/>
      <c r="AK166" s="6"/>
      <c r="AL166" s="6"/>
      <c r="AM166" s="6" t="e">
        <f t="shared" si="62"/>
        <v>#DIV/0!</v>
      </c>
      <c r="AN166" s="6">
        <f t="shared" si="63"/>
        <v>1.0926694329183955</v>
      </c>
      <c r="AO166" s="6">
        <f t="shared" si="64"/>
        <v>1.1086956521739131</v>
      </c>
      <c r="AP166" s="4" t="str">
        <f t="shared" si="65"/>
        <v>-</v>
      </c>
      <c r="AQ166" s="4" t="str">
        <f t="shared" si="66"/>
        <v>-</v>
      </c>
      <c r="AR166" s="4" t="str">
        <f t="shared" si="67"/>
        <v>-</v>
      </c>
      <c r="AS166" s="4" t="str">
        <f t="shared" si="68"/>
        <v>-</v>
      </c>
      <c r="AT166" s="4" t="str">
        <f t="shared" si="69"/>
        <v>-</v>
      </c>
      <c r="AU166" s="4" t="str">
        <f t="shared" si="70"/>
        <v>-</v>
      </c>
      <c r="AV166" s="4">
        <v>0</v>
      </c>
      <c r="AW166" s="4" t="s">
        <v>410</v>
      </c>
      <c r="AX166" s="4"/>
      <c r="AY166" s="4"/>
      <c r="AZ166" s="4" t="s">
        <v>410</v>
      </c>
      <c r="BA166" s="4" t="s">
        <v>410</v>
      </c>
      <c r="BB166" s="4" t="s">
        <v>410</v>
      </c>
      <c r="BC166" s="4" t="str">
        <f t="shared" si="71"/>
        <v>-</v>
      </c>
      <c r="BD166" s="19">
        <v>4</v>
      </c>
      <c r="BE166" s="19">
        <v>8</v>
      </c>
      <c r="BF166" s="16">
        <v>3</v>
      </c>
      <c r="BG166" s="36">
        <v>46174</v>
      </c>
      <c r="BH166">
        <v>1410</v>
      </c>
      <c r="BI166" t="s">
        <v>410</v>
      </c>
      <c r="BJ166" s="4" t="s">
        <v>410</v>
      </c>
      <c r="BL166" s="44">
        <f t="shared" si="72"/>
        <v>-1.6026219255517615E-2</v>
      </c>
      <c r="BM166" t="s">
        <v>792</v>
      </c>
    </row>
    <row r="167" spans="1:65" x14ac:dyDescent="0.4">
      <c r="A167" s="3">
        <v>241</v>
      </c>
      <c r="B167" s="3">
        <f t="shared" si="74"/>
        <v>164</v>
      </c>
      <c r="C167" s="33">
        <v>389295</v>
      </c>
      <c r="D167" s="4" t="s">
        <v>162</v>
      </c>
      <c r="E167" s="4">
        <v>389340</v>
      </c>
      <c r="F167" s="4" t="s">
        <v>402</v>
      </c>
      <c r="G167" s="5">
        <v>4977564402693</v>
      </c>
      <c r="H167" s="5">
        <v>8</v>
      </c>
      <c r="I167" s="5" t="str">
        <f t="shared" si="51"/>
        <v>3892958</v>
      </c>
      <c r="J167" s="5"/>
      <c r="K167" s="5"/>
      <c r="L167" s="4">
        <v>0</v>
      </c>
      <c r="M167" s="4">
        <v>6568</v>
      </c>
      <c r="N167" s="4">
        <v>4600</v>
      </c>
      <c r="O167" s="6">
        <f t="shared" si="52"/>
        <v>0.29963459196102316</v>
      </c>
      <c r="P167" s="4">
        <v>5980</v>
      </c>
      <c r="Q167" s="4">
        <v>10</v>
      </c>
      <c r="R167" s="4">
        <v>29</v>
      </c>
      <c r="S167" s="4">
        <v>5740</v>
      </c>
      <c r="T167" s="4">
        <v>30</v>
      </c>
      <c r="U167" s="4">
        <v>99999</v>
      </c>
      <c r="V167" s="4">
        <v>0</v>
      </c>
      <c r="W167" s="4">
        <f t="shared" si="53"/>
        <v>0</v>
      </c>
      <c r="X167" s="4">
        <v>102</v>
      </c>
      <c r="Y167" s="4">
        <f t="shared" si="54"/>
        <v>5100</v>
      </c>
      <c r="Z167" s="4">
        <v>50</v>
      </c>
      <c r="AA167" s="21">
        <f t="shared" si="55"/>
        <v>7282</v>
      </c>
      <c r="AB167" s="6">
        <f t="shared" si="56"/>
        <v>0.29964295523207907</v>
      </c>
      <c r="AC167" s="4">
        <v>18.25</v>
      </c>
      <c r="AD167" s="4" t="str">
        <f t="shared" si="57"/>
        <v>-</v>
      </c>
      <c r="AE167" s="4" t="e">
        <f t="shared" si="58"/>
        <v>#VALUE!</v>
      </c>
      <c r="AF167" s="6" t="e">
        <f t="shared" si="59"/>
        <v>#VALUE!</v>
      </c>
      <c r="AG167" s="7">
        <v>7500</v>
      </c>
      <c r="AH167" s="6">
        <f t="shared" si="60"/>
        <v>0.31999999999999995</v>
      </c>
      <c r="AI167" s="4">
        <f t="shared" si="61"/>
        <v>2400</v>
      </c>
      <c r="AJ167" s="28"/>
      <c r="AK167" s="6"/>
      <c r="AL167" s="6"/>
      <c r="AM167" s="6" t="e">
        <f t="shared" si="62"/>
        <v>#DIV/0!</v>
      </c>
      <c r="AN167" s="6">
        <f t="shared" si="63"/>
        <v>1.1419001218026796</v>
      </c>
      <c r="AO167" s="6">
        <f t="shared" si="64"/>
        <v>1.1086956521739131</v>
      </c>
      <c r="AP167" s="4">
        <f t="shared" si="65"/>
        <v>6829</v>
      </c>
      <c r="AQ167" s="4">
        <f t="shared" si="66"/>
        <v>10</v>
      </c>
      <c r="AR167" s="4">
        <f t="shared" si="67"/>
        <v>29</v>
      </c>
      <c r="AS167" s="4">
        <f t="shared" si="68"/>
        <v>6555</v>
      </c>
      <c r="AT167" s="4">
        <f t="shared" si="69"/>
        <v>30</v>
      </c>
      <c r="AU167" s="4">
        <f t="shared" si="70"/>
        <v>99999</v>
      </c>
      <c r="AV167" s="4">
        <v>0</v>
      </c>
      <c r="AW167" s="4" t="s">
        <v>410</v>
      </c>
      <c r="AX167" s="4"/>
      <c r="AY167" s="4"/>
      <c r="AZ167" s="4" t="s">
        <v>410</v>
      </c>
      <c r="BA167" s="4" t="s">
        <v>410</v>
      </c>
      <c r="BB167" s="4" t="s">
        <v>410</v>
      </c>
      <c r="BC167" s="4" t="str">
        <f t="shared" si="71"/>
        <v>-</v>
      </c>
      <c r="BD167" s="19">
        <v>4</v>
      </c>
      <c r="BE167" s="19">
        <v>8</v>
      </c>
      <c r="BF167" s="16">
        <v>3</v>
      </c>
      <c r="BG167" s="36">
        <v>46174</v>
      </c>
      <c r="BH167">
        <v>1410</v>
      </c>
      <c r="BI167" t="s">
        <v>410</v>
      </c>
      <c r="BJ167" s="4" t="s">
        <v>410</v>
      </c>
      <c r="BK167">
        <v>2</v>
      </c>
      <c r="BL167" s="44">
        <f t="shared" si="72"/>
        <v>3.3204469628766553E-2</v>
      </c>
      <c r="BM167" t="s">
        <v>792</v>
      </c>
    </row>
    <row r="168" spans="1:65" x14ac:dyDescent="0.4">
      <c r="A168" s="3">
        <v>156</v>
      </c>
      <c r="B168" s="3">
        <f t="shared" si="74"/>
        <v>165</v>
      </c>
      <c r="C168" s="4" t="s">
        <v>163</v>
      </c>
      <c r="D168" s="4" t="str">
        <f t="shared" ref="D168:D171" si="76">TEXT(C168,"000000")</f>
        <v>J100LY</v>
      </c>
      <c r="E168" s="4" t="s">
        <v>163</v>
      </c>
      <c r="F168" s="4" t="s">
        <v>324</v>
      </c>
      <c r="G168" s="5">
        <v>4977564403133</v>
      </c>
      <c r="H168" s="5">
        <v>5</v>
      </c>
      <c r="I168" s="5" t="str">
        <f t="shared" si="51"/>
        <v>J100LY5</v>
      </c>
      <c r="J168" s="5">
        <v>1</v>
      </c>
      <c r="K168" s="5">
        <v>1</v>
      </c>
      <c r="L168" s="4">
        <v>0</v>
      </c>
      <c r="M168" s="4">
        <v>123</v>
      </c>
      <c r="N168" s="4">
        <v>75</v>
      </c>
      <c r="O168" s="6">
        <f t="shared" si="52"/>
        <v>0.3902439024390244</v>
      </c>
      <c r="P168" s="4" t="s">
        <v>410</v>
      </c>
      <c r="Q168" s="4" t="s">
        <v>410</v>
      </c>
      <c r="R168" s="4" t="s">
        <v>410</v>
      </c>
      <c r="S168" s="4" t="s">
        <v>410</v>
      </c>
      <c r="T168" s="4" t="s">
        <v>410</v>
      </c>
      <c r="U168" s="4" t="s">
        <v>410</v>
      </c>
      <c r="V168" s="4">
        <v>0</v>
      </c>
      <c r="W168" s="4">
        <f t="shared" si="53"/>
        <v>0</v>
      </c>
      <c r="X168" s="4">
        <v>90</v>
      </c>
      <c r="Y168" s="4">
        <f t="shared" si="54"/>
        <v>90</v>
      </c>
      <c r="Z168" s="4"/>
      <c r="AA168" s="21">
        <f t="shared" si="55"/>
        <v>148</v>
      </c>
      <c r="AB168" s="6">
        <f t="shared" si="56"/>
        <v>0.39189189189189189</v>
      </c>
      <c r="AC168" s="4">
        <v>2.75</v>
      </c>
      <c r="AD168" s="4" t="str">
        <f t="shared" si="57"/>
        <v>-</v>
      </c>
      <c r="AE168" s="4" t="e">
        <f t="shared" si="58"/>
        <v>#VALUE!</v>
      </c>
      <c r="AF168" s="6" t="e">
        <f t="shared" si="59"/>
        <v>#VALUE!</v>
      </c>
      <c r="AG168" s="7">
        <v>148</v>
      </c>
      <c r="AH168" s="6">
        <f t="shared" si="60"/>
        <v>0.39189189189189189</v>
      </c>
      <c r="AI168" s="4">
        <f t="shared" si="61"/>
        <v>58</v>
      </c>
      <c r="AJ168" s="28"/>
      <c r="AK168" s="6"/>
      <c r="AL168" s="6"/>
      <c r="AM168" s="6" t="e">
        <f t="shared" si="62"/>
        <v>#DIV/0!</v>
      </c>
      <c r="AN168" s="6">
        <f t="shared" si="63"/>
        <v>1.2032520325203253</v>
      </c>
      <c r="AO168" s="6">
        <f t="shared" si="64"/>
        <v>1.2</v>
      </c>
      <c r="AP168" s="4" t="str">
        <f t="shared" si="65"/>
        <v>-</v>
      </c>
      <c r="AQ168" s="4" t="str">
        <f t="shared" si="66"/>
        <v>-</v>
      </c>
      <c r="AR168" s="4" t="str">
        <f t="shared" si="67"/>
        <v>-</v>
      </c>
      <c r="AS168" s="4" t="str">
        <f t="shared" si="68"/>
        <v>-</v>
      </c>
      <c r="AT168" s="4" t="str">
        <f t="shared" si="69"/>
        <v>-</v>
      </c>
      <c r="AU168" s="4" t="str">
        <f t="shared" si="70"/>
        <v>-</v>
      </c>
      <c r="AV168" s="4">
        <v>0</v>
      </c>
      <c r="AW168" s="4" t="s">
        <v>410</v>
      </c>
      <c r="AX168" s="4"/>
      <c r="AY168" s="4"/>
      <c r="AZ168" s="4" t="s">
        <v>410</v>
      </c>
      <c r="BA168" s="4" t="s">
        <v>410</v>
      </c>
      <c r="BB168" s="4" t="s">
        <v>410</v>
      </c>
      <c r="BC168" s="4" t="str">
        <f t="shared" si="71"/>
        <v>-</v>
      </c>
      <c r="BD168" s="19">
        <v>4</v>
      </c>
      <c r="BE168" s="19">
        <v>1</v>
      </c>
      <c r="BF168" s="16">
        <v>3</v>
      </c>
      <c r="BG168" s="36">
        <v>46174</v>
      </c>
      <c r="BH168" t="s">
        <v>410</v>
      </c>
      <c r="BI168">
        <v>163</v>
      </c>
      <c r="BJ168" s="4" t="s">
        <v>410</v>
      </c>
      <c r="BL168" s="44">
        <f t="shared" si="72"/>
        <v>3.2520325203253542E-3</v>
      </c>
      <c r="BM168" t="s">
        <v>792</v>
      </c>
    </row>
    <row r="169" spans="1:65" x14ac:dyDescent="0.4">
      <c r="A169" s="3">
        <v>157</v>
      </c>
      <c r="B169" s="3">
        <f t="shared" si="74"/>
        <v>166</v>
      </c>
      <c r="C169" s="4">
        <v>680425</v>
      </c>
      <c r="D169" s="4" t="str">
        <f t="shared" si="76"/>
        <v>680425</v>
      </c>
      <c r="E169" s="4">
        <v>680425</v>
      </c>
      <c r="F169" s="4" t="s">
        <v>325</v>
      </c>
      <c r="G169" s="5">
        <v>4977564403164</v>
      </c>
      <c r="H169" s="5">
        <v>5</v>
      </c>
      <c r="I169" s="5" t="str">
        <f t="shared" si="51"/>
        <v>6804255</v>
      </c>
      <c r="J169" s="5">
        <v>1</v>
      </c>
      <c r="K169" s="5">
        <v>1</v>
      </c>
      <c r="L169" s="4">
        <v>0</v>
      </c>
      <c r="M169" s="4">
        <v>123</v>
      </c>
      <c r="N169" s="4">
        <v>85</v>
      </c>
      <c r="O169" s="6">
        <f t="shared" si="52"/>
        <v>0.30894308943089432</v>
      </c>
      <c r="P169" s="4" t="s">
        <v>410</v>
      </c>
      <c r="Q169" s="4" t="s">
        <v>410</v>
      </c>
      <c r="R169" s="4" t="s">
        <v>410</v>
      </c>
      <c r="S169" s="4" t="s">
        <v>410</v>
      </c>
      <c r="T169" s="4" t="s">
        <v>410</v>
      </c>
      <c r="U169" s="4" t="s">
        <v>410</v>
      </c>
      <c r="V169" s="4">
        <v>0</v>
      </c>
      <c r="W169" s="4">
        <f t="shared" si="53"/>
        <v>0</v>
      </c>
      <c r="X169" s="4">
        <v>90</v>
      </c>
      <c r="Y169" s="4">
        <f t="shared" si="54"/>
        <v>90</v>
      </c>
      <c r="Z169" s="4"/>
      <c r="AA169" s="21">
        <f t="shared" si="55"/>
        <v>130</v>
      </c>
      <c r="AB169" s="6">
        <f t="shared" si="56"/>
        <v>0.30769230769230771</v>
      </c>
      <c r="AC169" s="4">
        <v>6</v>
      </c>
      <c r="AD169" s="4">
        <f t="shared" si="57"/>
        <v>177</v>
      </c>
      <c r="AE169" s="4">
        <f t="shared" si="58"/>
        <v>187.41176470588235</v>
      </c>
      <c r="AF169" s="6">
        <f t="shared" si="59"/>
        <v>0.51977401129943501</v>
      </c>
      <c r="AG169" s="7">
        <v>148</v>
      </c>
      <c r="AH169" s="6">
        <f t="shared" si="60"/>
        <v>0.39189189189189189</v>
      </c>
      <c r="AI169" s="4">
        <f t="shared" si="61"/>
        <v>58</v>
      </c>
      <c r="AJ169" s="28"/>
      <c r="AK169" s="6"/>
      <c r="AL169" s="6"/>
      <c r="AM169" s="6" t="e">
        <f t="shared" si="62"/>
        <v>#DIV/0!</v>
      </c>
      <c r="AN169" s="6">
        <f t="shared" si="63"/>
        <v>1.2032520325203253</v>
      </c>
      <c r="AO169" s="6">
        <f t="shared" si="64"/>
        <v>1.0588235294117647</v>
      </c>
      <c r="AP169" s="4" t="str">
        <f t="shared" si="65"/>
        <v>-</v>
      </c>
      <c r="AQ169" s="4" t="str">
        <f t="shared" si="66"/>
        <v>-</v>
      </c>
      <c r="AR169" s="4" t="str">
        <f t="shared" si="67"/>
        <v>-</v>
      </c>
      <c r="AS169" s="4" t="str">
        <f t="shared" si="68"/>
        <v>-</v>
      </c>
      <c r="AT169" s="4" t="str">
        <f t="shared" si="69"/>
        <v>-</v>
      </c>
      <c r="AU169" s="4" t="str">
        <f t="shared" si="70"/>
        <v>-</v>
      </c>
      <c r="AV169" s="4">
        <v>0</v>
      </c>
      <c r="AW169" s="4" t="s">
        <v>717</v>
      </c>
      <c r="AX169" s="4"/>
      <c r="AY169" s="4"/>
      <c r="AZ169" s="4" t="s">
        <v>654</v>
      </c>
      <c r="BA169" s="4">
        <v>177</v>
      </c>
      <c r="BB169" s="4">
        <v>177</v>
      </c>
      <c r="BC169" s="4">
        <f t="shared" si="71"/>
        <v>177</v>
      </c>
      <c r="BD169" s="19">
        <v>4</v>
      </c>
      <c r="BE169" s="19">
        <v>1</v>
      </c>
      <c r="BF169" s="16">
        <v>3</v>
      </c>
      <c r="BG169" s="36">
        <v>46174</v>
      </c>
      <c r="BH169">
        <v>1480</v>
      </c>
      <c r="BI169">
        <v>163</v>
      </c>
      <c r="BJ169" s="4" t="s">
        <v>521</v>
      </c>
      <c r="BL169" s="44">
        <f t="shared" si="72"/>
        <v>0.14442850310856059</v>
      </c>
      <c r="BM169" t="s">
        <v>792</v>
      </c>
    </row>
    <row r="170" spans="1:65" x14ac:dyDescent="0.4">
      <c r="A170" s="3">
        <v>158</v>
      </c>
      <c r="B170" s="3">
        <f t="shared" si="74"/>
        <v>167</v>
      </c>
      <c r="C170" s="4" t="s">
        <v>164</v>
      </c>
      <c r="D170" s="4" t="str">
        <f t="shared" si="76"/>
        <v>J101LY</v>
      </c>
      <c r="E170" s="4" t="s">
        <v>164</v>
      </c>
      <c r="F170" s="4" t="s">
        <v>326</v>
      </c>
      <c r="G170" s="5">
        <v>4977564403225</v>
      </c>
      <c r="H170" s="5">
        <v>5</v>
      </c>
      <c r="I170" s="5" t="str">
        <f t="shared" si="51"/>
        <v>J101LY5</v>
      </c>
      <c r="J170" s="5">
        <v>1</v>
      </c>
      <c r="K170" s="5">
        <v>1</v>
      </c>
      <c r="L170" s="4">
        <v>0</v>
      </c>
      <c r="M170" s="4">
        <v>123</v>
      </c>
      <c r="N170" s="4">
        <v>75</v>
      </c>
      <c r="O170" s="6">
        <f t="shared" si="52"/>
        <v>0.3902439024390244</v>
      </c>
      <c r="P170" s="4" t="s">
        <v>410</v>
      </c>
      <c r="Q170" s="4" t="s">
        <v>410</v>
      </c>
      <c r="R170" s="4" t="s">
        <v>410</v>
      </c>
      <c r="S170" s="4" t="s">
        <v>410</v>
      </c>
      <c r="T170" s="4" t="s">
        <v>410</v>
      </c>
      <c r="U170" s="4" t="s">
        <v>410</v>
      </c>
      <c r="V170" s="4">
        <v>0</v>
      </c>
      <c r="W170" s="4">
        <f t="shared" si="53"/>
        <v>0</v>
      </c>
      <c r="X170" s="4">
        <v>90</v>
      </c>
      <c r="Y170" s="4">
        <f t="shared" si="54"/>
        <v>90</v>
      </c>
      <c r="Z170" s="4"/>
      <c r="AA170" s="21">
        <f t="shared" si="55"/>
        <v>148</v>
      </c>
      <c r="AB170" s="6">
        <f t="shared" si="56"/>
        <v>0.39189189189189189</v>
      </c>
      <c r="AC170" s="4">
        <v>0.25</v>
      </c>
      <c r="AD170" s="4" t="str">
        <f t="shared" si="57"/>
        <v>-</v>
      </c>
      <c r="AE170" s="4" t="e">
        <f t="shared" si="58"/>
        <v>#VALUE!</v>
      </c>
      <c r="AF170" s="6" t="e">
        <f t="shared" si="59"/>
        <v>#VALUE!</v>
      </c>
      <c r="AG170" s="7">
        <v>148</v>
      </c>
      <c r="AH170" s="6">
        <f t="shared" si="60"/>
        <v>0.39189189189189189</v>
      </c>
      <c r="AI170" s="4">
        <f t="shared" si="61"/>
        <v>58</v>
      </c>
      <c r="AJ170" s="28"/>
      <c r="AK170" s="6"/>
      <c r="AL170" s="6"/>
      <c r="AM170" s="6" t="e">
        <f t="shared" si="62"/>
        <v>#DIV/0!</v>
      </c>
      <c r="AN170" s="6">
        <f t="shared" si="63"/>
        <v>1.2032520325203253</v>
      </c>
      <c r="AO170" s="6">
        <f t="shared" si="64"/>
        <v>1.2</v>
      </c>
      <c r="AP170" s="4" t="str">
        <f t="shared" si="65"/>
        <v>-</v>
      </c>
      <c r="AQ170" s="4" t="str">
        <f t="shared" si="66"/>
        <v>-</v>
      </c>
      <c r="AR170" s="4" t="str">
        <f t="shared" si="67"/>
        <v>-</v>
      </c>
      <c r="AS170" s="4" t="str">
        <f t="shared" si="68"/>
        <v>-</v>
      </c>
      <c r="AT170" s="4" t="str">
        <f t="shared" si="69"/>
        <v>-</v>
      </c>
      <c r="AU170" s="4" t="str">
        <f t="shared" si="70"/>
        <v>-</v>
      </c>
      <c r="AV170" s="4">
        <v>0</v>
      </c>
      <c r="AW170" s="4" t="s">
        <v>410</v>
      </c>
      <c r="AX170" s="4"/>
      <c r="AY170" s="4"/>
      <c r="AZ170" s="4" t="s">
        <v>410</v>
      </c>
      <c r="BA170" s="4" t="s">
        <v>410</v>
      </c>
      <c r="BB170" s="4" t="s">
        <v>410</v>
      </c>
      <c r="BC170" s="4" t="str">
        <f t="shared" si="71"/>
        <v>-</v>
      </c>
      <c r="BD170" s="19">
        <v>4</v>
      </c>
      <c r="BE170" s="19">
        <v>1</v>
      </c>
      <c r="BF170" s="16">
        <v>3</v>
      </c>
      <c r="BG170" s="36">
        <v>46174</v>
      </c>
      <c r="BH170" t="s">
        <v>410</v>
      </c>
      <c r="BI170" t="s">
        <v>410</v>
      </c>
      <c r="BJ170" s="4" t="s">
        <v>410</v>
      </c>
      <c r="BL170" s="44">
        <f t="shared" si="72"/>
        <v>3.2520325203253542E-3</v>
      </c>
      <c r="BM170" t="s">
        <v>792</v>
      </c>
    </row>
    <row r="171" spans="1:65" x14ac:dyDescent="0.4">
      <c r="A171" s="3">
        <v>159</v>
      </c>
      <c r="B171" s="3">
        <f t="shared" si="74"/>
        <v>168</v>
      </c>
      <c r="C171" s="33">
        <v>159014</v>
      </c>
      <c r="D171" s="4" t="str">
        <f t="shared" si="76"/>
        <v>159014</v>
      </c>
      <c r="E171" s="4">
        <v>159014</v>
      </c>
      <c r="F171" s="4" t="s">
        <v>327</v>
      </c>
      <c r="G171" s="5">
        <v>4977564402938</v>
      </c>
      <c r="H171" s="5">
        <v>5</v>
      </c>
      <c r="I171" s="5" t="str">
        <f t="shared" ref="I171:I219" si="77">C171&amp;H171</f>
        <v>1590145</v>
      </c>
      <c r="J171" s="5">
        <v>3</v>
      </c>
      <c r="K171" s="5">
        <v>2</v>
      </c>
      <c r="L171" s="4">
        <v>0</v>
      </c>
      <c r="M171" s="4">
        <v>163</v>
      </c>
      <c r="N171" s="4">
        <v>97</v>
      </c>
      <c r="O171" s="6">
        <f t="shared" ref="O171:O219" si="78">1-N171/M171</f>
        <v>0.40490797546012269</v>
      </c>
      <c r="P171" s="4" t="s">
        <v>410</v>
      </c>
      <c r="Q171" s="4" t="s">
        <v>410</v>
      </c>
      <c r="R171" s="4" t="s">
        <v>410</v>
      </c>
      <c r="S171" s="4" t="s">
        <v>410</v>
      </c>
      <c r="T171" s="4" t="s">
        <v>410</v>
      </c>
      <c r="U171" s="4" t="s">
        <v>410</v>
      </c>
      <c r="V171" s="4">
        <v>0</v>
      </c>
      <c r="W171" s="4">
        <f t="shared" ref="W171:W219" si="79">IF(Z171="",V171,V171*Z171)</f>
        <v>0</v>
      </c>
      <c r="X171" s="4">
        <v>102</v>
      </c>
      <c r="Y171" s="4">
        <f t="shared" ref="Y171:Y219" si="80">IF(Z171="",X171,X171*Z171)</f>
        <v>102</v>
      </c>
      <c r="Z171" s="4"/>
      <c r="AA171" s="21">
        <f t="shared" ref="AA171:AA219" si="81">ROUND(M171*AO171,0)</f>
        <v>171</v>
      </c>
      <c r="AB171" s="6">
        <f t="shared" ref="AB171:AB219" si="82">1-Y171/AA171</f>
        <v>0.40350877192982459</v>
      </c>
      <c r="AC171" s="4">
        <v>20.75</v>
      </c>
      <c r="AD171" s="4">
        <f t="shared" ref="AD171:AD219" si="83">BC171</f>
        <v>93.7</v>
      </c>
      <c r="AE171" s="4">
        <f t="shared" ref="AE171:AE219" si="84">AD171*AO171</f>
        <v>98.529896907216497</v>
      </c>
      <c r="AF171" s="6">
        <f t="shared" ref="AF171:AF219" si="85">1-Y171/AE171</f>
        <v>-3.5218783351120608E-2</v>
      </c>
      <c r="AG171" s="7">
        <v>168</v>
      </c>
      <c r="AH171" s="6">
        <f t="shared" ref="AH171:AH219" si="86">1-Y171/AG171</f>
        <v>0.3928571428571429</v>
      </c>
      <c r="AI171" s="4">
        <f t="shared" ref="AI171:AI219" si="87">AG171-Y171</f>
        <v>66</v>
      </c>
      <c r="AJ171" s="28"/>
      <c r="AK171" s="6"/>
      <c r="AL171" s="6"/>
      <c r="AM171" s="6" t="e">
        <f t="shared" ref="AM171:AM219" si="88">W171/L171</f>
        <v>#DIV/0!</v>
      </c>
      <c r="AN171" s="6">
        <f t="shared" ref="AN171:AN219" si="89">AG171/M171</f>
        <v>1.0306748466257669</v>
      </c>
      <c r="AO171" s="6">
        <f t="shared" ref="AO171:AO219" si="90">Y171/N171</f>
        <v>1.0515463917525774</v>
      </c>
      <c r="AP171" s="4" t="str">
        <f t="shared" ref="AP171:AP219" si="91">IFERROR(ROUND($AG171*P171/$M171,0),"-")</f>
        <v>-</v>
      </c>
      <c r="AQ171" s="4" t="str">
        <f t="shared" ref="AQ171:AQ219" si="92">IF(Q171="","-",Q171)</f>
        <v>-</v>
      </c>
      <c r="AR171" s="4" t="str">
        <f t="shared" ref="AR171:AR219" si="93">IF(R171="","-",R171)</f>
        <v>-</v>
      </c>
      <c r="AS171" s="4" t="str">
        <f t="shared" ref="AS171:AS219" si="94">IFERROR(ROUND($AG171*S171/$M171,0),"-")</f>
        <v>-</v>
      </c>
      <c r="AT171" s="4" t="str">
        <f t="shared" ref="AT171:AT219" si="95">IF(T171="","-",T171)</f>
        <v>-</v>
      </c>
      <c r="AU171" s="4" t="str">
        <f t="shared" ref="AU171:AU219" si="96">IF(U171="","-",U171)</f>
        <v>-</v>
      </c>
      <c r="AV171" s="4">
        <v>0</v>
      </c>
      <c r="AW171" s="4" t="s">
        <v>718</v>
      </c>
      <c r="AX171" s="4">
        <v>1</v>
      </c>
      <c r="AY171" s="4">
        <v>10</v>
      </c>
      <c r="AZ171" s="4" t="s">
        <v>676</v>
      </c>
      <c r="BA171" s="4">
        <v>937</v>
      </c>
      <c r="BB171" s="4">
        <v>937</v>
      </c>
      <c r="BC171" s="4">
        <f t="shared" ref="BC171:BC219" si="97">IF(AX171="",BB171,AX171/AY171*BB171)</f>
        <v>93.7</v>
      </c>
      <c r="BD171" s="19">
        <v>4</v>
      </c>
      <c r="BE171" s="19">
        <v>1</v>
      </c>
      <c r="BF171" s="16">
        <v>3</v>
      </c>
      <c r="BG171" s="36">
        <v>46174</v>
      </c>
      <c r="BH171">
        <v>80</v>
      </c>
      <c r="BI171">
        <v>1652</v>
      </c>
      <c r="BJ171" s="4" t="s">
        <v>522</v>
      </c>
      <c r="BL171" s="44">
        <f t="shared" si="72"/>
        <v>-2.0871545126810442E-2</v>
      </c>
      <c r="BM171" t="s">
        <v>792</v>
      </c>
    </row>
    <row r="172" spans="1:65" x14ac:dyDescent="0.4">
      <c r="A172" s="3">
        <v>242</v>
      </c>
      <c r="B172" s="3">
        <f t="shared" si="74"/>
        <v>169</v>
      </c>
      <c r="C172" s="33">
        <v>159014</v>
      </c>
      <c r="D172" s="4" t="s">
        <v>165</v>
      </c>
      <c r="E172" s="4">
        <v>159156</v>
      </c>
      <c r="F172" s="4" t="s">
        <v>403</v>
      </c>
      <c r="G172" s="5">
        <v>4977564402938</v>
      </c>
      <c r="H172" s="5">
        <v>8</v>
      </c>
      <c r="I172" s="5" t="str">
        <f t="shared" si="77"/>
        <v>1590148</v>
      </c>
      <c r="J172" s="5"/>
      <c r="K172" s="5"/>
      <c r="L172" s="4">
        <v>0</v>
      </c>
      <c r="M172" s="4">
        <v>1355</v>
      </c>
      <c r="N172" s="4">
        <v>970</v>
      </c>
      <c r="O172" s="6">
        <f t="shared" si="78"/>
        <v>0.28413284132841332</v>
      </c>
      <c r="P172" s="4" t="s">
        <v>410</v>
      </c>
      <c r="Q172" s="4" t="s">
        <v>410</v>
      </c>
      <c r="R172" s="4" t="s">
        <v>410</v>
      </c>
      <c r="S172" s="4" t="s">
        <v>410</v>
      </c>
      <c r="T172" s="4" t="s">
        <v>410</v>
      </c>
      <c r="U172" s="4" t="s">
        <v>410</v>
      </c>
      <c r="V172" s="4">
        <v>0</v>
      </c>
      <c r="W172" s="4">
        <f t="shared" si="79"/>
        <v>0</v>
      </c>
      <c r="X172" s="4">
        <v>102</v>
      </c>
      <c r="Y172" s="4">
        <f t="shared" si="80"/>
        <v>1020</v>
      </c>
      <c r="Z172" s="4">
        <v>10</v>
      </c>
      <c r="AA172" s="21">
        <f t="shared" si="81"/>
        <v>1425</v>
      </c>
      <c r="AB172" s="6">
        <f t="shared" si="82"/>
        <v>0.28421052631578947</v>
      </c>
      <c r="AC172" s="4">
        <v>20.75</v>
      </c>
      <c r="AD172" s="4">
        <f t="shared" si="83"/>
        <v>898.2</v>
      </c>
      <c r="AE172" s="4">
        <f t="shared" si="84"/>
        <v>944.49896907216498</v>
      </c>
      <c r="AF172" s="6">
        <f t="shared" si="85"/>
        <v>-7.9937653083945737E-2</v>
      </c>
      <c r="AG172" s="7">
        <v>1580</v>
      </c>
      <c r="AH172" s="6">
        <f t="shared" si="86"/>
        <v>0.35443037974683544</v>
      </c>
      <c r="AI172" s="4">
        <f t="shared" si="87"/>
        <v>560</v>
      </c>
      <c r="AJ172" s="28"/>
      <c r="AK172" s="6"/>
      <c r="AL172" s="6"/>
      <c r="AM172" s="6" t="e">
        <f t="shared" si="88"/>
        <v>#DIV/0!</v>
      </c>
      <c r="AN172" s="6">
        <f t="shared" si="89"/>
        <v>1.1660516605166051</v>
      </c>
      <c r="AO172" s="6">
        <f t="shared" si="90"/>
        <v>1.0515463917525774</v>
      </c>
      <c r="AP172" s="4" t="str">
        <f t="shared" si="91"/>
        <v>-</v>
      </c>
      <c r="AQ172" s="4" t="str">
        <f t="shared" si="92"/>
        <v>-</v>
      </c>
      <c r="AR172" s="4" t="str">
        <f t="shared" si="93"/>
        <v>-</v>
      </c>
      <c r="AS172" s="4" t="str">
        <f t="shared" si="94"/>
        <v>-</v>
      </c>
      <c r="AT172" s="4" t="str">
        <f t="shared" si="95"/>
        <v>-</v>
      </c>
      <c r="AU172" s="4" t="str">
        <f t="shared" si="96"/>
        <v>-</v>
      </c>
      <c r="AV172" s="4">
        <v>0</v>
      </c>
      <c r="AW172" s="4" t="s">
        <v>778</v>
      </c>
      <c r="AX172" s="4">
        <v>10</v>
      </c>
      <c r="AY172" s="4">
        <v>50</v>
      </c>
      <c r="AZ172" s="4" t="s">
        <v>779</v>
      </c>
      <c r="BA172" s="4">
        <v>4491</v>
      </c>
      <c r="BB172" s="4">
        <v>4491</v>
      </c>
      <c r="BC172" s="4">
        <f t="shared" si="97"/>
        <v>898.2</v>
      </c>
      <c r="BD172" s="19">
        <v>4</v>
      </c>
      <c r="BE172" s="19">
        <v>1</v>
      </c>
      <c r="BF172" s="16">
        <v>3</v>
      </c>
      <c r="BG172" s="36">
        <v>46174</v>
      </c>
      <c r="BH172">
        <v>80</v>
      </c>
      <c r="BI172">
        <v>1652</v>
      </c>
      <c r="BJ172" s="4" t="s">
        <v>575</v>
      </c>
      <c r="BK172">
        <v>2</v>
      </c>
      <c r="BL172" s="44">
        <f t="shared" ref="BL172:BL219" si="98">AN172-AO172</f>
        <v>0.11450526876402778</v>
      </c>
      <c r="BM172" t="s">
        <v>792</v>
      </c>
    </row>
    <row r="173" spans="1:65" x14ac:dyDescent="0.4">
      <c r="A173" s="3">
        <v>160</v>
      </c>
      <c r="B173" s="3">
        <f t="shared" si="74"/>
        <v>170</v>
      </c>
      <c r="C173" s="4">
        <v>657444</v>
      </c>
      <c r="D173" s="4" t="str">
        <f t="shared" ref="D173:D191" si="99">TEXT(C173,"000000")</f>
        <v>657444</v>
      </c>
      <c r="E173" s="4">
        <v>657444</v>
      </c>
      <c r="F173" s="4" t="s">
        <v>328</v>
      </c>
      <c r="G173" s="5">
        <v>4977564402945</v>
      </c>
      <c r="H173" s="5">
        <v>5</v>
      </c>
      <c r="I173" s="5" t="str">
        <f t="shared" si="77"/>
        <v>6574445</v>
      </c>
      <c r="J173" s="5">
        <v>1</v>
      </c>
      <c r="K173" s="5">
        <v>1</v>
      </c>
      <c r="L173" s="4">
        <v>0</v>
      </c>
      <c r="M173" s="4">
        <v>163</v>
      </c>
      <c r="N173" s="4">
        <v>97</v>
      </c>
      <c r="O173" s="6">
        <f t="shared" si="78"/>
        <v>0.40490797546012269</v>
      </c>
      <c r="P173" s="4" t="s">
        <v>410</v>
      </c>
      <c r="Q173" s="4" t="s">
        <v>410</v>
      </c>
      <c r="R173" s="4" t="s">
        <v>410</v>
      </c>
      <c r="S173" s="4" t="s">
        <v>410</v>
      </c>
      <c r="T173" s="4" t="s">
        <v>410</v>
      </c>
      <c r="U173" s="4" t="s">
        <v>410</v>
      </c>
      <c r="V173" s="4">
        <v>0</v>
      </c>
      <c r="W173" s="4">
        <f t="shared" si="79"/>
        <v>0</v>
      </c>
      <c r="X173" s="4">
        <v>102</v>
      </c>
      <c r="Y173" s="4">
        <f t="shared" si="80"/>
        <v>102</v>
      </c>
      <c r="Z173" s="4"/>
      <c r="AA173" s="21">
        <f t="shared" si="81"/>
        <v>171</v>
      </c>
      <c r="AB173" s="6">
        <f t="shared" si="82"/>
        <v>0.40350877192982459</v>
      </c>
      <c r="AC173" s="4">
        <v>33.25</v>
      </c>
      <c r="AD173" s="4">
        <f t="shared" si="83"/>
        <v>230</v>
      </c>
      <c r="AE173" s="4">
        <f t="shared" si="84"/>
        <v>241.85567010309279</v>
      </c>
      <c r="AF173" s="6">
        <f t="shared" si="85"/>
        <v>0.57826086956521738</v>
      </c>
      <c r="AG173" s="7">
        <v>168</v>
      </c>
      <c r="AH173" s="6">
        <f t="shared" si="86"/>
        <v>0.3928571428571429</v>
      </c>
      <c r="AI173" s="4">
        <f t="shared" si="87"/>
        <v>66</v>
      </c>
      <c r="AJ173" s="28"/>
      <c r="AK173" s="6"/>
      <c r="AL173" s="6"/>
      <c r="AM173" s="6" t="e">
        <f t="shared" si="88"/>
        <v>#DIV/0!</v>
      </c>
      <c r="AN173" s="6">
        <f t="shared" si="89"/>
        <v>1.0306748466257669</v>
      </c>
      <c r="AO173" s="6">
        <f t="shared" si="90"/>
        <v>1.0515463917525774</v>
      </c>
      <c r="AP173" s="4" t="str">
        <f t="shared" si="91"/>
        <v>-</v>
      </c>
      <c r="AQ173" s="4" t="str">
        <f t="shared" si="92"/>
        <v>-</v>
      </c>
      <c r="AR173" s="4" t="str">
        <f t="shared" si="93"/>
        <v>-</v>
      </c>
      <c r="AS173" s="4" t="str">
        <f t="shared" si="94"/>
        <v>-</v>
      </c>
      <c r="AT173" s="4" t="str">
        <f t="shared" si="95"/>
        <v>-</v>
      </c>
      <c r="AU173" s="4" t="str">
        <f t="shared" si="96"/>
        <v>-</v>
      </c>
      <c r="AV173" s="4">
        <v>0</v>
      </c>
      <c r="AW173" s="4" t="s">
        <v>719</v>
      </c>
      <c r="AX173" s="4">
        <v>1</v>
      </c>
      <c r="AY173" s="4">
        <v>5</v>
      </c>
      <c r="AZ173" s="4" t="s">
        <v>720</v>
      </c>
      <c r="BA173" s="4">
        <v>1150</v>
      </c>
      <c r="BB173" s="4">
        <v>1150</v>
      </c>
      <c r="BC173" s="4">
        <f t="shared" si="97"/>
        <v>230</v>
      </c>
      <c r="BD173" s="19">
        <v>4</v>
      </c>
      <c r="BE173" s="19">
        <v>1</v>
      </c>
      <c r="BF173" s="16">
        <v>3</v>
      </c>
      <c r="BG173" s="36">
        <v>46174</v>
      </c>
      <c r="BH173" t="s">
        <v>410</v>
      </c>
      <c r="BI173">
        <v>2300</v>
      </c>
      <c r="BJ173" s="4" t="s">
        <v>523</v>
      </c>
      <c r="BL173" s="44">
        <f t="shared" si="98"/>
        <v>-2.0871545126810442E-2</v>
      </c>
      <c r="BM173" t="s">
        <v>792</v>
      </c>
    </row>
    <row r="174" spans="1:65" x14ac:dyDescent="0.4">
      <c r="A174" s="3">
        <v>161</v>
      </c>
      <c r="B174" s="3">
        <f t="shared" si="74"/>
        <v>171</v>
      </c>
      <c r="C174" s="4">
        <v>368515</v>
      </c>
      <c r="D174" s="4" t="str">
        <f t="shared" si="99"/>
        <v>368515</v>
      </c>
      <c r="E174" s="4">
        <v>368515</v>
      </c>
      <c r="F174" s="4" t="s">
        <v>329</v>
      </c>
      <c r="G174" s="5">
        <v>4977564402952</v>
      </c>
      <c r="H174" s="5">
        <v>5</v>
      </c>
      <c r="I174" s="5" t="str">
        <f t="shared" si="77"/>
        <v>3685155</v>
      </c>
      <c r="J174" s="5">
        <v>1</v>
      </c>
      <c r="K174" s="5">
        <v>1</v>
      </c>
      <c r="L174" s="4">
        <v>0</v>
      </c>
      <c r="M174" s="4">
        <v>1355</v>
      </c>
      <c r="N174" s="4">
        <v>970</v>
      </c>
      <c r="O174" s="6">
        <f t="shared" si="78"/>
        <v>0.28413284132841332</v>
      </c>
      <c r="P174" s="4" t="s">
        <v>410</v>
      </c>
      <c r="Q174" s="4" t="s">
        <v>410</v>
      </c>
      <c r="R174" s="4" t="s">
        <v>410</v>
      </c>
      <c r="S174" s="4" t="s">
        <v>410</v>
      </c>
      <c r="T174" s="4" t="s">
        <v>410</v>
      </c>
      <c r="U174" s="4" t="s">
        <v>410</v>
      </c>
      <c r="V174" s="4">
        <v>0</v>
      </c>
      <c r="W174" s="4">
        <f t="shared" si="79"/>
        <v>0</v>
      </c>
      <c r="X174" s="4">
        <v>102</v>
      </c>
      <c r="Y174" s="4">
        <f t="shared" si="80"/>
        <v>1020</v>
      </c>
      <c r="Z174" s="4">
        <v>10</v>
      </c>
      <c r="AA174" s="21">
        <f t="shared" si="81"/>
        <v>1425</v>
      </c>
      <c r="AB174" s="6">
        <f t="shared" si="82"/>
        <v>0.28421052631578947</v>
      </c>
      <c r="AC174" s="4">
        <v>77.75</v>
      </c>
      <c r="AD174" s="4">
        <f t="shared" si="83"/>
        <v>93.7</v>
      </c>
      <c r="AE174" s="4">
        <f t="shared" si="84"/>
        <v>98.529896907216497</v>
      </c>
      <c r="AF174" s="6">
        <f t="shared" si="85"/>
        <v>-9.3521878335112056</v>
      </c>
      <c r="AG174" s="7">
        <v>1580</v>
      </c>
      <c r="AH174" s="6">
        <f t="shared" si="86"/>
        <v>0.35443037974683544</v>
      </c>
      <c r="AI174" s="4">
        <f t="shared" si="87"/>
        <v>560</v>
      </c>
      <c r="AJ174" s="28"/>
      <c r="AK174" s="6"/>
      <c r="AL174" s="6"/>
      <c r="AM174" s="6" t="e">
        <f t="shared" si="88"/>
        <v>#DIV/0!</v>
      </c>
      <c r="AN174" s="6">
        <f t="shared" si="89"/>
        <v>1.1660516605166051</v>
      </c>
      <c r="AO174" s="6">
        <f t="shared" si="90"/>
        <v>1.0515463917525774</v>
      </c>
      <c r="AP174" s="4" t="str">
        <f t="shared" si="91"/>
        <v>-</v>
      </c>
      <c r="AQ174" s="4" t="str">
        <f t="shared" si="92"/>
        <v>-</v>
      </c>
      <c r="AR174" s="4" t="str">
        <f t="shared" si="93"/>
        <v>-</v>
      </c>
      <c r="AS174" s="4" t="str">
        <f t="shared" si="94"/>
        <v>-</v>
      </c>
      <c r="AT174" s="4" t="str">
        <f t="shared" si="95"/>
        <v>-</v>
      </c>
      <c r="AU174" s="4" t="str">
        <f t="shared" si="96"/>
        <v>-</v>
      </c>
      <c r="AV174" s="4">
        <v>0</v>
      </c>
      <c r="AW174" s="4" t="s">
        <v>721</v>
      </c>
      <c r="AX174" s="4">
        <v>1</v>
      </c>
      <c r="AY174" s="4">
        <v>10</v>
      </c>
      <c r="AZ174" s="4" t="s">
        <v>676</v>
      </c>
      <c r="BA174" s="4">
        <v>937</v>
      </c>
      <c r="BB174" s="4">
        <v>937</v>
      </c>
      <c r="BC174" s="4">
        <f t="shared" si="97"/>
        <v>93.7</v>
      </c>
      <c r="BD174" s="19">
        <v>4</v>
      </c>
      <c r="BE174" s="19">
        <v>1</v>
      </c>
      <c r="BF174" s="16">
        <v>3</v>
      </c>
      <c r="BG174" s="36">
        <v>46174</v>
      </c>
      <c r="BH174">
        <v>80</v>
      </c>
      <c r="BI174">
        <v>1652</v>
      </c>
      <c r="BJ174" s="4" t="s">
        <v>524</v>
      </c>
      <c r="BL174" s="44">
        <f t="shared" si="98"/>
        <v>0.11450526876402778</v>
      </c>
      <c r="BM174" t="s">
        <v>792</v>
      </c>
    </row>
    <row r="175" spans="1:65" x14ac:dyDescent="0.4">
      <c r="A175" s="3">
        <v>163</v>
      </c>
      <c r="B175" s="3">
        <f t="shared" si="74"/>
        <v>172</v>
      </c>
      <c r="C175" s="4" t="s">
        <v>166</v>
      </c>
      <c r="D175" s="4" t="str">
        <f t="shared" si="99"/>
        <v>J104LY</v>
      </c>
      <c r="E175" s="4" t="s">
        <v>166</v>
      </c>
      <c r="F175" s="4" t="s">
        <v>330</v>
      </c>
      <c r="G175" s="5">
        <v>4977564701628</v>
      </c>
      <c r="H175" s="5">
        <v>5</v>
      </c>
      <c r="I175" s="5" t="str">
        <f t="shared" si="77"/>
        <v>J104LY5</v>
      </c>
      <c r="J175" s="5">
        <v>1</v>
      </c>
      <c r="K175" s="5">
        <v>1</v>
      </c>
      <c r="L175" s="4">
        <v>0</v>
      </c>
      <c r="M175" s="4">
        <v>236</v>
      </c>
      <c r="N175" s="4">
        <v>144</v>
      </c>
      <c r="O175" s="6">
        <f t="shared" si="78"/>
        <v>0.38983050847457623</v>
      </c>
      <c r="P175" s="4" t="s">
        <v>410</v>
      </c>
      <c r="Q175" s="4" t="s">
        <v>410</v>
      </c>
      <c r="R175" s="4" t="s">
        <v>410</v>
      </c>
      <c r="S175" s="4" t="s">
        <v>410</v>
      </c>
      <c r="T175" s="4" t="s">
        <v>410</v>
      </c>
      <c r="U175" s="4" t="s">
        <v>410</v>
      </c>
      <c r="V175" s="4">
        <v>0</v>
      </c>
      <c r="W175" s="4">
        <f t="shared" si="79"/>
        <v>0</v>
      </c>
      <c r="X175" s="4">
        <v>152</v>
      </c>
      <c r="Y175" s="4">
        <f t="shared" si="80"/>
        <v>152</v>
      </c>
      <c r="Z175" s="4"/>
      <c r="AA175" s="21">
        <f t="shared" si="81"/>
        <v>249</v>
      </c>
      <c r="AB175" s="6">
        <f t="shared" si="82"/>
        <v>0.38955823293172687</v>
      </c>
      <c r="AC175" s="4">
        <v>2.75</v>
      </c>
      <c r="AD175" s="4">
        <f t="shared" si="83"/>
        <v>199.10000000000002</v>
      </c>
      <c r="AE175" s="4">
        <f t="shared" si="84"/>
        <v>210.16111111111115</v>
      </c>
      <c r="AF175" s="6">
        <f t="shared" si="85"/>
        <v>0.27674535409342049</v>
      </c>
      <c r="AG175" s="7">
        <v>248</v>
      </c>
      <c r="AH175" s="6">
        <f t="shared" si="86"/>
        <v>0.38709677419354838</v>
      </c>
      <c r="AI175" s="4">
        <f t="shared" si="87"/>
        <v>96</v>
      </c>
      <c r="AJ175" s="28"/>
      <c r="AK175" s="6"/>
      <c r="AL175" s="6"/>
      <c r="AM175" s="6" t="e">
        <f t="shared" si="88"/>
        <v>#DIV/0!</v>
      </c>
      <c r="AN175" s="6">
        <f t="shared" si="89"/>
        <v>1.0508474576271187</v>
      </c>
      <c r="AO175" s="6">
        <f t="shared" si="90"/>
        <v>1.0555555555555556</v>
      </c>
      <c r="AP175" s="4" t="str">
        <f t="shared" si="91"/>
        <v>-</v>
      </c>
      <c r="AQ175" s="4" t="str">
        <f t="shared" si="92"/>
        <v>-</v>
      </c>
      <c r="AR175" s="4" t="str">
        <f t="shared" si="93"/>
        <v>-</v>
      </c>
      <c r="AS175" s="4" t="str">
        <f t="shared" si="94"/>
        <v>-</v>
      </c>
      <c r="AT175" s="4" t="str">
        <f t="shared" si="95"/>
        <v>-</v>
      </c>
      <c r="AU175" s="4" t="str">
        <f t="shared" si="96"/>
        <v>-</v>
      </c>
      <c r="AV175" s="4">
        <v>0</v>
      </c>
      <c r="AW175" s="4" t="s">
        <v>722</v>
      </c>
      <c r="AX175" s="4">
        <v>1</v>
      </c>
      <c r="AY175" s="4">
        <v>10</v>
      </c>
      <c r="AZ175" s="4" t="s">
        <v>676</v>
      </c>
      <c r="BA175" s="4">
        <v>1991</v>
      </c>
      <c r="BB175" s="4">
        <v>1991</v>
      </c>
      <c r="BC175" s="4">
        <f t="shared" si="97"/>
        <v>199.10000000000002</v>
      </c>
      <c r="BD175" s="19">
        <v>4</v>
      </c>
      <c r="BE175" s="19">
        <v>1</v>
      </c>
      <c r="BF175" s="16">
        <v>3</v>
      </c>
      <c r="BG175" s="36">
        <v>46174</v>
      </c>
      <c r="BH175" t="s">
        <v>410</v>
      </c>
      <c r="BI175" t="s">
        <v>410</v>
      </c>
      <c r="BJ175" s="4" t="s">
        <v>525</v>
      </c>
      <c r="BL175" s="44">
        <f t="shared" si="98"/>
        <v>-4.7080979284368496E-3</v>
      </c>
      <c r="BM175" t="s">
        <v>792</v>
      </c>
    </row>
    <row r="176" spans="1:65" x14ac:dyDescent="0.4">
      <c r="A176" s="3">
        <v>164</v>
      </c>
      <c r="B176" s="3">
        <f t="shared" si="74"/>
        <v>173</v>
      </c>
      <c r="C176" s="4" t="s">
        <v>167</v>
      </c>
      <c r="D176" s="4" t="str">
        <f t="shared" si="99"/>
        <v>J105LY</v>
      </c>
      <c r="E176" s="4" t="s">
        <v>167</v>
      </c>
      <c r="F176" s="4" t="s">
        <v>331</v>
      </c>
      <c r="G176" s="5">
        <v>4977564701635</v>
      </c>
      <c r="H176" s="5">
        <v>5</v>
      </c>
      <c r="I176" s="5" t="str">
        <f t="shared" si="77"/>
        <v>J105LY5</v>
      </c>
      <c r="J176" s="5">
        <v>1</v>
      </c>
      <c r="K176" s="5">
        <v>1</v>
      </c>
      <c r="L176" s="4">
        <v>0</v>
      </c>
      <c r="M176" s="4">
        <v>236</v>
      </c>
      <c r="N176" s="4">
        <v>144</v>
      </c>
      <c r="O176" s="6">
        <f t="shared" si="78"/>
        <v>0.38983050847457623</v>
      </c>
      <c r="P176" s="4" t="s">
        <v>410</v>
      </c>
      <c r="Q176" s="4" t="s">
        <v>410</v>
      </c>
      <c r="R176" s="4" t="s">
        <v>410</v>
      </c>
      <c r="S176" s="4" t="s">
        <v>410</v>
      </c>
      <c r="T176" s="4" t="s">
        <v>410</v>
      </c>
      <c r="U176" s="4" t="s">
        <v>410</v>
      </c>
      <c r="V176" s="4">
        <v>0</v>
      </c>
      <c r="W176" s="4">
        <f t="shared" si="79"/>
        <v>0</v>
      </c>
      <c r="X176" s="4">
        <v>152</v>
      </c>
      <c r="Y176" s="4">
        <f t="shared" si="80"/>
        <v>152</v>
      </c>
      <c r="Z176" s="4"/>
      <c r="AA176" s="21">
        <f t="shared" si="81"/>
        <v>249</v>
      </c>
      <c r="AB176" s="6">
        <f t="shared" si="82"/>
        <v>0.38955823293172687</v>
      </c>
      <c r="AC176" s="4">
        <v>32.5</v>
      </c>
      <c r="AD176" s="4">
        <f t="shared" si="83"/>
        <v>199.10000000000002</v>
      </c>
      <c r="AE176" s="4">
        <f t="shared" si="84"/>
        <v>210.16111111111115</v>
      </c>
      <c r="AF176" s="6">
        <f t="shared" si="85"/>
        <v>0.27674535409342049</v>
      </c>
      <c r="AG176" s="7">
        <v>248</v>
      </c>
      <c r="AH176" s="6">
        <f t="shared" si="86"/>
        <v>0.38709677419354838</v>
      </c>
      <c r="AI176" s="4">
        <f t="shared" si="87"/>
        <v>96</v>
      </c>
      <c r="AJ176" s="28"/>
      <c r="AK176" s="6"/>
      <c r="AL176" s="6"/>
      <c r="AM176" s="6" t="e">
        <f t="shared" si="88"/>
        <v>#DIV/0!</v>
      </c>
      <c r="AN176" s="6">
        <f t="shared" si="89"/>
        <v>1.0508474576271187</v>
      </c>
      <c r="AO176" s="6">
        <f t="shared" si="90"/>
        <v>1.0555555555555556</v>
      </c>
      <c r="AP176" s="4" t="str">
        <f t="shared" si="91"/>
        <v>-</v>
      </c>
      <c r="AQ176" s="4" t="str">
        <f t="shared" si="92"/>
        <v>-</v>
      </c>
      <c r="AR176" s="4" t="str">
        <f t="shared" si="93"/>
        <v>-</v>
      </c>
      <c r="AS176" s="4" t="str">
        <f t="shared" si="94"/>
        <v>-</v>
      </c>
      <c r="AT176" s="4" t="str">
        <f t="shared" si="95"/>
        <v>-</v>
      </c>
      <c r="AU176" s="4" t="str">
        <f t="shared" si="96"/>
        <v>-</v>
      </c>
      <c r="AV176" s="4">
        <v>0</v>
      </c>
      <c r="AW176" s="4" t="s">
        <v>723</v>
      </c>
      <c r="AX176" s="4">
        <v>1</v>
      </c>
      <c r="AY176" s="4">
        <v>10</v>
      </c>
      <c r="AZ176" s="4" t="s">
        <v>676</v>
      </c>
      <c r="BA176" s="4">
        <v>1991</v>
      </c>
      <c r="BB176" s="4">
        <v>1991</v>
      </c>
      <c r="BC176" s="4">
        <f t="shared" si="97"/>
        <v>199.10000000000002</v>
      </c>
      <c r="BD176" s="19">
        <v>4</v>
      </c>
      <c r="BE176" s="19">
        <v>1</v>
      </c>
      <c r="BF176" s="16">
        <v>3</v>
      </c>
      <c r="BG176" s="36">
        <v>46174</v>
      </c>
      <c r="BH176" t="s">
        <v>410</v>
      </c>
      <c r="BI176">
        <v>450</v>
      </c>
      <c r="BJ176" s="4" t="s">
        <v>526</v>
      </c>
      <c r="BL176" s="44">
        <f t="shared" si="98"/>
        <v>-4.7080979284368496E-3</v>
      </c>
      <c r="BM176" t="s">
        <v>792</v>
      </c>
    </row>
    <row r="177" spans="1:65" x14ac:dyDescent="0.4">
      <c r="A177" s="3">
        <v>166</v>
      </c>
      <c r="B177" s="3">
        <f t="shared" si="74"/>
        <v>174</v>
      </c>
      <c r="C177" s="4" t="s">
        <v>168</v>
      </c>
      <c r="D177" s="4" t="str">
        <f t="shared" si="99"/>
        <v>J106LY</v>
      </c>
      <c r="E177" s="4" t="s">
        <v>168</v>
      </c>
      <c r="F177" s="4" t="s">
        <v>332</v>
      </c>
      <c r="G177" s="5">
        <v>4977564403003</v>
      </c>
      <c r="H177" s="5">
        <v>5</v>
      </c>
      <c r="I177" s="5" t="str">
        <f t="shared" si="77"/>
        <v>J106LY5</v>
      </c>
      <c r="J177" s="5">
        <v>1</v>
      </c>
      <c r="K177" s="5">
        <v>1</v>
      </c>
      <c r="L177" s="4">
        <v>0</v>
      </c>
      <c r="M177" s="4">
        <v>142</v>
      </c>
      <c r="N177" s="4">
        <v>87</v>
      </c>
      <c r="O177" s="6">
        <f t="shared" si="78"/>
        <v>0.38732394366197187</v>
      </c>
      <c r="P177" s="4" t="s">
        <v>410</v>
      </c>
      <c r="Q177" s="4" t="s">
        <v>410</v>
      </c>
      <c r="R177" s="4" t="s">
        <v>410</v>
      </c>
      <c r="S177" s="4" t="s">
        <v>410</v>
      </c>
      <c r="T177" s="4" t="s">
        <v>410</v>
      </c>
      <c r="U177" s="4" t="s">
        <v>410</v>
      </c>
      <c r="V177" s="4">
        <v>0</v>
      </c>
      <c r="W177" s="4">
        <f t="shared" si="79"/>
        <v>0</v>
      </c>
      <c r="X177" s="4">
        <v>102</v>
      </c>
      <c r="Y177" s="4">
        <f t="shared" si="80"/>
        <v>102</v>
      </c>
      <c r="Z177" s="4"/>
      <c r="AA177" s="21">
        <f t="shared" si="81"/>
        <v>166</v>
      </c>
      <c r="AB177" s="6">
        <f t="shared" si="82"/>
        <v>0.38554216867469882</v>
      </c>
      <c r="AC177" s="4">
        <v>5</v>
      </c>
      <c r="AD177" s="4">
        <f t="shared" si="83"/>
        <v>115</v>
      </c>
      <c r="AE177" s="4">
        <f t="shared" si="84"/>
        <v>134.82758620689654</v>
      </c>
      <c r="AF177" s="6">
        <f t="shared" si="85"/>
        <v>0.24347826086956514</v>
      </c>
      <c r="AG177" s="7">
        <v>168</v>
      </c>
      <c r="AH177" s="6">
        <f t="shared" si="86"/>
        <v>0.3928571428571429</v>
      </c>
      <c r="AI177" s="4">
        <f t="shared" si="87"/>
        <v>66</v>
      </c>
      <c r="AJ177" s="28"/>
      <c r="AK177" s="6"/>
      <c r="AL177" s="6"/>
      <c r="AM177" s="6" t="e">
        <f t="shared" si="88"/>
        <v>#DIV/0!</v>
      </c>
      <c r="AN177" s="6">
        <f t="shared" si="89"/>
        <v>1.1830985915492958</v>
      </c>
      <c r="AO177" s="6">
        <f t="shared" si="90"/>
        <v>1.1724137931034482</v>
      </c>
      <c r="AP177" s="4" t="str">
        <f t="shared" si="91"/>
        <v>-</v>
      </c>
      <c r="AQ177" s="4" t="str">
        <f t="shared" si="92"/>
        <v>-</v>
      </c>
      <c r="AR177" s="4" t="str">
        <f t="shared" si="93"/>
        <v>-</v>
      </c>
      <c r="AS177" s="4" t="str">
        <f t="shared" si="94"/>
        <v>-</v>
      </c>
      <c r="AT177" s="4" t="str">
        <f t="shared" si="95"/>
        <v>-</v>
      </c>
      <c r="AU177" s="4" t="str">
        <f t="shared" si="96"/>
        <v>-</v>
      </c>
      <c r="AV177" s="4">
        <v>0</v>
      </c>
      <c r="AW177" s="4" t="s">
        <v>724</v>
      </c>
      <c r="AX177" s="4">
        <v>1</v>
      </c>
      <c r="AY177" s="4">
        <v>10</v>
      </c>
      <c r="AZ177" s="4" t="s">
        <v>720</v>
      </c>
      <c r="BA177" s="4">
        <v>1150</v>
      </c>
      <c r="BB177" s="4">
        <v>1150</v>
      </c>
      <c r="BC177" s="4">
        <f t="shared" si="97"/>
        <v>115</v>
      </c>
      <c r="BD177" s="19">
        <v>4</v>
      </c>
      <c r="BE177" s="19">
        <v>1</v>
      </c>
      <c r="BF177" s="16">
        <v>3</v>
      </c>
      <c r="BG177" s="36">
        <v>46174</v>
      </c>
      <c r="BH177" t="s">
        <v>410</v>
      </c>
      <c r="BI177">
        <v>2530</v>
      </c>
      <c r="BJ177" s="4" t="s">
        <v>527</v>
      </c>
      <c r="BL177" s="44">
        <f t="shared" si="98"/>
        <v>1.0684798445847576E-2</v>
      </c>
      <c r="BM177" t="s">
        <v>792</v>
      </c>
    </row>
    <row r="178" spans="1:65" x14ac:dyDescent="0.4">
      <c r="A178" s="3">
        <v>167</v>
      </c>
      <c r="B178" s="3">
        <f t="shared" si="74"/>
        <v>175</v>
      </c>
      <c r="C178" s="4" t="s">
        <v>169</v>
      </c>
      <c r="D178" s="4" t="str">
        <f t="shared" si="99"/>
        <v>J107LY</v>
      </c>
      <c r="E178" s="4" t="s">
        <v>169</v>
      </c>
      <c r="F178" s="4" t="s">
        <v>333</v>
      </c>
      <c r="G178" s="5">
        <v>4977564403010</v>
      </c>
      <c r="H178" s="5">
        <v>5</v>
      </c>
      <c r="I178" s="5" t="str">
        <f t="shared" si="77"/>
        <v>J107LY5</v>
      </c>
      <c r="J178" s="5">
        <v>1</v>
      </c>
      <c r="K178" s="5">
        <v>1</v>
      </c>
      <c r="L178" s="4">
        <v>0</v>
      </c>
      <c r="M178" s="4">
        <v>142</v>
      </c>
      <c r="N178" s="4">
        <v>87</v>
      </c>
      <c r="O178" s="6">
        <f t="shared" si="78"/>
        <v>0.38732394366197187</v>
      </c>
      <c r="P178" s="4" t="s">
        <v>410</v>
      </c>
      <c r="Q178" s="4" t="s">
        <v>410</v>
      </c>
      <c r="R178" s="4" t="s">
        <v>410</v>
      </c>
      <c r="S178" s="4" t="s">
        <v>410</v>
      </c>
      <c r="T178" s="4" t="s">
        <v>410</v>
      </c>
      <c r="U178" s="4" t="s">
        <v>410</v>
      </c>
      <c r="V178" s="4">
        <v>0</v>
      </c>
      <c r="W178" s="4">
        <f t="shared" si="79"/>
        <v>0</v>
      </c>
      <c r="X178" s="4">
        <v>102</v>
      </c>
      <c r="Y178" s="4">
        <f t="shared" si="80"/>
        <v>102</v>
      </c>
      <c r="Z178" s="4"/>
      <c r="AA178" s="21">
        <f t="shared" si="81"/>
        <v>166</v>
      </c>
      <c r="AB178" s="6">
        <f t="shared" si="82"/>
        <v>0.38554216867469882</v>
      </c>
      <c r="AC178" s="4">
        <v>9.5</v>
      </c>
      <c r="AD178" s="4">
        <f t="shared" si="83"/>
        <v>93.7</v>
      </c>
      <c r="AE178" s="4">
        <f t="shared" si="84"/>
        <v>109.8551724137931</v>
      </c>
      <c r="AF178" s="6">
        <f t="shared" si="85"/>
        <v>7.1504802561366043E-2</v>
      </c>
      <c r="AG178" s="7">
        <v>168</v>
      </c>
      <c r="AH178" s="6">
        <f t="shared" si="86"/>
        <v>0.3928571428571429</v>
      </c>
      <c r="AI178" s="4">
        <f t="shared" si="87"/>
        <v>66</v>
      </c>
      <c r="AJ178" s="28"/>
      <c r="AK178" s="6"/>
      <c r="AL178" s="6"/>
      <c r="AM178" s="6" t="e">
        <f t="shared" si="88"/>
        <v>#DIV/0!</v>
      </c>
      <c r="AN178" s="6">
        <f t="shared" si="89"/>
        <v>1.1830985915492958</v>
      </c>
      <c r="AO178" s="6">
        <f t="shared" si="90"/>
        <v>1.1724137931034482</v>
      </c>
      <c r="AP178" s="4" t="str">
        <f t="shared" si="91"/>
        <v>-</v>
      </c>
      <c r="AQ178" s="4" t="str">
        <f t="shared" si="92"/>
        <v>-</v>
      </c>
      <c r="AR178" s="4" t="str">
        <f t="shared" si="93"/>
        <v>-</v>
      </c>
      <c r="AS178" s="4" t="str">
        <f t="shared" si="94"/>
        <v>-</v>
      </c>
      <c r="AT178" s="4" t="str">
        <f t="shared" si="95"/>
        <v>-</v>
      </c>
      <c r="AU178" s="4" t="str">
        <f t="shared" si="96"/>
        <v>-</v>
      </c>
      <c r="AV178" s="4">
        <v>0</v>
      </c>
      <c r="AW178" s="4" t="s">
        <v>725</v>
      </c>
      <c r="AX178" s="4">
        <v>1</v>
      </c>
      <c r="AY178" s="4">
        <v>10</v>
      </c>
      <c r="AZ178" s="4" t="s">
        <v>676</v>
      </c>
      <c r="BA178" s="4">
        <v>937</v>
      </c>
      <c r="BB178" s="4">
        <v>937</v>
      </c>
      <c r="BC178" s="4">
        <f t="shared" si="97"/>
        <v>93.7</v>
      </c>
      <c r="BD178" s="19">
        <v>4</v>
      </c>
      <c r="BE178" s="19">
        <v>1</v>
      </c>
      <c r="BF178" s="16">
        <v>3</v>
      </c>
      <c r="BG178" s="36">
        <v>46174</v>
      </c>
      <c r="BH178">
        <v>80</v>
      </c>
      <c r="BI178">
        <v>2530</v>
      </c>
      <c r="BJ178" s="4" t="s">
        <v>528</v>
      </c>
      <c r="BL178" s="44">
        <f t="shared" si="98"/>
        <v>1.0684798445847576E-2</v>
      </c>
      <c r="BM178" t="s">
        <v>792</v>
      </c>
    </row>
    <row r="179" spans="1:65" x14ac:dyDescent="0.4">
      <c r="A179" s="3">
        <v>169</v>
      </c>
      <c r="B179" s="3">
        <f t="shared" si="74"/>
        <v>176</v>
      </c>
      <c r="C179" s="4" t="s">
        <v>170</v>
      </c>
      <c r="D179" s="4" t="str">
        <f t="shared" si="99"/>
        <v>J102LY</v>
      </c>
      <c r="E179" s="4" t="s">
        <v>170</v>
      </c>
      <c r="F179" s="4" t="s">
        <v>334</v>
      </c>
      <c r="G179" s="5">
        <v>4977564701604</v>
      </c>
      <c r="H179" s="5">
        <v>5</v>
      </c>
      <c r="I179" s="5" t="str">
        <f t="shared" si="77"/>
        <v>J102LY5</v>
      </c>
      <c r="J179" s="5">
        <v>1</v>
      </c>
      <c r="K179" s="5">
        <v>1</v>
      </c>
      <c r="L179" s="4">
        <v>0</v>
      </c>
      <c r="M179" s="4">
        <v>102</v>
      </c>
      <c r="N179" s="4">
        <v>62</v>
      </c>
      <c r="O179" s="6">
        <f t="shared" si="78"/>
        <v>0.39215686274509809</v>
      </c>
      <c r="P179" s="4" t="s">
        <v>410</v>
      </c>
      <c r="Q179" s="4" t="s">
        <v>410</v>
      </c>
      <c r="R179" s="4" t="s">
        <v>410</v>
      </c>
      <c r="S179" s="4" t="s">
        <v>410</v>
      </c>
      <c r="T179" s="4" t="s">
        <v>410</v>
      </c>
      <c r="U179" s="4" t="s">
        <v>410</v>
      </c>
      <c r="V179" s="4">
        <v>0</v>
      </c>
      <c r="W179" s="4">
        <f t="shared" si="79"/>
        <v>0</v>
      </c>
      <c r="X179" s="4">
        <v>66</v>
      </c>
      <c r="Y179" s="4">
        <f t="shared" si="80"/>
        <v>66</v>
      </c>
      <c r="Z179" s="4"/>
      <c r="AA179" s="21">
        <f t="shared" si="81"/>
        <v>109</v>
      </c>
      <c r="AB179" s="6">
        <f t="shared" si="82"/>
        <v>0.39449541284403666</v>
      </c>
      <c r="AC179" s="4">
        <v>2.25</v>
      </c>
      <c r="AD179" s="4" t="str">
        <f t="shared" si="83"/>
        <v>-</v>
      </c>
      <c r="AE179" s="4" t="e">
        <f t="shared" si="84"/>
        <v>#VALUE!</v>
      </c>
      <c r="AF179" s="6" t="e">
        <f t="shared" si="85"/>
        <v>#VALUE!</v>
      </c>
      <c r="AG179" s="7">
        <v>108</v>
      </c>
      <c r="AH179" s="6">
        <f t="shared" si="86"/>
        <v>0.38888888888888884</v>
      </c>
      <c r="AI179" s="4">
        <f t="shared" si="87"/>
        <v>42</v>
      </c>
      <c r="AJ179" s="28"/>
      <c r="AK179" s="6"/>
      <c r="AL179" s="6"/>
      <c r="AM179" s="6" t="e">
        <f t="shared" si="88"/>
        <v>#DIV/0!</v>
      </c>
      <c r="AN179" s="6">
        <f t="shared" si="89"/>
        <v>1.0588235294117647</v>
      </c>
      <c r="AO179" s="6">
        <f t="shared" si="90"/>
        <v>1.064516129032258</v>
      </c>
      <c r="AP179" s="4" t="str">
        <f t="shared" si="91"/>
        <v>-</v>
      </c>
      <c r="AQ179" s="4" t="str">
        <f t="shared" si="92"/>
        <v>-</v>
      </c>
      <c r="AR179" s="4" t="str">
        <f t="shared" si="93"/>
        <v>-</v>
      </c>
      <c r="AS179" s="4" t="str">
        <f t="shared" si="94"/>
        <v>-</v>
      </c>
      <c r="AT179" s="4" t="str">
        <f t="shared" si="95"/>
        <v>-</v>
      </c>
      <c r="AU179" s="4" t="str">
        <f t="shared" si="96"/>
        <v>-</v>
      </c>
      <c r="AV179" s="4">
        <v>0</v>
      </c>
      <c r="AW179" s="4" t="s">
        <v>410</v>
      </c>
      <c r="AX179" s="4"/>
      <c r="AY179" s="4"/>
      <c r="AZ179" s="4" t="s">
        <v>410</v>
      </c>
      <c r="BA179" s="4" t="s">
        <v>410</v>
      </c>
      <c r="BB179" s="4" t="s">
        <v>410</v>
      </c>
      <c r="BC179" s="4" t="str">
        <f t="shared" si="97"/>
        <v>-</v>
      </c>
      <c r="BD179" s="19">
        <v>4</v>
      </c>
      <c r="BE179" s="19">
        <v>1</v>
      </c>
      <c r="BF179" s="16">
        <v>3</v>
      </c>
      <c r="BG179" s="36">
        <v>46174</v>
      </c>
      <c r="BH179">
        <v>1140</v>
      </c>
      <c r="BI179" t="s">
        <v>410</v>
      </c>
      <c r="BJ179" s="4" t="s">
        <v>410</v>
      </c>
      <c r="BL179" s="44">
        <f t="shared" si="98"/>
        <v>-5.6925996204932883E-3</v>
      </c>
      <c r="BM179" t="s">
        <v>792</v>
      </c>
    </row>
    <row r="180" spans="1:65" x14ac:dyDescent="0.4">
      <c r="A180" s="3">
        <v>170</v>
      </c>
      <c r="B180" s="3">
        <f t="shared" si="74"/>
        <v>177</v>
      </c>
      <c r="C180" s="4" t="s">
        <v>171</v>
      </c>
      <c r="D180" s="4" t="str">
        <f t="shared" si="99"/>
        <v>J103LY</v>
      </c>
      <c r="E180" s="4" t="s">
        <v>171</v>
      </c>
      <c r="F180" s="4" t="s">
        <v>335</v>
      </c>
      <c r="G180" s="5">
        <v>4977564701611</v>
      </c>
      <c r="H180" s="5">
        <v>5</v>
      </c>
      <c r="I180" s="5" t="str">
        <f t="shared" si="77"/>
        <v>J103LY5</v>
      </c>
      <c r="J180" s="5">
        <v>1</v>
      </c>
      <c r="K180" s="5">
        <v>1</v>
      </c>
      <c r="L180" s="4">
        <v>0</v>
      </c>
      <c r="M180" s="4">
        <v>102</v>
      </c>
      <c r="N180" s="4">
        <v>62</v>
      </c>
      <c r="O180" s="6">
        <f t="shared" si="78"/>
        <v>0.39215686274509809</v>
      </c>
      <c r="P180" s="4" t="s">
        <v>410</v>
      </c>
      <c r="Q180" s="4" t="s">
        <v>410</v>
      </c>
      <c r="R180" s="4" t="s">
        <v>410</v>
      </c>
      <c r="S180" s="4" t="s">
        <v>410</v>
      </c>
      <c r="T180" s="4" t="s">
        <v>410</v>
      </c>
      <c r="U180" s="4" t="s">
        <v>410</v>
      </c>
      <c r="V180" s="4">
        <v>0</v>
      </c>
      <c r="W180" s="4">
        <f t="shared" si="79"/>
        <v>0</v>
      </c>
      <c r="X180" s="4">
        <v>66</v>
      </c>
      <c r="Y180" s="4">
        <f t="shared" si="80"/>
        <v>66</v>
      </c>
      <c r="Z180" s="4"/>
      <c r="AA180" s="21">
        <f t="shared" si="81"/>
        <v>109</v>
      </c>
      <c r="AB180" s="6">
        <f t="shared" si="82"/>
        <v>0.39449541284403666</v>
      </c>
      <c r="AC180" s="4">
        <v>30.5</v>
      </c>
      <c r="AD180" s="4" t="str">
        <f t="shared" si="83"/>
        <v>-</v>
      </c>
      <c r="AE180" s="4" t="e">
        <f t="shared" si="84"/>
        <v>#VALUE!</v>
      </c>
      <c r="AF180" s="6" t="e">
        <f t="shared" si="85"/>
        <v>#VALUE!</v>
      </c>
      <c r="AG180" s="7">
        <v>108</v>
      </c>
      <c r="AH180" s="6">
        <f t="shared" si="86"/>
        <v>0.38888888888888884</v>
      </c>
      <c r="AI180" s="4">
        <f t="shared" si="87"/>
        <v>42</v>
      </c>
      <c r="AJ180" s="28"/>
      <c r="AK180" s="6"/>
      <c r="AL180" s="6"/>
      <c r="AM180" s="6" t="e">
        <f t="shared" si="88"/>
        <v>#DIV/0!</v>
      </c>
      <c r="AN180" s="6">
        <f t="shared" si="89"/>
        <v>1.0588235294117647</v>
      </c>
      <c r="AO180" s="6">
        <f t="shared" si="90"/>
        <v>1.064516129032258</v>
      </c>
      <c r="AP180" s="4" t="str">
        <f t="shared" si="91"/>
        <v>-</v>
      </c>
      <c r="AQ180" s="4" t="str">
        <f t="shared" si="92"/>
        <v>-</v>
      </c>
      <c r="AR180" s="4" t="str">
        <f t="shared" si="93"/>
        <v>-</v>
      </c>
      <c r="AS180" s="4" t="str">
        <f t="shared" si="94"/>
        <v>-</v>
      </c>
      <c r="AT180" s="4" t="str">
        <f t="shared" si="95"/>
        <v>-</v>
      </c>
      <c r="AU180" s="4" t="str">
        <f t="shared" si="96"/>
        <v>-</v>
      </c>
      <c r="AV180" s="4">
        <v>0</v>
      </c>
      <c r="AW180" s="4" t="s">
        <v>410</v>
      </c>
      <c r="AX180" s="4"/>
      <c r="AY180" s="4"/>
      <c r="AZ180" s="4" t="s">
        <v>410</v>
      </c>
      <c r="BA180" s="4" t="s">
        <v>410</v>
      </c>
      <c r="BB180" s="4" t="s">
        <v>410</v>
      </c>
      <c r="BC180" s="4" t="str">
        <f t="shared" si="97"/>
        <v>-</v>
      </c>
      <c r="BD180" s="19">
        <v>4</v>
      </c>
      <c r="BE180" s="19">
        <v>1</v>
      </c>
      <c r="BF180" s="16">
        <v>3</v>
      </c>
      <c r="BG180" s="36">
        <v>46174</v>
      </c>
      <c r="BH180">
        <v>1140</v>
      </c>
      <c r="BI180" t="s">
        <v>410</v>
      </c>
      <c r="BJ180" s="4" t="s">
        <v>410</v>
      </c>
      <c r="BL180" s="44">
        <f t="shared" si="98"/>
        <v>-5.6925996204932883E-3</v>
      </c>
      <c r="BM180" t="s">
        <v>792</v>
      </c>
    </row>
    <row r="181" spans="1:65" x14ac:dyDescent="0.4">
      <c r="A181" s="3">
        <v>171</v>
      </c>
      <c r="B181" s="3">
        <f t="shared" si="74"/>
        <v>178</v>
      </c>
      <c r="C181" s="4">
        <v>103359</v>
      </c>
      <c r="D181" s="4" t="str">
        <f t="shared" si="99"/>
        <v>103359</v>
      </c>
      <c r="E181" s="4">
        <v>103359</v>
      </c>
      <c r="F181" s="4" t="s">
        <v>336</v>
      </c>
      <c r="G181" s="5">
        <v>4977564700485</v>
      </c>
      <c r="H181" s="5">
        <v>5</v>
      </c>
      <c r="I181" s="5" t="str">
        <f t="shared" si="77"/>
        <v>1033595</v>
      </c>
      <c r="J181" s="5">
        <v>1</v>
      </c>
      <c r="K181" s="5">
        <v>1</v>
      </c>
      <c r="L181" s="4">
        <v>990</v>
      </c>
      <c r="M181" s="4">
        <v>816</v>
      </c>
      <c r="N181" s="4">
        <v>495</v>
      </c>
      <c r="O181" s="6">
        <f t="shared" si="78"/>
        <v>0.39338235294117652</v>
      </c>
      <c r="P181" s="4" t="s">
        <v>410</v>
      </c>
      <c r="Q181" s="4" t="s">
        <v>410</v>
      </c>
      <c r="R181" s="4" t="s">
        <v>410</v>
      </c>
      <c r="S181" s="4" t="s">
        <v>410</v>
      </c>
      <c r="T181" s="4" t="s">
        <v>410</v>
      </c>
      <c r="U181" s="4" t="s">
        <v>410</v>
      </c>
      <c r="V181" s="4">
        <v>1040</v>
      </c>
      <c r="W181" s="4">
        <f t="shared" si="79"/>
        <v>1040</v>
      </c>
      <c r="X181" s="4">
        <v>520</v>
      </c>
      <c r="Y181" s="4">
        <f t="shared" si="80"/>
        <v>520</v>
      </c>
      <c r="Z181" s="4"/>
      <c r="AA181" s="21">
        <f t="shared" si="81"/>
        <v>857</v>
      </c>
      <c r="AB181" s="6">
        <f t="shared" si="82"/>
        <v>0.39323220536756121</v>
      </c>
      <c r="AC181" s="4">
        <v>5.75</v>
      </c>
      <c r="AD181" s="4">
        <f t="shared" si="83"/>
        <v>893</v>
      </c>
      <c r="AE181" s="4">
        <f t="shared" si="84"/>
        <v>938.10101010101016</v>
      </c>
      <c r="AF181" s="6">
        <f t="shared" si="85"/>
        <v>0.4456886898096305</v>
      </c>
      <c r="AG181" s="7">
        <v>860</v>
      </c>
      <c r="AH181" s="6">
        <f t="shared" si="86"/>
        <v>0.39534883720930236</v>
      </c>
      <c r="AI181" s="4">
        <f t="shared" si="87"/>
        <v>340</v>
      </c>
      <c r="AJ181" s="28"/>
      <c r="AK181" s="6"/>
      <c r="AL181" s="6"/>
      <c r="AM181" s="6">
        <f t="shared" si="88"/>
        <v>1.0505050505050506</v>
      </c>
      <c r="AN181" s="6">
        <f t="shared" si="89"/>
        <v>1.053921568627451</v>
      </c>
      <c r="AO181" s="6">
        <f t="shared" si="90"/>
        <v>1.0505050505050506</v>
      </c>
      <c r="AP181" s="4" t="str">
        <f t="shared" si="91"/>
        <v>-</v>
      </c>
      <c r="AQ181" s="4" t="str">
        <f t="shared" si="92"/>
        <v>-</v>
      </c>
      <c r="AR181" s="4" t="str">
        <f t="shared" si="93"/>
        <v>-</v>
      </c>
      <c r="AS181" s="4" t="str">
        <f t="shared" si="94"/>
        <v>-</v>
      </c>
      <c r="AT181" s="4" t="str">
        <f t="shared" si="95"/>
        <v>-</v>
      </c>
      <c r="AU181" s="4" t="str">
        <f t="shared" si="96"/>
        <v>-</v>
      </c>
      <c r="AV181" s="4">
        <v>0</v>
      </c>
      <c r="AW181" s="4" t="s">
        <v>726</v>
      </c>
      <c r="AX181" s="4"/>
      <c r="AY181" s="4"/>
      <c r="AZ181" s="4" t="s">
        <v>616</v>
      </c>
      <c r="BA181" s="4">
        <v>893</v>
      </c>
      <c r="BB181" s="4">
        <v>893</v>
      </c>
      <c r="BC181" s="4">
        <f t="shared" si="97"/>
        <v>893</v>
      </c>
      <c r="BD181" s="19">
        <v>4</v>
      </c>
      <c r="BE181" s="19">
        <v>1</v>
      </c>
      <c r="BF181" s="16">
        <v>3</v>
      </c>
      <c r="BG181" s="36">
        <v>46174</v>
      </c>
      <c r="BH181">
        <v>917</v>
      </c>
      <c r="BI181">
        <v>990</v>
      </c>
      <c r="BJ181" s="4" t="s">
        <v>529</v>
      </c>
      <c r="BL181" s="44">
        <f t="shared" si="98"/>
        <v>3.4165181224004026E-3</v>
      </c>
      <c r="BM181" t="s">
        <v>792</v>
      </c>
    </row>
    <row r="182" spans="1:65" x14ac:dyDescent="0.4">
      <c r="A182" s="3">
        <v>172</v>
      </c>
      <c r="B182" s="3">
        <f t="shared" si="74"/>
        <v>179</v>
      </c>
      <c r="C182" s="4">
        <v>103360</v>
      </c>
      <c r="D182" s="4" t="str">
        <f t="shared" si="99"/>
        <v>103360</v>
      </c>
      <c r="E182" s="4">
        <v>103360</v>
      </c>
      <c r="F182" s="4" t="s">
        <v>337</v>
      </c>
      <c r="G182" s="5">
        <v>4977564700492</v>
      </c>
      <c r="H182" s="5">
        <v>5</v>
      </c>
      <c r="I182" s="5" t="str">
        <f t="shared" si="77"/>
        <v>1033605</v>
      </c>
      <c r="J182" s="5">
        <v>1</v>
      </c>
      <c r="K182" s="5">
        <v>1</v>
      </c>
      <c r="L182" s="4">
        <v>990</v>
      </c>
      <c r="M182" s="4">
        <v>816</v>
      </c>
      <c r="N182" s="4">
        <v>495</v>
      </c>
      <c r="O182" s="6">
        <f t="shared" si="78"/>
        <v>0.39338235294117652</v>
      </c>
      <c r="P182" s="4" t="s">
        <v>410</v>
      </c>
      <c r="Q182" s="4" t="s">
        <v>410</v>
      </c>
      <c r="R182" s="4" t="s">
        <v>410</v>
      </c>
      <c r="S182" s="4" t="s">
        <v>410</v>
      </c>
      <c r="T182" s="4" t="s">
        <v>410</v>
      </c>
      <c r="U182" s="4" t="s">
        <v>410</v>
      </c>
      <c r="V182" s="4">
        <v>1040</v>
      </c>
      <c r="W182" s="4">
        <f t="shared" si="79"/>
        <v>1040</v>
      </c>
      <c r="X182" s="4">
        <v>520</v>
      </c>
      <c r="Y182" s="4">
        <f t="shared" si="80"/>
        <v>520</v>
      </c>
      <c r="Z182" s="4"/>
      <c r="AA182" s="21">
        <f t="shared" si="81"/>
        <v>857</v>
      </c>
      <c r="AB182" s="6">
        <f t="shared" si="82"/>
        <v>0.39323220536756121</v>
      </c>
      <c r="AC182" s="4">
        <v>0.75</v>
      </c>
      <c r="AD182" s="4" t="str">
        <f t="shared" si="83"/>
        <v>-</v>
      </c>
      <c r="AE182" s="4" t="e">
        <f t="shared" si="84"/>
        <v>#VALUE!</v>
      </c>
      <c r="AF182" s="6" t="e">
        <f t="shared" si="85"/>
        <v>#VALUE!</v>
      </c>
      <c r="AG182" s="7">
        <v>860</v>
      </c>
      <c r="AH182" s="6">
        <f t="shared" si="86"/>
        <v>0.39534883720930236</v>
      </c>
      <c r="AI182" s="4">
        <f t="shared" si="87"/>
        <v>340</v>
      </c>
      <c r="AJ182" s="28"/>
      <c r="AK182" s="6"/>
      <c r="AL182" s="6"/>
      <c r="AM182" s="6">
        <f t="shared" si="88"/>
        <v>1.0505050505050506</v>
      </c>
      <c r="AN182" s="6">
        <f t="shared" si="89"/>
        <v>1.053921568627451</v>
      </c>
      <c r="AO182" s="6">
        <f t="shared" si="90"/>
        <v>1.0505050505050506</v>
      </c>
      <c r="AP182" s="4" t="str">
        <f t="shared" si="91"/>
        <v>-</v>
      </c>
      <c r="AQ182" s="4" t="str">
        <f t="shared" si="92"/>
        <v>-</v>
      </c>
      <c r="AR182" s="4" t="str">
        <f t="shared" si="93"/>
        <v>-</v>
      </c>
      <c r="AS182" s="4" t="str">
        <f t="shared" si="94"/>
        <v>-</v>
      </c>
      <c r="AT182" s="4" t="str">
        <f t="shared" si="95"/>
        <v>-</v>
      </c>
      <c r="AU182" s="4" t="str">
        <f t="shared" si="96"/>
        <v>-</v>
      </c>
      <c r="AV182" s="4">
        <v>0</v>
      </c>
      <c r="AW182" s="4" t="s">
        <v>410</v>
      </c>
      <c r="AX182" s="4"/>
      <c r="AY182" s="4"/>
      <c r="AZ182" s="4" t="s">
        <v>410</v>
      </c>
      <c r="BA182" s="4" t="s">
        <v>410</v>
      </c>
      <c r="BB182" s="4" t="s">
        <v>410</v>
      </c>
      <c r="BC182" s="4" t="str">
        <f t="shared" si="97"/>
        <v>-</v>
      </c>
      <c r="BD182" s="19">
        <v>4</v>
      </c>
      <c r="BE182" s="19">
        <v>8</v>
      </c>
      <c r="BF182" s="16">
        <v>3</v>
      </c>
      <c r="BG182" s="36">
        <v>46174</v>
      </c>
      <c r="BH182">
        <v>917</v>
      </c>
      <c r="BI182">
        <v>990</v>
      </c>
      <c r="BJ182" s="4" t="s">
        <v>410</v>
      </c>
      <c r="BL182" s="44">
        <f t="shared" si="98"/>
        <v>3.4165181224004026E-3</v>
      </c>
      <c r="BM182" t="s">
        <v>792</v>
      </c>
    </row>
    <row r="183" spans="1:65" x14ac:dyDescent="0.4">
      <c r="A183" s="3">
        <v>173</v>
      </c>
      <c r="B183" s="3">
        <f t="shared" si="74"/>
        <v>180</v>
      </c>
      <c r="C183" s="4">
        <v>103361</v>
      </c>
      <c r="D183" s="4" t="str">
        <f t="shared" si="99"/>
        <v>103361</v>
      </c>
      <c r="E183" s="4">
        <v>103361</v>
      </c>
      <c r="F183" s="4" t="s">
        <v>338</v>
      </c>
      <c r="G183" s="5">
        <v>4977564700508</v>
      </c>
      <c r="H183" s="5">
        <v>5</v>
      </c>
      <c r="I183" s="5" t="str">
        <f t="shared" si="77"/>
        <v>1033615</v>
      </c>
      <c r="J183" s="5">
        <v>1</v>
      </c>
      <c r="K183" s="5">
        <v>1</v>
      </c>
      <c r="L183" s="4">
        <v>990</v>
      </c>
      <c r="M183" s="4">
        <v>816</v>
      </c>
      <c r="N183" s="4">
        <v>495</v>
      </c>
      <c r="O183" s="6">
        <f t="shared" si="78"/>
        <v>0.39338235294117652</v>
      </c>
      <c r="P183" s="4" t="s">
        <v>410</v>
      </c>
      <c r="Q183" s="4" t="s">
        <v>410</v>
      </c>
      <c r="R183" s="4" t="s">
        <v>410</v>
      </c>
      <c r="S183" s="4" t="s">
        <v>410</v>
      </c>
      <c r="T183" s="4" t="s">
        <v>410</v>
      </c>
      <c r="U183" s="4" t="s">
        <v>410</v>
      </c>
      <c r="V183" s="4">
        <v>1040</v>
      </c>
      <c r="W183" s="4">
        <f t="shared" si="79"/>
        <v>1040</v>
      </c>
      <c r="X183" s="4">
        <v>520</v>
      </c>
      <c r="Y183" s="4">
        <f t="shared" si="80"/>
        <v>520</v>
      </c>
      <c r="Z183" s="4"/>
      <c r="AA183" s="21">
        <f t="shared" si="81"/>
        <v>857</v>
      </c>
      <c r="AB183" s="6">
        <f t="shared" si="82"/>
        <v>0.39323220536756121</v>
      </c>
      <c r="AC183" s="4">
        <v>1</v>
      </c>
      <c r="AD183" s="4">
        <f t="shared" si="83"/>
        <v>990</v>
      </c>
      <c r="AE183" s="4">
        <f t="shared" si="84"/>
        <v>1040</v>
      </c>
      <c r="AF183" s="6">
        <f t="shared" si="85"/>
        <v>0.5</v>
      </c>
      <c r="AG183" s="7">
        <v>860</v>
      </c>
      <c r="AH183" s="6">
        <f t="shared" si="86"/>
        <v>0.39534883720930236</v>
      </c>
      <c r="AI183" s="4">
        <f t="shared" si="87"/>
        <v>340</v>
      </c>
      <c r="AJ183" s="28"/>
      <c r="AK183" s="6"/>
      <c r="AL183" s="6"/>
      <c r="AM183" s="6">
        <f t="shared" si="88"/>
        <v>1.0505050505050506</v>
      </c>
      <c r="AN183" s="6">
        <f t="shared" si="89"/>
        <v>1.053921568627451</v>
      </c>
      <c r="AO183" s="6">
        <f t="shared" si="90"/>
        <v>1.0505050505050506</v>
      </c>
      <c r="AP183" s="4" t="str">
        <f t="shared" si="91"/>
        <v>-</v>
      </c>
      <c r="AQ183" s="4" t="str">
        <f t="shared" si="92"/>
        <v>-</v>
      </c>
      <c r="AR183" s="4" t="str">
        <f t="shared" si="93"/>
        <v>-</v>
      </c>
      <c r="AS183" s="4" t="str">
        <f t="shared" si="94"/>
        <v>-</v>
      </c>
      <c r="AT183" s="4" t="str">
        <f t="shared" si="95"/>
        <v>-</v>
      </c>
      <c r="AU183" s="4" t="str">
        <f t="shared" si="96"/>
        <v>-</v>
      </c>
      <c r="AV183" s="4">
        <v>0</v>
      </c>
      <c r="AW183" s="4" t="s">
        <v>727</v>
      </c>
      <c r="AX183" s="4"/>
      <c r="AY183" s="4"/>
      <c r="AZ183" s="4" t="s">
        <v>616</v>
      </c>
      <c r="BA183" s="4">
        <v>990</v>
      </c>
      <c r="BB183" s="4">
        <v>990</v>
      </c>
      <c r="BC183" s="4">
        <f t="shared" si="97"/>
        <v>990</v>
      </c>
      <c r="BD183" s="19">
        <v>4</v>
      </c>
      <c r="BE183" s="19">
        <v>1</v>
      </c>
      <c r="BF183" s="16">
        <v>3</v>
      </c>
      <c r="BG183" s="36">
        <v>46174</v>
      </c>
      <c r="BH183">
        <v>917</v>
      </c>
      <c r="BI183">
        <v>990</v>
      </c>
      <c r="BJ183" s="4" t="s">
        <v>530</v>
      </c>
      <c r="BL183" s="44">
        <f t="shared" si="98"/>
        <v>3.4165181224004026E-3</v>
      </c>
      <c r="BM183" t="s">
        <v>792</v>
      </c>
    </row>
    <row r="184" spans="1:65" x14ac:dyDescent="0.4">
      <c r="A184" s="3">
        <v>174</v>
      </c>
      <c r="B184" s="3">
        <f t="shared" si="74"/>
        <v>181</v>
      </c>
      <c r="C184" s="4">
        <v>103362</v>
      </c>
      <c r="D184" s="4" t="str">
        <f t="shared" si="99"/>
        <v>103362</v>
      </c>
      <c r="E184" s="4">
        <v>103362</v>
      </c>
      <c r="F184" s="4" t="s">
        <v>339</v>
      </c>
      <c r="G184" s="5">
        <v>4977564713355</v>
      </c>
      <c r="H184" s="5">
        <v>5</v>
      </c>
      <c r="I184" s="5" t="str">
        <f t="shared" si="77"/>
        <v>1033625</v>
      </c>
      <c r="J184" s="5">
        <v>1</v>
      </c>
      <c r="K184" s="5">
        <v>1</v>
      </c>
      <c r="L184" s="4">
        <v>990</v>
      </c>
      <c r="M184" s="4">
        <v>816</v>
      </c>
      <c r="N184" s="4">
        <v>495</v>
      </c>
      <c r="O184" s="6">
        <f t="shared" si="78"/>
        <v>0.39338235294117652</v>
      </c>
      <c r="P184" s="4" t="s">
        <v>410</v>
      </c>
      <c r="Q184" s="4" t="s">
        <v>410</v>
      </c>
      <c r="R184" s="4" t="s">
        <v>410</v>
      </c>
      <c r="S184" s="4" t="s">
        <v>410</v>
      </c>
      <c r="T184" s="4" t="s">
        <v>410</v>
      </c>
      <c r="U184" s="4" t="s">
        <v>410</v>
      </c>
      <c r="V184" s="4">
        <v>1040</v>
      </c>
      <c r="W184" s="4">
        <f t="shared" si="79"/>
        <v>1040</v>
      </c>
      <c r="X184" s="4">
        <v>520</v>
      </c>
      <c r="Y184" s="4">
        <f t="shared" si="80"/>
        <v>520</v>
      </c>
      <c r="Z184" s="4"/>
      <c r="AA184" s="21">
        <f t="shared" si="81"/>
        <v>857</v>
      </c>
      <c r="AB184" s="6">
        <f t="shared" si="82"/>
        <v>0.39323220536756121</v>
      </c>
      <c r="AC184" s="4">
        <v>2.25</v>
      </c>
      <c r="AD184" s="4" t="str">
        <f t="shared" si="83"/>
        <v>-</v>
      </c>
      <c r="AE184" s="4" t="e">
        <f t="shared" si="84"/>
        <v>#VALUE!</v>
      </c>
      <c r="AF184" s="6" t="e">
        <f t="shared" si="85"/>
        <v>#VALUE!</v>
      </c>
      <c r="AG184" s="7">
        <v>860</v>
      </c>
      <c r="AH184" s="6">
        <f t="shared" si="86"/>
        <v>0.39534883720930236</v>
      </c>
      <c r="AI184" s="4">
        <f t="shared" si="87"/>
        <v>340</v>
      </c>
      <c r="AJ184" s="28"/>
      <c r="AK184" s="6"/>
      <c r="AL184" s="6"/>
      <c r="AM184" s="6">
        <f t="shared" si="88"/>
        <v>1.0505050505050506</v>
      </c>
      <c r="AN184" s="6">
        <f t="shared" si="89"/>
        <v>1.053921568627451</v>
      </c>
      <c r="AO184" s="6">
        <f t="shared" si="90"/>
        <v>1.0505050505050506</v>
      </c>
      <c r="AP184" s="4" t="str">
        <f t="shared" si="91"/>
        <v>-</v>
      </c>
      <c r="AQ184" s="4" t="str">
        <f t="shared" si="92"/>
        <v>-</v>
      </c>
      <c r="AR184" s="4" t="str">
        <f t="shared" si="93"/>
        <v>-</v>
      </c>
      <c r="AS184" s="4" t="str">
        <f t="shared" si="94"/>
        <v>-</v>
      </c>
      <c r="AT184" s="4" t="str">
        <f t="shared" si="95"/>
        <v>-</v>
      </c>
      <c r="AU184" s="4" t="str">
        <f t="shared" si="96"/>
        <v>-</v>
      </c>
      <c r="AV184" s="4">
        <v>0</v>
      </c>
      <c r="AW184" s="4" t="s">
        <v>410</v>
      </c>
      <c r="AX184" s="4"/>
      <c r="AY184" s="4"/>
      <c r="AZ184" s="4" t="s">
        <v>410</v>
      </c>
      <c r="BA184" s="4" t="s">
        <v>410</v>
      </c>
      <c r="BB184" s="4" t="s">
        <v>410</v>
      </c>
      <c r="BC184" s="4" t="str">
        <f t="shared" si="97"/>
        <v>-</v>
      </c>
      <c r="BD184" s="19">
        <v>4</v>
      </c>
      <c r="BE184" s="19">
        <v>1</v>
      </c>
      <c r="BF184" s="16">
        <v>3</v>
      </c>
      <c r="BG184" s="36">
        <v>46174</v>
      </c>
      <c r="BH184">
        <v>917</v>
      </c>
      <c r="BI184">
        <v>990</v>
      </c>
      <c r="BJ184" s="4" t="s">
        <v>410</v>
      </c>
      <c r="BL184" s="44">
        <f t="shared" si="98"/>
        <v>3.4165181224004026E-3</v>
      </c>
      <c r="BM184" t="s">
        <v>792</v>
      </c>
    </row>
    <row r="185" spans="1:65" x14ac:dyDescent="0.4">
      <c r="A185" s="3">
        <v>175</v>
      </c>
      <c r="B185" s="3">
        <f t="shared" si="74"/>
        <v>182</v>
      </c>
      <c r="C185" s="4">
        <v>103363</v>
      </c>
      <c r="D185" s="4" t="str">
        <f t="shared" si="99"/>
        <v>103363</v>
      </c>
      <c r="E185" s="4">
        <v>103363</v>
      </c>
      <c r="F185" s="4" t="s">
        <v>340</v>
      </c>
      <c r="G185" s="5">
        <v>4977564700515</v>
      </c>
      <c r="H185" s="5">
        <v>5</v>
      </c>
      <c r="I185" s="5" t="str">
        <f t="shared" si="77"/>
        <v>1033635</v>
      </c>
      <c r="J185" s="5">
        <v>1</v>
      </c>
      <c r="K185" s="5">
        <v>1</v>
      </c>
      <c r="L185" s="4">
        <v>600</v>
      </c>
      <c r="M185" s="4">
        <v>494</v>
      </c>
      <c r="N185" s="4">
        <v>300</v>
      </c>
      <c r="O185" s="6">
        <f t="shared" si="78"/>
        <v>0.39271255060728749</v>
      </c>
      <c r="P185" s="4" t="s">
        <v>410</v>
      </c>
      <c r="Q185" s="4" t="s">
        <v>410</v>
      </c>
      <c r="R185" s="4" t="s">
        <v>410</v>
      </c>
      <c r="S185" s="4" t="s">
        <v>410</v>
      </c>
      <c r="T185" s="4" t="s">
        <v>410</v>
      </c>
      <c r="U185" s="4" t="s">
        <v>410</v>
      </c>
      <c r="V185" s="4">
        <v>630</v>
      </c>
      <c r="W185" s="4">
        <f t="shared" si="79"/>
        <v>630</v>
      </c>
      <c r="X185" s="4">
        <v>315</v>
      </c>
      <c r="Y185" s="4">
        <f t="shared" si="80"/>
        <v>315</v>
      </c>
      <c r="Z185" s="4"/>
      <c r="AA185" s="21">
        <f t="shared" si="81"/>
        <v>519</v>
      </c>
      <c r="AB185" s="6">
        <f t="shared" si="82"/>
        <v>0.39306358381502893</v>
      </c>
      <c r="AC185" s="4">
        <v>7.5</v>
      </c>
      <c r="AD185" s="4">
        <f t="shared" si="83"/>
        <v>600</v>
      </c>
      <c r="AE185" s="4">
        <f t="shared" si="84"/>
        <v>630</v>
      </c>
      <c r="AF185" s="6">
        <f t="shared" si="85"/>
        <v>0.5</v>
      </c>
      <c r="AG185" s="7">
        <v>520</v>
      </c>
      <c r="AH185" s="6">
        <f t="shared" si="86"/>
        <v>0.39423076923076927</v>
      </c>
      <c r="AI185" s="4">
        <f t="shared" si="87"/>
        <v>205</v>
      </c>
      <c r="AJ185" s="28"/>
      <c r="AK185" s="6"/>
      <c r="AL185" s="6"/>
      <c r="AM185" s="6">
        <f t="shared" si="88"/>
        <v>1.05</v>
      </c>
      <c r="AN185" s="6">
        <f t="shared" si="89"/>
        <v>1.0526315789473684</v>
      </c>
      <c r="AO185" s="6">
        <f t="shared" si="90"/>
        <v>1.05</v>
      </c>
      <c r="AP185" s="4" t="str">
        <f t="shared" si="91"/>
        <v>-</v>
      </c>
      <c r="AQ185" s="4" t="str">
        <f t="shared" si="92"/>
        <v>-</v>
      </c>
      <c r="AR185" s="4" t="str">
        <f t="shared" si="93"/>
        <v>-</v>
      </c>
      <c r="AS185" s="4" t="str">
        <f t="shared" si="94"/>
        <v>-</v>
      </c>
      <c r="AT185" s="4" t="str">
        <f t="shared" si="95"/>
        <v>-</v>
      </c>
      <c r="AU185" s="4" t="str">
        <f t="shared" si="96"/>
        <v>-</v>
      </c>
      <c r="AV185" s="4">
        <v>0</v>
      </c>
      <c r="AW185" s="4" t="s">
        <v>728</v>
      </c>
      <c r="AX185" s="4"/>
      <c r="AY185" s="4"/>
      <c r="AZ185" s="4" t="s">
        <v>616</v>
      </c>
      <c r="BA185" s="4">
        <v>600</v>
      </c>
      <c r="BB185" s="4">
        <v>600</v>
      </c>
      <c r="BC185" s="4">
        <f t="shared" si="97"/>
        <v>600</v>
      </c>
      <c r="BD185" s="19">
        <v>4</v>
      </c>
      <c r="BE185" s="19">
        <v>1</v>
      </c>
      <c r="BF185" s="16">
        <v>3</v>
      </c>
      <c r="BG185" s="36">
        <v>46174</v>
      </c>
      <c r="BH185">
        <v>545</v>
      </c>
      <c r="BI185">
        <v>600</v>
      </c>
      <c r="BJ185" s="4" t="s">
        <v>531</v>
      </c>
      <c r="BL185" s="44">
        <f t="shared" si="98"/>
        <v>2.6315789473683182E-3</v>
      </c>
      <c r="BM185" t="s">
        <v>792</v>
      </c>
    </row>
    <row r="186" spans="1:65" x14ac:dyDescent="0.4">
      <c r="A186" s="3">
        <v>176</v>
      </c>
      <c r="B186" s="3">
        <f t="shared" si="74"/>
        <v>183</v>
      </c>
      <c r="C186" s="4">
        <v>103364</v>
      </c>
      <c r="D186" s="4" t="str">
        <f t="shared" si="99"/>
        <v>103364</v>
      </c>
      <c r="E186" s="4">
        <v>103364</v>
      </c>
      <c r="F186" s="4" t="s">
        <v>341</v>
      </c>
      <c r="G186" s="5">
        <v>4977564700522</v>
      </c>
      <c r="H186" s="5">
        <v>5</v>
      </c>
      <c r="I186" s="5" t="str">
        <f t="shared" si="77"/>
        <v>1033645</v>
      </c>
      <c r="J186" s="5">
        <v>1</v>
      </c>
      <c r="K186" s="5">
        <v>1</v>
      </c>
      <c r="L186" s="4">
        <v>600</v>
      </c>
      <c r="M186" s="4">
        <v>489</v>
      </c>
      <c r="N186" s="4">
        <v>300</v>
      </c>
      <c r="O186" s="6">
        <f t="shared" si="78"/>
        <v>0.38650306748466257</v>
      </c>
      <c r="P186" s="4" t="s">
        <v>410</v>
      </c>
      <c r="Q186" s="4" t="s">
        <v>410</v>
      </c>
      <c r="R186" s="4" t="s">
        <v>410</v>
      </c>
      <c r="S186" s="4" t="s">
        <v>410</v>
      </c>
      <c r="T186" s="4" t="s">
        <v>410</v>
      </c>
      <c r="U186" s="4" t="s">
        <v>410</v>
      </c>
      <c r="V186" s="4">
        <v>630</v>
      </c>
      <c r="W186" s="4">
        <f t="shared" si="79"/>
        <v>630</v>
      </c>
      <c r="X186" s="4">
        <v>315</v>
      </c>
      <c r="Y186" s="4">
        <f t="shared" si="80"/>
        <v>315</v>
      </c>
      <c r="Z186" s="4"/>
      <c r="AA186" s="21">
        <f t="shared" si="81"/>
        <v>513</v>
      </c>
      <c r="AB186" s="6">
        <f t="shared" si="82"/>
        <v>0.38596491228070173</v>
      </c>
      <c r="AC186" s="4">
        <v>4.25</v>
      </c>
      <c r="AD186" s="4">
        <f t="shared" si="83"/>
        <v>592</v>
      </c>
      <c r="AE186" s="4">
        <f t="shared" si="84"/>
        <v>621.6</v>
      </c>
      <c r="AF186" s="6">
        <f t="shared" si="85"/>
        <v>0.49324324324324331</v>
      </c>
      <c r="AG186" s="7">
        <v>520</v>
      </c>
      <c r="AH186" s="6">
        <f t="shared" si="86"/>
        <v>0.39423076923076927</v>
      </c>
      <c r="AI186" s="4">
        <f t="shared" si="87"/>
        <v>205</v>
      </c>
      <c r="AJ186" s="28"/>
      <c r="AK186" s="6"/>
      <c r="AL186" s="6"/>
      <c r="AM186" s="6">
        <f t="shared" si="88"/>
        <v>1.05</v>
      </c>
      <c r="AN186" s="6">
        <f t="shared" si="89"/>
        <v>1.0633946830265848</v>
      </c>
      <c r="AO186" s="6">
        <f t="shared" si="90"/>
        <v>1.05</v>
      </c>
      <c r="AP186" s="4" t="str">
        <f t="shared" si="91"/>
        <v>-</v>
      </c>
      <c r="AQ186" s="4" t="str">
        <f t="shared" si="92"/>
        <v>-</v>
      </c>
      <c r="AR186" s="4" t="str">
        <f t="shared" si="93"/>
        <v>-</v>
      </c>
      <c r="AS186" s="4" t="str">
        <f t="shared" si="94"/>
        <v>-</v>
      </c>
      <c r="AT186" s="4" t="str">
        <f t="shared" si="95"/>
        <v>-</v>
      </c>
      <c r="AU186" s="4" t="str">
        <f t="shared" si="96"/>
        <v>-</v>
      </c>
      <c r="AV186" s="4">
        <v>0</v>
      </c>
      <c r="AW186" s="4" t="s">
        <v>729</v>
      </c>
      <c r="AX186" s="4"/>
      <c r="AY186" s="4"/>
      <c r="AZ186" s="4" t="s">
        <v>616</v>
      </c>
      <c r="BA186" s="4">
        <v>592</v>
      </c>
      <c r="BB186" s="4">
        <v>592</v>
      </c>
      <c r="BC186" s="4">
        <f t="shared" si="97"/>
        <v>592</v>
      </c>
      <c r="BD186" s="19">
        <v>4</v>
      </c>
      <c r="BE186" s="19">
        <v>8</v>
      </c>
      <c r="BF186" s="16">
        <v>3</v>
      </c>
      <c r="BG186" s="36">
        <v>46174</v>
      </c>
      <c r="BH186">
        <v>545</v>
      </c>
      <c r="BI186">
        <v>600</v>
      </c>
      <c r="BJ186" s="4" t="s">
        <v>532</v>
      </c>
      <c r="BL186" s="44">
        <f t="shared" si="98"/>
        <v>1.3394683026584753E-2</v>
      </c>
      <c r="BM186" t="s">
        <v>792</v>
      </c>
    </row>
    <row r="187" spans="1:65" x14ac:dyDescent="0.4">
      <c r="A187" s="3">
        <v>177</v>
      </c>
      <c r="B187" s="3">
        <f t="shared" si="74"/>
        <v>184</v>
      </c>
      <c r="C187" s="4">
        <v>103366</v>
      </c>
      <c r="D187" s="4" t="str">
        <f t="shared" si="99"/>
        <v>103366</v>
      </c>
      <c r="E187" s="4">
        <v>103366</v>
      </c>
      <c r="F187" s="4" t="s">
        <v>342</v>
      </c>
      <c r="G187" s="5">
        <v>4977564700539</v>
      </c>
      <c r="H187" s="5">
        <v>5</v>
      </c>
      <c r="I187" s="5" t="str">
        <f t="shared" si="77"/>
        <v>1033665</v>
      </c>
      <c r="J187" s="5">
        <v>1</v>
      </c>
      <c r="K187" s="5">
        <v>1</v>
      </c>
      <c r="L187" s="4">
        <v>600</v>
      </c>
      <c r="M187" s="4">
        <v>489</v>
      </c>
      <c r="N187" s="4">
        <v>300</v>
      </c>
      <c r="O187" s="6">
        <f t="shared" si="78"/>
        <v>0.38650306748466257</v>
      </c>
      <c r="P187" s="4" t="s">
        <v>410</v>
      </c>
      <c r="Q187" s="4" t="s">
        <v>410</v>
      </c>
      <c r="R187" s="4" t="s">
        <v>410</v>
      </c>
      <c r="S187" s="4" t="s">
        <v>410</v>
      </c>
      <c r="T187" s="4" t="s">
        <v>410</v>
      </c>
      <c r="U187" s="4" t="s">
        <v>410</v>
      </c>
      <c r="V187" s="4">
        <v>630</v>
      </c>
      <c r="W187" s="4">
        <f t="shared" si="79"/>
        <v>630</v>
      </c>
      <c r="X187" s="4">
        <v>315</v>
      </c>
      <c r="Y187" s="4">
        <f t="shared" si="80"/>
        <v>315</v>
      </c>
      <c r="Z187" s="4"/>
      <c r="AA187" s="21">
        <f t="shared" si="81"/>
        <v>513</v>
      </c>
      <c r="AB187" s="6">
        <f t="shared" si="82"/>
        <v>0.38596491228070173</v>
      </c>
      <c r="AC187" s="4">
        <v>3.75</v>
      </c>
      <c r="AD187" s="4">
        <f t="shared" si="83"/>
        <v>545</v>
      </c>
      <c r="AE187" s="4">
        <f t="shared" si="84"/>
        <v>572.25</v>
      </c>
      <c r="AF187" s="6">
        <f t="shared" si="85"/>
        <v>0.44954128440366969</v>
      </c>
      <c r="AG187" s="7">
        <v>520</v>
      </c>
      <c r="AH187" s="6">
        <f t="shared" si="86"/>
        <v>0.39423076923076927</v>
      </c>
      <c r="AI187" s="4">
        <f t="shared" si="87"/>
        <v>205</v>
      </c>
      <c r="AJ187" s="28"/>
      <c r="AK187" s="6"/>
      <c r="AL187" s="6"/>
      <c r="AM187" s="6">
        <f t="shared" si="88"/>
        <v>1.05</v>
      </c>
      <c r="AN187" s="6">
        <f t="shared" si="89"/>
        <v>1.0633946830265848</v>
      </c>
      <c r="AO187" s="6">
        <f t="shared" si="90"/>
        <v>1.05</v>
      </c>
      <c r="AP187" s="4" t="str">
        <f t="shared" si="91"/>
        <v>-</v>
      </c>
      <c r="AQ187" s="4" t="str">
        <f t="shared" si="92"/>
        <v>-</v>
      </c>
      <c r="AR187" s="4" t="str">
        <f t="shared" si="93"/>
        <v>-</v>
      </c>
      <c r="AS187" s="4" t="str">
        <f t="shared" si="94"/>
        <v>-</v>
      </c>
      <c r="AT187" s="4" t="str">
        <f t="shared" si="95"/>
        <v>-</v>
      </c>
      <c r="AU187" s="4" t="str">
        <f t="shared" si="96"/>
        <v>-</v>
      </c>
      <c r="AV187" s="4">
        <v>0</v>
      </c>
      <c r="AW187" s="4" t="s">
        <v>730</v>
      </c>
      <c r="AX187" s="4"/>
      <c r="AY187" s="4"/>
      <c r="AZ187" s="4" t="s">
        <v>616</v>
      </c>
      <c r="BA187" s="4">
        <v>545</v>
      </c>
      <c r="BB187" s="4">
        <v>545</v>
      </c>
      <c r="BC187" s="4">
        <f t="shared" si="97"/>
        <v>545</v>
      </c>
      <c r="BD187" s="19">
        <v>4</v>
      </c>
      <c r="BE187" s="19">
        <v>1</v>
      </c>
      <c r="BF187" s="16">
        <v>3</v>
      </c>
      <c r="BG187" s="36">
        <v>46174</v>
      </c>
      <c r="BH187">
        <v>545</v>
      </c>
      <c r="BI187">
        <v>600</v>
      </c>
      <c r="BJ187" s="4" t="s">
        <v>533</v>
      </c>
      <c r="BL187" s="44">
        <f t="shared" si="98"/>
        <v>1.3394683026584753E-2</v>
      </c>
      <c r="BM187" t="s">
        <v>792</v>
      </c>
    </row>
    <row r="188" spans="1:65" x14ac:dyDescent="0.4">
      <c r="A188" s="3">
        <v>178</v>
      </c>
      <c r="B188" s="3">
        <f t="shared" si="74"/>
        <v>185</v>
      </c>
      <c r="C188" s="4">
        <v>103367</v>
      </c>
      <c r="D188" s="4" t="str">
        <f t="shared" si="99"/>
        <v>103367</v>
      </c>
      <c r="E188" s="4">
        <v>103367</v>
      </c>
      <c r="F188" s="4" t="s">
        <v>343</v>
      </c>
      <c r="G188" s="5">
        <v>4977564713362</v>
      </c>
      <c r="H188" s="5">
        <v>5</v>
      </c>
      <c r="I188" s="5" t="str">
        <f t="shared" si="77"/>
        <v>1033675</v>
      </c>
      <c r="J188" s="5">
        <v>1</v>
      </c>
      <c r="K188" s="5">
        <v>1</v>
      </c>
      <c r="L188" s="4">
        <v>600</v>
      </c>
      <c r="M188" s="4">
        <v>494</v>
      </c>
      <c r="N188" s="4">
        <v>300</v>
      </c>
      <c r="O188" s="6">
        <f t="shared" si="78"/>
        <v>0.39271255060728749</v>
      </c>
      <c r="P188" s="4" t="s">
        <v>410</v>
      </c>
      <c r="Q188" s="4" t="s">
        <v>410</v>
      </c>
      <c r="R188" s="4" t="s">
        <v>410</v>
      </c>
      <c r="S188" s="4" t="s">
        <v>410</v>
      </c>
      <c r="T188" s="4" t="s">
        <v>410</v>
      </c>
      <c r="U188" s="4" t="s">
        <v>410</v>
      </c>
      <c r="V188" s="4">
        <v>630</v>
      </c>
      <c r="W188" s="4">
        <f t="shared" si="79"/>
        <v>630</v>
      </c>
      <c r="X188" s="4">
        <v>315</v>
      </c>
      <c r="Y188" s="4">
        <f t="shared" si="80"/>
        <v>315</v>
      </c>
      <c r="Z188" s="4"/>
      <c r="AA188" s="21">
        <f t="shared" si="81"/>
        <v>519</v>
      </c>
      <c r="AB188" s="6">
        <f t="shared" si="82"/>
        <v>0.39306358381502893</v>
      </c>
      <c r="AC188" s="4">
        <v>4</v>
      </c>
      <c r="AD188" s="4" t="str">
        <f t="shared" si="83"/>
        <v>-</v>
      </c>
      <c r="AE188" s="4" t="e">
        <f t="shared" si="84"/>
        <v>#VALUE!</v>
      </c>
      <c r="AF188" s="6" t="e">
        <f t="shared" si="85"/>
        <v>#VALUE!</v>
      </c>
      <c r="AG188" s="7">
        <v>520</v>
      </c>
      <c r="AH188" s="6">
        <f t="shared" si="86"/>
        <v>0.39423076923076927</v>
      </c>
      <c r="AI188" s="4">
        <f t="shared" si="87"/>
        <v>205</v>
      </c>
      <c r="AJ188" s="28"/>
      <c r="AK188" s="6"/>
      <c r="AL188" s="6"/>
      <c r="AM188" s="6">
        <f t="shared" si="88"/>
        <v>1.05</v>
      </c>
      <c r="AN188" s="6">
        <f t="shared" si="89"/>
        <v>1.0526315789473684</v>
      </c>
      <c r="AO188" s="6">
        <f t="shared" si="90"/>
        <v>1.05</v>
      </c>
      <c r="AP188" s="4" t="str">
        <f t="shared" si="91"/>
        <v>-</v>
      </c>
      <c r="AQ188" s="4" t="str">
        <f t="shared" si="92"/>
        <v>-</v>
      </c>
      <c r="AR188" s="4" t="str">
        <f t="shared" si="93"/>
        <v>-</v>
      </c>
      <c r="AS188" s="4" t="str">
        <f t="shared" si="94"/>
        <v>-</v>
      </c>
      <c r="AT188" s="4" t="str">
        <f t="shared" si="95"/>
        <v>-</v>
      </c>
      <c r="AU188" s="4" t="str">
        <f t="shared" si="96"/>
        <v>-</v>
      </c>
      <c r="AV188" s="4">
        <v>0</v>
      </c>
      <c r="AW188" s="4" t="s">
        <v>410</v>
      </c>
      <c r="AX188" s="4"/>
      <c r="AY188" s="4"/>
      <c r="AZ188" s="4" t="s">
        <v>410</v>
      </c>
      <c r="BA188" s="4" t="s">
        <v>410</v>
      </c>
      <c r="BB188" s="4" t="s">
        <v>410</v>
      </c>
      <c r="BC188" s="4" t="str">
        <f t="shared" si="97"/>
        <v>-</v>
      </c>
      <c r="BD188" s="19">
        <v>4</v>
      </c>
      <c r="BE188" s="19">
        <v>1</v>
      </c>
      <c r="BF188" s="16">
        <v>3</v>
      </c>
      <c r="BG188" s="36">
        <v>46174</v>
      </c>
      <c r="BH188">
        <v>545</v>
      </c>
      <c r="BI188">
        <v>600</v>
      </c>
      <c r="BJ188" s="4" t="s">
        <v>410</v>
      </c>
      <c r="BL188" s="44">
        <f t="shared" si="98"/>
        <v>2.6315789473683182E-3</v>
      </c>
      <c r="BM188" t="s">
        <v>792</v>
      </c>
    </row>
    <row r="189" spans="1:65" x14ac:dyDescent="0.4">
      <c r="A189" s="3">
        <v>179</v>
      </c>
      <c r="B189" s="3">
        <f t="shared" si="74"/>
        <v>186</v>
      </c>
      <c r="C189" s="4">
        <v>103368</v>
      </c>
      <c r="D189" s="4" t="str">
        <f t="shared" si="99"/>
        <v>103368</v>
      </c>
      <c r="E189" s="4">
        <v>103368</v>
      </c>
      <c r="F189" s="4" t="s">
        <v>344</v>
      </c>
      <c r="G189" s="5">
        <v>4977564713379</v>
      </c>
      <c r="H189" s="5">
        <v>5</v>
      </c>
      <c r="I189" s="5" t="str">
        <f t="shared" si="77"/>
        <v>1033685</v>
      </c>
      <c r="J189" s="5">
        <v>1</v>
      </c>
      <c r="K189" s="5">
        <v>1</v>
      </c>
      <c r="L189" s="4">
        <v>500</v>
      </c>
      <c r="M189" s="4">
        <v>412</v>
      </c>
      <c r="N189" s="4">
        <v>250</v>
      </c>
      <c r="O189" s="6">
        <f t="shared" si="78"/>
        <v>0.39320388349514568</v>
      </c>
      <c r="P189" s="4" t="s">
        <v>410</v>
      </c>
      <c r="Q189" s="4" t="s">
        <v>410</v>
      </c>
      <c r="R189" s="4" t="s">
        <v>410</v>
      </c>
      <c r="S189" s="4" t="s">
        <v>410</v>
      </c>
      <c r="T189" s="4" t="s">
        <v>410</v>
      </c>
      <c r="U189" s="4" t="s">
        <v>410</v>
      </c>
      <c r="V189" s="4">
        <v>530</v>
      </c>
      <c r="W189" s="4">
        <f t="shared" si="79"/>
        <v>530</v>
      </c>
      <c r="X189" s="4">
        <v>265</v>
      </c>
      <c r="Y189" s="4">
        <f t="shared" si="80"/>
        <v>265</v>
      </c>
      <c r="Z189" s="4"/>
      <c r="AA189" s="21">
        <f t="shared" si="81"/>
        <v>437</v>
      </c>
      <c r="AB189" s="6">
        <f t="shared" si="82"/>
        <v>0.39359267734553771</v>
      </c>
      <c r="AC189" s="4">
        <v>5.75</v>
      </c>
      <c r="AD189" s="4">
        <f t="shared" si="83"/>
        <v>500</v>
      </c>
      <c r="AE189" s="4">
        <f t="shared" si="84"/>
        <v>530</v>
      </c>
      <c r="AF189" s="6">
        <f t="shared" si="85"/>
        <v>0.5</v>
      </c>
      <c r="AG189" s="7">
        <v>440</v>
      </c>
      <c r="AH189" s="6">
        <f t="shared" si="86"/>
        <v>0.39772727272727271</v>
      </c>
      <c r="AI189" s="4">
        <f t="shared" si="87"/>
        <v>175</v>
      </c>
      <c r="AJ189" s="28"/>
      <c r="AK189" s="6"/>
      <c r="AL189" s="6"/>
      <c r="AM189" s="6">
        <f t="shared" si="88"/>
        <v>1.06</v>
      </c>
      <c r="AN189" s="6">
        <f t="shared" si="89"/>
        <v>1.0679611650485437</v>
      </c>
      <c r="AO189" s="6">
        <f t="shared" si="90"/>
        <v>1.06</v>
      </c>
      <c r="AP189" s="4" t="str">
        <f t="shared" si="91"/>
        <v>-</v>
      </c>
      <c r="AQ189" s="4" t="str">
        <f t="shared" si="92"/>
        <v>-</v>
      </c>
      <c r="AR189" s="4" t="str">
        <f t="shared" si="93"/>
        <v>-</v>
      </c>
      <c r="AS189" s="4" t="str">
        <f t="shared" si="94"/>
        <v>-</v>
      </c>
      <c r="AT189" s="4" t="str">
        <f t="shared" si="95"/>
        <v>-</v>
      </c>
      <c r="AU189" s="4" t="str">
        <f t="shared" si="96"/>
        <v>-</v>
      </c>
      <c r="AV189" s="4">
        <v>0</v>
      </c>
      <c r="AW189" s="4" t="s">
        <v>731</v>
      </c>
      <c r="AX189" s="4"/>
      <c r="AY189" s="4"/>
      <c r="AZ189" s="4" t="s">
        <v>586</v>
      </c>
      <c r="BA189" s="4">
        <v>500</v>
      </c>
      <c r="BB189" s="4">
        <v>500</v>
      </c>
      <c r="BC189" s="4">
        <f t="shared" si="97"/>
        <v>500</v>
      </c>
      <c r="BD189" s="19">
        <v>4</v>
      </c>
      <c r="BE189" s="19">
        <v>1</v>
      </c>
      <c r="BF189" s="16">
        <v>3</v>
      </c>
      <c r="BG189" s="36">
        <v>46174</v>
      </c>
      <c r="BH189" t="s">
        <v>410</v>
      </c>
      <c r="BI189">
        <v>500</v>
      </c>
      <c r="BJ189" s="4" t="s">
        <v>534</v>
      </c>
      <c r="BL189" s="44">
        <f t="shared" si="98"/>
        <v>7.9611650485436058E-3</v>
      </c>
      <c r="BM189" t="s">
        <v>792</v>
      </c>
    </row>
    <row r="190" spans="1:65" x14ac:dyDescent="0.4">
      <c r="A190" s="3">
        <v>180</v>
      </c>
      <c r="B190" s="3">
        <f t="shared" si="74"/>
        <v>187</v>
      </c>
      <c r="C190" s="4">
        <v>158791</v>
      </c>
      <c r="D190" s="4" t="str">
        <f t="shared" si="99"/>
        <v>158791</v>
      </c>
      <c r="E190" s="4">
        <v>158791</v>
      </c>
      <c r="F190" s="4" t="s">
        <v>345</v>
      </c>
      <c r="G190" s="5">
        <v>4977564402594</v>
      </c>
      <c r="H190" s="5">
        <v>5</v>
      </c>
      <c r="I190" s="5" t="str">
        <f t="shared" si="77"/>
        <v>1587915</v>
      </c>
      <c r="J190" s="5">
        <v>1</v>
      </c>
      <c r="K190" s="5">
        <v>1</v>
      </c>
      <c r="L190" s="4">
        <v>0</v>
      </c>
      <c r="M190" s="4">
        <v>248</v>
      </c>
      <c r="N190" s="4">
        <v>165</v>
      </c>
      <c r="O190" s="6">
        <f t="shared" si="78"/>
        <v>0.33467741935483875</v>
      </c>
      <c r="P190" s="4" t="s">
        <v>410</v>
      </c>
      <c r="Q190" s="4" t="s">
        <v>410</v>
      </c>
      <c r="R190" s="4" t="s">
        <v>410</v>
      </c>
      <c r="S190" s="4" t="s">
        <v>410</v>
      </c>
      <c r="T190" s="4" t="s">
        <v>410</v>
      </c>
      <c r="U190" s="4" t="s">
        <v>410</v>
      </c>
      <c r="V190" s="4">
        <v>0</v>
      </c>
      <c r="W190" s="4">
        <f t="shared" si="79"/>
        <v>0</v>
      </c>
      <c r="X190" s="4">
        <v>175</v>
      </c>
      <c r="Y190" s="4">
        <f t="shared" si="80"/>
        <v>175</v>
      </c>
      <c r="Z190" s="4"/>
      <c r="AA190" s="21">
        <f t="shared" si="81"/>
        <v>263</v>
      </c>
      <c r="AB190" s="6">
        <f t="shared" si="82"/>
        <v>0.33460076045627374</v>
      </c>
      <c r="AC190" s="4">
        <v>7.0000000000000009</v>
      </c>
      <c r="AD190" s="4">
        <f t="shared" si="83"/>
        <v>295.75</v>
      </c>
      <c r="AE190" s="4">
        <f t="shared" si="84"/>
        <v>313.67424242424244</v>
      </c>
      <c r="AF190" s="6">
        <f t="shared" si="85"/>
        <v>0.44209636517328832</v>
      </c>
      <c r="AG190" s="7">
        <v>268</v>
      </c>
      <c r="AH190" s="6">
        <f t="shared" si="86"/>
        <v>0.34701492537313428</v>
      </c>
      <c r="AI190" s="4">
        <f t="shared" si="87"/>
        <v>93</v>
      </c>
      <c r="AJ190" s="28"/>
      <c r="AK190" s="6"/>
      <c r="AL190" s="6"/>
      <c r="AM190" s="6" t="e">
        <f t="shared" si="88"/>
        <v>#DIV/0!</v>
      </c>
      <c r="AN190" s="6">
        <f t="shared" si="89"/>
        <v>1.0806451612903225</v>
      </c>
      <c r="AO190" s="6">
        <f t="shared" si="90"/>
        <v>1.0606060606060606</v>
      </c>
      <c r="AP190" s="4" t="str">
        <f t="shared" si="91"/>
        <v>-</v>
      </c>
      <c r="AQ190" s="4" t="str">
        <f t="shared" si="92"/>
        <v>-</v>
      </c>
      <c r="AR190" s="4" t="str">
        <f t="shared" si="93"/>
        <v>-</v>
      </c>
      <c r="AS190" s="4" t="str">
        <f t="shared" si="94"/>
        <v>-</v>
      </c>
      <c r="AT190" s="4" t="str">
        <f t="shared" si="95"/>
        <v>-</v>
      </c>
      <c r="AU190" s="4" t="str">
        <f t="shared" si="96"/>
        <v>-</v>
      </c>
      <c r="AV190" s="4">
        <v>0</v>
      </c>
      <c r="AW190" s="4" t="s">
        <v>732</v>
      </c>
      <c r="AX190" s="4">
        <v>5</v>
      </c>
      <c r="AY190" s="4">
        <v>20</v>
      </c>
      <c r="AZ190" s="4" t="s">
        <v>685</v>
      </c>
      <c r="BA190" s="4">
        <v>1183</v>
      </c>
      <c r="BB190" s="4">
        <v>1183</v>
      </c>
      <c r="BC190" s="4">
        <f t="shared" si="97"/>
        <v>295.75</v>
      </c>
      <c r="BD190" s="19">
        <v>4</v>
      </c>
      <c r="BE190" s="19">
        <v>1</v>
      </c>
      <c r="BF190" s="16">
        <v>3</v>
      </c>
      <c r="BG190" s="36">
        <v>46174</v>
      </c>
      <c r="BH190">
        <v>140</v>
      </c>
      <c r="BI190">
        <v>299</v>
      </c>
      <c r="BJ190" s="4" t="s">
        <v>535</v>
      </c>
      <c r="BL190" s="44">
        <f t="shared" si="98"/>
        <v>2.0039100684261957E-2</v>
      </c>
      <c r="BM190" t="s">
        <v>792</v>
      </c>
    </row>
    <row r="191" spans="1:65" x14ac:dyDescent="0.4">
      <c r="A191" s="3">
        <v>181</v>
      </c>
      <c r="B191" s="3">
        <f t="shared" si="74"/>
        <v>188</v>
      </c>
      <c r="C191" s="33">
        <v>162347</v>
      </c>
      <c r="D191" s="4" t="str">
        <f t="shared" si="99"/>
        <v>162347</v>
      </c>
      <c r="E191" s="4">
        <v>162347</v>
      </c>
      <c r="F191" s="4" t="s">
        <v>346</v>
      </c>
      <c r="G191" s="5">
        <v>4977564030513</v>
      </c>
      <c r="H191" s="5">
        <v>5</v>
      </c>
      <c r="I191" s="5" t="str">
        <f t="shared" si="77"/>
        <v>1623475</v>
      </c>
      <c r="J191" s="5">
        <v>2</v>
      </c>
      <c r="K191" s="5">
        <v>2</v>
      </c>
      <c r="L191" s="4">
        <v>700</v>
      </c>
      <c r="M191" s="4">
        <v>390</v>
      </c>
      <c r="N191" s="4">
        <v>265</v>
      </c>
      <c r="O191" s="6">
        <f t="shared" si="78"/>
        <v>0.32051282051282048</v>
      </c>
      <c r="P191" s="4" t="s">
        <v>410</v>
      </c>
      <c r="Q191" s="4" t="s">
        <v>410</v>
      </c>
      <c r="R191" s="4" t="s">
        <v>410</v>
      </c>
      <c r="S191" s="4" t="s">
        <v>410</v>
      </c>
      <c r="T191" s="4" t="s">
        <v>410</v>
      </c>
      <c r="U191" s="4" t="s">
        <v>410</v>
      </c>
      <c r="V191" s="4">
        <v>770.00000000000011</v>
      </c>
      <c r="W191" s="4">
        <f t="shared" si="79"/>
        <v>770.00000000000011</v>
      </c>
      <c r="X191" s="4">
        <v>292</v>
      </c>
      <c r="Y191" s="4">
        <f t="shared" si="80"/>
        <v>292</v>
      </c>
      <c r="Z191" s="4"/>
      <c r="AA191" s="21">
        <f t="shared" si="81"/>
        <v>430</v>
      </c>
      <c r="AB191" s="6">
        <f t="shared" si="82"/>
        <v>0.32093023255813957</v>
      </c>
      <c r="AC191" s="4">
        <v>5.25</v>
      </c>
      <c r="AD191" s="4">
        <f t="shared" si="83"/>
        <v>291</v>
      </c>
      <c r="AE191" s="4">
        <f t="shared" si="84"/>
        <v>320.6490566037736</v>
      </c>
      <c r="AF191" s="6">
        <f t="shared" si="85"/>
        <v>8.9347079037800703E-2</v>
      </c>
      <c r="AG191" s="7">
        <v>428</v>
      </c>
      <c r="AH191" s="6">
        <f t="shared" si="86"/>
        <v>0.31775700934579443</v>
      </c>
      <c r="AI191" s="4">
        <f t="shared" si="87"/>
        <v>136</v>
      </c>
      <c r="AJ191" s="28"/>
      <c r="AK191" s="6"/>
      <c r="AL191" s="6"/>
      <c r="AM191" s="6">
        <f t="shared" si="88"/>
        <v>1.1000000000000001</v>
      </c>
      <c r="AN191" s="6">
        <f t="shared" si="89"/>
        <v>1.0974358974358975</v>
      </c>
      <c r="AO191" s="6">
        <f t="shared" si="90"/>
        <v>1.1018867924528302</v>
      </c>
      <c r="AP191" s="4" t="str">
        <f t="shared" si="91"/>
        <v>-</v>
      </c>
      <c r="AQ191" s="4" t="str">
        <f t="shared" si="92"/>
        <v>-</v>
      </c>
      <c r="AR191" s="4" t="str">
        <f t="shared" si="93"/>
        <v>-</v>
      </c>
      <c r="AS191" s="4" t="str">
        <f t="shared" si="94"/>
        <v>-</v>
      </c>
      <c r="AT191" s="4" t="str">
        <f t="shared" si="95"/>
        <v>-</v>
      </c>
      <c r="AU191" s="4" t="str">
        <f t="shared" si="96"/>
        <v>-</v>
      </c>
      <c r="AV191" s="4">
        <v>0</v>
      </c>
      <c r="AW191" s="4" t="s">
        <v>733</v>
      </c>
      <c r="AX191" s="4"/>
      <c r="AY191" s="4"/>
      <c r="AZ191" s="4" t="s">
        <v>616</v>
      </c>
      <c r="BA191" s="4">
        <v>291</v>
      </c>
      <c r="BB191" s="4">
        <v>291</v>
      </c>
      <c r="BC191" s="4">
        <f t="shared" si="97"/>
        <v>291</v>
      </c>
      <c r="BD191" s="19">
        <v>4</v>
      </c>
      <c r="BE191" s="19">
        <v>1</v>
      </c>
      <c r="BF191" s="16">
        <v>3</v>
      </c>
      <c r="BG191" s="36">
        <v>46174</v>
      </c>
      <c r="BH191">
        <v>2190</v>
      </c>
      <c r="BI191">
        <v>700</v>
      </c>
      <c r="BJ191" s="4" t="s">
        <v>536</v>
      </c>
      <c r="BL191" s="44">
        <f t="shared" si="98"/>
        <v>-4.4508950169326322E-3</v>
      </c>
      <c r="BM191" t="s">
        <v>792</v>
      </c>
    </row>
    <row r="192" spans="1:65" x14ac:dyDescent="0.4">
      <c r="A192" s="3">
        <v>243</v>
      </c>
      <c r="B192" s="3">
        <f t="shared" si="74"/>
        <v>189</v>
      </c>
      <c r="C192" s="33">
        <v>162347</v>
      </c>
      <c r="D192" s="4" t="s">
        <v>172</v>
      </c>
      <c r="E192" s="4">
        <v>162369</v>
      </c>
      <c r="F192" s="4" t="s">
        <v>404</v>
      </c>
      <c r="G192" s="5">
        <v>4977564030513</v>
      </c>
      <c r="H192" s="5">
        <v>8</v>
      </c>
      <c r="I192" s="5" t="str">
        <f t="shared" si="77"/>
        <v>1623478</v>
      </c>
      <c r="J192" s="5"/>
      <c r="K192" s="5"/>
      <c r="L192" s="4">
        <v>7000</v>
      </c>
      <c r="M192" s="4">
        <v>3708</v>
      </c>
      <c r="N192" s="4">
        <v>2650</v>
      </c>
      <c r="O192" s="6">
        <f t="shared" si="78"/>
        <v>0.28532901833872704</v>
      </c>
      <c r="P192" s="4" t="s">
        <v>410</v>
      </c>
      <c r="Q192" s="4" t="s">
        <v>410</v>
      </c>
      <c r="R192" s="4" t="s">
        <v>410</v>
      </c>
      <c r="S192" s="4" t="s">
        <v>410</v>
      </c>
      <c r="T192" s="4" t="s">
        <v>410</v>
      </c>
      <c r="U192" s="4" t="s">
        <v>410</v>
      </c>
      <c r="V192" s="4">
        <v>770.00000000000011</v>
      </c>
      <c r="W192" s="4">
        <f t="shared" si="79"/>
        <v>7700.0000000000009</v>
      </c>
      <c r="X192" s="4">
        <v>292</v>
      </c>
      <c r="Y192" s="4">
        <f t="shared" si="80"/>
        <v>2920</v>
      </c>
      <c r="Z192" s="4">
        <v>10</v>
      </c>
      <c r="AA192" s="21">
        <f t="shared" si="81"/>
        <v>4086</v>
      </c>
      <c r="AB192" s="6">
        <f t="shared" si="82"/>
        <v>0.28536465981399906</v>
      </c>
      <c r="AC192" s="4">
        <v>5.25</v>
      </c>
      <c r="AD192" s="4">
        <f t="shared" si="83"/>
        <v>2136</v>
      </c>
      <c r="AE192" s="4">
        <f t="shared" si="84"/>
        <v>2353.6301886792453</v>
      </c>
      <c r="AF192" s="6">
        <f t="shared" si="85"/>
        <v>-0.24063670411985028</v>
      </c>
      <c r="AG192" s="7">
        <v>4060</v>
      </c>
      <c r="AH192" s="6">
        <f t="shared" si="86"/>
        <v>0.28078817733990147</v>
      </c>
      <c r="AI192" s="4">
        <f t="shared" si="87"/>
        <v>1140</v>
      </c>
      <c r="AJ192" s="28"/>
      <c r="AK192" s="6"/>
      <c r="AL192" s="6"/>
      <c r="AM192" s="6">
        <f t="shared" si="88"/>
        <v>1.1000000000000001</v>
      </c>
      <c r="AN192" s="6">
        <f t="shared" si="89"/>
        <v>1.0949298813376482</v>
      </c>
      <c r="AO192" s="6">
        <f t="shared" si="90"/>
        <v>1.1018867924528302</v>
      </c>
      <c r="AP192" s="4" t="str">
        <f t="shared" si="91"/>
        <v>-</v>
      </c>
      <c r="AQ192" s="4" t="str">
        <f t="shared" si="92"/>
        <v>-</v>
      </c>
      <c r="AR192" s="4" t="str">
        <f t="shared" si="93"/>
        <v>-</v>
      </c>
      <c r="AS192" s="4" t="str">
        <f t="shared" si="94"/>
        <v>-</v>
      </c>
      <c r="AT192" s="4" t="str">
        <f t="shared" si="95"/>
        <v>-</v>
      </c>
      <c r="AU192" s="4" t="str">
        <f t="shared" si="96"/>
        <v>-</v>
      </c>
      <c r="AV192" s="4">
        <v>0</v>
      </c>
      <c r="AW192" s="4" t="s">
        <v>780</v>
      </c>
      <c r="AX192" s="4"/>
      <c r="AY192" s="4"/>
      <c r="AZ192" s="4" t="s">
        <v>781</v>
      </c>
      <c r="BA192" s="4">
        <v>2136</v>
      </c>
      <c r="BB192" s="4">
        <v>2136</v>
      </c>
      <c r="BC192" s="4">
        <f t="shared" si="97"/>
        <v>2136</v>
      </c>
      <c r="BD192" s="19">
        <v>4</v>
      </c>
      <c r="BE192" s="19">
        <v>1</v>
      </c>
      <c r="BF192" s="16">
        <v>3</v>
      </c>
      <c r="BG192" s="36">
        <v>46174</v>
      </c>
      <c r="BH192">
        <v>2190</v>
      </c>
      <c r="BI192">
        <v>6900</v>
      </c>
      <c r="BJ192" s="4" t="s">
        <v>576</v>
      </c>
      <c r="BK192">
        <v>2</v>
      </c>
      <c r="BL192" s="44">
        <f t="shared" si="98"/>
        <v>-6.9569111151819296E-3</v>
      </c>
      <c r="BM192" t="s">
        <v>792</v>
      </c>
    </row>
    <row r="193" spans="1:65" x14ac:dyDescent="0.4">
      <c r="A193" s="3">
        <v>182</v>
      </c>
      <c r="B193" s="3">
        <f t="shared" si="74"/>
        <v>190</v>
      </c>
      <c r="C193" s="33">
        <v>162330</v>
      </c>
      <c r="D193" s="4" t="str">
        <f>TEXT(C193,"000000")</f>
        <v>162330</v>
      </c>
      <c r="E193" s="4">
        <v>162330</v>
      </c>
      <c r="F193" s="4" t="s">
        <v>347</v>
      </c>
      <c r="G193" s="5">
        <v>4977564030520</v>
      </c>
      <c r="H193" s="5">
        <v>5</v>
      </c>
      <c r="I193" s="5" t="str">
        <f t="shared" si="77"/>
        <v>1623305</v>
      </c>
      <c r="J193" s="5">
        <v>2</v>
      </c>
      <c r="K193" s="5">
        <v>2</v>
      </c>
      <c r="L193" s="4">
        <v>700</v>
      </c>
      <c r="M193" s="4">
        <v>397</v>
      </c>
      <c r="N193" s="4">
        <v>265</v>
      </c>
      <c r="O193" s="6">
        <f t="shared" si="78"/>
        <v>0.33249370277078083</v>
      </c>
      <c r="P193" s="4" t="s">
        <v>410</v>
      </c>
      <c r="Q193" s="4" t="s">
        <v>410</v>
      </c>
      <c r="R193" s="4" t="s">
        <v>410</v>
      </c>
      <c r="S193" s="4" t="s">
        <v>410</v>
      </c>
      <c r="T193" s="4" t="s">
        <v>410</v>
      </c>
      <c r="U193" s="4" t="s">
        <v>410</v>
      </c>
      <c r="V193" s="4">
        <v>770.00000000000011</v>
      </c>
      <c r="W193" s="4">
        <f t="shared" si="79"/>
        <v>770.00000000000011</v>
      </c>
      <c r="X193" s="4">
        <v>292</v>
      </c>
      <c r="Y193" s="4">
        <f t="shared" si="80"/>
        <v>292</v>
      </c>
      <c r="Z193" s="4"/>
      <c r="AA193" s="21">
        <f t="shared" si="81"/>
        <v>437</v>
      </c>
      <c r="AB193" s="6">
        <f t="shared" si="82"/>
        <v>0.33180778032036617</v>
      </c>
      <c r="AC193" s="4">
        <v>1</v>
      </c>
      <c r="AD193" s="4">
        <f t="shared" si="83"/>
        <v>291</v>
      </c>
      <c r="AE193" s="4">
        <f t="shared" si="84"/>
        <v>320.6490566037736</v>
      </c>
      <c r="AF193" s="6">
        <f t="shared" si="85"/>
        <v>8.9347079037800703E-2</v>
      </c>
      <c r="AG193" s="7">
        <v>428</v>
      </c>
      <c r="AH193" s="6">
        <f t="shared" si="86"/>
        <v>0.31775700934579443</v>
      </c>
      <c r="AI193" s="4">
        <f t="shared" si="87"/>
        <v>136</v>
      </c>
      <c r="AJ193" s="28"/>
      <c r="AK193" s="6"/>
      <c r="AL193" s="6"/>
      <c r="AM193" s="6">
        <f t="shared" si="88"/>
        <v>1.1000000000000001</v>
      </c>
      <c r="AN193" s="6">
        <f t="shared" si="89"/>
        <v>1.0780856423173804</v>
      </c>
      <c r="AO193" s="6">
        <f t="shared" si="90"/>
        <v>1.1018867924528302</v>
      </c>
      <c r="AP193" s="4" t="str">
        <f t="shared" si="91"/>
        <v>-</v>
      </c>
      <c r="AQ193" s="4" t="str">
        <f t="shared" si="92"/>
        <v>-</v>
      </c>
      <c r="AR193" s="4" t="str">
        <f t="shared" si="93"/>
        <v>-</v>
      </c>
      <c r="AS193" s="4" t="str">
        <f t="shared" si="94"/>
        <v>-</v>
      </c>
      <c r="AT193" s="4" t="str">
        <f t="shared" si="95"/>
        <v>-</v>
      </c>
      <c r="AU193" s="4" t="str">
        <f t="shared" si="96"/>
        <v>-</v>
      </c>
      <c r="AV193" s="4">
        <v>0</v>
      </c>
      <c r="AW193" s="4" t="s">
        <v>734</v>
      </c>
      <c r="AX193" s="4"/>
      <c r="AY193" s="4"/>
      <c r="AZ193" s="4" t="s">
        <v>616</v>
      </c>
      <c r="BA193" s="4">
        <v>291</v>
      </c>
      <c r="BB193" s="4">
        <v>291</v>
      </c>
      <c r="BC193" s="4">
        <f t="shared" si="97"/>
        <v>291</v>
      </c>
      <c r="BD193" s="19">
        <v>4</v>
      </c>
      <c r="BE193" s="19">
        <v>1</v>
      </c>
      <c r="BF193" s="16">
        <v>3</v>
      </c>
      <c r="BG193" s="36">
        <v>46174</v>
      </c>
      <c r="BH193">
        <v>2190</v>
      </c>
      <c r="BI193">
        <v>700</v>
      </c>
      <c r="BJ193" s="4" t="s">
        <v>537</v>
      </c>
      <c r="BL193" s="44">
        <f t="shared" si="98"/>
        <v>-2.3801150135449811E-2</v>
      </c>
      <c r="BM193" t="s">
        <v>792</v>
      </c>
    </row>
    <row r="194" spans="1:65" x14ac:dyDescent="0.4">
      <c r="A194" s="3">
        <v>244</v>
      </c>
      <c r="B194" s="3">
        <f t="shared" si="74"/>
        <v>191</v>
      </c>
      <c r="C194" s="33">
        <v>162330</v>
      </c>
      <c r="D194" s="4" t="s">
        <v>173</v>
      </c>
      <c r="E194" s="4">
        <v>162331</v>
      </c>
      <c r="F194" s="4" t="s">
        <v>405</v>
      </c>
      <c r="G194" s="5">
        <v>4977564030520</v>
      </c>
      <c r="H194" s="5">
        <v>8</v>
      </c>
      <c r="I194" s="5" t="str">
        <f t="shared" si="77"/>
        <v>1623308</v>
      </c>
      <c r="J194" s="5"/>
      <c r="K194" s="5"/>
      <c r="L194" s="4">
        <v>7000</v>
      </c>
      <c r="M194" s="4">
        <v>3708</v>
      </c>
      <c r="N194" s="4">
        <v>2650</v>
      </c>
      <c r="O194" s="6">
        <f t="shared" si="78"/>
        <v>0.28532901833872704</v>
      </c>
      <c r="P194" s="4" t="s">
        <v>410</v>
      </c>
      <c r="Q194" s="4" t="s">
        <v>410</v>
      </c>
      <c r="R194" s="4" t="s">
        <v>410</v>
      </c>
      <c r="S194" s="4" t="s">
        <v>410</v>
      </c>
      <c r="T194" s="4" t="s">
        <v>410</v>
      </c>
      <c r="U194" s="4" t="s">
        <v>410</v>
      </c>
      <c r="V194" s="4">
        <v>770.00000000000011</v>
      </c>
      <c r="W194" s="4">
        <f t="shared" si="79"/>
        <v>7700.0000000000009</v>
      </c>
      <c r="X194" s="4">
        <v>292</v>
      </c>
      <c r="Y194" s="4">
        <f t="shared" si="80"/>
        <v>2920</v>
      </c>
      <c r="Z194" s="4">
        <v>10</v>
      </c>
      <c r="AA194" s="21">
        <f t="shared" si="81"/>
        <v>4086</v>
      </c>
      <c r="AB194" s="6">
        <f t="shared" si="82"/>
        <v>0.28536465981399906</v>
      </c>
      <c r="AC194" s="4">
        <v>1</v>
      </c>
      <c r="AD194" s="4">
        <f t="shared" si="83"/>
        <v>2136</v>
      </c>
      <c r="AE194" s="4">
        <f t="shared" si="84"/>
        <v>2353.6301886792453</v>
      </c>
      <c r="AF194" s="6">
        <f t="shared" si="85"/>
        <v>-0.24063670411985028</v>
      </c>
      <c r="AG194" s="7">
        <v>4060</v>
      </c>
      <c r="AH194" s="6">
        <f t="shared" si="86"/>
        <v>0.28078817733990147</v>
      </c>
      <c r="AI194" s="4">
        <f t="shared" si="87"/>
        <v>1140</v>
      </c>
      <c r="AJ194" s="28"/>
      <c r="AK194" s="6"/>
      <c r="AL194" s="6"/>
      <c r="AM194" s="6">
        <f t="shared" si="88"/>
        <v>1.1000000000000001</v>
      </c>
      <c r="AN194" s="6">
        <f t="shared" si="89"/>
        <v>1.0949298813376482</v>
      </c>
      <c r="AO194" s="6">
        <f t="shared" si="90"/>
        <v>1.1018867924528302</v>
      </c>
      <c r="AP194" s="4" t="str">
        <f t="shared" si="91"/>
        <v>-</v>
      </c>
      <c r="AQ194" s="4" t="str">
        <f t="shared" si="92"/>
        <v>-</v>
      </c>
      <c r="AR194" s="4" t="str">
        <f t="shared" si="93"/>
        <v>-</v>
      </c>
      <c r="AS194" s="4" t="str">
        <f t="shared" si="94"/>
        <v>-</v>
      </c>
      <c r="AT194" s="4" t="str">
        <f t="shared" si="95"/>
        <v>-</v>
      </c>
      <c r="AU194" s="4" t="str">
        <f t="shared" si="96"/>
        <v>-</v>
      </c>
      <c r="AV194" s="4">
        <v>0</v>
      </c>
      <c r="AW194" s="4" t="s">
        <v>782</v>
      </c>
      <c r="AX194" s="4"/>
      <c r="AY194" s="4"/>
      <c r="AZ194" s="4" t="s">
        <v>781</v>
      </c>
      <c r="BA194" s="4">
        <v>2136</v>
      </c>
      <c r="BB194" s="4">
        <v>2136</v>
      </c>
      <c r="BC194" s="4">
        <f t="shared" si="97"/>
        <v>2136</v>
      </c>
      <c r="BD194" s="19">
        <v>4</v>
      </c>
      <c r="BE194" s="19">
        <v>1</v>
      </c>
      <c r="BF194" s="16">
        <v>3</v>
      </c>
      <c r="BG194" s="36">
        <v>46174</v>
      </c>
      <c r="BH194">
        <v>2190</v>
      </c>
      <c r="BI194">
        <v>6895</v>
      </c>
      <c r="BJ194" s="4" t="s">
        <v>577</v>
      </c>
      <c r="BK194">
        <v>2</v>
      </c>
      <c r="BL194" s="44">
        <f t="shared" si="98"/>
        <v>-6.9569111151819296E-3</v>
      </c>
      <c r="BM194" t="s">
        <v>792</v>
      </c>
    </row>
    <row r="195" spans="1:65" x14ac:dyDescent="0.4">
      <c r="A195" s="3">
        <v>183</v>
      </c>
      <c r="B195" s="3">
        <f t="shared" si="74"/>
        <v>192</v>
      </c>
      <c r="C195" s="33">
        <v>162341</v>
      </c>
      <c r="D195" s="4" t="str">
        <f>TEXT(C195,"000000")</f>
        <v>162341</v>
      </c>
      <c r="E195" s="4">
        <v>162341</v>
      </c>
      <c r="F195" s="4" t="s">
        <v>348</v>
      </c>
      <c r="G195" s="5">
        <v>4977564030537</v>
      </c>
      <c r="H195" s="5">
        <v>5</v>
      </c>
      <c r="I195" s="5" t="str">
        <f t="shared" si="77"/>
        <v>1623415</v>
      </c>
      <c r="J195" s="5">
        <v>2</v>
      </c>
      <c r="K195" s="5">
        <v>2</v>
      </c>
      <c r="L195" s="4">
        <v>700</v>
      </c>
      <c r="M195" s="4">
        <v>397</v>
      </c>
      <c r="N195" s="4">
        <v>265</v>
      </c>
      <c r="O195" s="6">
        <f t="shared" si="78"/>
        <v>0.33249370277078083</v>
      </c>
      <c r="P195" s="4" t="s">
        <v>410</v>
      </c>
      <c r="Q195" s="4" t="s">
        <v>410</v>
      </c>
      <c r="R195" s="4" t="s">
        <v>410</v>
      </c>
      <c r="S195" s="4" t="s">
        <v>410</v>
      </c>
      <c r="T195" s="4" t="s">
        <v>410</v>
      </c>
      <c r="U195" s="4" t="s">
        <v>410</v>
      </c>
      <c r="V195" s="4">
        <v>770.00000000000011</v>
      </c>
      <c r="W195" s="4">
        <f t="shared" si="79"/>
        <v>770.00000000000011</v>
      </c>
      <c r="X195" s="4">
        <v>292</v>
      </c>
      <c r="Y195" s="4">
        <f t="shared" si="80"/>
        <v>292</v>
      </c>
      <c r="Z195" s="4"/>
      <c r="AA195" s="21">
        <f t="shared" si="81"/>
        <v>437</v>
      </c>
      <c r="AB195" s="6">
        <f t="shared" si="82"/>
        <v>0.33180778032036617</v>
      </c>
      <c r="AC195" s="4">
        <v>1</v>
      </c>
      <c r="AD195" s="4">
        <f t="shared" si="83"/>
        <v>291</v>
      </c>
      <c r="AE195" s="4">
        <f t="shared" si="84"/>
        <v>320.6490566037736</v>
      </c>
      <c r="AF195" s="6">
        <f t="shared" si="85"/>
        <v>8.9347079037800703E-2</v>
      </c>
      <c r="AG195" s="7">
        <v>428</v>
      </c>
      <c r="AH195" s="6">
        <f t="shared" si="86"/>
        <v>0.31775700934579443</v>
      </c>
      <c r="AI195" s="4">
        <f t="shared" si="87"/>
        <v>136</v>
      </c>
      <c r="AJ195" s="28"/>
      <c r="AK195" s="6"/>
      <c r="AL195" s="6"/>
      <c r="AM195" s="6">
        <f t="shared" si="88"/>
        <v>1.1000000000000001</v>
      </c>
      <c r="AN195" s="6">
        <f t="shared" si="89"/>
        <v>1.0780856423173804</v>
      </c>
      <c r="AO195" s="6">
        <f t="shared" si="90"/>
        <v>1.1018867924528302</v>
      </c>
      <c r="AP195" s="4" t="str">
        <f t="shared" si="91"/>
        <v>-</v>
      </c>
      <c r="AQ195" s="4" t="str">
        <f t="shared" si="92"/>
        <v>-</v>
      </c>
      <c r="AR195" s="4" t="str">
        <f t="shared" si="93"/>
        <v>-</v>
      </c>
      <c r="AS195" s="4" t="str">
        <f t="shared" si="94"/>
        <v>-</v>
      </c>
      <c r="AT195" s="4" t="str">
        <f t="shared" si="95"/>
        <v>-</v>
      </c>
      <c r="AU195" s="4" t="str">
        <f t="shared" si="96"/>
        <v>-</v>
      </c>
      <c r="AV195" s="4">
        <v>0</v>
      </c>
      <c r="AW195" s="4" t="s">
        <v>735</v>
      </c>
      <c r="AX195" s="4"/>
      <c r="AY195" s="4"/>
      <c r="AZ195" s="4" t="s">
        <v>616</v>
      </c>
      <c r="BA195" s="4">
        <v>291</v>
      </c>
      <c r="BB195" s="4">
        <v>291</v>
      </c>
      <c r="BC195" s="4">
        <f t="shared" si="97"/>
        <v>291</v>
      </c>
      <c r="BD195" s="19">
        <v>4</v>
      </c>
      <c r="BE195" s="19">
        <v>1</v>
      </c>
      <c r="BF195" s="16">
        <v>3</v>
      </c>
      <c r="BG195" s="36">
        <v>46174</v>
      </c>
      <c r="BH195">
        <v>2190</v>
      </c>
      <c r="BI195" t="s">
        <v>410</v>
      </c>
      <c r="BJ195" s="4" t="s">
        <v>538</v>
      </c>
      <c r="BL195" s="44">
        <f t="shared" si="98"/>
        <v>-2.3801150135449811E-2</v>
      </c>
      <c r="BM195" t="s">
        <v>792</v>
      </c>
    </row>
    <row r="196" spans="1:65" x14ac:dyDescent="0.4">
      <c r="A196" s="3">
        <v>245</v>
      </c>
      <c r="B196" s="3">
        <f t="shared" si="74"/>
        <v>193</v>
      </c>
      <c r="C196" s="33">
        <v>162341</v>
      </c>
      <c r="D196" s="4" t="s">
        <v>174</v>
      </c>
      <c r="E196" s="4">
        <v>162343</v>
      </c>
      <c r="F196" s="4" t="s">
        <v>406</v>
      </c>
      <c r="G196" s="5">
        <v>4977564030537</v>
      </c>
      <c r="H196" s="5">
        <v>8</v>
      </c>
      <c r="I196" s="5" t="str">
        <f t="shared" si="77"/>
        <v>1623418</v>
      </c>
      <c r="J196" s="5"/>
      <c r="K196" s="5"/>
      <c r="L196" s="4">
        <v>7000</v>
      </c>
      <c r="M196" s="4">
        <v>3782</v>
      </c>
      <c r="N196" s="4">
        <v>2650</v>
      </c>
      <c r="O196" s="6">
        <f t="shared" si="78"/>
        <v>0.29931253305129557</v>
      </c>
      <c r="P196" s="4" t="s">
        <v>410</v>
      </c>
      <c r="Q196" s="4" t="s">
        <v>410</v>
      </c>
      <c r="R196" s="4" t="s">
        <v>410</v>
      </c>
      <c r="S196" s="4" t="s">
        <v>410</v>
      </c>
      <c r="T196" s="4" t="s">
        <v>410</v>
      </c>
      <c r="U196" s="4" t="s">
        <v>410</v>
      </c>
      <c r="V196" s="4">
        <v>770.00000000000011</v>
      </c>
      <c r="W196" s="4">
        <f t="shared" si="79"/>
        <v>7700.0000000000009</v>
      </c>
      <c r="X196" s="4">
        <v>292</v>
      </c>
      <c r="Y196" s="4">
        <f t="shared" si="80"/>
        <v>2920</v>
      </c>
      <c r="Z196" s="4">
        <v>10</v>
      </c>
      <c r="AA196" s="21">
        <f t="shared" si="81"/>
        <v>4167</v>
      </c>
      <c r="AB196" s="6">
        <f t="shared" si="82"/>
        <v>0.29925605951523881</v>
      </c>
      <c r="AC196" s="4">
        <v>1</v>
      </c>
      <c r="AD196" s="4">
        <f t="shared" si="83"/>
        <v>2136</v>
      </c>
      <c r="AE196" s="4">
        <f t="shared" si="84"/>
        <v>2353.6301886792453</v>
      </c>
      <c r="AF196" s="6">
        <f t="shared" si="85"/>
        <v>-0.24063670411985028</v>
      </c>
      <c r="AG196" s="7">
        <v>4060</v>
      </c>
      <c r="AH196" s="6">
        <f t="shared" si="86"/>
        <v>0.28078817733990147</v>
      </c>
      <c r="AI196" s="4">
        <f t="shared" si="87"/>
        <v>1140</v>
      </c>
      <c r="AJ196" s="28"/>
      <c r="AK196" s="6"/>
      <c r="AL196" s="6"/>
      <c r="AM196" s="6">
        <f t="shared" si="88"/>
        <v>1.1000000000000001</v>
      </c>
      <c r="AN196" s="6">
        <f t="shared" si="89"/>
        <v>1.0735060814383923</v>
      </c>
      <c r="AO196" s="6">
        <f t="shared" si="90"/>
        <v>1.1018867924528302</v>
      </c>
      <c r="AP196" s="4" t="str">
        <f t="shared" si="91"/>
        <v>-</v>
      </c>
      <c r="AQ196" s="4" t="str">
        <f t="shared" si="92"/>
        <v>-</v>
      </c>
      <c r="AR196" s="4" t="str">
        <f t="shared" si="93"/>
        <v>-</v>
      </c>
      <c r="AS196" s="4" t="str">
        <f t="shared" si="94"/>
        <v>-</v>
      </c>
      <c r="AT196" s="4" t="str">
        <f t="shared" si="95"/>
        <v>-</v>
      </c>
      <c r="AU196" s="4" t="str">
        <f t="shared" si="96"/>
        <v>-</v>
      </c>
      <c r="AV196" s="4">
        <v>0</v>
      </c>
      <c r="AW196" s="4" t="s">
        <v>783</v>
      </c>
      <c r="AX196" s="4"/>
      <c r="AY196" s="4"/>
      <c r="AZ196" s="4" t="s">
        <v>781</v>
      </c>
      <c r="BA196" s="4">
        <v>2136</v>
      </c>
      <c r="BB196" s="4">
        <v>2136</v>
      </c>
      <c r="BC196" s="4">
        <f t="shared" si="97"/>
        <v>2136</v>
      </c>
      <c r="BD196" s="19">
        <v>4</v>
      </c>
      <c r="BE196" s="19">
        <v>1</v>
      </c>
      <c r="BF196" s="16">
        <v>3</v>
      </c>
      <c r="BG196" s="36">
        <v>46174</v>
      </c>
      <c r="BH196">
        <v>2190</v>
      </c>
      <c r="BI196" t="s">
        <v>410</v>
      </c>
      <c r="BJ196" s="4" t="s">
        <v>578</v>
      </c>
      <c r="BK196">
        <v>2</v>
      </c>
      <c r="BL196" s="44">
        <f t="shared" si="98"/>
        <v>-2.8380711014437843E-2</v>
      </c>
      <c r="BM196" t="s">
        <v>792</v>
      </c>
    </row>
    <row r="197" spans="1:65" x14ac:dyDescent="0.4">
      <c r="A197" s="3">
        <v>184</v>
      </c>
      <c r="B197" s="3">
        <f t="shared" si="74"/>
        <v>194</v>
      </c>
      <c r="C197" s="33">
        <v>162335</v>
      </c>
      <c r="D197" s="4" t="str">
        <f>TEXT(C197,"000000")</f>
        <v>162335</v>
      </c>
      <c r="E197" s="4">
        <v>162335</v>
      </c>
      <c r="F197" s="4" t="s">
        <v>349</v>
      </c>
      <c r="G197" s="5">
        <v>4977564030544</v>
      </c>
      <c r="H197" s="5">
        <v>5</v>
      </c>
      <c r="I197" s="5" t="str">
        <f t="shared" si="77"/>
        <v>1623355</v>
      </c>
      <c r="J197" s="5">
        <v>2</v>
      </c>
      <c r="K197" s="5">
        <v>2</v>
      </c>
      <c r="L197" s="4">
        <v>700</v>
      </c>
      <c r="M197" s="4">
        <v>357</v>
      </c>
      <c r="N197" s="4">
        <v>265</v>
      </c>
      <c r="O197" s="6">
        <f t="shared" si="78"/>
        <v>0.25770308123249297</v>
      </c>
      <c r="P197" s="4" t="s">
        <v>410</v>
      </c>
      <c r="Q197" s="4" t="s">
        <v>410</v>
      </c>
      <c r="R197" s="4" t="s">
        <v>410</v>
      </c>
      <c r="S197" s="4" t="s">
        <v>410</v>
      </c>
      <c r="T197" s="4" t="s">
        <v>410</v>
      </c>
      <c r="U197" s="4" t="s">
        <v>410</v>
      </c>
      <c r="V197" s="4">
        <v>770.00000000000011</v>
      </c>
      <c r="W197" s="4">
        <f t="shared" si="79"/>
        <v>770.00000000000011</v>
      </c>
      <c r="X197" s="4">
        <v>292</v>
      </c>
      <c r="Y197" s="4">
        <f t="shared" si="80"/>
        <v>292</v>
      </c>
      <c r="Z197" s="4"/>
      <c r="AA197" s="21">
        <f t="shared" si="81"/>
        <v>393</v>
      </c>
      <c r="AB197" s="6">
        <f t="shared" si="82"/>
        <v>0.25699745547073793</v>
      </c>
      <c r="AC197" s="4">
        <v>3.5000000000000004</v>
      </c>
      <c r="AD197" s="4">
        <f t="shared" si="83"/>
        <v>291</v>
      </c>
      <c r="AE197" s="4">
        <f t="shared" si="84"/>
        <v>320.6490566037736</v>
      </c>
      <c r="AF197" s="6">
        <f t="shared" si="85"/>
        <v>8.9347079037800703E-2</v>
      </c>
      <c r="AG197" s="7">
        <v>428</v>
      </c>
      <c r="AH197" s="6">
        <f t="shared" si="86"/>
        <v>0.31775700934579443</v>
      </c>
      <c r="AI197" s="4">
        <f t="shared" si="87"/>
        <v>136</v>
      </c>
      <c r="AJ197" s="28"/>
      <c r="AK197" s="6"/>
      <c r="AL197" s="6"/>
      <c r="AM197" s="6">
        <f t="shared" si="88"/>
        <v>1.1000000000000001</v>
      </c>
      <c r="AN197" s="6">
        <f t="shared" si="89"/>
        <v>1.1988795518207283</v>
      </c>
      <c r="AO197" s="6">
        <f t="shared" si="90"/>
        <v>1.1018867924528302</v>
      </c>
      <c r="AP197" s="4" t="str">
        <f t="shared" si="91"/>
        <v>-</v>
      </c>
      <c r="AQ197" s="4" t="str">
        <f t="shared" si="92"/>
        <v>-</v>
      </c>
      <c r="AR197" s="4" t="str">
        <f t="shared" si="93"/>
        <v>-</v>
      </c>
      <c r="AS197" s="4" t="str">
        <f t="shared" si="94"/>
        <v>-</v>
      </c>
      <c r="AT197" s="4" t="str">
        <f t="shared" si="95"/>
        <v>-</v>
      </c>
      <c r="AU197" s="4" t="str">
        <f t="shared" si="96"/>
        <v>-</v>
      </c>
      <c r="AV197" s="4">
        <v>0</v>
      </c>
      <c r="AW197" s="4" t="s">
        <v>736</v>
      </c>
      <c r="AX197" s="4"/>
      <c r="AY197" s="4"/>
      <c r="AZ197" s="4" t="s">
        <v>616</v>
      </c>
      <c r="BA197" s="4">
        <v>291</v>
      </c>
      <c r="BB197" s="4">
        <v>291</v>
      </c>
      <c r="BC197" s="4">
        <f t="shared" si="97"/>
        <v>291</v>
      </c>
      <c r="BD197" s="19">
        <v>4</v>
      </c>
      <c r="BE197" s="19">
        <v>8</v>
      </c>
      <c r="BF197" s="16">
        <v>3</v>
      </c>
      <c r="BG197" s="36">
        <v>46174</v>
      </c>
      <c r="BH197">
        <v>2190</v>
      </c>
      <c r="BI197">
        <v>700</v>
      </c>
      <c r="BJ197" s="4" t="s">
        <v>539</v>
      </c>
      <c r="BL197" s="44">
        <f t="shared" si="98"/>
        <v>9.6992759367898085E-2</v>
      </c>
      <c r="BM197" t="s">
        <v>792</v>
      </c>
    </row>
    <row r="198" spans="1:65" x14ac:dyDescent="0.4">
      <c r="A198" s="3">
        <v>246</v>
      </c>
      <c r="B198" s="3">
        <f t="shared" ref="B198:B219" si="100">B197+1</f>
        <v>195</v>
      </c>
      <c r="C198" s="33">
        <v>162335</v>
      </c>
      <c r="D198" s="4" t="s">
        <v>175</v>
      </c>
      <c r="E198" s="4">
        <v>162340</v>
      </c>
      <c r="F198" s="4" t="s">
        <v>407</v>
      </c>
      <c r="G198" s="5">
        <v>4977564030544</v>
      </c>
      <c r="H198" s="5">
        <v>8</v>
      </c>
      <c r="I198" s="5" t="str">
        <f t="shared" si="77"/>
        <v>1623358</v>
      </c>
      <c r="J198" s="5"/>
      <c r="K198" s="5"/>
      <c r="L198" s="4">
        <v>7000</v>
      </c>
      <c r="M198" s="4">
        <v>3403</v>
      </c>
      <c r="N198" s="4">
        <v>2650</v>
      </c>
      <c r="O198" s="6">
        <f t="shared" si="78"/>
        <v>0.22127534528357329</v>
      </c>
      <c r="P198" s="4" t="s">
        <v>410</v>
      </c>
      <c r="Q198" s="4" t="s">
        <v>410</v>
      </c>
      <c r="R198" s="4" t="s">
        <v>410</v>
      </c>
      <c r="S198" s="4" t="s">
        <v>410</v>
      </c>
      <c r="T198" s="4" t="s">
        <v>410</v>
      </c>
      <c r="U198" s="4" t="s">
        <v>410</v>
      </c>
      <c r="V198" s="4">
        <v>770.00000000000011</v>
      </c>
      <c r="W198" s="4">
        <f t="shared" si="79"/>
        <v>7700.0000000000009</v>
      </c>
      <c r="X198" s="4">
        <v>292</v>
      </c>
      <c r="Y198" s="4">
        <f t="shared" si="80"/>
        <v>2920</v>
      </c>
      <c r="Z198" s="4">
        <v>10</v>
      </c>
      <c r="AA198" s="21">
        <f t="shared" si="81"/>
        <v>3750</v>
      </c>
      <c r="AB198" s="6">
        <f t="shared" si="82"/>
        <v>0.22133333333333338</v>
      </c>
      <c r="AC198" s="4">
        <v>3.5000000000000004</v>
      </c>
      <c r="AD198" s="4">
        <f t="shared" si="83"/>
        <v>2136</v>
      </c>
      <c r="AE198" s="4">
        <f t="shared" si="84"/>
        <v>2353.6301886792453</v>
      </c>
      <c r="AF198" s="6">
        <f t="shared" si="85"/>
        <v>-0.24063670411985028</v>
      </c>
      <c r="AG198" s="7">
        <v>4060</v>
      </c>
      <c r="AH198" s="6">
        <f t="shared" si="86"/>
        <v>0.28078817733990147</v>
      </c>
      <c r="AI198" s="4">
        <f t="shared" si="87"/>
        <v>1140</v>
      </c>
      <c r="AJ198" s="28"/>
      <c r="AK198" s="6"/>
      <c r="AL198" s="6"/>
      <c r="AM198" s="6">
        <f t="shared" si="88"/>
        <v>1.1000000000000001</v>
      </c>
      <c r="AN198" s="6">
        <f t="shared" si="89"/>
        <v>1.1930649426976196</v>
      </c>
      <c r="AO198" s="6">
        <f t="shared" si="90"/>
        <v>1.1018867924528302</v>
      </c>
      <c r="AP198" s="4" t="str">
        <f t="shared" si="91"/>
        <v>-</v>
      </c>
      <c r="AQ198" s="4" t="str">
        <f t="shared" si="92"/>
        <v>-</v>
      </c>
      <c r="AR198" s="4" t="str">
        <f t="shared" si="93"/>
        <v>-</v>
      </c>
      <c r="AS198" s="4" t="str">
        <f t="shared" si="94"/>
        <v>-</v>
      </c>
      <c r="AT198" s="4" t="str">
        <f t="shared" si="95"/>
        <v>-</v>
      </c>
      <c r="AU198" s="4" t="str">
        <f t="shared" si="96"/>
        <v>-</v>
      </c>
      <c r="AV198" s="4">
        <v>0</v>
      </c>
      <c r="AW198" s="4" t="s">
        <v>784</v>
      </c>
      <c r="AX198" s="4"/>
      <c r="AY198" s="4"/>
      <c r="AZ198" s="4" t="s">
        <v>781</v>
      </c>
      <c r="BA198" s="4">
        <v>2136</v>
      </c>
      <c r="BB198" s="4">
        <v>2136</v>
      </c>
      <c r="BC198" s="4">
        <f t="shared" si="97"/>
        <v>2136</v>
      </c>
      <c r="BD198" s="19">
        <v>4</v>
      </c>
      <c r="BE198" s="19">
        <v>8</v>
      </c>
      <c r="BF198" s="16">
        <v>3</v>
      </c>
      <c r="BG198" s="36">
        <v>46174</v>
      </c>
      <c r="BH198">
        <v>2190</v>
      </c>
      <c r="BI198">
        <v>6895</v>
      </c>
      <c r="BJ198" s="4" t="s">
        <v>579</v>
      </c>
      <c r="BK198">
        <v>2</v>
      </c>
      <c r="BL198" s="44">
        <f t="shared" si="98"/>
        <v>9.117815024478948E-2</v>
      </c>
      <c r="BM198" t="s">
        <v>792</v>
      </c>
    </row>
    <row r="199" spans="1:65" x14ac:dyDescent="0.4">
      <c r="A199" s="3">
        <v>185</v>
      </c>
      <c r="B199" s="3">
        <f t="shared" si="100"/>
        <v>196</v>
      </c>
      <c r="C199" s="33">
        <v>162371</v>
      </c>
      <c r="D199" s="4" t="str">
        <f>TEXT(C199,"000000")</f>
        <v>162371</v>
      </c>
      <c r="E199" s="4">
        <v>162371</v>
      </c>
      <c r="F199" s="4" t="s">
        <v>350</v>
      </c>
      <c r="G199" s="5">
        <v>4977564023232</v>
      </c>
      <c r="H199" s="5">
        <v>5</v>
      </c>
      <c r="I199" s="5" t="str">
        <f t="shared" si="77"/>
        <v>1623715</v>
      </c>
      <c r="J199" s="5">
        <v>2</v>
      </c>
      <c r="K199" s="5">
        <v>2</v>
      </c>
      <c r="L199" s="4">
        <v>700</v>
      </c>
      <c r="M199" s="4">
        <v>351</v>
      </c>
      <c r="N199" s="4">
        <v>265</v>
      </c>
      <c r="O199" s="6">
        <f t="shared" si="78"/>
        <v>0.24501424501424507</v>
      </c>
      <c r="P199" s="4" t="s">
        <v>410</v>
      </c>
      <c r="Q199" s="4" t="s">
        <v>410</v>
      </c>
      <c r="R199" s="4" t="s">
        <v>410</v>
      </c>
      <c r="S199" s="4" t="s">
        <v>410</v>
      </c>
      <c r="T199" s="4" t="s">
        <v>410</v>
      </c>
      <c r="U199" s="4" t="s">
        <v>410</v>
      </c>
      <c r="V199" s="4">
        <v>770.00000000000011</v>
      </c>
      <c r="W199" s="4">
        <f t="shared" si="79"/>
        <v>770.00000000000011</v>
      </c>
      <c r="X199" s="4">
        <v>292</v>
      </c>
      <c r="Y199" s="4">
        <f t="shared" si="80"/>
        <v>292</v>
      </c>
      <c r="Z199" s="4"/>
      <c r="AA199" s="21">
        <f t="shared" si="81"/>
        <v>387</v>
      </c>
      <c r="AB199" s="6">
        <f t="shared" si="82"/>
        <v>0.24547803617571062</v>
      </c>
      <c r="AC199" s="4">
        <v>1.25</v>
      </c>
      <c r="AD199" s="4">
        <f t="shared" si="83"/>
        <v>291</v>
      </c>
      <c r="AE199" s="4">
        <f t="shared" si="84"/>
        <v>320.6490566037736</v>
      </c>
      <c r="AF199" s="6">
        <f t="shared" si="85"/>
        <v>8.9347079037800703E-2</v>
      </c>
      <c r="AG199" s="7">
        <v>428</v>
      </c>
      <c r="AH199" s="6">
        <f t="shared" si="86"/>
        <v>0.31775700934579443</v>
      </c>
      <c r="AI199" s="4">
        <f t="shared" si="87"/>
        <v>136</v>
      </c>
      <c r="AJ199" s="28"/>
      <c r="AK199" s="6"/>
      <c r="AL199" s="6"/>
      <c r="AM199" s="6">
        <f t="shared" si="88"/>
        <v>1.1000000000000001</v>
      </c>
      <c r="AN199" s="6">
        <f t="shared" si="89"/>
        <v>1.2193732193732194</v>
      </c>
      <c r="AO199" s="6">
        <f t="shared" si="90"/>
        <v>1.1018867924528302</v>
      </c>
      <c r="AP199" s="4" t="str">
        <f t="shared" si="91"/>
        <v>-</v>
      </c>
      <c r="AQ199" s="4" t="str">
        <f t="shared" si="92"/>
        <v>-</v>
      </c>
      <c r="AR199" s="4" t="str">
        <f t="shared" si="93"/>
        <v>-</v>
      </c>
      <c r="AS199" s="4" t="str">
        <f t="shared" si="94"/>
        <v>-</v>
      </c>
      <c r="AT199" s="4" t="str">
        <f t="shared" si="95"/>
        <v>-</v>
      </c>
      <c r="AU199" s="4" t="str">
        <f t="shared" si="96"/>
        <v>-</v>
      </c>
      <c r="AV199" s="4">
        <v>0</v>
      </c>
      <c r="AW199" s="4" t="s">
        <v>737</v>
      </c>
      <c r="AX199" s="4"/>
      <c r="AY199" s="4"/>
      <c r="AZ199" s="4" t="s">
        <v>616</v>
      </c>
      <c r="BA199" s="4">
        <v>291</v>
      </c>
      <c r="BB199" s="4">
        <v>291</v>
      </c>
      <c r="BC199" s="4">
        <f t="shared" si="97"/>
        <v>291</v>
      </c>
      <c r="BD199" s="19">
        <v>4</v>
      </c>
      <c r="BE199" s="19">
        <v>8</v>
      </c>
      <c r="BF199" s="16">
        <v>3</v>
      </c>
      <c r="BG199" s="36">
        <v>46174</v>
      </c>
      <c r="BH199">
        <v>2190</v>
      </c>
      <c r="BI199">
        <v>700</v>
      </c>
      <c r="BJ199" s="4" t="s">
        <v>540</v>
      </c>
      <c r="BL199" s="44">
        <f t="shared" si="98"/>
        <v>0.11748642692038924</v>
      </c>
      <c r="BM199" t="s">
        <v>792</v>
      </c>
    </row>
    <row r="200" spans="1:65" x14ac:dyDescent="0.4">
      <c r="A200" s="3">
        <v>247</v>
      </c>
      <c r="B200" s="3">
        <f t="shared" si="100"/>
        <v>197</v>
      </c>
      <c r="C200" s="33">
        <v>162371</v>
      </c>
      <c r="D200" s="4" t="s">
        <v>176</v>
      </c>
      <c r="E200" s="4">
        <v>162373</v>
      </c>
      <c r="F200" s="4" t="s">
        <v>408</v>
      </c>
      <c r="G200" s="5">
        <v>4977564023232</v>
      </c>
      <c r="H200" s="5">
        <v>8</v>
      </c>
      <c r="I200" s="5" t="str">
        <f t="shared" si="77"/>
        <v>1623718</v>
      </c>
      <c r="J200" s="5"/>
      <c r="K200" s="5"/>
      <c r="L200" s="4">
        <v>7000</v>
      </c>
      <c r="M200" s="4">
        <v>3580</v>
      </c>
      <c r="N200" s="4">
        <v>2650</v>
      </c>
      <c r="O200" s="6">
        <f t="shared" si="78"/>
        <v>0.25977653631284914</v>
      </c>
      <c r="P200" s="4" t="s">
        <v>410</v>
      </c>
      <c r="Q200" s="4" t="s">
        <v>410</v>
      </c>
      <c r="R200" s="4" t="s">
        <v>410</v>
      </c>
      <c r="S200" s="4" t="s">
        <v>410</v>
      </c>
      <c r="T200" s="4" t="s">
        <v>410</v>
      </c>
      <c r="U200" s="4" t="s">
        <v>410</v>
      </c>
      <c r="V200" s="4">
        <v>770.00000000000011</v>
      </c>
      <c r="W200" s="4">
        <f t="shared" si="79"/>
        <v>7700.0000000000009</v>
      </c>
      <c r="X200" s="4">
        <v>292</v>
      </c>
      <c r="Y200" s="4">
        <f t="shared" si="80"/>
        <v>2920</v>
      </c>
      <c r="Z200" s="4">
        <v>10</v>
      </c>
      <c r="AA200" s="21">
        <f t="shared" si="81"/>
        <v>3945</v>
      </c>
      <c r="AB200" s="6">
        <f t="shared" si="82"/>
        <v>0.25982256020278838</v>
      </c>
      <c r="AC200" s="4">
        <v>1.25</v>
      </c>
      <c r="AD200" s="4">
        <f t="shared" si="83"/>
        <v>2136</v>
      </c>
      <c r="AE200" s="4">
        <f t="shared" si="84"/>
        <v>2353.6301886792453</v>
      </c>
      <c r="AF200" s="6">
        <f t="shared" si="85"/>
        <v>-0.24063670411985028</v>
      </c>
      <c r="AG200" s="7">
        <v>4060</v>
      </c>
      <c r="AH200" s="6">
        <f t="shared" si="86"/>
        <v>0.28078817733990147</v>
      </c>
      <c r="AI200" s="4">
        <f t="shared" si="87"/>
        <v>1140</v>
      </c>
      <c r="AJ200" s="28"/>
      <c r="AK200" s="6"/>
      <c r="AL200" s="6"/>
      <c r="AM200" s="6">
        <f t="shared" si="88"/>
        <v>1.1000000000000001</v>
      </c>
      <c r="AN200" s="6">
        <f t="shared" si="89"/>
        <v>1.1340782122905029</v>
      </c>
      <c r="AO200" s="6">
        <f t="shared" si="90"/>
        <v>1.1018867924528302</v>
      </c>
      <c r="AP200" s="4" t="str">
        <f t="shared" si="91"/>
        <v>-</v>
      </c>
      <c r="AQ200" s="4" t="str">
        <f t="shared" si="92"/>
        <v>-</v>
      </c>
      <c r="AR200" s="4" t="str">
        <f t="shared" si="93"/>
        <v>-</v>
      </c>
      <c r="AS200" s="4" t="str">
        <f t="shared" si="94"/>
        <v>-</v>
      </c>
      <c r="AT200" s="4" t="str">
        <f t="shared" si="95"/>
        <v>-</v>
      </c>
      <c r="AU200" s="4" t="str">
        <f t="shared" si="96"/>
        <v>-</v>
      </c>
      <c r="AV200" s="4">
        <v>0</v>
      </c>
      <c r="AW200" s="4" t="s">
        <v>785</v>
      </c>
      <c r="AX200" s="4"/>
      <c r="AY200" s="4"/>
      <c r="AZ200" s="4" t="s">
        <v>781</v>
      </c>
      <c r="BA200" s="4">
        <v>2136</v>
      </c>
      <c r="BB200" s="4">
        <v>2136</v>
      </c>
      <c r="BC200" s="4">
        <f t="shared" si="97"/>
        <v>2136</v>
      </c>
      <c r="BD200" s="19">
        <v>4</v>
      </c>
      <c r="BE200" s="19">
        <v>8</v>
      </c>
      <c r="BF200" s="16">
        <v>3</v>
      </c>
      <c r="BG200" s="36">
        <v>46174</v>
      </c>
      <c r="BH200">
        <v>2190</v>
      </c>
      <c r="BI200">
        <v>6895</v>
      </c>
      <c r="BJ200" s="4" t="s">
        <v>580</v>
      </c>
      <c r="BK200">
        <v>2</v>
      </c>
      <c r="BL200" s="44">
        <f t="shared" si="98"/>
        <v>3.2191419837672708E-2</v>
      </c>
      <c r="BM200" t="s">
        <v>792</v>
      </c>
    </row>
    <row r="201" spans="1:65" x14ac:dyDescent="0.4">
      <c r="A201" s="3">
        <v>186</v>
      </c>
      <c r="B201" s="3">
        <f t="shared" si="100"/>
        <v>198</v>
      </c>
      <c r="C201" s="4">
        <v>162379</v>
      </c>
      <c r="D201" s="4" t="str">
        <f t="shared" ref="D201:D219" si="101">TEXT(C201,"000000")</f>
        <v>162379</v>
      </c>
      <c r="E201" s="4">
        <v>162379</v>
      </c>
      <c r="F201" s="4" t="s">
        <v>351</v>
      </c>
      <c r="G201" s="5">
        <v>4977564114435</v>
      </c>
      <c r="H201" s="5">
        <v>5</v>
      </c>
      <c r="I201" s="5" t="str">
        <f t="shared" si="77"/>
        <v>1623795</v>
      </c>
      <c r="J201" s="5">
        <v>1</v>
      </c>
      <c r="K201" s="5">
        <v>1</v>
      </c>
      <c r="L201" s="4">
        <v>700</v>
      </c>
      <c r="M201" s="4">
        <v>446</v>
      </c>
      <c r="N201" s="4">
        <v>350</v>
      </c>
      <c r="O201" s="6">
        <f t="shared" si="78"/>
        <v>0.2152466367713004</v>
      </c>
      <c r="P201" s="4" t="s">
        <v>410</v>
      </c>
      <c r="Q201" s="4" t="s">
        <v>410</v>
      </c>
      <c r="R201" s="4" t="s">
        <v>410</v>
      </c>
      <c r="S201" s="4" t="s">
        <v>410</v>
      </c>
      <c r="T201" s="4" t="s">
        <v>410</v>
      </c>
      <c r="U201" s="4" t="s">
        <v>410</v>
      </c>
      <c r="V201" s="4">
        <v>770.00000000000011</v>
      </c>
      <c r="W201" s="4">
        <f t="shared" si="79"/>
        <v>770.00000000000011</v>
      </c>
      <c r="X201" s="4">
        <v>385</v>
      </c>
      <c r="Y201" s="4">
        <f t="shared" si="80"/>
        <v>385</v>
      </c>
      <c r="Z201" s="4"/>
      <c r="AA201" s="21">
        <f t="shared" si="81"/>
        <v>491</v>
      </c>
      <c r="AB201" s="6">
        <f t="shared" si="82"/>
        <v>0.21588594704684316</v>
      </c>
      <c r="AC201" s="4">
        <v>0</v>
      </c>
      <c r="AD201" s="4">
        <f t="shared" si="83"/>
        <v>634</v>
      </c>
      <c r="AE201" s="4">
        <f t="shared" si="84"/>
        <v>697.40000000000009</v>
      </c>
      <c r="AF201" s="6">
        <f t="shared" si="85"/>
        <v>0.44794952681388023</v>
      </c>
      <c r="AG201" s="7">
        <v>580</v>
      </c>
      <c r="AH201" s="6">
        <f t="shared" si="86"/>
        <v>0.33620689655172409</v>
      </c>
      <c r="AI201" s="4">
        <f t="shared" si="87"/>
        <v>195</v>
      </c>
      <c r="AJ201" s="28"/>
      <c r="AK201" s="6"/>
      <c r="AL201" s="6"/>
      <c r="AM201" s="6">
        <f t="shared" si="88"/>
        <v>1.1000000000000001</v>
      </c>
      <c r="AN201" s="6">
        <f t="shared" si="89"/>
        <v>1.3004484304932735</v>
      </c>
      <c r="AO201" s="6">
        <f t="shared" si="90"/>
        <v>1.1000000000000001</v>
      </c>
      <c r="AP201" s="4" t="str">
        <f t="shared" si="91"/>
        <v>-</v>
      </c>
      <c r="AQ201" s="4" t="str">
        <f t="shared" si="92"/>
        <v>-</v>
      </c>
      <c r="AR201" s="4" t="str">
        <f t="shared" si="93"/>
        <v>-</v>
      </c>
      <c r="AS201" s="4" t="str">
        <f t="shared" si="94"/>
        <v>-</v>
      </c>
      <c r="AT201" s="4" t="str">
        <f t="shared" si="95"/>
        <v>-</v>
      </c>
      <c r="AU201" s="4" t="str">
        <f t="shared" si="96"/>
        <v>-</v>
      </c>
      <c r="AV201" s="4">
        <v>0</v>
      </c>
      <c r="AW201" s="4" t="s">
        <v>738</v>
      </c>
      <c r="AX201" s="4"/>
      <c r="AY201" s="4"/>
      <c r="AZ201" s="4" t="s">
        <v>616</v>
      </c>
      <c r="BA201" s="4">
        <v>634</v>
      </c>
      <c r="BB201" s="4">
        <v>634</v>
      </c>
      <c r="BC201" s="4">
        <f t="shared" si="97"/>
        <v>634</v>
      </c>
      <c r="BD201" s="19">
        <v>4</v>
      </c>
      <c r="BE201" s="19">
        <v>8</v>
      </c>
      <c r="BF201" s="16">
        <v>3</v>
      </c>
      <c r="BG201" s="36">
        <v>46174</v>
      </c>
      <c r="BH201" t="s">
        <v>410</v>
      </c>
      <c r="BI201">
        <v>700</v>
      </c>
      <c r="BJ201" s="4" t="s">
        <v>541</v>
      </c>
      <c r="BL201" s="44">
        <f t="shared" si="98"/>
        <v>0.20044843049327343</v>
      </c>
      <c r="BM201" t="s">
        <v>792</v>
      </c>
    </row>
    <row r="202" spans="1:65" x14ac:dyDescent="0.4">
      <c r="A202" s="3">
        <v>187</v>
      </c>
      <c r="B202" s="3">
        <f t="shared" si="100"/>
        <v>199</v>
      </c>
      <c r="C202" s="4">
        <v>162383</v>
      </c>
      <c r="D202" s="4" t="str">
        <f t="shared" si="101"/>
        <v>162383</v>
      </c>
      <c r="E202" s="4">
        <v>162383</v>
      </c>
      <c r="F202" s="4" t="s">
        <v>352</v>
      </c>
      <c r="G202" s="5">
        <v>4977564114459</v>
      </c>
      <c r="H202" s="5">
        <v>5</v>
      </c>
      <c r="I202" s="5" t="str">
        <f t="shared" si="77"/>
        <v>1623835</v>
      </c>
      <c r="J202" s="5">
        <v>1</v>
      </c>
      <c r="K202" s="5">
        <v>1</v>
      </c>
      <c r="L202" s="4">
        <v>700</v>
      </c>
      <c r="M202" s="4">
        <v>446</v>
      </c>
      <c r="N202" s="4">
        <v>350</v>
      </c>
      <c r="O202" s="6">
        <f t="shared" si="78"/>
        <v>0.2152466367713004</v>
      </c>
      <c r="P202" s="4" t="s">
        <v>410</v>
      </c>
      <c r="Q202" s="4" t="s">
        <v>410</v>
      </c>
      <c r="R202" s="4" t="s">
        <v>410</v>
      </c>
      <c r="S202" s="4" t="s">
        <v>410</v>
      </c>
      <c r="T202" s="4" t="s">
        <v>410</v>
      </c>
      <c r="U202" s="4" t="s">
        <v>410</v>
      </c>
      <c r="V202" s="4">
        <v>770.00000000000011</v>
      </c>
      <c r="W202" s="4">
        <f t="shared" si="79"/>
        <v>770.00000000000011</v>
      </c>
      <c r="X202" s="4">
        <v>385</v>
      </c>
      <c r="Y202" s="4">
        <f t="shared" si="80"/>
        <v>385</v>
      </c>
      <c r="Z202" s="4"/>
      <c r="AA202" s="21">
        <f t="shared" si="81"/>
        <v>491</v>
      </c>
      <c r="AB202" s="6">
        <f t="shared" si="82"/>
        <v>0.21588594704684316</v>
      </c>
      <c r="AC202" s="4">
        <v>0.25</v>
      </c>
      <c r="AD202" s="4">
        <f t="shared" si="83"/>
        <v>634</v>
      </c>
      <c r="AE202" s="4">
        <f t="shared" si="84"/>
        <v>697.40000000000009</v>
      </c>
      <c r="AF202" s="6">
        <f t="shared" si="85"/>
        <v>0.44794952681388023</v>
      </c>
      <c r="AG202" s="7">
        <v>580</v>
      </c>
      <c r="AH202" s="6">
        <f t="shared" si="86"/>
        <v>0.33620689655172409</v>
      </c>
      <c r="AI202" s="4">
        <f t="shared" si="87"/>
        <v>195</v>
      </c>
      <c r="AJ202" s="28"/>
      <c r="AK202" s="6"/>
      <c r="AL202" s="6"/>
      <c r="AM202" s="6">
        <f t="shared" si="88"/>
        <v>1.1000000000000001</v>
      </c>
      <c r="AN202" s="6">
        <f t="shared" si="89"/>
        <v>1.3004484304932735</v>
      </c>
      <c r="AO202" s="6">
        <f t="shared" si="90"/>
        <v>1.1000000000000001</v>
      </c>
      <c r="AP202" s="4" t="str">
        <f t="shared" si="91"/>
        <v>-</v>
      </c>
      <c r="AQ202" s="4" t="str">
        <f t="shared" si="92"/>
        <v>-</v>
      </c>
      <c r="AR202" s="4" t="str">
        <f t="shared" si="93"/>
        <v>-</v>
      </c>
      <c r="AS202" s="4" t="str">
        <f t="shared" si="94"/>
        <v>-</v>
      </c>
      <c r="AT202" s="4" t="str">
        <f t="shared" si="95"/>
        <v>-</v>
      </c>
      <c r="AU202" s="4" t="str">
        <f t="shared" si="96"/>
        <v>-</v>
      </c>
      <c r="AV202" s="4">
        <v>0</v>
      </c>
      <c r="AW202" s="4" t="s">
        <v>739</v>
      </c>
      <c r="AX202" s="4"/>
      <c r="AY202" s="4"/>
      <c r="AZ202" s="4" t="s">
        <v>616</v>
      </c>
      <c r="BA202" s="4">
        <v>634</v>
      </c>
      <c r="BB202" s="4">
        <v>634</v>
      </c>
      <c r="BC202" s="4">
        <f t="shared" si="97"/>
        <v>634</v>
      </c>
      <c r="BD202" s="19">
        <v>4</v>
      </c>
      <c r="BE202" s="19">
        <v>8</v>
      </c>
      <c r="BF202" s="16">
        <v>3</v>
      </c>
      <c r="BG202" s="36">
        <v>46174</v>
      </c>
      <c r="BH202" t="s">
        <v>410</v>
      </c>
      <c r="BI202">
        <v>586</v>
      </c>
      <c r="BJ202" s="4" t="s">
        <v>542</v>
      </c>
      <c r="BL202" s="44">
        <f t="shared" si="98"/>
        <v>0.20044843049327343</v>
      </c>
      <c r="BM202" t="s">
        <v>792</v>
      </c>
    </row>
    <row r="203" spans="1:65" x14ac:dyDescent="0.4">
      <c r="A203" s="3">
        <v>188</v>
      </c>
      <c r="B203" s="3">
        <f t="shared" si="100"/>
        <v>200</v>
      </c>
      <c r="C203" s="4">
        <v>676227</v>
      </c>
      <c r="D203" s="4" t="str">
        <f t="shared" si="101"/>
        <v>676227</v>
      </c>
      <c r="E203" s="4">
        <v>676227</v>
      </c>
      <c r="F203" s="4" t="s">
        <v>353</v>
      </c>
      <c r="G203" s="5">
        <v>4977564082901</v>
      </c>
      <c r="H203" s="5">
        <v>5</v>
      </c>
      <c r="I203" s="5" t="str">
        <f t="shared" si="77"/>
        <v>6762275</v>
      </c>
      <c r="J203" s="5">
        <v>1</v>
      </c>
      <c r="K203" s="5">
        <v>1</v>
      </c>
      <c r="L203" s="4">
        <v>2200</v>
      </c>
      <c r="M203" s="4">
        <v>1411</v>
      </c>
      <c r="N203" s="4">
        <v>766</v>
      </c>
      <c r="O203" s="6">
        <f t="shared" si="78"/>
        <v>0.45712260807937632</v>
      </c>
      <c r="P203" s="4" t="s">
        <v>410</v>
      </c>
      <c r="Q203" s="4" t="s">
        <v>410</v>
      </c>
      <c r="R203" s="4" t="s">
        <v>410</v>
      </c>
      <c r="S203" s="4" t="s">
        <v>410</v>
      </c>
      <c r="T203" s="4" t="s">
        <v>410</v>
      </c>
      <c r="U203" s="4" t="s">
        <v>410</v>
      </c>
      <c r="V203" s="4">
        <v>2400</v>
      </c>
      <c r="W203" s="4">
        <f t="shared" si="79"/>
        <v>2400</v>
      </c>
      <c r="X203" s="4">
        <v>836</v>
      </c>
      <c r="Y203" s="4">
        <f t="shared" si="80"/>
        <v>836</v>
      </c>
      <c r="Z203" s="4"/>
      <c r="AA203" s="21">
        <f t="shared" si="81"/>
        <v>1540</v>
      </c>
      <c r="AB203" s="6">
        <f t="shared" si="82"/>
        <v>0.45714285714285718</v>
      </c>
      <c r="AC203" s="4">
        <v>6.75</v>
      </c>
      <c r="AD203" s="4">
        <f t="shared" si="83"/>
        <v>1890</v>
      </c>
      <c r="AE203" s="4">
        <f t="shared" si="84"/>
        <v>2062.7154046997389</v>
      </c>
      <c r="AF203" s="6">
        <f t="shared" si="85"/>
        <v>0.59470899470899474</v>
      </c>
      <c r="AG203" s="7">
        <v>1540</v>
      </c>
      <c r="AH203" s="6">
        <f t="shared" si="86"/>
        <v>0.45714285714285718</v>
      </c>
      <c r="AI203" s="4">
        <f t="shared" si="87"/>
        <v>704</v>
      </c>
      <c r="AJ203" s="28"/>
      <c r="AK203" s="6"/>
      <c r="AL203" s="6"/>
      <c r="AM203" s="6">
        <f t="shared" si="88"/>
        <v>1.0909090909090908</v>
      </c>
      <c r="AN203" s="6">
        <f t="shared" si="89"/>
        <v>1.0914245216158753</v>
      </c>
      <c r="AO203" s="6">
        <f t="shared" si="90"/>
        <v>1.0913838120104438</v>
      </c>
      <c r="AP203" s="4" t="str">
        <f t="shared" si="91"/>
        <v>-</v>
      </c>
      <c r="AQ203" s="4" t="str">
        <f t="shared" si="92"/>
        <v>-</v>
      </c>
      <c r="AR203" s="4" t="str">
        <f t="shared" si="93"/>
        <v>-</v>
      </c>
      <c r="AS203" s="4" t="str">
        <f t="shared" si="94"/>
        <v>-</v>
      </c>
      <c r="AT203" s="4" t="str">
        <f t="shared" si="95"/>
        <v>-</v>
      </c>
      <c r="AU203" s="4" t="str">
        <f t="shared" si="96"/>
        <v>-</v>
      </c>
      <c r="AV203" s="4">
        <v>0</v>
      </c>
      <c r="AW203" s="4" t="s">
        <v>740</v>
      </c>
      <c r="AX203" s="4"/>
      <c r="AY203" s="4"/>
      <c r="AZ203" s="4" t="s">
        <v>616</v>
      </c>
      <c r="BA203" s="4">
        <v>1890</v>
      </c>
      <c r="BB203" s="4">
        <v>1890</v>
      </c>
      <c r="BC203" s="4">
        <f t="shared" si="97"/>
        <v>1890</v>
      </c>
      <c r="BD203" s="19">
        <v>4</v>
      </c>
      <c r="BE203" s="19">
        <v>1</v>
      </c>
      <c r="BF203" s="16">
        <v>3</v>
      </c>
      <c r="BG203" s="36">
        <v>46174</v>
      </c>
      <c r="BH203" t="s">
        <v>410</v>
      </c>
      <c r="BI203">
        <v>2129</v>
      </c>
      <c r="BJ203" s="4" t="s">
        <v>543</v>
      </c>
      <c r="BL203" s="44">
        <f t="shared" si="98"/>
        <v>4.0709605431565876E-5</v>
      </c>
      <c r="BM203" t="s">
        <v>792</v>
      </c>
    </row>
    <row r="204" spans="1:65" x14ac:dyDescent="0.4">
      <c r="A204" s="3">
        <v>189</v>
      </c>
      <c r="B204" s="3">
        <f t="shared" si="100"/>
        <v>201</v>
      </c>
      <c r="C204" s="4">
        <v>676228</v>
      </c>
      <c r="D204" s="4" t="str">
        <f t="shared" si="101"/>
        <v>676228</v>
      </c>
      <c r="E204" s="4">
        <v>676228</v>
      </c>
      <c r="F204" s="4" t="s">
        <v>354</v>
      </c>
      <c r="G204" s="5">
        <v>4977564082895</v>
      </c>
      <c r="H204" s="5">
        <v>5</v>
      </c>
      <c r="I204" s="5" t="str">
        <f t="shared" si="77"/>
        <v>6762285</v>
      </c>
      <c r="J204" s="5">
        <v>1</v>
      </c>
      <c r="K204" s="5">
        <v>1</v>
      </c>
      <c r="L204" s="4">
        <v>2200</v>
      </c>
      <c r="M204" s="4">
        <v>1411</v>
      </c>
      <c r="N204" s="4">
        <v>766</v>
      </c>
      <c r="O204" s="6">
        <f t="shared" si="78"/>
        <v>0.45712260807937632</v>
      </c>
      <c r="P204" s="4" t="s">
        <v>410</v>
      </c>
      <c r="Q204" s="4" t="s">
        <v>410</v>
      </c>
      <c r="R204" s="4" t="s">
        <v>410</v>
      </c>
      <c r="S204" s="4" t="s">
        <v>410</v>
      </c>
      <c r="T204" s="4" t="s">
        <v>410</v>
      </c>
      <c r="U204" s="4" t="s">
        <v>410</v>
      </c>
      <c r="V204" s="4">
        <v>2400</v>
      </c>
      <c r="W204" s="4">
        <f t="shared" si="79"/>
        <v>2400</v>
      </c>
      <c r="X204" s="4">
        <v>836</v>
      </c>
      <c r="Y204" s="4">
        <f t="shared" si="80"/>
        <v>836</v>
      </c>
      <c r="Z204" s="4"/>
      <c r="AA204" s="21">
        <f t="shared" si="81"/>
        <v>1540</v>
      </c>
      <c r="AB204" s="6">
        <f t="shared" si="82"/>
        <v>0.45714285714285718</v>
      </c>
      <c r="AC204" s="4">
        <v>3.5000000000000004</v>
      </c>
      <c r="AD204" s="4">
        <f t="shared" si="83"/>
        <v>1890</v>
      </c>
      <c r="AE204" s="4">
        <f t="shared" si="84"/>
        <v>2062.7154046997389</v>
      </c>
      <c r="AF204" s="6">
        <f t="shared" si="85"/>
        <v>0.59470899470899474</v>
      </c>
      <c r="AG204" s="7">
        <v>1540</v>
      </c>
      <c r="AH204" s="6">
        <f t="shared" si="86"/>
        <v>0.45714285714285718</v>
      </c>
      <c r="AI204" s="4">
        <f t="shared" si="87"/>
        <v>704</v>
      </c>
      <c r="AJ204" s="28"/>
      <c r="AK204" s="6"/>
      <c r="AL204" s="6"/>
      <c r="AM204" s="6">
        <f t="shared" si="88"/>
        <v>1.0909090909090908</v>
      </c>
      <c r="AN204" s="6">
        <f t="shared" si="89"/>
        <v>1.0914245216158753</v>
      </c>
      <c r="AO204" s="6">
        <f t="shared" si="90"/>
        <v>1.0913838120104438</v>
      </c>
      <c r="AP204" s="4" t="str">
        <f t="shared" si="91"/>
        <v>-</v>
      </c>
      <c r="AQ204" s="4" t="str">
        <f t="shared" si="92"/>
        <v>-</v>
      </c>
      <c r="AR204" s="4" t="str">
        <f t="shared" si="93"/>
        <v>-</v>
      </c>
      <c r="AS204" s="4" t="str">
        <f t="shared" si="94"/>
        <v>-</v>
      </c>
      <c r="AT204" s="4" t="str">
        <f t="shared" si="95"/>
        <v>-</v>
      </c>
      <c r="AU204" s="4" t="str">
        <f t="shared" si="96"/>
        <v>-</v>
      </c>
      <c r="AV204" s="4">
        <v>0</v>
      </c>
      <c r="AW204" s="4" t="s">
        <v>741</v>
      </c>
      <c r="AX204" s="4"/>
      <c r="AY204" s="4"/>
      <c r="AZ204" s="4" t="s">
        <v>616</v>
      </c>
      <c r="BA204" s="4">
        <v>1890</v>
      </c>
      <c r="BB204" s="4">
        <v>1890</v>
      </c>
      <c r="BC204" s="4">
        <f t="shared" si="97"/>
        <v>1890</v>
      </c>
      <c r="BD204" s="19">
        <v>4</v>
      </c>
      <c r="BE204" s="19">
        <v>1</v>
      </c>
      <c r="BF204" s="16">
        <v>3</v>
      </c>
      <c r="BG204" s="36">
        <v>46174</v>
      </c>
      <c r="BH204" t="s">
        <v>410</v>
      </c>
      <c r="BI204">
        <v>2129</v>
      </c>
      <c r="BJ204" s="4" t="s">
        <v>544</v>
      </c>
      <c r="BL204" s="44">
        <f t="shared" si="98"/>
        <v>4.0709605431565876E-5</v>
      </c>
      <c r="BM204" t="s">
        <v>792</v>
      </c>
    </row>
    <row r="205" spans="1:65" x14ac:dyDescent="0.4">
      <c r="A205" s="3">
        <v>190</v>
      </c>
      <c r="B205" s="3">
        <f t="shared" si="100"/>
        <v>202</v>
      </c>
      <c r="C205" s="4">
        <v>676229</v>
      </c>
      <c r="D205" s="4" t="str">
        <f t="shared" si="101"/>
        <v>676229</v>
      </c>
      <c r="E205" s="4">
        <v>676229</v>
      </c>
      <c r="F205" s="4" t="s">
        <v>355</v>
      </c>
      <c r="G205" s="5">
        <v>4977564082925</v>
      </c>
      <c r="H205" s="5">
        <v>5</v>
      </c>
      <c r="I205" s="5" t="str">
        <f t="shared" si="77"/>
        <v>6762295</v>
      </c>
      <c r="J205" s="5">
        <v>1</v>
      </c>
      <c r="K205" s="5">
        <v>1</v>
      </c>
      <c r="L205" s="4">
        <v>2400</v>
      </c>
      <c r="M205" s="4">
        <v>1550</v>
      </c>
      <c r="N205" s="4">
        <v>844</v>
      </c>
      <c r="O205" s="6">
        <f t="shared" si="78"/>
        <v>0.4554838709677419</v>
      </c>
      <c r="P205" s="4" t="s">
        <v>410</v>
      </c>
      <c r="Q205" s="4" t="s">
        <v>410</v>
      </c>
      <c r="R205" s="4" t="s">
        <v>410</v>
      </c>
      <c r="S205" s="4" t="s">
        <v>410</v>
      </c>
      <c r="T205" s="4" t="s">
        <v>410</v>
      </c>
      <c r="U205" s="4" t="s">
        <v>410</v>
      </c>
      <c r="V205" s="4">
        <v>2650</v>
      </c>
      <c r="W205" s="4">
        <f t="shared" si="79"/>
        <v>2650</v>
      </c>
      <c r="X205" s="4">
        <v>932</v>
      </c>
      <c r="Y205" s="4">
        <f t="shared" si="80"/>
        <v>932</v>
      </c>
      <c r="Z205" s="4"/>
      <c r="AA205" s="21">
        <f t="shared" si="81"/>
        <v>1712</v>
      </c>
      <c r="AB205" s="6">
        <f t="shared" si="82"/>
        <v>0.45560747663551404</v>
      </c>
      <c r="AC205" s="4">
        <v>3.5000000000000004</v>
      </c>
      <c r="AD205" s="4">
        <f t="shared" si="83"/>
        <v>1299</v>
      </c>
      <c r="AE205" s="4">
        <f t="shared" si="84"/>
        <v>1434.4407582938388</v>
      </c>
      <c r="AF205" s="6">
        <f t="shared" si="85"/>
        <v>0.35026943802925325</v>
      </c>
      <c r="AG205" s="7">
        <v>1680</v>
      </c>
      <c r="AH205" s="6">
        <f t="shared" si="86"/>
        <v>0.44523809523809521</v>
      </c>
      <c r="AI205" s="4">
        <f t="shared" si="87"/>
        <v>748</v>
      </c>
      <c r="AJ205" s="28"/>
      <c r="AK205" s="6"/>
      <c r="AL205" s="6"/>
      <c r="AM205" s="6">
        <f t="shared" si="88"/>
        <v>1.1041666666666667</v>
      </c>
      <c r="AN205" s="6">
        <f t="shared" si="89"/>
        <v>1.0838709677419356</v>
      </c>
      <c r="AO205" s="6">
        <f t="shared" si="90"/>
        <v>1.1042654028436019</v>
      </c>
      <c r="AP205" s="4" t="str">
        <f t="shared" si="91"/>
        <v>-</v>
      </c>
      <c r="AQ205" s="4" t="str">
        <f t="shared" si="92"/>
        <v>-</v>
      </c>
      <c r="AR205" s="4" t="str">
        <f t="shared" si="93"/>
        <v>-</v>
      </c>
      <c r="AS205" s="4" t="str">
        <f t="shared" si="94"/>
        <v>-</v>
      </c>
      <c r="AT205" s="4" t="str">
        <f t="shared" si="95"/>
        <v>-</v>
      </c>
      <c r="AU205" s="4" t="str">
        <f t="shared" si="96"/>
        <v>-</v>
      </c>
      <c r="AV205" s="4">
        <v>0</v>
      </c>
      <c r="AW205" s="4" t="s">
        <v>742</v>
      </c>
      <c r="AX205" s="4"/>
      <c r="AY205" s="4"/>
      <c r="AZ205" s="4" t="s">
        <v>586</v>
      </c>
      <c r="BA205" s="4">
        <v>1299</v>
      </c>
      <c r="BB205" s="4">
        <v>1299</v>
      </c>
      <c r="BC205" s="4">
        <f t="shared" si="97"/>
        <v>1299</v>
      </c>
      <c r="BD205" s="19">
        <v>4</v>
      </c>
      <c r="BE205" s="19">
        <v>1</v>
      </c>
      <c r="BF205" s="16">
        <v>3</v>
      </c>
      <c r="BG205" s="36">
        <v>46174</v>
      </c>
      <c r="BH205" t="s">
        <v>410</v>
      </c>
      <c r="BI205">
        <v>2324</v>
      </c>
      <c r="BJ205" s="4" t="s">
        <v>545</v>
      </c>
      <c r="BL205" s="44">
        <f t="shared" si="98"/>
        <v>-2.0394435101666275E-2</v>
      </c>
      <c r="BM205" t="s">
        <v>792</v>
      </c>
    </row>
    <row r="206" spans="1:65" x14ac:dyDescent="0.4">
      <c r="A206" s="3">
        <v>191</v>
      </c>
      <c r="B206" s="3">
        <f t="shared" si="100"/>
        <v>203</v>
      </c>
      <c r="C206" s="4">
        <v>676230</v>
      </c>
      <c r="D206" s="4" t="str">
        <f t="shared" si="101"/>
        <v>676230</v>
      </c>
      <c r="E206" s="4">
        <v>676230</v>
      </c>
      <c r="F206" s="4" t="s">
        <v>356</v>
      </c>
      <c r="G206" s="5">
        <v>4977564082918</v>
      </c>
      <c r="H206" s="5">
        <v>5</v>
      </c>
      <c r="I206" s="5" t="str">
        <f t="shared" si="77"/>
        <v>6762305</v>
      </c>
      <c r="J206" s="5">
        <v>1</v>
      </c>
      <c r="K206" s="5">
        <v>1</v>
      </c>
      <c r="L206" s="4">
        <v>2400</v>
      </c>
      <c r="M206" s="4">
        <v>1550</v>
      </c>
      <c r="N206" s="4">
        <v>844</v>
      </c>
      <c r="O206" s="6">
        <f t="shared" si="78"/>
        <v>0.4554838709677419</v>
      </c>
      <c r="P206" s="4" t="s">
        <v>410</v>
      </c>
      <c r="Q206" s="4" t="s">
        <v>410</v>
      </c>
      <c r="R206" s="4" t="s">
        <v>410</v>
      </c>
      <c r="S206" s="4" t="s">
        <v>410</v>
      </c>
      <c r="T206" s="4" t="s">
        <v>410</v>
      </c>
      <c r="U206" s="4" t="s">
        <v>410</v>
      </c>
      <c r="V206" s="4">
        <v>2650</v>
      </c>
      <c r="W206" s="4">
        <f t="shared" si="79"/>
        <v>2650</v>
      </c>
      <c r="X206" s="4">
        <v>932</v>
      </c>
      <c r="Y206" s="4">
        <f t="shared" si="80"/>
        <v>932</v>
      </c>
      <c r="Z206" s="4"/>
      <c r="AA206" s="21">
        <f t="shared" si="81"/>
        <v>1712</v>
      </c>
      <c r="AB206" s="6">
        <f t="shared" si="82"/>
        <v>0.45560747663551404</v>
      </c>
      <c r="AC206" s="4">
        <v>4</v>
      </c>
      <c r="AD206" s="4">
        <f t="shared" si="83"/>
        <v>1299</v>
      </c>
      <c r="AE206" s="4">
        <f t="shared" si="84"/>
        <v>1434.4407582938388</v>
      </c>
      <c r="AF206" s="6">
        <f t="shared" si="85"/>
        <v>0.35026943802925325</v>
      </c>
      <c r="AG206" s="7">
        <v>1680</v>
      </c>
      <c r="AH206" s="6">
        <f t="shared" si="86"/>
        <v>0.44523809523809521</v>
      </c>
      <c r="AI206" s="4">
        <f t="shared" si="87"/>
        <v>748</v>
      </c>
      <c r="AJ206" s="28"/>
      <c r="AK206" s="6"/>
      <c r="AL206" s="6"/>
      <c r="AM206" s="6">
        <f t="shared" si="88"/>
        <v>1.1041666666666667</v>
      </c>
      <c r="AN206" s="6">
        <f t="shared" si="89"/>
        <v>1.0838709677419356</v>
      </c>
      <c r="AO206" s="6">
        <f t="shared" si="90"/>
        <v>1.1042654028436019</v>
      </c>
      <c r="AP206" s="4" t="str">
        <f t="shared" si="91"/>
        <v>-</v>
      </c>
      <c r="AQ206" s="4" t="str">
        <f t="shared" si="92"/>
        <v>-</v>
      </c>
      <c r="AR206" s="4" t="str">
        <f t="shared" si="93"/>
        <v>-</v>
      </c>
      <c r="AS206" s="4" t="str">
        <f t="shared" si="94"/>
        <v>-</v>
      </c>
      <c r="AT206" s="4" t="str">
        <f t="shared" si="95"/>
        <v>-</v>
      </c>
      <c r="AU206" s="4" t="str">
        <f t="shared" si="96"/>
        <v>-</v>
      </c>
      <c r="AV206" s="4">
        <v>0</v>
      </c>
      <c r="AW206" s="4" t="s">
        <v>743</v>
      </c>
      <c r="AX206" s="4"/>
      <c r="AY206" s="4"/>
      <c r="AZ206" s="4" t="s">
        <v>586</v>
      </c>
      <c r="BA206" s="4">
        <v>1299</v>
      </c>
      <c r="BB206" s="4">
        <v>1299</v>
      </c>
      <c r="BC206" s="4">
        <f t="shared" si="97"/>
        <v>1299</v>
      </c>
      <c r="BD206" s="19">
        <v>4</v>
      </c>
      <c r="BE206" s="19">
        <v>1</v>
      </c>
      <c r="BF206" s="16">
        <v>3</v>
      </c>
      <c r="BG206" s="36">
        <v>46174</v>
      </c>
      <c r="BH206" t="s">
        <v>410</v>
      </c>
      <c r="BI206">
        <v>2324</v>
      </c>
      <c r="BJ206" s="4" t="s">
        <v>546</v>
      </c>
      <c r="BL206" s="44">
        <f t="shared" si="98"/>
        <v>-2.0394435101666275E-2</v>
      </c>
      <c r="BM206" t="s">
        <v>792</v>
      </c>
    </row>
    <row r="207" spans="1:65" x14ac:dyDescent="0.4">
      <c r="A207" s="35">
        <v>192</v>
      </c>
      <c r="B207" s="3">
        <f t="shared" si="100"/>
        <v>204</v>
      </c>
      <c r="C207" s="4" t="s">
        <v>177</v>
      </c>
      <c r="D207" s="4" t="str">
        <f t="shared" si="101"/>
        <v>6104AM</v>
      </c>
      <c r="E207" s="4" t="s">
        <v>177</v>
      </c>
      <c r="F207" s="4" t="s">
        <v>357</v>
      </c>
      <c r="G207" s="5">
        <v>4977564410582</v>
      </c>
      <c r="H207" s="5">
        <v>5</v>
      </c>
      <c r="I207" s="5" t="str">
        <f t="shared" si="77"/>
        <v>6104AM5</v>
      </c>
      <c r="J207" s="5">
        <v>1</v>
      </c>
      <c r="K207" s="5">
        <v>1</v>
      </c>
      <c r="L207" s="4">
        <v>0</v>
      </c>
      <c r="M207" s="4">
        <v>2142</v>
      </c>
      <c r="N207" s="4">
        <v>1100</v>
      </c>
      <c r="O207" s="6">
        <f t="shared" si="78"/>
        <v>0.48646125116713357</v>
      </c>
      <c r="P207" s="4" t="s">
        <v>410</v>
      </c>
      <c r="Q207" s="4" t="s">
        <v>410</v>
      </c>
      <c r="R207" s="4" t="s">
        <v>410</v>
      </c>
      <c r="S207" s="4" t="s">
        <v>410</v>
      </c>
      <c r="T207" s="4" t="s">
        <v>410</v>
      </c>
      <c r="U207" s="4" t="s">
        <v>410</v>
      </c>
      <c r="V207" s="4">
        <v>0</v>
      </c>
      <c r="W207" s="4">
        <f t="shared" si="79"/>
        <v>0</v>
      </c>
      <c r="X207" s="4">
        <v>1200</v>
      </c>
      <c r="Y207" s="4">
        <f t="shared" si="80"/>
        <v>1200</v>
      </c>
      <c r="Z207" s="4"/>
      <c r="AA207" s="21">
        <f t="shared" si="81"/>
        <v>2337</v>
      </c>
      <c r="AB207" s="6">
        <f t="shared" si="82"/>
        <v>0.48652118100128372</v>
      </c>
      <c r="AC207" s="4">
        <v>0.25</v>
      </c>
      <c r="AD207" s="4">
        <f t="shared" si="83"/>
        <v>1978</v>
      </c>
      <c r="AE207" s="4">
        <f t="shared" si="84"/>
        <v>2157.8181818181815</v>
      </c>
      <c r="AF207" s="6">
        <f t="shared" si="85"/>
        <v>0.44388270980788669</v>
      </c>
      <c r="AG207" s="7">
        <v>2280</v>
      </c>
      <c r="AH207" s="6">
        <f t="shared" si="86"/>
        <v>0.47368421052631582</v>
      </c>
      <c r="AI207" s="4">
        <f t="shared" si="87"/>
        <v>1080</v>
      </c>
      <c r="AJ207" s="28"/>
      <c r="AK207" s="6"/>
      <c r="AL207" s="6"/>
      <c r="AM207" s="6" t="e">
        <f t="shared" si="88"/>
        <v>#DIV/0!</v>
      </c>
      <c r="AN207" s="6">
        <f t="shared" si="89"/>
        <v>1.0644257703081232</v>
      </c>
      <c r="AO207" s="6">
        <f t="shared" si="90"/>
        <v>1.0909090909090908</v>
      </c>
      <c r="AP207" s="4" t="str">
        <f t="shared" si="91"/>
        <v>-</v>
      </c>
      <c r="AQ207" s="4" t="str">
        <f t="shared" si="92"/>
        <v>-</v>
      </c>
      <c r="AR207" s="4" t="str">
        <f t="shared" si="93"/>
        <v>-</v>
      </c>
      <c r="AS207" s="4" t="str">
        <f t="shared" si="94"/>
        <v>-</v>
      </c>
      <c r="AT207" s="4" t="str">
        <f t="shared" si="95"/>
        <v>-</v>
      </c>
      <c r="AU207" s="4" t="str">
        <f t="shared" si="96"/>
        <v>-</v>
      </c>
      <c r="AV207" s="4">
        <v>0</v>
      </c>
      <c r="AW207" s="4" t="s">
        <v>744</v>
      </c>
      <c r="AX207" s="4"/>
      <c r="AY207" s="4"/>
      <c r="AZ207" s="4" t="s">
        <v>586</v>
      </c>
      <c r="BA207" s="4">
        <v>1978</v>
      </c>
      <c r="BB207" s="4">
        <v>1978</v>
      </c>
      <c r="BC207" s="4">
        <f t="shared" si="97"/>
        <v>1978</v>
      </c>
      <c r="BD207" s="19">
        <v>2</v>
      </c>
      <c r="BE207" s="19">
        <v>1</v>
      </c>
      <c r="BF207" s="16">
        <v>3</v>
      </c>
      <c r="BG207" s="36">
        <v>46174</v>
      </c>
      <c r="BH207">
        <v>1216</v>
      </c>
      <c r="BI207">
        <v>2142</v>
      </c>
      <c r="BJ207" s="4" t="s">
        <v>547</v>
      </c>
      <c r="BL207" s="44">
        <f t="shared" si="98"/>
        <v>-2.6483320600967586E-2</v>
      </c>
      <c r="BM207" t="s">
        <v>792</v>
      </c>
    </row>
    <row r="208" spans="1:65" x14ac:dyDescent="0.4">
      <c r="A208" s="35">
        <v>193</v>
      </c>
      <c r="B208" s="3">
        <f t="shared" si="100"/>
        <v>205</v>
      </c>
      <c r="C208" s="4" t="s">
        <v>178</v>
      </c>
      <c r="D208" s="4" t="str">
        <f t="shared" si="101"/>
        <v>6105AM</v>
      </c>
      <c r="E208" s="4" t="s">
        <v>178</v>
      </c>
      <c r="F208" s="4" t="s">
        <v>358</v>
      </c>
      <c r="G208" s="5">
        <v>4977564410599</v>
      </c>
      <c r="H208" s="5">
        <v>5</v>
      </c>
      <c r="I208" s="5" t="str">
        <f t="shared" si="77"/>
        <v>6105AM5</v>
      </c>
      <c r="J208" s="5">
        <v>1</v>
      </c>
      <c r="K208" s="5">
        <v>1</v>
      </c>
      <c r="L208" s="4">
        <v>0</v>
      </c>
      <c r="M208" s="4">
        <v>2142</v>
      </c>
      <c r="N208" s="4">
        <v>1100</v>
      </c>
      <c r="O208" s="6">
        <f t="shared" si="78"/>
        <v>0.48646125116713357</v>
      </c>
      <c r="P208" s="4" t="s">
        <v>410</v>
      </c>
      <c r="Q208" s="4" t="s">
        <v>410</v>
      </c>
      <c r="R208" s="4" t="s">
        <v>410</v>
      </c>
      <c r="S208" s="4" t="s">
        <v>410</v>
      </c>
      <c r="T208" s="4" t="s">
        <v>410</v>
      </c>
      <c r="U208" s="4" t="s">
        <v>410</v>
      </c>
      <c r="V208" s="4">
        <v>0</v>
      </c>
      <c r="W208" s="4">
        <f t="shared" si="79"/>
        <v>0</v>
      </c>
      <c r="X208" s="4">
        <v>1200</v>
      </c>
      <c r="Y208" s="4">
        <f t="shared" si="80"/>
        <v>1200</v>
      </c>
      <c r="Z208" s="4"/>
      <c r="AA208" s="21">
        <f t="shared" si="81"/>
        <v>2337</v>
      </c>
      <c r="AB208" s="6">
        <f t="shared" si="82"/>
        <v>0.48652118100128372</v>
      </c>
      <c r="AC208" s="4">
        <v>0.25</v>
      </c>
      <c r="AD208" s="4">
        <f t="shared" si="83"/>
        <v>2210</v>
      </c>
      <c r="AE208" s="4">
        <f t="shared" si="84"/>
        <v>2410.9090909090905</v>
      </c>
      <c r="AF208" s="6">
        <f t="shared" si="85"/>
        <v>0.50226244343891402</v>
      </c>
      <c r="AG208" s="7">
        <v>2280</v>
      </c>
      <c r="AH208" s="6">
        <f t="shared" si="86"/>
        <v>0.47368421052631582</v>
      </c>
      <c r="AI208" s="4">
        <f t="shared" si="87"/>
        <v>1080</v>
      </c>
      <c r="AJ208" s="28"/>
      <c r="AK208" s="6"/>
      <c r="AL208" s="6"/>
      <c r="AM208" s="6" t="e">
        <f t="shared" si="88"/>
        <v>#DIV/0!</v>
      </c>
      <c r="AN208" s="6">
        <f t="shared" si="89"/>
        <v>1.0644257703081232</v>
      </c>
      <c r="AO208" s="6">
        <f t="shared" si="90"/>
        <v>1.0909090909090908</v>
      </c>
      <c r="AP208" s="4" t="str">
        <f t="shared" si="91"/>
        <v>-</v>
      </c>
      <c r="AQ208" s="4" t="str">
        <f t="shared" si="92"/>
        <v>-</v>
      </c>
      <c r="AR208" s="4" t="str">
        <f t="shared" si="93"/>
        <v>-</v>
      </c>
      <c r="AS208" s="4" t="str">
        <f t="shared" si="94"/>
        <v>-</v>
      </c>
      <c r="AT208" s="4" t="str">
        <f t="shared" si="95"/>
        <v>-</v>
      </c>
      <c r="AU208" s="4" t="str">
        <f t="shared" si="96"/>
        <v>-</v>
      </c>
      <c r="AV208" s="4">
        <v>0</v>
      </c>
      <c r="AW208" s="4" t="s">
        <v>745</v>
      </c>
      <c r="AX208" s="4"/>
      <c r="AY208" s="4"/>
      <c r="AZ208" s="4" t="s">
        <v>586</v>
      </c>
      <c r="BA208" s="4">
        <v>2210</v>
      </c>
      <c r="BB208" s="4">
        <v>2210</v>
      </c>
      <c r="BC208" s="4">
        <f t="shared" si="97"/>
        <v>2210</v>
      </c>
      <c r="BD208" s="19">
        <v>2</v>
      </c>
      <c r="BE208" s="19">
        <v>1</v>
      </c>
      <c r="BF208" s="16">
        <v>3</v>
      </c>
      <c r="BG208" s="36">
        <v>46174</v>
      </c>
      <c r="BH208" t="s">
        <v>410</v>
      </c>
      <c r="BI208">
        <v>2142</v>
      </c>
      <c r="BJ208" s="4" t="s">
        <v>548</v>
      </c>
      <c r="BL208" s="44">
        <f t="shared" si="98"/>
        <v>-2.6483320600967586E-2</v>
      </c>
      <c r="BM208" t="s">
        <v>792</v>
      </c>
    </row>
    <row r="209" spans="1:65" x14ac:dyDescent="0.4">
      <c r="A209" s="3">
        <v>194</v>
      </c>
      <c r="B209" s="3">
        <f t="shared" si="100"/>
        <v>206</v>
      </c>
      <c r="C209" s="4" t="s">
        <v>179</v>
      </c>
      <c r="D209" s="4" t="str">
        <f t="shared" si="101"/>
        <v>J131LY</v>
      </c>
      <c r="E209" s="4" t="s">
        <v>179</v>
      </c>
      <c r="F209" s="4" t="s">
        <v>359</v>
      </c>
      <c r="G209" s="5">
        <v>4977564508340</v>
      </c>
      <c r="H209" s="5">
        <v>5</v>
      </c>
      <c r="I209" s="5" t="str">
        <f t="shared" si="77"/>
        <v>J131LY5</v>
      </c>
      <c r="J209" s="5">
        <v>1</v>
      </c>
      <c r="K209" s="5">
        <v>1</v>
      </c>
      <c r="L209" s="4">
        <v>1100</v>
      </c>
      <c r="M209" s="4">
        <v>897</v>
      </c>
      <c r="N209" s="4">
        <v>550</v>
      </c>
      <c r="O209" s="6">
        <f t="shared" si="78"/>
        <v>0.38684503901895206</v>
      </c>
      <c r="P209" s="4" t="s">
        <v>410</v>
      </c>
      <c r="Q209" s="4" t="s">
        <v>410</v>
      </c>
      <c r="R209" s="4" t="s">
        <v>410</v>
      </c>
      <c r="S209" s="4" t="s">
        <v>410</v>
      </c>
      <c r="T209" s="4" t="s">
        <v>410</v>
      </c>
      <c r="U209" s="4" t="s">
        <v>410</v>
      </c>
      <c r="V209" s="4">
        <v>1200</v>
      </c>
      <c r="W209" s="4">
        <f t="shared" si="79"/>
        <v>1200</v>
      </c>
      <c r="X209" s="4">
        <v>600</v>
      </c>
      <c r="Y209" s="4">
        <f t="shared" si="80"/>
        <v>600</v>
      </c>
      <c r="Z209" s="4"/>
      <c r="AA209" s="21">
        <f t="shared" si="81"/>
        <v>979</v>
      </c>
      <c r="AB209" s="6">
        <f t="shared" si="82"/>
        <v>0.38712972420837588</v>
      </c>
      <c r="AC209" s="4">
        <v>0.75</v>
      </c>
      <c r="AD209" s="4">
        <f t="shared" si="83"/>
        <v>5507</v>
      </c>
      <c r="AE209" s="4">
        <f t="shared" si="84"/>
        <v>6007.6363636363631</v>
      </c>
      <c r="AF209" s="6">
        <f t="shared" si="85"/>
        <v>0.90012711094970033</v>
      </c>
      <c r="AG209" s="7">
        <v>980</v>
      </c>
      <c r="AH209" s="6">
        <f t="shared" si="86"/>
        <v>0.38775510204081631</v>
      </c>
      <c r="AI209" s="4">
        <f t="shared" si="87"/>
        <v>380</v>
      </c>
      <c r="AJ209" s="28"/>
      <c r="AK209" s="6"/>
      <c r="AL209" s="6"/>
      <c r="AM209" s="6">
        <f t="shared" si="88"/>
        <v>1.0909090909090908</v>
      </c>
      <c r="AN209" s="6">
        <f t="shared" si="89"/>
        <v>1.0925306577480491</v>
      </c>
      <c r="AO209" s="6">
        <f t="shared" si="90"/>
        <v>1.0909090909090908</v>
      </c>
      <c r="AP209" s="4" t="str">
        <f t="shared" si="91"/>
        <v>-</v>
      </c>
      <c r="AQ209" s="4" t="str">
        <f t="shared" si="92"/>
        <v>-</v>
      </c>
      <c r="AR209" s="4" t="str">
        <f t="shared" si="93"/>
        <v>-</v>
      </c>
      <c r="AS209" s="4" t="str">
        <f t="shared" si="94"/>
        <v>-</v>
      </c>
      <c r="AT209" s="4" t="str">
        <f t="shared" si="95"/>
        <v>-</v>
      </c>
      <c r="AU209" s="4" t="str">
        <f t="shared" si="96"/>
        <v>-</v>
      </c>
      <c r="AV209" s="4">
        <v>0</v>
      </c>
      <c r="AW209" s="4" t="s">
        <v>746</v>
      </c>
      <c r="AX209" s="4"/>
      <c r="AY209" s="4"/>
      <c r="AZ209" s="4" t="s">
        <v>747</v>
      </c>
      <c r="BA209" s="4">
        <v>5507</v>
      </c>
      <c r="BB209" s="4">
        <v>5507</v>
      </c>
      <c r="BC209" s="4">
        <f t="shared" si="97"/>
        <v>5507</v>
      </c>
      <c r="BD209" s="19">
        <v>4</v>
      </c>
      <c r="BE209" s="19">
        <v>8</v>
      </c>
      <c r="BF209" s="16">
        <v>3</v>
      </c>
      <c r="BG209" s="36">
        <v>46174</v>
      </c>
      <c r="BH209" t="s">
        <v>410</v>
      </c>
      <c r="BI209">
        <v>1100</v>
      </c>
      <c r="BJ209" s="4" t="s">
        <v>549</v>
      </c>
      <c r="BL209" s="44">
        <f t="shared" si="98"/>
        <v>1.6215668389583104E-3</v>
      </c>
      <c r="BM209" t="s">
        <v>792</v>
      </c>
    </row>
    <row r="210" spans="1:65" x14ac:dyDescent="0.4">
      <c r="A210" s="3">
        <v>195</v>
      </c>
      <c r="B210" s="3">
        <f t="shared" si="100"/>
        <v>207</v>
      </c>
      <c r="C210" s="4" t="s">
        <v>180</v>
      </c>
      <c r="D210" s="4" t="str">
        <f t="shared" si="101"/>
        <v>J130LY</v>
      </c>
      <c r="E210" s="4" t="s">
        <v>180</v>
      </c>
      <c r="F210" s="4" t="s">
        <v>360</v>
      </c>
      <c r="G210" s="5">
        <v>4977564508333</v>
      </c>
      <c r="H210" s="5">
        <v>5</v>
      </c>
      <c r="I210" s="5" t="str">
        <f t="shared" si="77"/>
        <v>J130LY5</v>
      </c>
      <c r="J210" s="5">
        <v>1</v>
      </c>
      <c r="K210" s="5">
        <v>1</v>
      </c>
      <c r="L210" s="4">
        <v>1200</v>
      </c>
      <c r="M210" s="4">
        <v>979</v>
      </c>
      <c r="N210" s="4">
        <v>600</v>
      </c>
      <c r="O210" s="6">
        <f t="shared" si="78"/>
        <v>0.38712972420837588</v>
      </c>
      <c r="P210" s="4" t="s">
        <v>410</v>
      </c>
      <c r="Q210" s="4" t="s">
        <v>410</v>
      </c>
      <c r="R210" s="4" t="s">
        <v>410</v>
      </c>
      <c r="S210" s="4" t="s">
        <v>410</v>
      </c>
      <c r="T210" s="4" t="s">
        <v>410</v>
      </c>
      <c r="U210" s="4" t="s">
        <v>410</v>
      </c>
      <c r="V210" s="4">
        <v>1300</v>
      </c>
      <c r="W210" s="4">
        <f t="shared" si="79"/>
        <v>1300</v>
      </c>
      <c r="X210" s="4">
        <v>650</v>
      </c>
      <c r="Y210" s="4">
        <f t="shared" si="80"/>
        <v>650</v>
      </c>
      <c r="Z210" s="4"/>
      <c r="AA210" s="21">
        <f t="shared" si="81"/>
        <v>1061</v>
      </c>
      <c r="AB210" s="6">
        <f t="shared" si="82"/>
        <v>0.38737040527803956</v>
      </c>
      <c r="AC210" s="4">
        <v>4.25</v>
      </c>
      <c r="AD210" s="4">
        <f t="shared" si="83"/>
        <v>8020</v>
      </c>
      <c r="AE210" s="4">
        <f t="shared" si="84"/>
        <v>8688.3333333333321</v>
      </c>
      <c r="AF210" s="6">
        <f t="shared" si="85"/>
        <v>0.92518703241895262</v>
      </c>
      <c r="AG210" s="7">
        <v>1080</v>
      </c>
      <c r="AH210" s="6">
        <f t="shared" si="86"/>
        <v>0.39814814814814814</v>
      </c>
      <c r="AI210" s="4">
        <f t="shared" si="87"/>
        <v>430</v>
      </c>
      <c r="AJ210" s="28"/>
      <c r="AK210" s="6"/>
      <c r="AL210" s="6"/>
      <c r="AM210" s="6">
        <f t="shared" si="88"/>
        <v>1.0833333333333333</v>
      </c>
      <c r="AN210" s="6">
        <f t="shared" si="89"/>
        <v>1.1031664964249235</v>
      </c>
      <c r="AO210" s="6">
        <f t="shared" si="90"/>
        <v>1.0833333333333333</v>
      </c>
      <c r="AP210" s="4" t="str">
        <f t="shared" si="91"/>
        <v>-</v>
      </c>
      <c r="AQ210" s="4" t="str">
        <f t="shared" si="92"/>
        <v>-</v>
      </c>
      <c r="AR210" s="4" t="str">
        <f t="shared" si="93"/>
        <v>-</v>
      </c>
      <c r="AS210" s="4" t="str">
        <f t="shared" si="94"/>
        <v>-</v>
      </c>
      <c r="AT210" s="4" t="str">
        <f t="shared" si="95"/>
        <v>-</v>
      </c>
      <c r="AU210" s="4" t="str">
        <f t="shared" si="96"/>
        <v>-</v>
      </c>
      <c r="AV210" s="4">
        <v>0</v>
      </c>
      <c r="AW210" s="4" t="s">
        <v>748</v>
      </c>
      <c r="AX210" s="4"/>
      <c r="AY210" s="4"/>
      <c r="AZ210" s="4" t="s">
        <v>747</v>
      </c>
      <c r="BA210" s="4">
        <v>8020</v>
      </c>
      <c r="BB210" s="4">
        <v>8020</v>
      </c>
      <c r="BC210" s="4">
        <f t="shared" si="97"/>
        <v>8020</v>
      </c>
      <c r="BD210" s="19">
        <v>4</v>
      </c>
      <c r="BE210" s="19">
        <v>8</v>
      </c>
      <c r="BF210" s="16">
        <v>3</v>
      </c>
      <c r="BG210" s="36">
        <v>46174</v>
      </c>
      <c r="BH210">
        <v>936</v>
      </c>
      <c r="BI210">
        <v>1200</v>
      </c>
      <c r="BJ210" s="4" t="s">
        <v>550</v>
      </c>
      <c r="BL210" s="44">
        <f t="shared" si="98"/>
        <v>1.9833163091590222E-2</v>
      </c>
      <c r="BM210" t="s">
        <v>792</v>
      </c>
    </row>
    <row r="211" spans="1:65" x14ac:dyDescent="0.4">
      <c r="A211" s="35">
        <v>196</v>
      </c>
      <c r="B211" s="3">
        <f t="shared" si="100"/>
        <v>208</v>
      </c>
      <c r="C211" s="4" t="s">
        <v>181</v>
      </c>
      <c r="D211" s="4" t="str">
        <f t="shared" si="101"/>
        <v>6107AM</v>
      </c>
      <c r="E211" s="4" t="s">
        <v>181</v>
      </c>
      <c r="F211" s="4" t="s">
        <v>361</v>
      </c>
      <c r="G211" s="5">
        <v>4977564018849</v>
      </c>
      <c r="H211" s="5">
        <v>5</v>
      </c>
      <c r="I211" s="5" t="str">
        <f t="shared" si="77"/>
        <v>6107AM5</v>
      </c>
      <c r="J211" s="5">
        <v>1</v>
      </c>
      <c r="K211" s="5">
        <v>1</v>
      </c>
      <c r="L211" s="4">
        <v>1300</v>
      </c>
      <c r="M211" s="4">
        <v>1300</v>
      </c>
      <c r="N211" s="4">
        <v>650</v>
      </c>
      <c r="O211" s="6">
        <f t="shared" si="78"/>
        <v>0.5</v>
      </c>
      <c r="P211" s="4" t="s">
        <v>410</v>
      </c>
      <c r="Q211" s="4" t="s">
        <v>410</v>
      </c>
      <c r="R211" s="4" t="s">
        <v>410</v>
      </c>
      <c r="S211" s="4" t="s">
        <v>410</v>
      </c>
      <c r="T211" s="4" t="s">
        <v>410</v>
      </c>
      <c r="U211" s="4" t="s">
        <v>410</v>
      </c>
      <c r="V211" s="4">
        <v>1450</v>
      </c>
      <c r="W211" s="4">
        <f t="shared" si="79"/>
        <v>1450</v>
      </c>
      <c r="X211" s="4">
        <v>725</v>
      </c>
      <c r="Y211" s="4">
        <f t="shared" si="80"/>
        <v>725</v>
      </c>
      <c r="Z211" s="4"/>
      <c r="AA211" s="21">
        <f t="shared" si="81"/>
        <v>1450</v>
      </c>
      <c r="AB211" s="6">
        <f t="shared" si="82"/>
        <v>0.5</v>
      </c>
      <c r="AC211" s="4">
        <v>0.25</v>
      </c>
      <c r="AD211" s="4">
        <f t="shared" si="83"/>
        <v>1019</v>
      </c>
      <c r="AE211" s="4">
        <f t="shared" si="84"/>
        <v>1136.5769230769231</v>
      </c>
      <c r="AF211" s="6">
        <f t="shared" si="85"/>
        <v>0.36211972522080471</v>
      </c>
      <c r="AG211" s="7">
        <v>1450</v>
      </c>
      <c r="AH211" s="6">
        <f t="shared" si="86"/>
        <v>0.5</v>
      </c>
      <c r="AI211" s="4">
        <f t="shared" si="87"/>
        <v>725</v>
      </c>
      <c r="AJ211" s="28"/>
      <c r="AK211" s="6"/>
      <c r="AL211" s="6"/>
      <c r="AM211" s="6">
        <f t="shared" si="88"/>
        <v>1.1153846153846154</v>
      </c>
      <c r="AN211" s="6">
        <f t="shared" si="89"/>
        <v>1.1153846153846154</v>
      </c>
      <c r="AO211" s="6">
        <f t="shared" si="90"/>
        <v>1.1153846153846154</v>
      </c>
      <c r="AP211" s="4" t="str">
        <f t="shared" si="91"/>
        <v>-</v>
      </c>
      <c r="AQ211" s="4" t="str">
        <f t="shared" si="92"/>
        <v>-</v>
      </c>
      <c r="AR211" s="4" t="str">
        <f t="shared" si="93"/>
        <v>-</v>
      </c>
      <c r="AS211" s="4" t="str">
        <f t="shared" si="94"/>
        <v>-</v>
      </c>
      <c r="AT211" s="4" t="str">
        <f t="shared" si="95"/>
        <v>-</v>
      </c>
      <c r="AU211" s="4" t="str">
        <f t="shared" si="96"/>
        <v>-</v>
      </c>
      <c r="AV211" s="4">
        <v>0</v>
      </c>
      <c r="AW211" s="4" t="s">
        <v>749</v>
      </c>
      <c r="AX211" s="4"/>
      <c r="AY211" s="4"/>
      <c r="AZ211" s="4" t="s">
        <v>586</v>
      </c>
      <c r="BA211" s="4">
        <v>1019</v>
      </c>
      <c r="BB211" s="4">
        <v>1019</v>
      </c>
      <c r="BC211" s="4">
        <f t="shared" si="97"/>
        <v>1019</v>
      </c>
      <c r="BD211" s="19">
        <v>2</v>
      </c>
      <c r="BE211" s="19">
        <v>1</v>
      </c>
      <c r="BF211" s="16">
        <v>3</v>
      </c>
      <c r="BG211" s="36">
        <v>46174</v>
      </c>
      <c r="BH211" t="s">
        <v>410</v>
      </c>
      <c r="BI211">
        <v>1300</v>
      </c>
      <c r="BJ211" s="4" t="s">
        <v>551</v>
      </c>
      <c r="BL211" s="44">
        <f t="shared" si="98"/>
        <v>0</v>
      </c>
      <c r="BM211" t="s">
        <v>792</v>
      </c>
    </row>
    <row r="212" spans="1:65" x14ac:dyDescent="0.4">
      <c r="A212" s="35">
        <v>197</v>
      </c>
      <c r="B212" s="3">
        <f t="shared" si="100"/>
        <v>209</v>
      </c>
      <c r="C212" s="4" t="s">
        <v>182</v>
      </c>
      <c r="D212" s="4" t="str">
        <f t="shared" si="101"/>
        <v>6108AM</v>
      </c>
      <c r="E212" s="4" t="s">
        <v>182</v>
      </c>
      <c r="F212" s="4" t="s">
        <v>362</v>
      </c>
      <c r="G212" s="5">
        <v>4977564018856</v>
      </c>
      <c r="H212" s="5">
        <v>5</v>
      </c>
      <c r="I212" s="5" t="str">
        <f t="shared" si="77"/>
        <v>6108AM5</v>
      </c>
      <c r="J212" s="5">
        <v>1</v>
      </c>
      <c r="K212" s="5">
        <v>1</v>
      </c>
      <c r="L212" s="4">
        <v>1750</v>
      </c>
      <c r="M212" s="4">
        <v>1750</v>
      </c>
      <c r="N212" s="4">
        <v>875</v>
      </c>
      <c r="O212" s="6">
        <f t="shared" si="78"/>
        <v>0.5</v>
      </c>
      <c r="P212" s="4" t="s">
        <v>410</v>
      </c>
      <c r="Q212" s="4" t="s">
        <v>410</v>
      </c>
      <c r="R212" s="4" t="s">
        <v>410</v>
      </c>
      <c r="S212" s="4" t="s">
        <v>410</v>
      </c>
      <c r="T212" s="4" t="s">
        <v>410</v>
      </c>
      <c r="U212" s="4" t="s">
        <v>410</v>
      </c>
      <c r="V212" s="4">
        <v>2000</v>
      </c>
      <c r="W212" s="4">
        <f t="shared" si="79"/>
        <v>2000</v>
      </c>
      <c r="X212" s="4">
        <v>1000</v>
      </c>
      <c r="Y212" s="4">
        <f t="shared" si="80"/>
        <v>1000</v>
      </c>
      <c r="Z212" s="4"/>
      <c r="AA212" s="21">
        <f t="shared" si="81"/>
        <v>2000</v>
      </c>
      <c r="AB212" s="6">
        <f t="shared" si="82"/>
        <v>0.5</v>
      </c>
      <c r="AC212" s="4">
        <v>9</v>
      </c>
      <c r="AD212" s="4">
        <f t="shared" si="83"/>
        <v>1501</v>
      </c>
      <c r="AE212" s="4">
        <f t="shared" si="84"/>
        <v>1715.4285714285713</v>
      </c>
      <c r="AF212" s="6">
        <f t="shared" si="85"/>
        <v>0.41705529646902062</v>
      </c>
      <c r="AG212" s="7">
        <v>1980</v>
      </c>
      <c r="AH212" s="6">
        <f t="shared" si="86"/>
        <v>0.49494949494949492</v>
      </c>
      <c r="AI212" s="4">
        <f t="shared" si="87"/>
        <v>980</v>
      </c>
      <c r="AJ212" s="28"/>
      <c r="AK212" s="6"/>
      <c r="AL212" s="6"/>
      <c r="AM212" s="6">
        <f t="shared" si="88"/>
        <v>1.1428571428571428</v>
      </c>
      <c r="AN212" s="6">
        <f t="shared" si="89"/>
        <v>1.1314285714285715</v>
      </c>
      <c r="AO212" s="6">
        <f t="shared" si="90"/>
        <v>1.1428571428571428</v>
      </c>
      <c r="AP212" s="4" t="str">
        <f t="shared" si="91"/>
        <v>-</v>
      </c>
      <c r="AQ212" s="4" t="str">
        <f t="shared" si="92"/>
        <v>-</v>
      </c>
      <c r="AR212" s="4" t="str">
        <f t="shared" si="93"/>
        <v>-</v>
      </c>
      <c r="AS212" s="4" t="str">
        <f t="shared" si="94"/>
        <v>-</v>
      </c>
      <c r="AT212" s="4" t="str">
        <f t="shared" si="95"/>
        <v>-</v>
      </c>
      <c r="AU212" s="4" t="str">
        <f t="shared" si="96"/>
        <v>-</v>
      </c>
      <c r="AV212" s="4">
        <v>0</v>
      </c>
      <c r="AW212" s="4" t="s">
        <v>750</v>
      </c>
      <c r="AX212" s="4"/>
      <c r="AY212" s="4"/>
      <c r="AZ212" s="4" t="s">
        <v>586</v>
      </c>
      <c r="BA212" s="4">
        <v>1501</v>
      </c>
      <c r="BB212" s="4">
        <v>1501</v>
      </c>
      <c r="BC212" s="4">
        <f t="shared" si="97"/>
        <v>1501</v>
      </c>
      <c r="BD212" s="19">
        <v>2</v>
      </c>
      <c r="BE212" s="19">
        <v>1</v>
      </c>
      <c r="BF212" s="16">
        <v>3</v>
      </c>
      <c r="BG212" s="36">
        <v>46174</v>
      </c>
      <c r="BH212" t="s">
        <v>410</v>
      </c>
      <c r="BI212">
        <v>1750</v>
      </c>
      <c r="BJ212" s="4" t="s">
        <v>552</v>
      </c>
      <c r="BL212" s="44">
        <f t="shared" si="98"/>
        <v>-1.1428571428571344E-2</v>
      </c>
      <c r="BM212" t="s">
        <v>792</v>
      </c>
    </row>
    <row r="213" spans="1:65" x14ac:dyDescent="0.4">
      <c r="A213" s="35">
        <v>198</v>
      </c>
      <c r="B213" s="3">
        <f t="shared" si="100"/>
        <v>210</v>
      </c>
      <c r="C213" s="4">
        <v>224428</v>
      </c>
      <c r="D213" s="4" t="str">
        <f t="shared" si="101"/>
        <v>224428</v>
      </c>
      <c r="E213" s="4">
        <v>224428</v>
      </c>
      <c r="F213" s="4" t="s">
        <v>363</v>
      </c>
      <c r="G213" s="5">
        <v>4977564018863</v>
      </c>
      <c r="H213" s="5">
        <v>5</v>
      </c>
      <c r="I213" s="5" t="str">
        <f t="shared" si="77"/>
        <v>2244285</v>
      </c>
      <c r="J213" s="5">
        <v>1</v>
      </c>
      <c r="K213" s="5">
        <v>1</v>
      </c>
      <c r="L213" s="4">
        <v>14500</v>
      </c>
      <c r="M213" s="4">
        <v>8070</v>
      </c>
      <c r="N213" s="4">
        <v>6280</v>
      </c>
      <c r="O213" s="6">
        <f t="shared" si="78"/>
        <v>0.22180916976456011</v>
      </c>
      <c r="P213" s="4" t="s">
        <v>410</v>
      </c>
      <c r="Q213" s="4" t="s">
        <v>410</v>
      </c>
      <c r="R213" s="4" t="s">
        <v>410</v>
      </c>
      <c r="S213" s="4" t="s">
        <v>410</v>
      </c>
      <c r="T213" s="4" t="s">
        <v>410</v>
      </c>
      <c r="U213" s="4" t="s">
        <v>410</v>
      </c>
      <c r="V213" s="4">
        <v>1650</v>
      </c>
      <c r="W213" s="4">
        <f t="shared" si="79"/>
        <v>16500</v>
      </c>
      <c r="X213" s="4">
        <v>715</v>
      </c>
      <c r="Y213" s="4">
        <f t="shared" si="80"/>
        <v>7150</v>
      </c>
      <c r="Z213" s="4">
        <v>10</v>
      </c>
      <c r="AA213" s="21">
        <f t="shared" si="81"/>
        <v>9188</v>
      </c>
      <c r="AB213" s="6">
        <f t="shared" si="82"/>
        <v>0.22181105790161082</v>
      </c>
      <c r="AC213" s="4">
        <v>3.25</v>
      </c>
      <c r="AD213" s="4">
        <f t="shared" si="83"/>
        <v>14020</v>
      </c>
      <c r="AE213" s="4">
        <f t="shared" si="84"/>
        <v>15962.261146496814</v>
      </c>
      <c r="AF213" s="6">
        <f t="shared" si="85"/>
        <v>0.55206847360912981</v>
      </c>
      <c r="AG213" s="7">
        <v>10800</v>
      </c>
      <c r="AH213" s="6">
        <f t="shared" si="86"/>
        <v>0.33796296296296291</v>
      </c>
      <c r="AI213" s="4">
        <f t="shared" si="87"/>
        <v>3650</v>
      </c>
      <c r="AJ213" s="28"/>
      <c r="AK213" s="6"/>
      <c r="AL213" s="6"/>
      <c r="AM213" s="6">
        <f t="shared" si="88"/>
        <v>1.1379310344827587</v>
      </c>
      <c r="AN213" s="6">
        <f t="shared" si="89"/>
        <v>1.3382899628252789</v>
      </c>
      <c r="AO213" s="6">
        <f t="shared" si="90"/>
        <v>1.1385350318471337</v>
      </c>
      <c r="AP213" s="4" t="str">
        <f t="shared" si="91"/>
        <v>-</v>
      </c>
      <c r="AQ213" s="4" t="str">
        <f t="shared" si="92"/>
        <v>-</v>
      </c>
      <c r="AR213" s="4" t="str">
        <f t="shared" si="93"/>
        <v>-</v>
      </c>
      <c r="AS213" s="4" t="str">
        <f t="shared" si="94"/>
        <v>-</v>
      </c>
      <c r="AT213" s="4" t="str">
        <f t="shared" si="95"/>
        <v>-</v>
      </c>
      <c r="AU213" s="4" t="str">
        <f t="shared" si="96"/>
        <v>-</v>
      </c>
      <c r="AV213" s="4">
        <v>0</v>
      </c>
      <c r="AW213" s="4" t="s">
        <v>751</v>
      </c>
      <c r="AX213" s="4">
        <v>10</v>
      </c>
      <c r="AY213" s="4">
        <v>1</v>
      </c>
      <c r="AZ213" s="4" t="s">
        <v>586</v>
      </c>
      <c r="BA213" s="4">
        <v>1402</v>
      </c>
      <c r="BB213" s="4">
        <v>1402</v>
      </c>
      <c r="BC213" s="4">
        <f t="shared" si="97"/>
        <v>14020</v>
      </c>
      <c r="BD213" s="19">
        <v>2</v>
      </c>
      <c r="BE213" s="19">
        <v>1</v>
      </c>
      <c r="BF213" s="16">
        <v>3</v>
      </c>
      <c r="BG213" s="36">
        <v>46174</v>
      </c>
      <c r="BH213" t="s">
        <v>410</v>
      </c>
      <c r="BI213">
        <v>1124</v>
      </c>
      <c r="BJ213" s="4" t="s">
        <v>553</v>
      </c>
      <c r="BL213" s="44">
        <f t="shared" si="98"/>
        <v>0.19975493097814523</v>
      </c>
      <c r="BM213" t="s">
        <v>792</v>
      </c>
    </row>
    <row r="214" spans="1:65" x14ac:dyDescent="0.4">
      <c r="A214" s="35">
        <v>199</v>
      </c>
      <c r="B214" s="3">
        <f t="shared" si="100"/>
        <v>211</v>
      </c>
      <c r="C214" s="4" t="s">
        <v>183</v>
      </c>
      <c r="D214" s="4" t="str">
        <f t="shared" si="101"/>
        <v>6089AM</v>
      </c>
      <c r="E214" s="4" t="s">
        <v>183</v>
      </c>
      <c r="F214" s="4" t="s">
        <v>364</v>
      </c>
      <c r="G214" s="5">
        <v>4977564018825</v>
      </c>
      <c r="H214" s="5">
        <v>5</v>
      </c>
      <c r="I214" s="5" t="str">
        <f t="shared" si="77"/>
        <v>6089AM5</v>
      </c>
      <c r="J214" s="5">
        <v>1</v>
      </c>
      <c r="K214" s="5">
        <v>1</v>
      </c>
      <c r="L214" s="4">
        <v>1450</v>
      </c>
      <c r="M214" s="4">
        <v>1450</v>
      </c>
      <c r="N214" s="4">
        <v>725</v>
      </c>
      <c r="O214" s="6">
        <f t="shared" si="78"/>
        <v>0.5</v>
      </c>
      <c r="P214" s="4" t="s">
        <v>410</v>
      </c>
      <c r="Q214" s="4" t="s">
        <v>410</v>
      </c>
      <c r="R214" s="4" t="s">
        <v>410</v>
      </c>
      <c r="S214" s="4" t="s">
        <v>410</v>
      </c>
      <c r="T214" s="4" t="s">
        <v>410</v>
      </c>
      <c r="U214" s="4" t="s">
        <v>410</v>
      </c>
      <c r="V214" s="4">
        <v>1650</v>
      </c>
      <c r="W214" s="4">
        <f t="shared" si="79"/>
        <v>1650</v>
      </c>
      <c r="X214" s="4">
        <v>825</v>
      </c>
      <c r="Y214" s="4">
        <f t="shared" si="80"/>
        <v>825</v>
      </c>
      <c r="Z214" s="4"/>
      <c r="AA214" s="21">
        <f t="shared" si="81"/>
        <v>1650</v>
      </c>
      <c r="AB214" s="6">
        <f t="shared" si="82"/>
        <v>0.5</v>
      </c>
      <c r="AC214" s="4">
        <v>0.25</v>
      </c>
      <c r="AD214" s="4">
        <f t="shared" si="83"/>
        <v>1338</v>
      </c>
      <c r="AE214" s="4">
        <f t="shared" si="84"/>
        <v>1522.5517241379312</v>
      </c>
      <c r="AF214" s="6">
        <f t="shared" si="85"/>
        <v>0.45814648729446938</v>
      </c>
      <c r="AG214" s="7">
        <v>1650</v>
      </c>
      <c r="AH214" s="6">
        <f t="shared" si="86"/>
        <v>0.5</v>
      </c>
      <c r="AI214" s="4">
        <f t="shared" si="87"/>
        <v>825</v>
      </c>
      <c r="AJ214" s="28"/>
      <c r="AK214" s="6"/>
      <c r="AL214" s="6"/>
      <c r="AM214" s="6">
        <f t="shared" si="88"/>
        <v>1.1379310344827587</v>
      </c>
      <c r="AN214" s="6">
        <f t="shared" si="89"/>
        <v>1.1379310344827587</v>
      </c>
      <c r="AO214" s="6">
        <f t="shared" si="90"/>
        <v>1.1379310344827587</v>
      </c>
      <c r="AP214" s="4" t="str">
        <f t="shared" si="91"/>
        <v>-</v>
      </c>
      <c r="AQ214" s="4" t="str">
        <f t="shared" si="92"/>
        <v>-</v>
      </c>
      <c r="AR214" s="4" t="str">
        <f t="shared" si="93"/>
        <v>-</v>
      </c>
      <c r="AS214" s="4" t="str">
        <f t="shared" si="94"/>
        <v>-</v>
      </c>
      <c r="AT214" s="4" t="str">
        <f t="shared" si="95"/>
        <v>-</v>
      </c>
      <c r="AU214" s="4" t="str">
        <f t="shared" si="96"/>
        <v>-</v>
      </c>
      <c r="AV214" s="4">
        <v>0</v>
      </c>
      <c r="AW214" s="4" t="s">
        <v>752</v>
      </c>
      <c r="AX214" s="4"/>
      <c r="AY214" s="4"/>
      <c r="AZ214" s="4" t="s">
        <v>586</v>
      </c>
      <c r="BA214" s="4">
        <v>1338</v>
      </c>
      <c r="BB214" s="4">
        <v>1338</v>
      </c>
      <c r="BC214" s="4">
        <f t="shared" si="97"/>
        <v>1338</v>
      </c>
      <c r="BD214" s="19">
        <v>2</v>
      </c>
      <c r="BE214" s="19">
        <v>1</v>
      </c>
      <c r="BF214" s="16">
        <v>3</v>
      </c>
      <c r="BG214" s="36">
        <v>46174</v>
      </c>
      <c r="BH214" t="s">
        <v>410</v>
      </c>
      <c r="BI214">
        <v>1450</v>
      </c>
      <c r="BJ214" s="4" t="s">
        <v>554</v>
      </c>
      <c r="BL214" s="44">
        <f t="shared" si="98"/>
        <v>0</v>
      </c>
      <c r="BM214" t="s">
        <v>792</v>
      </c>
    </row>
    <row r="215" spans="1:65" x14ac:dyDescent="0.4">
      <c r="A215" s="35">
        <v>200</v>
      </c>
      <c r="B215" s="3">
        <f t="shared" si="100"/>
        <v>212</v>
      </c>
      <c r="C215" s="4" t="s">
        <v>184</v>
      </c>
      <c r="D215" s="4" t="str">
        <f t="shared" si="101"/>
        <v>6106AM</v>
      </c>
      <c r="E215" s="4" t="s">
        <v>184</v>
      </c>
      <c r="F215" s="4" t="s">
        <v>365</v>
      </c>
      <c r="G215" s="5">
        <v>4977564485795</v>
      </c>
      <c r="H215" s="5">
        <v>5</v>
      </c>
      <c r="I215" s="5" t="str">
        <f t="shared" si="77"/>
        <v>6106AM5</v>
      </c>
      <c r="J215" s="5">
        <v>1</v>
      </c>
      <c r="K215" s="5">
        <v>1</v>
      </c>
      <c r="L215" s="4">
        <v>1900</v>
      </c>
      <c r="M215" s="4">
        <v>1900</v>
      </c>
      <c r="N215" s="4">
        <v>950</v>
      </c>
      <c r="O215" s="6">
        <f t="shared" si="78"/>
        <v>0.5</v>
      </c>
      <c r="P215" s="4" t="s">
        <v>410</v>
      </c>
      <c r="Q215" s="4" t="s">
        <v>410</v>
      </c>
      <c r="R215" s="4" t="s">
        <v>410</v>
      </c>
      <c r="S215" s="4" t="s">
        <v>410</v>
      </c>
      <c r="T215" s="4" t="s">
        <v>410</v>
      </c>
      <c r="U215" s="4" t="s">
        <v>410</v>
      </c>
      <c r="V215" s="4">
        <v>2100</v>
      </c>
      <c r="W215" s="4">
        <f t="shared" si="79"/>
        <v>2100</v>
      </c>
      <c r="X215" s="4">
        <v>1050</v>
      </c>
      <c r="Y215" s="4">
        <f t="shared" si="80"/>
        <v>1050</v>
      </c>
      <c r="Z215" s="4"/>
      <c r="AA215" s="21">
        <f t="shared" si="81"/>
        <v>2100</v>
      </c>
      <c r="AB215" s="6">
        <f t="shared" si="82"/>
        <v>0.5</v>
      </c>
      <c r="AC215" s="4">
        <v>0.25</v>
      </c>
      <c r="AD215" s="4">
        <f t="shared" si="83"/>
        <v>1421</v>
      </c>
      <c r="AE215" s="4">
        <f t="shared" si="84"/>
        <v>1570.5789473684213</v>
      </c>
      <c r="AF215" s="6">
        <f t="shared" si="85"/>
        <v>0.33145672061928233</v>
      </c>
      <c r="AG215" s="7">
        <v>1980</v>
      </c>
      <c r="AH215" s="6">
        <f t="shared" si="86"/>
        <v>0.46969696969696972</v>
      </c>
      <c r="AI215" s="4">
        <f t="shared" si="87"/>
        <v>930</v>
      </c>
      <c r="AJ215" s="28"/>
      <c r="AK215" s="6"/>
      <c r="AL215" s="6"/>
      <c r="AM215" s="6">
        <f t="shared" si="88"/>
        <v>1.1052631578947369</v>
      </c>
      <c r="AN215" s="6">
        <f t="shared" si="89"/>
        <v>1.0421052631578946</v>
      </c>
      <c r="AO215" s="6">
        <f t="shared" si="90"/>
        <v>1.1052631578947369</v>
      </c>
      <c r="AP215" s="4" t="str">
        <f t="shared" si="91"/>
        <v>-</v>
      </c>
      <c r="AQ215" s="4" t="str">
        <f t="shared" si="92"/>
        <v>-</v>
      </c>
      <c r="AR215" s="4" t="str">
        <f t="shared" si="93"/>
        <v>-</v>
      </c>
      <c r="AS215" s="4" t="str">
        <f t="shared" si="94"/>
        <v>-</v>
      </c>
      <c r="AT215" s="4" t="str">
        <f t="shared" si="95"/>
        <v>-</v>
      </c>
      <c r="AU215" s="4" t="str">
        <f t="shared" si="96"/>
        <v>-</v>
      </c>
      <c r="AV215" s="4">
        <v>0</v>
      </c>
      <c r="AW215" s="4" t="s">
        <v>753</v>
      </c>
      <c r="AX215" s="4">
        <v>1</v>
      </c>
      <c r="AY215" s="4">
        <v>2</v>
      </c>
      <c r="AZ215" s="4" t="s">
        <v>754</v>
      </c>
      <c r="BA215" s="4">
        <v>2842</v>
      </c>
      <c r="BB215" s="4">
        <v>2842</v>
      </c>
      <c r="BC215" s="4">
        <f t="shared" si="97"/>
        <v>1421</v>
      </c>
      <c r="BD215" s="19">
        <v>2</v>
      </c>
      <c r="BE215" s="19">
        <v>1</v>
      </c>
      <c r="BF215" s="16">
        <v>3</v>
      </c>
      <c r="BG215" s="36">
        <v>46174</v>
      </c>
      <c r="BH215" t="s">
        <v>410</v>
      </c>
      <c r="BI215" t="s">
        <v>410</v>
      </c>
      <c r="BJ215" s="4" t="s">
        <v>555</v>
      </c>
      <c r="BL215" s="44">
        <f t="shared" si="98"/>
        <v>-6.3157894736842302E-2</v>
      </c>
      <c r="BM215" t="s">
        <v>792</v>
      </c>
    </row>
    <row r="216" spans="1:65" x14ac:dyDescent="0.4">
      <c r="A216" s="3">
        <v>203</v>
      </c>
      <c r="B216" s="3">
        <f t="shared" si="100"/>
        <v>213</v>
      </c>
      <c r="C216" s="4">
        <v>430585</v>
      </c>
      <c r="D216" s="4" t="str">
        <f t="shared" si="101"/>
        <v>430585</v>
      </c>
      <c r="E216" s="4">
        <v>430585</v>
      </c>
      <c r="F216" s="4" t="s">
        <v>366</v>
      </c>
      <c r="G216" s="5">
        <v>4977564144715</v>
      </c>
      <c r="H216" s="5">
        <v>5</v>
      </c>
      <c r="I216" s="5" t="str">
        <f t="shared" si="77"/>
        <v>4305855</v>
      </c>
      <c r="J216" s="5">
        <v>1</v>
      </c>
      <c r="K216" s="5">
        <v>1</v>
      </c>
      <c r="L216" s="4">
        <v>2420</v>
      </c>
      <c r="M216" s="4">
        <v>2017</v>
      </c>
      <c r="N216" s="4">
        <v>1210</v>
      </c>
      <c r="O216" s="6">
        <f t="shared" si="78"/>
        <v>0.40009915716410516</v>
      </c>
      <c r="P216" s="4" t="s">
        <v>410</v>
      </c>
      <c r="Q216" s="4" t="s">
        <v>410</v>
      </c>
      <c r="R216" s="4" t="s">
        <v>410</v>
      </c>
      <c r="S216" s="4" t="s">
        <v>410</v>
      </c>
      <c r="T216" s="4" t="s">
        <v>410</v>
      </c>
      <c r="U216" s="4" t="s">
        <v>410</v>
      </c>
      <c r="V216" s="4">
        <v>2800</v>
      </c>
      <c r="W216" s="4">
        <f t="shared" si="79"/>
        <v>2800</v>
      </c>
      <c r="X216" s="4">
        <v>1400</v>
      </c>
      <c r="Y216" s="4">
        <f t="shared" si="80"/>
        <v>1400</v>
      </c>
      <c r="Z216" s="4"/>
      <c r="AA216" s="21">
        <f t="shared" si="81"/>
        <v>2334</v>
      </c>
      <c r="AB216" s="6">
        <f t="shared" si="82"/>
        <v>0.40017137960582694</v>
      </c>
      <c r="AC216" s="4">
        <v>0</v>
      </c>
      <c r="AD216" s="4">
        <f t="shared" si="83"/>
        <v>2093</v>
      </c>
      <c r="AE216" s="4">
        <f t="shared" si="84"/>
        <v>2421.6528925619832</v>
      </c>
      <c r="AF216" s="6">
        <f t="shared" si="85"/>
        <v>0.42188246536072616</v>
      </c>
      <c r="AG216" s="7">
        <v>2280</v>
      </c>
      <c r="AH216" s="6">
        <f t="shared" si="86"/>
        <v>0.38596491228070173</v>
      </c>
      <c r="AI216" s="4">
        <f t="shared" si="87"/>
        <v>880</v>
      </c>
      <c r="AJ216" s="28"/>
      <c r="AK216" s="6"/>
      <c r="AL216" s="6"/>
      <c r="AM216" s="6">
        <f t="shared" si="88"/>
        <v>1.1570247933884297</v>
      </c>
      <c r="AN216" s="6">
        <f t="shared" si="89"/>
        <v>1.1303916707982151</v>
      </c>
      <c r="AO216" s="6">
        <f t="shared" si="90"/>
        <v>1.1570247933884297</v>
      </c>
      <c r="AP216" s="4" t="str">
        <f t="shared" si="91"/>
        <v>-</v>
      </c>
      <c r="AQ216" s="4" t="str">
        <f t="shared" si="92"/>
        <v>-</v>
      </c>
      <c r="AR216" s="4" t="str">
        <f t="shared" si="93"/>
        <v>-</v>
      </c>
      <c r="AS216" s="4" t="str">
        <f t="shared" si="94"/>
        <v>-</v>
      </c>
      <c r="AT216" s="4" t="str">
        <f t="shared" si="95"/>
        <v>-</v>
      </c>
      <c r="AU216" s="4" t="str">
        <f t="shared" si="96"/>
        <v>-</v>
      </c>
      <c r="AV216" s="4">
        <v>0</v>
      </c>
      <c r="AW216" s="4" t="s">
        <v>755</v>
      </c>
      <c r="AX216" s="4"/>
      <c r="AY216" s="4"/>
      <c r="AZ216" s="4" t="s">
        <v>616</v>
      </c>
      <c r="BA216" s="4">
        <v>2093</v>
      </c>
      <c r="BB216" s="4">
        <v>2093</v>
      </c>
      <c r="BC216" s="4">
        <f t="shared" si="97"/>
        <v>2093</v>
      </c>
      <c r="BD216" s="19">
        <v>8</v>
      </c>
      <c r="BE216" s="19">
        <v>8</v>
      </c>
      <c r="BF216" s="16">
        <v>11</v>
      </c>
      <c r="BG216" s="36">
        <v>46174</v>
      </c>
      <c r="BH216" t="s">
        <v>410</v>
      </c>
      <c r="BI216">
        <v>2268</v>
      </c>
      <c r="BJ216" s="4" t="s">
        <v>556</v>
      </c>
      <c r="BL216" s="44">
        <f t="shared" si="98"/>
        <v>-2.6633122590214553E-2</v>
      </c>
      <c r="BM216" t="s">
        <v>792</v>
      </c>
    </row>
    <row r="217" spans="1:65" x14ac:dyDescent="0.4">
      <c r="A217" s="3">
        <v>204</v>
      </c>
      <c r="B217" s="3">
        <f t="shared" si="100"/>
        <v>214</v>
      </c>
      <c r="C217" s="4" t="s">
        <v>185</v>
      </c>
      <c r="D217" s="4" t="str">
        <f t="shared" si="101"/>
        <v>J675LN</v>
      </c>
      <c r="E217" s="4" t="s">
        <v>185</v>
      </c>
      <c r="F217" s="4" t="s">
        <v>367</v>
      </c>
      <c r="G217" s="5">
        <v>4977564114152</v>
      </c>
      <c r="H217" s="5">
        <v>5</v>
      </c>
      <c r="I217" s="5" t="str">
        <f t="shared" si="77"/>
        <v>J675LN5</v>
      </c>
      <c r="J217" s="5">
        <v>1</v>
      </c>
      <c r="K217" s="5">
        <v>1</v>
      </c>
      <c r="L217" s="4">
        <v>1900</v>
      </c>
      <c r="M217" s="4">
        <v>1473</v>
      </c>
      <c r="N217" s="4">
        <v>950</v>
      </c>
      <c r="O217" s="6">
        <f t="shared" si="78"/>
        <v>0.35505770536320436</v>
      </c>
      <c r="P217" s="4" t="s">
        <v>410</v>
      </c>
      <c r="Q217" s="4" t="s">
        <v>410</v>
      </c>
      <c r="R217" s="4" t="s">
        <v>410</v>
      </c>
      <c r="S217" s="4" t="s">
        <v>410</v>
      </c>
      <c r="T217" s="4" t="s">
        <v>410</v>
      </c>
      <c r="U217" s="4" t="s">
        <v>410</v>
      </c>
      <c r="V217" s="4">
        <v>2000</v>
      </c>
      <c r="W217" s="4">
        <f t="shared" si="79"/>
        <v>2000</v>
      </c>
      <c r="X217" s="4">
        <v>1000</v>
      </c>
      <c r="Y217" s="4">
        <f t="shared" si="80"/>
        <v>1000</v>
      </c>
      <c r="Z217" s="4"/>
      <c r="AA217" s="21">
        <f t="shared" si="81"/>
        <v>1551</v>
      </c>
      <c r="AB217" s="6">
        <f t="shared" si="82"/>
        <v>0.35525467440361058</v>
      </c>
      <c r="AC217" s="4">
        <v>0</v>
      </c>
      <c r="AD217" s="4">
        <f t="shared" si="83"/>
        <v>1771</v>
      </c>
      <c r="AE217" s="4">
        <f t="shared" si="84"/>
        <v>1864.2105263157894</v>
      </c>
      <c r="AF217" s="6">
        <f t="shared" si="85"/>
        <v>0.46357989836250701</v>
      </c>
      <c r="AG217" s="7">
        <v>1580</v>
      </c>
      <c r="AH217" s="6">
        <f t="shared" si="86"/>
        <v>0.36708860759493667</v>
      </c>
      <c r="AI217" s="4">
        <f t="shared" si="87"/>
        <v>580</v>
      </c>
      <c r="AJ217" s="28"/>
      <c r="AK217" s="6"/>
      <c r="AL217" s="6"/>
      <c r="AM217" s="6">
        <f t="shared" si="88"/>
        <v>1.0526315789473684</v>
      </c>
      <c r="AN217" s="6">
        <f t="shared" si="89"/>
        <v>1.0726408689748812</v>
      </c>
      <c r="AO217" s="6">
        <f t="shared" si="90"/>
        <v>1.0526315789473684</v>
      </c>
      <c r="AP217" s="4" t="str">
        <f t="shared" si="91"/>
        <v>-</v>
      </c>
      <c r="AQ217" s="4" t="str">
        <f t="shared" si="92"/>
        <v>-</v>
      </c>
      <c r="AR217" s="4" t="str">
        <f t="shared" si="93"/>
        <v>-</v>
      </c>
      <c r="AS217" s="4" t="str">
        <f t="shared" si="94"/>
        <v>-</v>
      </c>
      <c r="AT217" s="4" t="str">
        <f t="shared" si="95"/>
        <v>-</v>
      </c>
      <c r="AU217" s="4" t="str">
        <f t="shared" si="96"/>
        <v>-</v>
      </c>
      <c r="AV217" s="4">
        <v>0</v>
      </c>
      <c r="AW217" s="4" t="s">
        <v>756</v>
      </c>
      <c r="AX217" s="4"/>
      <c r="AY217" s="4"/>
      <c r="AZ217" s="4" t="s">
        <v>757</v>
      </c>
      <c r="BA217" s="4">
        <v>1771</v>
      </c>
      <c r="BB217" s="4">
        <v>1771</v>
      </c>
      <c r="BC217" s="4">
        <f t="shared" si="97"/>
        <v>1771</v>
      </c>
      <c r="BD217" s="19">
        <v>4</v>
      </c>
      <c r="BE217" s="19">
        <v>8</v>
      </c>
      <c r="BF217" s="16">
        <v>5</v>
      </c>
      <c r="BG217" s="36">
        <v>46174</v>
      </c>
      <c r="BH217" t="s">
        <v>410</v>
      </c>
      <c r="BI217">
        <v>1644</v>
      </c>
      <c r="BJ217" s="4" t="s">
        <v>557</v>
      </c>
      <c r="BL217" s="44">
        <f t="shared" si="98"/>
        <v>2.0009290027512838E-2</v>
      </c>
      <c r="BM217" t="s">
        <v>792</v>
      </c>
    </row>
    <row r="218" spans="1:65" x14ac:dyDescent="0.4">
      <c r="A218" s="3">
        <v>205</v>
      </c>
      <c r="B218" s="3">
        <f t="shared" si="100"/>
        <v>215</v>
      </c>
      <c r="C218" s="4" t="s">
        <v>186</v>
      </c>
      <c r="D218" s="4" t="str">
        <f t="shared" si="101"/>
        <v>J676LN</v>
      </c>
      <c r="E218" s="4" t="s">
        <v>186</v>
      </c>
      <c r="F218" s="4" t="s">
        <v>368</v>
      </c>
      <c r="G218" s="5">
        <v>4977564114169</v>
      </c>
      <c r="H218" s="5">
        <v>5</v>
      </c>
      <c r="I218" s="5" t="str">
        <f t="shared" si="77"/>
        <v>J676LN5</v>
      </c>
      <c r="J218" s="5">
        <v>1</v>
      </c>
      <c r="K218" s="5">
        <v>1</v>
      </c>
      <c r="L218" s="4">
        <v>1900</v>
      </c>
      <c r="M218" s="4">
        <v>1202</v>
      </c>
      <c r="N218" s="4">
        <v>950</v>
      </c>
      <c r="O218" s="6">
        <f t="shared" si="78"/>
        <v>0.20965058236272882</v>
      </c>
      <c r="P218" s="4" t="s">
        <v>410</v>
      </c>
      <c r="Q218" s="4" t="s">
        <v>410</v>
      </c>
      <c r="R218" s="4" t="s">
        <v>410</v>
      </c>
      <c r="S218" s="4" t="s">
        <v>410</v>
      </c>
      <c r="T218" s="4" t="s">
        <v>410</v>
      </c>
      <c r="U218" s="4" t="s">
        <v>410</v>
      </c>
      <c r="V218" s="4">
        <v>2000</v>
      </c>
      <c r="W218" s="4">
        <f t="shared" si="79"/>
        <v>2000</v>
      </c>
      <c r="X218" s="4">
        <v>1000</v>
      </c>
      <c r="Y218" s="4">
        <f t="shared" si="80"/>
        <v>1000</v>
      </c>
      <c r="Z218" s="4"/>
      <c r="AA218" s="21">
        <f t="shared" si="81"/>
        <v>1265</v>
      </c>
      <c r="AB218" s="6">
        <f t="shared" si="82"/>
        <v>0.20948616600790515</v>
      </c>
      <c r="AC218" s="4">
        <v>0.25</v>
      </c>
      <c r="AD218" s="4" t="str">
        <f t="shared" si="83"/>
        <v>-</v>
      </c>
      <c r="AE218" s="4" t="e">
        <f t="shared" si="84"/>
        <v>#VALUE!</v>
      </c>
      <c r="AF218" s="6" t="e">
        <f t="shared" si="85"/>
        <v>#VALUE!</v>
      </c>
      <c r="AG218" s="7">
        <v>1580</v>
      </c>
      <c r="AH218" s="6">
        <f t="shared" si="86"/>
        <v>0.36708860759493667</v>
      </c>
      <c r="AI218" s="4">
        <f t="shared" si="87"/>
        <v>580</v>
      </c>
      <c r="AJ218" s="28"/>
      <c r="AK218" s="6"/>
      <c r="AL218" s="6"/>
      <c r="AM218" s="6">
        <f t="shared" si="88"/>
        <v>1.0526315789473684</v>
      </c>
      <c r="AN218" s="6">
        <f t="shared" si="89"/>
        <v>1.3144758735440931</v>
      </c>
      <c r="AO218" s="6">
        <f t="shared" si="90"/>
        <v>1.0526315789473684</v>
      </c>
      <c r="AP218" s="4" t="str">
        <f t="shared" si="91"/>
        <v>-</v>
      </c>
      <c r="AQ218" s="4" t="str">
        <f t="shared" si="92"/>
        <v>-</v>
      </c>
      <c r="AR218" s="4" t="str">
        <f t="shared" si="93"/>
        <v>-</v>
      </c>
      <c r="AS218" s="4" t="str">
        <f t="shared" si="94"/>
        <v>-</v>
      </c>
      <c r="AT218" s="4" t="str">
        <f t="shared" si="95"/>
        <v>-</v>
      </c>
      <c r="AU218" s="4" t="str">
        <f t="shared" si="96"/>
        <v>-</v>
      </c>
      <c r="AV218" s="4">
        <v>0</v>
      </c>
      <c r="AW218" s="4" t="s">
        <v>410</v>
      </c>
      <c r="AX218" s="4"/>
      <c r="AY218" s="4"/>
      <c r="AZ218" s="4" t="s">
        <v>410</v>
      </c>
      <c r="BA218" s="4" t="s">
        <v>410</v>
      </c>
      <c r="BB218" s="4" t="s">
        <v>410</v>
      </c>
      <c r="BC218" s="4" t="str">
        <f t="shared" si="97"/>
        <v>-</v>
      </c>
      <c r="BD218" s="19">
        <v>4</v>
      </c>
      <c r="BE218" s="19">
        <v>8</v>
      </c>
      <c r="BF218" s="16">
        <v>5</v>
      </c>
      <c r="BG218" s="36">
        <v>46174</v>
      </c>
      <c r="BH218" t="s">
        <v>410</v>
      </c>
      <c r="BI218">
        <v>1644</v>
      </c>
      <c r="BJ218" s="4" t="s">
        <v>410</v>
      </c>
      <c r="BL218" s="44">
        <f t="shared" si="98"/>
        <v>0.26184429459672476</v>
      </c>
      <c r="BM218" t="s">
        <v>792</v>
      </c>
    </row>
    <row r="219" spans="1:65" x14ac:dyDescent="0.4">
      <c r="A219" s="3">
        <v>206</v>
      </c>
      <c r="B219" s="3">
        <f t="shared" si="100"/>
        <v>216</v>
      </c>
      <c r="C219" s="4">
        <v>197804</v>
      </c>
      <c r="D219" s="4" t="str">
        <f t="shared" si="101"/>
        <v>197804</v>
      </c>
      <c r="E219" s="4">
        <v>197804</v>
      </c>
      <c r="F219" s="4" t="s">
        <v>369</v>
      </c>
      <c r="G219" s="5">
        <v>4977564505905</v>
      </c>
      <c r="H219" s="5">
        <v>5</v>
      </c>
      <c r="I219" s="5" t="str">
        <f t="shared" si="77"/>
        <v>1978045</v>
      </c>
      <c r="J219" s="5">
        <v>1</v>
      </c>
      <c r="K219" s="5">
        <v>1</v>
      </c>
      <c r="L219" s="4">
        <v>1200</v>
      </c>
      <c r="M219" s="4">
        <v>1112</v>
      </c>
      <c r="N219" s="4">
        <v>840</v>
      </c>
      <c r="O219" s="6">
        <f t="shared" si="78"/>
        <v>0.24460431654676262</v>
      </c>
      <c r="P219" s="4" t="s">
        <v>410</v>
      </c>
      <c r="Q219" s="4" t="s">
        <v>410</v>
      </c>
      <c r="R219" s="4" t="s">
        <v>410</v>
      </c>
      <c r="S219" s="4" t="s">
        <v>410</v>
      </c>
      <c r="T219" s="4" t="s">
        <v>410</v>
      </c>
      <c r="U219" s="4" t="s">
        <v>410</v>
      </c>
      <c r="V219" s="4">
        <v>1500</v>
      </c>
      <c r="W219" s="4">
        <f t="shared" si="79"/>
        <v>1500</v>
      </c>
      <c r="X219" s="4">
        <v>1050</v>
      </c>
      <c r="Y219" s="4">
        <f t="shared" si="80"/>
        <v>1050</v>
      </c>
      <c r="Z219" s="4"/>
      <c r="AA219" s="21">
        <f t="shared" si="81"/>
        <v>1390</v>
      </c>
      <c r="AB219" s="6">
        <f t="shared" si="82"/>
        <v>0.24460431654676262</v>
      </c>
      <c r="AC219" s="4">
        <v>9</v>
      </c>
      <c r="AD219" s="4" t="str">
        <f t="shared" si="83"/>
        <v>-</v>
      </c>
      <c r="AE219" s="4" t="e">
        <f t="shared" si="84"/>
        <v>#VALUE!</v>
      </c>
      <c r="AF219" s="6" t="e">
        <f t="shared" si="85"/>
        <v>#VALUE!</v>
      </c>
      <c r="AG219" s="7">
        <v>1480</v>
      </c>
      <c r="AH219" s="6">
        <f t="shared" si="86"/>
        <v>0.29054054054054057</v>
      </c>
      <c r="AI219" s="4">
        <f t="shared" si="87"/>
        <v>430</v>
      </c>
      <c r="AJ219" s="28"/>
      <c r="AK219" s="6"/>
      <c r="AL219" s="6"/>
      <c r="AM219" s="6">
        <f t="shared" si="88"/>
        <v>1.25</v>
      </c>
      <c r="AN219" s="6">
        <f t="shared" si="89"/>
        <v>1.3309352517985611</v>
      </c>
      <c r="AO219" s="6">
        <f t="shared" si="90"/>
        <v>1.25</v>
      </c>
      <c r="AP219" s="4" t="str">
        <f t="shared" si="91"/>
        <v>-</v>
      </c>
      <c r="AQ219" s="4" t="str">
        <f t="shared" si="92"/>
        <v>-</v>
      </c>
      <c r="AR219" s="4" t="str">
        <f t="shared" si="93"/>
        <v>-</v>
      </c>
      <c r="AS219" s="4" t="str">
        <f t="shared" si="94"/>
        <v>-</v>
      </c>
      <c r="AT219" s="4" t="str">
        <f t="shared" si="95"/>
        <v>-</v>
      </c>
      <c r="AU219" s="4" t="str">
        <f t="shared" si="96"/>
        <v>-</v>
      </c>
      <c r="AV219" s="4">
        <v>0</v>
      </c>
      <c r="AW219" s="4" t="s">
        <v>410</v>
      </c>
      <c r="AX219" s="4"/>
      <c r="AY219" s="4"/>
      <c r="AZ219" s="4" t="s">
        <v>410</v>
      </c>
      <c r="BA219" s="4" t="s">
        <v>410</v>
      </c>
      <c r="BB219" s="4" t="s">
        <v>410</v>
      </c>
      <c r="BC219" s="4" t="str">
        <f t="shared" si="97"/>
        <v>-</v>
      </c>
      <c r="BD219" s="19">
        <v>4</v>
      </c>
      <c r="BE219" s="19">
        <v>1</v>
      </c>
      <c r="BF219" s="16">
        <v>19</v>
      </c>
      <c r="BG219" s="36">
        <v>46174</v>
      </c>
      <c r="BH219">
        <v>1200</v>
      </c>
      <c r="BI219" t="s">
        <v>410</v>
      </c>
      <c r="BJ219" s="4" t="s">
        <v>410</v>
      </c>
      <c r="BL219" s="44">
        <f t="shared" si="98"/>
        <v>8.0935251798561092E-2</v>
      </c>
      <c r="BM219" t="s">
        <v>792</v>
      </c>
    </row>
  </sheetData>
  <sortState xmlns:xlrd2="http://schemas.microsoft.com/office/spreadsheetml/2017/richdata2" ref="A4:BK219">
    <sortCondition ref="B4:B219"/>
  </sortState>
  <mergeCells count="3">
    <mergeCell ref="L2:O2"/>
    <mergeCell ref="J2:K2"/>
    <mergeCell ref="V1:Y1"/>
  </mergeCells>
  <phoneticPr fontId="2"/>
  <conditionalFormatting sqref="AD4:AD219">
    <cfRule type="cellIs" dxfId="3" priority="4" operator="lessThan">
      <formula>$AA4</formula>
    </cfRule>
  </conditionalFormatting>
  <conditionalFormatting sqref="AE4:AE219">
    <cfRule type="cellIs" dxfId="2" priority="1" operator="lessThan">
      <formula>$AG4</formula>
    </cfRule>
  </conditionalFormatting>
  <conditionalFormatting sqref="AG4:AG219">
    <cfRule type="cellIs" dxfId="1" priority="3" operator="greaterThan">
      <formula>$W4</formula>
    </cfRule>
  </conditionalFormatting>
  <conditionalFormatting sqref="BB4:BB219">
    <cfRule type="cellIs" dxfId="0" priority="2" operator="notEqual">
      <formula>$BA4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2026-05-15T07:46:34Z</dcterms:modified>
</cp:coreProperties>
</file>