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ｴ_エムズボンド_709\価格改定\20260529_5月末\"/>
    </mc:Choice>
  </mc:AlternateContent>
  <xr:revisionPtr revIDLastSave="0" documentId="13_ncr:1_{E74A62ED-0C30-4852-98AD-5E792445F450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>Sheet1!$A$3:$BN$3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S4" i="1" l="1"/>
  <c r="AU4" i="1"/>
  <c r="AT4" i="1"/>
  <c r="BH5" i="1" l="1"/>
  <c r="AG5" i="1" s="1"/>
  <c r="BH6" i="1"/>
  <c r="AG6" i="1" s="1"/>
  <c r="BH4" i="1"/>
  <c r="AG4" i="1" s="1"/>
  <c r="AB5" i="1"/>
  <c r="AR5" i="1" s="1"/>
  <c r="AD5" i="1" s="1"/>
  <c r="AE5" i="1" s="1"/>
  <c r="AB6" i="1"/>
  <c r="Z5" i="1"/>
  <c r="AP5" i="1" s="1"/>
  <c r="Z6" i="1"/>
  <c r="AP6" i="1" s="1"/>
  <c r="D5" i="1"/>
  <c r="D6" i="1"/>
  <c r="D4" i="1"/>
  <c r="AB4" i="1"/>
  <c r="Z4" i="1"/>
  <c r="AP4" i="1" s="1"/>
  <c r="AQ4" i="1"/>
  <c r="AQ6" i="1"/>
  <c r="O6" i="1"/>
  <c r="AQ5" i="1"/>
  <c r="O5" i="1"/>
  <c r="O4" i="1"/>
  <c r="AK5" i="1" l="1"/>
  <c r="AK4" i="1"/>
  <c r="AR6" i="1"/>
  <c r="AD6" i="1" s="1"/>
  <c r="AE6" i="1" s="1"/>
  <c r="AH5" i="1"/>
  <c r="AI5" i="1" s="1"/>
  <c r="AL6" i="1"/>
  <c r="AL5" i="1"/>
  <c r="AK6" i="1"/>
  <c r="AN4" i="1"/>
  <c r="AO4" i="1"/>
  <c r="AL4" i="1"/>
  <c r="AR4" i="1"/>
  <c r="AD4" i="1" s="1"/>
  <c r="AE4" i="1" s="1"/>
  <c r="AH6" i="1" l="1"/>
  <c r="AI6" i="1" s="1"/>
  <c r="AH4" i="1"/>
  <c r="AI4" i="1" s="1"/>
</calcChain>
</file>

<file path=xl/sharedStrings.xml><?xml version="1.0" encoding="utf-8"?>
<sst xmlns="http://schemas.openxmlformats.org/spreadsheetml/2006/main" count="93" uniqueCount="73">
  <si>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</si>
  <si>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</si>
  <si>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</si>
  <si>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</si>
  <si>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</si>
  <si>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</si>
  <si>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</si>
  <si>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</si>
  <si>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</si>
  <si>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</si>
  <si>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</si>
  <si>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</si>
  <si>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</si>
  <si>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</si>
  <si>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</si>
  <si>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</si>
  <si>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</si>
  <si>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</si>
  <si>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</si>
  <si>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</si>
  <si>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</si>
  <si>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</si>
  <si>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</si>
  <si>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</si>
  <si>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</si>
  <si>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</si>
  <si>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</si>
  <si>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</si>
  <si>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</si>
  <si>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</si>
  <si>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</si>
  <si>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</si>
  <si>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</si>
  <si>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</si>
  <si>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</si>
  <si>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</si>
  <si>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</si>
  <si>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</si>
  <si>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</si>
  <si>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</si>
  <si>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</si>
  <si>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</si>
  <si>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</si>
  <si>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</si>
  <si>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</si>
  <si>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</si>
  <si>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</si>
  <si>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</si>
  <si>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</si>
  <si>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</si>
  <si>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</si>
  <si>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</si>
  <si>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</si>
  <si>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たのめーる</t>
    <phoneticPr fontId="2"/>
  </si>
  <si>
    <t>カウネット</t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</si>
  <si>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</si>
  <si>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</si>
  <si>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</si>
  <si>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</si>
  <si>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</si>
  <si>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</si>
  <si>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</si>
  <si>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</si>
  <si>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</si>
  <si>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5月売価</t>
    <rPh sb="1" eb="2">
      <t>ガツ</t>
    </rPh>
    <rPh sb="2" eb="4">
      <t>バイカ</t>
    </rPh>
    <phoneticPr fontId="2"/>
  </si>
  <si>
    <t>新No.</t>
    <rPh sb="0" eb="1">
      <t>シン</t>
    </rPh>
    <phoneticPr fontId="2"/>
  </si>
  <si>
    <t>33/577</t>
  </si>
  <si>
    <t>ｻﾄｰｺﾞｰｾｰ/ﾀｸﾞｶﾞﾝMS/2200MS</t>
  </si>
  <si>
    <t>ｻﾄｰｺﾞｰｾｰ/ﾀｸﾞﾋﾟﾝ15mm/MS15hd</t>
  </si>
  <si>
    <t>ｻﾄｰｺﾞｰｾｰ/ﾀｸﾞﾋﾟﾝ35mm/MS35hd</t>
  </si>
  <si>
    <t>-</t>
    <phoneticPr fontId="2"/>
  </si>
  <si>
    <t>サトーゴーセー　タグメイト　2200MS　本体</t>
  </si>
  <si>
    <t>サトーゴーセー　タグメイト　2200MS専用タグピン　15mm　1箱（10000本入）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</si>
</sst>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19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N6"/>
  <sheetViews>
    <sheetView tabSelected="1" zoomScale="90" zoomScaleNormal="90" workbookViewId="0">
      <pane xSplit="7" ySplit="5" topLeftCell="AA6" activePane="bottomRight" state="frozen"/>
      <selection pane="topRight" activeCell="G1" sqref="G1"/>
      <selection pane="bottomLeft" activeCell="A5" sqref="A5"/>
      <selection pane="bottomRight" activeCell="F1" sqref="F1"/>
    </sheetView>
  </sheetViews>
  <sheetFormatPr defaultRowHeight="18.75" outlineLevelCol="1" x14ac:dyDescent="0.4"/>
  <cols>
    <col min="1" max="1" width="4.625" customWidth="1"/>
    <col min="2" max="2" width="5.75" customWidth="1"/>
    <col min="6" max="6" width="48.375" customWidth="1"/>
    <col min="7" max="7" width="15.5" bestFit="1" customWidth="1"/>
    <col min="8" max="11" width="7.5" hidden="1" customWidth="1" outlineLevel="1"/>
    <col min="12" max="12" width="7.625" customWidth="1" collapsed="1"/>
    <col min="13" max="16" width="7.625" customWidth="1"/>
    <col min="17" max="24" width="7.625" hidden="1" customWidth="1" outlineLevel="1"/>
    <col min="25" max="25" width="7.625" customWidth="1" collapsed="1"/>
    <col min="26" max="28" width="7.625" customWidth="1"/>
    <col min="29" max="29" width="4.375" customWidth="1" collapsed="1"/>
    <col min="30" max="31" width="7.625" customWidth="1"/>
    <col min="32" max="32" width="7.625" style="30" customWidth="1"/>
    <col min="33" max="33" width="7.625" customWidth="1"/>
    <col min="34" max="34" width="7.625" style="30" customWidth="1"/>
    <col min="35" max="38" width="7.625" customWidth="1"/>
    <col min="39" max="41" width="7.625" hidden="1" customWidth="1" outlineLevel="1"/>
    <col min="42" max="42" width="7.625" customWidth="1" collapsed="1"/>
    <col min="43" max="44" width="7.625" customWidth="1"/>
    <col min="45" max="53" width="7.625" hidden="1" customWidth="1" outlineLevel="1"/>
    <col min="54" max="54" width="7.625" customWidth="1" collapsed="1"/>
    <col min="55" max="55" width="7.625" customWidth="1"/>
    <col min="56" max="63" width="7.625" hidden="1" customWidth="1"/>
    <col min="64" max="65" width="7.625" customWidth="1"/>
  </cols>
  <sheetData>
    <row r="1" spans="1:66" x14ac:dyDescent="0.4">
      <c r="C1" s="29" t="s">
        <v>49</v>
      </c>
      <c r="Y1" s="42" t="s">
        <v>46</v>
      </c>
      <c r="Z1" s="43"/>
      <c r="AA1" s="43"/>
      <c r="AB1" s="44"/>
    </row>
    <row r="2" spans="1:66" x14ac:dyDescent="0.4">
      <c r="C2" s="8" t="s">
        <v>33</v>
      </c>
      <c r="D2" s="9" t="s">
        <v>34</v>
      </c>
      <c r="E2" s="9" t="s">
        <v>35</v>
      </c>
      <c r="F2" s="10"/>
      <c r="G2" s="10"/>
      <c r="H2" s="37"/>
      <c r="I2" s="37"/>
      <c r="J2" s="39" t="s">
        <v>36</v>
      </c>
      <c r="K2" s="41"/>
      <c r="L2" s="39" t="s">
        <v>2</v>
      </c>
      <c r="M2" s="40"/>
      <c r="N2" s="40"/>
      <c r="O2" s="41"/>
      <c r="P2" s="11"/>
      <c r="Q2" s="36"/>
      <c r="R2" s="36"/>
      <c r="S2" s="36"/>
      <c r="T2" s="36"/>
      <c r="U2" s="36"/>
      <c r="V2" s="36"/>
      <c r="W2" s="36"/>
      <c r="X2" s="36"/>
      <c r="Y2" s="23"/>
      <c r="Z2" s="24" t="s">
        <v>39</v>
      </c>
      <c r="AA2" s="24"/>
      <c r="AB2" s="25" t="s">
        <v>39</v>
      </c>
      <c r="AC2" s="10"/>
      <c r="AD2" s="9" t="s">
        <v>44</v>
      </c>
      <c r="AE2" s="11"/>
      <c r="AF2" s="31"/>
      <c r="AG2" s="11"/>
      <c r="AH2" s="31"/>
      <c r="AI2" s="11"/>
      <c r="AJ2" s="22" t="s">
        <v>47</v>
      </c>
      <c r="AK2" s="11"/>
      <c r="AL2" s="11"/>
      <c r="AM2" s="27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>
        <v>51</v>
      </c>
      <c r="BI2">
        <v>14</v>
      </c>
      <c r="BJ2">
        <v>28</v>
      </c>
    </row>
    <row r="3" spans="1:66" ht="75" x14ac:dyDescent="0.4">
      <c r="A3" s="1" t="s">
        <v>59</v>
      </c>
      <c r="B3" s="1" t="s">
        <v>65</v>
      </c>
      <c r="C3" s="2" t="s">
        <v>4</v>
      </c>
      <c r="D3" s="2" t="s">
        <v>9</v>
      </c>
      <c r="E3" s="2" t="s">
        <v>10</v>
      </c>
      <c r="F3" s="2" t="s">
        <v>0</v>
      </c>
      <c r="G3" s="12" t="s">
        <v>7</v>
      </c>
      <c r="H3" s="12" t="s">
        <v>61</v>
      </c>
      <c r="I3" s="12" t="s">
        <v>62</v>
      </c>
      <c r="J3" s="12" t="s">
        <v>30</v>
      </c>
      <c r="K3" s="12" t="s">
        <v>31</v>
      </c>
      <c r="L3" s="12" t="s">
        <v>1</v>
      </c>
      <c r="M3" s="2" t="s">
        <v>8</v>
      </c>
      <c r="N3" s="2" t="s">
        <v>5</v>
      </c>
      <c r="O3" s="2" t="s">
        <v>16</v>
      </c>
      <c r="P3" s="12" t="s">
        <v>55</v>
      </c>
      <c r="Q3" s="12" t="s">
        <v>20</v>
      </c>
      <c r="R3" s="12" t="s">
        <v>21</v>
      </c>
      <c r="S3" s="12" t="s">
        <v>56</v>
      </c>
      <c r="T3" s="12" t="s">
        <v>23</v>
      </c>
      <c r="U3" s="12" t="s">
        <v>24</v>
      </c>
      <c r="V3" s="12" t="s">
        <v>57</v>
      </c>
      <c r="W3" s="12" t="s">
        <v>26</v>
      </c>
      <c r="X3" s="12" t="s">
        <v>27</v>
      </c>
      <c r="Y3" s="12" t="s">
        <v>3</v>
      </c>
      <c r="Z3" s="12" t="s">
        <v>28</v>
      </c>
      <c r="AA3" s="2" t="s">
        <v>5</v>
      </c>
      <c r="AB3" s="12" t="s">
        <v>29</v>
      </c>
      <c r="AC3" s="14" t="s">
        <v>6</v>
      </c>
      <c r="AD3" s="20" t="s">
        <v>17</v>
      </c>
      <c r="AE3" s="2" t="s">
        <v>16</v>
      </c>
      <c r="AF3" s="32" t="s">
        <v>50</v>
      </c>
      <c r="AG3" s="12" t="s">
        <v>45</v>
      </c>
      <c r="AH3" s="38" t="s">
        <v>63</v>
      </c>
      <c r="AI3" s="2" t="s">
        <v>16</v>
      </c>
      <c r="AJ3" s="13" t="s">
        <v>37</v>
      </c>
      <c r="AK3" s="2" t="s">
        <v>16</v>
      </c>
      <c r="AL3" s="2" t="s">
        <v>38</v>
      </c>
      <c r="AM3" s="26" t="s">
        <v>40</v>
      </c>
      <c r="AN3" s="12" t="s">
        <v>41</v>
      </c>
      <c r="AO3" s="12" t="s">
        <v>42</v>
      </c>
      <c r="AP3" s="12" t="s">
        <v>32</v>
      </c>
      <c r="AQ3" s="12" t="s">
        <v>43</v>
      </c>
      <c r="AR3" s="12" t="s">
        <v>18</v>
      </c>
      <c r="AS3" s="12" t="s">
        <v>19</v>
      </c>
      <c r="AT3" s="12" t="s">
        <v>20</v>
      </c>
      <c r="AU3" s="12" t="s">
        <v>21</v>
      </c>
      <c r="AV3" s="12" t="s">
        <v>22</v>
      </c>
      <c r="AW3" s="12" t="s">
        <v>23</v>
      </c>
      <c r="AX3" s="12" t="s">
        <v>24</v>
      </c>
      <c r="AY3" s="12" t="s">
        <v>25</v>
      </c>
      <c r="AZ3" s="12" t="s">
        <v>26</v>
      </c>
      <c r="BA3" s="12" t="s">
        <v>27</v>
      </c>
      <c r="BB3" s="2" t="s">
        <v>11</v>
      </c>
      <c r="BC3" s="2" t="s">
        <v>12</v>
      </c>
      <c r="BD3" s="2" t="s">
        <v>13</v>
      </c>
      <c r="BE3" s="2" t="s">
        <v>14</v>
      </c>
      <c r="BF3" s="12" t="s">
        <v>48</v>
      </c>
      <c r="BG3" s="2" t="s">
        <v>64</v>
      </c>
      <c r="BH3" s="2" t="s">
        <v>15</v>
      </c>
      <c r="BI3" s="18" t="s">
        <v>51</v>
      </c>
      <c r="BJ3" s="18" t="s">
        <v>52</v>
      </c>
      <c r="BK3" s="15" t="s">
        <v>60</v>
      </c>
      <c r="BL3" s="34" t="s">
        <v>53</v>
      </c>
      <c r="BM3" s="35" t="s">
        <v>54</v>
      </c>
      <c r="BN3" s="35" t="s">
        <v>58</v>
      </c>
    </row>
    <row r="4" spans="1:66" x14ac:dyDescent="0.4">
      <c r="A4" s="3">
        <v>1</v>
      </c>
      <c r="B4" s="3">
        <v>1</v>
      </c>
      <c r="C4" s="4">
        <v>621793</v>
      </c>
      <c r="D4" s="4" t="str">
        <f>TEXT(C4,"000000")</f>
        <v>621793</v>
      </c>
      <c r="E4" s="4">
        <v>621793</v>
      </c>
      <c r="F4" s="4" t="s">
        <v>67</v>
      </c>
      <c r="G4" s="5">
        <v>4523970883108</v>
      </c>
      <c r="H4" s="5"/>
      <c r="I4" s="5"/>
      <c r="J4" s="5">
        <v>1</v>
      </c>
      <c r="K4" s="5">
        <v>1</v>
      </c>
      <c r="L4" s="4">
        <v>0</v>
      </c>
      <c r="M4" s="4">
        <v>3914</v>
      </c>
      <c r="N4" s="4">
        <v>3100</v>
      </c>
      <c r="O4" s="6">
        <f t="shared" ref="O4:O6" si="0">1-N4/M4</f>
        <v>0.20797138477261112</v>
      </c>
      <c r="P4" s="4" t="s">
        <v>70</v>
      </c>
      <c r="Q4" s="4"/>
      <c r="R4" s="4"/>
      <c r="S4" s="4"/>
      <c r="T4" s="4"/>
      <c r="U4" s="4"/>
      <c r="V4" s="4"/>
      <c r="W4" s="4"/>
      <c r="X4" s="4"/>
      <c r="Y4" s="4">
        <v>0</v>
      </c>
      <c r="Z4" s="4">
        <f>IF(AC4="",Y4,Y4*AC4)</f>
        <v>0</v>
      </c>
      <c r="AA4" s="4">
        <v>4080</v>
      </c>
      <c r="AB4" s="4">
        <f>IF(AC4="",AA4,AA4*AC4)</f>
        <v>4080</v>
      </c>
      <c r="AC4" s="4"/>
      <c r="AD4" s="21">
        <f t="shared" ref="AD4:AD6" si="1">ROUND(M4*AR4,0)</f>
        <v>5151</v>
      </c>
      <c r="AE4" s="6">
        <f t="shared" ref="AE4" si="2">1-AB4/AD4</f>
        <v>0.20792079207920788</v>
      </c>
      <c r="AF4" s="33">
        <v>3.25</v>
      </c>
      <c r="AG4" s="4">
        <f>BH4</f>
        <v>5400</v>
      </c>
      <c r="AH4" s="33">
        <f t="shared" ref="AH4:AH6" si="3">AG4*AR4</f>
        <v>7107.0967741935483</v>
      </c>
      <c r="AI4" s="6">
        <f t="shared" ref="AI4:AI6" si="4">1-AB4/AH4</f>
        <v>0.42592592592592593</v>
      </c>
      <c r="AJ4" s="7">
        <v>5900</v>
      </c>
      <c r="AK4" s="6">
        <f t="shared" ref="AK4:AK6" si="5">1-AB4/AJ4</f>
        <v>0.30847457627118646</v>
      </c>
      <c r="AL4" s="4">
        <f t="shared" ref="AL4:AL6" si="6">AJ4-AB4</f>
        <v>1820</v>
      </c>
      <c r="AM4" s="28"/>
      <c r="AN4" s="6" t="e">
        <f>1-AB4/AM4</f>
        <v>#DIV/0!</v>
      </c>
      <c r="AO4" s="4">
        <f>AM4-AB4</f>
        <v>-4080</v>
      </c>
      <c r="AP4" s="6" t="e">
        <f t="shared" ref="AP4:AP6" si="7">Z4/L4</f>
        <v>#DIV/0!</v>
      </c>
      <c r="AQ4" s="6">
        <f t="shared" ref="AQ4:AQ6" si="8">AJ4/M4</f>
        <v>1.5074092999489013</v>
      </c>
      <c r="AR4" s="6">
        <f t="shared" ref="AR4:AR6" si="9">AB4/N4</f>
        <v>1.3161290322580645</v>
      </c>
      <c r="AS4" s="4" t="str">
        <f>IFERROR(ROUND($AJ4*P4/$M4,0),"-")</f>
        <v>-</v>
      </c>
      <c r="AT4" s="4" t="str">
        <f>IF(Q4="","-",Q4)</f>
        <v>-</v>
      </c>
      <c r="AU4" s="4" t="str">
        <f>IF(R4="","-",R4)</f>
        <v>-</v>
      </c>
      <c r="AV4" s="4"/>
      <c r="AW4" s="4"/>
      <c r="AX4" s="4"/>
      <c r="AY4" s="4"/>
      <c r="AZ4" s="4"/>
      <c r="BA4" s="4"/>
      <c r="BB4" s="4" t="s">
        <v>66</v>
      </c>
      <c r="BC4" s="4">
        <v>628711</v>
      </c>
      <c r="BD4" s="4"/>
      <c r="BE4" s="4"/>
      <c r="BF4" s="4"/>
      <c r="BG4" s="4">
        <v>5400</v>
      </c>
      <c r="BH4" s="4">
        <f t="shared" ref="BH4:BH5" si="10">IF(BD4="",BG4,BD4/BE4*BG4)</f>
        <v>5400</v>
      </c>
      <c r="BI4" s="19">
        <v>4</v>
      </c>
      <c r="BJ4" s="19">
        <v>1</v>
      </c>
      <c r="BK4" s="16">
        <v>19</v>
      </c>
      <c r="BL4" s="34">
        <v>5400</v>
      </c>
      <c r="BM4" s="35">
        <v>7638</v>
      </c>
      <c r="BN4" t="s">
        <v>71</v>
      </c>
    </row>
    <row r="5" spans="1:66" x14ac:dyDescent="0.4">
      <c r="A5" s="3">
        <v>2</v>
      </c>
      <c r="B5" s="3">
        <v>2</v>
      </c>
      <c r="C5" s="4">
        <v>621794</v>
      </c>
      <c r="D5" s="4" t="str">
        <f t="shared" ref="D5:D6" si="11">TEXT(C5,"000000")</f>
        <v>621794</v>
      </c>
      <c r="E5" s="4">
        <v>621794</v>
      </c>
      <c r="F5" s="4" t="s">
        <v>68</v>
      </c>
      <c r="G5" s="5">
        <v>4523970831505</v>
      </c>
      <c r="H5" s="5"/>
      <c r="I5" s="5"/>
      <c r="J5" s="5">
        <v>1</v>
      </c>
      <c r="K5" s="5">
        <v>1</v>
      </c>
      <c r="L5" s="4">
        <v>0</v>
      </c>
      <c r="M5" s="4">
        <v>3688</v>
      </c>
      <c r="N5" s="4">
        <v>2000</v>
      </c>
      <c r="O5" s="6">
        <f t="shared" si="0"/>
        <v>0.45770065075921906</v>
      </c>
      <c r="P5" s="4" t="s">
        <v>70</v>
      </c>
      <c r="Q5" s="4"/>
      <c r="R5" s="4"/>
      <c r="S5" s="4"/>
      <c r="T5" s="4"/>
      <c r="U5" s="4"/>
      <c r="V5" s="4"/>
      <c r="W5" s="4"/>
      <c r="X5" s="4"/>
      <c r="Y5" s="4">
        <v>0</v>
      </c>
      <c r="Z5" s="4">
        <f t="shared" ref="Z5:Z6" si="12">IF(AC5="",Y5,Y5*AC5)</f>
        <v>0</v>
      </c>
      <c r="AA5" s="4">
        <v>2750</v>
      </c>
      <c r="AB5" s="4">
        <f t="shared" ref="AB5:AB6" si="13">IF(AC5="",AA5,AA5*AC5)</f>
        <v>2750</v>
      </c>
      <c r="AC5" s="4"/>
      <c r="AD5" s="21">
        <f t="shared" si="1"/>
        <v>5071</v>
      </c>
      <c r="AE5" s="6">
        <f t="shared" ref="AE5" si="14">1-AB5/AD5</f>
        <v>0.45770065075921906</v>
      </c>
      <c r="AF5" s="33">
        <v>3</v>
      </c>
      <c r="AG5" s="4">
        <f t="shared" ref="AG5:AG6" si="15">BH5</f>
        <v>4499</v>
      </c>
      <c r="AH5" s="33">
        <f t="shared" si="3"/>
        <v>6186.125</v>
      </c>
      <c r="AI5" s="6">
        <f t="shared" si="4"/>
        <v>0.55545676817070455</v>
      </c>
      <c r="AJ5" s="7">
        <v>5100</v>
      </c>
      <c r="AK5" s="6">
        <f t="shared" si="5"/>
        <v>0.46078431372549022</v>
      </c>
      <c r="AL5" s="4">
        <f t="shared" si="6"/>
        <v>2350</v>
      </c>
      <c r="AM5" s="28"/>
      <c r="AN5" s="6"/>
      <c r="AO5" s="6"/>
      <c r="AP5" s="6" t="e">
        <f t="shared" si="7"/>
        <v>#DIV/0!</v>
      </c>
      <c r="AQ5" s="6">
        <f t="shared" si="8"/>
        <v>1.3828633405639914</v>
      </c>
      <c r="AR5" s="6">
        <f t="shared" si="9"/>
        <v>1.375</v>
      </c>
      <c r="AS5" s="4"/>
      <c r="AT5" s="4"/>
      <c r="AU5" s="4"/>
      <c r="AV5" s="4"/>
      <c r="AW5" s="4"/>
      <c r="AX5" s="4"/>
      <c r="AY5" s="4"/>
      <c r="AZ5" s="4"/>
      <c r="BA5" s="4"/>
      <c r="BB5" s="4" t="s">
        <v>66</v>
      </c>
      <c r="BC5" s="4">
        <v>383261</v>
      </c>
      <c r="BD5" s="4"/>
      <c r="BE5" s="4"/>
      <c r="BF5" s="4"/>
      <c r="BG5" s="4">
        <v>4499</v>
      </c>
      <c r="BH5" s="4">
        <f t="shared" si="10"/>
        <v>4499</v>
      </c>
      <c r="BI5" s="19">
        <v>4</v>
      </c>
      <c r="BJ5" s="19">
        <v>1</v>
      </c>
      <c r="BK5" s="16">
        <v>19</v>
      </c>
      <c r="BL5" t="s">
        <v>70</v>
      </c>
      <c r="BM5" t="s">
        <v>70</v>
      </c>
      <c r="BN5" t="s">
        <v>72</v>
      </c>
    </row>
    <row r="6" spans="1:66" x14ac:dyDescent="0.4">
      <c r="A6" s="3">
        <v>3</v>
      </c>
      <c r="B6" s="3">
        <v>3</v>
      </c>
      <c r="C6" s="17">
        <v>621795</v>
      </c>
      <c r="D6" s="4" t="str">
        <f t="shared" si="11"/>
        <v>621795</v>
      </c>
      <c r="E6" s="4">
        <v>621795</v>
      </c>
      <c r="F6" s="4" t="s">
        <v>69</v>
      </c>
      <c r="G6" s="5">
        <v>4523970803502</v>
      </c>
      <c r="H6" s="5"/>
      <c r="I6" s="5"/>
      <c r="J6" s="5">
        <v>1</v>
      </c>
      <c r="K6" s="5">
        <v>1</v>
      </c>
      <c r="L6" s="4">
        <v>0</v>
      </c>
      <c r="M6" s="4">
        <v>3511</v>
      </c>
      <c r="N6" s="4">
        <v>2400</v>
      </c>
      <c r="O6" s="6">
        <f t="shared" si="0"/>
        <v>0.31643406436912558</v>
      </c>
      <c r="P6" s="4" t="s">
        <v>70</v>
      </c>
      <c r="Q6" s="4"/>
      <c r="R6" s="4"/>
      <c r="S6" s="4"/>
      <c r="T6" s="4"/>
      <c r="U6" s="4"/>
      <c r="V6" s="4"/>
      <c r="W6" s="4"/>
      <c r="X6" s="4"/>
      <c r="Y6" s="4">
        <v>0</v>
      </c>
      <c r="Z6" s="4">
        <f t="shared" si="12"/>
        <v>0</v>
      </c>
      <c r="AA6" s="4">
        <v>3340</v>
      </c>
      <c r="AB6" s="4">
        <f t="shared" si="13"/>
        <v>3340</v>
      </c>
      <c r="AC6" s="4"/>
      <c r="AD6" s="21">
        <f t="shared" si="1"/>
        <v>4886</v>
      </c>
      <c r="AE6" s="6">
        <f t="shared" ref="AE6" si="16">1-AB6/AD6</f>
        <v>0.31641424478100699</v>
      </c>
      <c r="AF6" s="33">
        <v>4.75</v>
      </c>
      <c r="AG6" s="4" t="str">
        <f t="shared" si="15"/>
        <v>-</v>
      </c>
      <c r="AH6" s="33" t="e">
        <f t="shared" si="3"/>
        <v>#VALUE!</v>
      </c>
      <c r="AI6" s="6" t="e">
        <f t="shared" si="4"/>
        <v>#VALUE!</v>
      </c>
      <c r="AJ6" s="7">
        <v>5000</v>
      </c>
      <c r="AK6" s="6">
        <f t="shared" si="5"/>
        <v>0.33199999999999996</v>
      </c>
      <c r="AL6" s="4">
        <f t="shared" si="6"/>
        <v>1660</v>
      </c>
      <c r="AM6" s="28"/>
      <c r="AN6" s="6"/>
      <c r="AO6" s="6"/>
      <c r="AP6" s="6" t="e">
        <f t="shared" si="7"/>
        <v>#DIV/0!</v>
      </c>
      <c r="AQ6" s="6">
        <f t="shared" si="8"/>
        <v>1.4240956992309883</v>
      </c>
      <c r="AR6" s="6">
        <f t="shared" si="9"/>
        <v>1.3916666666666666</v>
      </c>
      <c r="AS6" s="4"/>
      <c r="AT6" s="4"/>
      <c r="AU6" s="4"/>
      <c r="AV6" s="4"/>
      <c r="AW6" s="4"/>
      <c r="AX6" s="4"/>
      <c r="AY6" s="4"/>
      <c r="AZ6" s="4"/>
      <c r="BA6" s="4"/>
      <c r="BB6" s="4" t="s">
        <v>66</v>
      </c>
      <c r="BC6" s="4" t="s">
        <v>70</v>
      </c>
      <c r="BD6" s="4"/>
      <c r="BE6" s="4"/>
      <c r="BF6" s="4"/>
      <c r="BG6" s="4" t="s">
        <v>70</v>
      </c>
      <c r="BH6" s="4" t="str">
        <f t="shared" ref="BH6" si="17">IF(BD6="",BG6,BD6/BE6*BG6)</f>
        <v>-</v>
      </c>
      <c r="BI6" s="19">
        <v>4</v>
      </c>
      <c r="BJ6" s="19">
        <v>1</v>
      </c>
      <c r="BK6" s="16">
        <v>19</v>
      </c>
      <c r="BL6" s="34">
        <v>4175</v>
      </c>
      <c r="BM6" s="35">
        <v>6426</v>
      </c>
      <c r="BN6" t="s">
        <v>70</v>
      </c>
    </row>
  </sheetData>
  <autoFilter ref="A3:BN3" xr:uid="{7A1660CF-9003-4B2D-B659-7F339ED5B476}"/>
  <mergeCells count="3">
    <mergeCell ref="L2:O2"/>
    <mergeCell ref="J2:K2"/>
    <mergeCell ref="Y1:AB1"/>
  </mergeCells>
  <phoneticPr fontId="2"/>
  <conditionalFormatting sqref="AJ4:AJ6">
    <cfRule type="cellIs" dxfId="2" priority="4" operator="greaterThan">
      <formula>$Z4</formula>
    </cfRule>
  </conditionalFormatting>
  <conditionalFormatting sqref="AH4:AH6">
    <cfRule type="cellIs" dxfId="1" priority="2" operator="lessThan">
      <formula>$AJ4</formula>
    </cfRule>
  </conditionalFormatting>
  <conditionalFormatting sqref="AK4:AK6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2026-05-29T02:08:04Z</dcterms:modified>
</cp:coreProperties>
</file>