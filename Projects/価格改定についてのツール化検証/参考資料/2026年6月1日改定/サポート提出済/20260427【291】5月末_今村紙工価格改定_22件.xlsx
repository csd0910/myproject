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frt-nas\01_全社共有\商品部\個人フォルダ\須永\価格改定\2026年6月1日改定\"/>
    </mc:Choice>
  </mc:AlternateContent>
  <xr:revisionPtr revIDLastSave="0" documentId="13_ncr:1_{2EB6713A-A135-424E-ACCE-F835EAEBD218}" xr6:coauthVersionLast="47" xr6:coauthVersionMax="47" xr10:uidLastSave="{00000000-0000-0000-0000-000000000000}"/>
  <bookViews>
    <workbookView xWindow="-120" yWindow="-120" windowWidth="29040" windowHeight="15720" xr2:uid="{CC14108B-38B1-4AF3-A2A8-D32DF8046A97}"/>
  </bookViews>
  <sheets>
    <sheet name="Sheet1" sheetId="1" r:id="rId1"/>
  </sheets>
  <definedNames>
    <definedName name="_xlnm._FilterDatabase" localSheetId="0" hidden="1">Sheet1!$A$3:$BB$25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V14" i="1" l="1"/>
  <c r="Z14" i="1" s="1"/>
  <c r="AV16" i="1"/>
  <c r="Z16" i="1" s="1"/>
  <c r="AV17" i="1"/>
  <c r="Z17" i="1" s="1"/>
  <c r="AV18" i="1"/>
  <c r="Z18" i="1" s="1"/>
  <c r="AV19" i="1"/>
  <c r="Z19" i="1" s="1"/>
  <c r="AV22" i="1"/>
  <c r="Z22" i="1" s="1"/>
  <c r="AV23" i="1"/>
  <c r="Z23" i="1" s="1"/>
  <c r="AV24" i="1"/>
  <c r="Z24" i="1" s="1"/>
  <c r="AV25" i="1"/>
  <c r="Z25" i="1" s="1"/>
  <c r="AV21" i="1"/>
  <c r="Z21" i="1" s="1"/>
  <c r="AL5" i="1"/>
  <c r="AM5" i="1"/>
  <c r="AN5" i="1"/>
  <c r="AL6" i="1"/>
  <c r="AM6" i="1"/>
  <c r="AN6" i="1"/>
  <c r="AL7" i="1"/>
  <c r="AM7" i="1"/>
  <c r="AN7" i="1"/>
  <c r="AL8" i="1"/>
  <c r="AM8" i="1"/>
  <c r="AN8" i="1"/>
  <c r="AL9" i="1"/>
  <c r="AM9" i="1"/>
  <c r="AN9" i="1"/>
  <c r="AL10" i="1"/>
  <c r="AM10" i="1"/>
  <c r="AN10" i="1"/>
  <c r="AL11" i="1"/>
  <c r="AM11" i="1"/>
  <c r="AN11" i="1"/>
  <c r="AL12" i="1"/>
  <c r="AM12" i="1"/>
  <c r="AN12" i="1"/>
  <c r="AL13" i="1"/>
  <c r="AM13" i="1"/>
  <c r="AN13" i="1"/>
  <c r="AL14" i="1"/>
  <c r="AM14" i="1"/>
  <c r="AN14" i="1"/>
  <c r="AL15" i="1"/>
  <c r="AM15" i="1"/>
  <c r="AN15" i="1"/>
  <c r="AL16" i="1"/>
  <c r="AM16" i="1"/>
  <c r="AN16" i="1"/>
  <c r="AL17" i="1"/>
  <c r="AM17" i="1"/>
  <c r="AN17" i="1"/>
  <c r="AL18" i="1"/>
  <c r="AM18" i="1"/>
  <c r="AN18" i="1"/>
  <c r="AL19" i="1"/>
  <c r="AM19" i="1"/>
  <c r="AN19" i="1"/>
  <c r="AL20" i="1"/>
  <c r="AM20" i="1"/>
  <c r="AN20" i="1"/>
  <c r="AL21" i="1"/>
  <c r="AM21" i="1"/>
  <c r="AN21" i="1"/>
  <c r="AL22" i="1"/>
  <c r="AM22" i="1"/>
  <c r="AN22" i="1"/>
  <c r="AL23" i="1"/>
  <c r="AM23" i="1"/>
  <c r="AN23" i="1"/>
  <c r="AL24" i="1"/>
  <c r="AM24" i="1"/>
  <c r="AN24" i="1"/>
  <c r="AL25" i="1"/>
  <c r="AM25" i="1"/>
  <c r="AN25" i="1"/>
  <c r="AN4" i="1"/>
  <c r="AM4" i="1"/>
  <c r="AL4" i="1"/>
  <c r="AJ14" i="1"/>
  <c r="N16" i="1"/>
  <c r="N17" i="1"/>
  <c r="AJ19" i="1"/>
  <c r="N21" i="1"/>
  <c r="AJ22" i="1"/>
  <c r="N22" i="1"/>
  <c r="AJ24" i="1"/>
  <c r="N24" i="1"/>
  <c r="AJ25" i="1"/>
  <c r="N25" i="1"/>
  <c r="U25" i="1"/>
  <c r="AD25" i="1" s="1"/>
  <c r="S25" i="1"/>
  <c r="AI25" i="1" s="1"/>
  <c r="C25" i="1"/>
  <c r="U24" i="1"/>
  <c r="S24" i="1"/>
  <c r="AI24" i="1" s="1"/>
  <c r="C24" i="1"/>
  <c r="AJ23" i="1"/>
  <c r="U23" i="1"/>
  <c r="AD23" i="1" s="1"/>
  <c r="S23" i="1"/>
  <c r="AI23" i="1" s="1"/>
  <c r="N23" i="1"/>
  <c r="C23" i="1"/>
  <c r="U22" i="1"/>
  <c r="S22" i="1"/>
  <c r="C22" i="1"/>
  <c r="AJ21" i="1"/>
  <c r="U21" i="1"/>
  <c r="AE21" i="1" s="1"/>
  <c r="S21" i="1"/>
  <c r="AI21" i="1" s="1"/>
  <c r="C21" i="1"/>
  <c r="AV20" i="1"/>
  <c r="Z20" i="1" s="1"/>
  <c r="AJ20" i="1"/>
  <c r="U20" i="1"/>
  <c r="S20" i="1"/>
  <c r="AI20" i="1" s="1"/>
  <c r="N20" i="1"/>
  <c r="C20" i="1"/>
  <c r="U19" i="1"/>
  <c r="AE19" i="1" s="1"/>
  <c r="S19" i="1"/>
  <c r="AI19" i="1" s="1"/>
  <c r="C19" i="1"/>
  <c r="AJ18" i="1"/>
  <c r="U18" i="1"/>
  <c r="AD18" i="1" s="1"/>
  <c r="S18" i="1"/>
  <c r="AI18" i="1" s="1"/>
  <c r="N18" i="1"/>
  <c r="C18" i="1"/>
  <c r="AJ17" i="1"/>
  <c r="U17" i="1"/>
  <c r="AD17" i="1" s="1"/>
  <c r="S17" i="1"/>
  <c r="C17" i="1"/>
  <c r="AJ16" i="1"/>
  <c r="U16" i="1"/>
  <c r="AE16" i="1" s="1"/>
  <c r="S16" i="1"/>
  <c r="AI16" i="1" s="1"/>
  <c r="C16" i="1"/>
  <c r="AV15" i="1"/>
  <c r="Z15" i="1" s="1"/>
  <c r="AJ15" i="1"/>
  <c r="U15" i="1"/>
  <c r="AE15" i="1" s="1"/>
  <c r="S15" i="1"/>
  <c r="AI15" i="1" s="1"/>
  <c r="N15" i="1"/>
  <c r="C15" i="1"/>
  <c r="U14" i="1"/>
  <c r="AK14" i="1" s="1"/>
  <c r="S14" i="1"/>
  <c r="AI14" i="1" s="1"/>
  <c r="N14" i="1"/>
  <c r="C14" i="1"/>
  <c r="AD24" i="1" l="1"/>
  <c r="AK19" i="1"/>
  <c r="W19" i="1" s="1"/>
  <c r="X19" i="1" s="1"/>
  <c r="AI17" i="1"/>
  <c r="AK22" i="1"/>
  <c r="W22" i="1" s="1"/>
  <c r="X22" i="1" s="1"/>
  <c r="N19" i="1"/>
  <c r="W14" i="1"/>
  <c r="X14" i="1" s="1"/>
  <c r="AI22" i="1"/>
  <c r="AE23" i="1"/>
  <c r="AE24" i="1"/>
  <c r="AE25" i="1"/>
  <c r="AD21" i="1"/>
  <c r="AK23" i="1"/>
  <c r="W23" i="1" s="1"/>
  <c r="X23" i="1" s="1"/>
  <c r="AK24" i="1"/>
  <c r="W24" i="1" s="1"/>
  <c r="X24" i="1" s="1"/>
  <c r="AK25" i="1"/>
  <c r="W25" i="1" s="1"/>
  <c r="X25" i="1" s="1"/>
  <c r="AK21" i="1"/>
  <c r="AA14" i="1"/>
  <c r="AB14" i="1" s="1"/>
  <c r="AD14" i="1"/>
  <c r="AD15" i="1"/>
  <c r="AE14" i="1"/>
  <c r="AD22" i="1"/>
  <c r="AE22" i="1"/>
  <c r="AE18" i="1"/>
  <c r="AD16" i="1"/>
  <c r="AE17" i="1"/>
  <c r="AK20" i="1"/>
  <c r="AK18" i="1"/>
  <c r="W18" i="1" s="1"/>
  <c r="X18" i="1" s="1"/>
  <c r="AK16" i="1"/>
  <c r="W16" i="1" s="1"/>
  <c r="X16" i="1" s="1"/>
  <c r="AD20" i="1"/>
  <c r="AK17" i="1"/>
  <c r="W17" i="1" s="1"/>
  <c r="X17" i="1" s="1"/>
  <c r="AK15" i="1"/>
  <c r="W15" i="1" s="1"/>
  <c r="X15" i="1" s="1"/>
  <c r="AD19" i="1"/>
  <c r="AE20" i="1"/>
  <c r="AA22" i="1" l="1"/>
  <c r="AB22" i="1" s="1"/>
  <c r="AA19" i="1"/>
  <c r="AB19" i="1" s="1"/>
  <c r="AA18" i="1"/>
  <c r="AB18" i="1" s="1"/>
  <c r="AA23" i="1"/>
  <c r="AB23" i="1" s="1"/>
  <c r="AA24" i="1"/>
  <c r="AB24" i="1" s="1"/>
  <c r="AA25" i="1"/>
  <c r="AB25" i="1" s="1"/>
  <c r="W20" i="1"/>
  <c r="X20" i="1" s="1"/>
  <c r="AA20" i="1"/>
  <c r="AB20" i="1" s="1"/>
  <c r="AA17" i="1"/>
  <c r="AB17" i="1" s="1"/>
  <c r="AA16" i="1"/>
  <c r="AB16" i="1" s="1"/>
  <c r="W21" i="1"/>
  <c r="X21" i="1" s="1"/>
  <c r="AA21" i="1"/>
  <c r="AB21" i="1" s="1"/>
  <c r="AA15" i="1"/>
  <c r="AB15" i="1" s="1"/>
  <c r="AV5" i="1"/>
  <c r="Z5" i="1" s="1"/>
  <c r="AV6" i="1"/>
  <c r="Z6" i="1" s="1"/>
  <c r="AV7" i="1"/>
  <c r="Z7" i="1" s="1"/>
  <c r="AV9" i="1"/>
  <c r="Z9" i="1" s="1"/>
  <c r="AV10" i="1"/>
  <c r="Z10" i="1" s="1"/>
  <c r="AV11" i="1"/>
  <c r="Z11" i="1" s="1"/>
  <c r="AV12" i="1"/>
  <c r="Z12" i="1" s="1"/>
  <c r="AV13" i="1"/>
  <c r="Z13" i="1" s="1"/>
  <c r="AV4" i="1"/>
  <c r="Z4" i="1" s="1"/>
  <c r="U5" i="1"/>
  <c r="U6" i="1"/>
  <c r="U7" i="1"/>
  <c r="U8" i="1"/>
  <c r="U9" i="1"/>
  <c r="U10" i="1"/>
  <c r="U11" i="1"/>
  <c r="U12" i="1"/>
  <c r="U13" i="1"/>
  <c r="S5" i="1"/>
  <c r="AI5" i="1" s="1"/>
  <c r="S6" i="1"/>
  <c r="AI6" i="1" s="1"/>
  <c r="S7" i="1"/>
  <c r="AI7" i="1" s="1"/>
  <c r="S8" i="1"/>
  <c r="AI8" i="1" s="1"/>
  <c r="S9" i="1"/>
  <c r="AI9" i="1" s="1"/>
  <c r="S10" i="1"/>
  <c r="AI10" i="1" s="1"/>
  <c r="S11" i="1"/>
  <c r="AI11" i="1" s="1"/>
  <c r="S12" i="1"/>
  <c r="AI12" i="1" s="1"/>
  <c r="S13" i="1"/>
  <c r="AI13" i="1" s="1"/>
  <c r="C5" i="1"/>
  <c r="C6" i="1"/>
  <c r="C7" i="1"/>
  <c r="C8" i="1"/>
  <c r="C9" i="1"/>
  <c r="C10" i="1"/>
  <c r="C11" i="1"/>
  <c r="C12" i="1"/>
  <c r="C13" i="1"/>
  <c r="C4" i="1"/>
  <c r="U4" i="1"/>
  <c r="S4" i="1"/>
  <c r="AI4" i="1" s="1"/>
  <c r="AJ13" i="1"/>
  <c r="N13" i="1"/>
  <c r="AJ12" i="1"/>
  <c r="N12" i="1"/>
  <c r="AJ11" i="1"/>
  <c r="N11" i="1"/>
  <c r="AJ10" i="1"/>
  <c r="N10" i="1"/>
  <c r="AJ4" i="1"/>
  <c r="AJ9" i="1"/>
  <c r="N9" i="1"/>
  <c r="AV8" i="1"/>
  <c r="Z8" i="1" s="1"/>
  <c r="AJ8" i="1"/>
  <c r="N8" i="1"/>
  <c r="AJ7" i="1"/>
  <c r="N7" i="1"/>
  <c r="AJ6" i="1"/>
  <c r="N6" i="1"/>
  <c r="AK5" i="1"/>
  <c r="W5" i="1" s="1"/>
  <c r="X5" i="1" s="1"/>
  <c r="AJ5" i="1"/>
  <c r="N5" i="1"/>
  <c r="N4" i="1"/>
  <c r="AD12" i="1" l="1"/>
  <c r="AE11" i="1"/>
  <c r="AE10" i="1"/>
  <c r="AD13" i="1"/>
  <c r="AD5" i="1"/>
  <c r="AD9" i="1"/>
  <c r="AE8" i="1"/>
  <c r="AK6" i="1"/>
  <c r="W6" i="1" s="1"/>
  <c r="X6" i="1" s="1"/>
  <c r="AD4" i="1"/>
  <c r="AE7" i="1"/>
  <c r="AA5" i="1"/>
  <c r="AB5" i="1" s="1"/>
  <c r="AK10" i="1"/>
  <c r="W10" i="1" s="1"/>
  <c r="X10" i="1" s="1"/>
  <c r="AK12" i="1"/>
  <c r="W12" i="1" s="1"/>
  <c r="X12" i="1" s="1"/>
  <c r="AK8" i="1"/>
  <c r="W8" i="1" s="1"/>
  <c r="X8" i="1" s="1"/>
  <c r="AE6" i="1"/>
  <c r="AK13" i="1"/>
  <c r="W13" i="1" s="1"/>
  <c r="X13" i="1" s="1"/>
  <c r="AD11" i="1"/>
  <c r="AD10" i="1"/>
  <c r="AD8" i="1"/>
  <c r="AK11" i="1"/>
  <c r="W11" i="1" s="1"/>
  <c r="X11" i="1" s="1"/>
  <c r="AE9" i="1"/>
  <c r="AK9" i="1"/>
  <c r="W9" i="1" s="1"/>
  <c r="X9" i="1" s="1"/>
  <c r="AD7" i="1"/>
  <c r="AE13" i="1"/>
  <c r="AE5" i="1"/>
  <c r="AK7" i="1"/>
  <c r="W7" i="1" s="1"/>
  <c r="X7" i="1" s="1"/>
  <c r="AD6" i="1"/>
  <c r="AE12" i="1"/>
  <c r="AG4" i="1"/>
  <c r="AH4" i="1"/>
  <c r="AE4" i="1"/>
  <c r="AK4" i="1"/>
  <c r="W4" i="1" s="1"/>
  <c r="X4" i="1" s="1"/>
  <c r="AA6" i="1" l="1"/>
  <c r="AB6" i="1" s="1"/>
  <c r="AA4" i="1"/>
  <c r="AB4" i="1" s="1"/>
  <c r="AA10" i="1"/>
  <c r="AB10" i="1" s="1"/>
  <c r="AA12" i="1"/>
  <c r="AB12" i="1" s="1"/>
  <c r="AA7" i="1"/>
  <c r="AB7" i="1" s="1"/>
  <c r="AA13" i="1"/>
  <c r="AB13" i="1" s="1"/>
  <c r="AA8" i="1"/>
  <c r="AB8" i="1" s="1"/>
  <c r="AA9" i="1"/>
  <c r="AB9" i="1" s="1"/>
  <c r="AA11" i="1"/>
  <c r="AB11" i="1" s="1"/>
</calcChain>
</file>

<file path=xl/sharedStrings.xml><?xml version="1.0" encoding="utf-8"?>
<sst xmlns="http://schemas.openxmlformats.org/spreadsheetml/2006/main" count="288" uniqueCount="137">
  <si>
    <t>商品名</t>
    <rPh sb="0" eb="3">
      <t>ショウヒンメイ</t>
    </rPh>
    <phoneticPr fontId="1"/>
  </si>
  <si>
    <t>小売価格
(税抜）</t>
    <rPh sb="6" eb="8">
      <t>ゼイヌ</t>
    </rPh>
    <phoneticPr fontId="1"/>
  </si>
  <si>
    <t>現行</t>
    <rPh sb="0" eb="2">
      <t>ゲンコウ</t>
    </rPh>
    <phoneticPr fontId="2"/>
  </si>
  <si>
    <t>小売価格
(税抜)</t>
    <rPh sb="6" eb="8">
      <t>ゼイヌ</t>
    </rPh>
    <phoneticPr fontId="1"/>
  </si>
  <si>
    <t>品目CD</t>
    <rPh sb="0" eb="2">
      <t>ヒンモク</t>
    </rPh>
    <phoneticPr fontId="1"/>
  </si>
  <si>
    <t>仕切り</t>
    <rPh sb="0" eb="2">
      <t>シキ</t>
    </rPh>
    <phoneticPr fontId="2"/>
  </si>
  <si>
    <t>換算</t>
    <rPh sb="0" eb="2">
      <t>カンザン</t>
    </rPh>
    <phoneticPr fontId="2"/>
  </si>
  <si>
    <t>JAN</t>
    <phoneticPr fontId="2"/>
  </si>
  <si>
    <t>売価</t>
    <rPh sb="0" eb="2">
      <t>バイカ</t>
    </rPh>
    <phoneticPr fontId="2"/>
  </si>
  <si>
    <t>品目TEXT</t>
    <rPh sb="0" eb="2">
      <t>ヒンモク</t>
    </rPh>
    <phoneticPr fontId="2"/>
  </si>
  <si>
    <t>注文番号</t>
    <rPh sb="0" eb="2">
      <t>チュウモン</t>
    </rPh>
    <rPh sb="2" eb="4">
      <t>バンゴウ</t>
    </rPh>
    <phoneticPr fontId="2"/>
  </si>
  <si>
    <t>カタログ</t>
    <phoneticPr fontId="2"/>
  </si>
  <si>
    <t>アスクル</t>
    <phoneticPr fontId="2"/>
  </si>
  <si>
    <t>FW入数</t>
    <rPh sb="2" eb="4">
      <t>イリスウ</t>
    </rPh>
    <phoneticPr fontId="2"/>
  </si>
  <si>
    <t>アスクル入数</t>
    <rPh sb="4" eb="6">
      <t>イリスウ</t>
    </rPh>
    <phoneticPr fontId="2"/>
  </si>
  <si>
    <t>換算金額</t>
    <rPh sb="0" eb="2">
      <t>カンザン</t>
    </rPh>
    <rPh sb="2" eb="4">
      <t>キンガク</t>
    </rPh>
    <phoneticPr fontId="2"/>
  </si>
  <si>
    <t>粗利率</t>
    <rPh sb="0" eb="3">
      <t>アラリリツ</t>
    </rPh>
    <phoneticPr fontId="2"/>
  </si>
  <si>
    <t>スライド
売価</t>
    <rPh sb="5" eb="7">
      <t>バイカ</t>
    </rPh>
    <phoneticPr fontId="2"/>
  </si>
  <si>
    <t>原価
値上率</t>
    <rPh sb="0" eb="2">
      <t>ゲンカ</t>
    </rPh>
    <rPh sb="3" eb="5">
      <t>ネアゲ</t>
    </rPh>
    <rPh sb="5" eb="6">
      <t>リツ</t>
    </rPh>
    <phoneticPr fontId="2"/>
  </si>
  <si>
    <t>VD2</t>
    <phoneticPr fontId="2"/>
  </si>
  <si>
    <t>VD2始</t>
    <rPh sb="3" eb="4">
      <t>ハジ</t>
    </rPh>
    <phoneticPr fontId="2"/>
  </si>
  <si>
    <t>VD2終</t>
    <rPh sb="3" eb="4">
      <t>オ</t>
    </rPh>
    <phoneticPr fontId="2"/>
  </si>
  <si>
    <t>小売価格
(税抜)
換算</t>
    <rPh sb="6" eb="8">
      <t>ゼイヌ</t>
    </rPh>
    <rPh sb="10" eb="12">
      <t>カンザン</t>
    </rPh>
    <phoneticPr fontId="1"/>
  </si>
  <si>
    <t>仕切り
換算</t>
    <rPh sb="0" eb="2">
      <t>シキ</t>
    </rPh>
    <rPh sb="4" eb="6">
      <t>カンザン</t>
    </rPh>
    <phoneticPr fontId="2"/>
  </si>
  <si>
    <t>JAN
確認</t>
    <rPh sb="4" eb="6">
      <t>カクニン</t>
    </rPh>
    <phoneticPr fontId="2"/>
  </si>
  <si>
    <t>品目
確認</t>
    <rPh sb="0" eb="2">
      <t>ヒンモク</t>
    </rPh>
    <rPh sb="3" eb="5">
      <t>カクニン</t>
    </rPh>
    <phoneticPr fontId="2"/>
  </si>
  <si>
    <t>定価
値上率</t>
    <rPh sb="0" eb="2">
      <t>テイカ</t>
    </rPh>
    <rPh sb="3" eb="5">
      <t>ネアゲ</t>
    </rPh>
    <rPh sb="5" eb="6">
      <t>リツ</t>
    </rPh>
    <phoneticPr fontId="2"/>
  </si>
  <si>
    <t>原価用</t>
    <rPh sb="0" eb="2">
      <t>ゲンカ</t>
    </rPh>
    <rPh sb="2" eb="3">
      <t>ヨウ</t>
    </rPh>
    <phoneticPr fontId="2"/>
  </si>
  <si>
    <t>売価用</t>
    <rPh sb="0" eb="2">
      <t>バイカ</t>
    </rPh>
    <rPh sb="2" eb="3">
      <t>ヨウ</t>
    </rPh>
    <phoneticPr fontId="2"/>
  </si>
  <si>
    <t>VD用</t>
    <rPh sb="2" eb="3">
      <t>ヨウ</t>
    </rPh>
    <phoneticPr fontId="2"/>
  </si>
  <si>
    <t>箱バラ確認</t>
    <rPh sb="0" eb="1">
      <t>ハコ</t>
    </rPh>
    <rPh sb="3" eb="5">
      <t>カクニン</t>
    </rPh>
    <phoneticPr fontId="2"/>
  </si>
  <si>
    <t>売価1</t>
    <rPh sb="0" eb="2">
      <t>バイカ</t>
    </rPh>
    <phoneticPr fontId="2"/>
  </si>
  <si>
    <t>粗利額</t>
    <rPh sb="0" eb="2">
      <t>アラリ</t>
    </rPh>
    <rPh sb="2" eb="3">
      <t>ガク</t>
    </rPh>
    <phoneticPr fontId="2"/>
  </si>
  <si>
    <t>箱バラ用</t>
    <rPh sb="0" eb="1">
      <t>ハコ</t>
    </rPh>
    <rPh sb="3" eb="4">
      <t>ヨウ</t>
    </rPh>
    <phoneticPr fontId="2"/>
  </si>
  <si>
    <t>売価2</t>
    <rPh sb="0" eb="2">
      <t>バイカ</t>
    </rPh>
    <phoneticPr fontId="2"/>
  </si>
  <si>
    <t>売価2
粗利率</t>
    <rPh sb="0" eb="2">
      <t>バイカ</t>
    </rPh>
    <rPh sb="4" eb="7">
      <t>アラリリツ</t>
    </rPh>
    <phoneticPr fontId="2"/>
  </si>
  <si>
    <t>売価2
粗利額</t>
    <rPh sb="0" eb="2">
      <t>バイカ</t>
    </rPh>
    <rPh sb="4" eb="6">
      <t>アラリ</t>
    </rPh>
    <rPh sb="6" eb="7">
      <t>ガク</t>
    </rPh>
    <phoneticPr fontId="2"/>
  </si>
  <si>
    <t>売価1
値上げ率</t>
    <rPh sb="0" eb="2">
      <t>バイカ</t>
    </rPh>
    <rPh sb="4" eb="6">
      <t>ネア</t>
    </rPh>
    <rPh sb="7" eb="8">
      <t>リツ</t>
    </rPh>
    <phoneticPr fontId="2"/>
  </si>
  <si>
    <t>参考</t>
    <rPh sb="0" eb="2">
      <t>サンコウ</t>
    </rPh>
    <phoneticPr fontId="2"/>
  </si>
  <si>
    <t>アスクル
換算売価</t>
    <rPh sb="5" eb="7">
      <t>カンザン</t>
    </rPh>
    <rPh sb="7" eb="9">
      <t>バイカ</t>
    </rPh>
    <phoneticPr fontId="2"/>
  </si>
  <si>
    <t>改定後</t>
    <rPh sb="0" eb="2">
      <t>カイテイ</t>
    </rPh>
    <rPh sb="2" eb="3">
      <t>ゴ</t>
    </rPh>
    <phoneticPr fontId="2"/>
  </si>
  <si>
    <t>263除く</t>
    <rPh sb="3" eb="4">
      <t>ノゾ</t>
    </rPh>
    <phoneticPr fontId="2"/>
  </si>
  <si>
    <t>税込</t>
    <rPh sb="0" eb="2">
      <t>ゼイコミ</t>
    </rPh>
    <phoneticPr fontId="2"/>
  </si>
  <si>
    <t>品目のオレンジは箱バラ</t>
    <rPh sb="0" eb="2">
      <t>ヒンモク</t>
    </rPh>
    <rPh sb="8" eb="9">
      <t>ハコ</t>
    </rPh>
    <phoneticPr fontId="2"/>
  </si>
  <si>
    <t>月販</t>
    <rPh sb="0" eb="2">
      <t>ゲッパン</t>
    </rPh>
    <phoneticPr fontId="2"/>
  </si>
  <si>
    <t>倉庫</t>
    <rPh sb="0" eb="2">
      <t>ソウコ</t>
    </rPh>
    <phoneticPr fontId="2"/>
  </si>
  <si>
    <t>品目群</t>
    <rPh sb="0" eb="3">
      <t>ヒンモクグン</t>
    </rPh>
    <phoneticPr fontId="2"/>
  </si>
  <si>
    <t>たのめーる</t>
    <phoneticPr fontId="2"/>
  </si>
  <si>
    <t>カウネット</t>
    <phoneticPr fontId="2"/>
  </si>
  <si>
    <t>VD2</t>
  </si>
  <si>
    <t>アスクル商品名</t>
    <rPh sb="4" eb="7">
      <t>ショウヒンメイ</t>
    </rPh>
    <phoneticPr fontId="2"/>
  </si>
  <si>
    <t>No.</t>
    <phoneticPr fontId="2"/>
  </si>
  <si>
    <t>大分類</t>
    <rPh sb="0" eb="3">
      <t>ダイブンルイ</t>
    </rPh>
    <phoneticPr fontId="2"/>
  </si>
  <si>
    <t>4月売価</t>
    <rPh sb="1" eb="2">
      <t>ガツ</t>
    </rPh>
    <rPh sb="2" eb="4">
      <t>バイカ</t>
    </rPh>
    <phoneticPr fontId="2"/>
  </si>
  <si>
    <t>荷姿</t>
    <rPh sb="0" eb="2">
      <t>ニスガタ</t>
    </rPh>
    <phoneticPr fontId="2"/>
  </si>
  <si>
    <t>キー</t>
    <phoneticPr fontId="2"/>
  </si>
  <si>
    <t>ｱｽｸﾙ
ｽﾗｲﾄﾞ</t>
    <phoneticPr fontId="2"/>
  </si>
  <si>
    <t>J848WN</t>
  </si>
  <si>
    <t>7155AM</t>
  </si>
  <si>
    <t>J901SA</t>
  </si>
  <si>
    <t>7152AM</t>
  </si>
  <si>
    <t>J270XA</t>
  </si>
  <si>
    <t>J847WN</t>
  </si>
  <si>
    <t>J1784P</t>
  </si>
  <si>
    <t>J902SA</t>
  </si>
  <si>
    <t>7153AM</t>
  </si>
  <si>
    <t>J446SA</t>
  </si>
  <si>
    <t>7154AM</t>
  </si>
  <si>
    <t>J313WW</t>
  </si>
  <si>
    <t>J903SA</t>
  </si>
  <si>
    <t>J4682T</t>
  </si>
  <si>
    <t>G)今村紙工/ﾌﾞﾛｯｸﾒﾓ 350枚綴り/IB-350</t>
  </si>
  <si>
    <t>今村紙工/すべらないﾒﾓ帳 A6 50枚/MPS-A6</t>
  </si>
  <si>
    <t>今村紙工/ﾌﾟﾚｾﾞﾝ用製本ﾌｧｲﾙA4 30枚収容ﾌﾞﾗｯｸ5冊/S-001</t>
  </si>
  <si>
    <t>今村紙工/ﾌﾟﾚｾﾞﾝ用製本ﾌｧｲﾙA4 30枚収容ｲｴﾛｰ 5冊/S-002</t>
  </si>
  <si>
    <t>今村紙工/ﾌﾟﾚｾﾞﾝ用製本ﾌｧｲﾙA4 30枚収容ｸﾞﾘｰﾝ5冊/S-003</t>
  </si>
  <si>
    <t>今村紙工/ﾌﾟﾚｾﾞﾝ用製本ﾌｧｲﾙA4 30枚収容ﾋﾟﾝｸ 5冊/S-004</t>
  </si>
  <si>
    <t>今村紙工/ﾌﾟﾚｾﾞﾝ用製本ﾌｧｲﾙA4 30枚収容ﾌﾞﾙｰ 5冊/S-005</t>
  </si>
  <si>
    <t>今村紙工/ｶﾗｰ工作用紙 丸型ﾀｲﾌﾟ ｱｿｰﾄ 80枚/G-80</t>
  </si>
  <si>
    <t>今村紙工/紙平袋 ｽﾄﾚｰﾄｶｯﾄﾀｲﾌﾟ 未晒3S 200枚/HBC-3S</t>
  </si>
  <si>
    <t>今村紙工/紙製 FSC ﾍﾟｰﾊﾟｰﾎﾙﾀﾞｰ A4 50枚入/PAPF-A4</t>
  </si>
  <si>
    <t>今村紙工/白画用紙 厚口 A4 100枚入/MA4-100</t>
  </si>
  <si>
    <t>今村紙工/紙平袋 ｽﾄﾚｰﾄｶｯﾄﾀｲﾌﾟ 未晒SS 200枚/HBC-SS</t>
  </si>
  <si>
    <t>今村紙工/模造紙 方眼ﾌﾟﾙﾀｲﾌﾟ 20枚 白/MZ-WH</t>
  </si>
  <si>
    <t>G)今村紙工/模造紙 20枚 白無地/MZ-WW</t>
  </si>
  <si>
    <t>今村紙工/白画用紙 厚口 八つ切 100枚入/M8-100</t>
  </si>
  <si>
    <t>今村紙工/紙平袋 ｽﾄﾚｰﾄｶｯﾄﾀｲﾌﾟ 未晒S 200枚/HBC-S</t>
  </si>
  <si>
    <t>今村紙工/紙製ﾌｧｲﾙ ﾄﾚｰｼﾝｸﾞﾍﾟｰﾊﾟｰ ｴｺﾌｧｲﾙ A4 30枚入</t>
  </si>
  <si>
    <t>今村紙工/紙平袋 ｽﾄﾚｰﾄｶｯﾄﾀｲﾌﾟ 未晒M 200枚/HBC-M</t>
  </si>
  <si>
    <t>今村紙工/見出し紙 無地 500枚/MM-500</t>
  </si>
  <si>
    <t>今村紙工/白画用紙 厚口 四つ切 100枚入/M4-100</t>
  </si>
  <si>
    <t>今村紙工/模造紙 20枚 黒無地/MZ-BB</t>
  </si>
  <si>
    <t>-</t>
  </si>
  <si>
    <t>今村紙工　ブロックメモ　IB-350</t>
  </si>
  <si>
    <t>今村紙工 すべらないメモ帳 A6サイズ 50枚綴り MPS-A6 1個</t>
  </si>
  <si>
    <t>今村紙工 カラー工作用紙 丸型タイプ アソート G-80 1袋（80枚）</t>
  </si>
  <si>
    <t>今村紙工 紙平袋（ストレートカットタイプ）未晒 3S 1袋（200枚入）</t>
  </si>
  <si>
    <t>今村紙工 ペーパーホルダーA4 50枚入 PAPF-A4 FSC認証</t>
  </si>
  <si>
    <t>今村紙工 白画用紙 厚口 A4 100枚 MA4-100 1包</t>
  </si>
  <si>
    <t>今村紙工 紙平袋（ストレートカットタイプ）未晒 SS 1袋（200枚入）</t>
  </si>
  <si>
    <t>今村紙工 方眼入　カラー模造紙　プルタイプ　1箱（20枚入）　白 MZーWH</t>
  </si>
  <si>
    <t>今村紙工 白画用紙 厚口 八つ切 100枚 M8-100 1包</t>
  </si>
  <si>
    <t>今村紙工 紙平袋（ストレートカットタイプ）未晒 S 1袋（200枚入）</t>
  </si>
  <si>
    <t>今村紙工 トレーシングペーパー エコファイル A4 500枚 TF-A4 1ケース(500枚)（直送品）</t>
  </si>
  <si>
    <t>今村紙工 紙平袋（ストレートカットタイプ）未晒 M 1袋（200枚入）</t>
  </si>
  <si>
    <t>今村紙工　見出し紙（無地）　MM-500　1箱（500枚入）</t>
  </si>
  <si>
    <t>今村紙工 白画用紙 厚口 四つ切 100枚 M4-100 1包</t>
  </si>
  <si>
    <t>852314</t>
  </si>
  <si>
    <t>1冊</t>
  </si>
  <si>
    <t>XJ40323</t>
  </si>
  <si>
    <t>1個</t>
  </si>
  <si>
    <t>EH25904</t>
  </si>
  <si>
    <t>1袋（80枚）</t>
  </si>
  <si>
    <t>AH66210</t>
  </si>
  <si>
    <t>1袋（200枚入）</t>
  </si>
  <si>
    <t>P678660</t>
  </si>
  <si>
    <t>1袋（50枚入）</t>
  </si>
  <si>
    <t>X760224</t>
  </si>
  <si>
    <t>1包（100枚入）</t>
  </si>
  <si>
    <t>AH66214</t>
  </si>
  <si>
    <t>UK43046</t>
  </si>
  <si>
    <t>1箱（20枚入）</t>
  </si>
  <si>
    <t>5880062</t>
  </si>
  <si>
    <t>X760233</t>
  </si>
  <si>
    <t>AH66437</t>
  </si>
  <si>
    <t>WH82479</t>
  </si>
  <si>
    <t>1ケース（500枚）</t>
  </si>
  <si>
    <t>AH66216</t>
  </si>
  <si>
    <t>1995124</t>
  </si>
  <si>
    <t>1箱（500枚入）</t>
  </si>
  <si>
    <t>X760234</t>
  </si>
  <si>
    <t>9925270</t>
  </si>
  <si>
    <t>今村紙工/模造紙 方眼ﾌﾟﾙﾀｲﾌﾟ 20枚 白/MZ-WH　（ALL9）</t>
    <phoneticPr fontId="2"/>
  </si>
  <si>
    <t>5月売価</t>
    <rPh sb="1" eb="2">
      <t>ガツ</t>
    </rPh>
    <rPh sb="2" eb="4">
      <t>バイカ</t>
    </rPh>
    <phoneticPr fontId="2"/>
  </si>
  <si>
    <t>今村紙工　模造紙　無地　白　788×1091　MZ-WW　1箱（20枚入）</t>
  </si>
  <si>
    <t>今村紙工　模造紙　無地　黒　788×1091　MZ-BB　1箱（20枚入）</t>
  </si>
  <si>
    <t>A列ピンクは2倉庫品</t>
    <rPh sb="1" eb="2">
      <t>レツ</t>
    </rPh>
    <rPh sb="7" eb="10">
      <t>ソウコヒン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</si>
</sst>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%"/>
  </numFmts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FF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3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14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3" borderId="4" xfId="0" applyFill="1" applyBorder="1">
      <alignment vertical="center"/>
    </xf>
    <xf numFmtId="0" fontId="0" fillId="6" borderId="3" xfId="0" applyFill="1" applyBorder="1">
      <alignment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</cellXfs>
  <cellStyles count="1">
    <cellStyle name="標準" xfId="0" builtinId="0"/>
  </cellStyles>
  <dxfs count="4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0CF-9003-4B2D-B659-7F339ED5B476}">
  <dimension ref="A1:BB26"/>
  <sheetViews>
    <sheetView tabSelected="1" zoomScale="90" zoomScaleNormal="90" workbookViewId="0">
      <pane xSplit="6" ySplit="5" topLeftCell="S6" activePane="bottomRight" state="frozen"/>
      <selection pane="topRight" activeCell="G1" sqref="G1"/>
      <selection pane="bottomLeft" activeCell="A5" sqref="A5"/>
      <selection pane="bottomRight" activeCell="AC26" sqref="AC26"/>
    </sheetView>
  </sheetViews>
  <sheetFormatPr defaultRowHeight="18.75" outlineLevelCol="1" x14ac:dyDescent="0.4"/>
  <cols>
    <col min="1" max="1" width="4.75" customWidth="1"/>
    <col min="5" max="5" width="47.75" customWidth="1"/>
    <col min="6" max="6" width="15.5" bestFit="1" customWidth="1"/>
    <col min="7" max="10" width="7.5" hidden="1" customWidth="1" outlineLevel="1"/>
    <col min="11" max="11" width="6" customWidth="1" collapsed="1"/>
    <col min="12" max="14" width="7.625" customWidth="1"/>
    <col min="15" max="15" width="6.125" customWidth="1"/>
    <col min="16" max="17" width="7.625" hidden="1" customWidth="1" outlineLevel="1"/>
    <col min="18" max="18" width="7.625" customWidth="1" collapsed="1"/>
    <col min="19" max="21" width="7.625" customWidth="1"/>
    <col min="22" max="22" width="4.375" customWidth="1" collapsed="1"/>
    <col min="23" max="30" width="7.625" customWidth="1"/>
    <col min="31" max="31" width="6.125" customWidth="1"/>
    <col min="32" max="34" width="7.625" hidden="1" customWidth="1" outlineLevel="1"/>
    <col min="35" max="35" width="7.625" customWidth="1" collapsed="1"/>
    <col min="36" max="37" width="7.625" customWidth="1"/>
    <col min="38" max="40" width="7.625" customWidth="1" outlineLevel="1"/>
    <col min="41" max="44" width="7.625" customWidth="1"/>
    <col min="45" max="45" width="10.375" customWidth="1"/>
    <col min="46" max="46" width="7.5" customWidth="1"/>
    <col min="47" max="53" width="7.625" customWidth="1"/>
  </cols>
  <sheetData>
    <row r="1" spans="1:54" x14ac:dyDescent="0.4">
      <c r="B1" s="29" t="s">
        <v>43</v>
      </c>
      <c r="R1" s="38" t="s">
        <v>40</v>
      </c>
      <c r="S1" s="39"/>
      <c r="T1" s="39"/>
      <c r="U1" s="40"/>
    </row>
    <row r="2" spans="1:54" x14ac:dyDescent="0.4">
      <c r="B2" s="8" t="s">
        <v>27</v>
      </c>
      <c r="C2" s="9" t="s">
        <v>28</v>
      </c>
      <c r="D2" s="9" t="s">
        <v>29</v>
      </c>
      <c r="E2" s="10"/>
      <c r="F2" s="10"/>
      <c r="G2" s="32"/>
      <c r="H2" s="32"/>
      <c r="I2" s="35" t="s">
        <v>30</v>
      </c>
      <c r="J2" s="37"/>
      <c r="K2" s="35" t="s">
        <v>2</v>
      </c>
      <c r="L2" s="36"/>
      <c r="M2" s="36"/>
      <c r="N2" s="37"/>
      <c r="O2" s="11"/>
      <c r="P2" s="31"/>
      <c r="Q2" s="31"/>
      <c r="R2" s="23"/>
      <c r="S2" s="24" t="s">
        <v>33</v>
      </c>
      <c r="T2" s="24"/>
      <c r="U2" s="25" t="s">
        <v>33</v>
      </c>
      <c r="V2" s="10"/>
      <c r="W2" s="9" t="s">
        <v>38</v>
      </c>
      <c r="X2" s="11"/>
      <c r="Y2" s="11"/>
      <c r="Z2" s="11"/>
      <c r="AA2" s="11"/>
      <c r="AB2" s="11"/>
      <c r="AC2" s="22" t="s">
        <v>41</v>
      </c>
      <c r="AD2" s="11"/>
      <c r="AE2" s="11"/>
      <c r="AF2" s="27"/>
      <c r="AG2" s="11"/>
      <c r="AH2" s="11"/>
      <c r="AI2" s="11"/>
      <c r="AJ2" s="11"/>
      <c r="AK2" s="11"/>
      <c r="AL2" s="11"/>
      <c r="AM2" s="11"/>
      <c r="AN2" s="11"/>
      <c r="AO2">
        <v>51</v>
      </c>
      <c r="AW2">
        <v>14</v>
      </c>
      <c r="AX2">
        <v>28</v>
      </c>
    </row>
    <row r="3" spans="1:54" ht="75" x14ac:dyDescent="0.4">
      <c r="A3" s="1" t="s">
        <v>51</v>
      </c>
      <c r="B3" s="2" t="s">
        <v>4</v>
      </c>
      <c r="C3" s="2" t="s">
        <v>9</v>
      </c>
      <c r="D3" s="2" t="s">
        <v>10</v>
      </c>
      <c r="E3" s="2" t="s">
        <v>0</v>
      </c>
      <c r="F3" s="12" t="s">
        <v>7</v>
      </c>
      <c r="G3" s="12" t="s">
        <v>54</v>
      </c>
      <c r="H3" s="12" t="s">
        <v>55</v>
      </c>
      <c r="I3" s="12" t="s">
        <v>24</v>
      </c>
      <c r="J3" s="12" t="s">
        <v>25</v>
      </c>
      <c r="K3" s="12" t="s">
        <v>1</v>
      </c>
      <c r="L3" s="2" t="s">
        <v>8</v>
      </c>
      <c r="M3" s="2" t="s">
        <v>5</v>
      </c>
      <c r="N3" s="2" t="s">
        <v>16</v>
      </c>
      <c r="O3" s="12" t="s">
        <v>49</v>
      </c>
      <c r="P3" s="12" t="s">
        <v>20</v>
      </c>
      <c r="Q3" s="12" t="s">
        <v>21</v>
      </c>
      <c r="R3" s="12" t="s">
        <v>3</v>
      </c>
      <c r="S3" s="12" t="s">
        <v>22</v>
      </c>
      <c r="T3" s="2" t="s">
        <v>5</v>
      </c>
      <c r="U3" s="12" t="s">
        <v>23</v>
      </c>
      <c r="V3" s="14" t="s">
        <v>6</v>
      </c>
      <c r="W3" s="20" t="s">
        <v>17</v>
      </c>
      <c r="X3" s="2" t="s">
        <v>16</v>
      </c>
      <c r="Y3" s="2" t="s">
        <v>44</v>
      </c>
      <c r="Z3" s="12" t="s">
        <v>39</v>
      </c>
      <c r="AA3" s="12" t="s">
        <v>56</v>
      </c>
      <c r="AB3" s="2" t="s">
        <v>16</v>
      </c>
      <c r="AC3" s="13" t="s">
        <v>31</v>
      </c>
      <c r="AD3" s="2" t="s">
        <v>16</v>
      </c>
      <c r="AE3" s="2" t="s">
        <v>32</v>
      </c>
      <c r="AF3" s="26" t="s">
        <v>34</v>
      </c>
      <c r="AG3" s="12" t="s">
        <v>35</v>
      </c>
      <c r="AH3" s="12" t="s">
        <v>36</v>
      </c>
      <c r="AI3" s="12" t="s">
        <v>26</v>
      </c>
      <c r="AJ3" s="12" t="s">
        <v>37</v>
      </c>
      <c r="AK3" s="12" t="s">
        <v>18</v>
      </c>
      <c r="AL3" s="12" t="s">
        <v>19</v>
      </c>
      <c r="AM3" s="12" t="s">
        <v>20</v>
      </c>
      <c r="AN3" s="12" t="s">
        <v>21</v>
      </c>
      <c r="AO3" s="2" t="s">
        <v>11</v>
      </c>
      <c r="AP3" s="2" t="s">
        <v>12</v>
      </c>
      <c r="AQ3" s="2" t="s">
        <v>13</v>
      </c>
      <c r="AR3" s="2" t="s">
        <v>14</v>
      </c>
      <c r="AS3" s="12" t="s">
        <v>42</v>
      </c>
      <c r="AT3" s="12" t="s">
        <v>53</v>
      </c>
      <c r="AU3" s="2" t="s">
        <v>133</v>
      </c>
      <c r="AV3" s="2" t="s">
        <v>15</v>
      </c>
      <c r="AW3" s="18" t="s">
        <v>45</v>
      </c>
      <c r="AX3" s="18" t="s">
        <v>46</v>
      </c>
      <c r="AY3" s="15" t="s">
        <v>52</v>
      </c>
      <c r="AZ3" s="30" t="s">
        <v>47</v>
      </c>
      <c r="BA3" t="s">
        <v>48</v>
      </c>
      <c r="BB3" t="s">
        <v>50</v>
      </c>
    </row>
    <row r="4" spans="1:54" x14ac:dyDescent="0.4">
      <c r="A4" s="3">
        <v>1</v>
      </c>
      <c r="B4" s="4">
        <v>153735</v>
      </c>
      <c r="C4" s="4" t="str">
        <f>TEXT(B4,"000000")</f>
        <v>153735</v>
      </c>
      <c r="D4" s="4">
        <v>153735</v>
      </c>
      <c r="E4" s="4" t="s">
        <v>71</v>
      </c>
      <c r="F4" s="5">
        <v>4957470404004</v>
      </c>
      <c r="G4" s="5"/>
      <c r="H4" s="5"/>
      <c r="I4" s="5">
        <v>1</v>
      </c>
      <c r="J4" s="5">
        <v>1</v>
      </c>
      <c r="K4" s="4">
        <v>0</v>
      </c>
      <c r="L4" s="4">
        <v>131</v>
      </c>
      <c r="M4" s="4">
        <v>72.5</v>
      </c>
      <c r="N4" s="6">
        <f t="shared" ref="N4:N13" si="0">1-M4/L4</f>
        <v>0.44656488549618323</v>
      </c>
      <c r="O4" s="4" t="s">
        <v>92</v>
      </c>
      <c r="P4" s="4" t="s">
        <v>92</v>
      </c>
      <c r="Q4" s="4" t="s">
        <v>92</v>
      </c>
      <c r="R4" s="4">
        <v>0</v>
      </c>
      <c r="S4" s="4">
        <f>IF(V4="",R4,R4*V4)</f>
        <v>0</v>
      </c>
      <c r="T4" s="4">
        <v>81</v>
      </c>
      <c r="U4" s="4">
        <f>IF(V4="",T4,T4*V4)</f>
        <v>81</v>
      </c>
      <c r="V4" s="4"/>
      <c r="W4" s="21">
        <f t="shared" ref="W4:W25" si="1">ROUND(L4*AK4,0)</f>
        <v>146</v>
      </c>
      <c r="X4" s="6">
        <f t="shared" ref="X4" si="2">1-U4/W4</f>
        <v>0.4452054794520548</v>
      </c>
      <c r="Y4" s="4">
        <v>123.50000000000001</v>
      </c>
      <c r="Z4" s="4">
        <f>AV4</f>
        <v>130</v>
      </c>
      <c r="AA4" s="4">
        <f t="shared" ref="AA4:AA25" si="3">Z4*AK4</f>
        <v>145.24137931034483</v>
      </c>
      <c r="AB4" s="6">
        <f t="shared" ref="AB4:AB25" si="4">1-U4/AA4</f>
        <v>0.44230769230769229</v>
      </c>
      <c r="AC4" s="7">
        <v>145</v>
      </c>
      <c r="AD4" s="6">
        <f t="shared" ref="AD4:AD25" si="5">1-U4/AC4</f>
        <v>0.44137931034482758</v>
      </c>
      <c r="AE4" s="4">
        <f t="shared" ref="AE4:AE25" si="6">AC4-U4</f>
        <v>64</v>
      </c>
      <c r="AF4" s="28"/>
      <c r="AG4" s="6" t="e">
        <f>1-U4/AF4</f>
        <v>#DIV/0!</v>
      </c>
      <c r="AH4" s="4">
        <f>AF4-U4</f>
        <v>-81</v>
      </c>
      <c r="AI4" s="6" t="e">
        <f t="shared" ref="AI4:AI25" si="7">S4/K4</f>
        <v>#DIV/0!</v>
      </c>
      <c r="AJ4" s="6">
        <f t="shared" ref="AJ4:AJ25" si="8">AC4/L4</f>
        <v>1.1068702290076335</v>
      </c>
      <c r="AK4" s="6">
        <f t="shared" ref="AK4:AK25" si="9">U4/M4</f>
        <v>1.1172413793103448</v>
      </c>
      <c r="AL4" s="4" t="str">
        <f t="shared" ref="AL4:AL25" si="10">IFERROR(ROUND($AC4*O4/$L4,0),"-")</f>
        <v>-</v>
      </c>
      <c r="AM4" s="4" t="str">
        <f t="shared" ref="AM4:AM25" si="11">IF(P4="","-",P4)</f>
        <v>-</v>
      </c>
      <c r="AN4" s="4" t="str">
        <f t="shared" ref="AN4:AN25" si="12">IF(Q4="","-",Q4)</f>
        <v>-</v>
      </c>
      <c r="AO4" s="4">
        <v>0</v>
      </c>
      <c r="AP4" s="4" t="s">
        <v>107</v>
      </c>
      <c r="AQ4" s="4"/>
      <c r="AR4" s="4"/>
      <c r="AS4" s="4" t="s">
        <v>108</v>
      </c>
      <c r="AT4" s="4">
        <v>130</v>
      </c>
      <c r="AU4" s="4">
        <v>130</v>
      </c>
      <c r="AV4" s="4">
        <f t="shared" ref="AV4:AV5" si="13">IF(AQ4="",AU4,AQ4/AR4*AU4)</f>
        <v>130</v>
      </c>
      <c r="AW4" s="19">
        <v>4</v>
      </c>
      <c r="AX4" s="19">
        <v>1</v>
      </c>
      <c r="AY4" s="16">
        <v>4</v>
      </c>
      <c r="AZ4" t="s">
        <v>92</v>
      </c>
      <c r="BA4" t="s">
        <v>92</v>
      </c>
      <c r="BB4" s="4" t="s">
        <v>93</v>
      </c>
    </row>
    <row r="5" spans="1:54" x14ac:dyDescent="0.4">
      <c r="A5" s="3">
        <v>2</v>
      </c>
      <c r="B5" s="4">
        <v>920839</v>
      </c>
      <c r="C5" s="4" t="str">
        <f t="shared" ref="C5:C13" si="14">TEXT(B5,"000000")</f>
        <v>920839</v>
      </c>
      <c r="D5" s="4">
        <v>920839</v>
      </c>
      <c r="E5" s="4" t="s">
        <v>72</v>
      </c>
      <c r="F5" s="5">
        <v>4957470403915</v>
      </c>
      <c r="G5" s="5"/>
      <c r="H5" s="5"/>
      <c r="I5" s="5">
        <v>1</v>
      </c>
      <c r="J5" s="5">
        <v>1</v>
      </c>
      <c r="K5" s="4">
        <v>0</v>
      </c>
      <c r="L5" s="4">
        <v>179</v>
      </c>
      <c r="M5" s="4">
        <v>81</v>
      </c>
      <c r="N5" s="6">
        <f t="shared" si="0"/>
        <v>0.54748603351955305</v>
      </c>
      <c r="O5" s="4" t="s">
        <v>92</v>
      </c>
      <c r="P5" s="4" t="s">
        <v>92</v>
      </c>
      <c r="Q5" s="4" t="s">
        <v>92</v>
      </c>
      <c r="R5" s="4">
        <v>0</v>
      </c>
      <c r="S5" s="4">
        <f t="shared" ref="S5:S13" si="15">IF(V5="",R5,R5*V5)</f>
        <v>0</v>
      </c>
      <c r="T5" s="4">
        <v>91</v>
      </c>
      <c r="U5" s="4">
        <f t="shared" ref="U5:U13" si="16">IF(V5="",T5,T5*V5)</f>
        <v>91</v>
      </c>
      <c r="V5" s="4"/>
      <c r="W5" s="21">
        <f t="shared" si="1"/>
        <v>201</v>
      </c>
      <c r="X5" s="6">
        <f t="shared" ref="X5" si="17">1-U5/W5</f>
        <v>0.54726368159203975</v>
      </c>
      <c r="Y5" s="4">
        <v>3.25</v>
      </c>
      <c r="Z5" s="4">
        <f t="shared" ref="Z5:Z13" si="18">AV5</f>
        <v>127</v>
      </c>
      <c r="AA5" s="4">
        <f t="shared" si="3"/>
        <v>142.67901234567901</v>
      </c>
      <c r="AB5" s="6">
        <f t="shared" si="4"/>
        <v>0.36220472440944884</v>
      </c>
      <c r="AC5" s="7">
        <v>140</v>
      </c>
      <c r="AD5" s="6">
        <f t="shared" si="5"/>
        <v>0.35</v>
      </c>
      <c r="AE5" s="4">
        <f t="shared" si="6"/>
        <v>49</v>
      </c>
      <c r="AF5" s="28"/>
      <c r="AG5" s="6"/>
      <c r="AH5" s="6"/>
      <c r="AI5" s="6" t="e">
        <f t="shared" si="7"/>
        <v>#DIV/0!</v>
      </c>
      <c r="AJ5" s="6">
        <f t="shared" si="8"/>
        <v>0.78212290502793291</v>
      </c>
      <c r="AK5" s="6">
        <f t="shared" si="9"/>
        <v>1.1234567901234569</v>
      </c>
      <c r="AL5" s="4" t="str">
        <f t="shared" si="10"/>
        <v>-</v>
      </c>
      <c r="AM5" s="4" t="str">
        <f t="shared" si="11"/>
        <v>-</v>
      </c>
      <c r="AN5" s="4" t="str">
        <f t="shared" si="12"/>
        <v>-</v>
      </c>
      <c r="AO5" s="4">
        <v>0</v>
      </c>
      <c r="AP5" s="4" t="s">
        <v>109</v>
      </c>
      <c r="AQ5" s="4"/>
      <c r="AR5" s="4"/>
      <c r="AS5" s="4" t="s">
        <v>110</v>
      </c>
      <c r="AT5" s="4">
        <v>127</v>
      </c>
      <c r="AU5" s="4">
        <v>127</v>
      </c>
      <c r="AV5" s="4">
        <f t="shared" si="13"/>
        <v>127</v>
      </c>
      <c r="AW5" s="19">
        <v>4</v>
      </c>
      <c r="AX5" s="19">
        <v>1</v>
      </c>
      <c r="AY5" s="16">
        <v>4</v>
      </c>
      <c r="AZ5" t="s">
        <v>92</v>
      </c>
      <c r="BA5" t="s">
        <v>92</v>
      </c>
      <c r="BB5" s="4" t="s">
        <v>94</v>
      </c>
    </row>
    <row r="6" spans="1:54" x14ac:dyDescent="0.4">
      <c r="A6" s="3">
        <v>3</v>
      </c>
      <c r="B6" s="17">
        <v>621617</v>
      </c>
      <c r="C6" s="4" t="str">
        <f t="shared" si="14"/>
        <v>621617</v>
      </c>
      <c r="D6" s="4">
        <v>621617</v>
      </c>
      <c r="E6" s="4" t="s">
        <v>73</v>
      </c>
      <c r="F6" s="5">
        <v>4957470103648</v>
      </c>
      <c r="G6" s="5"/>
      <c r="H6" s="5"/>
      <c r="I6" s="5">
        <v>1</v>
      </c>
      <c r="J6" s="5">
        <v>1</v>
      </c>
      <c r="K6" s="4">
        <v>0</v>
      </c>
      <c r="L6" s="4">
        <v>422</v>
      </c>
      <c r="M6" s="4">
        <v>228</v>
      </c>
      <c r="N6" s="6">
        <f t="shared" si="0"/>
        <v>0.45971563981042651</v>
      </c>
      <c r="O6" s="4" t="s">
        <v>92</v>
      </c>
      <c r="P6" s="4" t="s">
        <v>92</v>
      </c>
      <c r="Q6" s="4" t="s">
        <v>92</v>
      </c>
      <c r="R6" s="4">
        <v>0</v>
      </c>
      <c r="S6" s="4">
        <f t="shared" si="15"/>
        <v>0</v>
      </c>
      <c r="T6" s="4">
        <v>262</v>
      </c>
      <c r="U6" s="4">
        <f t="shared" si="16"/>
        <v>262</v>
      </c>
      <c r="V6" s="4"/>
      <c r="W6" s="21">
        <f t="shared" si="1"/>
        <v>485</v>
      </c>
      <c r="X6" s="6">
        <f t="shared" ref="X6:X13" si="19">1-U6/W6</f>
        <v>0.45979381443298972</v>
      </c>
      <c r="Y6" s="4">
        <v>56.999999999999993</v>
      </c>
      <c r="Z6" s="4" t="str">
        <f t="shared" si="18"/>
        <v>-</v>
      </c>
      <c r="AA6" s="4" t="e">
        <f t="shared" si="3"/>
        <v>#VALUE!</v>
      </c>
      <c r="AB6" s="6" t="e">
        <f t="shared" si="4"/>
        <v>#VALUE!</v>
      </c>
      <c r="AC6" s="7">
        <v>480</v>
      </c>
      <c r="AD6" s="6">
        <f t="shared" si="5"/>
        <v>0.45416666666666672</v>
      </c>
      <c r="AE6" s="4">
        <f t="shared" si="6"/>
        <v>218</v>
      </c>
      <c r="AF6" s="28"/>
      <c r="AG6" s="6"/>
      <c r="AH6" s="6"/>
      <c r="AI6" s="6" t="e">
        <f t="shared" si="7"/>
        <v>#DIV/0!</v>
      </c>
      <c r="AJ6" s="6">
        <f t="shared" si="8"/>
        <v>1.1374407582938388</v>
      </c>
      <c r="AK6" s="6">
        <f t="shared" si="9"/>
        <v>1.1491228070175439</v>
      </c>
      <c r="AL6" s="4" t="str">
        <f t="shared" si="10"/>
        <v>-</v>
      </c>
      <c r="AM6" s="4" t="str">
        <f t="shared" si="11"/>
        <v>-</v>
      </c>
      <c r="AN6" s="4" t="str">
        <f t="shared" si="12"/>
        <v>-</v>
      </c>
      <c r="AO6" s="4">
        <v>12724</v>
      </c>
      <c r="AP6" s="4" t="s">
        <v>92</v>
      </c>
      <c r="AQ6" s="4"/>
      <c r="AR6" s="4"/>
      <c r="AS6" s="4" t="s">
        <v>92</v>
      </c>
      <c r="AT6" s="4" t="s">
        <v>92</v>
      </c>
      <c r="AU6" s="4" t="s">
        <v>92</v>
      </c>
      <c r="AV6" s="4" t="str">
        <f t="shared" ref="AV6:AV13" si="20">IF(AQ6="",AU6,AQ6/AR6*AU6)</f>
        <v>-</v>
      </c>
      <c r="AW6" s="19">
        <v>4</v>
      </c>
      <c r="AX6" s="19">
        <v>1</v>
      </c>
      <c r="AY6" s="16">
        <v>3</v>
      </c>
      <c r="AZ6" t="s">
        <v>92</v>
      </c>
      <c r="BA6" t="s">
        <v>92</v>
      </c>
      <c r="BB6" s="4" t="s">
        <v>92</v>
      </c>
    </row>
    <row r="7" spans="1:54" x14ac:dyDescent="0.4">
      <c r="A7" s="3">
        <v>4</v>
      </c>
      <c r="B7" s="17">
        <v>678551</v>
      </c>
      <c r="C7" s="4" t="str">
        <f t="shared" si="14"/>
        <v>678551</v>
      </c>
      <c r="D7" s="4">
        <v>678551</v>
      </c>
      <c r="E7" s="4" t="s">
        <v>74</v>
      </c>
      <c r="F7" s="5">
        <v>4957470103655</v>
      </c>
      <c r="G7" s="5"/>
      <c r="H7" s="5"/>
      <c r="I7" s="5">
        <v>1</v>
      </c>
      <c r="J7" s="5">
        <v>1</v>
      </c>
      <c r="K7" s="4">
        <v>0</v>
      </c>
      <c r="L7" s="4">
        <v>326</v>
      </c>
      <c r="M7" s="4">
        <v>228</v>
      </c>
      <c r="N7" s="6">
        <f t="shared" si="0"/>
        <v>0.30061349693251538</v>
      </c>
      <c r="O7" s="4" t="s">
        <v>92</v>
      </c>
      <c r="P7" s="4" t="s">
        <v>92</v>
      </c>
      <c r="Q7" s="4" t="s">
        <v>92</v>
      </c>
      <c r="R7" s="4">
        <v>0</v>
      </c>
      <c r="S7" s="4">
        <f t="shared" si="15"/>
        <v>0</v>
      </c>
      <c r="T7" s="4">
        <v>262</v>
      </c>
      <c r="U7" s="4">
        <f t="shared" si="16"/>
        <v>262</v>
      </c>
      <c r="V7" s="4"/>
      <c r="W7" s="21">
        <f t="shared" si="1"/>
        <v>375</v>
      </c>
      <c r="X7" s="6">
        <f t="shared" si="19"/>
        <v>0.30133333333333334</v>
      </c>
      <c r="Y7" s="4">
        <v>108.74999999999999</v>
      </c>
      <c r="Z7" s="4" t="str">
        <f t="shared" si="18"/>
        <v>-</v>
      </c>
      <c r="AA7" s="4" t="e">
        <f t="shared" si="3"/>
        <v>#VALUE!</v>
      </c>
      <c r="AB7" s="6" t="e">
        <f t="shared" si="4"/>
        <v>#VALUE!</v>
      </c>
      <c r="AC7" s="7">
        <v>480</v>
      </c>
      <c r="AD7" s="6">
        <f t="shared" si="5"/>
        <v>0.45416666666666672</v>
      </c>
      <c r="AE7" s="4">
        <f t="shared" si="6"/>
        <v>218</v>
      </c>
      <c r="AF7" s="28"/>
      <c r="AG7" s="6"/>
      <c r="AH7" s="6"/>
      <c r="AI7" s="6" t="e">
        <f t="shared" si="7"/>
        <v>#DIV/0!</v>
      </c>
      <c r="AJ7" s="6">
        <f t="shared" si="8"/>
        <v>1.4723926380368098</v>
      </c>
      <c r="AK7" s="6">
        <f t="shared" si="9"/>
        <v>1.1491228070175439</v>
      </c>
      <c r="AL7" s="4" t="str">
        <f t="shared" si="10"/>
        <v>-</v>
      </c>
      <c r="AM7" s="4" t="str">
        <f t="shared" si="11"/>
        <v>-</v>
      </c>
      <c r="AN7" s="4" t="str">
        <f t="shared" si="12"/>
        <v>-</v>
      </c>
      <c r="AO7" s="4">
        <v>12724</v>
      </c>
      <c r="AP7" s="4" t="s">
        <v>92</v>
      </c>
      <c r="AQ7" s="4"/>
      <c r="AR7" s="4"/>
      <c r="AS7" s="4" t="s">
        <v>92</v>
      </c>
      <c r="AT7" s="4" t="s">
        <v>92</v>
      </c>
      <c r="AU7" s="4" t="s">
        <v>92</v>
      </c>
      <c r="AV7" s="4" t="str">
        <f t="shared" si="20"/>
        <v>-</v>
      </c>
      <c r="AW7" s="19">
        <v>4</v>
      </c>
      <c r="AX7" s="19">
        <v>1</v>
      </c>
      <c r="AY7" s="16">
        <v>3</v>
      </c>
      <c r="AZ7" t="s">
        <v>92</v>
      </c>
      <c r="BA7" t="s">
        <v>92</v>
      </c>
      <c r="BB7" s="4" t="s">
        <v>92</v>
      </c>
    </row>
    <row r="8" spans="1:54" x14ac:dyDescent="0.4">
      <c r="A8" s="3">
        <v>5</v>
      </c>
      <c r="B8" s="17">
        <v>621614</v>
      </c>
      <c r="C8" s="4" t="str">
        <f t="shared" si="14"/>
        <v>621614</v>
      </c>
      <c r="D8" s="4">
        <v>621614</v>
      </c>
      <c r="E8" s="4" t="s">
        <v>75</v>
      </c>
      <c r="F8" s="5">
        <v>4957470103662</v>
      </c>
      <c r="G8" s="5"/>
      <c r="H8" s="5"/>
      <c r="I8" s="5">
        <v>1</v>
      </c>
      <c r="J8" s="5">
        <v>1</v>
      </c>
      <c r="K8" s="4">
        <v>0</v>
      </c>
      <c r="L8" s="4">
        <v>422</v>
      </c>
      <c r="M8" s="4">
        <v>228</v>
      </c>
      <c r="N8" s="6">
        <f t="shared" si="0"/>
        <v>0.45971563981042651</v>
      </c>
      <c r="O8" s="4" t="s">
        <v>92</v>
      </c>
      <c r="P8" s="4" t="s">
        <v>92</v>
      </c>
      <c r="Q8" s="4" t="s">
        <v>92</v>
      </c>
      <c r="R8" s="4">
        <v>0</v>
      </c>
      <c r="S8" s="4">
        <f t="shared" si="15"/>
        <v>0</v>
      </c>
      <c r="T8" s="4">
        <v>262</v>
      </c>
      <c r="U8" s="4">
        <f t="shared" si="16"/>
        <v>262</v>
      </c>
      <c r="V8" s="4"/>
      <c r="W8" s="21">
        <f t="shared" si="1"/>
        <v>485</v>
      </c>
      <c r="X8" s="6">
        <f t="shared" si="19"/>
        <v>0.45979381443298972</v>
      </c>
      <c r="Y8" s="4">
        <v>109.5</v>
      </c>
      <c r="Z8" s="4" t="str">
        <f t="shared" si="18"/>
        <v>-</v>
      </c>
      <c r="AA8" s="4" t="e">
        <f t="shared" si="3"/>
        <v>#VALUE!</v>
      </c>
      <c r="AB8" s="6" t="e">
        <f t="shared" si="4"/>
        <v>#VALUE!</v>
      </c>
      <c r="AC8" s="7">
        <v>480</v>
      </c>
      <c r="AD8" s="6">
        <f t="shared" si="5"/>
        <v>0.45416666666666672</v>
      </c>
      <c r="AE8" s="4">
        <f t="shared" si="6"/>
        <v>218</v>
      </c>
      <c r="AF8" s="28"/>
      <c r="AG8" s="6"/>
      <c r="AH8" s="6"/>
      <c r="AI8" s="6" t="e">
        <f t="shared" si="7"/>
        <v>#DIV/0!</v>
      </c>
      <c r="AJ8" s="6">
        <f t="shared" si="8"/>
        <v>1.1374407582938388</v>
      </c>
      <c r="AK8" s="6">
        <f t="shared" si="9"/>
        <v>1.1491228070175439</v>
      </c>
      <c r="AL8" s="4" t="str">
        <f t="shared" si="10"/>
        <v>-</v>
      </c>
      <c r="AM8" s="4" t="str">
        <f t="shared" si="11"/>
        <v>-</v>
      </c>
      <c r="AN8" s="4" t="str">
        <f t="shared" si="12"/>
        <v>-</v>
      </c>
      <c r="AO8" s="4">
        <v>12724</v>
      </c>
      <c r="AP8" s="4" t="s">
        <v>92</v>
      </c>
      <c r="AQ8" s="4"/>
      <c r="AR8" s="4"/>
      <c r="AS8" s="4" t="s">
        <v>92</v>
      </c>
      <c r="AT8" s="4" t="s">
        <v>92</v>
      </c>
      <c r="AU8" s="4" t="s">
        <v>92</v>
      </c>
      <c r="AV8" s="4" t="str">
        <f t="shared" si="20"/>
        <v>-</v>
      </c>
      <c r="AW8" s="19">
        <v>4</v>
      </c>
      <c r="AX8" s="19">
        <v>1</v>
      </c>
      <c r="AY8" s="16">
        <v>3</v>
      </c>
      <c r="AZ8" t="s">
        <v>92</v>
      </c>
      <c r="BA8" t="s">
        <v>92</v>
      </c>
      <c r="BB8" s="4" t="s">
        <v>92</v>
      </c>
    </row>
    <row r="9" spans="1:54" x14ac:dyDescent="0.4">
      <c r="A9" s="3">
        <v>6</v>
      </c>
      <c r="B9" s="17">
        <v>678552</v>
      </c>
      <c r="C9" s="4" t="str">
        <f t="shared" si="14"/>
        <v>678552</v>
      </c>
      <c r="D9" s="4">
        <v>678552</v>
      </c>
      <c r="E9" s="4" t="s">
        <v>76</v>
      </c>
      <c r="F9" s="5">
        <v>4957470103679</v>
      </c>
      <c r="G9" s="5"/>
      <c r="H9" s="5"/>
      <c r="I9" s="5">
        <v>1</v>
      </c>
      <c r="J9" s="5">
        <v>1</v>
      </c>
      <c r="K9" s="4">
        <v>0</v>
      </c>
      <c r="L9" s="4">
        <v>326</v>
      </c>
      <c r="M9" s="4">
        <v>228</v>
      </c>
      <c r="N9" s="6">
        <f t="shared" si="0"/>
        <v>0.30061349693251538</v>
      </c>
      <c r="O9" s="4" t="s">
        <v>92</v>
      </c>
      <c r="P9" s="4" t="s">
        <v>92</v>
      </c>
      <c r="Q9" s="4" t="s">
        <v>92</v>
      </c>
      <c r="R9" s="4">
        <v>0</v>
      </c>
      <c r="S9" s="4">
        <f t="shared" si="15"/>
        <v>0</v>
      </c>
      <c r="T9" s="4">
        <v>262</v>
      </c>
      <c r="U9" s="4">
        <f t="shared" si="16"/>
        <v>262</v>
      </c>
      <c r="V9" s="4"/>
      <c r="W9" s="21">
        <f t="shared" si="1"/>
        <v>375</v>
      </c>
      <c r="X9" s="6">
        <f t="shared" si="19"/>
        <v>0.30133333333333334</v>
      </c>
      <c r="Y9" s="4">
        <v>49.25</v>
      </c>
      <c r="Z9" s="4" t="str">
        <f t="shared" si="18"/>
        <v>-</v>
      </c>
      <c r="AA9" s="4" t="e">
        <f t="shared" si="3"/>
        <v>#VALUE!</v>
      </c>
      <c r="AB9" s="6" t="e">
        <f t="shared" si="4"/>
        <v>#VALUE!</v>
      </c>
      <c r="AC9" s="7">
        <v>480</v>
      </c>
      <c r="AD9" s="6">
        <f t="shared" si="5"/>
        <v>0.45416666666666672</v>
      </c>
      <c r="AE9" s="4">
        <f t="shared" si="6"/>
        <v>218</v>
      </c>
      <c r="AF9" s="28"/>
      <c r="AG9" s="6"/>
      <c r="AH9" s="6"/>
      <c r="AI9" s="6" t="e">
        <f t="shared" si="7"/>
        <v>#DIV/0!</v>
      </c>
      <c r="AJ9" s="6">
        <f t="shared" si="8"/>
        <v>1.4723926380368098</v>
      </c>
      <c r="AK9" s="6">
        <f t="shared" si="9"/>
        <v>1.1491228070175439</v>
      </c>
      <c r="AL9" s="4" t="str">
        <f t="shared" si="10"/>
        <v>-</v>
      </c>
      <c r="AM9" s="4" t="str">
        <f t="shared" si="11"/>
        <v>-</v>
      </c>
      <c r="AN9" s="4" t="str">
        <f t="shared" si="12"/>
        <v>-</v>
      </c>
      <c r="AO9" s="4">
        <v>12724</v>
      </c>
      <c r="AP9" s="4" t="s">
        <v>92</v>
      </c>
      <c r="AQ9" s="4"/>
      <c r="AR9" s="4"/>
      <c r="AS9" s="4" t="s">
        <v>92</v>
      </c>
      <c r="AT9" s="4" t="s">
        <v>92</v>
      </c>
      <c r="AU9" s="4" t="s">
        <v>92</v>
      </c>
      <c r="AV9" s="4" t="str">
        <f t="shared" si="20"/>
        <v>-</v>
      </c>
      <c r="AW9" s="19">
        <v>4</v>
      </c>
      <c r="AX9" s="19">
        <v>1</v>
      </c>
      <c r="AY9" s="16">
        <v>3</v>
      </c>
      <c r="AZ9" t="s">
        <v>92</v>
      </c>
      <c r="BA9" t="s">
        <v>92</v>
      </c>
      <c r="BB9" s="4" t="s">
        <v>92</v>
      </c>
    </row>
    <row r="10" spans="1:54" x14ac:dyDescent="0.4">
      <c r="A10" s="3">
        <v>7</v>
      </c>
      <c r="B10" s="4">
        <v>621613</v>
      </c>
      <c r="C10" s="4" t="str">
        <f t="shared" si="14"/>
        <v>621613</v>
      </c>
      <c r="D10" s="4">
        <v>621613</v>
      </c>
      <c r="E10" s="4" t="s">
        <v>77</v>
      </c>
      <c r="F10" s="5">
        <v>4957470103686</v>
      </c>
      <c r="G10" s="5"/>
      <c r="H10" s="5"/>
      <c r="I10" s="5">
        <v>1</v>
      </c>
      <c r="J10" s="5">
        <v>1</v>
      </c>
      <c r="K10" s="4">
        <v>0</v>
      </c>
      <c r="L10" s="4">
        <v>422</v>
      </c>
      <c r="M10" s="4">
        <v>228</v>
      </c>
      <c r="N10" s="6">
        <f t="shared" si="0"/>
        <v>0.45971563981042651</v>
      </c>
      <c r="O10" s="4" t="s">
        <v>92</v>
      </c>
      <c r="P10" s="4" t="s">
        <v>92</v>
      </c>
      <c r="Q10" s="4" t="s">
        <v>92</v>
      </c>
      <c r="R10" s="4">
        <v>0</v>
      </c>
      <c r="S10" s="4">
        <f t="shared" si="15"/>
        <v>0</v>
      </c>
      <c r="T10" s="4">
        <v>262</v>
      </c>
      <c r="U10" s="4">
        <f t="shared" si="16"/>
        <v>262</v>
      </c>
      <c r="V10" s="4"/>
      <c r="W10" s="21">
        <f t="shared" si="1"/>
        <v>485</v>
      </c>
      <c r="X10" s="6">
        <f t="shared" si="19"/>
        <v>0.45979381443298972</v>
      </c>
      <c r="Y10" s="4">
        <v>117.75</v>
      </c>
      <c r="Z10" s="4" t="str">
        <f t="shared" si="18"/>
        <v>-</v>
      </c>
      <c r="AA10" s="4" t="e">
        <f t="shared" si="3"/>
        <v>#VALUE!</v>
      </c>
      <c r="AB10" s="6" t="e">
        <f t="shared" si="4"/>
        <v>#VALUE!</v>
      </c>
      <c r="AC10" s="7">
        <v>480</v>
      </c>
      <c r="AD10" s="6">
        <f t="shared" si="5"/>
        <v>0.45416666666666672</v>
      </c>
      <c r="AE10" s="4">
        <f t="shared" si="6"/>
        <v>218</v>
      </c>
      <c r="AF10" s="28"/>
      <c r="AG10" s="6"/>
      <c r="AH10" s="6"/>
      <c r="AI10" s="6" t="e">
        <f t="shared" si="7"/>
        <v>#DIV/0!</v>
      </c>
      <c r="AJ10" s="6">
        <f t="shared" si="8"/>
        <v>1.1374407582938388</v>
      </c>
      <c r="AK10" s="6">
        <f t="shared" si="9"/>
        <v>1.1491228070175439</v>
      </c>
      <c r="AL10" s="4" t="str">
        <f t="shared" si="10"/>
        <v>-</v>
      </c>
      <c r="AM10" s="4" t="str">
        <f t="shared" si="11"/>
        <v>-</v>
      </c>
      <c r="AN10" s="4" t="str">
        <f t="shared" si="12"/>
        <v>-</v>
      </c>
      <c r="AO10" s="4">
        <v>12724</v>
      </c>
      <c r="AP10" s="4" t="s">
        <v>92</v>
      </c>
      <c r="AQ10" s="4"/>
      <c r="AR10" s="4"/>
      <c r="AS10" s="4" t="s">
        <v>92</v>
      </c>
      <c r="AT10" s="4" t="s">
        <v>92</v>
      </c>
      <c r="AU10" s="4" t="s">
        <v>92</v>
      </c>
      <c r="AV10" s="4" t="str">
        <f t="shared" si="20"/>
        <v>-</v>
      </c>
      <c r="AW10" s="19">
        <v>4</v>
      </c>
      <c r="AX10" s="19">
        <v>1</v>
      </c>
      <c r="AY10" s="16">
        <v>3</v>
      </c>
      <c r="AZ10" t="s">
        <v>92</v>
      </c>
      <c r="BA10" t="s">
        <v>92</v>
      </c>
      <c r="BB10" s="4" t="s">
        <v>92</v>
      </c>
    </row>
    <row r="11" spans="1:54" x14ac:dyDescent="0.4">
      <c r="A11" s="3">
        <v>8</v>
      </c>
      <c r="B11" s="4" t="s">
        <v>57</v>
      </c>
      <c r="C11" s="4" t="str">
        <f t="shared" si="14"/>
        <v>J848WN</v>
      </c>
      <c r="D11" s="4" t="s">
        <v>57</v>
      </c>
      <c r="E11" s="4" t="s">
        <v>78</v>
      </c>
      <c r="F11" s="5">
        <v>4957470035727</v>
      </c>
      <c r="G11" s="5"/>
      <c r="H11" s="5"/>
      <c r="I11" s="5">
        <v>1</v>
      </c>
      <c r="J11" s="5">
        <v>1</v>
      </c>
      <c r="K11" s="4">
        <v>0</v>
      </c>
      <c r="L11" s="4">
        <v>580</v>
      </c>
      <c r="M11" s="4">
        <v>307</v>
      </c>
      <c r="N11" s="6">
        <f t="shared" si="0"/>
        <v>0.47068965517241379</v>
      </c>
      <c r="O11" s="4" t="s">
        <v>92</v>
      </c>
      <c r="P11" s="4" t="s">
        <v>92</v>
      </c>
      <c r="Q11" s="4" t="s">
        <v>92</v>
      </c>
      <c r="R11" s="4">
        <v>0</v>
      </c>
      <c r="S11" s="4">
        <f t="shared" si="15"/>
        <v>0</v>
      </c>
      <c r="T11" s="4">
        <v>335</v>
      </c>
      <c r="U11" s="4">
        <f t="shared" si="16"/>
        <v>335</v>
      </c>
      <c r="V11" s="4"/>
      <c r="W11" s="21">
        <f t="shared" si="1"/>
        <v>633</v>
      </c>
      <c r="X11" s="6">
        <f t="shared" si="19"/>
        <v>0.47077409162717221</v>
      </c>
      <c r="Y11" s="4">
        <v>2</v>
      </c>
      <c r="Z11" s="4">
        <f t="shared" si="18"/>
        <v>537</v>
      </c>
      <c r="AA11" s="4">
        <f t="shared" si="3"/>
        <v>585.97719869706839</v>
      </c>
      <c r="AB11" s="6">
        <f t="shared" si="4"/>
        <v>0.42830540037243947</v>
      </c>
      <c r="AC11" s="7">
        <v>585</v>
      </c>
      <c r="AD11" s="6">
        <f t="shared" si="5"/>
        <v>0.42735042735042739</v>
      </c>
      <c r="AE11" s="4">
        <f t="shared" si="6"/>
        <v>250</v>
      </c>
      <c r="AF11" s="28"/>
      <c r="AG11" s="6"/>
      <c r="AH11" s="6"/>
      <c r="AI11" s="6" t="e">
        <f t="shared" si="7"/>
        <v>#DIV/0!</v>
      </c>
      <c r="AJ11" s="6">
        <f t="shared" si="8"/>
        <v>1.0086206896551724</v>
      </c>
      <c r="AK11" s="6">
        <f t="shared" si="9"/>
        <v>1.0912052117263844</v>
      </c>
      <c r="AL11" s="4" t="str">
        <f t="shared" si="10"/>
        <v>-</v>
      </c>
      <c r="AM11" s="4" t="str">
        <f t="shared" si="11"/>
        <v>-</v>
      </c>
      <c r="AN11" s="4" t="str">
        <f t="shared" si="12"/>
        <v>-</v>
      </c>
      <c r="AO11" s="4">
        <v>0</v>
      </c>
      <c r="AP11" s="4" t="s">
        <v>111</v>
      </c>
      <c r="AQ11" s="4"/>
      <c r="AR11" s="4"/>
      <c r="AS11" s="4" t="s">
        <v>112</v>
      </c>
      <c r="AT11" s="4">
        <v>537</v>
      </c>
      <c r="AU11" s="4">
        <v>537</v>
      </c>
      <c r="AV11" s="4">
        <f t="shared" si="20"/>
        <v>537</v>
      </c>
      <c r="AW11" s="19">
        <v>4</v>
      </c>
      <c r="AX11" s="19">
        <v>1</v>
      </c>
      <c r="AY11" s="16">
        <v>6</v>
      </c>
      <c r="AZ11" t="s">
        <v>92</v>
      </c>
      <c r="BA11" t="s">
        <v>92</v>
      </c>
      <c r="BB11" s="4" t="s">
        <v>95</v>
      </c>
    </row>
    <row r="12" spans="1:54" x14ac:dyDescent="0.4">
      <c r="A12" s="3">
        <v>9</v>
      </c>
      <c r="B12" s="4" t="s">
        <v>58</v>
      </c>
      <c r="C12" s="4" t="str">
        <f t="shared" si="14"/>
        <v>7155AM</v>
      </c>
      <c r="D12" s="4" t="s">
        <v>58</v>
      </c>
      <c r="E12" s="4" t="s">
        <v>79</v>
      </c>
      <c r="F12" s="5">
        <v>4957470134086</v>
      </c>
      <c r="G12" s="5"/>
      <c r="H12" s="5"/>
      <c r="I12" s="5">
        <v>1</v>
      </c>
      <c r="J12" s="5">
        <v>1</v>
      </c>
      <c r="K12" s="4">
        <v>0</v>
      </c>
      <c r="L12" s="4">
        <v>486</v>
      </c>
      <c r="M12" s="4">
        <v>316</v>
      </c>
      <c r="N12" s="6">
        <f t="shared" si="0"/>
        <v>0.34979423868312753</v>
      </c>
      <c r="O12" s="4" t="s">
        <v>92</v>
      </c>
      <c r="P12" s="4" t="s">
        <v>92</v>
      </c>
      <c r="Q12" s="4" t="s">
        <v>92</v>
      </c>
      <c r="R12" s="4">
        <v>0</v>
      </c>
      <c r="S12" s="4">
        <f t="shared" si="15"/>
        <v>0</v>
      </c>
      <c r="T12" s="4">
        <v>354</v>
      </c>
      <c r="U12" s="4">
        <f t="shared" si="16"/>
        <v>354</v>
      </c>
      <c r="V12" s="4"/>
      <c r="W12" s="21">
        <f t="shared" si="1"/>
        <v>544</v>
      </c>
      <c r="X12" s="6">
        <f t="shared" si="19"/>
        <v>0.34926470588235292</v>
      </c>
      <c r="Y12" s="4">
        <v>0.25</v>
      </c>
      <c r="Z12" s="4">
        <f t="shared" si="18"/>
        <v>564</v>
      </c>
      <c r="AA12" s="4">
        <f t="shared" si="3"/>
        <v>631.82278481012656</v>
      </c>
      <c r="AB12" s="6">
        <f t="shared" si="4"/>
        <v>0.43971631205673756</v>
      </c>
      <c r="AC12" s="7">
        <v>545</v>
      </c>
      <c r="AD12" s="6">
        <f t="shared" si="5"/>
        <v>0.35045871559633024</v>
      </c>
      <c r="AE12" s="4">
        <f t="shared" si="6"/>
        <v>191</v>
      </c>
      <c r="AF12" s="28"/>
      <c r="AG12" s="6"/>
      <c r="AH12" s="6"/>
      <c r="AI12" s="6" t="e">
        <f t="shared" si="7"/>
        <v>#DIV/0!</v>
      </c>
      <c r="AJ12" s="6">
        <f t="shared" si="8"/>
        <v>1.1213991769547325</v>
      </c>
      <c r="AK12" s="6">
        <f t="shared" si="9"/>
        <v>1.120253164556962</v>
      </c>
      <c r="AL12" s="4" t="str">
        <f t="shared" si="10"/>
        <v>-</v>
      </c>
      <c r="AM12" s="4" t="str">
        <f t="shared" si="11"/>
        <v>-</v>
      </c>
      <c r="AN12" s="4" t="str">
        <f t="shared" si="12"/>
        <v>-</v>
      </c>
      <c r="AO12" s="4">
        <v>0</v>
      </c>
      <c r="AP12" s="4" t="s">
        <v>113</v>
      </c>
      <c r="AQ12" s="4"/>
      <c r="AR12" s="4"/>
      <c r="AS12" s="4" t="s">
        <v>114</v>
      </c>
      <c r="AT12" s="4">
        <v>564</v>
      </c>
      <c r="AU12" s="4">
        <v>564</v>
      </c>
      <c r="AV12" s="4">
        <f t="shared" si="20"/>
        <v>564</v>
      </c>
      <c r="AW12" s="19">
        <v>4</v>
      </c>
      <c r="AX12" s="19">
        <v>1</v>
      </c>
      <c r="AY12" s="16">
        <v>18</v>
      </c>
      <c r="AZ12">
        <v>564</v>
      </c>
      <c r="BA12" t="s">
        <v>92</v>
      </c>
      <c r="BB12" s="4" t="s">
        <v>96</v>
      </c>
    </row>
    <row r="13" spans="1:54" x14ac:dyDescent="0.4">
      <c r="A13" s="3">
        <v>10</v>
      </c>
      <c r="B13" s="4">
        <v>167835</v>
      </c>
      <c r="C13" s="4" t="str">
        <f t="shared" si="14"/>
        <v>167835</v>
      </c>
      <c r="D13" s="4">
        <v>167835</v>
      </c>
      <c r="E13" s="4" t="s">
        <v>80</v>
      </c>
      <c r="F13" s="5">
        <v>4957470034713</v>
      </c>
      <c r="G13" s="5"/>
      <c r="H13" s="5"/>
      <c r="I13" s="5">
        <v>1</v>
      </c>
      <c r="J13" s="5">
        <v>1</v>
      </c>
      <c r="K13" s="4">
        <v>0</v>
      </c>
      <c r="L13" s="4">
        <v>654</v>
      </c>
      <c r="M13" s="4">
        <v>410</v>
      </c>
      <c r="N13" s="6">
        <f t="shared" si="0"/>
        <v>0.37308868501529047</v>
      </c>
      <c r="O13" s="4" t="s">
        <v>92</v>
      </c>
      <c r="P13" s="4" t="s">
        <v>92</v>
      </c>
      <c r="Q13" s="4" t="s">
        <v>92</v>
      </c>
      <c r="R13" s="4">
        <v>0</v>
      </c>
      <c r="S13" s="4">
        <f t="shared" si="15"/>
        <v>0</v>
      </c>
      <c r="T13" s="4">
        <v>455</v>
      </c>
      <c r="U13" s="4">
        <f t="shared" si="16"/>
        <v>455</v>
      </c>
      <c r="V13" s="4"/>
      <c r="W13" s="21">
        <f t="shared" si="1"/>
        <v>726</v>
      </c>
      <c r="X13" s="6">
        <f t="shared" si="19"/>
        <v>0.3732782369146006</v>
      </c>
      <c r="Y13" s="4">
        <v>9.5</v>
      </c>
      <c r="Z13" s="4">
        <f t="shared" si="18"/>
        <v>637</v>
      </c>
      <c r="AA13" s="4">
        <f t="shared" si="3"/>
        <v>706.91463414634154</v>
      </c>
      <c r="AB13" s="6">
        <f t="shared" si="4"/>
        <v>0.35635792778649933</v>
      </c>
      <c r="AC13" s="7">
        <v>700</v>
      </c>
      <c r="AD13" s="6">
        <f t="shared" si="5"/>
        <v>0.35</v>
      </c>
      <c r="AE13" s="4">
        <f t="shared" si="6"/>
        <v>245</v>
      </c>
      <c r="AF13" s="28"/>
      <c r="AG13" s="6"/>
      <c r="AH13" s="6"/>
      <c r="AI13" s="6" t="e">
        <f t="shared" si="7"/>
        <v>#DIV/0!</v>
      </c>
      <c r="AJ13" s="6">
        <f t="shared" si="8"/>
        <v>1.070336391437309</v>
      </c>
      <c r="AK13" s="6">
        <f t="shared" si="9"/>
        <v>1.1097560975609757</v>
      </c>
      <c r="AL13" s="4" t="str">
        <f t="shared" si="10"/>
        <v>-</v>
      </c>
      <c r="AM13" s="4" t="str">
        <f t="shared" si="11"/>
        <v>-</v>
      </c>
      <c r="AN13" s="4" t="str">
        <f t="shared" si="12"/>
        <v>-</v>
      </c>
      <c r="AO13" s="4">
        <v>12571</v>
      </c>
      <c r="AP13" s="4" t="s">
        <v>115</v>
      </c>
      <c r="AQ13" s="4"/>
      <c r="AR13" s="4"/>
      <c r="AS13" s="4" t="s">
        <v>116</v>
      </c>
      <c r="AT13" s="4">
        <v>637</v>
      </c>
      <c r="AU13" s="4">
        <v>637</v>
      </c>
      <c r="AV13" s="4">
        <f t="shared" si="20"/>
        <v>637</v>
      </c>
      <c r="AW13" s="19">
        <v>4</v>
      </c>
      <c r="AX13" s="19">
        <v>1</v>
      </c>
      <c r="AY13" s="16">
        <v>3</v>
      </c>
      <c r="AZ13" t="s">
        <v>92</v>
      </c>
      <c r="BA13">
        <v>545</v>
      </c>
      <c r="BB13" s="4" t="s">
        <v>97</v>
      </c>
    </row>
    <row r="14" spans="1:54" x14ac:dyDescent="0.4">
      <c r="A14" s="3">
        <v>11</v>
      </c>
      <c r="B14" s="4" t="s">
        <v>59</v>
      </c>
      <c r="C14" s="4" t="str">
        <f t="shared" ref="C14:C22" si="21">TEXT(B14,"000000")</f>
        <v>J901SA</v>
      </c>
      <c r="D14" s="4" t="s">
        <v>59</v>
      </c>
      <c r="E14" s="4" t="s">
        <v>81</v>
      </c>
      <c r="F14" s="5">
        <v>4957470035130</v>
      </c>
      <c r="G14" s="5"/>
      <c r="H14" s="5"/>
      <c r="I14" s="5">
        <v>1</v>
      </c>
      <c r="J14" s="5">
        <v>1</v>
      </c>
      <c r="K14" s="4">
        <v>0</v>
      </c>
      <c r="L14" s="4">
        <v>680</v>
      </c>
      <c r="M14" s="4">
        <v>433</v>
      </c>
      <c r="N14" s="6">
        <f t="shared" ref="N14:N22" si="22">1-M14/L14</f>
        <v>0.3632352941176471</v>
      </c>
      <c r="O14" s="4">
        <v>596</v>
      </c>
      <c r="P14" s="4">
        <v>3</v>
      </c>
      <c r="Q14" s="4">
        <v>99999</v>
      </c>
      <c r="R14" s="4">
        <v>0</v>
      </c>
      <c r="S14" s="4">
        <f t="shared" ref="S14:S22" si="23">IF(V14="",R14,R14*V14)</f>
        <v>0</v>
      </c>
      <c r="T14" s="4">
        <v>490</v>
      </c>
      <c r="U14" s="4">
        <f t="shared" ref="U14:U22" si="24">IF(V14="",T14,T14*V14)</f>
        <v>490</v>
      </c>
      <c r="V14" s="4"/>
      <c r="W14" s="21">
        <f t="shared" si="1"/>
        <v>770</v>
      </c>
      <c r="X14" s="6">
        <f t="shared" ref="X14:X22" si="25">1-U14/W14</f>
        <v>0.36363636363636365</v>
      </c>
      <c r="Y14" s="4">
        <v>22.75</v>
      </c>
      <c r="Z14" s="4">
        <f t="shared" ref="Z14:Z22" si="26">AV14</f>
        <v>721</v>
      </c>
      <c r="AA14" s="4">
        <f t="shared" si="3"/>
        <v>815.91224018475748</v>
      </c>
      <c r="AB14" s="6">
        <f t="shared" si="4"/>
        <v>0.3994452149791955</v>
      </c>
      <c r="AC14" s="7">
        <v>770</v>
      </c>
      <c r="AD14" s="6">
        <f t="shared" si="5"/>
        <v>0.36363636363636365</v>
      </c>
      <c r="AE14" s="4">
        <f t="shared" si="6"/>
        <v>280</v>
      </c>
      <c r="AF14" s="28"/>
      <c r="AG14" s="6"/>
      <c r="AH14" s="6"/>
      <c r="AI14" s="6" t="e">
        <f t="shared" si="7"/>
        <v>#DIV/0!</v>
      </c>
      <c r="AJ14" s="6">
        <f t="shared" si="8"/>
        <v>1.1323529411764706</v>
      </c>
      <c r="AK14" s="6">
        <f t="shared" si="9"/>
        <v>1.1316397228637414</v>
      </c>
      <c r="AL14" s="4">
        <f t="shared" si="10"/>
        <v>675</v>
      </c>
      <c r="AM14" s="4">
        <f t="shared" si="11"/>
        <v>3</v>
      </c>
      <c r="AN14" s="4">
        <f t="shared" si="12"/>
        <v>99999</v>
      </c>
      <c r="AO14" s="4">
        <v>0</v>
      </c>
      <c r="AP14" s="4" t="s">
        <v>117</v>
      </c>
      <c r="AQ14" s="4"/>
      <c r="AR14" s="4"/>
      <c r="AS14" s="4" t="s">
        <v>118</v>
      </c>
      <c r="AT14" s="4">
        <v>721</v>
      </c>
      <c r="AU14" s="4">
        <v>721</v>
      </c>
      <c r="AV14" s="4">
        <f t="shared" ref="AV14:AV22" si="27">IF(AQ14="",AU14,AQ14/AR14*AU14)</f>
        <v>721</v>
      </c>
      <c r="AW14" s="19">
        <v>4</v>
      </c>
      <c r="AX14" s="19">
        <v>1</v>
      </c>
      <c r="AY14" s="16">
        <v>6</v>
      </c>
      <c r="AZ14" t="s">
        <v>92</v>
      </c>
      <c r="BA14" t="s">
        <v>92</v>
      </c>
      <c r="BB14" s="4" t="s">
        <v>98</v>
      </c>
    </row>
    <row r="15" spans="1:54" x14ac:dyDescent="0.4">
      <c r="A15" s="3">
        <v>12</v>
      </c>
      <c r="B15" s="4" t="s">
        <v>60</v>
      </c>
      <c r="C15" s="4" t="str">
        <f t="shared" si="21"/>
        <v>7152AM</v>
      </c>
      <c r="D15" s="4" t="s">
        <v>60</v>
      </c>
      <c r="E15" s="4" t="s">
        <v>82</v>
      </c>
      <c r="F15" s="5">
        <v>4957470131863</v>
      </c>
      <c r="G15" s="5"/>
      <c r="H15" s="5"/>
      <c r="I15" s="5">
        <v>1</v>
      </c>
      <c r="J15" s="5">
        <v>1</v>
      </c>
      <c r="K15" s="4">
        <v>0</v>
      </c>
      <c r="L15" s="4">
        <v>677</v>
      </c>
      <c r="M15" s="4">
        <v>440</v>
      </c>
      <c r="N15" s="6">
        <f t="shared" si="22"/>
        <v>0.35007385524372225</v>
      </c>
      <c r="O15" s="4" t="s">
        <v>92</v>
      </c>
      <c r="P15" s="4" t="s">
        <v>92</v>
      </c>
      <c r="Q15" s="4" t="s">
        <v>92</v>
      </c>
      <c r="R15" s="4">
        <v>0</v>
      </c>
      <c r="S15" s="4">
        <f t="shared" si="23"/>
        <v>0</v>
      </c>
      <c r="T15" s="4">
        <v>493</v>
      </c>
      <c r="U15" s="4">
        <f t="shared" si="24"/>
        <v>493</v>
      </c>
      <c r="V15" s="4"/>
      <c r="W15" s="21">
        <f t="shared" si="1"/>
        <v>759</v>
      </c>
      <c r="X15" s="6">
        <f t="shared" si="25"/>
        <v>0.35046113306982873</v>
      </c>
      <c r="Y15" s="4">
        <v>0.25</v>
      </c>
      <c r="Z15" s="4">
        <f t="shared" si="26"/>
        <v>750</v>
      </c>
      <c r="AA15" s="4">
        <f t="shared" si="3"/>
        <v>840.34090909090901</v>
      </c>
      <c r="AB15" s="6">
        <f t="shared" si="4"/>
        <v>0.41333333333333333</v>
      </c>
      <c r="AC15" s="7">
        <v>758</v>
      </c>
      <c r="AD15" s="6">
        <f t="shared" si="5"/>
        <v>0.34960422163588389</v>
      </c>
      <c r="AE15" s="4">
        <f t="shared" si="6"/>
        <v>265</v>
      </c>
      <c r="AF15" s="28"/>
      <c r="AG15" s="6"/>
      <c r="AH15" s="6"/>
      <c r="AI15" s="6" t="e">
        <f t="shared" si="7"/>
        <v>#DIV/0!</v>
      </c>
      <c r="AJ15" s="6">
        <f t="shared" si="8"/>
        <v>1.1196454948301329</v>
      </c>
      <c r="AK15" s="6">
        <f t="shared" si="9"/>
        <v>1.1204545454545454</v>
      </c>
      <c r="AL15" s="4" t="str">
        <f t="shared" si="10"/>
        <v>-</v>
      </c>
      <c r="AM15" s="4" t="str">
        <f t="shared" si="11"/>
        <v>-</v>
      </c>
      <c r="AN15" s="4" t="str">
        <f t="shared" si="12"/>
        <v>-</v>
      </c>
      <c r="AO15" s="4">
        <v>0</v>
      </c>
      <c r="AP15" s="4" t="s">
        <v>119</v>
      </c>
      <c r="AQ15" s="4"/>
      <c r="AR15" s="4"/>
      <c r="AS15" s="4" t="s">
        <v>114</v>
      </c>
      <c r="AT15" s="4">
        <v>750</v>
      </c>
      <c r="AU15" s="4">
        <v>750</v>
      </c>
      <c r="AV15" s="4">
        <f t="shared" si="27"/>
        <v>750</v>
      </c>
      <c r="AW15" s="19">
        <v>4</v>
      </c>
      <c r="AX15" s="19">
        <v>1</v>
      </c>
      <c r="AY15" s="16">
        <v>18</v>
      </c>
      <c r="AZ15" t="s">
        <v>92</v>
      </c>
      <c r="BA15" t="s">
        <v>92</v>
      </c>
      <c r="BB15" s="4" t="s">
        <v>99</v>
      </c>
    </row>
    <row r="16" spans="1:54" x14ac:dyDescent="0.4">
      <c r="A16" s="34">
        <v>13</v>
      </c>
      <c r="B16" s="33" t="s">
        <v>61</v>
      </c>
      <c r="C16" s="4" t="str">
        <f t="shared" si="21"/>
        <v>J270XA</v>
      </c>
      <c r="D16" s="4" t="s">
        <v>61</v>
      </c>
      <c r="E16" s="4" t="s">
        <v>83</v>
      </c>
      <c r="F16" s="5">
        <v>4957470036236</v>
      </c>
      <c r="G16" s="5"/>
      <c r="H16" s="5"/>
      <c r="I16" s="5">
        <v>2</v>
      </c>
      <c r="J16" s="5">
        <v>1</v>
      </c>
      <c r="K16" s="4">
        <v>0</v>
      </c>
      <c r="L16" s="4">
        <v>980</v>
      </c>
      <c r="M16" s="4">
        <v>477</v>
      </c>
      <c r="N16" s="6">
        <f t="shared" si="22"/>
        <v>0.51326530612244903</v>
      </c>
      <c r="O16" s="4" t="s">
        <v>92</v>
      </c>
      <c r="P16" s="4" t="s">
        <v>92</v>
      </c>
      <c r="Q16" s="4" t="s">
        <v>92</v>
      </c>
      <c r="R16" s="4">
        <v>0</v>
      </c>
      <c r="S16" s="4">
        <f t="shared" si="23"/>
        <v>0</v>
      </c>
      <c r="T16" s="4">
        <v>529</v>
      </c>
      <c r="U16" s="4">
        <f t="shared" si="24"/>
        <v>529</v>
      </c>
      <c r="V16" s="4"/>
      <c r="W16" s="21">
        <f t="shared" si="1"/>
        <v>1087</v>
      </c>
      <c r="X16" s="6">
        <f t="shared" si="25"/>
        <v>0.51333946642134309</v>
      </c>
      <c r="Y16" s="4">
        <v>2.75</v>
      </c>
      <c r="Z16" s="4">
        <f t="shared" si="26"/>
        <v>927</v>
      </c>
      <c r="AA16" s="4">
        <f t="shared" si="3"/>
        <v>1028.0566037735848</v>
      </c>
      <c r="AB16" s="6">
        <f t="shared" si="4"/>
        <v>0.4854368932038835</v>
      </c>
      <c r="AC16" s="7">
        <v>1280</v>
      </c>
      <c r="AD16" s="6">
        <f t="shared" si="5"/>
        <v>0.58671874999999996</v>
      </c>
      <c r="AE16" s="4">
        <f t="shared" si="6"/>
        <v>751</v>
      </c>
      <c r="AF16" s="28"/>
      <c r="AG16" s="6"/>
      <c r="AH16" s="6"/>
      <c r="AI16" s="6" t="e">
        <f t="shared" si="7"/>
        <v>#DIV/0!</v>
      </c>
      <c r="AJ16" s="6">
        <f t="shared" si="8"/>
        <v>1.3061224489795917</v>
      </c>
      <c r="AK16" s="6">
        <f t="shared" si="9"/>
        <v>1.1090146750524108</v>
      </c>
      <c r="AL16" s="4" t="str">
        <f t="shared" si="10"/>
        <v>-</v>
      </c>
      <c r="AM16" s="4" t="str">
        <f t="shared" si="11"/>
        <v>-</v>
      </c>
      <c r="AN16" s="4" t="str">
        <f t="shared" si="12"/>
        <v>-</v>
      </c>
      <c r="AO16" s="4">
        <v>0</v>
      </c>
      <c r="AP16" s="4" t="s">
        <v>120</v>
      </c>
      <c r="AQ16" s="4"/>
      <c r="AR16" s="4"/>
      <c r="AS16" s="4" t="s">
        <v>121</v>
      </c>
      <c r="AT16" s="4">
        <v>927</v>
      </c>
      <c r="AU16" s="4">
        <v>927</v>
      </c>
      <c r="AV16" s="4">
        <f t="shared" si="27"/>
        <v>927</v>
      </c>
      <c r="AW16" s="19">
        <v>2</v>
      </c>
      <c r="AX16" s="19">
        <v>1</v>
      </c>
      <c r="AY16" s="16">
        <v>6</v>
      </c>
      <c r="AZ16" t="s">
        <v>92</v>
      </c>
      <c r="BA16" t="s">
        <v>92</v>
      </c>
      <c r="BB16" s="4" t="s">
        <v>100</v>
      </c>
    </row>
    <row r="17" spans="1:54" x14ac:dyDescent="0.4">
      <c r="A17" s="3">
        <v>14</v>
      </c>
      <c r="B17" s="33" t="s">
        <v>62</v>
      </c>
      <c r="C17" s="4" t="str">
        <f t="shared" si="21"/>
        <v>J847WN</v>
      </c>
      <c r="D17" s="4" t="s">
        <v>62</v>
      </c>
      <c r="E17" s="4" t="s">
        <v>132</v>
      </c>
      <c r="F17" s="5">
        <v>4957470036236</v>
      </c>
      <c r="G17" s="5"/>
      <c r="H17" s="5"/>
      <c r="I17" s="5">
        <v>2</v>
      </c>
      <c r="J17" s="5">
        <v>1</v>
      </c>
      <c r="K17" s="4">
        <v>0</v>
      </c>
      <c r="L17" s="4">
        <v>980</v>
      </c>
      <c r="M17" s="4">
        <v>477</v>
      </c>
      <c r="N17" s="6">
        <f t="shared" si="22"/>
        <v>0.51326530612244903</v>
      </c>
      <c r="O17" s="4" t="s">
        <v>92</v>
      </c>
      <c r="P17" s="4" t="s">
        <v>92</v>
      </c>
      <c r="Q17" s="4" t="s">
        <v>92</v>
      </c>
      <c r="R17" s="4">
        <v>0</v>
      </c>
      <c r="S17" s="4">
        <f t="shared" si="23"/>
        <v>0</v>
      </c>
      <c r="T17" s="4">
        <v>529</v>
      </c>
      <c r="U17" s="4">
        <f t="shared" si="24"/>
        <v>529</v>
      </c>
      <c r="V17" s="4"/>
      <c r="W17" s="21">
        <f t="shared" si="1"/>
        <v>1087</v>
      </c>
      <c r="X17" s="6">
        <f t="shared" si="25"/>
        <v>0.51333946642134309</v>
      </c>
      <c r="Y17" s="4">
        <v>2.25</v>
      </c>
      <c r="Z17" s="4">
        <f t="shared" si="26"/>
        <v>927</v>
      </c>
      <c r="AA17" s="4">
        <f t="shared" si="3"/>
        <v>1028.0566037735848</v>
      </c>
      <c r="AB17" s="6">
        <f t="shared" si="4"/>
        <v>0.4854368932038835</v>
      </c>
      <c r="AC17" s="7">
        <v>1280</v>
      </c>
      <c r="AD17" s="6">
        <f t="shared" si="5"/>
        <v>0.58671874999999996</v>
      </c>
      <c r="AE17" s="4">
        <f t="shared" si="6"/>
        <v>751</v>
      </c>
      <c r="AF17" s="28"/>
      <c r="AG17" s="6"/>
      <c r="AH17" s="6"/>
      <c r="AI17" s="6" t="e">
        <f t="shared" si="7"/>
        <v>#DIV/0!</v>
      </c>
      <c r="AJ17" s="6">
        <f t="shared" si="8"/>
        <v>1.3061224489795917</v>
      </c>
      <c r="AK17" s="6">
        <f t="shared" si="9"/>
        <v>1.1090146750524108</v>
      </c>
      <c r="AL17" s="4" t="str">
        <f t="shared" si="10"/>
        <v>-</v>
      </c>
      <c r="AM17" s="4" t="str">
        <f t="shared" si="11"/>
        <v>-</v>
      </c>
      <c r="AN17" s="4" t="str">
        <f t="shared" si="12"/>
        <v>-</v>
      </c>
      <c r="AO17" s="4">
        <v>0</v>
      </c>
      <c r="AP17" s="4" t="s">
        <v>120</v>
      </c>
      <c r="AQ17" s="4"/>
      <c r="AR17" s="4"/>
      <c r="AS17" s="4" t="s">
        <v>121</v>
      </c>
      <c r="AT17" s="4">
        <v>927</v>
      </c>
      <c r="AU17" s="4">
        <v>927</v>
      </c>
      <c r="AV17" s="4">
        <f t="shared" si="27"/>
        <v>927</v>
      </c>
      <c r="AW17" s="19">
        <v>4</v>
      </c>
      <c r="AX17" s="19">
        <v>1</v>
      </c>
      <c r="AY17" s="16">
        <v>6</v>
      </c>
      <c r="AZ17" t="s">
        <v>92</v>
      </c>
      <c r="BA17" t="s">
        <v>92</v>
      </c>
      <c r="BB17" s="4" t="s">
        <v>100</v>
      </c>
    </row>
    <row r="18" spans="1:54" x14ac:dyDescent="0.4">
      <c r="A18" s="34">
        <v>15</v>
      </c>
      <c r="B18" s="4" t="s">
        <v>63</v>
      </c>
      <c r="C18" s="4" t="str">
        <f t="shared" si="21"/>
        <v>J1784P</v>
      </c>
      <c r="D18" s="4" t="s">
        <v>63</v>
      </c>
      <c r="E18" s="4" t="s">
        <v>84</v>
      </c>
      <c r="F18" s="5">
        <v>4957470030616</v>
      </c>
      <c r="G18" s="5"/>
      <c r="H18" s="5"/>
      <c r="I18" s="5">
        <v>1</v>
      </c>
      <c r="J18" s="5">
        <v>1</v>
      </c>
      <c r="K18" s="4">
        <v>0</v>
      </c>
      <c r="L18" s="4">
        <v>1323</v>
      </c>
      <c r="M18" s="4">
        <v>604</v>
      </c>
      <c r="N18" s="6">
        <f t="shared" si="22"/>
        <v>0.54346182917611485</v>
      </c>
      <c r="O18" s="4" t="s">
        <v>92</v>
      </c>
      <c r="P18" s="4" t="s">
        <v>92</v>
      </c>
      <c r="Q18" s="4" t="s">
        <v>92</v>
      </c>
      <c r="R18" s="4">
        <v>0</v>
      </c>
      <c r="S18" s="4">
        <f t="shared" si="23"/>
        <v>0</v>
      </c>
      <c r="T18" s="4">
        <v>665</v>
      </c>
      <c r="U18" s="4">
        <f t="shared" si="24"/>
        <v>665</v>
      </c>
      <c r="V18" s="4"/>
      <c r="W18" s="21">
        <f t="shared" si="1"/>
        <v>1457</v>
      </c>
      <c r="X18" s="6">
        <f t="shared" si="25"/>
        <v>0.54358270418668497</v>
      </c>
      <c r="Y18" s="4">
        <v>27.750000000000004</v>
      </c>
      <c r="Z18" s="4">
        <f t="shared" si="26"/>
        <v>800</v>
      </c>
      <c r="AA18" s="4">
        <f t="shared" si="3"/>
        <v>880.79470198675494</v>
      </c>
      <c r="AB18" s="6">
        <f t="shared" si="4"/>
        <v>0.245</v>
      </c>
      <c r="AC18" s="7">
        <v>1480</v>
      </c>
      <c r="AD18" s="6">
        <f t="shared" si="5"/>
        <v>0.55067567567567566</v>
      </c>
      <c r="AE18" s="4">
        <f t="shared" si="6"/>
        <v>815</v>
      </c>
      <c r="AF18" s="28"/>
      <c r="AG18" s="6"/>
      <c r="AH18" s="6"/>
      <c r="AI18" s="6" t="e">
        <f t="shared" si="7"/>
        <v>#DIV/0!</v>
      </c>
      <c r="AJ18" s="6">
        <f t="shared" si="8"/>
        <v>1.1186696900982616</v>
      </c>
      <c r="AK18" s="6">
        <f t="shared" si="9"/>
        <v>1.1009933774834437</v>
      </c>
      <c r="AL18" s="4" t="str">
        <f t="shared" si="10"/>
        <v>-</v>
      </c>
      <c r="AM18" s="4" t="str">
        <f t="shared" si="11"/>
        <v>-</v>
      </c>
      <c r="AN18" s="4" t="str">
        <f t="shared" si="12"/>
        <v>-</v>
      </c>
      <c r="AO18" s="4">
        <v>0</v>
      </c>
      <c r="AP18" s="4" t="s">
        <v>122</v>
      </c>
      <c r="AQ18" s="4"/>
      <c r="AR18" s="4"/>
      <c r="AS18" s="4" t="s">
        <v>121</v>
      </c>
      <c r="AT18" s="4">
        <v>720</v>
      </c>
      <c r="AU18" s="4">
        <v>800</v>
      </c>
      <c r="AV18" s="4">
        <f t="shared" si="27"/>
        <v>800</v>
      </c>
      <c r="AW18" s="19">
        <v>2</v>
      </c>
      <c r="AX18" s="19">
        <v>1</v>
      </c>
      <c r="AY18" s="16">
        <v>6</v>
      </c>
      <c r="AZ18" t="s">
        <v>92</v>
      </c>
      <c r="BA18" t="s">
        <v>92</v>
      </c>
      <c r="BB18" s="4" t="s">
        <v>134</v>
      </c>
    </row>
    <row r="19" spans="1:54" x14ac:dyDescent="0.4">
      <c r="A19" s="3">
        <v>16</v>
      </c>
      <c r="B19" s="4" t="s">
        <v>64</v>
      </c>
      <c r="C19" s="4" t="str">
        <f t="shared" si="21"/>
        <v>J902SA</v>
      </c>
      <c r="D19" s="4" t="s">
        <v>64</v>
      </c>
      <c r="E19" s="4" t="s">
        <v>85</v>
      </c>
      <c r="F19" s="5">
        <v>4957470035147</v>
      </c>
      <c r="G19" s="5"/>
      <c r="H19" s="5"/>
      <c r="I19" s="5">
        <v>1</v>
      </c>
      <c r="J19" s="5">
        <v>1</v>
      </c>
      <c r="K19" s="4">
        <v>0</v>
      </c>
      <c r="L19" s="4">
        <v>854</v>
      </c>
      <c r="M19" s="4">
        <v>604</v>
      </c>
      <c r="N19" s="6">
        <f t="shared" si="22"/>
        <v>0.29274004683840749</v>
      </c>
      <c r="O19" s="4">
        <v>755</v>
      </c>
      <c r="P19" s="4">
        <v>3</v>
      </c>
      <c r="Q19" s="4">
        <v>99999</v>
      </c>
      <c r="R19" s="4">
        <v>0</v>
      </c>
      <c r="S19" s="4">
        <f t="shared" si="23"/>
        <v>0</v>
      </c>
      <c r="T19" s="4">
        <v>684</v>
      </c>
      <c r="U19" s="4">
        <f t="shared" si="24"/>
        <v>684</v>
      </c>
      <c r="V19" s="4"/>
      <c r="W19" s="21">
        <f t="shared" si="1"/>
        <v>967</v>
      </c>
      <c r="X19" s="6">
        <f t="shared" si="25"/>
        <v>0.29265770423991722</v>
      </c>
      <c r="Y19" s="4">
        <v>3.5000000000000004</v>
      </c>
      <c r="Z19" s="4">
        <f t="shared" si="26"/>
        <v>890</v>
      </c>
      <c r="AA19" s="4">
        <f t="shared" si="3"/>
        <v>1007.8807947019868</v>
      </c>
      <c r="AB19" s="6">
        <f t="shared" si="4"/>
        <v>0.32134831460674163</v>
      </c>
      <c r="AC19" s="7">
        <v>980</v>
      </c>
      <c r="AD19" s="6">
        <f t="shared" si="5"/>
        <v>0.30204081632653057</v>
      </c>
      <c r="AE19" s="4">
        <f t="shared" si="6"/>
        <v>296</v>
      </c>
      <c r="AF19" s="28"/>
      <c r="AG19" s="6"/>
      <c r="AH19" s="6"/>
      <c r="AI19" s="6" t="e">
        <f t="shared" si="7"/>
        <v>#DIV/0!</v>
      </c>
      <c r="AJ19" s="6">
        <f t="shared" si="8"/>
        <v>1.1475409836065573</v>
      </c>
      <c r="AK19" s="6">
        <f t="shared" si="9"/>
        <v>1.1324503311258278</v>
      </c>
      <c r="AL19" s="4">
        <f t="shared" si="10"/>
        <v>866</v>
      </c>
      <c r="AM19" s="4">
        <f t="shared" si="11"/>
        <v>3</v>
      </c>
      <c r="AN19" s="4">
        <f t="shared" si="12"/>
        <v>99999</v>
      </c>
      <c r="AO19" s="4">
        <v>0</v>
      </c>
      <c r="AP19" s="4" t="s">
        <v>123</v>
      </c>
      <c r="AQ19" s="4"/>
      <c r="AR19" s="4"/>
      <c r="AS19" s="4" t="s">
        <v>118</v>
      </c>
      <c r="AT19" s="4">
        <v>890</v>
      </c>
      <c r="AU19" s="4">
        <v>890</v>
      </c>
      <c r="AV19" s="4">
        <f t="shared" si="27"/>
        <v>890</v>
      </c>
      <c r="AW19" s="19">
        <v>4</v>
      </c>
      <c r="AX19" s="19">
        <v>1</v>
      </c>
      <c r="AY19" s="16">
        <v>6</v>
      </c>
      <c r="AZ19" t="s">
        <v>92</v>
      </c>
      <c r="BA19" t="s">
        <v>92</v>
      </c>
      <c r="BB19" s="4" t="s">
        <v>101</v>
      </c>
    </row>
    <row r="20" spans="1:54" x14ac:dyDescent="0.4">
      <c r="A20" s="3">
        <v>17</v>
      </c>
      <c r="B20" s="4" t="s">
        <v>65</v>
      </c>
      <c r="C20" s="4" t="str">
        <f t="shared" si="21"/>
        <v>7153AM</v>
      </c>
      <c r="D20" s="4" t="s">
        <v>65</v>
      </c>
      <c r="E20" s="4" t="s">
        <v>86</v>
      </c>
      <c r="F20" s="5">
        <v>4957470134093</v>
      </c>
      <c r="G20" s="5"/>
      <c r="H20" s="5"/>
      <c r="I20" s="5">
        <v>1</v>
      </c>
      <c r="J20" s="5">
        <v>1</v>
      </c>
      <c r="K20" s="4">
        <v>0</v>
      </c>
      <c r="L20" s="4">
        <v>978</v>
      </c>
      <c r="M20" s="4">
        <v>636</v>
      </c>
      <c r="N20" s="6">
        <f t="shared" si="22"/>
        <v>0.34969325153374231</v>
      </c>
      <c r="O20" s="4" t="s">
        <v>92</v>
      </c>
      <c r="P20" s="4" t="s">
        <v>92</v>
      </c>
      <c r="Q20" s="4" t="s">
        <v>92</v>
      </c>
      <c r="R20" s="4">
        <v>0</v>
      </c>
      <c r="S20" s="4">
        <f t="shared" si="23"/>
        <v>0</v>
      </c>
      <c r="T20" s="4">
        <v>713</v>
      </c>
      <c r="U20" s="4">
        <f t="shared" si="24"/>
        <v>713</v>
      </c>
      <c r="V20" s="4"/>
      <c r="W20" s="21">
        <f t="shared" si="1"/>
        <v>1096</v>
      </c>
      <c r="X20" s="6">
        <f t="shared" si="25"/>
        <v>0.34945255474452552</v>
      </c>
      <c r="Y20" s="4">
        <v>0.25</v>
      </c>
      <c r="Z20" s="4">
        <f t="shared" si="26"/>
        <v>1026</v>
      </c>
      <c r="AA20" s="4">
        <f t="shared" si="3"/>
        <v>1150.2169811320755</v>
      </c>
      <c r="AB20" s="6">
        <f t="shared" si="4"/>
        <v>0.38011695906432752</v>
      </c>
      <c r="AC20" s="7">
        <v>1100</v>
      </c>
      <c r="AD20" s="6">
        <f t="shared" si="5"/>
        <v>0.35181818181818181</v>
      </c>
      <c r="AE20" s="4">
        <f t="shared" si="6"/>
        <v>387</v>
      </c>
      <c r="AF20" s="28"/>
      <c r="AG20" s="6"/>
      <c r="AH20" s="6"/>
      <c r="AI20" s="6" t="e">
        <f t="shared" si="7"/>
        <v>#DIV/0!</v>
      </c>
      <c r="AJ20" s="6">
        <f t="shared" si="8"/>
        <v>1.1247443762781186</v>
      </c>
      <c r="AK20" s="6">
        <f t="shared" si="9"/>
        <v>1.121069182389937</v>
      </c>
      <c r="AL20" s="4" t="str">
        <f t="shared" si="10"/>
        <v>-</v>
      </c>
      <c r="AM20" s="4" t="str">
        <f t="shared" si="11"/>
        <v>-</v>
      </c>
      <c r="AN20" s="4" t="str">
        <f t="shared" si="12"/>
        <v>-</v>
      </c>
      <c r="AO20" s="4">
        <v>0</v>
      </c>
      <c r="AP20" s="4" t="s">
        <v>124</v>
      </c>
      <c r="AQ20" s="4"/>
      <c r="AR20" s="4"/>
      <c r="AS20" s="4" t="s">
        <v>114</v>
      </c>
      <c r="AT20" s="4">
        <v>1026</v>
      </c>
      <c r="AU20" s="4">
        <v>1026</v>
      </c>
      <c r="AV20" s="4">
        <f t="shared" si="27"/>
        <v>1026</v>
      </c>
      <c r="AW20" s="19">
        <v>4</v>
      </c>
      <c r="AX20" s="19">
        <v>1</v>
      </c>
      <c r="AY20" s="16">
        <v>18</v>
      </c>
      <c r="AZ20">
        <v>1074</v>
      </c>
      <c r="BA20" t="s">
        <v>92</v>
      </c>
      <c r="BB20" s="4" t="s">
        <v>102</v>
      </c>
    </row>
    <row r="21" spans="1:54" x14ac:dyDescent="0.4">
      <c r="A21" s="3">
        <v>18</v>
      </c>
      <c r="B21" s="4" t="s">
        <v>66</v>
      </c>
      <c r="C21" s="4" t="str">
        <f t="shared" si="21"/>
        <v>J446SA</v>
      </c>
      <c r="D21" s="4" t="s">
        <v>66</v>
      </c>
      <c r="E21" s="4" t="s">
        <v>87</v>
      </c>
      <c r="F21" s="5">
        <v>4957470035260</v>
      </c>
      <c r="G21" s="5"/>
      <c r="H21" s="5"/>
      <c r="I21" s="5">
        <v>1</v>
      </c>
      <c r="J21" s="5">
        <v>1</v>
      </c>
      <c r="K21" s="4">
        <v>0</v>
      </c>
      <c r="L21" s="4">
        <v>1009</v>
      </c>
      <c r="M21" s="4">
        <v>653</v>
      </c>
      <c r="N21" s="6">
        <f t="shared" si="22"/>
        <v>0.35282457879088203</v>
      </c>
      <c r="O21" s="4" t="s">
        <v>92</v>
      </c>
      <c r="P21" s="4" t="s">
        <v>92</v>
      </c>
      <c r="Q21" s="4" t="s">
        <v>92</v>
      </c>
      <c r="R21" s="4">
        <v>0</v>
      </c>
      <c r="S21" s="4">
        <f t="shared" si="23"/>
        <v>0</v>
      </c>
      <c r="T21" s="4">
        <v>718</v>
      </c>
      <c r="U21" s="4">
        <f t="shared" si="24"/>
        <v>718</v>
      </c>
      <c r="V21" s="4"/>
      <c r="W21" s="21">
        <f t="shared" si="1"/>
        <v>1109</v>
      </c>
      <c r="X21" s="6">
        <f t="shared" si="25"/>
        <v>0.35256988277727686</v>
      </c>
      <c r="Y21" s="4">
        <v>4.75</v>
      </c>
      <c r="Z21" s="4">
        <f t="shared" si="26"/>
        <v>1054.3799999999999</v>
      </c>
      <c r="AA21" s="4">
        <f t="shared" si="3"/>
        <v>1159.3335987748849</v>
      </c>
      <c r="AB21" s="6">
        <f t="shared" si="4"/>
        <v>0.38067869269143939</v>
      </c>
      <c r="AC21" s="7">
        <v>1110</v>
      </c>
      <c r="AD21" s="6">
        <f t="shared" si="5"/>
        <v>0.3531531531531531</v>
      </c>
      <c r="AE21" s="4">
        <f t="shared" si="6"/>
        <v>392</v>
      </c>
      <c r="AF21" s="28"/>
      <c r="AG21" s="6"/>
      <c r="AH21" s="6"/>
      <c r="AI21" s="6" t="e">
        <f t="shared" si="7"/>
        <v>#DIV/0!</v>
      </c>
      <c r="AJ21" s="6">
        <f t="shared" si="8"/>
        <v>1.1000991080277502</v>
      </c>
      <c r="AK21" s="6">
        <f t="shared" si="9"/>
        <v>1.0995405819295558</v>
      </c>
      <c r="AL21" s="4" t="str">
        <f t="shared" si="10"/>
        <v>-</v>
      </c>
      <c r="AM21" s="4" t="str">
        <f t="shared" si="11"/>
        <v>-</v>
      </c>
      <c r="AN21" s="4" t="str">
        <f t="shared" si="12"/>
        <v>-</v>
      </c>
      <c r="AO21" s="4">
        <v>12571</v>
      </c>
      <c r="AP21" s="4" t="s">
        <v>125</v>
      </c>
      <c r="AQ21" s="4">
        <v>30</v>
      </c>
      <c r="AR21" s="4">
        <v>500</v>
      </c>
      <c r="AS21" s="4" t="s">
        <v>126</v>
      </c>
      <c r="AT21" s="4">
        <v>17573</v>
      </c>
      <c r="AU21" s="4">
        <v>17573</v>
      </c>
      <c r="AV21" s="4">
        <f t="shared" si="27"/>
        <v>1054.3799999999999</v>
      </c>
      <c r="AW21" s="19">
        <v>4</v>
      </c>
      <c r="AX21" s="19">
        <v>1</v>
      </c>
      <c r="AY21" s="16">
        <v>3</v>
      </c>
      <c r="AZ21" t="s">
        <v>92</v>
      </c>
      <c r="BA21" t="s">
        <v>92</v>
      </c>
      <c r="BB21" s="4" t="s">
        <v>103</v>
      </c>
    </row>
    <row r="22" spans="1:54" x14ac:dyDescent="0.4">
      <c r="A22" s="3">
        <v>19</v>
      </c>
      <c r="B22" s="4" t="s">
        <v>67</v>
      </c>
      <c r="C22" s="4" t="str">
        <f t="shared" si="21"/>
        <v>7154AM</v>
      </c>
      <c r="D22" s="4" t="s">
        <v>67</v>
      </c>
      <c r="E22" s="4" t="s">
        <v>88</v>
      </c>
      <c r="F22" s="5">
        <v>4957470131870</v>
      </c>
      <c r="G22" s="5"/>
      <c r="H22" s="5"/>
      <c r="I22" s="5">
        <v>1</v>
      </c>
      <c r="J22" s="5">
        <v>1</v>
      </c>
      <c r="K22" s="4">
        <v>0</v>
      </c>
      <c r="L22" s="4">
        <v>976</v>
      </c>
      <c r="M22" s="4">
        <v>644</v>
      </c>
      <c r="N22" s="6">
        <f t="shared" si="22"/>
        <v>0.3401639344262295</v>
      </c>
      <c r="O22" s="4" t="s">
        <v>92</v>
      </c>
      <c r="P22" s="4" t="s">
        <v>92</v>
      </c>
      <c r="Q22" s="4" t="s">
        <v>92</v>
      </c>
      <c r="R22" s="4">
        <v>0</v>
      </c>
      <c r="S22" s="4">
        <f t="shared" si="23"/>
        <v>0</v>
      </c>
      <c r="T22" s="4">
        <v>722</v>
      </c>
      <c r="U22" s="4">
        <f t="shared" si="24"/>
        <v>722</v>
      </c>
      <c r="V22" s="4"/>
      <c r="W22" s="21">
        <f t="shared" si="1"/>
        <v>1094</v>
      </c>
      <c r="X22" s="6">
        <f t="shared" si="25"/>
        <v>0.34003656307129804</v>
      </c>
      <c r="Y22" s="4">
        <v>0.25</v>
      </c>
      <c r="Z22" s="4">
        <f t="shared" si="26"/>
        <v>1101</v>
      </c>
      <c r="AA22" s="4">
        <f t="shared" si="3"/>
        <v>1234.3509316770187</v>
      </c>
      <c r="AB22" s="6">
        <f t="shared" si="4"/>
        <v>0.41507720254314262</v>
      </c>
      <c r="AC22" s="7">
        <v>1100</v>
      </c>
      <c r="AD22" s="6">
        <f t="shared" si="5"/>
        <v>0.34363636363636363</v>
      </c>
      <c r="AE22" s="4">
        <f t="shared" si="6"/>
        <v>378</v>
      </c>
      <c r="AF22" s="28"/>
      <c r="AG22" s="6"/>
      <c r="AH22" s="6"/>
      <c r="AI22" s="6" t="e">
        <f t="shared" si="7"/>
        <v>#DIV/0!</v>
      </c>
      <c r="AJ22" s="6">
        <f t="shared" si="8"/>
        <v>1.1270491803278688</v>
      </c>
      <c r="AK22" s="6">
        <f t="shared" si="9"/>
        <v>1.1211180124223603</v>
      </c>
      <c r="AL22" s="4" t="str">
        <f t="shared" si="10"/>
        <v>-</v>
      </c>
      <c r="AM22" s="4" t="str">
        <f t="shared" si="11"/>
        <v>-</v>
      </c>
      <c r="AN22" s="4" t="str">
        <f t="shared" si="12"/>
        <v>-</v>
      </c>
      <c r="AO22" s="4">
        <v>0</v>
      </c>
      <c r="AP22" s="4" t="s">
        <v>127</v>
      </c>
      <c r="AQ22" s="4"/>
      <c r="AR22" s="4"/>
      <c r="AS22" s="4" t="s">
        <v>114</v>
      </c>
      <c r="AT22" s="4">
        <v>1101</v>
      </c>
      <c r="AU22" s="4">
        <v>1101</v>
      </c>
      <c r="AV22" s="4">
        <f t="shared" si="27"/>
        <v>1101</v>
      </c>
      <c r="AW22" s="19">
        <v>4</v>
      </c>
      <c r="AX22" s="19">
        <v>1</v>
      </c>
      <c r="AY22" s="16">
        <v>18</v>
      </c>
      <c r="AZ22">
        <v>1101</v>
      </c>
      <c r="BA22" t="s">
        <v>92</v>
      </c>
      <c r="BB22" s="4" t="s">
        <v>104</v>
      </c>
    </row>
    <row r="23" spans="1:54" x14ac:dyDescent="0.4">
      <c r="A23" s="3">
        <v>20</v>
      </c>
      <c r="B23" s="4" t="s">
        <v>68</v>
      </c>
      <c r="C23" s="4" t="str">
        <f t="shared" ref="C23:C25" si="28">TEXT(B23,"000000")</f>
        <v>J313WW</v>
      </c>
      <c r="D23" s="4" t="s">
        <v>68</v>
      </c>
      <c r="E23" s="4" t="s">
        <v>89</v>
      </c>
      <c r="F23" s="5">
        <v>4957470032313</v>
      </c>
      <c r="G23" s="5"/>
      <c r="H23" s="5"/>
      <c r="I23" s="5">
        <v>1</v>
      </c>
      <c r="J23" s="5">
        <v>1</v>
      </c>
      <c r="K23" s="4">
        <v>0</v>
      </c>
      <c r="L23" s="4">
        <v>1340</v>
      </c>
      <c r="M23" s="4">
        <v>941</v>
      </c>
      <c r="N23" s="6">
        <f t="shared" ref="N23:N25" si="29">1-M23/L23</f>
        <v>0.2977611940298508</v>
      </c>
      <c r="O23" s="4" t="s">
        <v>92</v>
      </c>
      <c r="P23" s="4" t="s">
        <v>92</v>
      </c>
      <c r="Q23" s="4" t="s">
        <v>92</v>
      </c>
      <c r="R23" s="4">
        <v>0</v>
      </c>
      <c r="S23" s="4">
        <f t="shared" ref="S23:S25" si="30">IF(V23="",R23,R23*V23)</f>
        <v>0</v>
      </c>
      <c r="T23" s="4">
        <v>1045</v>
      </c>
      <c r="U23" s="4">
        <f t="shared" ref="U23:U25" si="31">IF(V23="",T23,T23*V23)</f>
        <v>1045</v>
      </c>
      <c r="V23" s="4"/>
      <c r="W23" s="21">
        <f t="shared" si="1"/>
        <v>1488</v>
      </c>
      <c r="X23" s="6">
        <f t="shared" ref="X23:X25" si="32">1-U23/W23</f>
        <v>0.29771505376344087</v>
      </c>
      <c r="Y23" s="4">
        <v>0.25</v>
      </c>
      <c r="Z23" s="4">
        <f t="shared" ref="Z23:Z25" si="33">AV23</f>
        <v>1482</v>
      </c>
      <c r="AA23" s="4">
        <f t="shared" si="3"/>
        <v>1645.7917109458022</v>
      </c>
      <c r="AB23" s="6">
        <f t="shared" si="4"/>
        <v>0.36504723346828605</v>
      </c>
      <c r="AC23" s="7">
        <v>1580</v>
      </c>
      <c r="AD23" s="6">
        <f t="shared" si="5"/>
        <v>0.33860759493670889</v>
      </c>
      <c r="AE23" s="4">
        <f t="shared" si="6"/>
        <v>535</v>
      </c>
      <c r="AF23" s="28"/>
      <c r="AG23" s="6"/>
      <c r="AH23" s="6"/>
      <c r="AI23" s="6" t="e">
        <f t="shared" si="7"/>
        <v>#DIV/0!</v>
      </c>
      <c r="AJ23" s="6">
        <f t="shared" si="8"/>
        <v>1.1791044776119404</v>
      </c>
      <c r="AK23" s="6">
        <f t="shared" si="9"/>
        <v>1.1105207226354941</v>
      </c>
      <c r="AL23" s="4" t="str">
        <f t="shared" si="10"/>
        <v>-</v>
      </c>
      <c r="AM23" s="4" t="str">
        <f t="shared" si="11"/>
        <v>-</v>
      </c>
      <c r="AN23" s="4" t="str">
        <f t="shared" si="12"/>
        <v>-</v>
      </c>
      <c r="AO23" s="4">
        <v>0</v>
      </c>
      <c r="AP23" s="4" t="s">
        <v>128</v>
      </c>
      <c r="AQ23" s="4"/>
      <c r="AR23" s="4"/>
      <c r="AS23" s="4" t="s">
        <v>129</v>
      </c>
      <c r="AT23" s="4">
        <v>1482</v>
      </c>
      <c r="AU23" s="4">
        <v>1482</v>
      </c>
      <c r="AV23" s="4">
        <f t="shared" ref="AV23:AV25" si="34">IF(AQ23="",AU23,AQ23/AR23*AU23)</f>
        <v>1482</v>
      </c>
      <c r="AW23" s="19">
        <v>4</v>
      </c>
      <c r="AX23" s="19">
        <v>1</v>
      </c>
      <c r="AY23" s="16">
        <v>4</v>
      </c>
      <c r="AZ23" t="s">
        <v>92</v>
      </c>
      <c r="BA23">
        <v>51680</v>
      </c>
      <c r="BB23" s="4" t="s">
        <v>105</v>
      </c>
    </row>
    <row r="24" spans="1:54" x14ac:dyDescent="0.4">
      <c r="A24" s="3">
        <v>21</v>
      </c>
      <c r="B24" s="4" t="s">
        <v>69</v>
      </c>
      <c r="C24" s="4" t="str">
        <f t="shared" si="28"/>
        <v>J903SA</v>
      </c>
      <c r="D24" s="4" t="s">
        <v>69</v>
      </c>
      <c r="E24" s="4" t="s">
        <v>90</v>
      </c>
      <c r="F24" s="5">
        <v>4957470035154</v>
      </c>
      <c r="G24" s="5"/>
      <c r="H24" s="5"/>
      <c r="I24" s="5">
        <v>1</v>
      </c>
      <c r="J24" s="5">
        <v>1</v>
      </c>
      <c r="K24" s="4">
        <v>0</v>
      </c>
      <c r="L24" s="4">
        <v>1638</v>
      </c>
      <c r="M24" s="4">
        <v>1163</v>
      </c>
      <c r="N24" s="6">
        <f t="shared" si="29"/>
        <v>0.28998778998778996</v>
      </c>
      <c r="O24" s="4">
        <v>1457</v>
      </c>
      <c r="P24" s="4">
        <v>3</v>
      </c>
      <c r="Q24" s="4">
        <v>99999</v>
      </c>
      <c r="R24" s="4">
        <v>0</v>
      </c>
      <c r="S24" s="4">
        <f t="shared" si="30"/>
        <v>0</v>
      </c>
      <c r="T24" s="4">
        <v>1317</v>
      </c>
      <c r="U24" s="4">
        <f t="shared" si="31"/>
        <v>1317</v>
      </c>
      <c r="V24" s="4"/>
      <c r="W24" s="21">
        <f t="shared" si="1"/>
        <v>1855</v>
      </c>
      <c r="X24" s="6">
        <f t="shared" si="32"/>
        <v>0.29002695417789759</v>
      </c>
      <c r="Y24" s="4">
        <v>0.5</v>
      </c>
      <c r="Z24" s="4">
        <f t="shared" si="33"/>
        <v>1714</v>
      </c>
      <c r="AA24" s="4">
        <f t="shared" si="3"/>
        <v>1940.9613069647464</v>
      </c>
      <c r="AB24" s="6">
        <f t="shared" si="4"/>
        <v>0.32147024504084021</v>
      </c>
      <c r="AC24" s="7">
        <v>1880</v>
      </c>
      <c r="AD24" s="6">
        <f t="shared" si="5"/>
        <v>0.29946808510638301</v>
      </c>
      <c r="AE24" s="4">
        <f t="shared" si="6"/>
        <v>563</v>
      </c>
      <c r="AF24" s="28"/>
      <c r="AG24" s="6"/>
      <c r="AH24" s="6"/>
      <c r="AI24" s="6" t="e">
        <f t="shared" si="7"/>
        <v>#DIV/0!</v>
      </c>
      <c r="AJ24" s="6">
        <f t="shared" si="8"/>
        <v>1.1477411477411477</v>
      </c>
      <c r="AK24" s="6">
        <f t="shared" si="9"/>
        <v>1.1324161650902838</v>
      </c>
      <c r="AL24" s="4">
        <f t="shared" si="10"/>
        <v>1672</v>
      </c>
      <c r="AM24" s="4">
        <f t="shared" si="11"/>
        <v>3</v>
      </c>
      <c r="AN24" s="4">
        <f t="shared" si="12"/>
        <v>99999</v>
      </c>
      <c r="AO24" s="4">
        <v>0</v>
      </c>
      <c r="AP24" s="4" t="s">
        <v>130</v>
      </c>
      <c r="AQ24" s="4"/>
      <c r="AR24" s="4"/>
      <c r="AS24" s="4" t="s">
        <v>118</v>
      </c>
      <c r="AT24" s="4">
        <v>1714</v>
      </c>
      <c r="AU24" s="4">
        <v>1714</v>
      </c>
      <c r="AV24" s="4">
        <f t="shared" si="34"/>
        <v>1714</v>
      </c>
      <c r="AW24" s="19">
        <v>4</v>
      </c>
      <c r="AX24" s="19">
        <v>1</v>
      </c>
      <c r="AY24" s="16">
        <v>6</v>
      </c>
      <c r="AZ24" t="s">
        <v>92</v>
      </c>
      <c r="BA24" t="s">
        <v>92</v>
      </c>
      <c r="BB24" s="4" t="s">
        <v>106</v>
      </c>
    </row>
    <row r="25" spans="1:54" x14ac:dyDescent="0.4">
      <c r="A25" s="34">
        <v>22</v>
      </c>
      <c r="B25" s="4" t="s">
        <v>70</v>
      </c>
      <c r="C25" s="4" t="str">
        <f t="shared" si="28"/>
        <v>J4682T</v>
      </c>
      <c r="D25" s="4" t="s">
        <v>70</v>
      </c>
      <c r="E25" s="4" t="s">
        <v>91</v>
      </c>
      <c r="F25" s="5">
        <v>4957470031767</v>
      </c>
      <c r="G25" s="5"/>
      <c r="H25" s="5"/>
      <c r="I25" s="5">
        <v>1</v>
      </c>
      <c r="J25" s="5">
        <v>1</v>
      </c>
      <c r="K25" s="4">
        <v>0</v>
      </c>
      <c r="L25" s="4">
        <v>2163</v>
      </c>
      <c r="M25" s="4">
        <v>1265</v>
      </c>
      <c r="N25" s="6">
        <f t="shared" si="29"/>
        <v>0.41516412390198798</v>
      </c>
      <c r="O25" s="4" t="s">
        <v>92</v>
      </c>
      <c r="P25" s="4" t="s">
        <v>92</v>
      </c>
      <c r="Q25" s="4" t="s">
        <v>92</v>
      </c>
      <c r="R25" s="4">
        <v>0</v>
      </c>
      <c r="S25" s="4">
        <f t="shared" si="30"/>
        <v>0</v>
      </c>
      <c r="T25" s="4">
        <v>1418</v>
      </c>
      <c r="U25" s="4">
        <f t="shared" si="31"/>
        <v>1418</v>
      </c>
      <c r="V25" s="4"/>
      <c r="W25" s="21">
        <f t="shared" si="1"/>
        <v>2425</v>
      </c>
      <c r="X25" s="6">
        <f t="shared" si="32"/>
        <v>0.41525773195876292</v>
      </c>
      <c r="Y25" s="4">
        <v>2.5</v>
      </c>
      <c r="Z25" s="4">
        <f t="shared" si="33"/>
        <v>1999</v>
      </c>
      <c r="AA25" s="4">
        <f t="shared" si="3"/>
        <v>2240.7762845849802</v>
      </c>
      <c r="AB25" s="6">
        <f t="shared" si="4"/>
        <v>0.36718359179589799</v>
      </c>
      <c r="AC25" s="7">
        <v>2280</v>
      </c>
      <c r="AD25" s="6">
        <f t="shared" si="5"/>
        <v>0.37807017543859645</v>
      </c>
      <c r="AE25" s="4">
        <f t="shared" si="6"/>
        <v>862</v>
      </c>
      <c r="AF25" s="28"/>
      <c r="AG25" s="6"/>
      <c r="AH25" s="6"/>
      <c r="AI25" s="6" t="e">
        <f t="shared" si="7"/>
        <v>#DIV/0!</v>
      </c>
      <c r="AJ25" s="6">
        <f t="shared" si="8"/>
        <v>1.0540915395284327</v>
      </c>
      <c r="AK25" s="6">
        <f t="shared" si="9"/>
        <v>1.1209486166007905</v>
      </c>
      <c r="AL25" s="4" t="str">
        <f t="shared" si="10"/>
        <v>-</v>
      </c>
      <c r="AM25" s="4" t="str">
        <f t="shared" si="11"/>
        <v>-</v>
      </c>
      <c r="AN25" s="4" t="str">
        <f t="shared" si="12"/>
        <v>-</v>
      </c>
      <c r="AO25" s="4">
        <v>0</v>
      </c>
      <c r="AP25" s="4" t="s">
        <v>131</v>
      </c>
      <c r="AQ25" s="4"/>
      <c r="AR25" s="4"/>
      <c r="AS25" s="4" t="s">
        <v>121</v>
      </c>
      <c r="AT25" s="4">
        <v>1657</v>
      </c>
      <c r="AU25" s="4">
        <v>1999</v>
      </c>
      <c r="AV25" s="4">
        <f t="shared" si="34"/>
        <v>1999</v>
      </c>
      <c r="AW25" s="19">
        <v>2</v>
      </c>
      <c r="AX25" s="19">
        <v>1</v>
      </c>
      <c r="AY25" s="16">
        <v>6</v>
      </c>
      <c r="AZ25" t="s">
        <v>92</v>
      </c>
      <c r="BA25" t="s">
        <v>92</v>
      </c>
      <c r="BB25" s="4" t="s">
        <v>135</v>
      </c>
    </row>
    <row r="26" spans="1:54" x14ac:dyDescent="0.4">
      <c r="AC26" t="s">
        <v>136</v>
      </c>
    </row>
  </sheetData>
  <autoFilter ref="A3:BB25" xr:uid="{7A1660CF-9003-4B2D-B659-7F339ED5B476}"/>
  <mergeCells count="3">
    <mergeCell ref="K2:N2"/>
    <mergeCell ref="I2:J2"/>
    <mergeCell ref="R1:U1"/>
  </mergeCells>
  <phoneticPr fontId="2"/>
  <conditionalFormatting sqref="Z4:Z25">
    <cfRule type="cellIs" dxfId="3" priority="4" operator="lessThan">
      <formula>$W4</formula>
    </cfRule>
  </conditionalFormatting>
  <conditionalFormatting sqref="AA4:AA25">
    <cfRule type="cellIs" dxfId="2" priority="1" operator="lessThan">
      <formula>$AC4</formula>
    </cfRule>
  </conditionalFormatting>
  <conditionalFormatting sqref="AC4:AC25">
    <cfRule type="cellIs" dxfId="0" priority="3" operator="greaterThan">
      <formula>$S4</formula>
    </cfRule>
  </conditionalFormatting>
  <conditionalFormatting sqref="AU4:AU25">
    <cfRule type="cellIs" dxfId="1" priority="2" operator="notEqual">
      <formula>$AT4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フォーレスト007</dc:creator>
  <cp:lastModifiedBy>須永 英里子</cp:lastModifiedBy>
  <dcterms:created xsi:type="dcterms:W3CDTF">2022-07-07T00:08:53Z</dcterms:created>
  <dcterms:modified xsi:type="dcterms:W3CDTF">2026-05-14T00:55:33Z</dcterms:modified>
</cp:coreProperties>
</file>