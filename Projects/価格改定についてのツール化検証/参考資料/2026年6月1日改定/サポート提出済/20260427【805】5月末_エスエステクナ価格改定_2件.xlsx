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t-nas\01_全社共有\商品部\個人フォルダ\須永\価格改定\2026年6月1日改定\"/>
    </mc:Choice>
  </mc:AlternateContent>
  <xr:revisionPtr revIDLastSave="0" documentId="13_ncr:1_{3CD34C3A-DCC6-4CA4-ADCB-6D1F107B50BE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Q5" i="1" l="1"/>
  <c r="BQ4" i="1"/>
  <c r="AR4" i="1"/>
  <c r="AT4" i="1"/>
  <c r="AS4" i="1"/>
  <c r="BH5" i="1" l="1"/>
  <c r="AE5" i="1" s="1"/>
  <c r="BH4" i="1"/>
  <c r="AE4" i="1" s="1"/>
  <c r="AA5" i="1"/>
  <c r="AJ5" i="1" s="1"/>
  <c r="Y5" i="1"/>
  <c r="AO5" i="1" s="1"/>
  <c r="C5" i="1"/>
  <c r="C4" i="1"/>
  <c r="AA4" i="1"/>
  <c r="AJ4" i="1" s="1"/>
  <c r="Y4" i="1"/>
  <c r="AO4" i="1" s="1"/>
  <c r="AP4" i="1"/>
  <c r="AP5" i="1"/>
  <c r="N5" i="1"/>
  <c r="N4" i="1"/>
  <c r="AQ5" i="1" l="1"/>
  <c r="AH5" i="1" s="1"/>
  <c r="AF5" i="1"/>
  <c r="AF4" i="1"/>
  <c r="AK5" i="1"/>
  <c r="AM4" i="1"/>
  <c r="AN4" i="1"/>
  <c r="AK4" i="1"/>
  <c r="AQ4" i="1"/>
  <c r="AC5" i="1" l="1"/>
  <c r="AD5" i="1" s="1"/>
  <c r="AC4" i="1"/>
  <c r="AD4" i="1" s="1"/>
  <c r="AH4" i="1"/>
</calcChain>
</file>

<file path=xl/sharedStrings.xml><?xml version="1.0" encoding="utf-8"?>
<sst xmlns="http://schemas.openxmlformats.org/spreadsheetml/2006/main" count="99" uniqueCount="75">
  <si>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</si>
  <si>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</si>
  <si>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</si>
  <si>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</si>
  <si>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</si>
  <si>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</si>
  <si>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</si>
  <si>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</si>
  <si>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</si>
  <si>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</si>
  <si>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</si>
  <si>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</si>
  <si>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</si>
  <si>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</si>
  <si>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</si>
  <si>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</si>
  <si>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</si>
  <si>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</si>
  <si>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</si>
  <si>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</si>
  <si>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</si>
  <si>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</si>
  <si>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</si>
  <si>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</si>
  <si>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</si>
  <si>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</si>
  <si>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</si>
  <si>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</si>
  <si>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</si>
  <si>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</si>
  <si>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</si>
  <si>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</si>
  <si>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</si>
  <si>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</si>
  <si>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</si>
  <si>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</si>
  <si>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</si>
  <si>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</si>
  <si>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</si>
  <si>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</si>
  <si>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</si>
  <si>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</si>
  <si>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</si>
  <si>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</si>
  <si>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</si>
  <si>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</si>
  <si>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</si>
  <si>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</si>
  <si>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</si>
  <si>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</si>
  <si>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</si>
  <si>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</si>
  <si>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</si>
  <si>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</si>
  <si>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</si>
  <si>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</si>
  <si>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</si>
  <si>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</si>
  <si>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</si>
  <si>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</si>
  <si>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</si>
  <si>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</si>
  <si>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</si>
  <si>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</si>
  <si>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</si>
  <si>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34/157</t>
  </si>
  <si>
    <t>SBﾃｰﾌﾟ/細幅透明OPPﾃｰﾌﾟ SS-4 15mm×50m 10巻</t>
  </si>
  <si>
    <t>SBﾃｰﾌﾟ/細幅透明OPPﾃｰﾌﾟ SS-4 15mm×50m 200巻</t>
  </si>
  <si>
    <t>-</t>
  </si>
  <si>
    <t>-</t>
    <phoneticPr fontId="2"/>
  </si>
  <si>
    <t>5月売価</t>
    <rPh sb="1" eb="2">
      <t>ガツ</t>
    </rPh>
    <rPh sb="2" eb="4">
      <t>バイカ</t>
    </rPh>
    <phoneticPr fontId="2"/>
  </si>
  <si>
    <t>伊藤忠リーテイルリンク OPPクリアテープ 15mm×50m IRL-CT03 1パック（10巻入）</t>
    <phoneticPr fontId="2"/>
  </si>
  <si>
    <t>売価(税抜)</t>
    <rPh sb="0" eb="2">
      <t>バイカ</t>
    </rPh>
    <rPh sb="3" eb="5">
      <t>ゼイヌキ</t>
    </rPh>
    <phoneticPr fontId="2"/>
  </si>
  <si>
    <t>アスクル同等品</t>
    <rPh sb="4" eb="6">
      <t>ドウトウ</t>
    </rPh>
    <rPh sb="6" eb="7">
      <t>ヒン</t>
    </rPh>
    <phoneticPr fontId="2"/>
  </si>
  <si>
    <t>伊藤忠リーテイルリンク OPPクリアテープ 15mm×50m IRL-CT03 1箱（200巻：10巻入×20パック）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</si>
</sst>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6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標準" xfId="0" builtinId="0"/>
  </cellStyles>
  <dxfs count="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5"/>
  <sheetViews>
    <sheetView tabSelected="1" zoomScale="90" zoomScaleNormal="90" workbookViewId="0">
      <pane xSplit="6" ySplit="5" topLeftCell="K6" activePane="bottomRight" state="frozen"/>
      <selection pane="topRight" activeCell="G1" sqref="G1"/>
      <selection pane="bottomLeft" activeCell="A5" sqref="A5"/>
      <selection pane="bottomRight" activeCell="L3" sqref="L3"/>
    </sheetView>
  </sheetViews>
  <sheetFormatPr defaultRowHeight="18.75" outlineLevelCol="1" x14ac:dyDescent="0.4"/>
  <cols>
    <col min="5" max="5" width="48.375" customWidth="1"/>
    <col min="6" max="6" width="15.5" bestFit="1" customWidth="1"/>
    <col min="7" max="10" width="7.5" hidden="1" customWidth="1" outlineLevel="1"/>
    <col min="11" max="11" width="7.625" customWidth="1" collapsed="1"/>
    <col min="12" max="15" width="7.625" customWidth="1"/>
    <col min="16" max="23" width="7.625" hidden="1" customWidth="1" outlineLevel="1"/>
    <col min="24" max="24" width="7.625" customWidth="1" collapsed="1"/>
    <col min="25" max="27" width="7.625" customWidth="1"/>
    <col min="28" max="28" width="4.375" customWidth="1" collapsed="1"/>
    <col min="29" max="37" width="7.625" customWidth="1"/>
    <col min="38" max="40" width="7.625" hidden="1" customWidth="1" outlineLevel="1"/>
    <col min="41" max="41" width="7.625" customWidth="1" collapsed="1"/>
    <col min="42" max="43" width="7.625" customWidth="1"/>
    <col min="44" max="52" width="7.625" hidden="1" customWidth="1" outlineLevel="1"/>
    <col min="53" max="53" width="7.625" customWidth="1" collapsed="1"/>
    <col min="54" max="65" width="7.625" customWidth="1"/>
  </cols>
  <sheetData>
    <row r="1" spans="1:69" x14ac:dyDescent="0.4">
      <c r="B1" s="28" t="s">
        <v>49</v>
      </c>
      <c r="X1" s="37" t="s">
        <v>46</v>
      </c>
      <c r="Y1" s="38"/>
      <c r="Z1" s="38"/>
      <c r="AA1" s="39"/>
    </row>
    <row r="2" spans="1:69" x14ac:dyDescent="0.4">
      <c r="B2" s="8" t="s">
        <v>33</v>
      </c>
      <c r="C2" s="9" t="s">
        <v>34</v>
      </c>
      <c r="D2" s="9" t="s">
        <v>35</v>
      </c>
      <c r="E2" s="10"/>
      <c r="F2" s="10"/>
      <c r="G2" s="31"/>
      <c r="H2" s="31"/>
      <c r="I2" s="34" t="s">
        <v>36</v>
      </c>
      <c r="J2" s="36"/>
      <c r="K2" s="34" t="s">
        <v>2</v>
      </c>
      <c r="L2" s="35"/>
      <c r="M2" s="35"/>
      <c r="N2" s="36"/>
      <c r="O2" s="11"/>
      <c r="P2" s="30"/>
      <c r="Q2" s="30"/>
      <c r="R2" s="30"/>
      <c r="S2" s="30"/>
      <c r="T2" s="30"/>
      <c r="U2" s="30"/>
      <c r="V2" s="30"/>
      <c r="W2" s="30"/>
      <c r="X2" s="22"/>
      <c r="Y2" s="23" t="s">
        <v>39</v>
      </c>
      <c r="Z2" s="23"/>
      <c r="AA2" s="24" t="s">
        <v>39</v>
      </c>
      <c r="AB2" s="10"/>
      <c r="AC2" s="9" t="s">
        <v>44</v>
      </c>
      <c r="AD2" s="11"/>
      <c r="AE2" s="11"/>
      <c r="AF2" s="11"/>
      <c r="AG2" s="11"/>
      <c r="AH2" s="11"/>
      <c r="AI2" s="21" t="s">
        <v>47</v>
      </c>
      <c r="AJ2" s="11"/>
      <c r="AK2" s="11"/>
      <c r="AL2" s="26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>
        <v>51</v>
      </c>
      <c r="BI2">
        <v>14</v>
      </c>
      <c r="BJ2">
        <v>28</v>
      </c>
    </row>
    <row r="3" spans="1:69" ht="75" x14ac:dyDescent="0.4">
      <c r="A3" s="1" t="s">
        <v>59</v>
      </c>
      <c r="B3" s="2" t="s">
        <v>4</v>
      </c>
      <c r="C3" s="2" t="s">
        <v>9</v>
      </c>
      <c r="D3" s="2" t="s">
        <v>10</v>
      </c>
      <c r="E3" s="2" t="s">
        <v>0</v>
      </c>
      <c r="F3" s="12" t="s">
        <v>7</v>
      </c>
      <c r="G3" s="12" t="s">
        <v>62</v>
      </c>
      <c r="H3" s="12" t="s">
        <v>63</v>
      </c>
      <c r="I3" s="12" t="s">
        <v>30</v>
      </c>
      <c r="J3" s="12" t="s">
        <v>31</v>
      </c>
      <c r="K3" s="12" t="s">
        <v>1</v>
      </c>
      <c r="L3" s="2" t="s">
        <v>8</v>
      </c>
      <c r="M3" s="2" t="s">
        <v>5</v>
      </c>
      <c r="N3" s="2" t="s">
        <v>16</v>
      </c>
      <c r="O3" s="12" t="s">
        <v>55</v>
      </c>
      <c r="P3" s="12" t="s">
        <v>20</v>
      </c>
      <c r="Q3" s="12" t="s">
        <v>21</v>
      </c>
      <c r="R3" s="12" t="s">
        <v>56</v>
      </c>
      <c r="S3" s="12" t="s">
        <v>23</v>
      </c>
      <c r="T3" s="12" t="s">
        <v>24</v>
      </c>
      <c r="U3" s="12" t="s">
        <v>57</v>
      </c>
      <c r="V3" s="12" t="s">
        <v>26</v>
      </c>
      <c r="W3" s="12" t="s">
        <v>27</v>
      </c>
      <c r="X3" s="12" t="s">
        <v>3</v>
      </c>
      <c r="Y3" s="12" t="s">
        <v>28</v>
      </c>
      <c r="Z3" s="2" t="s">
        <v>5</v>
      </c>
      <c r="AA3" s="12" t="s">
        <v>29</v>
      </c>
      <c r="AB3" s="14" t="s">
        <v>6</v>
      </c>
      <c r="AC3" s="19" t="s">
        <v>17</v>
      </c>
      <c r="AD3" s="2" t="s">
        <v>16</v>
      </c>
      <c r="AE3" s="12" t="s">
        <v>45</v>
      </c>
      <c r="AF3" s="2" t="s">
        <v>16</v>
      </c>
      <c r="AG3" s="2" t="s">
        <v>50</v>
      </c>
      <c r="AH3" s="12" t="s">
        <v>64</v>
      </c>
      <c r="AI3" s="13" t="s">
        <v>37</v>
      </c>
      <c r="AJ3" s="2" t="s">
        <v>16</v>
      </c>
      <c r="AK3" s="2" t="s">
        <v>38</v>
      </c>
      <c r="AL3" s="25" t="s">
        <v>40</v>
      </c>
      <c r="AM3" s="12" t="s">
        <v>41</v>
      </c>
      <c r="AN3" s="12" t="s">
        <v>42</v>
      </c>
      <c r="AO3" s="12" t="s">
        <v>32</v>
      </c>
      <c r="AP3" s="12" t="s">
        <v>43</v>
      </c>
      <c r="AQ3" s="12" t="s">
        <v>18</v>
      </c>
      <c r="AR3" s="12" t="s">
        <v>19</v>
      </c>
      <c r="AS3" s="12" t="s">
        <v>20</v>
      </c>
      <c r="AT3" s="12" t="s">
        <v>21</v>
      </c>
      <c r="AU3" s="12" t="s">
        <v>22</v>
      </c>
      <c r="AV3" s="12" t="s">
        <v>23</v>
      </c>
      <c r="AW3" s="12" t="s">
        <v>24</v>
      </c>
      <c r="AX3" s="12" t="s">
        <v>25</v>
      </c>
      <c r="AY3" s="12" t="s">
        <v>26</v>
      </c>
      <c r="AZ3" s="12" t="s">
        <v>27</v>
      </c>
      <c r="BA3" s="2" t="s">
        <v>11</v>
      </c>
      <c r="BB3" s="2" t="s">
        <v>12</v>
      </c>
      <c r="BC3" s="2" t="s">
        <v>13</v>
      </c>
      <c r="BD3" s="2" t="s">
        <v>14</v>
      </c>
      <c r="BE3" s="12" t="s">
        <v>48</v>
      </c>
      <c r="BF3" s="12" t="s">
        <v>61</v>
      </c>
      <c r="BG3" s="2" t="s">
        <v>70</v>
      </c>
      <c r="BH3" s="2" t="s">
        <v>15</v>
      </c>
      <c r="BI3" s="17" t="s">
        <v>51</v>
      </c>
      <c r="BJ3" s="17" t="s">
        <v>52</v>
      </c>
      <c r="BK3" s="15" t="s">
        <v>60</v>
      </c>
      <c r="BL3" s="29" t="s">
        <v>53</v>
      </c>
      <c r="BM3" t="s">
        <v>54</v>
      </c>
      <c r="BN3" t="s">
        <v>58</v>
      </c>
      <c r="BO3" t="s">
        <v>73</v>
      </c>
      <c r="BP3" t="s">
        <v>72</v>
      </c>
    </row>
    <row r="4" spans="1:69" x14ac:dyDescent="0.4">
      <c r="A4" s="3">
        <v>1</v>
      </c>
      <c r="B4" s="33">
        <v>928889</v>
      </c>
      <c r="C4" s="4" t="str">
        <f>TEXT(B4,"000000")</f>
        <v>928889</v>
      </c>
      <c r="D4" s="4">
        <v>928889</v>
      </c>
      <c r="E4" s="4" t="s">
        <v>66</v>
      </c>
      <c r="F4" s="5">
        <v>4582454265014</v>
      </c>
      <c r="G4" s="5"/>
      <c r="H4" s="5"/>
      <c r="I4" s="5">
        <v>1</v>
      </c>
      <c r="J4" s="5">
        <v>1</v>
      </c>
      <c r="K4" s="4">
        <v>0</v>
      </c>
      <c r="L4" s="4">
        <v>430</v>
      </c>
      <c r="M4" s="4">
        <v>300</v>
      </c>
      <c r="N4" s="6">
        <f t="shared" ref="N4:N5" si="0">1-M4/L4</f>
        <v>0.30232558139534882</v>
      </c>
      <c r="O4" s="4"/>
      <c r="P4" s="4"/>
      <c r="Q4" s="4"/>
      <c r="R4" s="4"/>
      <c r="S4" s="4"/>
      <c r="T4" s="4"/>
      <c r="U4" s="4"/>
      <c r="V4" s="4"/>
      <c r="W4" s="4"/>
      <c r="X4" s="4">
        <v>0</v>
      </c>
      <c r="Y4" s="4">
        <f>IF(AB4="",X4,X4*AB4)</f>
        <v>0</v>
      </c>
      <c r="Z4" s="4">
        <v>390</v>
      </c>
      <c r="AA4" s="4">
        <f>IF(AB4="",Z4,Z4*AB4)</f>
        <v>390</v>
      </c>
      <c r="AB4" s="4"/>
      <c r="AC4" s="20">
        <f t="shared" ref="AC4:AC5" si="1">ROUND(L4*AQ4,0)</f>
        <v>559</v>
      </c>
      <c r="AD4" s="6">
        <f t="shared" ref="AD4" si="2">1-AA4/AC4</f>
        <v>0.30232558139534882</v>
      </c>
      <c r="AE4" s="4" t="str">
        <f>BH4</f>
        <v>-</v>
      </c>
      <c r="AF4" s="6" t="e">
        <f t="shared" ref="AF4:AF5" si="3">1-AA4/AE4</f>
        <v>#VALUE!</v>
      </c>
      <c r="AG4" s="4">
        <v>153.25</v>
      </c>
      <c r="AH4" s="4" t="e">
        <f>AE4*AQ4</f>
        <v>#VALUE!</v>
      </c>
      <c r="AI4" s="7">
        <v>580</v>
      </c>
      <c r="AJ4" s="6">
        <f>1-AA4/AI4</f>
        <v>0.32758620689655171</v>
      </c>
      <c r="AK4" s="4">
        <f>AI4-AA4</f>
        <v>190</v>
      </c>
      <c r="AL4" s="27"/>
      <c r="AM4" s="6" t="e">
        <f>1-AA4/AL4</f>
        <v>#DIV/0!</v>
      </c>
      <c r="AN4" s="4">
        <f>AL4-AA4</f>
        <v>-390</v>
      </c>
      <c r="AO4" s="6" t="e">
        <f t="shared" ref="AO4:AO5" si="4">Y4/K4</f>
        <v>#DIV/0!</v>
      </c>
      <c r="AP4" s="6">
        <f t="shared" ref="AP4:AP5" si="5">AI4/L4</f>
        <v>1.3488372093023255</v>
      </c>
      <c r="AQ4" s="6">
        <f t="shared" ref="AQ4:AQ5" si="6">AA4/M4</f>
        <v>1.3</v>
      </c>
      <c r="AR4" s="4">
        <f>IFERROR(ROUND($AI4*O4/$L4,0),"-")</f>
        <v>0</v>
      </c>
      <c r="AS4" s="4" t="str">
        <f>IF(P4="","-",P4)</f>
        <v>-</v>
      </c>
      <c r="AT4" s="4" t="str">
        <f>IF(Q4="","-",Q4)</f>
        <v>-</v>
      </c>
      <c r="AU4" s="4"/>
      <c r="AV4" s="4"/>
      <c r="AW4" s="4"/>
      <c r="AX4" s="4"/>
      <c r="AY4" s="4"/>
      <c r="AZ4" s="4"/>
      <c r="BA4" s="4" t="s">
        <v>65</v>
      </c>
      <c r="BB4" s="4" t="s">
        <v>69</v>
      </c>
      <c r="BC4" s="4"/>
      <c r="BD4" s="4"/>
      <c r="BE4" s="4" t="s">
        <v>69</v>
      </c>
      <c r="BF4" s="4" t="s">
        <v>68</v>
      </c>
      <c r="BG4" s="4" t="s">
        <v>68</v>
      </c>
      <c r="BH4" s="4" t="str">
        <f t="shared" ref="BH4:BH5" si="7">IF(BC4="",BG4,BC4/BD4*BG4)</f>
        <v>-</v>
      </c>
      <c r="BI4" s="18">
        <v>4</v>
      </c>
      <c r="BJ4" s="18">
        <v>1</v>
      </c>
      <c r="BK4" s="16">
        <v>6</v>
      </c>
      <c r="BL4" t="s">
        <v>69</v>
      </c>
      <c r="BM4" t="s">
        <v>69</v>
      </c>
      <c r="BN4" t="s">
        <v>68</v>
      </c>
      <c r="BO4" t="s">
        <v>71</v>
      </c>
      <c r="BP4">
        <v>430</v>
      </c>
      <c r="BQ4">
        <f>BP4*1.3</f>
        <v>559</v>
      </c>
    </row>
    <row r="5" spans="1:69" x14ac:dyDescent="0.4">
      <c r="A5" s="32">
        <v>2</v>
      </c>
      <c r="B5" s="33">
        <v>928890</v>
      </c>
      <c r="C5" s="4" t="str">
        <f t="shared" ref="C5" si="8">TEXT(B5,"000000")</f>
        <v>928890</v>
      </c>
      <c r="D5" s="4">
        <v>928890</v>
      </c>
      <c r="E5" s="4" t="s">
        <v>67</v>
      </c>
      <c r="F5" s="5">
        <v>2001234806886</v>
      </c>
      <c r="G5" s="5"/>
      <c r="H5" s="5"/>
      <c r="I5" s="5">
        <v>1</v>
      </c>
      <c r="J5" s="5">
        <v>1</v>
      </c>
      <c r="K5" s="4">
        <v>0</v>
      </c>
      <c r="L5" s="4">
        <v>8235</v>
      </c>
      <c r="M5" s="4">
        <v>6000</v>
      </c>
      <c r="N5" s="6">
        <f t="shared" si="0"/>
        <v>0.27140255009107472</v>
      </c>
      <c r="O5" s="4"/>
      <c r="P5" s="4"/>
      <c r="Q5" s="4"/>
      <c r="R5" s="4"/>
      <c r="S5" s="4"/>
      <c r="T5" s="4"/>
      <c r="U5" s="4"/>
      <c r="V5" s="4"/>
      <c r="W5" s="4"/>
      <c r="X5" s="4">
        <v>0</v>
      </c>
      <c r="Y5" s="4">
        <f t="shared" ref="Y5" si="9">IF(AB5="",X5,X5*AB5)</f>
        <v>0</v>
      </c>
      <c r="Z5" s="4">
        <v>390</v>
      </c>
      <c r="AA5" s="4">
        <f t="shared" ref="AA5" si="10">IF(AB5="",Z5,Z5*AB5)</f>
        <v>7800</v>
      </c>
      <c r="AB5" s="4">
        <v>20</v>
      </c>
      <c r="AC5" s="20">
        <f t="shared" si="1"/>
        <v>10706</v>
      </c>
      <c r="AD5" s="6">
        <f t="shared" ref="AD5" si="11">1-AA5/AC5</f>
        <v>0.27143657762002615</v>
      </c>
      <c r="AE5" s="4" t="str">
        <f t="shared" ref="AE5" si="12">BH5</f>
        <v>-</v>
      </c>
      <c r="AF5" s="6" t="e">
        <f t="shared" si="3"/>
        <v>#VALUE!</v>
      </c>
      <c r="AG5" s="4">
        <v>211.75000000000003</v>
      </c>
      <c r="AH5" s="4" t="e">
        <f t="shared" ref="AH5" si="13">AE5*AQ5</f>
        <v>#VALUE!</v>
      </c>
      <c r="AI5" s="7">
        <v>10800</v>
      </c>
      <c r="AJ5" s="6">
        <f t="shared" ref="AJ5" si="14">1-AA5/AI5</f>
        <v>0.27777777777777779</v>
      </c>
      <c r="AK5" s="4">
        <f t="shared" ref="AK5" si="15">AI5-AA5</f>
        <v>3000</v>
      </c>
      <c r="AL5" s="27"/>
      <c r="AM5" s="6"/>
      <c r="AN5" s="6"/>
      <c r="AO5" s="6" t="e">
        <f t="shared" si="4"/>
        <v>#DIV/0!</v>
      </c>
      <c r="AP5" s="6">
        <f t="shared" si="5"/>
        <v>1.3114754098360655</v>
      </c>
      <c r="AQ5" s="6">
        <f t="shared" si="6"/>
        <v>1.3</v>
      </c>
      <c r="AR5" s="4"/>
      <c r="AS5" s="4"/>
      <c r="AT5" s="4"/>
      <c r="AU5" s="4"/>
      <c r="AV5" s="4"/>
      <c r="AW5" s="4"/>
      <c r="AX5" s="4"/>
      <c r="AY5" s="4"/>
      <c r="AZ5" s="4"/>
      <c r="BA5" s="4" t="s">
        <v>65</v>
      </c>
      <c r="BB5" s="4" t="s">
        <v>69</v>
      </c>
      <c r="BC5" s="4"/>
      <c r="BD5" s="4"/>
      <c r="BE5" s="4" t="s">
        <v>69</v>
      </c>
      <c r="BF5" s="4" t="s">
        <v>68</v>
      </c>
      <c r="BG5" s="4" t="s">
        <v>68</v>
      </c>
      <c r="BH5" s="4" t="str">
        <f t="shared" si="7"/>
        <v>-</v>
      </c>
      <c r="BI5" s="18">
        <v>2</v>
      </c>
      <c r="BJ5" s="18">
        <v>1</v>
      </c>
      <c r="BK5" s="16">
        <v>6</v>
      </c>
      <c r="BL5" t="s">
        <v>69</v>
      </c>
      <c r="BM5" t="s">
        <v>69</v>
      </c>
      <c r="BN5" t="s">
        <v>68</v>
      </c>
      <c r="BO5" t="s">
        <v>74</v>
      </c>
      <c r="BP5">
        <v>8235</v>
      </c>
      <c r="BQ5">
        <f>BP5*1.3</f>
        <v>10705.5</v>
      </c>
    </row>
  </sheetData>
  <autoFilter ref="A3:BN3" xr:uid="{7A1660CF-9003-4B2D-B659-7F339ED5B476}"/>
  <mergeCells count="3">
    <mergeCell ref="K2:N2"/>
    <mergeCell ref="I2:J2"/>
    <mergeCell ref="X1:AA1"/>
  </mergeCells>
  <phoneticPr fontId="2"/>
  <conditionalFormatting sqref="AE4:AE5">
    <cfRule type="cellIs" dxfId="1" priority="2" operator="lessThan">
      <formula>$AC4</formula>
    </cfRule>
  </conditionalFormatting>
  <conditionalFormatting sqref="AI4:AI5">
    <cfRule type="cellIs" dxfId="0" priority="1" operator="greaterThan">
      <formula>$Y4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2026-05-13T09:22:31Z</dcterms:modified>
</cp:coreProperties>
</file>