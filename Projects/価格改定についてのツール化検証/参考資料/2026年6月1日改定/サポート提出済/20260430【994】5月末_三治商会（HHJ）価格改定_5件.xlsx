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三治商会_994\価格改定\20260430_5月末\"/>
    </mc:Choice>
  </mc:AlternateContent>
  <xr:revisionPtr revIDLastSave="0" documentId="13_ncr:1_{246B330B-48AC-411A-9D55-46E8A4649443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4" i="1" l="1"/>
  <c r="AT4" i="1"/>
  <c r="AS4" i="1"/>
  <c r="BH5" i="1" l="1"/>
  <c r="AF5" i="1" s="1"/>
  <c r="BH6" i="1"/>
  <c r="AF6" i="1" s="1"/>
  <c r="BH7" i="1"/>
  <c r="AF7" i="1" s="1"/>
  <c r="BH8" i="1"/>
  <c r="AF8" i="1" s="1"/>
  <c r="BH4" i="1"/>
  <c r="AF4" i="1" s="1"/>
  <c r="AA5" i="1"/>
  <c r="AA6" i="1"/>
  <c r="AA7" i="1"/>
  <c r="AA8" i="1"/>
  <c r="Y5" i="1"/>
  <c r="AO5" i="1" s="1"/>
  <c r="Y6" i="1"/>
  <c r="AO6" i="1" s="1"/>
  <c r="Y7" i="1"/>
  <c r="AO7" i="1" s="1"/>
  <c r="Y8" i="1"/>
  <c r="AO8" i="1" s="1"/>
  <c r="C5" i="1"/>
  <c r="C6" i="1"/>
  <c r="C7" i="1"/>
  <c r="C8" i="1"/>
  <c r="C4" i="1"/>
  <c r="AA4" i="1"/>
  <c r="Y4" i="1"/>
  <c r="AO4" i="1" s="1"/>
  <c r="AP4" i="1"/>
  <c r="AP8" i="1"/>
  <c r="N8" i="1"/>
  <c r="AP7" i="1"/>
  <c r="N7" i="1"/>
  <c r="AP6" i="1"/>
  <c r="N6" i="1"/>
  <c r="AP5" i="1"/>
  <c r="N5" i="1"/>
  <c r="N4" i="1"/>
  <c r="AJ5" i="1" l="1"/>
  <c r="AK8" i="1"/>
  <c r="AK7" i="1"/>
  <c r="AQ6" i="1"/>
  <c r="AC6" i="1" s="1"/>
  <c r="AD6" i="1" s="1"/>
  <c r="AJ4" i="1"/>
  <c r="AQ5" i="1"/>
  <c r="AC5" i="1" s="1"/>
  <c r="AD5" i="1" s="1"/>
  <c r="AQ8" i="1"/>
  <c r="AK6" i="1"/>
  <c r="AJ8" i="1"/>
  <c r="AJ7" i="1"/>
  <c r="AK5" i="1"/>
  <c r="AQ7" i="1"/>
  <c r="AJ6" i="1"/>
  <c r="AM4" i="1"/>
  <c r="AN4" i="1"/>
  <c r="AK4" i="1"/>
  <c r="AQ4" i="1"/>
  <c r="AG6" i="1" l="1"/>
  <c r="AH6" i="1" s="1"/>
  <c r="AG5" i="1"/>
  <c r="AH5" i="1" s="1"/>
  <c r="AC8" i="1"/>
  <c r="AD8" i="1" s="1"/>
  <c r="AG8" i="1"/>
  <c r="AH8" i="1" s="1"/>
  <c r="AC7" i="1"/>
  <c r="AD7" i="1" s="1"/>
  <c r="AG7" i="1"/>
  <c r="AH7" i="1" s="1"/>
  <c r="AC4" i="1"/>
  <c r="AD4" i="1" s="1"/>
  <c r="AG4" i="1"/>
  <c r="AH4" i="1" s="1"/>
</calcChain>
</file>

<file path=xl/sharedStrings.xml><?xml version="1.0" encoding="utf-8"?>
<sst xmlns="http://schemas.openxmlformats.org/spreadsheetml/2006/main" count="124" uniqueCount="88">
  <si>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</si>
  <si>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</si>
  <si>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</si>
  <si>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</si>
  <si>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</si>
  <si>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</si>
  <si>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</si>
  <si>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</si>
  <si>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</si>
  <si>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</si>
  <si>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</si>
  <si>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</si>
  <si>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</si>
  <si>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</si>
  <si>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</si>
  <si>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</si>
  <si>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</si>
  <si>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</si>
  <si>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</si>
  <si>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</si>
  <si>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</si>
  <si>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</si>
  <si>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</si>
  <si>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</si>
  <si>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</si>
  <si>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</si>
  <si>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</si>
  <si>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</si>
  <si>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</si>
  <si>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</si>
  <si>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</si>
  <si>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</si>
  <si>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</si>
  <si>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</si>
  <si>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</si>
  <si>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</si>
  <si>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</si>
  <si>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</si>
  <si>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</si>
  <si>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</si>
  <si>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</si>
  <si>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</si>
  <si>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</si>
  <si>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</si>
  <si>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</si>
  <si>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</si>
  <si>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</si>
  <si>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</si>
  <si>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</si>
  <si>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</si>
  <si>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</si>
  <si>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</si>
  <si>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</si>
  <si>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</si>
  <si>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</si>
  <si>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</si>
  <si>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</si>
  <si>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</si>
  <si>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</si>
  <si>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</si>
  <si>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</si>
  <si>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</si>
  <si>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</si>
  <si>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</si>
  <si>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</si>
  <si>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J7971X</t>
  </si>
  <si>
    <t>J7972X</t>
  </si>
  <si>
    <t>5044AK</t>
  </si>
  <si>
    <t>5047AK</t>
  </si>
  <si>
    <t>5048AK</t>
  </si>
  <si>
    <t>ﾊｳｽﾎｰﾙﾄﾞｼﾞｬﾊﾟﾝ/ひも付きﾚｼﾞ袋 M 100枚入/TN40</t>
  </si>
  <si>
    <t>ﾊｳｽﾎｰﾙﾄﾞｼﾞｬﾊﾟﾝ/ひも付きﾚｼﾞ袋 L 100枚入/TN45</t>
  </si>
  <si>
    <t>ﾊｳｽﾎｰﾙﾄﾞｼﾞｬﾊﾟﾝ/ｽﾗｲﾀﾞｰｼﾞｯﾊﾟｰ Lｻｲｽﾞ 27×18mm 8枚</t>
  </si>
  <si>
    <t>ﾊｳｽﾎｰﾙﾄﾞｼﾞｬﾊﾟﾝ/ﾛｰﾙｺﾞﾐ袋 20L 半透明 20枚/RR22</t>
  </si>
  <si>
    <t>ﾊｳｽﾎｰﾙﾄﾞｼﾞｬﾊﾟﾝ/ﾛｰﾙｺﾞﾐ袋 30L 半透明 20枚/RR32</t>
  </si>
  <si>
    <t>-</t>
    <phoneticPr fontId="2"/>
  </si>
  <si>
    <t>ハウスホールドジャパン レジ袋ひも付き M●10個セット 4580287316552 1セット(10個入)（直送品）</t>
  </si>
  <si>
    <t>1セット（10個入）</t>
  </si>
  <si>
    <t>UA25140</t>
  </si>
  <si>
    <t>UA25141</t>
  </si>
  <si>
    <t>ハウスホールドジャパン レジ袋ひも付き L●10個セット 4580287316569 1セット(10個入)（直送品）</t>
  </si>
  <si>
    <t>WWJ1450</t>
  </si>
  <si>
    <t>1セット(10個入)</t>
  </si>
  <si>
    <t>ハウスホールドジャパン ロールゴミ袋20L●1セット(10個入) 4580287323307 1セット(10個入)（直送品）</t>
  </si>
  <si>
    <t>WWJ1452</t>
  </si>
  <si>
    <t>ハウスホールドジャパン ロールゴミ袋30L●1セット(10個入) 4580287323314 1セット(10個入)（直送品）</t>
  </si>
  <si>
    <t>-</t>
  </si>
  <si>
    <t>5月売価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</si>
</sst>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N8"/>
  <sheetViews>
    <sheetView tabSelected="1" zoomScale="90" zoomScaleNormal="90" workbookViewId="0">
      <pane xSplit="6" ySplit="5" topLeftCell="O6" activePane="bottomRight" state="frozen"/>
      <selection pane="topRight" activeCell="G1" sqref="G1"/>
      <selection pane="bottomLeft" activeCell="A5" sqref="A5"/>
      <selection pane="bottomRight" activeCell="E1" sqref="E1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0" width="7.625" customWidth="1"/>
    <col min="31" max="31" width="7.625" style="30" customWidth="1"/>
    <col min="32" max="32" width="7.625" customWidth="1"/>
    <col min="33" max="33" width="7.625" style="30" customWidth="1"/>
    <col min="34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5" width="7.625" customWidth="1"/>
  </cols>
  <sheetData>
    <row r="1" spans="1:66" x14ac:dyDescent="0.4">
      <c r="B1" s="29" t="s">
        <v>49</v>
      </c>
      <c r="X1" s="42" t="s">
        <v>46</v>
      </c>
      <c r="Y1" s="43"/>
      <c r="Z1" s="43"/>
      <c r="AA1" s="44"/>
    </row>
    <row r="2" spans="1:66" x14ac:dyDescent="0.4">
      <c r="B2" s="8" t="s">
        <v>33</v>
      </c>
      <c r="C2" s="9" t="s">
        <v>34</v>
      </c>
      <c r="D2" s="9" t="s">
        <v>35</v>
      </c>
      <c r="E2" s="10"/>
      <c r="F2" s="10"/>
      <c r="G2" s="37"/>
      <c r="H2" s="37"/>
      <c r="I2" s="39" t="s">
        <v>36</v>
      </c>
      <c r="J2" s="41"/>
      <c r="K2" s="39" t="s">
        <v>2</v>
      </c>
      <c r="L2" s="40"/>
      <c r="M2" s="40"/>
      <c r="N2" s="41"/>
      <c r="O2" s="11"/>
      <c r="P2" s="36"/>
      <c r="Q2" s="36"/>
      <c r="R2" s="36"/>
      <c r="S2" s="36"/>
      <c r="T2" s="36"/>
      <c r="U2" s="36"/>
      <c r="V2" s="36"/>
      <c r="W2" s="36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31"/>
      <c r="AF2" s="11"/>
      <c r="AG2" s="31"/>
      <c r="AH2" s="1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66" ht="75" x14ac:dyDescent="0.4">
      <c r="A3" s="1" t="s">
        <v>59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62</v>
      </c>
      <c r="H3" s="12" t="s">
        <v>63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32" t="s">
        <v>50</v>
      </c>
      <c r="AF3" s="12" t="s">
        <v>45</v>
      </c>
      <c r="AG3" s="38" t="s">
        <v>64</v>
      </c>
      <c r="AH3" s="2" t="s">
        <v>16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61</v>
      </c>
      <c r="BG3" s="2" t="s">
        <v>87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 t="s">
        <v>54</v>
      </c>
      <c r="BN3" s="35" t="s">
        <v>58</v>
      </c>
    </row>
    <row r="4" spans="1:66" x14ac:dyDescent="0.4">
      <c r="A4" s="3">
        <v>1</v>
      </c>
      <c r="B4" s="4" t="s">
        <v>65</v>
      </c>
      <c r="C4" s="4" t="str">
        <f>TEXT(B4,"000000")</f>
        <v>J7971X</v>
      </c>
      <c r="D4" s="4" t="s">
        <v>65</v>
      </c>
      <c r="E4" s="4" t="s">
        <v>70</v>
      </c>
      <c r="F4" s="5">
        <v>4580287316552</v>
      </c>
      <c r="G4" s="5"/>
      <c r="H4" s="5"/>
      <c r="I4" s="5">
        <v>1</v>
      </c>
      <c r="J4" s="5">
        <v>1</v>
      </c>
      <c r="K4" s="4">
        <v>0</v>
      </c>
      <c r="L4" s="4">
        <v>380</v>
      </c>
      <c r="M4" s="4">
        <v>278</v>
      </c>
      <c r="N4" s="6">
        <f t="shared" ref="N4:N8" si="0">1-M4/L4</f>
        <v>0.26842105263157889</v>
      </c>
      <c r="O4" s="4" t="s">
        <v>75</v>
      </c>
      <c r="P4" s="4"/>
      <c r="Q4" s="4"/>
      <c r="R4" s="4"/>
      <c r="S4" s="4"/>
      <c r="T4" s="4"/>
      <c r="U4" s="4"/>
      <c r="V4" s="4"/>
      <c r="W4" s="4"/>
      <c r="X4" s="4">
        <v>0</v>
      </c>
      <c r="Y4" s="4">
        <f>IF(AB4="",X4,X4*AB4)</f>
        <v>0</v>
      </c>
      <c r="Z4" s="4">
        <v>379</v>
      </c>
      <c r="AA4" s="4">
        <f>IF(AB4="",Z4,Z4*AB4)</f>
        <v>379</v>
      </c>
      <c r="AB4" s="4"/>
      <c r="AC4" s="21">
        <f>ROUND(L4*AQ4,0)</f>
        <v>518</v>
      </c>
      <c r="AD4" s="6">
        <f t="shared" ref="AD4" si="1">1-AA4/AC4</f>
        <v>0.26833976833976836</v>
      </c>
      <c r="AE4" s="33">
        <v>0.25</v>
      </c>
      <c r="AF4" s="4">
        <f>BH4</f>
        <v>533.30000000000007</v>
      </c>
      <c r="AG4" s="33">
        <f>AF4*AQ4</f>
        <v>727.05287769784184</v>
      </c>
      <c r="AH4" s="6">
        <f>1-AA4/AG4</f>
        <v>0.47871741983874005</v>
      </c>
      <c r="AI4" s="7">
        <v>588</v>
      </c>
      <c r="AJ4" s="6">
        <f>1-AA4/AI4</f>
        <v>0.35544217687074831</v>
      </c>
      <c r="AK4" s="4">
        <f>AI4-AA4</f>
        <v>209</v>
      </c>
      <c r="AL4" s="28"/>
      <c r="AM4" s="6" t="e">
        <f>1-AA4/AL4</f>
        <v>#DIV/0!</v>
      </c>
      <c r="AN4" s="4">
        <f>AL4-AA4</f>
        <v>-379</v>
      </c>
      <c r="AO4" s="6" t="e">
        <f>Y4/K4</f>
        <v>#DIV/0!</v>
      </c>
      <c r="AP4" s="6">
        <f>AI4/L4</f>
        <v>1.5473684210526315</v>
      </c>
      <c r="AQ4" s="6">
        <f>AA4/M4</f>
        <v>1.3633093525179856</v>
      </c>
      <c r="AR4" s="4" t="str">
        <f>IFERROR(ROUND($AI4*O4/$L4,0),"-")</f>
        <v>-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>
        <v>0</v>
      </c>
      <c r="BB4" s="4" t="s">
        <v>78</v>
      </c>
      <c r="BC4" s="4">
        <v>1</v>
      </c>
      <c r="BD4" s="4">
        <v>10</v>
      </c>
      <c r="BE4" s="4" t="s">
        <v>77</v>
      </c>
      <c r="BF4" s="4">
        <v>5333</v>
      </c>
      <c r="BG4" s="4">
        <v>5333</v>
      </c>
      <c r="BH4" s="4">
        <f t="shared" ref="BH4:BH5" si="2">IF(BC4="",BG4,BC4/BD4*BG4)</f>
        <v>533.30000000000007</v>
      </c>
      <c r="BI4" s="19">
        <v>4</v>
      </c>
      <c r="BJ4" s="19">
        <v>8</v>
      </c>
      <c r="BK4" s="16">
        <v>18</v>
      </c>
      <c r="BL4" t="s">
        <v>75</v>
      </c>
      <c r="BM4" t="s">
        <v>75</v>
      </c>
      <c r="BN4" t="s">
        <v>76</v>
      </c>
    </row>
    <row r="5" spans="1:66" x14ac:dyDescent="0.4">
      <c r="A5" s="3">
        <v>2</v>
      </c>
      <c r="B5" s="4" t="s">
        <v>66</v>
      </c>
      <c r="C5" s="4" t="str">
        <f t="shared" ref="C5:C8" si="3">TEXT(B5,"000000")</f>
        <v>J7972X</v>
      </c>
      <c r="D5" s="4" t="s">
        <v>66</v>
      </c>
      <c r="E5" s="4" t="s">
        <v>71</v>
      </c>
      <c r="F5" s="5">
        <v>4580287316569</v>
      </c>
      <c r="G5" s="5"/>
      <c r="H5" s="5"/>
      <c r="I5" s="5">
        <v>1</v>
      </c>
      <c r="J5" s="5">
        <v>1</v>
      </c>
      <c r="K5" s="4">
        <v>0</v>
      </c>
      <c r="L5" s="4">
        <v>523</v>
      </c>
      <c r="M5" s="4">
        <v>380</v>
      </c>
      <c r="N5" s="6">
        <f t="shared" si="0"/>
        <v>0.27342256214149141</v>
      </c>
      <c r="O5" s="4" t="s">
        <v>75</v>
      </c>
      <c r="P5" s="4"/>
      <c r="Q5" s="4"/>
      <c r="R5" s="4"/>
      <c r="S5" s="4"/>
      <c r="T5" s="4"/>
      <c r="U5" s="4"/>
      <c r="V5" s="4"/>
      <c r="W5" s="4"/>
      <c r="X5" s="4">
        <v>0</v>
      </c>
      <c r="Y5" s="4">
        <f t="shared" ref="Y5:Y8" si="4">IF(AB5="",X5,X5*AB5)</f>
        <v>0</v>
      </c>
      <c r="Z5" s="4">
        <v>526</v>
      </c>
      <c r="AA5" s="4">
        <f t="shared" ref="AA5:AA8" si="5">IF(AB5="",Z5,Z5*AB5)</f>
        <v>526</v>
      </c>
      <c r="AB5" s="4"/>
      <c r="AC5" s="21">
        <f>ROUND(L5*AQ5,0)</f>
        <v>724</v>
      </c>
      <c r="AD5" s="6">
        <f t="shared" ref="AD5" si="6">1-AA5/AC5</f>
        <v>0.27348066298342544</v>
      </c>
      <c r="AE5" s="33">
        <v>0.25</v>
      </c>
      <c r="AF5" s="4">
        <f t="shared" ref="AF5:AF8" si="7">BH5</f>
        <v>722.2</v>
      </c>
      <c r="AG5" s="33">
        <f>AF5*AQ5</f>
        <v>999.67684210526329</v>
      </c>
      <c r="AH5" s="6">
        <f>1-AA5/AG5</f>
        <v>0.47382996399889232</v>
      </c>
      <c r="AI5" s="7">
        <v>798</v>
      </c>
      <c r="AJ5" s="6">
        <f>1-AA5/AI5</f>
        <v>0.34085213032581452</v>
      </c>
      <c r="AK5" s="4">
        <f>AI5-AA5</f>
        <v>272</v>
      </c>
      <c r="AL5" s="28"/>
      <c r="AM5" s="6"/>
      <c r="AN5" s="6"/>
      <c r="AO5" s="6" t="e">
        <f>Y5/K5</f>
        <v>#DIV/0!</v>
      </c>
      <c r="AP5" s="6">
        <f>AI5/L5</f>
        <v>1.5258126195028681</v>
      </c>
      <c r="AQ5" s="6">
        <f>AA5/M5</f>
        <v>1.3842105263157896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79</v>
      </c>
      <c r="BC5" s="4">
        <v>1</v>
      </c>
      <c r="BD5" s="4">
        <v>10</v>
      </c>
      <c r="BE5" s="4" t="s">
        <v>77</v>
      </c>
      <c r="BF5" s="4">
        <v>7222</v>
      </c>
      <c r="BG5" s="4">
        <v>7222</v>
      </c>
      <c r="BH5" s="4">
        <f t="shared" si="2"/>
        <v>722.2</v>
      </c>
      <c r="BI5" s="19">
        <v>4</v>
      </c>
      <c r="BJ5" s="19">
        <v>8</v>
      </c>
      <c r="BK5" s="16">
        <v>18</v>
      </c>
      <c r="BL5" t="s">
        <v>75</v>
      </c>
      <c r="BM5" t="s">
        <v>75</v>
      </c>
      <c r="BN5" t="s">
        <v>80</v>
      </c>
    </row>
    <row r="6" spans="1:66" x14ac:dyDescent="0.4">
      <c r="A6" s="3">
        <v>3</v>
      </c>
      <c r="B6" s="17" t="s">
        <v>67</v>
      </c>
      <c r="C6" s="4" t="str">
        <f t="shared" si="3"/>
        <v>5044AK</v>
      </c>
      <c r="D6" s="4" t="s">
        <v>67</v>
      </c>
      <c r="E6" s="4" t="s">
        <v>72</v>
      </c>
      <c r="F6" s="5">
        <v>4580287323246</v>
      </c>
      <c r="G6" s="5"/>
      <c r="H6" s="5"/>
      <c r="I6" s="5">
        <v>1</v>
      </c>
      <c r="J6" s="5">
        <v>1</v>
      </c>
      <c r="K6" s="4">
        <v>0</v>
      </c>
      <c r="L6" s="4">
        <v>128</v>
      </c>
      <c r="M6" s="4">
        <v>82</v>
      </c>
      <c r="N6" s="6">
        <f t="shared" si="0"/>
        <v>0.359375</v>
      </c>
      <c r="O6" s="4" t="s">
        <v>75</v>
      </c>
      <c r="P6" s="4"/>
      <c r="Q6" s="4"/>
      <c r="R6" s="4"/>
      <c r="S6" s="4"/>
      <c r="T6" s="4"/>
      <c r="U6" s="4"/>
      <c r="V6" s="4"/>
      <c r="W6" s="4"/>
      <c r="X6" s="4">
        <v>0</v>
      </c>
      <c r="Y6" s="4">
        <f t="shared" si="4"/>
        <v>0</v>
      </c>
      <c r="Z6" s="4">
        <v>93</v>
      </c>
      <c r="AA6" s="4">
        <f t="shared" si="5"/>
        <v>93</v>
      </c>
      <c r="AB6" s="4"/>
      <c r="AC6" s="21">
        <f>ROUND(L6*AQ6,0)</f>
        <v>145</v>
      </c>
      <c r="AD6" s="6">
        <f t="shared" ref="AD6:AD8" si="8">1-AA6/AC6</f>
        <v>0.35862068965517246</v>
      </c>
      <c r="AE6" s="33">
        <v>0.25</v>
      </c>
      <c r="AF6" s="4" t="str">
        <f t="shared" si="7"/>
        <v>-</v>
      </c>
      <c r="AG6" s="33" t="e">
        <f>AF6*AQ6</f>
        <v>#VALUE!</v>
      </c>
      <c r="AH6" s="6" t="e">
        <f>1-AA6/AG6</f>
        <v>#VALUE!</v>
      </c>
      <c r="AI6" s="7">
        <v>148</v>
      </c>
      <c r="AJ6" s="6">
        <f>1-AA6/AI6</f>
        <v>0.3716216216216216</v>
      </c>
      <c r="AK6" s="4">
        <f>AI6-AA6</f>
        <v>55</v>
      </c>
      <c r="AL6" s="28"/>
      <c r="AM6" s="6"/>
      <c r="AN6" s="6"/>
      <c r="AO6" s="6" t="e">
        <f>Y6/K6</f>
        <v>#DIV/0!</v>
      </c>
      <c r="AP6" s="6">
        <f>AI6/L6</f>
        <v>1.15625</v>
      </c>
      <c r="AQ6" s="6">
        <f>AA6/M6</f>
        <v>1.1341463414634145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75</v>
      </c>
      <c r="BC6" s="4"/>
      <c r="BD6" s="4"/>
      <c r="BE6" s="4" t="s">
        <v>75</v>
      </c>
      <c r="BF6" s="4" t="s">
        <v>86</v>
      </c>
      <c r="BG6" s="4" t="s">
        <v>86</v>
      </c>
      <c r="BH6" s="4" t="str">
        <f t="shared" ref="BH6:BH8" si="9">IF(BC6="",BG6,BC6/BD6*BG6)</f>
        <v>-</v>
      </c>
      <c r="BI6" s="19">
        <v>4</v>
      </c>
      <c r="BJ6" s="19">
        <v>8</v>
      </c>
      <c r="BK6" s="16">
        <v>18</v>
      </c>
      <c r="BL6" t="s">
        <v>75</v>
      </c>
      <c r="BM6" t="s">
        <v>75</v>
      </c>
      <c r="BN6" t="s">
        <v>75</v>
      </c>
    </row>
    <row r="7" spans="1:66" x14ac:dyDescent="0.4">
      <c r="A7" s="3">
        <v>4</v>
      </c>
      <c r="B7" s="17" t="s">
        <v>68</v>
      </c>
      <c r="C7" s="4" t="str">
        <f t="shared" si="3"/>
        <v>5047AK</v>
      </c>
      <c r="D7" s="4" t="s">
        <v>68</v>
      </c>
      <c r="E7" s="4" t="s">
        <v>73</v>
      </c>
      <c r="F7" s="5">
        <v>4580287323307</v>
      </c>
      <c r="G7" s="5"/>
      <c r="H7" s="5"/>
      <c r="I7" s="5">
        <v>1</v>
      </c>
      <c r="J7" s="5">
        <v>1</v>
      </c>
      <c r="K7" s="4">
        <v>0</v>
      </c>
      <c r="L7" s="4">
        <v>278</v>
      </c>
      <c r="M7" s="4">
        <v>172</v>
      </c>
      <c r="N7" s="6">
        <f t="shared" si="0"/>
        <v>0.38129496402877694</v>
      </c>
      <c r="O7" s="4" t="s">
        <v>75</v>
      </c>
      <c r="P7" s="4"/>
      <c r="Q7" s="4"/>
      <c r="R7" s="4"/>
      <c r="S7" s="4"/>
      <c r="T7" s="4"/>
      <c r="U7" s="4"/>
      <c r="V7" s="4"/>
      <c r="W7" s="4"/>
      <c r="X7" s="4">
        <v>0</v>
      </c>
      <c r="Y7" s="4">
        <f t="shared" si="4"/>
        <v>0</v>
      </c>
      <c r="Z7" s="4">
        <v>215</v>
      </c>
      <c r="AA7" s="4">
        <f t="shared" si="5"/>
        <v>215</v>
      </c>
      <c r="AB7" s="4"/>
      <c r="AC7" s="21">
        <f>ROUND(L7*AQ7,0)</f>
        <v>348</v>
      </c>
      <c r="AD7" s="6">
        <f t="shared" si="8"/>
        <v>0.38218390804597702</v>
      </c>
      <c r="AE7" s="33">
        <v>0</v>
      </c>
      <c r="AF7" s="4">
        <f t="shared" si="7"/>
        <v>358.40000000000003</v>
      </c>
      <c r="AG7" s="33">
        <f>AF7*AQ7</f>
        <v>448.00000000000006</v>
      </c>
      <c r="AH7" s="6">
        <f>1-AA7/AG7</f>
        <v>0.52008928571428581</v>
      </c>
      <c r="AI7" s="7">
        <v>348</v>
      </c>
      <c r="AJ7" s="6">
        <f>1-AA7/AI7</f>
        <v>0.38218390804597702</v>
      </c>
      <c r="AK7" s="4">
        <f>AI7-AA7</f>
        <v>133</v>
      </c>
      <c r="AL7" s="28"/>
      <c r="AM7" s="6"/>
      <c r="AN7" s="6"/>
      <c r="AO7" s="6" t="e">
        <f>Y7/K7</f>
        <v>#DIV/0!</v>
      </c>
      <c r="AP7" s="6">
        <f>AI7/L7</f>
        <v>1.2517985611510791</v>
      </c>
      <c r="AQ7" s="6">
        <f>AA7/M7</f>
        <v>1.25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81</v>
      </c>
      <c r="BC7" s="4">
        <v>1</v>
      </c>
      <c r="BD7" s="4">
        <v>10</v>
      </c>
      <c r="BE7" s="4" t="s">
        <v>82</v>
      </c>
      <c r="BF7" s="4">
        <v>3584</v>
      </c>
      <c r="BG7" s="4">
        <v>3584</v>
      </c>
      <c r="BH7" s="4">
        <f t="shared" si="9"/>
        <v>358.40000000000003</v>
      </c>
      <c r="BI7" s="19">
        <v>4</v>
      </c>
      <c r="BJ7" s="19">
        <v>8</v>
      </c>
      <c r="BK7" s="16">
        <v>18</v>
      </c>
      <c r="BL7" t="s">
        <v>75</v>
      </c>
      <c r="BM7" t="s">
        <v>75</v>
      </c>
      <c r="BN7" t="s">
        <v>83</v>
      </c>
    </row>
    <row r="8" spans="1:66" x14ac:dyDescent="0.4">
      <c r="A8" s="3">
        <v>5</v>
      </c>
      <c r="B8" s="17" t="s">
        <v>69</v>
      </c>
      <c r="C8" s="4" t="str">
        <f t="shared" si="3"/>
        <v>5048AK</v>
      </c>
      <c r="D8" s="4" t="s">
        <v>69</v>
      </c>
      <c r="E8" s="4" t="s">
        <v>74</v>
      </c>
      <c r="F8" s="5">
        <v>4580287323314</v>
      </c>
      <c r="G8" s="5"/>
      <c r="H8" s="5"/>
      <c r="I8" s="5">
        <v>1</v>
      </c>
      <c r="J8" s="5">
        <v>1</v>
      </c>
      <c r="K8" s="4">
        <v>0</v>
      </c>
      <c r="L8" s="4">
        <v>298</v>
      </c>
      <c r="M8" s="4">
        <v>186</v>
      </c>
      <c r="N8" s="6">
        <f t="shared" si="0"/>
        <v>0.37583892617449666</v>
      </c>
      <c r="O8" s="4" t="s">
        <v>75</v>
      </c>
      <c r="P8" s="4"/>
      <c r="Q8" s="4"/>
      <c r="R8" s="4"/>
      <c r="S8" s="4"/>
      <c r="T8" s="4"/>
      <c r="U8" s="4"/>
      <c r="V8" s="4"/>
      <c r="W8" s="4"/>
      <c r="X8" s="4">
        <v>0</v>
      </c>
      <c r="Y8" s="4">
        <f t="shared" si="4"/>
        <v>0</v>
      </c>
      <c r="Z8" s="4">
        <v>230</v>
      </c>
      <c r="AA8" s="4">
        <f t="shared" si="5"/>
        <v>230</v>
      </c>
      <c r="AB8" s="4"/>
      <c r="AC8" s="21">
        <f>ROUND(L8*AQ8,0)</f>
        <v>368</v>
      </c>
      <c r="AD8" s="6">
        <f t="shared" si="8"/>
        <v>0.375</v>
      </c>
      <c r="AE8" s="33">
        <v>0</v>
      </c>
      <c r="AF8" s="4">
        <f t="shared" si="7"/>
        <v>382.90000000000003</v>
      </c>
      <c r="AG8" s="33">
        <f>AF8*AQ8</f>
        <v>473.47849462365593</v>
      </c>
      <c r="AH8" s="6">
        <f>1-AA8/AG8</f>
        <v>0.5142334813267172</v>
      </c>
      <c r="AI8" s="7">
        <v>368</v>
      </c>
      <c r="AJ8" s="6">
        <f>1-AA8/AI8</f>
        <v>0.375</v>
      </c>
      <c r="AK8" s="4">
        <f>AI8-AA8</f>
        <v>138</v>
      </c>
      <c r="AL8" s="28"/>
      <c r="AM8" s="6"/>
      <c r="AN8" s="6"/>
      <c r="AO8" s="6" t="e">
        <f>Y8/K8</f>
        <v>#DIV/0!</v>
      </c>
      <c r="AP8" s="6">
        <f>AI8/L8</f>
        <v>1.2348993288590604</v>
      </c>
      <c r="AQ8" s="6">
        <f>AA8/M8</f>
        <v>1.2365591397849462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 t="s">
        <v>84</v>
      </c>
      <c r="BC8" s="4">
        <v>1</v>
      </c>
      <c r="BD8" s="4">
        <v>10</v>
      </c>
      <c r="BE8" s="4" t="s">
        <v>82</v>
      </c>
      <c r="BF8" s="4">
        <v>3829</v>
      </c>
      <c r="BG8" s="4">
        <v>3829</v>
      </c>
      <c r="BH8" s="4">
        <f t="shared" si="9"/>
        <v>382.90000000000003</v>
      </c>
      <c r="BI8" s="19">
        <v>4</v>
      </c>
      <c r="BJ8" s="19">
        <v>8</v>
      </c>
      <c r="BK8" s="16">
        <v>18</v>
      </c>
      <c r="BL8" t="s">
        <v>75</v>
      </c>
      <c r="BM8" t="s">
        <v>75</v>
      </c>
      <c r="BN8" t="s">
        <v>85</v>
      </c>
    </row>
  </sheetData>
  <autoFilter ref="A3:BN3" xr:uid="{7A1660CF-9003-4B2D-B659-7F339ED5B476}"/>
  <mergeCells count="3">
    <mergeCell ref="K2:N2"/>
    <mergeCell ref="I2:J2"/>
    <mergeCell ref="X1:AA1"/>
  </mergeCells>
  <phoneticPr fontId="2"/>
  <conditionalFormatting sqref="AF4:AF8">
    <cfRule type="cellIs" dxfId="5" priority="4" operator="lessThan">
      <formula>$AC4</formula>
    </cfRule>
  </conditionalFormatting>
  <conditionalFormatting sqref="AI4:AI8">
    <cfRule type="cellIs" dxfId="4" priority="3" operator="greaterThan">
      <formula>$Y4</formula>
    </cfRule>
  </conditionalFormatting>
  <conditionalFormatting sqref="AG4:AG8">
    <cfRule type="cellIs" dxfId="0" priority="1" operator="lessThan">
      <formula>$AI4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2026-05-01T03:04:23Z</dcterms:modified>
</cp:coreProperties>
</file>