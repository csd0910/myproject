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ﾜ_和気産業_979\価格改定\20260519_5月末\"/>
    </mc:Choice>
  </mc:AlternateContent>
  <xr:revisionPtr revIDLastSave="0" documentId="13_ncr:1_{48C2AA41-FEB3-4D53-83BD-1C2311A6CDF3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N5" i="1" l="1"/>
  <c r="BN6" i="1"/>
  <c r="BN7" i="1"/>
  <c r="BN8" i="1"/>
  <c r="BN4" i="1"/>
  <c r="AS4" i="1"/>
  <c r="Z5" i="1"/>
  <c r="AU4" i="1"/>
  <c r="AT4" i="1"/>
  <c r="BH6" i="1" l="1"/>
  <c r="AG6" i="1" s="1"/>
  <c r="BH7" i="1"/>
  <c r="AG7" i="1" s="1"/>
  <c r="BH8" i="1"/>
  <c r="AG8" i="1" s="1"/>
  <c r="BH5" i="1"/>
  <c r="AG5" i="1" s="1"/>
  <c r="BH4" i="1"/>
  <c r="AG4" i="1" s="1"/>
  <c r="AB6" i="1"/>
  <c r="AR6" i="1" s="1"/>
  <c r="AD6" i="1" s="1"/>
  <c r="AE6" i="1" s="1"/>
  <c r="AB7" i="1"/>
  <c r="AB8" i="1"/>
  <c r="AB5" i="1"/>
  <c r="Z6" i="1"/>
  <c r="AP6" i="1" s="1"/>
  <c r="Z7" i="1"/>
  <c r="AP7" i="1" s="1"/>
  <c r="Z8" i="1"/>
  <c r="AP8" i="1" s="1"/>
  <c r="AP5" i="1"/>
  <c r="D6" i="1"/>
  <c r="D7" i="1"/>
  <c r="D8" i="1"/>
  <c r="D5" i="1"/>
  <c r="D4" i="1"/>
  <c r="AB4" i="1"/>
  <c r="Z4" i="1"/>
  <c r="AP4" i="1" s="1"/>
  <c r="AQ4" i="1"/>
  <c r="AQ5" i="1"/>
  <c r="O5" i="1"/>
  <c r="AQ8" i="1"/>
  <c r="O8" i="1"/>
  <c r="AQ7" i="1"/>
  <c r="O7" i="1"/>
  <c r="AQ6" i="1"/>
  <c r="O6" i="1"/>
  <c r="O4" i="1"/>
  <c r="AK6" i="1" l="1"/>
  <c r="AK4" i="1"/>
  <c r="AL5" i="1"/>
  <c r="AL8" i="1"/>
  <c r="AR7" i="1"/>
  <c r="AD7" i="1" s="1"/>
  <c r="AE7" i="1" s="1"/>
  <c r="AH6" i="1"/>
  <c r="AI6" i="1" s="1"/>
  <c r="AR5" i="1"/>
  <c r="AD5" i="1" s="1"/>
  <c r="AE5" i="1" s="1"/>
  <c r="AL7" i="1"/>
  <c r="AK5" i="1"/>
  <c r="AK8" i="1"/>
  <c r="AL6" i="1"/>
  <c r="AR8" i="1"/>
  <c r="AD8" i="1" s="1"/>
  <c r="AE8" i="1" s="1"/>
  <c r="AK7" i="1"/>
  <c r="AN4" i="1"/>
  <c r="AO4" i="1"/>
  <c r="AL4" i="1"/>
  <c r="AR4" i="1"/>
  <c r="AD4" i="1" s="1"/>
  <c r="AE4" i="1" s="1"/>
  <c r="AH8" i="1" l="1"/>
  <c r="AI8" i="1" s="1"/>
  <c r="AH7" i="1"/>
  <c r="AI7" i="1" s="1"/>
  <c r="AH4" i="1"/>
  <c r="AI4" i="1" s="1"/>
  <c r="AH5" i="1"/>
  <c r="AI5" i="1" s="1"/>
</calcChain>
</file>

<file path=xl/sharedStrings.xml><?xml version="1.0" encoding="utf-8"?>
<sst xmlns="http://schemas.openxmlformats.org/spreadsheetml/2006/main" count="121" uniqueCount="77">
  <si>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</si>
  <si>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</si>
  <si>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</si>
  <si>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</si>
  <si>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</si>
  <si>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</si>
  <si>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</si>
  <si>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</si>
  <si>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</si>
  <si>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</si>
  <si>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</si>
  <si>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</si>
  <si>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</si>
  <si>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</si>
  <si>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</si>
  <si>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</si>
  <si>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</si>
  <si>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</si>
  <si>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</si>
  <si>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</si>
  <si>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</si>
  <si>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</si>
  <si>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</si>
  <si>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</si>
  <si>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</si>
  <si>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</si>
  <si>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</si>
  <si>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</si>
  <si>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</si>
  <si>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</si>
  <si>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</si>
  <si>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</si>
  <si>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</si>
  <si>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</si>
  <si>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</si>
  <si>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</si>
  <si>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</si>
  <si>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</si>
  <si>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</si>
  <si>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</si>
  <si>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</si>
  <si>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</si>
  <si>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</si>
  <si>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</si>
  <si>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</si>
  <si>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</si>
  <si>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</si>
  <si>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</si>
  <si>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</si>
  <si>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</si>
  <si>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</si>
  <si>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</si>
  <si>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</si>
  <si>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</si>
  <si>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</si>
  <si>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</si>
  <si>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</si>
  <si>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</si>
  <si>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</si>
  <si>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</si>
  <si>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</si>
  <si>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</si>
  <si>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</si>
  <si>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</si>
  <si>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</si>
  <si>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</si>
  <si>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JW9825</t>
  </si>
  <si>
    <t>JW9826</t>
  </si>
  <si>
    <t>JY3339</t>
  </si>
  <si>
    <t>34/218</t>
  </si>
  <si>
    <t>ﾍﾞﾛｽ/ｳﾙﾄﾗﾊﾟﾜｰﾊﾝｶﾞｰ/DMH-108</t>
  </si>
  <si>
    <t>ｱｲﾜ/ｽﾉｺを壁にﾋﾟﾀｯと取付できるﾌｯｸ ｽﾉﾋﾟﾀ ｵﾓﾃ</t>
  </si>
  <si>
    <t>ｱｲﾜ/ｽﾉｺを壁にﾋﾟﾀｯと取付できるﾌｯｸ ｽﾉﾋﾟﾀ ｳﾗ/AP-3002W</t>
  </si>
  <si>
    <t>ﾍﾞﾛｽ/ｳﾙﾄﾗﾊﾟﾜｰﾊﾝｶﾞｰ×5個/DMH-108</t>
  </si>
  <si>
    <t>-</t>
  </si>
  <si>
    <t>-</t>
    <phoneticPr fontId="2"/>
  </si>
  <si>
    <t>光/ｱｸﾘﾙｻｲﾝﾌﾟﾚｰﾄ 無地 ﾎﾜｲﾄ 200×80mm/UP280A-N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</si>
</sst>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4" xfId="0" applyFill="1" applyBorder="1">
      <alignment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O8"/>
  <sheetViews>
    <sheetView tabSelected="1" zoomScale="90" zoomScaleNormal="90" workbookViewId="0">
      <pane xSplit="7" ySplit="5" topLeftCell="N6" activePane="bottomRight" state="frozen"/>
      <selection pane="topRight" activeCell="G1" sqref="G1"/>
      <selection pane="bottomLeft" activeCell="A5" sqref="A5"/>
      <selection pane="bottomRight" activeCell="F8" sqref="F8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625" customWidth="1" collapsed="1"/>
    <col min="26" max="28" width="7.625" customWidth="1"/>
    <col min="29" max="29" width="4.375" customWidth="1" collapsed="1"/>
    <col min="30" max="31" width="7.625" customWidth="1"/>
    <col min="32" max="32" width="7.625" style="30" customWidth="1"/>
    <col min="33" max="33" width="7.625" customWidth="1"/>
    <col min="34" max="34" width="7.625" style="30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6" width="7.625" customWidth="1"/>
  </cols>
  <sheetData>
    <row r="1" spans="1:67" x14ac:dyDescent="0.4">
      <c r="C1" s="29" t="s">
        <v>49</v>
      </c>
      <c r="Y1" s="42" t="s">
        <v>46</v>
      </c>
      <c r="Z1" s="43"/>
      <c r="AA1" s="43"/>
      <c r="AB1" s="44"/>
    </row>
    <row r="2" spans="1:67" x14ac:dyDescent="0.4">
      <c r="C2" s="8" t="s">
        <v>33</v>
      </c>
      <c r="D2" s="9" t="s">
        <v>34</v>
      </c>
      <c r="E2" s="9" t="s">
        <v>35</v>
      </c>
      <c r="F2" s="10"/>
      <c r="G2" s="10"/>
      <c r="H2" s="37"/>
      <c r="I2" s="37"/>
      <c r="J2" s="39" t="s">
        <v>36</v>
      </c>
      <c r="K2" s="41"/>
      <c r="L2" s="39" t="s">
        <v>2</v>
      </c>
      <c r="M2" s="40"/>
      <c r="N2" s="40"/>
      <c r="O2" s="41"/>
      <c r="P2" s="11"/>
      <c r="Q2" s="36"/>
      <c r="R2" s="36"/>
      <c r="S2" s="36"/>
      <c r="T2" s="36"/>
      <c r="U2" s="36"/>
      <c r="V2" s="36"/>
      <c r="W2" s="36"/>
      <c r="X2" s="36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31"/>
      <c r="AG2" s="11"/>
      <c r="AH2" s="31"/>
      <c r="AI2" s="11"/>
      <c r="AJ2" s="22" t="s">
        <v>47</v>
      </c>
      <c r="AK2" s="11"/>
      <c r="AL2" s="11"/>
      <c r="AM2" s="27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I2">
        <v>14</v>
      </c>
      <c r="BJ2">
        <v>28</v>
      </c>
    </row>
    <row r="3" spans="1:67" ht="75" x14ac:dyDescent="0.4">
      <c r="A3" s="1" t="s">
        <v>59</v>
      </c>
      <c r="B3" s="1" t="s">
        <v>65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61</v>
      </c>
      <c r="I3" s="12" t="s">
        <v>62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55</v>
      </c>
      <c r="Q3" s="12" t="s">
        <v>20</v>
      </c>
      <c r="R3" s="12" t="s">
        <v>21</v>
      </c>
      <c r="S3" s="12" t="s">
        <v>56</v>
      </c>
      <c r="T3" s="12" t="s">
        <v>23</v>
      </c>
      <c r="U3" s="12" t="s">
        <v>24</v>
      </c>
      <c r="V3" s="12" t="s">
        <v>57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32" t="s">
        <v>50</v>
      </c>
      <c r="AG3" s="12" t="s">
        <v>45</v>
      </c>
      <c r="AH3" s="38" t="s">
        <v>63</v>
      </c>
      <c r="AI3" s="2" t="s">
        <v>16</v>
      </c>
      <c r="AJ3" s="13" t="s">
        <v>37</v>
      </c>
      <c r="AK3" s="2" t="s">
        <v>16</v>
      </c>
      <c r="AL3" s="2" t="s">
        <v>38</v>
      </c>
      <c r="AM3" s="26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48</v>
      </c>
      <c r="BG3" s="2" t="s">
        <v>64</v>
      </c>
      <c r="BH3" s="2" t="s">
        <v>15</v>
      </c>
      <c r="BI3" s="18" t="s">
        <v>51</v>
      </c>
      <c r="BJ3" s="18" t="s">
        <v>52</v>
      </c>
      <c r="BK3" s="15" t="s">
        <v>60</v>
      </c>
      <c r="BL3" s="34" t="s">
        <v>53</v>
      </c>
      <c r="BM3" s="35" t="s">
        <v>54</v>
      </c>
      <c r="BN3" s="35"/>
      <c r="BO3" s="35" t="s">
        <v>58</v>
      </c>
    </row>
    <row r="4" spans="1:67" x14ac:dyDescent="0.4">
      <c r="A4" s="3">
        <v>1</v>
      </c>
      <c r="B4" s="3">
        <v>1</v>
      </c>
      <c r="C4" s="45">
        <v>388774</v>
      </c>
      <c r="D4" s="4" t="str">
        <f>TEXT(C4,"000000")</f>
        <v>388774</v>
      </c>
      <c r="E4" s="4">
        <v>388774</v>
      </c>
      <c r="F4" s="4" t="s">
        <v>70</v>
      </c>
      <c r="G4" s="5">
        <v>4976512005009</v>
      </c>
      <c r="H4" s="5"/>
      <c r="I4" s="5"/>
      <c r="J4" s="5">
        <v>2</v>
      </c>
      <c r="K4" s="5">
        <v>2</v>
      </c>
      <c r="L4" s="4">
        <v>1600</v>
      </c>
      <c r="M4" s="4">
        <v>1264</v>
      </c>
      <c r="N4" s="4">
        <v>800</v>
      </c>
      <c r="O4" s="6">
        <f>1-N4/M4</f>
        <v>0.36708860759493667</v>
      </c>
      <c r="P4" s="4" t="s">
        <v>75</v>
      </c>
      <c r="Q4" s="4"/>
      <c r="R4" s="4"/>
      <c r="S4" s="4"/>
      <c r="T4" s="4"/>
      <c r="U4" s="4"/>
      <c r="V4" s="4"/>
      <c r="W4" s="4"/>
      <c r="X4" s="4"/>
      <c r="Y4" s="4">
        <v>1750</v>
      </c>
      <c r="Z4" s="4">
        <f>IF(AC4="",Y4,Y4*AC4)</f>
        <v>1750</v>
      </c>
      <c r="AA4" s="4">
        <v>875</v>
      </c>
      <c r="AB4" s="4">
        <f>IF(AC4="",AA4,AA4*AC4)</f>
        <v>875</v>
      </c>
      <c r="AC4" s="4"/>
      <c r="AD4" s="21">
        <f>ROUND(M4*AR4,0)</f>
        <v>1383</v>
      </c>
      <c r="AE4" s="6">
        <f>1-AB4/AD4</f>
        <v>0.36731742588575556</v>
      </c>
      <c r="AF4" s="33">
        <v>16</v>
      </c>
      <c r="AG4" s="4" t="str">
        <f>BH4</f>
        <v>-</v>
      </c>
      <c r="AH4" s="33" t="e">
        <f>AG4*AR4</f>
        <v>#VALUE!</v>
      </c>
      <c r="AI4" s="6" t="e">
        <f>1-AB4/AH4</f>
        <v>#VALUE!</v>
      </c>
      <c r="AJ4" s="7">
        <v>1380</v>
      </c>
      <c r="AK4" s="6">
        <f>1-AB4/AJ4</f>
        <v>0.36594202898550721</v>
      </c>
      <c r="AL4" s="4">
        <f>AJ4-AB4</f>
        <v>505</v>
      </c>
      <c r="AM4" s="28"/>
      <c r="AN4" s="6" t="e">
        <f>1-AB4/AM4</f>
        <v>#DIV/0!</v>
      </c>
      <c r="AO4" s="4">
        <f>AM4-AB4</f>
        <v>-875</v>
      </c>
      <c r="AP4" s="6">
        <f>Z4/L4</f>
        <v>1.09375</v>
      </c>
      <c r="AQ4" s="6">
        <f>AJ4/M4</f>
        <v>1.0917721518987342</v>
      </c>
      <c r="AR4" s="6">
        <f>AB4/N4</f>
        <v>1.09375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 t="s">
        <v>69</v>
      </c>
      <c r="BC4" s="4" t="s">
        <v>74</v>
      </c>
      <c r="BD4" s="4"/>
      <c r="BE4" s="4"/>
      <c r="BF4" s="4" t="s">
        <v>74</v>
      </c>
      <c r="BG4" s="4" t="s">
        <v>74</v>
      </c>
      <c r="BH4" s="4" t="str">
        <f>IF(BD4="",BG4,BD4/BE4*BG4)</f>
        <v>-</v>
      </c>
      <c r="BI4" s="19">
        <v>4</v>
      </c>
      <c r="BJ4" s="19">
        <v>1</v>
      </c>
      <c r="BK4" s="16">
        <v>19</v>
      </c>
      <c r="BL4" t="s">
        <v>75</v>
      </c>
      <c r="BM4">
        <v>1663</v>
      </c>
      <c r="BN4">
        <f>BM4*AR4</f>
        <v>1818.90625</v>
      </c>
      <c r="BO4" t="s">
        <v>75</v>
      </c>
    </row>
    <row r="5" spans="1:67" x14ac:dyDescent="0.4">
      <c r="A5" s="3">
        <v>5</v>
      </c>
      <c r="B5" s="3">
        <v>1</v>
      </c>
      <c r="C5" s="45">
        <v>388774</v>
      </c>
      <c r="D5" s="4" t="str">
        <f>TEXT(C5,"000000")</f>
        <v>388774</v>
      </c>
      <c r="E5" s="4">
        <v>388775</v>
      </c>
      <c r="F5" s="4" t="s">
        <v>73</v>
      </c>
      <c r="G5" s="5">
        <v>4976512005009</v>
      </c>
      <c r="H5" s="5"/>
      <c r="I5" s="5"/>
      <c r="J5" s="5"/>
      <c r="K5" s="5"/>
      <c r="L5" s="4">
        <v>8000</v>
      </c>
      <c r="M5" s="4">
        <v>6120</v>
      </c>
      <c r="N5" s="4">
        <v>4000</v>
      </c>
      <c r="O5" s="6">
        <f>1-N5/M5</f>
        <v>0.34640522875816993</v>
      </c>
      <c r="P5" s="4" t="s">
        <v>75</v>
      </c>
      <c r="Q5" s="4"/>
      <c r="R5" s="4"/>
      <c r="S5" s="4"/>
      <c r="T5" s="4"/>
      <c r="U5" s="4"/>
      <c r="V5" s="4"/>
      <c r="W5" s="4"/>
      <c r="X5" s="4"/>
      <c r="Y5" s="4">
        <v>1750</v>
      </c>
      <c r="Z5" s="4">
        <f>IF(AC5="",Y5,Y5*AC5)</f>
        <v>8750</v>
      </c>
      <c r="AA5" s="4">
        <v>875</v>
      </c>
      <c r="AB5" s="4">
        <f>IF(AC5="",AA5,AA5*AC5)</f>
        <v>4375</v>
      </c>
      <c r="AC5" s="4">
        <v>5</v>
      </c>
      <c r="AD5" s="21">
        <f>ROUND(M5*AR5,0)</f>
        <v>6694</v>
      </c>
      <c r="AE5" s="6">
        <f>1-AB5/AD5</f>
        <v>0.34642963848222286</v>
      </c>
      <c r="AF5" s="33">
        <v>16</v>
      </c>
      <c r="AG5" s="4" t="str">
        <f>BH5</f>
        <v>-</v>
      </c>
      <c r="AH5" s="33" t="e">
        <f>AG5*AR5</f>
        <v>#VALUE!</v>
      </c>
      <c r="AI5" s="6" t="e">
        <f>1-AB5/AH5</f>
        <v>#VALUE!</v>
      </c>
      <c r="AJ5" s="7">
        <v>6500</v>
      </c>
      <c r="AK5" s="6">
        <f>1-AB5/AJ5</f>
        <v>0.32692307692307687</v>
      </c>
      <c r="AL5" s="4">
        <f>AJ5-AB5</f>
        <v>2125</v>
      </c>
      <c r="AM5" s="28"/>
      <c r="AN5" s="6"/>
      <c r="AO5" s="6"/>
      <c r="AP5" s="6">
        <f>Z5/L5</f>
        <v>1.09375</v>
      </c>
      <c r="AQ5" s="6">
        <f>AJ5/M5</f>
        <v>1.0620915032679739</v>
      </c>
      <c r="AR5" s="6">
        <f>AB5/N5</f>
        <v>1.09375</v>
      </c>
      <c r="AS5" s="4"/>
      <c r="AT5" s="4"/>
      <c r="AU5" s="4"/>
      <c r="AV5" s="4"/>
      <c r="AW5" s="4"/>
      <c r="AX5" s="4"/>
      <c r="AY5" s="4"/>
      <c r="AZ5" s="4"/>
      <c r="BA5" s="4"/>
      <c r="BB5" s="4" t="s">
        <v>69</v>
      </c>
      <c r="BC5" s="4" t="s">
        <v>74</v>
      </c>
      <c r="BD5" s="4"/>
      <c r="BE5" s="4"/>
      <c r="BF5" s="4" t="s">
        <v>74</v>
      </c>
      <c r="BG5" s="4" t="s">
        <v>74</v>
      </c>
      <c r="BH5" s="4" t="str">
        <f>IF(BD5="",BG5,BD5/BE5*BG5)</f>
        <v>-</v>
      </c>
      <c r="BI5" s="19">
        <v>4</v>
      </c>
      <c r="BJ5" s="19">
        <v>1</v>
      </c>
      <c r="BK5" s="16">
        <v>19</v>
      </c>
      <c r="BL5" t="s">
        <v>75</v>
      </c>
      <c r="BM5" t="s">
        <v>75</v>
      </c>
      <c r="BN5" t="e">
        <f t="shared" ref="BN5:BN8" si="0">BM5*AR5</f>
        <v>#VALUE!</v>
      </c>
      <c r="BO5" t="s">
        <v>75</v>
      </c>
    </row>
    <row r="6" spans="1:67" x14ac:dyDescent="0.4">
      <c r="A6" s="3">
        <v>2</v>
      </c>
      <c r="B6" s="3">
        <v>2</v>
      </c>
      <c r="C6" s="17" t="s">
        <v>66</v>
      </c>
      <c r="D6" s="4" t="str">
        <f>TEXT(C6,"000000")</f>
        <v>JW9825</v>
      </c>
      <c r="E6" s="4" t="s">
        <v>66</v>
      </c>
      <c r="F6" s="4" t="s">
        <v>71</v>
      </c>
      <c r="G6" s="5">
        <v>4954957230019</v>
      </c>
      <c r="H6" s="5"/>
      <c r="I6" s="5"/>
      <c r="J6" s="5">
        <v>1</v>
      </c>
      <c r="K6" s="5">
        <v>1</v>
      </c>
      <c r="L6" s="4">
        <v>0</v>
      </c>
      <c r="M6" s="4">
        <v>268</v>
      </c>
      <c r="N6" s="4">
        <v>208</v>
      </c>
      <c r="O6" s="6">
        <f>1-N6/M6</f>
        <v>0.22388059701492535</v>
      </c>
      <c r="P6" s="4" t="s">
        <v>75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>IF(AC6="",Y6,Y6*AC6)</f>
        <v>0</v>
      </c>
      <c r="AA6" s="4">
        <v>232</v>
      </c>
      <c r="AB6" s="4">
        <f>IF(AC6="",AA6,AA6*AC6)</f>
        <v>232</v>
      </c>
      <c r="AC6" s="4"/>
      <c r="AD6" s="21">
        <f>ROUND(M6*AR6,0)</f>
        <v>299</v>
      </c>
      <c r="AE6" s="6">
        <f>1-AB6/AD6</f>
        <v>0.22408026755852839</v>
      </c>
      <c r="AF6" s="33">
        <v>0</v>
      </c>
      <c r="AG6" s="4" t="str">
        <f>BH6</f>
        <v>-</v>
      </c>
      <c r="AH6" s="33" t="e">
        <f>AG6*AR6</f>
        <v>#VALUE!</v>
      </c>
      <c r="AI6" s="6" t="e">
        <f>1-AB6/AH6</f>
        <v>#VALUE!</v>
      </c>
      <c r="AJ6" s="7">
        <v>350</v>
      </c>
      <c r="AK6" s="6">
        <f>1-AB6/AJ6</f>
        <v>0.33714285714285719</v>
      </c>
      <c r="AL6" s="4">
        <f>AJ6-AB6</f>
        <v>118</v>
      </c>
      <c r="AM6" s="28"/>
      <c r="AN6" s="6"/>
      <c r="AO6" s="6"/>
      <c r="AP6" s="6" t="e">
        <f>Z6/L6</f>
        <v>#DIV/0!</v>
      </c>
      <c r="AQ6" s="6">
        <f>AJ6/M6</f>
        <v>1.3059701492537314</v>
      </c>
      <c r="AR6" s="6">
        <f>AB6/N6</f>
        <v>1.1153846153846154</v>
      </c>
      <c r="AS6" s="4"/>
      <c r="AT6" s="4"/>
      <c r="AU6" s="4"/>
      <c r="AV6" s="4"/>
      <c r="AW6" s="4"/>
      <c r="AX6" s="4"/>
      <c r="AY6" s="4"/>
      <c r="AZ6" s="4"/>
      <c r="BA6" s="4"/>
      <c r="BB6" s="4">
        <v>0</v>
      </c>
      <c r="BC6" s="4" t="s">
        <v>74</v>
      </c>
      <c r="BD6" s="4"/>
      <c r="BE6" s="4"/>
      <c r="BF6" s="4" t="s">
        <v>74</v>
      </c>
      <c r="BG6" s="4" t="s">
        <v>74</v>
      </c>
      <c r="BH6" s="4" t="str">
        <f>IF(BD6="",BG6,BD6/BE6*BG6)</f>
        <v>-</v>
      </c>
      <c r="BI6" s="19">
        <v>4</v>
      </c>
      <c r="BJ6" s="19">
        <v>8</v>
      </c>
      <c r="BK6" s="16">
        <v>19</v>
      </c>
      <c r="BL6" t="s">
        <v>75</v>
      </c>
      <c r="BM6">
        <v>343</v>
      </c>
      <c r="BN6">
        <f t="shared" si="0"/>
        <v>382.57692307692309</v>
      </c>
      <c r="BO6" t="s">
        <v>75</v>
      </c>
    </row>
    <row r="7" spans="1:67" x14ac:dyDescent="0.4">
      <c r="A7" s="3">
        <v>3</v>
      </c>
      <c r="B7" s="3">
        <v>3</v>
      </c>
      <c r="C7" s="17" t="s">
        <v>67</v>
      </c>
      <c r="D7" s="4" t="str">
        <f>TEXT(C7,"000000")</f>
        <v>JW9826</v>
      </c>
      <c r="E7" s="4" t="s">
        <v>67</v>
      </c>
      <c r="F7" s="4" t="s">
        <v>72</v>
      </c>
      <c r="G7" s="5">
        <v>4954957230026</v>
      </c>
      <c r="H7" s="5"/>
      <c r="I7" s="5"/>
      <c r="J7" s="5">
        <v>1</v>
      </c>
      <c r="K7" s="5">
        <v>1</v>
      </c>
      <c r="L7" s="4">
        <v>0</v>
      </c>
      <c r="M7" s="4">
        <v>264</v>
      </c>
      <c r="N7" s="4">
        <v>208</v>
      </c>
      <c r="O7" s="6">
        <f>1-N7/M7</f>
        <v>0.21212121212121215</v>
      </c>
      <c r="P7" s="4" t="s">
        <v>75</v>
      </c>
      <c r="Q7" s="4"/>
      <c r="R7" s="4"/>
      <c r="S7" s="4"/>
      <c r="T7" s="4"/>
      <c r="U7" s="4"/>
      <c r="V7" s="4"/>
      <c r="W7" s="4"/>
      <c r="X7" s="4"/>
      <c r="Y7" s="4">
        <v>0</v>
      </c>
      <c r="Z7" s="4">
        <f>IF(AC7="",Y7,Y7*AC7)</f>
        <v>0</v>
      </c>
      <c r="AA7" s="4">
        <v>232</v>
      </c>
      <c r="AB7" s="4">
        <f>IF(AC7="",AA7,AA7*AC7)</f>
        <v>232</v>
      </c>
      <c r="AC7" s="4"/>
      <c r="AD7" s="21">
        <f>ROUND(M7*AR7,0)</f>
        <v>294</v>
      </c>
      <c r="AE7" s="6">
        <f>1-AB7/AD7</f>
        <v>0.21088435374149661</v>
      </c>
      <c r="AF7" s="33">
        <v>0</v>
      </c>
      <c r="AG7" s="4" t="str">
        <f>BH7</f>
        <v>-</v>
      </c>
      <c r="AH7" s="33" t="e">
        <f>AG7*AR7</f>
        <v>#VALUE!</v>
      </c>
      <c r="AI7" s="6" t="e">
        <f>1-AB7/AH7</f>
        <v>#VALUE!</v>
      </c>
      <c r="AJ7" s="7">
        <v>350</v>
      </c>
      <c r="AK7" s="6">
        <f>1-AB7/AJ7</f>
        <v>0.33714285714285719</v>
      </c>
      <c r="AL7" s="4">
        <f>AJ7-AB7</f>
        <v>118</v>
      </c>
      <c r="AM7" s="28"/>
      <c r="AN7" s="6"/>
      <c r="AO7" s="6"/>
      <c r="AP7" s="6" t="e">
        <f>Z7/L7</f>
        <v>#DIV/0!</v>
      </c>
      <c r="AQ7" s="6">
        <f>AJ7/M7</f>
        <v>1.3257575757575757</v>
      </c>
      <c r="AR7" s="6">
        <f>AB7/N7</f>
        <v>1.1153846153846154</v>
      </c>
      <c r="AS7" s="4"/>
      <c r="AT7" s="4"/>
      <c r="AU7" s="4"/>
      <c r="AV7" s="4"/>
      <c r="AW7" s="4"/>
      <c r="AX7" s="4"/>
      <c r="AY7" s="4"/>
      <c r="AZ7" s="4"/>
      <c r="BA7" s="4"/>
      <c r="BB7" s="4">
        <v>0</v>
      </c>
      <c r="BC7" s="4" t="s">
        <v>74</v>
      </c>
      <c r="BD7" s="4"/>
      <c r="BE7" s="4"/>
      <c r="BF7" s="4" t="s">
        <v>74</v>
      </c>
      <c r="BG7" s="4" t="s">
        <v>74</v>
      </c>
      <c r="BH7" s="4" t="str">
        <f>IF(BD7="",BG7,BD7/BE7*BG7)</f>
        <v>-</v>
      </c>
      <c r="BI7" s="19">
        <v>4</v>
      </c>
      <c r="BJ7" s="19">
        <v>8</v>
      </c>
      <c r="BK7" s="16">
        <v>19</v>
      </c>
      <c r="BL7" t="s">
        <v>75</v>
      </c>
      <c r="BM7">
        <v>343</v>
      </c>
      <c r="BN7">
        <f t="shared" si="0"/>
        <v>382.57692307692309</v>
      </c>
      <c r="BO7" t="s">
        <v>75</v>
      </c>
    </row>
    <row r="8" spans="1:67" x14ac:dyDescent="0.4">
      <c r="A8" s="3">
        <v>4</v>
      </c>
      <c r="B8" s="3">
        <v>4</v>
      </c>
      <c r="C8" s="4" t="s">
        <v>68</v>
      </c>
      <c r="D8" s="4" t="str">
        <f>TEXT(C8,"000000")</f>
        <v>JY3339</v>
      </c>
      <c r="E8" s="4" t="s">
        <v>68</v>
      </c>
      <c r="F8" s="4" t="s">
        <v>76</v>
      </c>
      <c r="G8" s="5">
        <v>4977720002811</v>
      </c>
      <c r="H8" s="5"/>
      <c r="I8" s="5"/>
      <c r="J8" s="5">
        <v>1</v>
      </c>
      <c r="K8" s="5">
        <v>1</v>
      </c>
      <c r="L8" s="4">
        <v>540</v>
      </c>
      <c r="M8" s="4">
        <v>418</v>
      </c>
      <c r="N8" s="4">
        <v>286</v>
      </c>
      <c r="O8" s="6">
        <f>1-N8/M8</f>
        <v>0.31578947368421051</v>
      </c>
      <c r="P8" s="4" t="s">
        <v>75</v>
      </c>
      <c r="Q8" s="4"/>
      <c r="R8" s="4"/>
      <c r="S8" s="4"/>
      <c r="T8" s="4"/>
      <c r="U8" s="4"/>
      <c r="V8" s="4"/>
      <c r="W8" s="4"/>
      <c r="X8" s="4"/>
      <c r="Y8" s="4">
        <v>640</v>
      </c>
      <c r="Z8" s="4">
        <f>IF(AC8="",Y8,Y8*AC8)</f>
        <v>640</v>
      </c>
      <c r="AA8" s="4">
        <v>339</v>
      </c>
      <c r="AB8" s="4">
        <f>IF(AC8="",AA8,AA8*AC8)</f>
        <v>339</v>
      </c>
      <c r="AC8" s="4"/>
      <c r="AD8" s="21">
        <f>ROUND(M8*AR8,0)</f>
        <v>495</v>
      </c>
      <c r="AE8" s="6">
        <f>1-AB8/AD8</f>
        <v>0.31515151515151518</v>
      </c>
      <c r="AF8" s="33">
        <v>0.75</v>
      </c>
      <c r="AG8" s="4" t="str">
        <f>BH8</f>
        <v>-</v>
      </c>
      <c r="AH8" s="33" t="e">
        <f>AG8*AR8</f>
        <v>#VALUE!</v>
      </c>
      <c r="AI8" s="6" t="e">
        <f>1-AB8/AH8</f>
        <v>#VALUE!</v>
      </c>
      <c r="AJ8" s="7">
        <v>500</v>
      </c>
      <c r="AK8" s="6">
        <f>1-AB8/AJ8</f>
        <v>0.32199999999999995</v>
      </c>
      <c r="AL8" s="4">
        <f>AJ8-AB8</f>
        <v>161</v>
      </c>
      <c r="AM8" s="28"/>
      <c r="AN8" s="6"/>
      <c r="AO8" s="6"/>
      <c r="AP8" s="6">
        <f>Z8/L8</f>
        <v>1.1851851851851851</v>
      </c>
      <c r="AQ8" s="6">
        <f>AJ8/M8</f>
        <v>1.1961722488038278</v>
      </c>
      <c r="AR8" s="6">
        <f>AB8/N8</f>
        <v>1.1853146853146854</v>
      </c>
      <c r="AS8" s="4"/>
      <c r="AT8" s="4"/>
      <c r="AU8" s="4"/>
      <c r="AV8" s="4"/>
      <c r="AW8" s="4"/>
      <c r="AX8" s="4"/>
      <c r="AY8" s="4"/>
      <c r="AZ8" s="4"/>
      <c r="BA8" s="4"/>
      <c r="BB8" s="4">
        <v>0</v>
      </c>
      <c r="BC8" s="4" t="s">
        <v>74</v>
      </c>
      <c r="BD8" s="4"/>
      <c r="BE8" s="4"/>
      <c r="BF8" s="4" t="s">
        <v>74</v>
      </c>
      <c r="BG8" s="4" t="s">
        <v>74</v>
      </c>
      <c r="BH8" s="4" t="str">
        <f>IF(BD8="",BG8,BD8/BE8*BG8)</f>
        <v>-</v>
      </c>
      <c r="BI8" s="19">
        <v>4</v>
      </c>
      <c r="BJ8" s="19">
        <v>8</v>
      </c>
      <c r="BK8" s="16">
        <v>19</v>
      </c>
      <c r="BL8" t="s">
        <v>75</v>
      </c>
      <c r="BM8">
        <v>513</v>
      </c>
      <c r="BN8">
        <f t="shared" si="0"/>
        <v>608.0664335664336</v>
      </c>
      <c r="BO8" t="s">
        <v>75</v>
      </c>
    </row>
  </sheetData>
  <autoFilter ref="A3:BO3" xr:uid="{7A1660CF-9003-4B2D-B659-7F339ED5B476}"/>
  <sortState xmlns:xlrd2="http://schemas.microsoft.com/office/spreadsheetml/2017/richdata2" ref="A4:BO8">
    <sortCondition ref="B4:B8"/>
  </sortState>
  <mergeCells count="3">
    <mergeCell ref="L2:O2"/>
    <mergeCell ref="J2:K2"/>
    <mergeCell ref="Y1:AB1"/>
  </mergeCells>
  <phoneticPr fontId="2"/>
  <conditionalFormatting sqref="AJ4:AJ8">
    <cfRule type="cellIs" dxfId="2" priority="4" operator="greaterThan">
      <formula>$Z4</formula>
    </cfRule>
  </conditionalFormatting>
  <conditionalFormatting sqref="AH4:AH8">
    <cfRule type="cellIs" dxfId="1" priority="2" operator="lessThan">
      <formula>$AJ4</formula>
    </cfRule>
  </conditionalFormatting>
  <conditionalFormatting sqref="AK4:AK8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2026-05-19T05:11:27Z</dcterms:modified>
</cp:coreProperties>
</file>