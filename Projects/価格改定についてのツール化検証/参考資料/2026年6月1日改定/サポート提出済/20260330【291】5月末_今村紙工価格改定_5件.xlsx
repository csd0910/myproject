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"/>
    </mc:Choice>
  </mc:AlternateContent>
  <xr:revisionPtr revIDLastSave="0" documentId="13_ncr:1_{A47A3971-ECA9-4C97-AFEA-4A995C0E18F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Sheet1!$B$3:$AX$8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5" i="1" l="1"/>
  <c r="AK5" i="1"/>
  <c r="AL5" i="1"/>
  <c r="AK6" i="1"/>
  <c r="AL6" i="1"/>
  <c r="AK7" i="1"/>
  <c r="AL7" i="1"/>
  <c r="AK8" i="1"/>
  <c r="AL8" i="1"/>
  <c r="AL4" i="1"/>
  <c r="AK4" i="1"/>
  <c r="AU5" i="1" l="1"/>
  <c r="X5" i="1" s="1"/>
  <c r="AU6" i="1"/>
  <c r="X6" i="1" s="1"/>
  <c r="AU4" i="1"/>
  <c r="X4" i="1" s="1"/>
  <c r="S5" i="1"/>
  <c r="S6" i="1"/>
  <c r="S7" i="1"/>
  <c r="S8" i="1"/>
  <c r="Q5" i="1"/>
  <c r="AG5" i="1" s="1"/>
  <c r="Q6" i="1"/>
  <c r="AG6" i="1" s="1"/>
  <c r="Q7" i="1"/>
  <c r="AG7" i="1" s="1"/>
  <c r="Q8" i="1"/>
  <c r="AG8" i="1" s="1"/>
  <c r="C5" i="1"/>
  <c r="C6" i="1"/>
  <c r="C7" i="1"/>
  <c r="C8" i="1"/>
  <c r="C4" i="1"/>
  <c r="S4" i="1"/>
  <c r="Q4" i="1"/>
  <c r="AG4" i="1" s="1"/>
  <c r="AH4" i="1"/>
  <c r="AU8" i="1"/>
  <c r="X8" i="1" s="1"/>
  <c r="AH8" i="1"/>
  <c r="L8" i="1"/>
  <c r="AU7" i="1"/>
  <c r="X7" i="1" s="1"/>
  <c r="AH7" i="1"/>
  <c r="L7" i="1"/>
  <c r="AH6" i="1"/>
  <c r="L6" i="1"/>
  <c r="AH5" i="1"/>
  <c r="L5" i="1"/>
  <c r="L4" i="1"/>
  <c r="AB4" i="1" l="1"/>
  <c r="AM4" i="1"/>
  <c r="AC7" i="1"/>
  <c r="AM7" i="1"/>
  <c r="AI6" i="1"/>
  <c r="U6" i="1" s="1"/>
  <c r="V6" i="1" s="1"/>
  <c r="AM6" i="1"/>
  <c r="AB5" i="1"/>
  <c r="AC8" i="1"/>
  <c r="AM8" i="1"/>
  <c r="AI5" i="1"/>
  <c r="U5" i="1" s="1"/>
  <c r="V5" i="1" s="1"/>
  <c r="AI8" i="1"/>
  <c r="U8" i="1" s="1"/>
  <c r="V8" i="1" s="1"/>
  <c r="AC6" i="1"/>
  <c r="AB8" i="1"/>
  <c r="AB7" i="1"/>
  <c r="AC5" i="1"/>
  <c r="AI7" i="1"/>
  <c r="U7" i="1" s="1"/>
  <c r="V7" i="1" s="1"/>
  <c r="AB6" i="1"/>
  <c r="AE4" i="1"/>
  <c r="AF4" i="1"/>
  <c r="AC4" i="1"/>
  <c r="AI4" i="1"/>
  <c r="U4" i="1" s="1"/>
  <c r="V4" i="1" s="1"/>
  <c r="Y7" i="1" l="1"/>
  <c r="Z7" i="1" s="1"/>
  <c r="Y4" i="1"/>
  <c r="Z4" i="1" s="1"/>
  <c r="Y5" i="1"/>
  <c r="Z5" i="1" s="1"/>
  <c r="Y6" i="1"/>
  <c r="Z6" i="1" s="1"/>
  <c r="Y8" i="1"/>
  <c r="Z8" i="1" s="1"/>
</calcChain>
</file>

<file path=xl/sharedStrings.xml><?xml version="1.0" encoding="utf-8"?>
<sst xmlns="http://schemas.openxmlformats.org/spreadsheetml/2006/main" count="88" uniqueCount="73">
  <si>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</si>
  <si>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</si>
  <si>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</si>
  <si>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</si>
  <si>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</si>
  <si>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</si>
  <si>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</si>
  <si>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</si>
  <si>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</si>
  <si>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</si>
  <si>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</si>
  <si>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</si>
  <si>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</si>
  <si>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</si>
  <si>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</si>
  <si>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</si>
  <si>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</si>
  <si>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</si>
  <si>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</si>
  <si>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</si>
  <si>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</si>
  <si>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</si>
  <si>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</si>
  <si>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</si>
  <si>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</si>
  <si>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</si>
  <si>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</si>
  <si>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</si>
  <si>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</si>
  <si>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</si>
  <si>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</si>
  <si>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</si>
  <si>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</si>
  <si>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</si>
  <si>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</si>
  <si>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</si>
  <si>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</si>
  <si>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</si>
  <si>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</si>
  <si>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</si>
  <si>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</si>
  <si>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</si>
  <si>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</si>
  <si>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</si>
  <si>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</si>
  <si>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</si>
  <si>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</si>
  <si>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</si>
  <si>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</si>
  <si>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</si>
  <si>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</si>
  <si>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3月売価</t>
    <rPh sb="1" eb="2">
      <t>ガツ</t>
    </rPh>
    <rPh sb="2" eb="4">
      <t>バイカ</t>
    </rPh>
    <phoneticPr fontId="2"/>
  </si>
  <si>
    <t>大分類</t>
    <rPh sb="0" eb="3">
      <t>ダイブンルイ</t>
    </rPh>
    <phoneticPr fontId="2"/>
  </si>
  <si>
    <t>32/827</t>
  </si>
  <si>
    <t>今村紙工/ﾌﾟﾘﾝﾀｰ薬袋 A6ｻｲｽﾞ 無地 500枚/YT-A6</t>
  </si>
  <si>
    <t>今村紙工/ﾌﾟﾘﾝﾀｰ薬袋 B6ｻｲｽﾞ 無地 500枚/YT-B6</t>
  </si>
  <si>
    <t>今村紙工/ﾌﾟﾘﾝﾀｰ薬袋 A5ｻｲｽﾞ 無地 500枚/YT-A5</t>
  </si>
  <si>
    <t>今村紙工/ﾌﾟﾘﾝﾀｰ薬袋 B5ｻｲｽﾞ 無地 500枚/YT-B5</t>
  </si>
  <si>
    <t>今村紙工/ﾌﾟﾘﾝﾀｰ薬袋 A4ｻｲｽﾞ 無地 500枚/YT-A4</t>
  </si>
  <si>
    <t>今村紙工 プリンター薬袋 A6サイズ YT-A6 1箱（500枚入）</t>
  </si>
  <si>
    <t>今村紙工 プリンター薬袋 B6サイズ YT-B6 1箱（500枚入）</t>
  </si>
  <si>
    <t>今村紙工 プリンター薬袋 A5サイズ YT-A5 1箱（500枚入）</t>
  </si>
  <si>
    <t>今村紙工 プリンター薬袋 B5サイズ YT-B5 1箱（500枚入）</t>
  </si>
  <si>
    <t>今村紙工 プリンター薬袋 A4サイズ YT-A4 1箱（500枚入）</t>
  </si>
  <si>
    <t>4753978</t>
  </si>
  <si>
    <t>1箱（500枚入）</t>
  </si>
  <si>
    <t>4753969</t>
  </si>
  <si>
    <t>4753931</t>
  </si>
  <si>
    <t>4754115</t>
  </si>
  <si>
    <t>4754106</t>
  </si>
  <si>
    <t>VD粗利率</t>
    <rPh sb="2" eb="5">
      <t>アラリリツ</t>
    </rPh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</si>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</sst>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A8"/>
  <sheetViews>
    <sheetView tabSelected="1" zoomScale="90" zoomScaleNormal="90" workbookViewId="0">
      <pane xSplit="6" ySplit="5" topLeftCell="Z6" activePane="bottomRight" state="frozen"/>
      <selection pane="topRight" activeCell="G1" sqref="G1"/>
      <selection pane="bottomLeft" activeCell="A5" sqref="A5"/>
      <selection pane="bottomRight" activeCell="AA8" sqref="AA8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8" width="7.5" hidden="1" customWidth="1" outlineLevel="1"/>
    <col min="9" max="9" width="9" collapsed="1"/>
    <col min="13" max="13" width="9" customWidth="1"/>
    <col min="14" max="15" width="9" hidden="1" customWidth="1" outlineLevel="1"/>
    <col min="16" max="16" width="9" collapsed="1"/>
    <col min="20" max="20" width="9" collapsed="1"/>
    <col min="30" max="32" width="9" hidden="1" customWidth="1" outlineLevel="1"/>
    <col min="33" max="33" width="9" collapsed="1"/>
    <col min="36" max="39" width="9" customWidth="1" outlineLevel="1"/>
    <col min="42" max="47" width="9" customWidth="1"/>
  </cols>
  <sheetData>
    <row r="1" spans="1:53" x14ac:dyDescent="0.4">
      <c r="B1" s="29" t="s">
        <v>43</v>
      </c>
      <c r="P1" s="36" t="s">
        <v>40</v>
      </c>
      <c r="Q1" s="37"/>
      <c r="R1" s="37"/>
      <c r="S1" s="38"/>
    </row>
    <row r="2" spans="1:53" x14ac:dyDescent="0.4">
      <c r="B2" s="8" t="s">
        <v>27</v>
      </c>
      <c r="C2" s="9" t="s">
        <v>28</v>
      </c>
      <c r="D2" s="9" t="s">
        <v>29</v>
      </c>
      <c r="E2" s="10"/>
      <c r="F2" s="10"/>
      <c r="G2" s="33" t="s">
        <v>30</v>
      </c>
      <c r="H2" s="35"/>
      <c r="I2" s="33" t="s">
        <v>2</v>
      </c>
      <c r="J2" s="34"/>
      <c r="K2" s="34"/>
      <c r="L2" s="35"/>
      <c r="M2" s="11"/>
      <c r="N2" s="31"/>
      <c r="O2" s="31"/>
      <c r="P2" s="23"/>
      <c r="Q2" s="24" t="s">
        <v>33</v>
      </c>
      <c r="R2" s="24"/>
      <c r="S2" s="25" t="s">
        <v>33</v>
      </c>
      <c r="T2" s="10"/>
      <c r="U2" s="9" t="s">
        <v>38</v>
      </c>
      <c r="V2" s="11"/>
      <c r="W2" s="11"/>
      <c r="X2" s="11"/>
      <c r="Y2" s="11"/>
      <c r="Z2" s="11"/>
      <c r="AA2" s="22" t="s">
        <v>41</v>
      </c>
      <c r="AB2" s="11"/>
      <c r="AC2" s="11"/>
      <c r="AD2" s="27"/>
      <c r="AE2" s="11"/>
      <c r="AF2" s="11"/>
      <c r="AG2" s="11"/>
      <c r="AH2" s="11"/>
      <c r="AI2" s="11"/>
      <c r="AJ2" s="11"/>
      <c r="AK2" s="11"/>
      <c r="AL2" s="11"/>
      <c r="AM2" s="32"/>
      <c r="AN2">
        <v>51</v>
      </c>
      <c r="AV2">
        <v>14</v>
      </c>
      <c r="AW2">
        <v>28</v>
      </c>
      <c r="AX2">
        <v>23</v>
      </c>
    </row>
    <row r="3" spans="1:53" ht="56.25" x14ac:dyDescent="0.4">
      <c r="A3" s="1"/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24</v>
      </c>
      <c r="H3" s="12" t="s">
        <v>25</v>
      </c>
      <c r="I3" s="12" t="s">
        <v>1</v>
      </c>
      <c r="J3" s="2" t="s">
        <v>8</v>
      </c>
      <c r="K3" s="2" t="s">
        <v>5</v>
      </c>
      <c r="L3" s="2" t="s">
        <v>16</v>
      </c>
      <c r="M3" s="12" t="s">
        <v>49</v>
      </c>
      <c r="N3" s="12" t="s">
        <v>20</v>
      </c>
      <c r="O3" s="12" t="s">
        <v>21</v>
      </c>
      <c r="P3" s="12" t="s">
        <v>3</v>
      </c>
      <c r="Q3" s="12" t="s">
        <v>22</v>
      </c>
      <c r="R3" s="2" t="s">
        <v>5</v>
      </c>
      <c r="S3" s="12" t="s">
        <v>23</v>
      </c>
      <c r="T3" s="14" t="s">
        <v>6</v>
      </c>
      <c r="U3" s="20" t="s">
        <v>17</v>
      </c>
      <c r="V3" s="2" t="s">
        <v>16</v>
      </c>
      <c r="W3" s="2" t="s">
        <v>44</v>
      </c>
      <c r="X3" s="12" t="s">
        <v>39</v>
      </c>
      <c r="Y3" s="12" t="s">
        <v>71</v>
      </c>
      <c r="Z3" s="2" t="s">
        <v>16</v>
      </c>
      <c r="AA3" s="13" t="s">
        <v>31</v>
      </c>
      <c r="AB3" s="2" t="s">
        <v>16</v>
      </c>
      <c r="AC3" s="2" t="s">
        <v>32</v>
      </c>
      <c r="AD3" s="26" t="s">
        <v>34</v>
      </c>
      <c r="AE3" s="12" t="s">
        <v>35</v>
      </c>
      <c r="AF3" s="12" t="s">
        <v>36</v>
      </c>
      <c r="AG3" s="12" t="s">
        <v>26</v>
      </c>
      <c r="AH3" s="12" t="s">
        <v>37</v>
      </c>
      <c r="AI3" s="12" t="s">
        <v>18</v>
      </c>
      <c r="AJ3" s="12" t="s">
        <v>19</v>
      </c>
      <c r="AK3" s="12" t="s">
        <v>20</v>
      </c>
      <c r="AL3" s="12" t="s">
        <v>21</v>
      </c>
      <c r="AM3" s="12" t="s">
        <v>70</v>
      </c>
      <c r="AN3" s="2" t="s">
        <v>11</v>
      </c>
      <c r="AO3" s="2" t="s">
        <v>12</v>
      </c>
      <c r="AP3" s="2" t="s">
        <v>13</v>
      </c>
      <c r="AQ3" s="2" t="s">
        <v>14</v>
      </c>
      <c r="AR3" s="12" t="s">
        <v>42</v>
      </c>
      <c r="AS3" s="12" t="s">
        <v>51</v>
      </c>
      <c r="AT3" s="2" t="s">
        <v>72</v>
      </c>
      <c r="AU3" s="2" t="s">
        <v>15</v>
      </c>
      <c r="AV3" s="18" t="s">
        <v>45</v>
      </c>
      <c r="AW3" s="18" t="s">
        <v>46</v>
      </c>
      <c r="AX3" s="15" t="s">
        <v>52</v>
      </c>
      <c r="AY3" s="30" t="s">
        <v>47</v>
      </c>
      <c r="AZ3" t="s">
        <v>48</v>
      </c>
      <c r="BA3" t="s">
        <v>50</v>
      </c>
    </row>
    <row r="4" spans="1:53" x14ac:dyDescent="0.4">
      <c r="A4" s="3">
        <v>1</v>
      </c>
      <c r="B4" s="4">
        <v>506106</v>
      </c>
      <c r="C4" s="4" t="str">
        <f>TEXT(B4,"000000")</f>
        <v>506106</v>
      </c>
      <c r="D4" s="4">
        <v>506106</v>
      </c>
      <c r="E4" s="4" t="s">
        <v>54</v>
      </c>
      <c r="F4" s="5">
        <v>4957470033129</v>
      </c>
      <c r="G4" s="5">
        <v>1</v>
      </c>
      <c r="H4" s="5">
        <v>1</v>
      </c>
      <c r="I4" s="4">
        <v>0</v>
      </c>
      <c r="J4" s="4">
        <v>1213</v>
      </c>
      <c r="K4" s="4">
        <v>686</v>
      </c>
      <c r="L4" s="6">
        <f t="shared" ref="L4:L8" si="0">1-K4/J4</f>
        <v>0.43446001648804622</v>
      </c>
      <c r="M4" s="4">
        <v>955</v>
      </c>
      <c r="N4" s="4">
        <v>8</v>
      </c>
      <c r="O4" s="4">
        <v>99999</v>
      </c>
      <c r="P4" s="4">
        <v>0</v>
      </c>
      <c r="Q4" s="4">
        <f>IF(T4="",P4,P4*T4)</f>
        <v>0</v>
      </c>
      <c r="R4" s="4">
        <v>774</v>
      </c>
      <c r="S4" s="4">
        <f>IF(T4="",R4,R4*T4)</f>
        <v>774</v>
      </c>
      <c r="T4" s="4"/>
      <c r="U4" s="21">
        <f>ROUND(J4*AI4,0)</f>
        <v>1369</v>
      </c>
      <c r="V4" s="6">
        <f t="shared" ref="V4" si="1">1-S4/U4</f>
        <v>0.43462381300219133</v>
      </c>
      <c r="W4" s="4">
        <v>3.5000000000000004</v>
      </c>
      <c r="X4" s="4">
        <f>AU4</f>
        <v>1355</v>
      </c>
      <c r="Y4" s="4">
        <f>X4*AI4</f>
        <v>1528.8192419825075</v>
      </c>
      <c r="Z4" s="6">
        <f>1-S4/Y4</f>
        <v>0.49372693726937278</v>
      </c>
      <c r="AA4" s="7">
        <v>1380</v>
      </c>
      <c r="AB4" s="6">
        <f>1-S4/AA4</f>
        <v>0.43913043478260871</v>
      </c>
      <c r="AC4" s="4">
        <f>AA4-S4</f>
        <v>606</v>
      </c>
      <c r="AD4" s="28"/>
      <c r="AE4" s="6" t="e">
        <f>1-S4/AD4</f>
        <v>#DIV/0!</v>
      </c>
      <c r="AF4" s="4">
        <f>AD4-S4</f>
        <v>-774</v>
      </c>
      <c r="AG4" s="6" t="e">
        <f>Q4/I4</f>
        <v>#DIV/0!</v>
      </c>
      <c r="AH4" s="6">
        <f>AA4/J4</f>
        <v>1.1376751854905194</v>
      </c>
      <c r="AI4" s="6">
        <f>S4/K4</f>
        <v>1.1282798833819243</v>
      </c>
      <c r="AJ4" s="4">
        <v>1130</v>
      </c>
      <c r="AK4" s="4">
        <f t="shared" ref="AK4:AL8" si="2">IF(N4="","-",N4)</f>
        <v>8</v>
      </c>
      <c r="AL4" s="4">
        <f t="shared" si="2"/>
        <v>99999</v>
      </c>
      <c r="AM4" s="6">
        <f>1-S4/AJ4</f>
        <v>0.31504424778761064</v>
      </c>
      <c r="AN4" s="4" t="s">
        <v>53</v>
      </c>
      <c r="AO4" s="4" t="s">
        <v>64</v>
      </c>
      <c r="AP4" s="4"/>
      <c r="AQ4" s="4"/>
      <c r="AR4" s="4" t="s">
        <v>65</v>
      </c>
      <c r="AS4" s="4">
        <v>1355</v>
      </c>
      <c r="AT4" s="4">
        <v>1355</v>
      </c>
      <c r="AU4" s="4">
        <f t="shared" ref="AU4:AU5" si="3">IF(AP4="",AT4,AP4/AQ4*AT4)</f>
        <v>1355</v>
      </c>
      <c r="AV4" s="19">
        <v>4</v>
      </c>
      <c r="AW4" s="19">
        <v>1</v>
      </c>
      <c r="AX4" s="16">
        <v>18</v>
      </c>
      <c r="AY4">
        <v>1280</v>
      </c>
      <c r="AZ4">
        <v>1245</v>
      </c>
      <c r="BA4" s="4" t="s">
        <v>59</v>
      </c>
    </row>
    <row r="5" spans="1:53" x14ac:dyDescent="0.4">
      <c r="A5" s="3">
        <v>2</v>
      </c>
      <c r="B5" s="4">
        <v>538668</v>
      </c>
      <c r="C5" s="4" t="str">
        <f t="shared" ref="C5:C8" si="4">TEXT(B5,"000000")</f>
        <v>538668</v>
      </c>
      <c r="D5" s="4">
        <v>538668</v>
      </c>
      <c r="E5" s="4" t="s">
        <v>55</v>
      </c>
      <c r="F5" s="5">
        <v>4957470033112</v>
      </c>
      <c r="G5" s="5">
        <v>1</v>
      </c>
      <c r="H5" s="5">
        <v>1</v>
      </c>
      <c r="I5" s="4">
        <v>0</v>
      </c>
      <c r="J5" s="4">
        <v>1356</v>
      </c>
      <c r="K5" s="4">
        <v>751</v>
      </c>
      <c r="L5" s="6">
        <f t="shared" si="0"/>
        <v>0.44616519174041303</v>
      </c>
      <c r="M5" s="4">
        <v>1022</v>
      </c>
      <c r="N5" s="4">
        <v>8</v>
      </c>
      <c r="O5" s="4">
        <v>99999</v>
      </c>
      <c r="P5" s="4">
        <v>0</v>
      </c>
      <c r="Q5" s="4">
        <f t="shared" ref="Q5:Q8" si="5">IF(T5="",P5,P5*T5)</f>
        <v>0</v>
      </c>
      <c r="R5" s="4">
        <v>848</v>
      </c>
      <c r="S5" s="4">
        <f t="shared" ref="S5:S8" si="6">IF(T5="",R5,R5*T5)</f>
        <v>848</v>
      </c>
      <c r="T5" s="4"/>
      <c r="U5" s="21">
        <f>ROUND(J5*AI5,0)</f>
        <v>1531</v>
      </c>
      <c r="V5" s="6">
        <f t="shared" ref="V5" si="7">1-S5/U5</f>
        <v>0.44611365120836055</v>
      </c>
      <c r="W5" s="4">
        <v>3.75</v>
      </c>
      <c r="X5" s="4">
        <f>AU5</f>
        <v>1355</v>
      </c>
      <c r="Y5" s="4">
        <f>X5*AI5</f>
        <v>1530.0133155792278</v>
      </c>
      <c r="Z5" s="6">
        <f>1-S5/Y5</f>
        <v>0.44575645756457571</v>
      </c>
      <c r="AA5" s="7">
        <v>1520</v>
      </c>
      <c r="AB5" s="6">
        <f>1-S5/AA5</f>
        <v>0.44210526315789478</v>
      </c>
      <c r="AC5" s="4">
        <f>AA5-S5</f>
        <v>672</v>
      </c>
      <c r="AD5" s="28"/>
      <c r="AE5" s="6"/>
      <c r="AF5" s="6"/>
      <c r="AG5" s="6" t="e">
        <f>Q5/I5</f>
        <v>#DIV/0!</v>
      </c>
      <c r="AH5" s="6">
        <f>AA5/J5</f>
        <v>1.1209439528023599</v>
      </c>
      <c r="AI5" s="6">
        <f>S5/K5</f>
        <v>1.1291611185086552</v>
      </c>
      <c r="AJ5" s="4">
        <v>1190</v>
      </c>
      <c r="AK5" s="4">
        <f t="shared" si="2"/>
        <v>8</v>
      </c>
      <c r="AL5" s="4">
        <f t="shared" si="2"/>
        <v>99999</v>
      </c>
      <c r="AM5" s="6">
        <f>1-S5/AJ5</f>
        <v>0.28739495798319326</v>
      </c>
      <c r="AN5" s="4" t="s">
        <v>53</v>
      </c>
      <c r="AO5" s="4" t="s">
        <v>66</v>
      </c>
      <c r="AP5" s="4"/>
      <c r="AQ5" s="4"/>
      <c r="AR5" s="4" t="s">
        <v>65</v>
      </c>
      <c r="AS5" s="4">
        <v>1355</v>
      </c>
      <c r="AT5" s="4">
        <v>1355</v>
      </c>
      <c r="AU5" s="4">
        <f t="shared" si="3"/>
        <v>1355</v>
      </c>
      <c r="AV5" s="19">
        <v>4</v>
      </c>
      <c r="AW5" s="19">
        <v>1</v>
      </c>
      <c r="AX5" s="16">
        <v>18</v>
      </c>
      <c r="AY5">
        <v>1355</v>
      </c>
      <c r="AZ5">
        <v>1397</v>
      </c>
      <c r="BA5" s="4" t="s">
        <v>60</v>
      </c>
    </row>
    <row r="6" spans="1:53" x14ac:dyDescent="0.4">
      <c r="A6" s="3">
        <v>3</v>
      </c>
      <c r="B6" s="17">
        <v>538686</v>
      </c>
      <c r="C6" s="4" t="str">
        <f t="shared" si="4"/>
        <v>538686</v>
      </c>
      <c r="D6" s="4">
        <v>538686</v>
      </c>
      <c r="E6" s="4" t="s">
        <v>56</v>
      </c>
      <c r="F6" s="5">
        <v>4957470033105</v>
      </c>
      <c r="G6" s="5">
        <v>1</v>
      </c>
      <c r="H6" s="5">
        <v>1</v>
      </c>
      <c r="I6" s="4">
        <v>0</v>
      </c>
      <c r="J6" s="4">
        <v>1452</v>
      </c>
      <c r="K6" s="4">
        <v>908</v>
      </c>
      <c r="L6" s="6">
        <f t="shared" si="0"/>
        <v>0.37465564738292012</v>
      </c>
      <c r="M6" s="4">
        <v>1157</v>
      </c>
      <c r="N6" s="4">
        <v>8</v>
      </c>
      <c r="O6" s="4">
        <v>99999</v>
      </c>
      <c r="P6" s="4">
        <v>0</v>
      </c>
      <c r="Q6" s="4">
        <f t="shared" si="5"/>
        <v>0</v>
      </c>
      <c r="R6" s="4">
        <v>1025</v>
      </c>
      <c r="S6" s="4">
        <f t="shared" si="6"/>
        <v>1025</v>
      </c>
      <c r="T6" s="4"/>
      <c r="U6" s="21">
        <f>ROUND(J6*AI6,0)</f>
        <v>1639</v>
      </c>
      <c r="V6" s="6">
        <f t="shared" ref="V6:V8" si="8">1-S6/U6</f>
        <v>0.37461866992068338</v>
      </c>
      <c r="W6" s="4">
        <v>6.25</v>
      </c>
      <c r="X6" s="4">
        <f>AU6</f>
        <v>1617</v>
      </c>
      <c r="Y6" s="4">
        <f>X6*AI6</f>
        <v>1825.3579295154186</v>
      </c>
      <c r="Z6" s="6">
        <f>1-S6/Y6</f>
        <v>0.43846629560915273</v>
      </c>
      <c r="AA6" s="7">
        <v>1640</v>
      </c>
      <c r="AB6" s="6">
        <f>1-S6/AA6</f>
        <v>0.375</v>
      </c>
      <c r="AC6" s="4">
        <f>AA6-S6</f>
        <v>615</v>
      </c>
      <c r="AD6" s="28"/>
      <c r="AE6" s="6"/>
      <c r="AF6" s="6"/>
      <c r="AG6" s="6" t="e">
        <f>Q6/I6</f>
        <v>#DIV/0!</v>
      </c>
      <c r="AH6" s="6">
        <f>AA6/J6</f>
        <v>1.1294765840220387</v>
      </c>
      <c r="AI6" s="6">
        <f>S6/K6</f>
        <v>1.1288546255506609</v>
      </c>
      <c r="AJ6" s="4">
        <v>1350</v>
      </c>
      <c r="AK6" s="4">
        <f t="shared" si="2"/>
        <v>8</v>
      </c>
      <c r="AL6" s="4">
        <f t="shared" si="2"/>
        <v>99999</v>
      </c>
      <c r="AM6" s="6">
        <f>1-S6/AJ6</f>
        <v>0.2407407407407407</v>
      </c>
      <c r="AN6" s="4" t="s">
        <v>53</v>
      </c>
      <c r="AO6" s="4" t="s">
        <v>67</v>
      </c>
      <c r="AP6" s="4"/>
      <c r="AQ6" s="4"/>
      <c r="AR6" s="4" t="s">
        <v>65</v>
      </c>
      <c r="AS6" s="4">
        <v>1617</v>
      </c>
      <c r="AT6" s="4">
        <v>1617</v>
      </c>
      <c r="AU6" s="4">
        <f t="shared" ref="AU6:AU8" si="9">IF(AP6="",AT6,AP6/AQ6*AT6)</f>
        <v>1617</v>
      </c>
      <c r="AV6" s="19">
        <v>4</v>
      </c>
      <c r="AW6" s="19">
        <v>1</v>
      </c>
      <c r="AX6" s="16">
        <v>18</v>
      </c>
      <c r="AY6">
        <v>1408</v>
      </c>
      <c r="AZ6">
        <v>1682</v>
      </c>
      <c r="BA6" s="4" t="s">
        <v>61</v>
      </c>
    </row>
    <row r="7" spans="1:53" x14ac:dyDescent="0.4">
      <c r="A7" s="3">
        <v>4</v>
      </c>
      <c r="B7" s="17">
        <v>538704</v>
      </c>
      <c r="C7" s="4" t="str">
        <f t="shared" si="4"/>
        <v>538704</v>
      </c>
      <c r="D7" s="4">
        <v>538704</v>
      </c>
      <c r="E7" s="4" t="s">
        <v>57</v>
      </c>
      <c r="F7" s="5">
        <v>4957470033136</v>
      </c>
      <c r="G7" s="5">
        <v>1</v>
      </c>
      <c r="H7" s="5">
        <v>1</v>
      </c>
      <c r="I7" s="4">
        <v>0</v>
      </c>
      <c r="J7" s="4">
        <v>2071</v>
      </c>
      <c r="K7" s="4">
        <v>1496</v>
      </c>
      <c r="L7" s="6">
        <f t="shared" si="0"/>
        <v>0.27764365041042971</v>
      </c>
      <c r="M7" s="4">
        <v>1744</v>
      </c>
      <c r="N7" s="4">
        <v>4</v>
      </c>
      <c r="O7" s="4">
        <v>99999</v>
      </c>
      <c r="P7" s="4">
        <v>0</v>
      </c>
      <c r="Q7" s="4">
        <f t="shared" si="5"/>
        <v>0</v>
      </c>
      <c r="R7" s="4">
        <v>1688</v>
      </c>
      <c r="S7" s="4">
        <f t="shared" si="6"/>
        <v>1688</v>
      </c>
      <c r="T7" s="4"/>
      <c r="U7" s="21">
        <f>ROUND(J7*AI7,0)</f>
        <v>2337</v>
      </c>
      <c r="V7" s="6">
        <f t="shared" si="8"/>
        <v>0.27770646127513909</v>
      </c>
      <c r="W7" s="4">
        <v>0.5</v>
      </c>
      <c r="X7" s="4">
        <f>AU7</f>
        <v>2317</v>
      </c>
      <c r="Y7" s="4">
        <f>X7*AI7</f>
        <v>2614.3689839572194</v>
      </c>
      <c r="Z7" s="6">
        <f>1-S7/Y7</f>
        <v>0.35433750539490727</v>
      </c>
      <c r="AA7" s="7">
        <v>2500</v>
      </c>
      <c r="AB7" s="6">
        <f>1-S7/AA7</f>
        <v>0.32479999999999998</v>
      </c>
      <c r="AC7" s="4">
        <f>AA7-S7</f>
        <v>812</v>
      </c>
      <c r="AD7" s="28"/>
      <c r="AE7" s="6"/>
      <c r="AF7" s="6"/>
      <c r="AG7" s="6" t="e">
        <f>Q7/I7</f>
        <v>#DIV/0!</v>
      </c>
      <c r="AH7" s="6">
        <f>AA7/J7</f>
        <v>1.2071463061323033</v>
      </c>
      <c r="AI7" s="6">
        <f>S7/K7</f>
        <v>1.1283422459893049</v>
      </c>
      <c r="AJ7" s="4">
        <v>2180</v>
      </c>
      <c r="AK7" s="4">
        <f t="shared" si="2"/>
        <v>4</v>
      </c>
      <c r="AL7" s="4">
        <f t="shared" si="2"/>
        <v>99999</v>
      </c>
      <c r="AM7" s="6">
        <f>1-S7/AJ7</f>
        <v>0.22568807339449537</v>
      </c>
      <c r="AN7" s="4" t="s">
        <v>53</v>
      </c>
      <c r="AO7" s="4" t="s">
        <v>68</v>
      </c>
      <c r="AP7" s="4"/>
      <c r="AQ7" s="4"/>
      <c r="AR7" s="4" t="s">
        <v>65</v>
      </c>
      <c r="AS7" s="4">
        <v>2317</v>
      </c>
      <c r="AT7" s="4">
        <v>2317</v>
      </c>
      <c r="AU7" s="4">
        <f t="shared" si="9"/>
        <v>2317</v>
      </c>
      <c r="AV7" s="19">
        <v>4</v>
      </c>
      <c r="AW7" s="19">
        <v>1</v>
      </c>
      <c r="AX7" s="16">
        <v>18</v>
      </c>
      <c r="AY7">
        <v>2235</v>
      </c>
      <c r="AZ7">
        <v>2632</v>
      </c>
      <c r="BA7" s="4" t="s">
        <v>62</v>
      </c>
    </row>
    <row r="8" spans="1:53" x14ac:dyDescent="0.4">
      <c r="A8" s="3">
        <v>5</v>
      </c>
      <c r="B8" s="17">
        <v>538713</v>
      </c>
      <c r="C8" s="4" t="str">
        <f t="shared" si="4"/>
        <v>538713</v>
      </c>
      <c r="D8" s="4">
        <v>538713</v>
      </c>
      <c r="E8" s="4" t="s">
        <v>58</v>
      </c>
      <c r="F8" s="5">
        <v>4957470033143</v>
      </c>
      <c r="G8" s="5">
        <v>1</v>
      </c>
      <c r="H8" s="5">
        <v>1</v>
      </c>
      <c r="I8" s="4">
        <v>0</v>
      </c>
      <c r="J8" s="4">
        <v>2703</v>
      </c>
      <c r="K8" s="4">
        <v>2036</v>
      </c>
      <c r="L8" s="6">
        <f t="shared" si="0"/>
        <v>0.2467628560858306</v>
      </c>
      <c r="M8" s="4">
        <v>2230</v>
      </c>
      <c r="N8" s="4">
        <v>4</v>
      </c>
      <c r="O8" s="4">
        <v>99999</v>
      </c>
      <c r="P8" s="4">
        <v>0</v>
      </c>
      <c r="Q8" s="4">
        <f t="shared" si="5"/>
        <v>0</v>
      </c>
      <c r="R8" s="4">
        <v>2297</v>
      </c>
      <c r="S8" s="4">
        <f t="shared" si="6"/>
        <v>2297</v>
      </c>
      <c r="T8" s="4"/>
      <c r="U8" s="21">
        <f>ROUND(J8*AI8,0)</f>
        <v>3050</v>
      </c>
      <c r="V8" s="6">
        <f t="shared" si="8"/>
        <v>0.24688524590163929</v>
      </c>
      <c r="W8" s="4">
        <v>1.7500000000000002</v>
      </c>
      <c r="X8" s="4">
        <f>AU8</f>
        <v>2846</v>
      </c>
      <c r="Y8" s="4">
        <f>X8*AI8</f>
        <v>3210.8359528487226</v>
      </c>
      <c r="Z8" s="6">
        <f>1-S8/Y8</f>
        <v>0.28460997891777928</v>
      </c>
      <c r="AA8" s="7">
        <v>3200</v>
      </c>
      <c r="AB8" s="6">
        <f>1-S8/AA8</f>
        <v>0.28218750000000004</v>
      </c>
      <c r="AC8" s="4">
        <f>AA8-S8</f>
        <v>903</v>
      </c>
      <c r="AD8" s="28"/>
      <c r="AE8" s="6"/>
      <c r="AF8" s="6"/>
      <c r="AG8" s="6" t="e">
        <f>Q8/I8</f>
        <v>#DIV/0!</v>
      </c>
      <c r="AH8" s="6">
        <f>AA8/J8</f>
        <v>1.1838697743248243</v>
      </c>
      <c r="AI8" s="6">
        <f>S8/K8</f>
        <v>1.1281925343811394</v>
      </c>
      <c r="AJ8" s="4">
        <v>2980</v>
      </c>
      <c r="AK8" s="4">
        <f t="shared" si="2"/>
        <v>4</v>
      </c>
      <c r="AL8" s="4">
        <f t="shared" si="2"/>
        <v>99999</v>
      </c>
      <c r="AM8" s="6">
        <f>1-S8/AJ8</f>
        <v>0.22919463087248326</v>
      </c>
      <c r="AN8" s="4" t="s">
        <v>53</v>
      </c>
      <c r="AO8" s="4" t="s">
        <v>69</v>
      </c>
      <c r="AP8" s="4"/>
      <c r="AQ8" s="4"/>
      <c r="AR8" s="4" t="s">
        <v>65</v>
      </c>
      <c r="AS8" s="4">
        <v>2846</v>
      </c>
      <c r="AT8" s="4">
        <v>2846</v>
      </c>
      <c r="AU8" s="4">
        <f t="shared" si="9"/>
        <v>2846</v>
      </c>
      <c r="AV8" s="19">
        <v>4</v>
      </c>
      <c r="AW8" s="19">
        <v>1</v>
      </c>
      <c r="AX8" s="16">
        <v>18</v>
      </c>
      <c r="AY8">
        <v>2846</v>
      </c>
      <c r="AZ8">
        <v>3591</v>
      </c>
      <c r="BA8" s="4" t="s">
        <v>63</v>
      </c>
    </row>
  </sheetData>
  <autoFilter ref="B3:AX8" xr:uid="{7A1660CF-9003-4B2D-B659-7F339ED5B476}"/>
  <mergeCells count="3">
    <mergeCell ref="I2:L2"/>
    <mergeCell ref="G2:H2"/>
    <mergeCell ref="P1:S1"/>
  </mergeCells>
  <phoneticPr fontId="2"/>
  <conditionalFormatting sqref="X4:X8">
    <cfRule type="cellIs" dxfId="1" priority="2" operator="lessThan">
      <formula>$U4</formula>
    </cfRule>
  </conditionalFormatting>
  <conditionalFormatting sqref="AA4:AA8">
    <cfRule type="cellIs" dxfId="0" priority="1" operator="greaterThan">
      <formula>$Q4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2026-05-14T10:21:22Z</dcterms:modified>
</cp:coreProperties>
</file>