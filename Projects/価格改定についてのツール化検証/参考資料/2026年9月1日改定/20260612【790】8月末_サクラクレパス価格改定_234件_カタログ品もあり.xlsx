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ｻ_サクラクレパス_790\価格改定\20260612_8月末\"/>
    </mc:Choice>
  </mc:AlternateContent>
  <xr:revisionPtr revIDLastSave="0" documentId="13_ncr:1_{C4854ED4-F187-48E2-9506-EE05817466E7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Sheet1!$A$3:$BD$248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24" i="1" l="1"/>
  <c r="AM16" i="1"/>
  <c r="AM14" i="1"/>
  <c r="AM8" i="1"/>
  <c r="AV110" i="1"/>
  <c r="AA110" i="1" s="1"/>
  <c r="AM5" i="1"/>
  <c r="AN5" i="1"/>
  <c r="AO5" i="1"/>
  <c r="AM6" i="1"/>
  <c r="AN6" i="1"/>
  <c r="AO6" i="1"/>
  <c r="AM7" i="1"/>
  <c r="AN7" i="1"/>
  <c r="AO7" i="1"/>
  <c r="AM20" i="1"/>
  <c r="AN20" i="1"/>
  <c r="AO20" i="1"/>
  <c r="AM21" i="1"/>
  <c r="AN21" i="1"/>
  <c r="AO21" i="1"/>
  <c r="AN24" i="1"/>
  <c r="AO24" i="1"/>
  <c r="AN8" i="1"/>
  <c r="AO8" i="1"/>
  <c r="AM9" i="1"/>
  <c r="AN9" i="1"/>
  <c r="AO9" i="1"/>
  <c r="AM10" i="1"/>
  <c r="AN10" i="1"/>
  <c r="AO10" i="1"/>
  <c r="AM11" i="1"/>
  <c r="AN11" i="1"/>
  <c r="AO11" i="1"/>
  <c r="AM12" i="1"/>
  <c r="AN12" i="1"/>
  <c r="AO12" i="1"/>
  <c r="AM13" i="1"/>
  <c r="AN13" i="1"/>
  <c r="AO13" i="1"/>
  <c r="AN14" i="1"/>
  <c r="AO14" i="1"/>
  <c r="AM15" i="1"/>
  <c r="AN15" i="1"/>
  <c r="AO15" i="1"/>
  <c r="AN16" i="1"/>
  <c r="AO16" i="1"/>
  <c r="AM17" i="1"/>
  <c r="AN17" i="1"/>
  <c r="AO17" i="1"/>
  <c r="AM18" i="1"/>
  <c r="AN18" i="1"/>
  <c r="AO18" i="1"/>
  <c r="AM19" i="1"/>
  <c r="AN19" i="1"/>
  <c r="AO19" i="1"/>
  <c r="AM22" i="1"/>
  <c r="AN22" i="1"/>
  <c r="AO22" i="1"/>
  <c r="AM23" i="1"/>
  <c r="AN23" i="1"/>
  <c r="AO23" i="1"/>
  <c r="AM25" i="1"/>
  <c r="AN25" i="1"/>
  <c r="AO25" i="1"/>
  <c r="AM26" i="1"/>
  <c r="AN26" i="1"/>
  <c r="AO26" i="1"/>
  <c r="AM27" i="1"/>
  <c r="AN27" i="1"/>
  <c r="AO27" i="1"/>
  <c r="AM28" i="1"/>
  <c r="AN28" i="1"/>
  <c r="AO28" i="1"/>
  <c r="AM29" i="1"/>
  <c r="AN29" i="1"/>
  <c r="AO29" i="1"/>
  <c r="AM30" i="1"/>
  <c r="AN30" i="1"/>
  <c r="AO30" i="1"/>
  <c r="AM31" i="1"/>
  <c r="AN31" i="1"/>
  <c r="AO31" i="1"/>
  <c r="AM32" i="1"/>
  <c r="AN32" i="1"/>
  <c r="AO32" i="1"/>
  <c r="AM33" i="1"/>
  <c r="AN33" i="1"/>
  <c r="AO33" i="1"/>
  <c r="AM34" i="1"/>
  <c r="AN34" i="1"/>
  <c r="AO34" i="1"/>
  <c r="AM35" i="1"/>
  <c r="AN35" i="1"/>
  <c r="AO35" i="1"/>
  <c r="AM36" i="1"/>
  <c r="AN36" i="1"/>
  <c r="AO36" i="1"/>
  <c r="AM37" i="1"/>
  <c r="AN37" i="1"/>
  <c r="AO37" i="1"/>
  <c r="AM38" i="1"/>
  <c r="AN38" i="1"/>
  <c r="AO38" i="1"/>
  <c r="AM39" i="1"/>
  <c r="AN39" i="1"/>
  <c r="AO39" i="1"/>
  <c r="AM40" i="1"/>
  <c r="AN40" i="1"/>
  <c r="AO40" i="1"/>
  <c r="AM41" i="1"/>
  <c r="AN41" i="1"/>
  <c r="AO41" i="1"/>
  <c r="AM42" i="1"/>
  <c r="AN42" i="1"/>
  <c r="AO42" i="1"/>
  <c r="AM43" i="1"/>
  <c r="AN43" i="1"/>
  <c r="AO43" i="1"/>
  <c r="AM44" i="1"/>
  <c r="AN44" i="1"/>
  <c r="AO44" i="1"/>
  <c r="AM45" i="1"/>
  <c r="AN45" i="1"/>
  <c r="AO45" i="1"/>
  <c r="AM46" i="1"/>
  <c r="AN46" i="1"/>
  <c r="AO46" i="1"/>
  <c r="AM47" i="1"/>
  <c r="AN47" i="1"/>
  <c r="AO47" i="1"/>
  <c r="AM48" i="1"/>
  <c r="AN48" i="1"/>
  <c r="AO48" i="1"/>
  <c r="AM49" i="1"/>
  <c r="AN49" i="1"/>
  <c r="AO49" i="1"/>
  <c r="AM50" i="1"/>
  <c r="AN50" i="1"/>
  <c r="AO50" i="1"/>
  <c r="AM51" i="1"/>
  <c r="AN51" i="1"/>
  <c r="AO51" i="1"/>
  <c r="AM52" i="1"/>
  <c r="AN52" i="1"/>
  <c r="AO52" i="1"/>
  <c r="AM53" i="1"/>
  <c r="AN53" i="1"/>
  <c r="AO53" i="1"/>
  <c r="AM54" i="1"/>
  <c r="AN54" i="1"/>
  <c r="AO54" i="1"/>
  <c r="AM55" i="1"/>
  <c r="AN55" i="1"/>
  <c r="AO55" i="1"/>
  <c r="AM56" i="1"/>
  <c r="AN56" i="1"/>
  <c r="AO56" i="1"/>
  <c r="AM57" i="1"/>
  <c r="AN57" i="1"/>
  <c r="AO57" i="1"/>
  <c r="AM58" i="1"/>
  <c r="AN58" i="1"/>
  <c r="AO58" i="1"/>
  <c r="AM59" i="1"/>
  <c r="AN59" i="1"/>
  <c r="AO59" i="1"/>
  <c r="AM60" i="1"/>
  <c r="AN60" i="1"/>
  <c r="AO60" i="1"/>
  <c r="AM61" i="1"/>
  <c r="AN61" i="1"/>
  <c r="AO61" i="1"/>
  <c r="AM62" i="1"/>
  <c r="AN62" i="1"/>
  <c r="AO62" i="1"/>
  <c r="AM63" i="1"/>
  <c r="AN63" i="1"/>
  <c r="AO63" i="1"/>
  <c r="AM64" i="1"/>
  <c r="AN64" i="1"/>
  <c r="AO64" i="1"/>
  <c r="AM65" i="1"/>
  <c r="AN65" i="1"/>
  <c r="AO65" i="1"/>
  <c r="AM66" i="1"/>
  <c r="AN66" i="1"/>
  <c r="AO66" i="1"/>
  <c r="AM67" i="1"/>
  <c r="AN67" i="1"/>
  <c r="AO67" i="1"/>
  <c r="AM68" i="1"/>
  <c r="AN68" i="1"/>
  <c r="AO68" i="1"/>
  <c r="AM69" i="1"/>
  <c r="AN69" i="1"/>
  <c r="AO69" i="1"/>
  <c r="AM70" i="1"/>
  <c r="AN70" i="1"/>
  <c r="AO70" i="1"/>
  <c r="AM71" i="1"/>
  <c r="AN71" i="1"/>
  <c r="AO71" i="1"/>
  <c r="AM72" i="1"/>
  <c r="AN72" i="1"/>
  <c r="AO72" i="1"/>
  <c r="AM73" i="1"/>
  <c r="AN73" i="1"/>
  <c r="AO73" i="1"/>
  <c r="AM74" i="1"/>
  <c r="AN74" i="1"/>
  <c r="AO74" i="1"/>
  <c r="AM75" i="1"/>
  <c r="AN75" i="1"/>
  <c r="AO75" i="1"/>
  <c r="AM76" i="1"/>
  <c r="AN76" i="1"/>
  <c r="AO76" i="1"/>
  <c r="AM77" i="1"/>
  <c r="AN77" i="1"/>
  <c r="AO77" i="1"/>
  <c r="AM78" i="1"/>
  <c r="AN78" i="1"/>
  <c r="AO78" i="1"/>
  <c r="AM79" i="1"/>
  <c r="AN79" i="1"/>
  <c r="AO79" i="1"/>
  <c r="AM80" i="1"/>
  <c r="AN80" i="1"/>
  <c r="AO80" i="1"/>
  <c r="AM81" i="1"/>
  <c r="AN81" i="1"/>
  <c r="AO81" i="1"/>
  <c r="AM82" i="1"/>
  <c r="AN82" i="1"/>
  <c r="AO82" i="1"/>
  <c r="AM83" i="1"/>
  <c r="AN83" i="1"/>
  <c r="AO83" i="1"/>
  <c r="AM84" i="1"/>
  <c r="AN84" i="1"/>
  <c r="AO84" i="1"/>
  <c r="AM85" i="1"/>
  <c r="AN85" i="1"/>
  <c r="AO85" i="1"/>
  <c r="AM86" i="1"/>
  <c r="AN86" i="1"/>
  <c r="AO86" i="1"/>
  <c r="AM87" i="1"/>
  <c r="AN87" i="1"/>
  <c r="AO87" i="1"/>
  <c r="AM88" i="1"/>
  <c r="AN88" i="1"/>
  <c r="AO88" i="1"/>
  <c r="AM89" i="1"/>
  <c r="AN89" i="1"/>
  <c r="AO89" i="1"/>
  <c r="AM90" i="1"/>
  <c r="AN90" i="1"/>
  <c r="AO90" i="1"/>
  <c r="AM91" i="1"/>
  <c r="AN91" i="1"/>
  <c r="AO91" i="1"/>
  <c r="AM92" i="1"/>
  <c r="AN92" i="1"/>
  <c r="AO92" i="1"/>
  <c r="AM93" i="1"/>
  <c r="AN93" i="1"/>
  <c r="AO93" i="1"/>
  <c r="AM94" i="1"/>
  <c r="AN94" i="1"/>
  <c r="AO94" i="1"/>
  <c r="AM95" i="1"/>
  <c r="AN95" i="1"/>
  <c r="AO95" i="1"/>
  <c r="AM96" i="1"/>
  <c r="AN96" i="1"/>
  <c r="AO96" i="1"/>
  <c r="AM97" i="1"/>
  <c r="AN97" i="1"/>
  <c r="AO97" i="1"/>
  <c r="AM98" i="1"/>
  <c r="AN98" i="1"/>
  <c r="AO98" i="1"/>
  <c r="AM99" i="1"/>
  <c r="AN99" i="1"/>
  <c r="AO99" i="1"/>
  <c r="AM100" i="1"/>
  <c r="AN100" i="1"/>
  <c r="AO100" i="1"/>
  <c r="AM101" i="1"/>
  <c r="AN101" i="1"/>
  <c r="AO101" i="1"/>
  <c r="AM102" i="1"/>
  <c r="AN102" i="1"/>
  <c r="AO102" i="1"/>
  <c r="AM103" i="1"/>
  <c r="AN103" i="1"/>
  <c r="AO103" i="1"/>
  <c r="AM104" i="1"/>
  <c r="AN104" i="1"/>
  <c r="AO104" i="1"/>
  <c r="AM105" i="1"/>
  <c r="AN105" i="1"/>
  <c r="AO105" i="1"/>
  <c r="AM106" i="1"/>
  <c r="AN106" i="1"/>
  <c r="AO106" i="1"/>
  <c r="AM107" i="1"/>
  <c r="AN107" i="1"/>
  <c r="AO107" i="1"/>
  <c r="AM108" i="1"/>
  <c r="AN108" i="1"/>
  <c r="AO108" i="1"/>
  <c r="AM109" i="1"/>
  <c r="AN109" i="1"/>
  <c r="AO109" i="1"/>
  <c r="AM110" i="1"/>
  <c r="AN110" i="1"/>
  <c r="AO110" i="1"/>
  <c r="AM111" i="1"/>
  <c r="AN111" i="1"/>
  <c r="AO111" i="1"/>
  <c r="AM112" i="1"/>
  <c r="AN112" i="1"/>
  <c r="AO112" i="1"/>
  <c r="AM113" i="1"/>
  <c r="AN113" i="1"/>
  <c r="AO113" i="1"/>
  <c r="AM114" i="1"/>
  <c r="AN114" i="1"/>
  <c r="AO114" i="1"/>
  <c r="AM115" i="1"/>
  <c r="AN115" i="1"/>
  <c r="AO115" i="1"/>
  <c r="AM116" i="1"/>
  <c r="AN116" i="1"/>
  <c r="AO116" i="1"/>
  <c r="AM117" i="1"/>
  <c r="AN117" i="1"/>
  <c r="AO117" i="1"/>
  <c r="AM118" i="1"/>
  <c r="AN118" i="1"/>
  <c r="AO118" i="1"/>
  <c r="AM119" i="1"/>
  <c r="AN119" i="1"/>
  <c r="AO119" i="1"/>
  <c r="AM120" i="1"/>
  <c r="AN120" i="1"/>
  <c r="AO120" i="1"/>
  <c r="AM121" i="1"/>
  <c r="AN121" i="1"/>
  <c r="AO121" i="1"/>
  <c r="AM122" i="1"/>
  <c r="AN122" i="1"/>
  <c r="AO122" i="1"/>
  <c r="AM123" i="1"/>
  <c r="AN123" i="1"/>
  <c r="AO123" i="1"/>
  <c r="AM124" i="1"/>
  <c r="AN124" i="1"/>
  <c r="AO124" i="1"/>
  <c r="AM125" i="1"/>
  <c r="AN125" i="1"/>
  <c r="AO125" i="1"/>
  <c r="AM126" i="1"/>
  <c r="AN126" i="1"/>
  <c r="AO126" i="1"/>
  <c r="AM127" i="1"/>
  <c r="AN127" i="1"/>
  <c r="AO127" i="1"/>
  <c r="AM128" i="1"/>
  <c r="AN128" i="1"/>
  <c r="AO128" i="1"/>
  <c r="AM129" i="1"/>
  <c r="AN129" i="1"/>
  <c r="AO129" i="1"/>
  <c r="AM130" i="1"/>
  <c r="AN130" i="1"/>
  <c r="AO130" i="1"/>
  <c r="AM131" i="1"/>
  <c r="AN131" i="1"/>
  <c r="AO131" i="1"/>
  <c r="AM132" i="1"/>
  <c r="AN132" i="1"/>
  <c r="AO132" i="1"/>
  <c r="AM133" i="1"/>
  <c r="AN133" i="1"/>
  <c r="AO133" i="1"/>
  <c r="AM134" i="1"/>
  <c r="AN134" i="1"/>
  <c r="AO134" i="1"/>
  <c r="AM135" i="1"/>
  <c r="AN135" i="1"/>
  <c r="AO135" i="1"/>
  <c r="AM136" i="1"/>
  <c r="AN136" i="1"/>
  <c r="AO136" i="1"/>
  <c r="AM137" i="1"/>
  <c r="AN137" i="1"/>
  <c r="AO137" i="1"/>
  <c r="AM138" i="1"/>
  <c r="AN138" i="1"/>
  <c r="AO138" i="1"/>
  <c r="AM139" i="1"/>
  <c r="AN139" i="1"/>
  <c r="AO139" i="1"/>
  <c r="AM140" i="1"/>
  <c r="AN140" i="1"/>
  <c r="AO140" i="1"/>
  <c r="AM141" i="1"/>
  <c r="AN141" i="1"/>
  <c r="AO141" i="1"/>
  <c r="AM142" i="1"/>
  <c r="AN142" i="1"/>
  <c r="AO142" i="1"/>
  <c r="AM143" i="1"/>
  <c r="AN143" i="1"/>
  <c r="AO143" i="1"/>
  <c r="AM144" i="1"/>
  <c r="AN144" i="1"/>
  <c r="AO144" i="1"/>
  <c r="AM145" i="1"/>
  <c r="AN145" i="1"/>
  <c r="AO145" i="1"/>
  <c r="AM146" i="1"/>
  <c r="AN146" i="1"/>
  <c r="AO146" i="1"/>
  <c r="AM147" i="1"/>
  <c r="AN147" i="1"/>
  <c r="AO147" i="1"/>
  <c r="AM148" i="1"/>
  <c r="AN148" i="1"/>
  <c r="AO148" i="1"/>
  <c r="AM149" i="1"/>
  <c r="AN149" i="1"/>
  <c r="AO149" i="1"/>
  <c r="AM150" i="1"/>
  <c r="AN150" i="1"/>
  <c r="AO150" i="1"/>
  <c r="AM151" i="1"/>
  <c r="AN151" i="1"/>
  <c r="AO151" i="1"/>
  <c r="AM152" i="1"/>
  <c r="AN152" i="1"/>
  <c r="AO152" i="1"/>
  <c r="AM153" i="1"/>
  <c r="AN153" i="1"/>
  <c r="AO153" i="1"/>
  <c r="AM154" i="1"/>
  <c r="AN154" i="1"/>
  <c r="AO154" i="1"/>
  <c r="AM155" i="1"/>
  <c r="AN155" i="1"/>
  <c r="AO155" i="1"/>
  <c r="AM156" i="1"/>
  <c r="AN156" i="1"/>
  <c r="AO156" i="1"/>
  <c r="AM157" i="1"/>
  <c r="AN157" i="1"/>
  <c r="AO157" i="1"/>
  <c r="AM158" i="1"/>
  <c r="AN158" i="1"/>
  <c r="AO158" i="1"/>
  <c r="AM159" i="1"/>
  <c r="AN159" i="1"/>
  <c r="AO159" i="1"/>
  <c r="AM160" i="1"/>
  <c r="AN160" i="1"/>
  <c r="AO160" i="1"/>
  <c r="AM161" i="1"/>
  <c r="AN161" i="1"/>
  <c r="AO161" i="1"/>
  <c r="AM162" i="1"/>
  <c r="AN162" i="1"/>
  <c r="AO162" i="1"/>
  <c r="AM163" i="1"/>
  <c r="AN163" i="1"/>
  <c r="AO163" i="1"/>
  <c r="AM164" i="1"/>
  <c r="AN164" i="1"/>
  <c r="AO164" i="1"/>
  <c r="AM165" i="1"/>
  <c r="AN165" i="1"/>
  <c r="AO165" i="1"/>
  <c r="AM166" i="1"/>
  <c r="AN166" i="1"/>
  <c r="AO166" i="1"/>
  <c r="AM167" i="1"/>
  <c r="AN167" i="1"/>
  <c r="AO167" i="1"/>
  <c r="AM168" i="1"/>
  <c r="AN168" i="1"/>
  <c r="AO168" i="1"/>
  <c r="AM169" i="1"/>
  <c r="AN169" i="1"/>
  <c r="AO169" i="1"/>
  <c r="AM170" i="1"/>
  <c r="AN170" i="1"/>
  <c r="AO170" i="1"/>
  <c r="AM171" i="1"/>
  <c r="AN171" i="1"/>
  <c r="AO171" i="1"/>
  <c r="AM172" i="1"/>
  <c r="AN172" i="1"/>
  <c r="AO172" i="1"/>
  <c r="AM173" i="1"/>
  <c r="AN173" i="1"/>
  <c r="AO173" i="1"/>
  <c r="AM174" i="1"/>
  <c r="AN174" i="1"/>
  <c r="AO174" i="1"/>
  <c r="AM175" i="1"/>
  <c r="AN175" i="1"/>
  <c r="AO175" i="1"/>
  <c r="AM176" i="1"/>
  <c r="AN176" i="1"/>
  <c r="AO176" i="1"/>
  <c r="AM177" i="1"/>
  <c r="AN177" i="1"/>
  <c r="AO177" i="1"/>
  <c r="AM178" i="1"/>
  <c r="AN178" i="1"/>
  <c r="AO178" i="1"/>
  <c r="AM179" i="1"/>
  <c r="AN179" i="1"/>
  <c r="AO179" i="1"/>
  <c r="AM180" i="1"/>
  <c r="AN180" i="1"/>
  <c r="AO180" i="1"/>
  <c r="AM181" i="1"/>
  <c r="AN181" i="1"/>
  <c r="AO181" i="1"/>
  <c r="AM182" i="1"/>
  <c r="AN182" i="1"/>
  <c r="AO182" i="1"/>
  <c r="AM183" i="1"/>
  <c r="AN183" i="1"/>
  <c r="AO183" i="1"/>
  <c r="AM184" i="1"/>
  <c r="AN184" i="1"/>
  <c r="AO184" i="1"/>
  <c r="AM185" i="1"/>
  <c r="AN185" i="1"/>
  <c r="AO185" i="1"/>
  <c r="AM186" i="1"/>
  <c r="AN186" i="1"/>
  <c r="AO186" i="1"/>
  <c r="AM187" i="1"/>
  <c r="AN187" i="1"/>
  <c r="AO187" i="1"/>
  <c r="AM188" i="1"/>
  <c r="AN188" i="1"/>
  <c r="AO188" i="1"/>
  <c r="AM189" i="1"/>
  <c r="AN189" i="1"/>
  <c r="AO189" i="1"/>
  <c r="AM190" i="1"/>
  <c r="AN190" i="1"/>
  <c r="AO190" i="1"/>
  <c r="AM191" i="1"/>
  <c r="AN191" i="1"/>
  <c r="AO191" i="1"/>
  <c r="AM192" i="1"/>
  <c r="AN192" i="1"/>
  <c r="AO192" i="1"/>
  <c r="AM193" i="1"/>
  <c r="AN193" i="1"/>
  <c r="AO193" i="1"/>
  <c r="AM194" i="1"/>
  <c r="AN194" i="1"/>
  <c r="AO194" i="1"/>
  <c r="AM195" i="1"/>
  <c r="AN195" i="1"/>
  <c r="AO195" i="1"/>
  <c r="AM196" i="1"/>
  <c r="AN196" i="1"/>
  <c r="AO196" i="1"/>
  <c r="AM197" i="1"/>
  <c r="AN197" i="1"/>
  <c r="AO197" i="1"/>
  <c r="AM198" i="1"/>
  <c r="AN198" i="1"/>
  <c r="AO198" i="1"/>
  <c r="AM199" i="1"/>
  <c r="AN199" i="1"/>
  <c r="AO199" i="1"/>
  <c r="AM200" i="1"/>
  <c r="AN200" i="1"/>
  <c r="AO200" i="1"/>
  <c r="AM201" i="1"/>
  <c r="AN201" i="1"/>
  <c r="AO201" i="1"/>
  <c r="AM202" i="1"/>
  <c r="AN202" i="1"/>
  <c r="AO202" i="1"/>
  <c r="AM203" i="1"/>
  <c r="AN203" i="1"/>
  <c r="AO203" i="1"/>
  <c r="AM204" i="1"/>
  <c r="AN204" i="1"/>
  <c r="AO204" i="1"/>
  <c r="AM205" i="1"/>
  <c r="AN205" i="1"/>
  <c r="AO205" i="1"/>
  <c r="AM206" i="1"/>
  <c r="AN206" i="1"/>
  <c r="AO206" i="1"/>
  <c r="AM207" i="1"/>
  <c r="AN207" i="1"/>
  <c r="AO207" i="1"/>
  <c r="AM208" i="1"/>
  <c r="AN208" i="1"/>
  <c r="AO208" i="1"/>
  <c r="AM209" i="1"/>
  <c r="AN209" i="1"/>
  <c r="AO209" i="1"/>
  <c r="AM210" i="1"/>
  <c r="AN210" i="1"/>
  <c r="AO210" i="1"/>
  <c r="AM211" i="1"/>
  <c r="AN211" i="1"/>
  <c r="AO211" i="1"/>
  <c r="AM212" i="1"/>
  <c r="AN212" i="1"/>
  <c r="AO212" i="1"/>
  <c r="AM213" i="1"/>
  <c r="AN213" i="1"/>
  <c r="AO213" i="1"/>
  <c r="AM214" i="1"/>
  <c r="AN214" i="1"/>
  <c r="AO214" i="1"/>
  <c r="AM215" i="1"/>
  <c r="AN215" i="1"/>
  <c r="AO215" i="1"/>
  <c r="AM216" i="1"/>
  <c r="AN216" i="1"/>
  <c r="AO216" i="1"/>
  <c r="AM217" i="1"/>
  <c r="AN217" i="1"/>
  <c r="AO217" i="1"/>
  <c r="AM218" i="1"/>
  <c r="AN218" i="1"/>
  <c r="AO218" i="1"/>
  <c r="AM219" i="1"/>
  <c r="AN219" i="1"/>
  <c r="AO219" i="1"/>
  <c r="AM220" i="1"/>
  <c r="AN220" i="1"/>
  <c r="AO220" i="1"/>
  <c r="AM221" i="1"/>
  <c r="AN221" i="1"/>
  <c r="AO221" i="1"/>
  <c r="AM222" i="1"/>
  <c r="AN222" i="1"/>
  <c r="AO222" i="1"/>
  <c r="AM223" i="1"/>
  <c r="AN223" i="1"/>
  <c r="AO223" i="1"/>
  <c r="AM224" i="1"/>
  <c r="AN224" i="1"/>
  <c r="AO224" i="1"/>
  <c r="AM225" i="1"/>
  <c r="AN225" i="1"/>
  <c r="AO225" i="1"/>
  <c r="AM226" i="1"/>
  <c r="AN226" i="1"/>
  <c r="AO226" i="1"/>
  <c r="AM227" i="1"/>
  <c r="AN227" i="1"/>
  <c r="AO227" i="1"/>
  <c r="AM228" i="1"/>
  <c r="AN228" i="1"/>
  <c r="AO228" i="1"/>
  <c r="AM229" i="1"/>
  <c r="AN229" i="1"/>
  <c r="AO229" i="1"/>
  <c r="AM230" i="1"/>
  <c r="AN230" i="1"/>
  <c r="AO230" i="1"/>
  <c r="AM231" i="1"/>
  <c r="AN231" i="1"/>
  <c r="AO231" i="1"/>
  <c r="AM232" i="1"/>
  <c r="AN232" i="1"/>
  <c r="AO232" i="1"/>
  <c r="AM233" i="1"/>
  <c r="AN233" i="1"/>
  <c r="AO233" i="1"/>
  <c r="AM234" i="1"/>
  <c r="AN234" i="1"/>
  <c r="AO234" i="1"/>
  <c r="AM235" i="1"/>
  <c r="AN235" i="1"/>
  <c r="AO235" i="1"/>
  <c r="AM236" i="1"/>
  <c r="AN236" i="1"/>
  <c r="AO236" i="1"/>
  <c r="AM237" i="1"/>
  <c r="AN237" i="1"/>
  <c r="AO237" i="1"/>
  <c r="AM238" i="1"/>
  <c r="AN238" i="1"/>
  <c r="AO238" i="1"/>
  <c r="AM239" i="1"/>
  <c r="AN239" i="1"/>
  <c r="AO239" i="1"/>
  <c r="AM240" i="1"/>
  <c r="AN240" i="1"/>
  <c r="AO240" i="1"/>
  <c r="AM241" i="1"/>
  <c r="AN241" i="1"/>
  <c r="AO241" i="1"/>
  <c r="AM242" i="1"/>
  <c r="AN242" i="1"/>
  <c r="AO242" i="1"/>
  <c r="AM243" i="1"/>
  <c r="AN243" i="1"/>
  <c r="AO243" i="1"/>
  <c r="AM244" i="1"/>
  <c r="AN244" i="1"/>
  <c r="AO244" i="1"/>
  <c r="AM245" i="1"/>
  <c r="AN245" i="1"/>
  <c r="AO245" i="1"/>
  <c r="AM246" i="1"/>
  <c r="AN246" i="1"/>
  <c r="AO246" i="1"/>
  <c r="AM247" i="1"/>
  <c r="AN247" i="1"/>
  <c r="AO247" i="1"/>
  <c r="AM248" i="1"/>
  <c r="AN248" i="1"/>
  <c r="AO248" i="1"/>
  <c r="AO4" i="1"/>
  <c r="AN4" i="1"/>
  <c r="AM4" i="1"/>
  <c r="T113" i="1"/>
  <c r="AJ113" i="1" s="1"/>
  <c r="T110" i="1"/>
  <c r="AJ110" i="1" s="1"/>
  <c r="T107" i="1"/>
  <c r="AJ107" i="1" s="1"/>
  <c r="T30" i="1"/>
  <c r="AJ30" i="1" s="1"/>
  <c r="T28" i="1"/>
  <c r="AJ28" i="1" s="1"/>
  <c r="T26" i="1"/>
  <c r="AJ26" i="1" s="1"/>
  <c r="T199" i="1"/>
  <c r="T214" i="1"/>
  <c r="T236" i="1"/>
  <c r="T80" i="1"/>
  <c r="T21" i="1"/>
  <c r="O107" i="1"/>
  <c r="O110" i="1"/>
  <c r="I80" i="1"/>
  <c r="I236" i="1"/>
  <c r="I214" i="1"/>
  <c r="I199" i="1"/>
  <c r="I26" i="1"/>
  <c r="I28" i="1"/>
  <c r="I30" i="1"/>
  <c r="I107" i="1"/>
  <c r="I110" i="1"/>
  <c r="I113" i="1"/>
  <c r="I21" i="1"/>
  <c r="AV113" i="1"/>
  <c r="AA113" i="1" s="1"/>
  <c r="AK113" i="1"/>
  <c r="V113" i="1"/>
  <c r="AL113" i="1" s="1"/>
  <c r="O113" i="1"/>
  <c r="D113" i="1"/>
  <c r="AK110" i="1"/>
  <c r="V110" i="1"/>
  <c r="D110" i="1"/>
  <c r="AV107" i="1"/>
  <c r="AA107" i="1" s="1"/>
  <c r="AK107" i="1"/>
  <c r="V107" i="1"/>
  <c r="D107" i="1"/>
  <c r="AV30" i="1"/>
  <c r="AA30" i="1" s="1"/>
  <c r="AK30" i="1"/>
  <c r="V30" i="1"/>
  <c r="AL30" i="1" s="1"/>
  <c r="O30" i="1"/>
  <c r="D30" i="1"/>
  <c r="AV28" i="1"/>
  <c r="AA28" i="1" s="1"/>
  <c r="AK28" i="1"/>
  <c r="V28" i="1"/>
  <c r="AL28" i="1" s="1"/>
  <c r="X28" i="1" s="1"/>
  <c r="Y28" i="1" s="1"/>
  <c r="O28" i="1"/>
  <c r="D28" i="1"/>
  <c r="AV26" i="1"/>
  <c r="AA26" i="1" s="1"/>
  <c r="AK26" i="1"/>
  <c r="V26" i="1"/>
  <c r="AL26" i="1" s="1"/>
  <c r="X26" i="1" s="1"/>
  <c r="Y26" i="1" s="1"/>
  <c r="O26" i="1"/>
  <c r="D26" i="1"/>
  <c r="X30" i="1" l="1"/>
  <c r="BA30" i="1"/>
  <c r="BC30" i="1"/>
  <c r="X113" i="1"/>
  <c r="Y113" i="1" s="1"/>
  <c r="BC113" i="1"/>
  <c r="BA113" i="1"/>
  <c r="BC28" i="1"/>
  <c r="BA28" i="1"/>
  <c r="BC26" i="1"/>
  <c r="BA26" i="1"/>
  <c r="AL110" i="1"/>
  <c r="AL107" i="1"/>
  <c r="AE26" i="1"/>
  <c r="AF26" i="1"/>
  <c r="AE110" i="1"/>
  <c r="AE28" i="1"/>
  <c r="AE30" i="1"/>
  <c r="AF30" i="1"/>
  <c r="AE107" i="1"/>
  <c r="AB26" i="1"/>
  <c r="AC26" i="1" s="1"/>
  <c r="AF107" i="1"/>
  <c r="AF28" i="1"/>
  <c r="AF110" i="1"/>
  <c r="AE113" i="1"/>
  <c r="AB28" i="1"/>
  <c r="AC28" i="1" s="1"/>
  <c r="AB30" i="1"/>
  <c r="AC30" i="1" s="1"/>
  <c r="AB113" i="1"/>
  <c r="AC113" i="1" s="1"/>
  <c r="AF113" i="1"/>
  <c r="Y30" i="1"/>
  <c r="O41" i="1"/>
  <c r="O45" i="1"/>
  <c r="O49" i="1"/>
  <c r="AK52" i="1"/>
  <c r="O52" i="1"/>
  <c r="O57" i="1"/>
  <c r="AK114" i="1"/>
  <c r="O114" i="1"/>
  <c r="O116" i="1"/>
  <c r="AK119" i="1"/>
  <c r="O120" i="1"/>
  <c r="AK123" i="1"/>
  <c r="O124" i="1"/>
  <c r="AK126" i="1"/>
  <c r="O126" i="1"/>
  <c r="AK127" i="1"/>
  <c r="O127" i="1"/>
  <c r="AK128" i="1"/>
  <c r="O129" i="1"/>
  <c r="AK149" i="1"/>
  <c r="O73" i="1"/>
  <c r="O74" i="1"/>
  <c r="AK75" i="1"/>
  <c r="O76" i="1"/>
  <c r="O194" i="1"/>
  <c r="AK60" i="1"/>
  <c r="O62" i="1"/>
  <c r="AK63" i="1"/>
  <c r="O77" i="1"/>
  <c r="O65" i="1"/>
  <c r="AK66" i="1"/>
  <c r="O86" i="1"/>
  <c r="AK68" i="1"/>
  <c r="O69" i="1"/>
  <c r="AV199" i="1"/>
  <c r="AA199" i="1" s="1"/>
  <c r="AK199" i="1"/>
  <c r="V199" i="1"/>
  <c r="AE199" i="1" s="1"/>
  <c r="AJ199" i="1"/>
  <c r="O199" i="1"/>
  <c r="D199" i="1"/>
  <c r="AV214" i="1"/>
  <c r="AA214" i="1" s="1"/>
  <c r="AK214" i="1"/>
  <c r="V214" i="1"/>
  <c r="AF214" i="1" s="1"/>
  <c r="AJ214" i="1"/>
  <c r="O214" i="1"/>
  <c r="D214" i="1"/>
  <c r="AV236" i="1"/>
  <c r="AA236" i="1" s="1"/>
  <c r="AK236" i="1"/>
  <c r="V236" i="1"/>
  <c r="AJ236" i="1"/>
  <c r="O236" i="1"/>
  <c r="D236" i="1"/>
  <c r="AV80" i="1"/>
  <c r="AA80" i="1" s="1"/>
  <c r="AK80" i="1"/>
  <c r="V80" i="1"/>
  <c r="AE80" i="1" s="1"/>
  <c r="AJ80" i="1"/>
  <c r="O80" i="1"/>
  <c r="D80" i="1"/>
  <c r="AV21" i="1"/>
  <c r="AA21" i="1" s="1"/>
  <c r="AK21" i="1"/>
  <c r="V21" i="1"/>
  <c r="AL21" i="1" s="1"/>
  <c r="AJ21" i="1"/>
  <c r="O21" i="1"/>
  <c r="D21" i="1"/>
  <c r="AV72" i="1"/>
  <c r="AA72" i="1" s="1"/>
  <c r="AK72" i="1"/>
  <c r="V72" i="1"/>
  <c r="AF72" i="1" s="1"/>
  <c r="T72" i="1"/>
  <c r="D72" i="1"/>
  <c r="AV71" i="1"/>
  <c r="AA71" i="1" s="1"/>
  <c r="AK71" i="1"/>
  <c r="V71" i="1"/>
  <c r="AF71" i="1" s="1"/>
  <c r="T71" i="1"/>
  <c r="AJ71" i="1" s="1"/>
  <c r="D71" i="1"/>
  <c r="AV70" i="1"/>
  <c r="AA70" i="1" s="1"/>
  <c r="AK70" i="1"/>
  <c r="V70" i="1"/>
  <c r="AF70" i="1" s="1"/>
  <c r="T70" i="1"/>
  <c r="O70" i="1"/>
  <c r="D70" i="1"/>
  <c r="AV69" i="1"/>
  <c r="AA69" i="1" s="1"/>
  <c r="V69" i="1"/>
  <c r="AL69" i="1" s="1"/>
  <c r="T69" i="1"/>
  <c r="AJ69" i="1" s="1"/>
  <c r="D69" i="1"/>
  <c r="AV68" i="1"/>
  <c r="AA68" i="1" s="1"/>
  <c r="V68" i="1"/>
  <c r="AF68" i="1" s="1"/>
  <c r="T68" i="1"/>
  <c r="AJ68" i="1" s="1"/>
  <c r="D68" i="1"/>
  <c r="AV86" i="1"/>
  <c r="AA86" i="1" s="1"/>
  <c r="AK86" i="1"/>
  <c r="V86" i="1"/>
  <c r="AL86" i="1" s="1"/>
  <c r="T86" i="1"/>
  <c r="AJ86" i="1" s="1"/>
  <c r="D86" i="1"/>
  <c r="AV67" i="1"/>
  <c r="AA67" i="1" s="1"/>
  <c r="AK67" i="1"/>
  <c r="V67" i="1"/>
  <c r="T67" i="1"/>
  <c r="O67" i="1"/>
  <c r="D67" i="1"/>
  <c r="AV66" i="1"/>
  <c r="AA66" i="1" s="1"/>
  <c r="V66" i="1"/>
  <c r="AE66" i="1" s="1"/>
  <c r="T66" i="1"/>
  <c r="O66" i="1"/>
  <c r="D66" i="1"/>
  <c r="AV65" i="1"/>
  <c r="AA65" i="1" s="1"/>
  <c r="AK65" i="1"/>
  <c r="V65" i="1"/>
  <c r="AF65" i="1" s="1"/>
  <c r="T65" i="1"/>
  <c r="AJ65" i="1" s="1"/>
  <c r="D65" i="1"/>
  <c r="AV64" i="1"/>
  <c r="AA64" i="1" s="1"/>
  <c r="AK64" i="1"/>
  <c r="V64" i="1"/>
  <c r="AL64" i="1" s="1"/>
  <c r="T64" i="1"/>
  <c r="AJ64" i="1" s="1"/>
  <c r="O64" i="1"/>
  <c r="D64" i="1"/>
  <c r="AV130" i="1"/>
  <c r="AA130" i="1" s="1"/>
  <c r="AK130" i="1"/>
  <c r="V130" i="1"/>
  <c r="AF130" i="1" s="1"/>
  <c r="T130" i="1"/>
  <c r="O130" i="1"/>
  <c r="D130" i="1"/>
  <c r="AV77" i="1"/>
  <c r="AA77" i="1" s="1"/>
  <c r="V77" i="1"/>
  <c r="T77" i="1"/>
  <c r="AJ77" i="1" s="1"/>
  <c r="D77" i="1"/>
  <c r="AV63" i="1"/>
  <c r="AA63" i="1" s="1"/>
  <c r="V63" i="1"/>
  <c r="AF63" i="1" s="1"/>
  <c r="T63" i="1"/>
  <c r="AJ63" i="1" s="1"/>
  <c r="D63" i="1"/>
  <c r="AV62" i="1"/>
  <c r="AA62" i="1" s="1"/>
  <c r="AK62" i="1"/>
  <c r="V62" i="1"/>
  <c r="T62" i="1"/>
  <c r="AJ62" i="1" s="1"/>
  <c r="D62" i="1"/>
  <c r="AV61" i="1"/>
  <c r="AA61" i="1" s="1"/>
  <c r="AK61" i="1"/>
  <c r="V61" i="1"/>
  <c r="AL61" i="1" s="1"/>
  <c r="T61" i="1"/>
  <c r="O61" i="1"/>
  <c r="D61" i="1"/>
  <c r="AV60" i="1"/>
  <c r="AA60" i="1" s="1"/>
  <c r="V60" i="1"/>
  <c r="T60" i="1"/>
  <c r="O60" i="1"/>
  <c r="D60" i="1"/>
  <c r="AV194" i="1"/>
  <c r="AA194" i="1" s="1"/>
  <c r="AK194" i="1"/>
  <c r="V194" i="1"/>
  <c r="AL194" i="1" s="1"/>
  <c r="T194" i="1"/>
  <c r="AJ194" i="1" s="1"/>
  <c r="D194" i="1"/>
  <c r="AV193" i="1"/>
  <c r="AA193" i="1" s="1"/>
  <c r="AK193" i="1"/>
  <c r="V193" i="1"/>
  <c r="AL193" i="1" s="1"/>
  <c r="T193" i="1"/>
  <c r="AJ193" i="1" s="1"/>
  <c r="O193" i="1"/>
  <c r="D193" i="1"/>
  <c r="AV192" i="1"/>
  <c r="AA192" i="1" s="1"/>
  <c r="AK192" i="1"/>
  <c r="V192" i="1"/>
  <c r="AF192" i="1" s="1"/>
  <c r="T192" i="1"/>
  <c r="O192" i="1"/>
  <c r="D192" i="1"/>
  <c r="AV76" i="1"/>
  <c r="AA76" i="1" s="1"/>
  <c r="V76" i="1"/>
  <c r="AL76" i="1" s="1"/>
  <c r="T76" i="1"/>
  <c r="AJ76" i="1" s="1"/>
  <c r="D76" i="1"/>
  <c r="AV75" i="1"/>
  <c r="AA75" i="1" s="1"/>
  <c r="V75" i="1"/>
  <c r="AF75" i="1" s="1"/>
  <c r="T75" i="1"/>
  <c r="AJ75" i="1" s="1"/>
  <c r="D75" i="1"/>
  <c r="AV191" i="1"/>
  <c r="AA191" i="1" s="1"/>
  <c r="AK191" i="1"/>
  <c r="V191" i="1"/>
  <c r="AF191" i="1" s="1"/>
  <c r="T191" i="1"/>
  <c r="AJ191" i="1" s="1"/>
  <c r="O191" i="1"/>
  <c r="D191" i="1"/>
  <c r="AV74" i="1"/>
  <c r="AA74" i="1" s="1"/>
  <c r="AK74" i="1"/>
  <c r="V74" i="1"/>
  <c r="T74" i="1"/>
  <c r="D74" i="1"/>
  <c r="AV73" i="1"/>
  <c r="AA73" i="1" s="1"/>
  <c r="V73" i="1"/>
  <c r="T73" i="1"/>
  <c r="AJ73" i="1" s="1"/>
  <c r="D73" i="1"/>
  <c r="AV149" i="1"/>
  <c r="AA149" i="1" s="1"/>
  <c r="V149" i="1"/>
  <c r="AL149" i="1" s="1"/>
  <c r="T149" i="1"/>
  <c r="AJ149" i="1" s="1"/>
  <c r="O149" i="1"/>
  <c r="D149" i="1"/>
  <c r="AV152" i="1"/>
  <c r="AA152" i="1" s="1"/>
  <c r="AK152" i="1"/>
  <c r="V152" i="1"/>
  <c r="T152" i="1"/>
  <c r="AJ152" i="1" s="1"/>
  <c r="O152" i="1"/>
  <c r="D152" i="1"/>
  <c r="AV129" i="1"/>
  <c r="AA129" i="1" s="1"/>
  <c r="AK129" i="1"/>
  <c r="V129" i="1"/>
  <c r="AE129" i="1" s="1"/>
  <c r="T129" i="1"/>
  <c r="D129" i="1"/>
  <c r="AV128" i="1"/>
  <c r="AA128" i="1" s="1"/>
  <c r="V128" i="1"/>
  <c r="AL128" i="1" s="1"/>
  <c r="T128" i="1"/>
  <c r="AJ128" i="1" s="1"/>
  <c r="D128" i="1"/>
  <c r="AV127" i="1"/>
  <c r="AA127" i="1" s="1"/>
  <c r="V127" i="1"/>
  <c r="AE127" i="1" s="1"/>
  <c r="T127" i="1"/>
  <c r="AJ127" i="1" s="1"/>
  <c r="D127" i="1"/>
  <c r="AV126" i="1"/>
  <c r="AA126" i="1" s="1"/>
  <c r="V126" i="1"/>
  <c r="AL126" i="1" s="1"/>
  <c r="T126" i="1"/>
  <c r="AJ126" i="1" s="1"/>
  <c r="D126" i="1"/>
  <c r="AV125" i="1"/>
  <c r="AA125" i="1" s="1"/>
  <c r="AK125" i="1"/>
  <c r="V125" i="1"/>
  <c r="AL125" i="1" s="1"/>
  <c r="T125" i="1"/>
  <c r="O125" i="1"/>
  <c r="D125" i="1"/>
  <c r="AV124" i="1"/>
  <c r="AA124" i="1" s="1"/>
  <c r="V124" i="1"/>
  <c r="AL124" i="1" s="1"/>
  <c r="T124" i="1"/>
  <c r="AJ124" i="1" s="1"/>
  <c r="D124" i="1"/>
  <c r="AV123" i="1"/>
  <c r="AA123" i="1" s="1"/>
  <c r="V123" i="1"/>
  <c r="AL123" i="1" s="1"/>
  <c r="T123" i="1"/>
  <c r="AJ123" i="1" s="1"/>
  <c r="D123" i="1"/>
  <c r="AV122" i="1"/>
  <c r="AA122" i="1" s="1"/>
  <c r="AK122" i="1"/>
  <c r="V122" i="1"/>
  <c r="AL122" i="1" s="1"/>
  <c r="T122" i="1"/>
  <c r="AJ122" i="1" s="1"/>
  <c r="O122" i="1"/>
  <c r="D122" i="1"/>
  <c r="AV121" i="1"/>
  <c r="AA121" i="1" s="1"/>
  <c r="AK121" i="1"/>
  <c r="V121" i="1"/>
  <c r="AL121" i="1" s="1"/>
  <c r="T121" i="1"/>
  <c r="O121" i="1"/>
  <c r="D121" i="1"/>
  <c r="AV120" i="1"/>
  <c r="AA120" i="1" s="1"/>
  <c r="AK120" i="1"/>
  <c r="V120" i="1"/>
  <c r="AL120" i="1" s="1"/>
  <c r="T120" i="1"/>
  <c r="AJ120" i="1" s="1"/>
  <c r="D120" i="1"/>
  <c r="AV119" i="1"/>
  <c r="AA119" i="1" s="1"/>
  <c r="V119" i="1"/>
  <c r="AE119" i="1" s="1"/>
  <c r="T119" i="1"/>
  <c r="AJ119" i="1" s="1"/>
  <c r="D119" i="1"/>
  <c r="AV118" i="1"/>
  <c r="AA118" i="1" s="1"/>
  <c r="AK118" i="1"/>
  <c r="V118" i="1"/>
  <c r="T118" i="1"/>
  <c r="AJ118" i="1" s="1"/>
  <c r="O118" i="1"/>
  <c r="D118" i="1"/>
  <c r="AV117" i="1"/>
  <c r="AA117" i="1" s="1"/>
  <c r="AK117" i="1"/>
  <c r="V117" i="1"/>
  <c r="AE117" i="1" s="1"/>
  <c r="T117" i="1"/>
  <c r="O117" i="1"/>
  <c r="D117" i="1"/>
  <c r="AV116" i="1"/>
  <c r="AA116" i="1" s="1"/>
  <c r="V116" i="1"/>
  <c r="AF116" i="1" s="1"/>
  <c r="T116" i="1"/>
  <c r="D116" i="1"/>
  <c r="AV115" i="1"/>
  <c r="AA115" i="1" s="1"/>
  <c r="AK115" i="1"/>
  <c r="V115" i="1"/>
  <c r="AF115" i="1" s="1"/>
  <c r="T115" i="1"/>
  <c r="AJ115" i="1" s="1"/>
  <c r="O115" i="1"/>
  <c r="D115" i="1"/>
  <c r="AV114" i="1"/>
  <c r="AA114" i="1" s="1"/>
  <c r="V114" i="1"/>
  <c r="AL114" i="1" s="1"/>
  <c r="T114" i="1"/>
  <c r="AJ114" i="1" s="1"/>
  <c r="D114" i="1"/>
  <c r="AV59" i="1"/>
  <c r="AA59" i="1" s="1"/>
  <c r="AK59" i="1"/>
  <c r="V59" i="1"/>
  <c r="T59" i="1"/>
  <c r="AJ59" i="1" s="1"/>
  <c r="O59" i="1"/>
  <c r="D59" i="1"/>
  <c r="AV58" i="1"/>
  <c r="AA58" i="1" s="1"/>
  <c r="AK58" i="1"/>
  <c r="V58" i="1"/>
  <c r="T58" i="1"/>
  <c r="O58" i="1"/>
  <c r="D58" i="1"/>
  <c r="AV57" i="1"/>
  <c r="AA57" i="1" s="1"/>
  <c r="AK57" i="1"/>
  <c r="V57" i="1"/>
  <c r="AE57" i="1" s="1"/>
  <c r="T57" i="1"/>
  <c r="AJ57" i="1" s="1"/>
  <c r="D57" i="1"/>
  <c r="AV56" i="1"/>
  <c r="AA56" i="1" s="1"/>
  <c r="AK56" i="1"/>
  <c r="V56" i="1"/>
  <c r="AL56" i="1" s="1"/>
  <c r="T56" i="1"/>
  <c r="AJ56" i="1" s="1"/>
  <c r="O56" i="1"/>
  <c r="D56" i="1"/>
  <c r="AV55" i="1"/>
  <c r="AA55" i="1" s="1"/>
  <c r="AK55" i="1"/>
  <c r="V55" i="1"/>
  <c r="AF55" i="1" s="1"/>
  <c r="T55" i="1"/>
  <c r="AJ55" i="1" s="1"/>
  <c r="O55" i="1"/>
  <c r="D55" i="1"/>
  <c r="AV54" i="1"/>
  <c r="AA54" i="1" s="1"/>
  <c r="AK54" i="1"/>
  <c r="V54" i="1"/>
  <c r="AL54" i="1" s="1"/>
  <c r="T54" i="1"/>
  <c r="O54" i="1"/>
  <c r="D54" i="1"/>
  <c r="AV53" i="1"/>
  <c r="AA53" i="1" s="1"/>
  <c r="AK53" i="1"/>
  <c r="V53" i="1"/>
  <c r="AL53" i="1" s="1"/>
  <c r="T53" i="1"/>
  <c r="AJ53" i="1" s="1"/>
  <c r="O53" i="1"/>
  <c r="D53" i="1"/>
  <c r="AV52" i="1"/>
  <c r="AA52" i="1" s="1"/>
  <c r="V52" i="1"/>
  <c r="AE52" i="1" s="1"/>
  <c r="T52" i="1"/>
  <c r="AJ52" i="1" s="1"/>
  <c r="D52" i="1"/>
  <c r="AV51" i="1"/>
  <c r="AA51" i="1" s="1"/>
  <c r="AK51" i="1"/>
  <c r="V51" i="1"/>
  <c r="AF51" i="1" s="1"/>
  <c r="T51" i="1"/>
  <c r="AJ51" i="1" s="1"/>
  <c r="O51" i="1"/>
  <c r="D51" i="1"/>
  <c r="AV50" i="1"/>
  <c r="AA50" i="1" s="1"/>
  <c r="AK50" i="1"/>
  <c r="V50" i="1"/>
  <c r="AL50" i="1" s="1"/>
  <c r="T50" i="1"/>
  <c r="O50" i="1"/>
  <c r="D50" i="1"/>
  <c r="AV49" i="1"/>
  <c r="AA49" i="1" s="1"/>
  <c r="AK49" i="1"/>
  <c r="V49" i="1"/>
  <c r="AL49" i="1" s="1"/>
  <c r="T49" i="1"/>
  <c r="AJ49" i="1" s="1"/>
  <c r="D49" i="1"/>
  <c r="AV48" i="1"/>
  <c r="AA48" i="1" s="1"/>
  <c r="AK48" i="1"/>
  <c r="V48" i="1"/>
  <c r="AL48" i="1" s="1"/>
  <c r="T48" i="1"/>
  <c r="AJ48" i="1" s="1"/>
  <c r="O48" i="1"/>
  <c r="D48" i="1"/>
  <c r="AV47" i="1"/>
  <c r="AA47" i="1" s="1"/>
  <c r="AK47" i="1"/>
  <c r="V47" i="1"/>
  <c r="AE47" i="1" s="1"/>
  <c r="T47" i="1"/>
  <c r="AJ47" i="1" s="1"/>
  <c r="O47" i="1"/>
  <c r="D47" i="1"/>
  <c r="AV46" i="1"/>
  <c r="AA46" i="1" s="1"/>
  <c r="AK46" i="1"/>
  <c r="V46" i="1"/>
  <c r="AL46" i="1" s="1"/>
  <c r="T46" i="1"/>
  <c r="O46" i="1"/>
  <c r="D46" i="1"/>
  <c r="AV45" i="1"/>
  <c r="AA45" i="1" s="1"/>
  <c r="AK45" i="1"/>
  <c r="V45" i="1"/>
  <c r="T45" i="1"/>
  <c r="AJ45" i="1" s="1"/>
  <c r="D45" i="1"/>
  <c r="AV44" i="1"/>
  <c r="AA44" i="1" s="1"/>
  <c r="AK44" i="1"/>
  <c r="V44" i="1"/>
  <c r="T44" i="1"/>
  <c r="AJ44" i="1" s="1"/>
  <c r="D44" i="1"/>
  <c r="AV43" i="1"/>
  <c r="AA43" i="1" s="1"/>
  <c r="AK43" i="1"/>
  <c r="V43" i="1"/>
  <c r="AE43" i="1" s="1"/>
  <c r="T43" i="1"/>
  <c r="AJ43" i="1" s="1"/>
  <c r="O43" i="1"/>
  <c r="D43" i="1"/>
  <c r="AV42" i="1"/>
  <c r="AA42" i="1" s="1"/>
  <c r="AK42" i="1"/>
  <c r="V42" i="1"/>
  <c r="AL42" i="1" s="1"/>
  <c r="T42" i="1"/>
  <c r="O42" i="1"/>
  <c r="D42" i="1"/>
  <c r="AV41" i="1"/>
  <c r="AA41" i="1" s="1"/>
  <c r="AK41" i="1"/>
  <c r="V41" i="1"/>
  <c r="AF41" i="1" s="1"/>
  <c r="T41" i="1"/>
  <c r="AJ41" i="1" s="1"/>
  <c r="D41" i="1"/>
  <c r="AV40" i="1"/>
  <c r="AA40" i="1" s="1"/>
  <c r="AK40" i="1"/>
  <c r="V40" i="1"/>
  <c r="AL40" i="1" s="1"/>
  <c r="T40" i="1"/>
  <c r="AJ40" i="1" s="1"/>
  <c r="O40" i="1"/>
  <c r="D40" i="1"/>
  <c r="AV39" i="1"/>
  <c r="AA39" i="1" s="1"/>
  <c r="AK39" i="1"/>
  <c r="V39" i="1"/>
  <c r="T39" i="1"/>
  <c r="AJ39" i="1" s="1"/>
  <c r="O39" i="1"/>
  <c r="D39" i="1"/>
  <c r="AV38" i="1"/>
  <c r="AA38" i="1" s="1"/>
  <c r="AK38" i="1"/>
  <c r="V38" i="1"/>
  <c r="AL38" i="1" s="1"/>
  <c r="T38" i="1"/>
  <c r="AJ38" i="1" s="1"/>
  <c r="O38" i="1"/>
  <c r="D38" i="1"/>
  <c r="AV161" i="1"/>
  <c r="AA161" i="1" s="1"/>
  <c r="AK161" i="1"/>
  <c r="V161" i="1"/>
  <c r="AL161" i="1" s="1"/>
  <c r="T161" i="1"/>
  <c r="AJ161" i="1" s="1"/>
  <c r="O161" i="1"/>
  <c r="D161" i="1"/>
  <c r="AV160" i="1"/>
  <c r="AA160" i="1" s="1"/>
  <c r="AK160" i="1"/>
  <c r="V160" i="1"/>
  <c r="AF160" i="1" s="1"/>
  <c r="T160" i="1"/>
  <c r="AJ160" i="1" s="1"/>
  <c r="O160" i="1"/>
  <c r="D160" i="1"/>
  <c r="AV159" i="1"/>
  <c r="AA159" i="1" s="1"/>
  <c r="AK159" i="1"/>
  <c r="V159" i="1"/>
  <c r="T159" i="1"/>
  <c r="AJ159" i="1" s="1"/>
  <c r="O159" i="1"/>
  <c r="D159" i="1"/>
  <c r="AV158" i="1"/>
  <c r="AA158" i="1" s="1"/>
  <c r="AK158" i="1"/>
  <c r="V158" i="1"/>
  <c r="AL158" i="1" s="1"/>
  <c r="T158" i="1"/>
  <c r="AJ158" i="1" s="1"/>
  <c r="O158" i="1"/>
  <c r="D158" i="1"/>
  <c r="AV157" i="1"/>
  <c r="AA157" i="1" s="1"/>
  <c r="AK157" i="1"/>
  <c r="V157" i="1"/>
  <c r="AF157" i="1" s="1"/>
  <c r="T157" i="1"/>
  <c r="AJ157" i="1" s="1"/>
  <c r="O157" i="1"/>
  <c r="D157" i="1"/>
  <c r="AV156" i="1"/>
  <c r="AA156" i="1" s="1"/>
  <c r="AK156" i="1"/>
  <c r="V156" i="1"/>
  <c r="AL156" i="1" s="1"/>
  <c r="T156" i="1"/>
  <c r="AJ156" i="1" s="1"/>
  <c r="O156" i="1"/>
  <c r="D156" i="1"/>
  <c r="AV155" i="1"/>
  <c r="AA155" i="1" s="1"/>
  <c r="AK155" i="1"/>
  <c r="V155" i="1"/>
  <c r="T155" i="1"/>
  <c r="AJ155" i="1" s="1"/>
  <c r="O155" i="1"/>
  <c r="D155" i="1"/>
  <c r="AV151" i="1"/>
  <c r="AA151" i="1" s="1"/>
  <c r="AK151" i="1"/>
  <c r="V151" i="1"/>
  <c r="AE151" i="1" s="1"/>
  <c r="T151" i="1"/>
  <c r="AJ151" i="1" s="1"/>
  <c r="O151" i="1"/>
  <c r="D151" i="1"/>
  <c r="AV162" i="1"/>
  <c r="AA162" i="1" s="1"/>
  <c r="AK162" i="1"/>
  <c r="V162" i="1"/>
  <c r="AL162" i="1" s="1"/>
  <c r="T162" i="1"/>
  <c r="AJ162" i="1" s="1"/>
  <c r="O162" i="1"/>
  <c r="D162" i="1"/>
  <c r="AV148" i="1"/>
  <c r="AA148" i="1" s="1"/>
  <c r="AK148" i="1"/>
  <c r="V148" i="1"/>
  <c r="T148" i="1"/>
  <c r="AJ148" i="1" s="1"/>
  <c r="O148" i="1"/>
  <c r="D148" i="1"/>
  <c r="AV147" i="1"/>
  <c r="AA147" i="1" s="1"/>
  <c r="AK147" i="1"/>
  <c r="V147" i="1"/>
  <c r="AF147" i="1" s="1"/>
  <c r="T147" i="1"/>
  <c r="AJ147" i="1" s="1"/>
  <c r="O147" i="1"/>
  <c r="D147" i="1"/>
  <c r="AV146" i="1"/>
  <c r="AA146" i="1" s="1"/>
  <c r="AK146" i="1"/>
  <c r="V146" i="1"/>
  <c r="AE146" i="1" s="1"/>
  <c r="T146" i="1"/>
  <c r="AJ146" i="1" s="1"/>
  <c r="O146" i="1"/>
  <c r="D146" i="1"/>
  <c r="AV145" i="1"/>
  <c r="AA145" i="1" s="1"/>
  <c r="AK145" i="1"/>
  <c r="V145" i="1"/>
  <c r="AL145" i="1" s="1"/>
  <c r="T145" i="1"/>
  <c r="AJ145" i="1" s="1"/>
  <c r="O145" i="1"/>
  <c r="D145" i="1"/>
  <c r="AV175" i="1"/>
  <c r="AA175" i="1" s="1"/>
  <c r="AK175" i="1"/>
  <c r="V175" i="1"/>
  <c r="T175" i="1"/>
  <c r="AJ175" i="1" s="1"/>
  <c r="O175" i="1"/>
  <c r="D175" i="1"/>
  <c r="AV174" i="1"/>
  <c r="AA174" i="1" s="1"/>
  <c r="AK174" i="1"/>
  <c r="V174" i="1"/>
  <c r="AF174" i="1" s="1"/>
  <c r="T174" i="1"/>
  <c r="AJ174" i="1" s="1"/>
  <c r="O174" i="1"/>
  <c r="D174" i="1"/>
  <c r="AV179" i="1"/>
  <c r="AA179" i="1" s="1"/>
  <c r="AK179" i="1"/>
  <c r="V179" i="1"/>
  <c r="AL179" i="1" s="1"/>
  <c r="T179" i="1"/>
  <c r="AJ179" i="1" s="1"/>
  <c r="O179" i="1"/>
  <c r="D179" i="1"/>
  <c r="AV173" i="1"/>
  <c r="AA173" i="1" s="1"/>
  <c r="AK173" i="1"/>
  <c r="V173" i="1"/>
  <c r="AL173" i="1" s="1"/>
  <c r="T173" i="1"/>
  <c r="AJ173" i="1" s="1"/>
  <c r="O173" i="1"/>
  <c r="D173" i="1"/>
  <c r="AV168" i="1"/>
  <c r="AA168" i="1" s="1"/>
  <c r="AK168" i="1"/>
  <c r="V168" i="1"/>
  <c r="AL168" i="1" s="1"/>
  <c r="T168" i="1"/>
  <c r="AJ168" i="1" s="1"/>
  <c r="O168" i="1"/>
  <c r="D168" i="1"/>
  <c r="AV166" i="1"/>
  <c r="AA166" i="1" s="1"/>
  <c r="AK166" i="1"/>
  <c r="V166" i="1"/>
  <c r="AL166" i="1" s="1"/>
  <c r="T166" i="1"/>
  <c r="AJ166" i="1" s="1"/>
  <c r="O166" i="1"/>
  <c r="D166" i="1"/>
  <c r="AV178" i="1"/>
  <c r="AA178" i="1" s="1"/>
  <c r="AK178" i="1"/>
  <c r="V178" i="1"/>
  <c r="AL178" i="1" s="1"/>
  <c r="T178" i="1"/>
  <c r="AJ178" i="1" s="1"/>
  <c r="O178" i="1"/>
  <c r="D178" i="1"/>
  <c r="AV172" i="1"/>
  <c r="AA172" i="1" s="1"/>
  <c r="AK172" i="1"/>
  <c r="V172" i="1"/>
  <c r="AL172" i="1" s="1"/>
  <c r="T172" i="1"/>
  <c r="AJ172" i="1" s="1"/>
  <c r="O172" i="1"/>
  <c r="D172" i="1"/>
  <c r="AV167" i="1"/>
  <c r="AA167" i="1" s="1"/>
  <c r="AK167" i="1"/>
  <c r="V167" i="1"/>
  <c r="AL167" i="1" s="1"/>
  <c r="T167" i="1"/>
  <c r="AJ167" i="1" s="1"/>
  <c r="O167" i="1"/>
  <c r="D167" i="1"/>
  <c r="AV165" i="1"/>
  <c r="AA165" i="1" s="1"/>
  <c r="AK165" i="1"/>
  <c r="V165" i="1"/>
  <c r="AL165" i="1" s="1"/>
  <c r="T165" i="1"/>
  <c r="AJ165" i="1" s="1"/>
  <c r="O165" i="1"/>
  <c r="D165" i="1"/>
  <c r="AV164" i="1"/>
  <c r="AA164" i="1" s="1"/>
  <c r="AK164" i="1"/>
  <c r="V164" i="1"/>
  <c r="AL164" i="1" s="1"/>
  <c r="T164" i="1"/>
  <c r="AJ164" i="1" s="1"/>
  <c r="O164" i="1"/>
  <c r="D164" i="1"/>
  <c r="AV163" i="1"/>
  <c r="AA163" i="1" s="1"/>
  <c r="AK163" i="1"/>
  <c r="V163" i="1"/>
  <c r="T163" i="1"/>
  <c r="AJ163" i="1" s="1"/>
  <c r="O163" i="1"/>
  <c r="D163" i="1"/>
  <c r="AV144" i="1"/>
  <c r="AA144" i="1" s="1"/>
  <c r="AK144" i="1"/>
  <c r="V144" i="1"/>
  <c r="T144" i="1"/>
  <c r="AJ144" i="1" s="1"/>
  <c r="O144" i="1"/>
  <c r="D144" i="1"/>
  <c r="AV143" i="1"/>
  <c r="AA143" i="1" s="1"/>
  <c r="AK143" i="1"/>
  <c r="V143" i="1"/>
  <c r="T143" i="1"/>
  <c r="AJ143" i="1" s="1"/>
  <c r="O143" i="1"/>
  <c r="D143" i="1"/>
  <c r="AV142" i="1"/>
  <c r="AA142" i="1" s="1"/>
  <c r="AK142" i="1"/>
  <c r="V142" i="1"/>
  <c r="T142" i="1"/>
  <c r="AJ142" i="1" s="1"/>
  <c r="O142" i="1"/>
  <c r="D142" i="1"/>
  <c r="AV141" i="1"/>
  <c r="AA141" i="1" s="1"/>
  <c r="AK141" i="1"/>
  <c r="V141" i="1"/>
  <c r="AE141" i="1" s="1"/>
  <c r="T141" i="1"/>
  <c r="AJ141" i="1" s="1"/>
  <c r="O141" i="1"/>
  <c r="D141" i="1"/>
  <c r="AV140" i="1"/>
  <c r="AA140" i="1" s="1"/>
  <c r="AK140" i="1"/>
  <c r="V140" i="1"/>
  <c r="AL140" i="1" s="1"/>
  <c r="T140" i="1"/>
  <c r="AJ140" i="1" s="1"/>
  <c r="O140" i="1"/>
  <c r="D140" i="1"/>
  <c r="AV139" i="1"/>
  <c r="AA139" i="1" s="1"/>
  <c r="AK139" i="1"/>
  <c r="V139" i="1"/>
  <c r="AL139" i="1" s="1"/>
  <c r="T139" i="1"/>
  <c r="AJ139" i="1" s="1"/>
  <c r="O139" i="1"/>
  <c r="D139" i="1"/>
  <c r="AV138" i="1"/>
  <c r="AA138" i="1" s="1"/>
  <c r="AK138" i="1"/>
  <c r="V138" i="1"/>
  <c r="AL138" i="1" s="1"/>
  <c r="T138" i="1"/>
  <c r="AJ138" i="1" s="1"/>
  <c r="O138" i="1"/>
  <c r="D138" i="1"/>
  <c r="AV137" i="1"/>
  <c r="AA137" i="1" s="1"/>
  <c r="AK137" i="1"/>
  <c r="V137" i="1"/>
  <c r="AL137" i="1" s="1"/>
  <c r="T137" i="1"/>
  <c r="AJ137" i="1" s="1"/>
  <c r="O137" i="1"/>
  <c r="D137" i="1"/>
  <c r="AV136" i="1"/>
  <c r="AA136" i="1" s="1"/>
  <c r="AK136" i="1"/>
  <c r="V136" i="1"/>
  <c r="AL136" i="1" s="1"/>
  <c r="T136" i="1"/>
  <c r="AJ136" i="1" s="1"/>
  <c r="O136" i="1"/>
  <c r="D136" i="1"/>
  <c r="AV135" i="1"/>
  <c r="AA135" i="1" s="1"/>
  <c r="AK135" i="1"/>
  <c r="V135" i="1"/>
  <c r="AL135" i="1" s="1"/>
  <c r="T135" i="1"/>
  <c r="AJ135" i="1" s="1"/>
  <c r="O135" i="1"/>
  <c r="D135" i="1"/>
  <c r="AV134" i="1"/>
  <c r="AA134" i="1" s="1"/>
  <c r="AK134" i="1"/>
  <c r="V134" i="1"/>
  <c r="AL134" i="1" s="1"/>
  <c r="T134" i="1"/>
  <c r="AJ134" i="1" s="1"/>
  <c r="O134" i="1"/>
  <c r="D134" i="1"/>
  <c r="AV133" i="1"/>
  <c r="AA133" i="1" s="1"/>
  <c r="AK133" i="1"/>
  <c r="V133" i="1"/>
  <c r="T133" i="1"/>
  <c r="AJ133" i="1" s="1"/>
  <c r="O133" i="1"/>
  <c r="D133" i="1"/>
  <c r="AV239" i="1"/>
  <c r="AA239" i="1" s="1"/>
  <c r="AK239" i="1"/>
  <c r="V239" i="1"/>
  <c r="T239" i="1"/>
  <c r="AJ239" i="1" s="1"/>
  <c r="O239" i="1"/>
  <c r="D239" i="1"/>
  <c r="AV232" i="1"/>
  <c r="AA232" i="1" s="1"/>
  <c r="AK232" i="1"/>
  <c r="V232" i="1"/>
  <c r="AL232" i="1" s="1"/>
  <c r="T232" i="1"/>
  <c r="AJ232" i="1" s="1"/>
  <c r="O232" i="1"/>
  <c r="D232" i="1"/>
  <c r="AV225" i="1"/>
  <c r="AA225" i="1" s="1"/>
  <c r="AK225" i="1"/>
  <c r="V225" i="1"/>
  <c r="AL225" i="1" s="1"/>
  <c r="T225" i="1"/>
  <c r="AJ225" i="1" s="1"/>
  <c r="O225" i="1"/>
  <c r="D225" i="1"/>
  <c r="AV226" i="1"/>
  <c r="AA226" i="1" s="1"/>
  <c r="AK226" i="1"/>
  <c r="V226" i="1"/>
  <c r="AL226" i="1" s="1"/>
  <c r="T226" i="1"/>
  <c r="AJ226" i="1" s="1"/>
  <c r="O226" i="1"/>
  <c r="D226" i="1"/>
  <c r="AV224" i="1"/>
  <c r="AA224" i="1" s="1"/>
  <c r="AK224" i="1"/>
  <c r="V224" i="1"/>
  <c r="AL224" i="1" s="1"/>
  <c r="T224" i="1"/>
  <c r="AJ224" i="1" s="1"/>
  <c r="O224" i="1"/>
  <c r="D224" i="1"/>
  <c r="AV207" i="1"/>
  <c r="AA207" i="1" s="1"/>
  <c r="AK207" i="1"/>
  <c r="V207" i="1"/>
  <c r="AE207" i="1" s="1"/>
  <c r="T207" i="1"/>
  <c r="AJ207" i="1" s="1"/>
  <c r="O207" i="1"/>
  <c r="D207" i="1"/>
  <c r="AV195" i="1"/>
  <c r="AA195" i="1" s="1"/>
  <c r="AK195" i="1"/>
  <c r="V195" i="1"/>
  <c r="T195" i="1"/>
  <c r="AJ195" i="1" s="1"/>
  <c r="O195" i="1"/>
  <c r="D195" i="1"/>
  <c r="AV201" i="1"/>
  <c r="AA201" i="1" s="1"/>
  <c r="AK201" i="1"/>
  <c r="V201" i="1"/>
  <c r="T201" i="1"/>
  <c r="AJ201" i="1" s="1"/>
  <c r="O201" i="1"/>
  <c r="D201" i="1"/>
  <c r="AV190" i="1"/>
  <c r="AA190" i="1" s="1"/>
  <c r="AK190" i="1"/>
  <c r="V190" i="1"/>
  <c r="AE190" i="1" s="1"/>
  <c r="T190" i="1"/>
  <c r="AJ190" i="1" s="1"/>
  <c r="O190" i="1"/>
  <c r="D190" i="1"/>
  <c r="AV218" i="1"/>
  <c r="AA218" i="1" s="1"/>
  <c r="AK218" i="1"/>
  <c r="V218" i="1"/>
  <c r="T218" i="1"/>
  <c r="AJ218" i="1" s="1"/>
  <c r="O218" i="1"/>
  <c r="D218" i="1"/>
  <c r="AV200" i="1"/>
  <c r="AA200" i="1" s="1"/>
  <c r="AK200" i="1"/>
  <c r="V200" i="1"/>
  <c r="T200" i="1"/>
  <c r="AJ200" i="1" s="1"/>
  <c r="O200" i="1"/>
  <c r="D200" i="1"/>
  <c r="AV189" i="1"/>
  <c r="AA189" i="1" s="1"/>
  <c r="AK189" i="1"/>
  <c r="V189" i="1"/>
  <c r="AE189" i="1" s="1"/>
  <c r="T189" i="1"/>
  <c r="AJ189" i="1" s="1"/>
  <c r="O189" i="1"/>
  <c r="D189" i="1"/>
  <c r="AV248" i="1"/>
  <c r="AA248" i="1" s="1"/>
  <c r="AK248" i="1"/>
  <c r="V248" i="1"/>
  <c r="T248" i="1"/>
  <c r="AJ248" i="1" s="1"/>
  <c r="O248" i="1"/>
  <c r="D248" i="1"/>
  <c r="AV247" i="1"/>
  <c r="AA247" i="1" s="1"/>
  <c r="AK247" i="1"/>
  <c r="V247" i="1"/>
  <c r="AF247" i="1" s="1"/>
  <c r="T247" i="1"/>
  <c r="AJ247" i="1" s="1"/>
  <c r="O247" i="1"/>
  <c r="D247" i="1"/>
  <c r="AV246" i="1"/>
  <c r="AA246" i="1" s="1"/>
  <c r="AK246" i="1"/>
  <c r="V246" i="1"/>
  <c r="T246" i="1"/>
  <c r="AJ246" i="1" s="1"/>
  <c r="O246" i="1"/>
  <c r="D246" i="1"/>
  <c r="AV242" i="1"/>
  <c r="AA242" i="1" s="1"/>
  <c r="AK242" i="1"/>
  <c r="V242" i="1"/>
  <c r="T242" i="1"/>
  <c r="AJ242" i="1" s="1"/>
  <c r="O242" i="1"/>
  <c r="D242" i="1"/>
  <c r="AV234" i="1"/>
  <c r="AA234" i="1" s="1"/>
  <c r="AK234" i="1"/>
  <c r="V234" i="1"/>
  <c r="T234" i="1"/>
  <c r="AJ234" i="1" s="1"/>
  <c r="O234" i="1"/>
  <c r="D234" i="1"/>
  <c r="AV233" i="1"/>
  <c r="AA233" i="1" s="1"/>
  <c r="AK233" i="1"/>
  <c r="V233" i="1"/>
  <c r="AF233" i="1" s="1"/>
  <c r="T233" i="1"/>
  <c r="AJ233" i="1" s="1"/>
  <c r="O233" i="1"/>
  <c r="D233" i="1"/>
  <c r="AV217" i="1"/>
  <c r="AA217" i="1" s="1"/>
  <c r="AK217" i="1"/>
  <c r="V217" i="1"/>
  <c r="T217" i="1"/>
  <c r="AJ217" i="1" s="1"/>
  <c r="O217" i="1"/>
  <c r="D217" i="1"/>
  <c r="AV205" i="1"/>
  <c r="AA205" i="1" s="1"/>
  <c r="AK205" i="1"/>
  <c r="V205" i="1"/>
  <c r="AF205" i="1" s="1"/>
  <c r="T205" i="1"/>
  <c r="AJ205" i="1" s="1"/>
  <c r="O205" i="1"/>
  <c r="D205" i="1"/>
  <c r="AV216" i="1"/>
  <c r="AA216" i="1" s="1"/>
  <c r="AK216" i="1"/>
  <c r="V216" i="1"/>
  <c r="T216" i="1"/>
  <c r="AJ216" i="1" s="1"/>
  <c r="O216" i="1"/>
  <c r="D216" i="1"/>
  <c r="AV188" i="1"/>
  <c r="AA188" i="1" s="1"/>
  <c r="AK188" i="1"/>
  <c r="V188" i="1"/>
  <c r="AF188" i="1" s="1"/>
  <c r="T188" i="1"/>
  <c r="AJ188" i="1" s="1"/>
  <c r="O188" i="1"/>
  <c r="D188" i="1"/>
  <c r="AV171" i="1"/>
  <c r="AA171" i="1" s="1"/>
  <c r="AK171" i="1"/>
  <c r="V171" i="1"/>
  <c r="T171" i="1"/>
  <c r="AJ171" i="1" s="1"/>
  <c r="O171" i="1"/>
  <c r="D171" i="1"/>
  <c r="AV170" i="1"/>
  <c r="AA170" i="1" s="1"/>
  <c r="AK170" i="1"/>
  <c r="V170" i="1"/>
  <c r="AF170" i="1" s="1"/>
  <c r="T170" i="1"/>
  <c r="AJ170" i="1" s="1"/>
  <c r="O170" i="1"/>
  <c r="D170" i="1"/>
  <c r="AV169" i="1"/>
  <c r="AA169" i="1" s="1"/>
  <c r="AK169" i="1"/>
  <c r="V169" i="1"/>
  <c r="T169" i="1"/>
  <c r="AJ169" i="1" s="1"/>
  <c r="O169" i="1"/>
  <c r="D169" i="1"/>
  <c r="AV222" i="1"/>
  <c r="AA222" i="1" s="1"/>
  <c r="AK222" i="1"/>
  <c r="V222" i="1"/>
  <c r="AF222" i="1" s="1"/>
  <c r="T222" i="1"/>
  <c r="AJ222" i="1" s="1"/>
  <c r="O222" i="1"/>
  <c r="D222" i="1"/>
  <c r="AV212" i="1"/>
  <c r="AA212" i="1" s="1"/>
  <c r="AK212" i="1"/>
  <c r="V212" i="1"/>
  <c r="T212" i="1"/>
  <c r="AJ212" i="1" s="1"/>
  <c r="O212" i="1"/>
  <c r="D212" i="1"/>
  <c r="AV230" i="1"/>
  <c r="AA230" i="1" s="1"/>
  <c r="AK230" i="1"/>
  <c r="V230" i="1"/>
  <c r="AF230" i="1" s="1"/>
  <c r="T230" i="1"/>
  <c r="AJ230" i="1" s="1"/>
  <c r="O230" i="1"/>
  <c r="D230" i="1"/>
  <c r="AV240" i="1"/>
  <c r="AA240" i="1" s="1"/>
  <c r="AK240" i="1"/>
  <c r="V240" i="1"/>
  <c r="T240" i="1"/>
  <c r="AJ240" i="1" s="1"/>
  <c r="O240" i="1"/>
  <c r="D240" i="1"/>
  <c r="AV245" i="1"/>
  <c r="AA245" i="1" s="1"/>
  <c r="AK245" i="1"/>
  <c r="V245" i="1"/>
  <c r="AF245" i="1" s="1"/>
  <c r="T245" i="1"/>
  <c r="AJ245" i="1" s="1"/>
  <c r="O245" i="1"/>
  <c r="D245" i="1"/>
  <c r="AV238" i="1"/>
  <c r="AA238" i="1" s="1"/>
  <c r="AK238" i="1"/>
  <c r="V238" i="1"/>
  <c r="T238" i="1"/>
  <c r="AJ238" i="1" s="1"/>
  <c r="O238" i="1"/>
  <c r="D238" i="1"/>
  <c r="AV196" i="1"/>
  <c r="AA196" i="1" s="1"/>
  <c r="AK196" i="1"/>
  <c r="V196" i="1"/>
  <c r="T196" i="1"/>
  <c r="AJ196" i="1" s="1"/>
  <c r="O196" i="1"/>
  <c r="D196" i="1"/>
  <c r="AV204" i="1"/>
  <c r="AA204" i="1" s="1"/>
  <c r="AK204" i="1"/>
  <c r="V204" i="1"/>
  <c r="T204" i="1"/>
  <c r="AJ204" i="1" s="1"/>
  <c r="O204" i="1"/>
  <c r="D204" i="1"/>
  <c r="AV215" i="1"/>
  <c r="AA215" i="1" s="1"/>
  <c r="AK215" i="1"/>
  <c r="V215" i="1"/>
  <c r="AF215" i="1" s="1"/>
  <c r="T215" i="1"/>
  <c r="AJ215" i="1" s="1"/>
  <c r="O215" i="1"/>
  <c r="D215" i="1"/>
  <c r="AV203" i="1"/>
  <c r="AA203" i="1" s="1"/>
  <c r="AK203" i="1"/>
  <c r="V203" i="1"/>
  <c r="T203" i="1"/>
  <c r="AJ203" i="1" s="1"/>
  <c r="O203" i="1"/>
  <c r="D203" i="1"/>
  <c r="AV244" i="1"/>
  <c r="AA244" i="1" s="1"/>
  <c r="AK244" i="1"/>
  <c r="V244" i="1"/>
  <c r="AE244" i="1" s="1"/>
  <c r="T244" i="1"/>
  <c r="AJ244" i="1" s="1"/>
  <c r="O244" i="1"/>
  <c r="D244" i="1"/>
  <c r="AV243" i="1"/>
  <c r="AA243" i="1" s="1"/>
  <c r="AK243" i="1"/>
  <c r="V243" i="1"/>
  <c r="T243" i="1"/>
  <c r="AJ243" i="1" s="1"/>
  <c r="O243" i="1"/>
  <c r="D243" i="1"/>
  <c r="AV177" i="1"/>
  <c r="AA177" i="1" s="1"/>
  <c r="AK177" i="1"/>
  <c r="V177" i="1"/>
  <c r="AF177" i="1" s="1"/>
  <c r="T177" i="1"/>
  <c r="AJ177" i="1" s="1"/>
  <c r="O177" i="1"/>
  <c r="D177" i="1"/>
  <c r="AV176" i="1"/>
  <c r="AA176" i="1" s="1"/>
  <c r="AK176" i="1"/>
  <c r="V176" i="1"/>
  <c r="T176" i="1"/>
  <c r="AJ176" i="1" s="1"/>
  <c r="O176" i="1"/>
  <c r="D176" i="1"/>
  <c r="AV154" i="1"/>
  <c r="AA154" i="1" s="1"/>
  <c r="AK154" i="1"/>
  <c r="V154" i="1"/>
  <c r="AF154" i="1" s="1"/>
  <c r="T154" i="1"/>
  <c r="AJ154" i="1" s="1"/>
  <c r="O154" i="1"/>
  <c r="D154" i="1"/>
  <c r="AV202" i="1"/>
  <c r="AA202" i="1" s="1"/>
  <c r="AK202" i="1"/>
  <c r="V202" i="1"/>
  <c r="T202" i="1"/>
  <c r="AJ202" i="1" s="1"/>
  <c r="O202" i="1"/>
  <c r="D202" i="1"/>
  <c r="AV85" i="1"/>
  <c r="AA85" i="1" s="1"/>
  <c r="AK85" i="1"/>
  <c r="V85" i="1"/>
  <c r="T85" i="1"/>
  <c r="AJ85" i="1" s="1"/>
  <c r="O85" i="1"/>
  <c r="D85" i="1"/>
  <c r="AV81" i="1"/>
  <c r="AA81" i="1" s="1"/>
  <c r="AK81" i="1"/>
  <c r="V81" i="1"/>
  <c r="T81" i="1"/>
  <c r="AJ81" i="1" s="1"/>
  <c r="O81" i="1"/>
  <c r="D81" i="1"/>
  <c r="AV241" i="1"/>
  <c r="AA241" i="1" s="1"/>
  <c r="AK241" i="1"/>
  <c r="V241" i="1"/>
  <c r="AE241" i="1" s="1"/>
  <c r="T241" i="1"/>
  <c r="AJ241" i="1" s="1"/>
  <c r="O241" i="1"/>
  <c r="D241" i="1"/>
  <c r="AV237" i="1"/>
  <c r="AA237" i="1" s="1"/>
  <c r="AK237" i="1"/>
  <c r="V237" i="1"/>
  <c r="AL237" i="1" s="1"/>
  <c r="T237" i="1"/>
  <c r="AJ237" i="1" s="1"/>
  <c r="O237" i="1"/>
  <c r="D237" i="1"/>
  <c r="AV229" i="1"/>
  <c r="AA229" i="1" s="1"/>
  <c r="AK229" i="1"/>
  <c r="V229" i="1"/>
  <c r="AL229" i="1" s="1"/>
  <c r="T229" i="1"/>
  <c r="AJ229" i="1" s="1"/>
  <c r="O229" i="1"/>
  <c r="D229" i="1"/>
  <c r="AV221" i="1"/>
  <c r="AA221" i="1" s="1"/>
  <c r="AK221" i="1"/>
  <c r="V221" i="1"/>
  <c r="AE221" i="1" s="1"/>
  <c r="T221" i="1"/>
  <c r="AJ221" i="1" s="1"/>
  <c r="O221" i="1"/>
  <c r="D221" i="1"/>
  <c r="AV227" i="1"/>
  <c r="AA227" i="1" s="1"/>
  <c r="AK227" i="1"/>
  <c r="V227" i="1"/>
  <c r="AF227" i="1" s="1"/>
  <c r="T227" i="1"/>
  <c r="AJ227" i="1" s="1"/>
  <c r="O227" i="1"/>
  <c r="D227" i="1"/>
  <c r="AV219" i="1"/>
  <c r="AA219" i="1" s="1"/>
  <c r="AK219" i="1"/>
  <c r="V219" i="1"/>
  <c r="T219" i="1"/>
  <c r="AJ219" i="1" s="1"/>
  <c r="O219" i="1"/>
  <c r="D219" i="1"/>
  <c r="AV7" i="1"/>
  <c r="AA7" i="1" s="1"/>
  <c r="AK7" i="1"/>
  <c r="V7" i="1"/>
  <c r="AF7" i="1" s="1"/>
  <c r="T7" i="1"/>
  <c r="AJ7" i="1" s="1"/>
  <c r="O7" i="1"/>
  <c r="D7" i="1"/>
  <c r="AV35" i="1"/>
  <c r="AA35" i="1" s="1"/>
  <c r="AK35" i="1"/>
  <c r="V35" i="1"/>
  <c r="AL35" i="1" s="1"/>
  <c r="T35" i="1"/>
  <c r="AJ35" i="1" s="1"/>
  <c r="O35" i="1"/>
  <c r="D35" i="1"/>
  <c r="AV211" i="1"/>
  <c r="AA211" i="1" s="1"/>
  <c r="AK211" i="1"/>
  <c r="V211" i="1"/>
  <c r="AL211" i="1" s="1"/>
  <c r="T211" i="1"/>
  <c r="AJ211" i="1" s="1"/>
  <c r="O211" i="1"/>
  <c r="D211" i="1"/>
  <c r="AV37" i="1"/>
  <c r="AA37" i="1" s="1"/>
  <c r="AK37" i="1"/>
  <c r="V37" i="1"/>
  <c r="AF37" i="1" s="1"/>
  <c r="T37" i="1"/>
  <c r="AJ37" i="1" s="1"/>
  <c r="O37" i="1"/>
  <c r="D37" i="1"/>
  <c r="AV36" i="1"/>
  <c r="AA36" i="1" s="1"/>
  <c r="AK36" i="1"/>
  <c r="V36" i="1"/>
  <c r="AF36" i="1" s="1"/>
  <c r="T36" i="1"/>
  <c r="AJ36" i="1" s="1"/>
  <c r="O36" i="1"/>
  <c r="D36" i="1"/>
  <c r="AV187" i="1"/>
  <c r="AA187" i="1" s="1"/>
  <c r="AK187" i="1"/>
  <c r="V187" i="1"/>
  <c r="AE187" i="1" s="1"/>
  <c r="T187" i="1"/>
  <c r="AJ187" i="1" s="1"/>
  <c r="O187" i="1"/>
  <c r="D187" i="1"/>
  <c r="AV206" i="1"/>
  <c r="AA206" i="1" s="1"/>
  <c r="AK206" i="1"/>
  <c r="V206" i="1"/>
  <c r="AF206" i="1" s="1"/>
  <c r="T206" i="1"/>
  <c r="AJ206" i="1" s="1"/>
  <c r="O206" i="1"/>
  <c r="D206" i="1"/>
  <c r="AV112" i="1"/>
  <c r="AA112" i="1" s="1"/>
  <c r="AK112" i="1"/>
  <c r="V112" i="1"/>
  <c r="AL112" i="1" s="1"/>
  <c r="T112" i="1"/>
  <c r="AJ112" i="1" s="1"/>
  <c r="O112" i="1"/>
  <c r="D112" i="1"/>
  <c r="AV111" i="1"/>
  <c r="AA111" i="1" s="1"/>
  <c r="AK111" i="1"/>
  <c r="V111" i="1"/>
  <c r="AF111" i="1" s="1"/>
  <c r="T111" i="1"/>
  <c r="AJ111" i="1" s="1"/>
  <c r="O111" i="1"/>
  <c r="D111" i="1"/>
  <c r="AV109" i="1"/>
  <c r="AA109" i="1" s="1"/>
  <c r="AK109" i="1"/>
  <c r="V109" i="1"/>
  <c r="AL109" i="1" s="1"/>
  <c r="T109" i="1"/>
  <c r="AJ109" i="1" s="1"/>
  <c r="O109" i="1"/>
  <c r="D109" i="1"/>
  <c r="AV108" i="1"/>
  <c r="AA108" i="1" s="1"/>
  <c r="AK108" i="1"/>
  <c r="V108" i="1"/>
  <c r="AL108" i="1" s="1"/>
  <c r="T108" i="1"/>
  <c r="AJ108" i="1" s="1"/>
  <c r="O108" i="1"/>
  <c r="D108" i="1"/>
  <c r="AV106" i="1"/>
  <c r="AA106" i="1" s="1"/>
  <c r="AK106" i="1"/>
  <c r="V106" i="1"/>
  <c r="AF106" i="1" s="1"/>
  <c r="T106" i="1"/>
  <c r="AJ106" i="1" s="1"/>
  <c r="O106" i="1"/>
  <c r="D106" i="1"/>
  <c r="AV105" i="1"/>
  <c r="AA105" i="1" s="1"/>
  <c r="AK105" i="1"/>
  <c r="V105" i="1"/>
  <c r="AL105" i="1" s="1"/>
  <c r="T105" i="1"/>
  <c r="AJ105" i="1" s="1"/>
  <c r="O105" i="1"/>
  <c r="D105" i="1"/>
  <c r="AV104" i="1"/>
  <c r="AA104" i="1" s="1"/>
  <c r="AK104" i="1"/>
  <c r="V104" i="1"/>
  <c r="AL104" i="1" s="1"/>
  <c r="T104" i="1"/>
  <c r="AJ104" i="1" s="1"/>
  <c r="O104" i="1"/>
  <c r="D104" i="1"/>
  <c r="AV103" i="1"/>
  <c r="AA103" i="1" s="1"/>
  <c r="AK103" i="1"/>
  <c r="V103" i="1"/>
  <c r="AF103" i="1" s="1"/>
  <c r="T103" i="1"/>
  <c r="AJ103" i="1" s="1"/>
  <c r="O103" i="1"/>
  <c r="D103" i="1"/>
  <c r="AV197" i="1"/>
  <c r="AA197" i="1" s="1"/>
  <c r="AK197" i="1"/>
  <c r="V197" i="1"/>
  <c r="AF197" i="1" s="1"/>
  <c r="T197" i="1"/>
  <c r="AJ197" i="1" s="1"/>
  <c r="O197" i="1"/>
  <c r="D197" i="1"/>
  <c r="AV34" i="1"/>
  <c r="AA34" i="1" s="1"/>
  <c r="AK34" i="1"/>
  <c r="V34" i="1"/>
  <c r="AF34" i="1" s="1"/>
  <c r="T34" i="1"/>
  <c r="AJ34" i="1" s="1"/>
  <c r="O34" i="1"/>
  <c r="D34" i="1"/>
  <c r="AV33" i="1"/>
  <c r="AA33" i="1" s="1"/>
  <c r="AK33" i="1"/>
  <c r="V33" i="1"/>
  <c r="AL33" i="1" s="1"/>
  <c r="T33" i="1"/>
  <c r="AJ33" i="1" s="1"/>
  <c r="O33" i="1"/>
  <c r="D33" i="1"/>
  <c r="AV32" i="1"/>
  <c r="AA32" i="1" s="1"/>
  <c r="AK32" i="1"/>
  <c r="V32" i="1"/>
  <c r="AL32" i="1" s="1"/>
  <c r="T32" i="1"/>
  <c r="AJ32" i="1" s="1"/>
  <c r="O32" i="1"/>
  <c r="D32" i="1"/>
  <c r="AV31" i="1"/>
  <c r="AA31" i="1" s="1"/>
  <c r="AK31" i="1"/>
  <c r="V31" i="1"/>
  <c r="AF31" i="1" s="1"/>
  <c r="T31" i="1"/>
  <c r="AJ31" i="1" s="1"/>
  <c r="O31" i="1"/>
  <c r="D31" i="1"/>
  <c r="AV102" i="1"/>
  <c r="AA102" i="1" s="1"/>
  <c r="AK102" i="1"/>
  <c r="V102" i="1"/>
  <c r="AF102" i="1" s="1"/>
  <c r="T102" i="1"/>
  <c r="AJ102" i="1" s="1"/>
  <c r="O102" i="1"/>
  <c r="D102" i="1"/>
  <c r="AV101" i="1"/>
  <c r="AA101" i="1" s="1"/>
  <c r="AK101" i="1"/>
  <c r="V101" i="1"/>
  <c r="AF101" i="1" s="1"/>
  <c r="T101" i="1"/>
  <c r="AJ101" i="1" s="1"/>
  <c r="O101" i="1"/>
  <c r="D101" i="1"/>
  <c r="AV100" i="1"/>
  <c r="AA100" i="1" s="1"/>
  <c r="AK100" i="1"/>
  <c r="V100" i="1"/>
  <c r="AF100" i="1" s="1"/>
  <c r="T100" i="1"/>
  <c r="AJ100" i="1" s="1"/>
  <c r="O100" i="1"/>
  <c r="D100" i="1"/>
  <c r="AV99" i="1"/>
  <c r="AA99" i="1" s="1"/>
  <c r="AK99" i="1"/>
  <c r="V99" i="1"/>
  <c r="AL99" i="1" s="1"/>
  <c r="T99" i="1"/>
  <c r="AJ99" i="1" s="1"/>
  <c r="O99" i="1"/>
  <c r="D99" i="1"/>
  <c r="AV98" i="1"/>
  <c r="AA98" i="1" s="1"/>
  <c r="AK98" i="1"/>
  <c r="V98" i="1"/>
  <c r="AF98" i="1" s="1"/>
  <c r="T98" i="1"/>
  <c r="AJ98" i="1" s="1"/>
  <c r="O98" i="1"/>
  <c r="D98" i="1"/>
  <c r="AV97" i="1"/>
  <c r="AA97" i="1" s="1"/>
  <c r="AK97" i="1"/>
  <c r="V97" i="1"/>
  <c r="AF97" i="1" s="1"/>
  <c r="T97" i="1"/>
  <c r="AJ97" i="1" s="1"/>
  <c r="O97" i="1"/>
  <c r="D97" i="1"/>
  <c r="AV96" i="1"/>
  <c r="AA96" i="1" s="1"/>
  <c r="AK96" i="1"/>
  <c r="V96" i="1"/>
  <c r="AE96" i="1" s="1"/>
  <c r="T96" i="1"/>
  <c r="AJ96" i="1" s="1"/>
  <c r="O96" i="1"/>
  <c r="D96" i="1"/>
  <c r="AV132" i="1"/>
  <c r="AA132" i="1" s="1"/>
  <c r="AK132" i="1"/>
  <c r="V132" i="1"/>
  <c r="AL132" i="1" s="1"/>
  <c r="T132" i="1"/>
  <c r="AJ132" i="1" s="1"/>
  <c r="O132" i="1"/>
  <c r="D132" i="1"/>
  <c r="AV150" i="1"/>
  <c r="AA150" i="1" s="1"/>
  <c r="AK150" i="1"/>
  <c r="V150" i="1"/>
  <c r="AL150" i="1" s="1"/>
  <c r="T150" i="1"/>
  <c r="AJ150" i="1" s="1"/>
  <c r="O150" i="1"/>
  <c r="D150" i="1"/>
  <c r="AV95" i="1"/>
  <c r="AA95" i="1" s="1"/>
  <c r="AK95" i="1"/>
  <c r="V95" i="1"/>
  <c r="AF95" i="1" s="1"/>
  <c r="T95" i="1"/>
  <c r="AJ95" i="1" s="1"/>
  <c r="O95" i="1"/>
  <c r="D95" i="1"/>
  <c r="AV94" i="1"/>
  <c r="AA94" i="1" s="1"/>
  <c r="AK94" i="1"/>
  <c r="V94" i="1"/>
  <c r="AE94" i="1" s="1"/>
  <c r="T94" i="1"/>
  <c r="AJ94" i="1" s="1"/>
  <c r="O94" i="1"/>
  <c r="D94" i="1"/>
  <c r="AV93" i="1"/>
  <c r="AA93" i="1" s="1"/>
  <c r="AK93" i="1"/>
  <c r="V93" i="1"/>
  <c r="AE93" i="1" s="1"/>
  <c r="T93" i="1"/>
  <c r="AJ93" i="1" s="1"/>
  <c r="O93" i="1"/>
  <c r="D93" i="1"/>
  <c r="AV92" i="1"/>
  <c r="AA92" i="1" s="1"/>
  <c r="AK92" i="1"/>
  <c r="V92" i="1"/>
  <c r="AF92" i="1" s="1"/>
  <c r="T92" i="1"/>
  <c r="AJ92" i="1" s="1"/>
  <c r="O92" i="1"/>
  <c r="D92" i="1"/>
  <c r="AV91" i="1"/>
  <c r="AA91" i="1" s="1"/>
  <c r="AK91" i="1"/>
  <c r="V91" i="1"/>
  <c r="AL91" i="1" s="1"/>
  <c r="T91" i="1"/>
  <c r="AJ91" i="1" s="1"/>
  <c r="O91" i="1"/>
  <c r="D91" i="1"/>
  <c r="AV90" i="1"/>
  <c r="AA90" i="1" s="1"/>
  <c r="AK90" i="1"/>
  <c r="V90" i="1"/>
  <c r="AL90" i="1" s="1"/>
  <c r="T90" i="1"/>
  <c r="AJ90" i="1" s="1"/>
  <c r="O90" i="1"/>
  <c r="D90" i="1"/>
  <c r="AV89" i="1"/>
  <c r="AA89" i="1" s="1"/>
  <c r="AK89" i="1"/>
  <c r="V89" i="1"/>
  <c r="AE89" i="1" s="1"/>
  <c r="T89" i="1"/>
  <c r="AJ89" i="1" s="1"/>
  <c r="O89" i="1"/>
  <c r="D89" i="1"/>
  <c r="AV88" i="1"/>
  <c r="AA88" i="1" s="1"/>
  <c r="AK88" i="1"/>
  <c r="V88" i="1"/>
  <c r="AF88" i="1" s="1"/>
  <c r="T88" i="1"/>
  <c r="AJ88" i="1" s="1"/>
  <c r="O88" i="1"/>
  <c r="D88" i="1"/>
  <c r="AV87" i="1"/>
  <c r="AA87" i="1" s="1"/>
  <c r="AK87" i="1"/>
  <c r="V87" i="1"/>
  <c r="AL87" i="1" s="1"/>
  <c r="T87" i="1"/>
  <c r="AJ87" i="1" s="1"/>
  <c r="O87" i="1"/>
  <c r="D87" i="1"/>
  <c r="AV29" i="1"/>
  <c r="AA29" i="1" s="1"/>
  <c r="AK29" i="1"/>
  <c r="V29" i="1"/>
  <c r="AF29" i="1" s="1"/>
  <c r="T29" i="1"/>
  <c r="AJ29" i="1" s="1"/>
  <c r="O29" i="1"/>
  <c r="D29" i="1"/>
  <c r="AV83" i="1"/>
  <c r="AA83" i="1" s="1"/>
  <c r="AK83" i="1"/>
  <c r="V83" i="1"/>
  <c r="AE83" i="1" s="1"/>
  <c r="T83" i="1"/>
  <c r="AJ83" i="1" s="1"/>
  <c r="O83" i="1"/>
  <c r="D83" i="1"/>
  <c r="AV82" i="1"/>
  <c r="AA82" i="1" s="1"/>
  <c r="AK82" i="1"/>
  <c r="V82" i="1"/>
  <c r="AF82" i="1" s="1"/>
  <c r="T82" i="1"/>
  <c r="AJ82" i="1" s="1"/>
  <c r="O82" i="1"/>
  <c r="D82" i="1"/>
  <c r="AV27" i="1"/>
  <c r="AA27" i="1" s="1"/>
  <c r="AK27" i="1"/>
  <c r="V27" i="1"/>
  <c r="AF27" i="1" s="1"/>
  <c r="T27" i="1"/>
  <c r="AJ27" i="1" s="1"/>
  <c r="O27" i="1"/>
  <c r="D27" i="1"/>
  <c r="AV25" i="1"/>
  <c r="AA25" i="1" s="1"/>
  <c r="AK25" i="1"/>
  <c r="V25" i="1"/>
  <c r="AL25" i="1" s="1"/>
  <c r="T25" i="1"/>
  <c r="AJ25" i="1" s="1"/>
  <c r="O25" i="1"/>
  <c r="D25" i="1"/>
  <c r="AV23" i="1"/>
  <c r="AA23" i="1" s="1"/>
  <c r="AK23" i="1"/>
  <c r="V23" i="1"/>
  <c r="AL23" i="1" s="1"/>
  <c r="T23" i="1"/>
  <c r="AJ23" i="1" s="1"/>
  <c r="O23" i="1"/>
  <c r="D23" i="1"/>
  <c r="AV186" i="1"/>
  <c r="AA186" i="1" s="1"/>
  <c r="AK186" i="1"/>
  <c r="V186" i="1"/>
  <c r="AL186" i="1" s="1"/>
  <c r="T186" i="1"/>
  <c r="AJ186" i="1" s="1"/>
  <c r="O186" i="1"/>
  <c r="D186" i="1"/>
  <c r="AV185" i="1"/>
  <c r="AA185" i="1" s="1"/>
  <c r="AK185" i="1"/>
  <c r="V185" i="1"/>
  <c r="AL185" i="1" s="1"/>
  <c r="T185" i="1"/>
  <c r="AJ185" i="1" s="1"/>
  <c r="O185" i="1"/>
  <c r="D185" i="1"/>
  <c r="AV198" i="1"/>
  <c r="AA198" i="1" s="1"/>
  <c r="AK198" i="1"/>
  <c r="V198" i="1"/>
  <c r="AF198" i="1" s="1"/>
  <c r="T198" i="1"/>
  <c r="AJ198" i="1" s="1"/>
  <c r="O198" i="1"/>
  <c r="D198" i="1"/>
  <c r="AV213" i="1"/>
  <c r="AA213" i="1" s="1"/>
  <c r="AK213" i="1"/>
  <c r="V213" i="1"/>
  <c r="AL213" i="1" s="1"/>
  <c r="T213" i="1"/>
  <c r="AJ213" i="1" s="1"/>
  <c r="O213" i="1"/>
  <c r="D213" i="1"/>
  <c r="AV22" i="1"/>
  <c r="AA22" i="1" s="1"/>
  <c r="AK22" i="1"/>
  <c r="V22" i="1"/>
  <c r="AL22" i="1" s="1"/>
  <c r="T22" i="1"/>
  <c r="AJ22" i="1" s="1"/>
  <c r="O22" i="1"/>
  <c r="D22" i="1"/>
  <c r="AV210" i="1"/>
  <c r="AA210" i="1" s="1"/>
  <c r="AK210" i="1"/>
  <c r="V210" i="1"/>
  <c r="AL210" i="1" s="1"/>
  <c r="T210" i="1"/>
  <c r="AJ210" i="1" s="1"/>
  <c r="O210" i="1"/>
  <c r="D210" i="1"/>
  <c r="AV19" i="1"/>
  <c r="AA19" i="1" s="1"/>
  <c r="AK19" i="1"/>
  <c r="V19" i="1"/>
  <c r="AL19" i="1" s="1"/>
  <c r="T19" i="1"/>
  <c r="AJ19" i="1" s="1"/>
  <c r="O19" i="1"/>
  <c r="D19" i="1"/>
  <c r="AV18" i="1"/>
  <c r="AA18" i="1" s="1"/>
  <c r="AK18" i="1"/>
  <c r="V18" i="1"/>
  <c r="AL18" i="1" s="1"/>
  <c r="T18" i="1"/>
  <c r="AJ18" i="1" s="1"/>
  <c r="O18" i="1"/>
  <c r="D18" i="1"/>
  <c r="AV17" i="1"/>
  <c r="AA17" i="1" s="1"/>
  <c r="AK17" i="1"/>
  <c r="V17" i="1"/>
  <c r="AE17" i="1" s="1"/>
  <c r="T17" i="1"/>
  <c r="AJ17" i="1" s="1"/>
  <c r="O17" i="1"/>
  <c r="D17" i="1"/>
  <c r="AV16" i="1"/>
  <c r="AA16" i="1" s="1"/>
  <c r="AK16" i="1"/>
  <c r="V16" i="1"/>
  <c r="AL16" i="1" s="1"/>
  <c r="T16" i="1"/>
  <c r="AJ16" i="1" s="1"/>
  <c r="O16" i="1"/>
  <c r="D16" i="1"/>
  <c r="AV15" i="1"/>
  <c r="AA15" i="1" s="1"/>
  <c r="AK15" i="1"/>
  <c r="V15" i="1"/>
  <c r="AL15" i="1" s="1"/>
  <c r="T15" i="1"/>
  <c r="AJ15" i="1" s="1"/>
  <c r="O15" i="1"/>
  <c r="D15" i="1"/>
  <c r="AV14" i="1"/>
  <c r="AA14" i="1" s="1"/>
  <c r="AK14" i="1"/>
  <c r="V14" i="1"/>
  <c r="AL14" i="1" s="1"/>
  <c r="T14" i="1"/>
  <c r="AJ14" i="1" s="1"/>
  <c r="O14" i="1"/>
  <c r="D14" i="1"/>
  <c r="AV13" i="1"/>
  <c r="AA13" i="1" s="1"/>
  <c r="AK13" i="1"/>
  <c r="V13" i="1"/>
  <c r="AL13" i="1" s="1"/>
  <c r="T13" i="1"/>
  <c r="AJ13" i="1" s="1"/>
  <c r="O13" i="1"/>
  <c r="D13" i="1"/>
  <c r="AV12" i="1"/>
  <c r="AA12" i="1" s="1"/>
  <c r="AK12" i="1"/>
  <c r="V12" i="1"/>
  <c r="AF12" i="1" s="1"/>
  <c r="T12" i="1"/>
  <c r="AJ12" i="1" s="1"/>
  <c r="O12" i="1"/>
  <c r="D12" i="1"/>
  <c r="AV11" i="1"/>
  <c r="AA11" i="1" s="1"/>
  <c r="AK11" i="1"/>
  <c r="V11" i="1"/>
  <c r="AF11" i="1" s="1"/>
  <c r="T11" i="1"/>
  <c r="AJ11" i="1" s="1"/>
  <c r="O11" i="1"/>
  <c r="D11" i="1"/>
  <c r="AV10" i="1"/>
  <c r="AA10" i="1" s="1"/>
  <c r="AK10" i="1"/>
  <c r="V10" i="1"/>
  <c r="AE10" i="1" s="1"/>
  <c r="T10" i="1"/>
  <c r="AJ10" i="1" s="1"/>
  <c r="O10" i="1"/>
  <c r="D10" i="1"/>
  <c r="AV9" i="1"/>
  <c r="AA9" i="1" s="1"/>
  <c r="AK9" i="1"/>
  <c r="V9" i="1"/>
  <c r="AE9" i="1" s="1"/>
  <c r="T9" i="1"/>
  <c r="AJ9" i="1" s="1"/>
  <c r="O9" i="1"/>
  <c r="D9" i="1"/>
  <c r="AV8" i="1"/>
  <c r="AA8" i="1" s="1"/>
  <c r="AK8" i="1"/>
  <c r="V8" i="1"/>
  <c r="AE8" i="1" s="1"/>
  <c r="T8" i="1"/>
  <c r="AJ8" i="1" s="1"/>
  <c r="O8" i="1"/>
  <c r="D8" i="1"/>
  <c r="AV223" i="1"/>
  <c r="AA223" i="1" s="1"/>
  <c r="AK223" i="1"/>
  <c r="V223" i="1"/>
  <c r="AE223" i="1" s="1"/>
  <c r="T223" i="1"/>
  <c r="AJ223" i="1" s="1"/>
  <c r="O223" i="1"/>
  <c r="D223" i="1"/>
  <c r="AV184" i="1"/>
  <c r="AA184" i="1" s="1"/>
  <c r="AK184" i="1"/>
  <c r="V184" i="1"/>
  <c r="AE184" i="1" s="1"/>
  <c r="T184" i="1"/>
  <c r="AJ184" i="1" s="1"/>
  <c r="O184" i="1"/>
  <c r="D184" i="1"/>
  <c r="AV209" i="1"/>
  <c r="AA209" i="1" s="1"/>
  <c r="AK209" i="1"/>
  <c r="V209" i="1"/>
  <c r="AE209" i="1" s="1"/>
  <c r="T209" i="1"/>
  <c r="AJ209" i="1" s="1"/>
  <c r="O209" i="1"/>
  <c r="D209" i="1"/>
  <c r="O4" i="1"/>
  <c r="O5" i="1"/>
  <c r="O79" i="1"/>
  <c r="O180" i="1"/>
  <c r="O181" i="1"/>
  <c r="O182" i="1"/>
  <c r="O183" i="1"/>
  <c r="O6" i="1"/>
  <c r="O231" i="1"/>
  <c r="O235" i="1"/>
  <c r="O131" i="1"/>
  <c r="O24" i="1"/>
  <c r="O78" i="1"/>
  <c r="O84" i="1"/>
  <c r="O153" i="1"/>
  <c r="O208" i="1"/>
  <c r="O220" i="1"/>
  <c r="O228" i="1"/>
  <c r="AK4" i="1"/>
  <c r="AK5" i="1"/>
  <c r="AK79" i="1"/>
  <c r="AK180" i="1"/>
  <c r="AK181" i="1"/>
  <c r="AK182" i="1"/>
  <c r="AK183" i="1"/>
  <c r="AK6" i="1"/>
  <c r="AK231" i="1"/>
  <c r="AK235" i="1"/>
  <c r="AK131" i="1"/>
  <c r="AK24" i="1"/>
  <c r="AK78" i="1"/>
  <c r="AK84" i="1"/>
  <c r="AK153" i="1"/>
  <c r="AK208" i="1"/>
  <c r="AK220" i="1"/>
  <c r="AK228" i="1"/>
  <c r="AV228" i="1"/>
  <c r="AA228" i="1" s="1"/>
  <c r="V228" i="1"/>
  <c r="AL228" i="1" s="1"/>
  <c r="T228" i="1"/>
  <c r="AJ228" i="1" s="1"/>
  <c r="D228" i="1"/>
  <c r="AV220" i="1"/>
  <c r="AA220" i="1" s="1"/>
  <c r="V220" i="1"/>
  <c r="AF220" i="1" s="1"/>
  <c r="T220" i="1"/>
  <c r="AJ220" i="1" s="1"/>
  <c r="D220" i="1"/>
  <c r="AV208" i="1"/>
  <c r="AA208" i="1" s="1"/>
  <c r="V208" i="1"/>
  <c r="AL208" i="1" s="1"/>
  <c r="T208" i="1"/>
  <c r="AJ208" i="1" s="1"/>
  <c r="D208" i="1"/>
  <c r="AV153" i="1"/>
  <c r="AA153" i="1" s="1"/>
  <c r="V153" i="1"/>
  <c r="AF153" i="1" s="1"/>
  <c r="T153" i="1"/>
  <c r="AJ153" i="1" s="1"/>
  <c r="D153" i="1"/>
  <c r="AV84" i="1"/>
  <c r="AA84" i="1" s="1"/>
  <c r="V84" i="1"/>
  <c r="AE84" i="1" s="1"/>
  <c r="T84" i="1"/>
  <c r="AJ84" i="1" s="1"/>
  <c r="D84" i="1"/>
  <c r="AV78" i="1"/>
  <c r="AA78" i="1" s="1"/>
  <c r="V78" i="1"/>
  <c r="AE78" i="1" s="1"/>
  <c r="T78" i="1"/>
  <c r="AJ78" i="1" s="1"/>
  <c r="D78" i="1"/>
  <c r="AV24" i="1"/>
  <c r="AA24" i="1" s="1"/>
  <c r="V24" i="1"/>
  <c r="AF24" i="1" s="1"/>
  <c r="T24" i="1"/>
  <c r="AJ24" i="1" s="1"/>
  <c r="D24" i="1"/>
  <c r="AV131" i="1"/>
  <c r="AA131" i="1" s="1"/>
  <c r="V131" i="1"/>
  <c r="AF131" i="1" s="1"/>
  <c r="T131" i="1"/>
  <c r="AJ131" i="1" s="1"/>
  <c r="D131" i="1"/>
  <c r="AV235" i="1"/>
  <c r="AA235" i="1" s="1"/>
  <c r="V235" i="1"/>
  <c r="AL235" i="1" s="1"/>
  <c r="T235" i="1"/>
  <c r="AJ235" i="1" s="1"/>
  <c r="D235" i="1"/>
  <c r="X19" i="1" l="1"/>
  <c r="Y19" i="1" s="1"/>
  <c r="BA19" i="1"/>
  <c r="BC19" i="1"/>
  <c r="X25" i="1"/>
  <c r="Y25" i="1" s="1"/>
  <c r="BC25" i="1"/>
  <c r="BA25" i="1"/>
  <c r="X32" i="1"/>
  <c r="Y32" i="1" s="1"/>
  <c r="BA32" i="1"/>
  <c r="BC32" i="1"/>
  <c r="X108" i="1"/>
  <c r="Y108" i="1" s="1"/>
  <c r="BA108" i="1"/>
  <c r="BC108" i="1"/>
  <c r="X226" i="1"/>
  <c r="Y226" i="1" s="1"/>
  <c r="BC226" i="1"/>
  <c r="BA226" i="1"/>
  <c r="BA137" i="1"/>
  <c r="BC137" i="1"/>
  <c r="X172" i="1"/>
  <c r="Y172" i="1" s="1"/>
  <c r="BA172" i="1"/>
  <c r="BC172" i="1"/>
  <c r="X145" i="1"/>
  <c r="Y145" i="1" s="1"/>
  <c r="BA145" i="1"/>
  <c r="BC145" i="1"/>
  <c r="BA162" i="1"/>
  <c r="BC162" i="1"/>
  <c r="BA161" i="1"/>
  <c r="BC161" i="1"/>
  <c r="X54" i="1"/>
  <c r="Y54" i="1" s="1"/>
  <c r="BA54" i="1"/>
  <c r="BC54" i="1"/>
  <c r="BA120" i="1"/>
  <c r="BC120" i="1"/>
  <c r="X123" i="1"/>
  <c r="Y123" i="1" s="1"/>
  <c r="BA123" i="1"/>
  <c r="BC123" i="1"/>
  <c r="BA193" i="1"/>
  <c r="BC193" i="1"/>
  <c r="X61" i="1"/>
  <c r="Y61" i="1" s="1"/>
  <c r="BC61" i="1"/>
  <c r="BA61" i="1"/>
  <c r="X15" i="1"/>
  <c r="Y15" i="1" s="1"/>
  <c r="BA15" i="1"/>
  <c r="BC15" i="1"/>
  <c r="X90" i="1"/>
  <c r="Y90" i="1" s="1"/>
  <c r="BA90" i="1"/>
  <c r="BC90" i="1"/>
  <c r="X211" i="1"/>
  <c r="Y211" i="1" s="1"/>
  <c r="BA211" i="1"/>
  <c r="BC211" i="1"/>
  <c r="X173" i="1"/>
  <c r="BC173" i="1"/>
  <c r="BA173" i="1"/>
  <c r="BC69" i="1"/>
  <c r="BA69" i="1"/>
  <c r="X14" i="1"/>
  <c r="Y14" i="1" s="1"/>
  <c r="BC14" i="1"/>
  <c r="BA14" i="1"/>
  <c r="X18" i="1"/>
  <c r="Y18" i="1" s="1"/>
  <c r="BC18" i="1"/>
  <c r="BA18" i="1"/>
  <c r="X213" i="1"/>
  <c r="Y213" i="1" s="1"/>
  <c r="BA213" i="1"/>
  <c r="BC213" i="1"/>
  <c r="X23" i="1"/>
  <c r="Y23" i="1" s="1"/>
  <c r="BA23" i="1"/>
  <c r="BC23" i="1"/>
  <c r="X132" i="1"/>
  <c r="Y132" i="1" s="1"/>
  <c r="BA132" i="1"/>
  <c r="BC132" i="1"/>
  <c r="X99" i="1"/>
  <c r="Y99" i="1" s="1"/>
  <c r="BC99" i="1"/>
  <c r="BA99" i="1"/>
  <c r="X112" i="1"/>
  <c r="Y112" i="1" s="1"/>
  <c r="BA112" i="1"/>
  <c r="BC112" i="1"/>
  <c r="X237" i="1"/>
  <c r="Y237" i="1" s="1"/>
  <c r="BA237" i="1"/>
  <c r="BC237" i="1"/>
  <c r="X224" i="1"/>
  <c r="Y224" i="1" s="1"/>
  <c r="BC224" i="1"/>
  <c r="BA224" i="1"/>
  <c r="X136" i="1"/>
  <c r="Y136" i="1" s="1"/>
  <c r="BC136" i="1"/>
  <c r="BA136" i="1"/>
  <c r="X140" i="1"/>
  <c r="Y140" i="1" s="1"/>
  <c r="BC140" i="1"/>
  <c r="BA140" i="1"/>
  <c r="X167" i="1"/>
  <c r="Y167" i="1" s="1"/>
  <c r="BC167" i="1"/>
  <c r="BA167" i="1"/>
  <c r="X168" i="1"/>
  <c r="BC168" i="1"/>
  <c r="BA168" i="1"/>
  <c r="X156" i="1"/>
  <c r="Y156" i="1" s="1"/>
  <c r="BA156" i="1"/>
  <c r="BC156" i="1"/>
  <c r="X40" i="1"/>
  <c r="Y40" i="1" s="1"/>
  <c r="BA40" i="1"/>
  <c r="BC40" i="1"/>
  <c r="X50" i="1"/>
  <c r="Y50" i="1" s="1"/>
  <c r="BA50" i="1"/>
  <c r="BC50" i="1"/>
  <c r="BC53" i="1"/>
  <c r="BA53" i="1"/>
  <c r="BA114" i="1"/>
  <c r="BC114" i="1"/>
  <c r="X125" i="1"/>
  <c r="Y125" i="1" s="1"/>
  <c r="BC125" i="1"/>
  <c r="BA125" i="1"/>
  <c r="BA64" i="1"/>
  <c r="BC64" i="1"/>
  <c r="BA208" i="1"/>
  <c r="BC208" i="1"/>
  <c r="X46" i="1"/>
  <c r="BA46" i="1"/>
  <c r="BC46" i="1"/>
  <c r="X13" i="1"/>
  <c r="Y13" i="1" s="1"/>
  <c r="BA13" i="1"/>
  <c r="BC13" i="1"/>
  <c r="X22" i="1"/>
  <c r="Y22" i="1" s="1"/>
  <c r="BA22" i="1"/>
  <c r="BC22" i="1"/>
  <c r="X186" i="1"/>
  <c r="Y186" i="1" s="1"/>
  <c r="BA186" i="1"/>
  <c r="BC186" i="1"/>
  <c r="X150" i="1"/>
  <c r="Y150" i="1" s="1"/>
  <c r="BA150" i="1"/>
  <c r="BC150" i="1"/>
  <c r="X105" i="1"/>
  <c r="Y105" i="1" s="1"/>
  <c r="BC105" i="1"/>
  <c r="BA105" i="1"/>
  <c r="X229" i="1"/>
  <c r="BC229" i="1"/>
  <c r="BA229" i="1"/>
  <c r="BA232" i="1"/>
  <c r="BC232" i="1"/>
  <c r="BA135" i="1"/>
  <c r="BC135" i="1"/>
  <c r="X139" i="1"/>
  <c r="Y139" i="1" s="1"/>
  <c r="BC139" i="1"/>
  <c r="BA139" i="1"/>
  <c r="X165" i="1"/>
  <c r="Y165" i="1" s="1"/>
  <c r="BC165" i="1"/>
  <c r="BA165" i="1"/>
  <c r="X166" i="1"/>
  <c r="Y166" i="1" s="1"/>
  <c r="BC166" i="1"/>
  <c r="BA166" i="1"/>
  <c r="X49" i="1"/>
  <c r="Y49" i="1" s="1"/>
  <c r="BC49" i="1"/>
  <c r="BA49" i="1"/>
  <c r="X56" i="1"/>
  <c r="Y56" i="1" s="1"/>
  <c r="BA56" i="1"/>
  <c r="BC56" i="1"/>
  <c r="X122" i="1"/>
  <c r="Y122" i="1" s="1"/>
  <c r="BA122" i="1"/>
  <c r="BC122" i="1"/>
  <c r="X107" i="1"/>
  <c r="Y107" i="1" s="1"/>
  <c r="BC107" i="1"/>
  <c r="BA107" i="1"/>
  <c r="X42" i="1"/>
  <c r="Y42" i="1" s="1"/>
  <c r="BA42" i="1"/>
  <c r="BC42" i="1"/>
  <c r="BA124" i="1"/>
  <c r="BC124" i="1"/>
  <c r="X21" i="1"/>
  <c r="Y21" i="1" s="1"/>
  <c r="BC21" i="1"/>
  <c r="BA21" i="1"/>
  <c r="X110" i="1"/>
  <c r="Y110" i="1" s="1"/>
  <c r="BA110" i="1"/>
  <c r="BC110" i="1"/>
  <c r="BA235" i="1"/>
  <c r="BC235" i="1"/>
  <c r="BC228" i="1"/>
  <c r="BA228" i="1"/>
  <c r="X16" i="1"/>
  <c r="Y16" i="1" s="1"/>
  <c r="BC16" i="1"/>
  <c r="BA16" i="1"/>
  <c r="X210" i="1"/>
  <c r="Y210" i="1" s="1"/>
  <c r="BA210" i="1"/>
  <c r="BC210" i="1"/>
  <c r="X185" i="1"/>
  <c r="Y185" i="1" s="1"/>
  <c r="BA185" i="1"/>
  <c r="BC185" i="1"/>
  <c r="X87" i="1"/>
  <c r="Y87" i="1" s="1"/>
  <c r="BA87" i="1"/>
  <c r="BC87" i="1"/>
  <c r="X91" i="1"/>
  <c r="Y91" i="1" s="1"/>
  <c r="BC91" i="1"/>
  <c r="BA91" i="1"/>
  <c r="X33" i="1"/>
  <c r="Y33" i="1" s="1"/>
  <c r="BC33" i="1"/>
  <c r="BA33" i="1"/>
  <c r="X104" i="1"/>
  <c r="Y104" i="1" s="1"/>
  <c r="BA104" i="1"/>
  <c r="BC104" i="1"/>
  <c r="X109" i="1"/>
  <c r="Y109" i="1" s="1"/>
  <c r="BC109" i="1"/>
  <c r="BA109" i="1"/>
  <c r="X35" i="1"/>
  <c r="Y35" i="1" s="1"/>
  <c r="BC35" i="1"/>
  <c r="BA35" i="1"/>
  <c r="X225" i="1"/>
  <c r="Y225" i="1" s="1"/>
  <c r="BA225" i="1"/>
  <c r="BC225" i="1"/>
  <c r="X134" i="1"/>
  <c r="Y134" i="1" s="1"/>
  <c r="BC134" i="1"/>
  <c r="BA134" i="1"/>
  <c r="X138" i="1"/>
  <c r="Y138" i="1" s="1"/>
  <c r="BC138" i="1"/>
  <c r="BA138" i="1"/>
  <c r="X164" i="1"/>
  <c r="Y164" i="1" s="1"/>
  <c r="BC164" i="1"/>
  <c r="BA164" i="1"/>
  <c r="X178" i="1"/>
  <c r="Y178" i="1" s="1"/>
  <c r="BC178" i="1"/>
  <c r="BA178" i="1"/>
  <c r="X179" i="1"/>
  <c r="Y179" i="1" s="1"/>
  <c r="BA179" i="1"/>
  <c r="BC179" i="1"/>
  <c r="X158" i="1"/>
  <c r="Y158" i="1" s="1"/>
  <c r="BA158" i="1"/>
  <c r="BC158" i="1"/>
  <c r="X38" i="1"/>
  <c r="Y38" i="1" s="1"/>
  <c r="BA38" i="1"/>
  <c r="BC38" i="1"/>
  <c r="X121" i="1"/>
  <c r="Y121" i="1" s="1"/>
  <c r="BC121" i="1"/>
  <c r="BA121" i="1"/>
  <c r="BA76" i="1"/>
  <c r="BC76" i="1"/>
  <c r="X194" i="1"/>
  <c r="Y194" i="1" s="1"/>
  <c r="BA194" i="1"/>
  <c r="BC194" i="1"/>
  <c r="X48" i="1"/>
  <c r="Y48" i="1" s="1"/>
  <c r="BA48" i="1"/>
  <c r="BC48" i="1"/>
  <c r="X126" i="1"/>
  <c r="Y126" i="1" s="1"/>
  <c r="BC126" i="1"/>
  <c r="BA126" i="1"/>
  <c r="BC128" i="1"/>
  <c r="BA128" i="1"/>
  <c r="X149" i="1"/>
  <c r="Y149" i="1" s="1"/>
  <c r="BA149" i="1"/>
  <c r="BC149" i="1"/>
  <c r="X86" i="1"/>
  <c r="Y86" i="1" s="1"/>
  <c r="BA86" i="1"/>
  <c r="BC86" i="1"/>
  <c r="AF193" i="1"/>
  <c r="AB107" i="1"/>
  <c r="AC107" i="1" s="1"/>
  <c r="AL92" i="1"/>
  <c r="AL7" i="1"/>
  <c r="AB7" i="1" s="1"/>
  <c r="AC7" i="1" s="1"/>
  <c r="AL95" i="1"/>
  <c r="AB95" i="1" s="1"/>
  <c r="AC95" i="1" s="1"/>
  <c r="AL192" i="1"/>
  <c r="AB192" i="1" s="1"/>
  <c r="AC192" i="1" s="1"/>
  <c r="AB110" i="1"/>
  <c r="AC110" i="1" s="1"/>
  <c r="AF17" i="1"/>
  <c r="AL57" i="1"/>
  <c r="AF94" i="1"/>
  <c r="AF109" i="1"/>
  <c r="AL199" i="1"/>
  <c r="AF13" i="1"/>
  <c r="AE95" i="1"/>
  <c r="AE193" i="1"/>
  <c r="AL17" i="1"/>
  <c r="AF22" i="1"/>
  <c r="AB213" i="1"/>
  <c r="AC213" i="1" s="1"/>
  <c r="AL101" i="1"/>
  <c r="AF119" i="1"/>
  <c r="AF129" i="1"/>
  <c r="AL36" i="1"/>
  <c r="AF151" i="1"/>
  <c r="AL129" i="1"/>
  <c r="AE13" i="1"/>
  <c r="AE15" i="1"/>
  <c r="AL31" i="1"/>
  <c r="AF241" i="1"/>
  <c r="AF57" i="1"/>
  <c r="AL94" i="1"/>
  <c r="AF244" i="1"/>
  <c r="AE64" i="1"/>
  <c r="AF166" i="1"/>
  <c r="AE128" i="1"/>
  <c r="AF91" i="1"/>
  <c r="AF211" i="1"/>
  <c r="AL157" i="1"/>
  <c r="AF128" i="1"/>
  <c r="AL111" i="1"/>
  <c r="AL147" i="1"/>
  <c r="AF112" i="1"/>
  <c r="AE211" i="1"/>
  <c r="AF89" i="1"/>
  <c r="AF210" i="1"/>
  <c r="AF108" i="1"/>
  <c r="AE37" i="1"/>
  <c r="AB134" i="1"/>
  <c r="AC134" i="1" s="1"/>
  <c r="AF187" i="1"/>
  <c r="AE170" i="1"/>
  <c r="AL24" i="1"/>
  <c r="AF87" i="1"/>
  <c r="AL88" i="1"/>
  <c r="AL89" i="1"/>
  <c r="AL100" i="1"/>
  <c r="AE33" i="1"/>
  <c r="AL37" i="1"/>
  <c r="AE222" i="1"/>
  <c r="AE224" i="1"/>
  <c r="AE226" i="1"/>
  <c r="AE225" i="1"/>
  <c r="AE232" i="1"/>
  <c r="AF172" i="1"/>
  <c r="AL151" i="1"/>
  <c r="AE120" i="1"/>
  <c r="AE194" i="1"/>
  <c r="AF80" i="1"/>
  <c r="AF178" i="1"/>
  <c r="AB132" i="1"/>
  <c r="AC132" i="1" s="1"/>
  <c r="AF33" i="1"/>
  <c r="AF224" i="1"/>
  <c r="AF226" i="1"/>
  <c r="AF225" i="1"/>
  <c r="AF232" i="1"/>
  <c r="AF146" i="1"/>
  <c r="AE147" i="1"/>
  <c r="AF120" i="1"/>
  <c r="AF194" i="1"/>
  <c r="AL65" i="1"/>
  <c r="AL51" i="1"/>
  <c r="AF64" i="1"/>
  <c r="AF199" i="1"/>
  <c r="AE87" i="1"/>
  <c r="AL93" i="1"/>
  <c r="AL98" i="1"/>
  <c r="AB226" i="1"/>
  <c r="AC226" i="1" s="1"/>
  <c r="AL146" i="1"/>
  <c r="AL130" i="1"/>
  <c r="AB53" i="1"/>
  <c r="AC53" i="1" s="1"/>
  <c r="AE11" i="1"/>
  <c r="AE14" i="1"/>
  <c r="AE177" i="1"/>
  <c r="AE42" i="1"/>
  <c r="AF117" i="1"/>
  <c r="AL12" i="1"/>
  <c r="AF14" i="1"/>
  <c r="AF18" i="1"/>
  <c r="AE27" i="1"/>
  <c r="AF83" i="1"/>
  <c r="AE104" i="1"/>
  <c r="AF221" i="1"/>
  <c r="AE154" i="1"/>
  <c r="AE230" i="1"/>
  <c r="AE188" i="1"/>
  <c r="AE205" i="1"/>
  <c r="AF189" i="1"/>
  <c r="AF190" i="1"/>
  <c r="AE136" i="1"/>
  <c r="AE137" i="1"/>
  <c r="AF42" i="1"/>
  <c r="AF47" i="1"/>
  <c r="AE48" i="1"/>
  <c r="AF49" i="1"/>
  <c r="AL116" i="1"/>
  <c r="AE126" i="1"/>
  <c r="AF127" i="1"/>
  <c r="AL80" i="1"/>
  <c r="AE18" i="1"/>
  <c r="AF136" i="1"/>
  <c r="AF137" i="1"/>
  <c r="AL41" i="1"/>
  <c r="AF48" i="1"/>
  <c r="AL117" i="1"/>
  <c r="AB117" i="1" s="1"/>
  <c r="AC117" i="1" s="1"/>
  <c r="AF126" i="1"/>
  <c r="AL127" i="1"/>
  <c r="AF104" i="1"/>
  <c r="AE185" i="1"/>
  <c r="AE23" i="1"/>
  <c r="AL27" i="1"/>
  <c r="AL83" i="1"/>
  <c r="AE197" i="1"/>
  <c r="AE161" i="1"/>
  <c r="AL47" i="1"/>
  <c r="AE53" i="1"/>
  <c r="AE121" i="1"/>
  <c r="AE214" i="1"/>
  <c r="AL11" i="1"/>
  <c r="AF185" i="1"/>
  <c r="AE186" i="1"/>
  <c r="AF23" i="1"/>
  <c r="AE92" i="1"/>
  <c r="AE98" i="1"/>
  <c r="AE36" i="1"/>
  <c r="AB136" i="1"/>
  <c r="AC136" i="1" s="1"/>
  <c r="AE168" i="1"/>
  <c r="AE157" i="1"/>
  <c r="AL160" i="1"/>
  <c r="AF161" i="1"/>
  <c r="AF38" i="1"/>
  <c r="AF52" i="1"/>
  <c r="AF53" i="1"/>
  <c r="AE54" i="1"/>
  <c r="AF56" i="1"/>
  <c r="AF121" i="1"/>
  <c r="AE61" i="1"/>
  <c r="AE65" i="1"/>
  <c r="AL70" i="1"/>
  <c r="AE215" i="1"/>
  <c r="AL82" i="1"/>
  <c r="AL198" i="1"/>
  <c r="AL97" i="1"/>
  <c r="AE100" i="1"/>
  <c r="AE31" i="1"/>
  <c r="AL197" i="1"/>
  <c r="AF168" i="1"/>
  <c r="AE173" i="1"/>
  <c r="AL52" i="1"/>
  <c r="AF54" i="1"/>
  <c r="AL55" i="1"/>
  <c r="AB125" i="1"/>
  <c r="AC125" i="1" s="1"/>
  <c r="AF61" i="1"/>
  <c r="AL214" i="1"/>
  <c r="AE49" i="1"/>
  <c r="AE22" i="1"/>
  <c r="AF93" i="1"/>
  <c r="AE132" i="1"/>
  <c r="AL96" i="1"/>
  <c r="AE101" i="1"/>
  <c r="AE109" i="1"/>
  <c r="AE112" i="1"/>
  <c r="AE206" i="1"/>
  <c r="AF207" i="1"/>
  <c r="AF173" i="1"/>
  <c r="AB56" i="1"/>
  <c r="AC56" i="1" s="1"/>
  <c r="AL143" i="1"/>
  <c r="AF143" i="1"/>
  <c r="AE19" i="1"/>
  <c r="AE90" i="1"/>
  <c r="AE150" i="1"/>
  <c r="AL102" i="1"/>
  <c r="AL103" i="1"/>
  <c r="AE105" i="1"/>
  <c r="AE138" i="1"/>
  <c r="AE139" i="1"/>
  <c r="AL141" i="1"/>
  <c r="AB141" i="1" s="1"/>
  <c r="AC141" i="1" s="1"/>
  <c r="AF141" i="1"/>
  <c r="AL142" i="1"/>
  <c r="AF142" i="1"/>
  <c r="AE143" i="1"/>
  <c r="AL44" i="1"/>
  <c r="AF44" i="1"/>
  <c r="AE44" i="1"/>
  <c r="AL73" i="1"/>
  <c r="AF73" i="1"/>
  <c r="AE73" i="1"/>
  <c r="AF19" i="1"/>
  <c r="AE210" i="1"/>
  <c r="AF186" i="1"/>
  <c r="AE29" i="1"/>
  <c r="AF90" i="1"/>
  <c r="AE91" i="1"/>
  <c r="AF150" i="1"/>
  <c r="AE99" i="1"/>
  <c r="AE32" i="1"/>
  <c r="AF105" i="1"/>
  <c r="AE106" i="1"/>
  <c r="AE108" i="1"/>
  <c r="AL206" i="1"/>
  <c r="AL187" i="1"/>
  <c r="AL227" i="1"/>
  <c r="AE227" i="1"/>
  <c r="AE233" i="1"/>
  <c r="AF138" i="1"/>
  <c r="AF139" i="1"/>
  <c r="AE140" i="1"/>
  <c r="AE142" i="1"/>
  <c r="AL67" i="1"/>
  <c r="AF67" i="1"/>
  <c r="AE67" i="1"/>
  <c r="AB21" i="1"/>
  <c r="AC21" i="1" s="1"/>
  <c r="AF32" i="1"/>
  <c r="AL133" i="1"/>
  <c r="X133" i="1" s="1"/>
  <c r="Y133" i="1" s="1"/>
  <c r="AF133" i="1"/>
  <c r="AE133" i="1"/>
  <c r="AF140" i="1"/>
  <c r="AL62" i="1"/>
  <c r="AF62" i="1"/>
  <c r="AE62" i="1"/>
  <c r="AF15" i="1"/>
  <c r="AE16" i="1"/>
  <c r="AE213" i="1"/>
  <c r="AE25" i="1"/>
  <c r="AF132" i="1"/>
  <c r="AB105" i="1"/>
  <c r="AC105" i="1" s="1"/>
  <c r="AL106" i="1"/>
  <c r="AL219" i="1"/>
  <c r="AF219" i="1"/>
  <c r="AE219" i="1"/>
  <c r="AL239" i="1"/>
  <c r="AF239" i="1"/>
  <c r="AL175" i="1"/>
  <c r="AF175" i="1"/>
  <c r="AL148" i="1"/>
  <c r="AF148" i="1"/>
  <c r="AL155" i="1"/>
  <c r="AF155" i="1"/>
  <c r="AL59" i="1"/>
  <c r="AF59" i="1"/>
  <c r="AE59" i="1"/>
  <c r="AE118" i="1"/>
  <c r="AL118" i="1"/>
  <c r="AL152" i="1"/>
  <c r="AF152" i="1"/>
  <c r="AL66" i="1"/>
  <c r="AF66" i="1"/>
  <c r="AE111" i="1"/>
  <c r="AE35" i="1"/>
  <c r="AE7" i="1"/>
  <c r="AF229" i="1"/>
  <c r="AE237" i="1"/>
  <c r="AF85" i="1"/>
  <c r="AE85" i="1"/>
  <c r="AE239" i="1"/>
  <c r="AE179" i="1"/>
  <c r="AE174" i="1"/>
  <c r="AE175" i="1"/>
  <c r="AE148" i="1"/>
  <c r="AE155" i="1"/>
  <c r="AE158" i="1"/>
  <c r="AL159" i="1"/>
  <c r="AF159" i="1"/>
  <c r="AE159" i="1"/>
  <c r="AE58" i="1"/>
  <c r="AL58" i="1"/>
  <c r="AF118" i="1"/>
  <c r="AB124" i="1"/>
  <c r="AC124" i="1" s="1"/>
  <c r="AE152" i="1"/>
  <c r="AE60" i="1"/>
  <c r="AL60" i="1"/>
  <c r="AF99" i="1"/>
  <c r="AL43" i="1"/>
  <c r="AF43" i="1"/>
  <c r="AF213" i="1"/>
  <c r="AF25" i="1"/>
  <c r="AL29" i="1"/>
  <c r="AE88" i="1"/>
  <c r="AE34" i="1"/>
  <c r="AF209" i="1"/>
  <c r="AF184" i="1"/>
  <c r="AF223" i="1"/>
  <c r="AF8" i="1"/>
  <c r="AF9" i="1"/>
  <c r="AF10" i="1"/>
  <c r="AE12" i="1"/>
  <c r="AE198" i="1"/>
  <c r="AE82" i="1"/>
  <c r="AF96" i="1"/>
  <c r="AE97" i="1"/>
  <c r="AE102" i="1"/>
  <c r="AE103" i="1"/>
  <c r="AF35" i="1"/>
  <c r="AF237" i="1"/>
  <c r="AF196" i="1"/>
  <c r="AE196" i="1"/>
  <c r="AL163" i="1"/>
  <c r="AF163" i="1"/>
  <c r="AE163" i="1"/>
  <c r="AF179" i="1"/>
  <c r="AF158" i="1"/>
  <c r="AE38" i="1"/>
  <c r="AL39" i="1"/>
  <c r="AF39" i="1"/>
  <c r="AE39" i="1"/>
  <c r="AL45" i="1"/>
  <c r="AF45" i="1"/>
  <c r="AE45" i="1"/>
  <c r="AF58" i="1"/>
  <c r="AL74" i="1"/>
  <c r="AF74" i="1"/>
  <c r="AE74" i="1"/>
  <c r="AF60" i="1"/>
  <c r="AL77" i="1"/>
  <c r="AF77" i="1"/>
  <c r="AE77" i="1"/>
  <c r="AB25" i="1"/>
  <c r="AC25" i="1" s="1"/>
  <c r="AF242" i="1"/>
  <c r="AE242" i="1"/>
  <c r="AF16" i="1"/>
  <c r="AB15" i="1"/>
  <c r="AC15" i="1" s="1"/>
  <c r="AL34" i="1"/>
  <c r="AL144" i="1"/>
  <c r="AF144" i="1"/>
  <c r="AE144" i="1"/>
  <c r="AB76" i="1"/>
  <c r="AC76" i="1" s="1"/>
  <c r="AL236" i="1"/>
  <c r="AF236" i="1"/>
  <c r="AE236" i="1"/>
  <c r="AB120" i="1"/>
  <c r="AC120" i="1" s="1"/>
  <c r="AL63" i="1"/>
  <c r="AL191" i="1"/>
  <c r="AE145" i="1"/>
  <c r="AE162" i="1"/>
  <c r="AE156" i="1"/>
  <c r="AE50" i="1"/>
  <c r="AE114" i="1"/>
  <c r="AE122" i="1"/>
  <c r="AE124" i="1"/>
  <c r="AE149" i="1"/>
  <c r="AE76" i="1"/>
  <c r="AE63" i="1"/>
  <c r="AE86" i="1"/>
  <c r="AE69" i="1"/>
  <c r="AL68" i="1"/>
  <c r="AE245" i="1"/>
  <c r="AE247" i="1"/>
  <c r="AE134" i="1"/>
  <c r="AE164" i="1"/>
  <c r="AE165" i="1"/>
  <c r="AF145" i="1"/>
  <c r="AF162" i="1"/>
  <c r="AF156" i="1"/>
  <c r="AE160" i="1"/>
  <c r="AE40" i="1"/>
  <c r="Y46" i="1"/>
  <c r="AF50" i="1"/>
  <c r="AE55" i="1"/>
  <c r="AF114" i="1"/>
  <c r="AE115" i="1"/>
  <c r="AF122" i="1"/>
  <c r="AE123" i="1"/>
  <c r="AF124" i="1"/>
  <c r="AF149" i="1"/>
  <c r="AE191" i="1"/>
  <c r="AE75" i="1"/>
  <c r="AF76" i="1"/>
  <c r="AE192" i="1"/>
  <c r="AE130" i="1"/>
  <c r="AF86" i="1"/>
  <c r="AE68" i="1"/>
  <c r="AF69" i="1"/>
  <c r="AE70" i="1"/>
  <c r="AE71" i="1"/>
  <c r="AE72" i="1"/>
  <c r="AL115" i="1"/>
  <c r="AF134" i="1"/>
  <c r="AE135" i="1"/>
  <c r="AF164" i="1"/>
  <c r="AF165" i="1"/>
  <c r="AE167" i="1"/>
  <c r="AB38" i="1"/>
  <c r="AC38" i="1" s="1"/>
  <c r="AF40" i="1"/>
  <c r="AE41" i="1"/>
  <c r="AE46" i="1"/>
  <c r="AE51" i="1"/>
  <c r="AE116" i="1"/>
  <c r="AF123" i="1"/>
  <c r="AE125" i="1"/>
  <c r="AE21" i="1"/>
  <c r="AF135" i="1"/>
  <c r="AF167" i="1"/>
  <c r="AE172" i="1"/>
  <c r="AE178" i="1"/>
  <c r="AE166" i="1"/>
  <c r="AF46" i="1"/>
  <c r="AE56" i="1"/>
  <c r="AF125" i="1"/>
  <c r="AB61" i="1"/>
  <c r="AC61" i="1" s="1"/>
  <c r="AF21" i="1"/>
  <c r="AB128" i="1"/>
  <c r="AC128" i="1" s="1"/>
  <c r="AB16" i="1"/>
  <c r="AC16" i="1" s="1"/>
  <c r="AB13" i="1"/>
  <c r="AC13" i="1" s="1"/>
  <c r="AB23" i="1"/>
  <c r="AC23" i="1" s="1"/>
  <c r="AB90" i="1"/>
  <c r="AC90" i="1" s="1"/>
  <c r="AB150" i="1"/>
  <c r="AC150" i="1" s="1"/>
  <c r="AB158" i="1"/>
  <c r="AC158" i="1" s="1"/>
  <c r="AB228" i="1"/>
  <c r="AC228" i="1" s="1"/>
  <c r="AB49" i="1"/>
  <c r="AC49" i="1" s="1"/>
  <c r="AB235" i="1"/>
  <c r="AC235" i="1" s="1"/>
  <c r="AB211" i="1"/>
  <c r="AC211" i="1" s="1"/>
  <c r="AL75" i="1"/>
  <c r="O75" i="1"/>
  <c r="O71" i="1"/>
  <c r="AL71" i="1"/>
  <c r="X64" i="1"/>
  <c r="Y64" i="1" s="1"/>
  <c r="AB64" i="1"/>
  <c r="AC64" i="1" s="1"/>
  <c r="X193" i="1"/>
  <c r="Y193" i="1" s="1"/>
  <c r="AB193" i="1"/>
  <c r="AC193" i="1" s="1"/>
  <c r="X232" i="1"/>
  <c r="Y232" i="1" s="1"/>
  <c r="AB232" i="1"/>
  <c r="AC232" i="1" s="1"/>
  <c r="O72" i="1"/>
  <c r="AL72" i="1"/>
  <c r="AB225" i="1"/>
  <c r="AC225" i="1" s="1"/>
  <c r="X135" i="1"/>
  <c r="Y135" i="1" s="1"/>
  <c r="AB135" i="1"/>
  <c r="AC135" i="1" s="1"/>
  <c r="AB139" i="1"/>
  <c r="AC139" i="1" s="1"/>
  <c r="AB178" i="1"/>
  <c r="AC178" i="1" s="1"/>
  <c r="AB166" i="1"/>
  <c r="AC166" i="1" s="1"/>
  <c r="AK73" i="1"/>
  <c r="X137" i="1"/>
  <c r="Y137" i="1" s="1"/>
  <c r="AB137" i="1"/>
  <c r="AC137" i="1" s="1"/>
  <c r="AB179" i="1"/>
  <c r="AC179" i="1" s="1"/>
  <c r="AB149" i="1"/>
  <c r="AC149" i="1" s="1"/>
  <c r="O63" i="1"/>
  <c r="AK69" i="1"/>
  <c r="AK124" i="1"/>
  <c r="AK76" i="1"/>
  <c r="AJ67" i="1"/>
  <c r="X69" i="1"/>
  <c r="Y69" i="1" s="1"/>
  <c r="AB42" i="1"/>
  <c r="AC42" i="1" s="1"/>
  <c r="AB50" i="1"/>
  <c r="AC50" i="1" s="1"/>
  <c r="X114" i="1"/>
  <c r="Y114" i="1" s="1"/>
  <c r="AB114" i="1"/>
  <c r="AC114" i="1" s="1"/>
  <c r="AB123" i="1"/>
  <c r="AC123" i="1" s="1"/>
  <c r="O128" i="1"/>
  <c r="AB140" i="1"/>
  <c r="AC140" i="1" s="1"/>
  <c r="AB48" i="1"/>
  <c r="AC48" i="1" s="1"/>
  <c r="AB122" i="1"/>
  <c r="AC122" i="1" s="1"/>
  <c r="AB86" i="1"/>
  <c r="AC86" i="1" s="1"/>
  <c r="O68" i="1"/>
  <c r="AB109" i="1"/>
  <c r="AC109" i="1" s="1"/>
  <c r="AB18" i="1"/>
  <c r="AC18" i="1" s="1"/>
  <c r="AB186" i="1"/>
  <c r="AC186" i="1" s="1"/>
  <c r="AK116" i="1"/>
  <c r="O123" i="1"/>
  <c r="AJ129" i="1"/>
  <c r="AJ61" i="1"/>
  <c r="AK77" i="1"/>
  <c r="AL119" i="1"/>
  <c r="O119" i="1"/>
  <c r="AB22" i="1"/>
  <c r="AC22" i="1" s="1"/>
  <c r="AB185" i="1"/>
  <c r="AC185" i="1" s="1"/>
  <c r="AB35" i="1"/>
  <c r="AC35" i="1" s="1"/>
  <c r="AB164" i="1"/>
  <c r="AC164" i="1" s="1"/>
  <c r="AB165" i="1"/>
  <c r="AC165" i="1" s="1"/>
  <c r="AB168" i="1"/>
  <c r="AC168" i="1" s="1"/>
  <c r="AB121" i="1"/>
  <c r="AC121" i="1" s="1"/>
  <c r="X124" i="1"/>
  <c r="Y124" i="1" s="1"/>
  <c r="AB126" i="1"/>
  <c r="AC126" i="1" s="1"/>
  <c r="AJ60" i="1"/>
  <c r="AJ70" i="1"/>
  <c r="AB14" i="1"/>
  <c r="AC14" i="1" s="1"/>
  <c r="AB33" i="1"/>
  <c r="AC33" i="1" s="1"/>
  <c r="AB104" i="1"/>
  <c r="AC104" i="1" s="1"/>
  <c r="AB224" i="1"/>
  <c r="AC224" i="1" s="1"/>
  <c r="O44" i="1"/>
  <c r="AJ46" i="1"/>
  <c r="AB46" i="1"/>
  <c r="AC46" i="1" s="1"/>
  <c r="AJ54" i="1"/>
  <c r="AB54" i="1"/>
  <c r="AC54" i="1" s="1"/>
  <c r="AJ116" i="1"/>
  <c r="AJ121" i="1"/>
  <c r="AJ192" i="1"/>
  <c r="AB19" i="1"/>
  <c r="AC19" i="1" s="1"/>
  <c r="AB87" i="1"/>
  <c r="AC87" i="1" s="1"/>
  <c r="X53" i="1"/>
  <c r="Y53" i="1" s="1"/>
  <c r="AJ117" i="1"/>
  <c r="X120" i="1"/>
  <c r="Y120" i="1" s="1"/>
  <c r="X76" i="1"/>
  <c r="Y76" i="1" s="1"/>
  <c r="AJ66" i="1"/>
  <c r="AB210" i="1"/>
  <c r="AC210" i="1" s="1"/>
  <c r="AB91" i="1"/>
  <c r="AC91" i="1" s="1"/>
  <c r="AB167" i="1"/>
  <c r="AC167" i="1" s="1"/>
  <c r="X161" i="1"/>
  <c r="Y161" i="1" s="1"/>
  <c r="AJ42" i="1"/>
  <c r="AJ50" i="1"/>
  <c r="AJ58" i="1"/>
  <c r="AJ125" i="1"/>
  <c r="X128" i="1"/>
  <c r="Y128" i="1" s="1"/>
  <c r="AJ74" i="1"/>
  <c r="AB194" i="1"/>
  <c r="AC194" i="1" s="1"/>
  <c r="AJ130" i="1"/>
  <c r="AB69" i="1"/>
  <c r="AC69" i="1" s="1"/>
  <c r="AJ72" i="1"/>
  <c r="O20" i="1"/>
  <c r="AK20" i="1"/>
  <c r="AL153" i="1"/>
  <c r="AL240" i="1"/>
  <c r="AF240" i="1"/>
  <c r="AE240" i="1"/>
  <c r="AL216" i="1"/>
  <c r="AF216" i="1"/>
  <c r="AE216" i="1"/>
  <c r="AL203" i="1"/>
  <c r="AF203" i="1"/>
  <c r="AE203" i="1"/>
  <c r="AL238" i="1"/>
  <c r="AF238" i="1"/>
  <c r="AE238" i="1"/>
  <c r="AL10" i="1"/>
  <c r="AL220" i="1"/>
  <c r="AL209" i="1"/>
  <c r="AL184" i="1"/>
  <c r="AL223" i="1"/>
  <c r="AL8" i="1"/>
  <c r="AL9" i="1"/>
  <c r="AL217" i="1"/>
  <c r="AF217" i="1"/>
  <c r="AE217" i="1"/>
  <c r="AL81" i="1"/>
  <c r="AF81" i="1"/>
  <c r="AE81" i="1"/>
  <c r="X235" i="1"/>
  <c r="Y235" i="1" s="1"/>
  <c r="X228" i="1"/>
  <c r="Y228" i="1" s="1"/>
  <c r="AL84" i="1"/>
  <c r="AL202" i="1"/>
  <c r="AF202" i="1"/>
  <c r="AE202" i="1"/>
  <c r="AL243" i="1"/>
  <c r="AF243" i="1"/>
  <c r="AE243" i="1"/>
  <c r="AL204" i="1"/>
  <c r="AF204" i="1"/>
  <c r="AE204" i="1"/>
  <c r="AL212" i="1"/>
  <c r="AF212" i="1"/>
  <c r="AE212" i="1"/>
  <c r="AL234" i="1"/>
  <c r="AF234" i="1"/>
  <c r="AE234" i="1"/>
  <c r="AL171" i="1"/>
  <c r="AF171" i="1"/>
  <c r="AE171" i="1"/>
  <c r="AB237" i="1"/>
  <c r="AC237" i="1" s="1"/>
  <c r="AL131" i="1"/>
  <c r="AB99" i="1"/>
  <c r="AC99" i="1" s="1"/>
  <c r="AB112" i="1"/>
  <c r="AC112" i="1" s="1"/>
  <c r="AL246" i="1"/>
  <c r="AF246" i="1"/>
  <c r="AE246" i="1"/>
  <c r="AB208" i="1"/>
  <c r="AC208" i="1" s="1"/>
  <c r="AB32" i="1"/>
  <c r="AC32" i="1" s="1"/>
  <c r="AB108" i="1"/>
  <c r="AC108" i="1" s="1"/>
  <c r="AL169" i="1"/>
  <c r="AF169" i="1"/>
  <c r="AE169" i="1"/>
  <c r="AL248" i="1"/>
  <c r="AF248" i="1"/>
  <c r="AE248" i="1"/>
  <c r="AL176" i="1"/>
  <c r="AF176" i="1"/>
  <c r="AE176" i="1"/>
  <c r="AL201" i="1"/>
  <c r="AE201" i="1"/>
  <c r="AF201" i="1"/>
  <c r="AL78" i="1"/>
  <c r="AE229" i="1"/>
  <c r="Y229" i="1"/>
  <c r="AL200" i="1"/>
  <c r="AF200" i="1"/>
  <c r="AE200" i="1"/>
  <c r="AL195" i="1"/>
  <c r="AF195" i="1"/>
  <c r="AE195" i="1"/>
  <c r="AB172" i="1"/>
  <c r="AC172" i="1" s="1"/>
  <c r="AL221" i="1"/>
  <c r="AB229" i="1"/>
  <c r="AC229" i="1" s="1"/>
  <c r="AL218" i="1"/>
  <c r="AL241" i="1"/>
  <c r="AL85" i="1"/>
  <c r="AL154" i="1"/>
  <c r="AL177" i="1"/>
  <c r="AL244" i="1"/>
  <c r="AL215" i="1"/>
  <c r="AL196" i="1"/>
  <c r="AL245" i="1"/>
  <c r="AL230" i="1"/>
  <c r="AL222" i="1"/>
  <c r="AL170" i="1"/>
  <c r="AL188" i="1"/>
  <c r="AL205" i="1"/>
  <c r="AL233" i="1"/>
  <c r="AL242" i="1"/>
  <c r="AL247" i="1"/>
  <c r="AL189" i="1"/>
  <c r="AB138" i="1"/>
  <c r="AC138" i="1" s="1"/>
  <c r="AB173" i="1"/>
  <c r="AC173" i="1" s="1"/>
  <c r="AE218" i="1"/>
  <c r="AB145" i="1"/>
  <c r="AC145" i="1" s="1"/>
  <c r="AF218" i="1"/>
  <c r="AL190" i="1"/>
  <c r="AB156" i="1"/>
  <c r="AC156" i="1" s="1"/>
  <c r="AL207" i="1"/>
  <c r="AB40" i="1"/>
  <c r="AC40" i="1" s="1"/>
  <c r="X162" i="1"/>
  <c r="Y162" i="1" s="1"/>
  <c r="AB162" i="1"/>
  <c r="AC162" i="1" s="1"/>
  <c r="AL174" i="1"/>
  <c r="Y168" i="1"/>
  <c r="Y173" i="1"/>
  <c r="AB161" i="1"/>
  <c r="AC161" i="1" s="1"/>
  <c r="AE220" i="1"/>
  <c r="AE235" i="1"/>
  <c r="AE131" i="1"/>
  <c r="AF235" i="1"/>
  <c r="AE228" i="1"/>
  <c r="AF228" i="1"/>
  <c r="AF84" i="1"/>
  <c r="AE24" i="1"/>
  <c r="AF78" i="1"/>
  <c r="X208" i="1"/>
  <c r="Y208" i="1" s="1"/>
  <c r="AE208" i="1"/>
  <c r="AE153" i="1"/>
  <c r="AF208" i="1"/>
  <c r="X215" i="1" l="1"/>
  <c r="Y215" i="1" s="1"/>
  <c r="BA215" i="1"/>
  <c r="BC215" i="1"/>
  <c r="X175" i="1"/>
  <c r="Y175" i="1" s="1"/>
  <c r="BA175" i="1"/>
  <c r="BC175" i="1"/>
  <c r="X244" i="1"/>
  <c r="Y244" i="1" s="1"/>
  <c r="BA244" i="1"/>
  <c r="BC244" i="1"/>
  <c r="X209" i="1"/>
  <c r="Y209" i="1" s="1"/>
  <c r="BA209" i="1"/>
  <c r="BC209" i="1"/>
  <c r="X206" i="1"/>
  <c r="Y206" i="1" s="1"/>
  <c r="BC206" i="1"/>
  <c r="BA206" i="1"/>
  <c r="X116" i="1"/>
  <c r="Y116" i="1" s="1"/>
  <c r="BA116" i="1"/>
  <c r="BC116" i="1"/>
  <c r="X188" i="1"/>
  <c r="Y188" i="1" s="1"/>
  <c r="BC188" i="1"/>
  <c r="BA188" i="1"/>
  <c r="X177" i="1"/>
  <c r="Y177" i="1" s="1"/>
  <c r="BA177" i="1"/>
  <c r="BC177" i="1"/>
  <c r="AB220" i="1"/>
  <c r="AC220" i="1" s="1"/>
  <c r="BC220" i="1"/>
  <c r="BA220" i="1"/>
  <c r="X39" i="1"/>
  <c r="Y39" i="1" s="1"/>
  <c r="BA39" i="1"/>
  <c r="BC39" i="1"/>
  <c r="X60" i="1"/>
  <c r="Y60" i="1" s="1"/>
  <c r="BA60" i="1"/>
  <c r="BC60" i="1"/>
  <c r="X239" i="1"/>
  <c r="Y239" i="1" s="1"/>
  <c r="BA239" i="1"/>
  <c r="BC239" i="1"/>
  <c r="X143" i="1"/>
  <c r="Y143" i="1" s="1"/>
  <c r="BA143" i="1"/>
  <c r="BC143" i="1"/>
  <c r="X55" i="1"/>
  <c r="Y55" i="1" s="1"/>
  <c r="BA55" i="1"/>
  <c r="BC55" i="1"/>
  <c r="X11" i="1"/>
  <c r="Y11" i="1" s="1"/>
  <c r="BA11" i="1"/>
  <c r="BC11" i="1"/>
  <c r="X41" i="1"/>
  <c r="Y41" i="1" s="1"/>
  <c r="BC41" i="1"/>
  <c r="BA41" i="1"/>
  <c r="X170" i="1"/>
  <c r="Y170" i="1" s="1"/>
  <c r="BA170" i="1"/>
  <c r="BC170" i="1"/>
  <c r="X154" i="1"/>
  <c r="Y154" i="1" s="1"/>
  <c r="BA154" i="1"/>
  <c r="BC154" i="1"/>
  <c r="AB78" i="1"/>
  <c r="AC78" i="1" s="1"/>
  <c r="BA78" i="1"/>
  <c r="BC78" i="1"/>
  <c r="X202" i="1"/>
  <c r="Y202" i="1" s="1"/>
  <c r="BA202" i="1"/>
  <c r="BC202" i="1"/>
  <c r="X10" i="1"/>
  <c r="Y10" i="1" s="1"/>
  <c r="BC10" i="1"/>
  <c r="BA10" i="1"/>
  <c r="BA119" i="1"/>
  <c r="BC119" i="1"/>
  <c r="X74" i="1"/>
  <c r="Y74" i="1" s="1"/>
  <c r="BA74" i="1"/>
  <c r="BC74" i="1"/>
  <c r="X159" i="1"/>
  <c r="Y159" i="1" s="1"/>
  <c r="BC159" i="1"/>
  <c r="BA159" i="1"/>
  <c r="X66" i="1"/>
  <c r="Y66" i="1" s="1"/>
  <c r="BA66" i="1"/>
  <c r="BC66" i="1"/>
  <c r="AB133" i="1"/>
  <c r="AC133" i="1" s="1"/>
  <c r="BC133" i="1"/>
  <c r="BA133" i="1"/>
  <c r="X44" i="1"/>
  <c r="Y44" i="1" s="1"/>
  <c r="BA44" i="1"/>
  <c r="BC44" i="1"/>
  <c r="X198" i="1"/>
  <c r="Y198" i="1" s="1"/>
  <c r="BA198" i="1"/>
  <c r="BC198" i="1"/>
  <c r="X130" i="1"/>
  <c r="Y130" i="1" s="1"/>
  <c r="BC130" i="1"/>
  <c r="BA130" i="1"/>
  <c r="X51" i="1"/>
  <c r="Y51" i="1" s="1"/>
  <c r="BC51" i="1"/>
  <c r="BA51" i="1"/>
  <c r="X151" i="1"/>
  <c r="Y151" i="1" s="1"/>
  <c r="BC151" i="1"/>
  <c r="BA151" i="1"/>
  <c r="X147" i="1"/>
  <c r="Y147" i="1" s="1"/>
  <c r="BA147" i="1"/>
  <c r="BC147" i="1"/>
  <c r="X129" i="1"/>
  <c r="Y129" i="1" s="1"/>
  <c r="BC129" i="1"/>
  <c r="BA129" i="1"/>
  <c r="X17" i="1"/>
  <c r="Y17" i="1" s="1"/>
  <c r="BA17" i="1"/>
  <c r="BC17" i="1"/>
  <c r="X205" i="1"/>
  <c r="Y205" i="1" s="1"/>
  <c r="BA205" i="1"/>
  <c r="BC205" i="1"/>
  <c r="X176" i="1"/>
  <c r="Y176" i="1" s="1"/>
  <c r="BA176" i="1"/>
  <c r="BC176" i="1"/>
  <c r="X203" i="1"/>
  <c r="Y203" i="1" s="1"/>
  <c r="BC203" i="1"/>
  <c r="BA203" i="1"/>
  <c r="BA72" i="1"/>
  <c r="BC72" i="1"/>
  <c r="X212" i="1"/>
  <c r="Y212" i="1" s="1"/>
  <c r="BC212" i="1"/>
  <c r="BA212" i="1"/>
  <c r="X236" i="1"/>
  <c r="Y236" i="1" s="1"/>
  <c r="BA236" i="1"/>
  <c r="BC236" i="1"/>
  <c r="X59" i="1"/>
  <c r="Y59" i="1" s="1"/>
  <c r="BA59" i="1"/>
  <c r="BC59" i="1"/>
  <c r="X96" i="1"/>
  <c r="Y96" i="1" s="1"/>
  <c r="BA96" i="1"/>
  <c r="BC96" i="1"/>
  <c r="X97" i="1"/>
  <c r="Y97" i="1" s="1"/>
  <c r="BC97" i="1"/>
  <c r="BA97" i="1"/>
  <c r="X27" i="1"/>
  <c r="Y27" i="1" s="1"/>
  <c r="BC27" i="1"/>
  <c r="BA27" i="1"/>
  <c r="X37" i="1"/>
  <c r="Y37" i="1" s="1"/>
  <c r="BC37" i="1"/>
  <c r="BA37" i="1"/>
  <c r="X57" i="1"/>
  <c r="Y57" i="1" s="1"/>
  <c r="BC57" i="1"/>
  <c r="BA57" i="1"/>
  <c r="X222" i="1"/>
  <c r="Y222" i="1" s="1"/>
  <c r="BC222" i="1"/>
  <c r="BA222" i="1"/>
  <c r="X85" i="1"/>
  <c r="Y85" i="1" s="1"/>
  <c r="BC85" i="1"/>
  <c r="BA85" i="1"/>
  <c r="X248" i="1"/>
  <c r="Y248" i="1" s="1"/>
  <c r="BC248" i="1"/>
  <c r="BA248" i="1"/>
  <c r="X171" i="1"/>
  <c r="Y171" i="1" s="1"/>
  <c r="BA171" i="1"/>
  <c r="BC171" i="1"/>
  <c r="AB84" i="1"/>
  <c r="AC84" i="1" s="1"/>
  <c r="BA84" i="1"/>
  <c r="BC84" i="1"/>
  <c r="X217" i="1"/>
  <c r="Y217" i="1" s="1"/>
  <c r="BA217" i="1"/>
  <c r="BC217" i="1"/>
  <c r="X216" i="1"/>
  <c r="Y216" i="1" s="1"/>
  <c r="BA216" i="1"/>
  <c r="BC216" i="1"/>
  <c r="BA75" i="1"/>
  <c r="BC75" i="1"/>
  <c r="X29" i="1"/>
  <c r="Y29" i="1" s="1"/>
  <c r="BC29" i="1"/>
  <c r="BA29" i="1"/>
  <c r="X155" i="1"/>
  <c r="Y155" i="1" s="1"/>
  <c r="BA155" i="1"/>
  <c r="BC155" i="1"/>
  <c r="X103" i="1"/>
  <c r="Y103" i="1" s="1"/>
  <c r="BA103" i="1"/>
  <c r="BC103" i="1"/>
  <c r="AB52" i="1"/>
  <c r="AC52" i="1" s="1"/>
  <c r="BA52" i="1"/>
  <c r="BC52" i="1"/>
  <c r="X82" i="1"/>
  <c r="Y82" i="1" s="1"/>
  <c r="BA82" i="1"/>
  <c r="BC82" i="1"/>
  <c r="X12" i="1"/>
  <c r="Y12" i="1" s="1"/>
  <c r="BA12" i="1"/>
  <c r="BC12" i="1"/>
  <c r="X146" i="1"/>
  <c r="Y146" i="1" s="1"/>
  <c r="BC146" i="1"/>
  <c r="BA146" i="1"/>
  <c r="X65" i="1"/>
  <c r="Y65" i="1" s="1"/>
  <c r="BC65" i="1"/>
  <c r="BA65" i="1"/>
  <c r="X100" i="1"/>
  <c r="Y100" i="1" s="1"/>
  <c r="BA100" i="1"/>
  <c r="BC100" i="1"/>
  <c r="X111" i="1"/>
  <c r="Y111" i="1" s="1"/>
  <c r="BA111" i="1"/>
  <c r="BC111" i="1"/>
  <c r="X174" i="1"/>
  <c r="Y174" i="1" s="1"/>
  <c r="BC174" i="1"/>
  <c r="BA174" i="1"/>
  <c r="X81" i="1"/>
  <c r="Y81" i="1" s="1"/>
  <c r="BC81" i="1"/>
  <c r="BA81" i="1"/>
  <c r="X189" i="1"/>
  <c r="Y189" i="1" s="1"/>
  <c r="BC189" i="1"/>
  <c r="BA189" i="1"/>
  <c r="X195" i="1"/>
  <c r="Y195" i="1" s="1"/>
  <c r="BA195" i="1"/>
  <c r="BC195" i="1"/>
  <c r="X246" i="1"/>
  <c r="Y246" i="1" s="1"/>
  <c r="BA246" i="1"/>
  <c r="BC246" i="1"/>
  <c r="BC152" i="1"/>
  <c r="BA152" i="1"/>
  <c r="X89" i="1"/>
  <c r="Y89" i="1" s="1"/>
  <c r="BC89" i="1"/>
  <c r="BA89" i="1"/>
  <c r="X36" i="1"/>
  <c r="Y36" i="1" s="1"/>
  <c r="BA36" i="1"/>
  <c r="BC36" i="1"/>
  <c r="X192" i="1"/>
  <c r="Y192" i="1" s="1"/>
  <c r="BC192" i="1"/>
  <c r="BA192" i="1"/>
  <c r="X247" i="1"/>
  <c r="Y247" i="1" s="1"/>
  <c r="BC247" i="1"/>
  <c r="BA247" i="1"/>
  <c r="X245" i="1"/>
  <c r="Y245" i="1" s="1"/>
  <c r="BA245" i="1"/>
  <c r="BC245" i="1"/>
  <c r="X201" i="1"/>
  <c r="Y201" i="1" s="1"/>
  <c r="BA201" i="1"/>
  <c r="BC201" i="1"/>
  <c r="X8" i="1"/>
  <c r="Y8" i="1" s="1"/>
  <c r="BC8" i="1"/>
  <c r="BA8" i="1"/>
  <c r="X238" i="1"/>
  <c r="Y238" i="1" s="1"/>
  <c r="BA238" i="1"/>
  <c r="BC238" i="1"/>
  <c r="X63" i="1"/>
  <c r="Y63" i="1" s="1"/>
  <c r="BC63" i="1"/>
  <c r="BA63" i="1"/>
  <c r="X144" i="1"/>
  <c r="Y144" i="1" s="1"/>
  <c r="BC144" i="1"/>
  <c r="BA144" i="1"/>
  <c r="X118" i="1"/>
  <c r="Y118" i="1" s="1"/>
  <c r="BA118" i="1"/>
  <c r="BC118" i="1"/>
  <c r="X148" i="1"/>
  <c r="Y148" i="1" s="1"/>
  <c r="BC148" i="1"/>
  <c r="BA148" i="1"/>
  <c r="X106" i="1"/>
  <c r="Y106" i="1" s="1"/>
  <c r="BA106" i="1"/>
  <c r="BC106" i="1"/>
  <c r="X142" i="1"/>
  <c r="Y142" i="1" s="1"/>
  <c r="BC142" i="1"/>
  <c r="BA142" i="1"/>
  <c r="X70" i="1"/>
  <c r="Y70" i="1" s="1"/>
  <c r="BA70" i="1"/>
  <c r="BC70" i="1"/>
  <c r="X47" i="1"/>
  <c r="Y47" i="1" s="1"/>
  <c r="BA47" i="1"/>
  <c r="BC47" i="1"/>
  <c r="X127" i="1"/>
  <c r="Y127" i="1" s="1"/>
  <c r="BC127" i="1"/>
  <c r="BA127" i="1"/>
  <c r="X80" i="1"/>
  <c r="Y80" i="1" s="1"/>
  <c r="BA80" i="1"/>
  <c r="BC80" i="1"/>
  <c r="X98" i="1"/>
  <c r="Y98" i="1" s="1"/>
  <c r="BA98" i="1"/>
  <c r="BC98" i="1"/>
  <c r="X88" i="1"/>
  <c r="Y88" i="1" s="1"/>
  <c r="BA88" i="1"/>
  <c r="BC88" i="1"/>
  <c r="X157" i="1"/>
  <c r="Y157" i="1" s="1"/>
  <c r="BA157" i="1"/>
  <c r="BC157" i="1"/>
  <c r="X95" i="1"/>
  <c r="Y95" i="1" s="1"/>
  <c r="BA95" i="1"/>
  <c r="BC95" i="1"/>
  <c r="X184" i="1"/>
  <c r="Y184" i="1" s="1"/>
  <c r="BC184" i="1"/>
  <c r="BA184" i="1"/>
  <c r="X68" i="1"/>
  <c r="Y68" i="1" s="1"/>
  <c r="BA68" i="1"/>
  <c r="BC68" i="1"/>
  <c r="X221" i="1"/>
  <c r="Y221" i="1" s="1"/>
  <c r="BC221" i="1"/>
  <c r="BA221" i="1"/>
  <c r="X207" i="1"/>
  <c r="Y207" i="1" s="1"/>
  <c r="BA207" i="1"/>
  <c r="BC207" i="1"/>
  <c r="X230" i="1"/>
  <c r="Y230" i="1" s="1"/>
  <c r="BC230" i="1"/>
  <c r="BA230" i="1"/>
  <c r="X241" i="1"/>
  <c r="Y241" i="1" s="1"/>
  <c r="BC241" i="1"/>
  <c r="BA241" i="1"/>
  <c r="X204" i="1"/>
  <c r="Y204" i="1" s="1"/>
  <c r="BA204" i="1"/>
  <c r="BC204" i="1"/>
  <c r="X9" i="1"/>
  <c r="Y9" i="1" s="1"/>
  <c r="BA9" i="1"/>
  <c r="BC9" i="1"/>
  <c r="X191" i="1"/>
  <c r="Y191" i="1" s="1"/>
  <c r="BC191" i="1"/>
  <c r="BA191" i="1"/>
  <c r="X219" i="1"/>
  <c r="Y219" i="1" s="1"/>
  <c r="BA219" i="1"/>
  <c r="BC219" i="1"/>
  <c r="X102" i="1"/>
  <c r="Y102" i="1" s="1"/>
  <c r="BA102" i="1"/>
  <c r="BC102" i="1"/>
  <c r="X94" i="1"/>
  <c r="Y94" i="1" s="1"/>
  <c r="BA94" i="1"/>
  <c r="BC94" i="1"/>
  <c r="X190" i="1"/>
  <c r="Y190" i="1" s="1"/>
  <c r="BC190" i="1"/>
  <c r="BA190" i="1"/>
  <c r="X242" i="1"/>
  <c r="Y242" i="1" s="1"/>
  <c r="BC242" i="1"/>
  <c r="BA242" i="1"/>
  <c r="X196" i="1"/>
  <c r="Y196" i="1" s="1"/>
  <c r="BA196" i="1"/>
  <c r="BC196" i="1"/>
  <c r="X218" i="1"/>
  <c r="Y218" i="1" s="1"/>
  <c r="BC218" i="1"/>
  <c r="BA218" i="1"/>
  <c r="X169" i="1"/>
  <c r="Y169" i="1" s="1"/>
  <c r="BA169" i="1"/>
  <c r="BC169" i="1"/>
  <c r="X234" i="1"/>
  <c r="Y234" i="1" s="1"/>
  <c r="BC234" i="1"/>
  <c r="BA234" i="1"/>
  <c r="X223" i="1"/>
  <c r="Y223" i="1" s="1"/>
  <c r="BA223" i="1"/>
  <c r="BC223" i="1"/>
  <c r="X240" i="1"/>
  <c r="Y240" i="1" s="1"/>
  <c r="BA240" i="1"/>
  <c r="BC240" i="1"/>
  <c r="X34" i="1"/>
  <c r="Y34" i="1" s="1"/>
  <c r="BA34" i="1"/>
  <c r="BC34" i="1"/>
  <c r="AB77" i="1"/>
  <c r="AC77" i="1" s="1"/>
  <c r="BC77" i="1"/>
  <c r="BA77" i="1"/>
  <c r="X45" i="1"/>
  <c r="Y45" i="1" s="1"/>
  <c r="BC45" i="1"/>
  <c r="BA45" i="1"/>
  <c r="X58" i="1"/>
  <c r="Y58" i="1" s="1"/>
  <c r="BA58" i="1"/>
  <c r="BC58" i="1"/>
  <c r="X62" i="1"/>
  <c r="Y62" i="1" s="1"/>
  <c r="BA62" i="1"/>
  <c r="BC62" i="1"/>
  <c r="AB227" i="1"/>
  <c r="AC227" i="1" s="1"/>
  <c r="BC227" i="1"/>
  <c r="BA227" i="1"/>
  <c r="X214" i="1"/>
  <c r="Y214" i="1" s="1"/>
  <c r="BA214" i="1"/>
  <c r="BC214" i="1"/>
  <c r="X197" i="1"/>
  <c r="Y197" i="1" s="1"/>
  <c r="BA197" i="1"/>
  <c r="BC197" i="1"/>
  <c r="X93" i="1"/>
  <c r="Y93" i="1" s="1"/>
  <c r="BC93" i="1"/>
  <c r="BA93" i="1"/>
  <c r="X199" i="1"/>
  <c r="Y199" i="1" s="1"/>
  <c r="BC199" i="1"/>
  <c r="BA199" i="1"/>
  <c r="X7" i="1"/>
  <c r="Y7" i="1" s="1"/>
  <c r="BA7" i="1"/>
  <c r="BC7" i="1"/>
  <c r="X233" i="1"/>
  <c r="Y233" i="1" s="1"/>
  <c r="BA233" i="1"/>
  <c r="BC233" i="1"/>
  <c r="X200" i="1"/>
  <c r="Y200" i="1" s="1"/>
  <c r="BA200" i="1"/>
  <c r="BC200" i="1"/>
  <c r="X243" i="1"/>
  <c r="Y243" i="1" s="1"/>
  <c r="BA243" i="1"/>
  <c r="BC243" i="1"/>
  <c r="X115" i="1"/>
  <c r="Y115" i="1" s="1"/>
  <c r="BC115" i="1"/>
  <c r="BA115" i="1"/>
  <c r="X163" i="1"/>
  <c r="Y163" i="1" s="1"/>
  <c r="BC163" i="1"/>
  <c r="BA163" i="1"/>
  <c r="X43" i="1"/>
  <c r="Y43" i="1" s="1"/>
  <c r="BC43" i="1"/>
  <c r="BA43" i="1"/>
  <c r="X67" i="1"/>
  <c r="Y67" i="1" s="1"/>
  <c r="BA67" i="1"/>
  <c r="BC67" i="1"/>
  <c r="X187" i="1"/>
  <c r="Y187" i="1" s="1"/>
  <c r="BA187" i="1"/>
  <c r="BC187" i="1"/>
  <c r="X73" i="1"/>
  <c r="Y73" i="1" s="1"/>
  <c r="BC73" i="1"/>
  <c r="BA73" i="1"/>
  <c r="X141" i="1"/>
  <c r="Y141" i="1" s="1"/>
  <c r="BC141" i="1"/>
  <c r="BA141" i="1"/>
  <c r="X160" i="1"/>
  <c r="Y160" i="1" s="1"/>
  <c r="BA160" i="1"/>
  <c r="BC160" i="1"/>
  <c r="X117" i="1"/>
  <c r="Y117" i="1" s="1"/>
  <c r="BC117" i="1"/>
  <c r="BA117" i="1"/>
  <c r="X24" i="1"/>
  <c r="Y24" i="1" s="1"/>
  <c r="BA24" i="1"/>
  <c r="BC24" i="1"/>
  <c r="X31" i="1"/>
  <c r="Y31" i="1" s="1"/>
  <c r="BA31" i="1"/>
  <c r="BC31" i="1"/>
  <c r="X101" i="1"/>
  <c r="Y101" i="1" s="1"/>
  <c r="BC101" i="1"/>
  <c r="BA101" i="1"/>
  <c r="X92" i="1"/>
  <c r="Y92" i="1" s="1"/>
  <c r="BA92" i="1"/>
  <c r="BC92" i="1"/>
  <c r="AB131" i="1"/>
  <c r="AC131" i="1" s="1"/>
  <c r="BA131" i="1"/>
  <c r="BC131" i="1"/>
  <c r="AB153" i="1"/>
  <c r="AC153" i="1" s="1"/>
  <c r="BA153" i="1"/>
  <c r="BC153" i="1"/>
  <c r="BC71" i="1"/>
  <c r="BA71" i="1"/>
  <c r="X83" i="1"/>
  <c r="Y83" i="1" s="1"/>
  <c r="BA83" i="1"/>
  <c r="BC83" i="1"/>
  <c r="AB129" i="1"/>
  <c r="AC129" i="1" s="1"/>
  <c r="AB17" i="1"/>
  <c r="AC17" i="1" s="1"/>
  <c r="AB57" i="1"/>
  <c r="AC57" i="1" s="1"/>
  <c r="AB92" i="1"/>
  <c r="AC92" i="1" s="1"/>
  <c r="AB101" i="1"/>
  <c r="AC101" i="1" s="1"/>
  <c r="AB116" i="1"/>
  <c r="AC116" i="1" s="1"/>
  <c r="AB11" i="1"/>
  <c r="AC11" i="1" s="1"/>
  <c r="AB27" i="1"/>
  <c r="AC27" i="1" s="1"/>
  <c r="AB82" i="1"/>
  <c r="AC82" i="1" s="1"/>
  <c r="X52" i="1"/>
  <c r="Y52" i="1" s="1"/>
  <c r="X84" i="1"/>
  <c r="Y84" i="1" s="1"/>
  <c r="AB93" i="1"/>
  <c r="AC93" i="1" s="1"/>
  <c r="AB41" i="1"/>
  <c r="AC41" i="1" s="1"/>
  <c r="AB88" i="1"/>
  <c r="AC88" i="1" s="1"/>
  <c r="AB130" i="1"/>
  <c r="AC130" i="1" s="1"/>
  <c r="AB157" i="1"/>
  <c r="AC157" i="1" s="1"/>
  <c r="AB94" i="1"/>
  <c r="AC94" i="1" s="1"/>
  <c r="AB36" i="1"/>
  <c r="AC36" i="1" s="1"/>
  <c r="AB98" i="1"/>
  <c r="AC98" i="1" s="1"/>
  <c r="AB151" i="1"/>
  <c r="AC151" i="1" s="1"/>
  <c r="AB199" i="1"/>
  <c r="AC199" i="1" s="1"/>
  <c r="AB206" i="1"/>
  <c r="AC206" i="1" s="1"/>
  <c r="AB70" i="1"/>
  <c r="AC70" i="1" s="1"/>
  <c r="AB142" i="1"/>
  <c r="AC142" i="1" s="1"/>
  <c r="AB148" i="1"/>
  <c r="AC148" i="1" s="1"/>
  <c r="AB118" i="1"/>
  <c r="AC118" i="1" s="1"/>
  <c r="AB197" i="1"/>
  <c r="AC197" i="1" s="1"/>
  <c r="AB219" i="1"/>
  <c r="AC219" i="1" s="1"/>
  <c r="AB163" i="1"/>
  <c r="AC163" i="1" s="1"/>
  <c r="AB31" i="1"/>
  <c r="AC31" i="1" s="1"/>
  <c r="AB100" i="1"/>
  <c r="AC100" i="1" s="1"/>
  <c r="AB96" i="1"/>
  <c r="AC96" i="1" s="1"/>
  <c r="AB29" i="1"/>
  <c r="AC29" i="1" s="1"/>
  <c r="AB111" i="1"/>
  <c r="AC111" i="1" s="1"/>
  <c r="AB247" i="1"/>
  <c r="AC247" i="1" s="1"/>
  <c r="AB65" i="1"/>
  <c r="AC65" i="1" s="1"/>
  <c r="AB241" i="1"/>
  <c r="AC241" i="1" s="1"/>
  <c r="AB143" i="1"/>
  <c r="AC143" i="1" s="1"/>
  <c r="AB147" i="1"/>
  <c r="AC147" i="1" s="1"/>
  <c r="AB66" i="1"/>
  <c r="AC66" i="1" s="1"/>
  <c r="AB67" i="1"/>
  <c r="AC67" i="1" s="1"/>
  <c r="AB89" i="1"/>
  <c r="AC89" i="1" s="1"/>
  <c r="AB239" i="1"/>
  <c r="AC239" i="1" s="1"/>
  <c r="X77" i="1"/>
  <c r="Y77" i="1" s="1"/>
  <c r="AB24" i="1"/>
  <c r="AC24" i="1" s="1"/>
  <c r="AB37" i="1"/>
  <c r="AC37" i="1" s="1"/>
  <c r="AB47" i="1"/>
  <c r="AC47" i="1" s="1"/>
  <c r="AB102" i="1"/>
  <c r="AC102" i="1" s="1"/>
  <c r="AB146" i="1"/>
  <c r="AC146" i="1" s="1"/>
  <c r="AB60" i="1"/>
  <c r="AC60" i="1" s="1"/>
  <c r="X227" i="1"/>
  <c r="Y227" i="1" s="1"/>
  <c r="AB73" i="1"/>
  <c r="AC73" i="1" s="1"/>
  <c r="X153" i="1"/>
  <c r="Y153" i="1" s="1"/>
  <c r="AB191" i="1"/>
  <c r="AC191" i="1" s="1"/>
  <c r="AB215" i="1"/>
  <c r="AC215" i="1" s="1"/>
  <c r="AB160" i="1"/>
  <c r="AC160" i="1" s="1"/>
  <c r="AB45" i="1"/>
  <c r="AC45" i="1" s="1"/>
  <c r="AB62" i="1"/>
  <c r="AC62" i="1" s="1"/>
  <c r="AB214" i="1"/>
  <c r="AC214" i="1" s="1"/>
  <c r="AB51" i="1"/>
  <c r="AC51" i="1" s="1"/>
  <c r="AB202" i="1"/>
  <c r="AC202" i="1" s="1"/>
  <c r="AB55" i="1"/>
  <c r="AC55" i="1" s="1"/>
  <c r="AB97" i="1"/>
  <c r="AC97" i="1" s="1"/>
  <c r="AB63" i="1"/>
  <c r="AC63" i="1" s="1"/>
  <c r="AB43" i="1"/>
  <c r="AC43" i="1" s="1"/>
  <c r="AB103" i="1"/>
  <c r="AC103" i="1" s="1"/>
  <c r="AB12" i="1"/>
  <c r="AC12" i="1" s="1"/>
  <c r="AB115" i="1"/>
  <c r="AC115" i="1" s="1"/>
  <c r="AB58" i="1"/>
  <c r="AC58" i="1" s="1"/>
  <c r="X220" i="1"/>
  <c r="Y220" i="1" s="1"/>
  <c r="AB198" i="1"/>
  <c r="AC198" i="1" s="1"/>
  <c r="AB106" i="1"/>
  <c r="AC106" i="1" s="1"/>
  <c r="AB68" i="1"/>
  <c r="AC68" i="1" s="1"/>
  <c r="AB83" i="1"/>
  <c r="AC83" i="1" s="1"/>
  <c r="AB196" i="1"/>
  <c r="AC196" i="1" s="1"/>
  <c r="AB127" i="1"/>
  <c r="AC127" i="1" s="1"/>
  <c r="AB80" i="1"/>
  <c r="AC80" i="1" s="1"/>
  <c r="AB175" i="1"/>
  <c r="AC175" i="1" s="1"/>
  <c r="AB240" i="1"/>
  <c r="AC240" i="1" s="1"/>
  <c r="AB44" i="1"/>
  <c r="AC44" i="1" s="1"/>
  <c r="AB236" i="1"/>
  <c r="AC236" i="1" s="1"/>
  <c r="AB238" i="1"/>
  <c r="AC238" i="1" s="1"/>
  <c r="AB159" i="1"/>
  <c r="AC159" i="1" s="1"/>
  <c r="AB39" i="1"/>
  <c r="AC39" i="1" s="1"/>
  <c r="AB144" i="1"/>
  <c r="AC144" i="1" s="1"/>
  <c r="AB155" i="1"/>
  <c r="AC155" i="1" s="1"/>
  <c r="X152" i="1"/>
  <c r="Y152" i="1" s="1"/>
  <c r="AB152" i="1"/>
  <c r="AC152" i="1" s="1"/>
  <c r="AB233" i="1"/>
  <c r="AC233" i="1" s="1"/>
  <c r="AB34" i="1"/>
  <c r="AC34" i="1" s="1"/>
  <c r="AB187" i="1"/>
  <c r="AC187" i="1" s="1"/>
  <c r="AB59" i="1"/>
  <c r="AC59" i="1" s="1"/>
  <c r="AB216" i="1"/>
  <c r="AC216" i="1" s="1"/>
  <c r="AB74" i="1"/>
  <c r="AC74" i="1" s="1"/>
  <c r="AB204" i="1"/>
  <c r="AC204" i="1" s="1"/>
  <c r="AB177" i="1"/>
  <c r="AC177" i="1" s="1"/>
  <c r="AB171" i="1"/>
  <c r="AC171" i="1" s="1"/>
  <c r="AB8" i="1"/>
  <c r="AC8" i="1" s="1"/>
  <c r="X78" i="1"/>
  <c r="Y78" i="1" s="1"/>
  <c r="AB201" i="1"/>
  <c r="AC201" i="1" s="1"/>
  <c r="AB242" i="1"/>
  <c r="AC242" i="1" s="1"/>
  <c r="AB234" i="1"/>
  <c r="AC234" i="1" s="1"/>
  <c r="AB176" i="1"/>
  <c r="AC176" i="1" s="1"/>
  <c r="AB223" i="1"/>
  <c r="AC223" i="1" s="1"/>
  <c r="X72" i="1"/>
  <c r="Y72" i="1" s="1"/>
  <c r="AB72" i="1"/>
  <c r="AC72" i="1" s="1"/>
  <c r="AB189" i="1"/>
  <c r="AC189" i="1" s="1"/>
  <c r="AB170" i="1"/>
  <c r="AC170" i="1" s="1"/>
  <c r="AB245" i="1"/>
  <c r="AC245" i="1" s="1"/>
  <c r="X119" i="1"/>
  <c r="Y119" i="1" s="1"/>
  <c r="AB119" i="1"/>
  <c r="AC119" i="1" s="1"/>
  <c r="X71" i="1"/>
  <c r="Y71" i="1" s="1"/>
  <c r="AB71" i="1"/>
  <c r="AC71" i="1" s="1"/>
  <c r="AB188" i="1"/>
  <c r="AC188" i="1" s="1"/>
  <c r="AB230" i="1"/>
  <c r="AC230" i="1" s="1"/>
  <c r="AB154" i="1"/>
  <c r="AC154" i="1" s="1"/>
  <c r="AB212" i="1"/>
  <c r="AC212" i="1" s="1"/>
  <c r="X75" i="1"/>
  <c r="Y75" i="1" s="1"/>
  <c r="AB75" i="1"/>
  <c r="AC75" i="1" s="1"/>
  <c r="AB200" i="1"/>
  <c r="AC200" i="1" s="1"/>
  <c r="AB246" i="1"/>
  <c r="AC246" i="1" s="1"/>
  <c r="AB184" i="1"/>
  <c r="AC184" i="1" s="1"/>
  <c r="AB218" i="1"/>
  <c r="AC218" i="1" s="1"/>
  <c r="AB10" i="1"/>
  <c r="AC10" i="1" s="1"/>
  <c r="AB221" i="1"/>
  <c r="AC221" i="1" s="1"/>
  <c r="AB174" i="1"/>
  <c r="AC174" i="1" s="1"/>
  <c r="AB81" i="1"/>
  <c r="AC81" i="1" s="1"/>
  <c r="AB248" i="1"/>
  <c r="AC248" i="1" s="1"/>
  <c r="AB190" i="1"/>
  <c r="AC190" i="1" s="1"/>
  <c r="AB203" i="1"/>
  <c r="AC203" i="1" s="1"/>
  <c r="AB217" i="1"/>
  <c r="AC217" i="1" s="1"/>
  <c r="AB205" i="1"/>
  <c r="AC205" i="1" s="1"/>
  <c r="AB244" i="1"/>
  <c r="AC244" i="1" s="1"/>
  <c r="AB207" i="1"/>
  <c r="AC207" i="1" s="1"/>
  <c r="AB195" i="1"/>
  <c r="AC195" i="1" s="1"/>
  <c r="AB209" i="1"/>
  <c r="AC209" i="1" s="1"/>
  <c r="X131" i="1"/>
  <c r="Y131" i="1" s="1"/>
  <c r="AB222" i="1"/>
  <c r="AC222" i="1" s="1"/>
  <c r="AB85" i="1"/>
  <c r="AC85" i="1" s="1"/>
  <c r="AB243" i="1"/>
  <c r="AC243" i="1" s="1"/>
  <c r="AB169" i="1"/>
  <c r="AC169" i="1" s="1"/>
  <c r="AB9" i="1"/>
  <c r="AC9" i="1" s="1"/>
  <c r="AV4" i="1"/>
  <c r="AA4" i="1" s="1"/>
  <c r="AV5" i="1"/>
  <c r="AA5" i="1" s="1"/>
  <c r="AV79" i="1"/>
  <c r="AA79" i="1" s="1"/>
  <c r="AV180" i="1"/>
  <c r="AA180" i="1" s="1"/>
  <c r="AV181" i="1"/>
  <c r="AA181" i="1" s="1"/>
  <c r="AV182" i="1"/>
  <c r="AA182" i="1" s="1"/>
  <c r="AV183" i="1"/>
  <c r="AA183" i="1" s="1"/>
  <c r="AV6" i="1"/>
  <c r="AA6" i="1" s="1"/>
  <c r="AV231" i="1"/>
  <c r="AA231" i="1" s="1"/>
  <c r="AV20" i="1"/>
  <c r="AA20" i="1" s="1"/>
  <c r="V4" i="1"/>
  <c r="V5" i="1"/>
  <c r="V79" i="1"/>
  <c r="V180" i="1"/>
  <c r="V181" i="1"/>
  <c r="V182" i="1"/>
  <c r="V183" i="1"/>
  <c r="V6" i="1"/>
  <c r="V231" i="1"/>
  <c r="T4" i="1"/>
  <c r="AJ4" i="1" s="1"/>
  <c r="T5" i="1"/>
  <c r="AJ5" i="1" s="1"/>
  <c r="T79" i="1"/>
  <c r="AJ79" i="1" s="1"/>
  <c r="T180" i="1"/>
  <c r="AJ180" i="1" s="1"/>
  <c r="T181" i="1"/>
  <c r="AJ181" i="1" s="1"/>
  <c r="T182" i="1"/>
  <c r="AJ182" i="1" s="1"/>
  <c r="T183" i="1"/>
  <c r="AJ183" i="1" s="1"/>
  <c r="T6" i="1"/>
  <c r="AJ6" i="1" s="1"/>
  <c r="T231" i="1"/>
  <c r="AJ231" i="1" s="1"/>
  <c r="D4" i="1"/>
  <c r="D5" i="1"/>
  <c r="D79" i="1"/>
  <c r="D180" i="1"/>
  <c r="D181" i="1"/>
  <c r="D182" i="1"/>
  <c r="D183" i="1"/>
  <c r="D6" i="1"/>
  <c r="D231" i="1"/>
  <c r="D20" i="1"/>
  <c r="V20" i="1"/>
  <c r="T20" i="1"/>
  <c r="AJ20" i="1" s="1"/>
  <c r="AL182" i="1" l="1"/>
  <c r="AL20" i="1"/>
  <c r="AL181" i="1"/>
  <c r="AL180" i="1"/>
  <c r="AL79" i="1"/>
  <c r="AL5" i="1"/>
  <c r="AL231" i="1"/>
  <c r="AL4" i="1"/>
  <c r="AL183" i="1"/>
  <c r="X183" i="1" s="1"/>
  <c r="Y183" i="1" s="1"/>
  <c r="AB182" i="1"/>
  <c r="AC182" i="1" s="1"/>
  <c r="AL6" i="1"/>
  <c r="AE231" i="1"/>
  <c r="AE4" i="1"/>
  <c r="AE6" i="1"/>
  <c r="AF182" i="1"/>
  <c r="AE20" i="1"/>
  <c r="AE181" i="1"/>
  <c r="AF180" i="1"/>
  <c r="AF183" i="1"/>
  <c r="AF79" i="1"/>
  <c r="AF5" i="1"/>
  <c r="AE183" i="1"/>
  <c r="AE182" i="1"/>
  <c r="AE180" i="1"/>
  <c r="AF181" i="1"/>
  <c r="AE79" i="1"/>
  <c r="AF231" i="1"/>
  <c r="AF4" i="1"/>
  <c r="AE5" i="1"/>
  <c r="AF6" i="1"/>
  <c r="AH20" i="1"/>
  <c r="AI20" i="1"/>
  <c r="AF20" i="1"/>
  <c r="BC4" i="1" l="1"/>
  <c r="BA4" i="1"/>
  <c r="AB79" i="1"/>
  <c r="AC79" i="1" s="1"/>
  <c r="BC79" i="1"/>
  <c r="BA79" i="1"/>
  <c r="AB6" i="1"/>
  <c r="AC6" i="1" s="1"/>
  <c r="BA6" i="1"/>
  <c r="BC6" i="1"/>
  <c r="X181" i="1"/>
  <c r="Y181" i="1" s="1"/>
  <c r="BC181" i="1"/>
  <c r="BA181" i="1"/>
  <c r="AB231" i="1"/>
  <c r="AC231" i="1" s="1"/>
  <c r="BA231" i="1"/>
  <c r="BC231" i="1"/>
  <c r="X20" i="1"/>
  <c r="Y20" i="1" s="1"/>
  <c r="BA20" i="1"/>
  <c r="BC20" i="1"/>
  <c r="X5" i="1"/>
  <c r="Y5" i="1" s="1"/>
  <c r="BC5" i="1"/>
  <c r="BA5" i="1"/>
  <c r="X180" i="1"/>
  <c r="Y180" i="1" s="1"/>
  <c r="BC180" i="1"/>
  <c r="BA180" i="1"/>
  <c r="AB183" i="1"/>
  <c r="AC183" i="1" s="1"/>
  <c r="BA183" i="1"/>
  <c r="BC183" i="1"/>
  <c r="X182" i="1"/>
  <c r="Y182" i="1" s="1"/>
  <c r="BC182" i="1"/>
  <c r="BA182" i="1"/>
  <c r="X79" i="1"/>
  <c r="Y79" i="1" s="1"/>
  <c r="X231" i="1"/>
  <c r="Y231" i="1" s="1"/>
  <c r="AB181" i="1"/>
  <c r="AC181" i="1" s="1"/>
  <c r="AB180" i="1"/>
  <c r="AC180" i="1" s="1"/>
  <c r="X6" i="1"/>
  <c r="Y6" i="1" s="1"/>
  <c r="AB4" i="1"/>
  <c r="AC4" i="1" s="1"/>
  <c r="X4" i="1"/>
  <c r="Y4" i="1" s="1"/>
  <c r="AB20" i="1"/>
  <c r="AC20" i="1" s="1"/>
  <c r="AB5" i="1"/>
  <c r="AC5" i="1" s="1"/>
</calcChain>
</file>

<file path=xl/sharedStrings.xml><?xml version="1.0" encoding="utf-8"?>
<sst xmlns="http://schemas.openxmlformats.org/spreadsheetml/2006/main" count="2440" uniqueCount="947">
  <si>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</si>
  <si>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</si>
  <si>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</si>
  <si>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</si>
  <si>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</si>
  <si>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</si>
  <si>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</si>
  <si>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</si>
  <si>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</si>
  <si>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</si>
  <si>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</si>
  <si>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</si>
  <si>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</si>
  <si>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</si>
  <si>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</si>
  <si>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</si>
  <si>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</si>
  <si>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</si>
  <si>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</si>
  <si>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</si>
  <si>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</si>
  <si>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</si>
  <si>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</si>
  <si>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</si>
  <si>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</si>
  <si>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</si>
  <si>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</si>
  <si>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</si>
  <si>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</si>
  <si>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</si>
  <si>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</si>
  <si>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</si>
  <si>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</si>
  <si>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</si>
  <si>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</si>
  <si>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</si>
  <si>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</si>
  <si>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</si>
  <si>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</si>
  <si>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</si>
  <si>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</si>
  <si>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</si>
  <si>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</si>
  <si>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</si>
  <si>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</si>
  <si>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</si>
  <si>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</si>
  <si>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</si>
  <si>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</si>
  <si>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</si>
  <si>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</si>
  <si>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</si>
  <si>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</si>
  <si>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</si>
  <si>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</si>
  <si>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</si>
  <si>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</si>
  <si>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</si>
  <si>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5741AY</t>
  </si>
  <si>
    <t>6608AJ</t>
  </si>
  <si>
    <t>6609AJ</t>
  </si>
  <si>
    <t>J2092Y</t>
  </si>
  <si>
    <t>J2862R</t>
  </si>
  <si>
    <t>J560LY</t>
  </si>
  <si>
    <t>J563LY</t>
  </si>
  <si>
    <t>J72147</t>
  </si>
  <si>
    <t>J72148</t>
  </si>
  <si>
    <t>J74460</t>
  </si>
  <si>
    <t>J74461</t>
  </si>
  <si>
    <t>J74462</t>
  </si>
  <si>
    <t>J74463</t>
  </si>
  <si>
    <t>J74470</t>
  </si>
  <si>
    <t>J74471</t>
  </si>
  <si>
    <t>J74472</t>
  </si>
  <si>
    <t>J74500</t>
  </si>
  <si>
    <t>J74473</t>
  </si>
  <si>
    <t>J74474</t>
  </si>
  <si>
    <t>J74475</t>
  </si>
  <si>
    <t>J74476</t>
  </si>
  <si>
    <t>J74477</t>
  </si>
  <si>
    <t>J74478</t>
  </si>
  <si>
    <t>J74479</t>
  </si>
  <si>
    <t>J74480</t>
  </si>
  <si>
    <t>J74482</t>
  </si>
  <si>
    <t>J74483</t>
  </si>
  <si>
    <t>J74484</t>
  </si>
  <si>
    <t>J74485</t>
  </si>
  <si>
    <t>J74486</t>
  </si>
  <si>
    <t>J74487</t>
  </si>
  <si>
    <t>J74488</t>
  </si>
  <si>
    <t>J74490</t>
  </si>
  <si>
    <t>J74491</t>
  </si>
  <si>
    <t>J74492</t>
  </si>
  <si>
    <t>J74493</t>
  </si>
  <si>
    <t>J74494</t>
  </si>
  <si>
    <t>J74495</t>
  </si>
  <si>
    <t>J74496</t>
  </si>
  <si>
    <t>J74497</t>
  </si>
  <si>
    <t>J74498</t>
  </si>
  <si>
    <t>J84524</t>
  </si>
  <si>
    <t>J84525</t>
  </si>
  <si>
    <t>J84526</t>
  </si>
  <si>
    <t>J84527</t>
  </si>
  <si>
    <t>J84528</t>
  </si>
  <si>
    <t>J84529</t>
  </si>
  <si>
    <t>J84530</t>
  </si>
  <si>
    <t>J84531</t>
  </si>
  <si>
    <t>J84532</t>
  </si>
  <si>
    <t>J84533</t>
  </si>
  <si>
    <t>J84534</t>
  </si>
  <si>
    <t>J84535</t>
  </si>
  <si>
    <t>J84536</t>
  </si>
  <si>
    <t>J84537</t>
  </si>
  <si>
    <t>J84538</t>
  </si>
  <si>
    <t>J84657</t>
  </si>
  <si>
    <t>J84658</t>
  </si>
  <si>
    <t>J84659</t>
  </si>
  <si>
    <t>J84660</t>
  </si>
  <si>
    <t>J84661</t>
  </si>
  <si>
    <t>J84662</t>
  </si>
  <si>
    <t>J84663</t>
  </si>
  <si>
    <t>J84664</t>
  </si>
  <si>
    <t>J84665</t>
  </si>
  <si>
    <t>J84666</t>
  </si>
  <si>
    <t>J84667</t>
  </si>
  <si>
    <t>J84669</t>
  </si>
  <si>
    <t>J84539</t>
  </si>
  <si>
    <t>J84540</t>
  </si>
  <si>
    <t>J84541</t>
  </si>
  <si>
    <t>J84542</t>
  </si>
  <si>
    <t>J84543</t>
  </si>
  <si>
    <t>J84544</t>
  </si>
  <si>
    <t>J84572</t>
  </si>
  <si>
    <t>J84573</t>
  </si>
  <si>
    <t>J84574</t>
  </si>
  <si>
    <t>J84575</t>
  </si>
  <si>
    <t>J84576</t>
  </si>
  <si>
    <t>J84577</t>
  </si>
  <si>
    <t>J84578</t>
  </si>
  <si>
    <t>J84841</t>
  </si>
  <si>
    <t>J84842</t>
  </si>
  <si>
    <t>J84843</t>
  </si>
  <si>
    <t>J84844</t>
  </si>
  <si>
    <t>J84845</t>
  </si>
  <si>
    <t>J84846</t>
  </si>
  <si>
    <t>J84847</t>
  </si>
  <si>
    <t>J84848</t>
  </si>
  <si>
    <t>J84849</t>
  </si>
  <si>
    <t>J84850</t>
  </si>
  <si>
    <t>J84851</t>
  </si>
  <si>
    <t>J84852</t>
  </si>
  <si>
    <t>J84853</t>
  </si>
  <si>
    <t>J84854</t>
  </si>
  <si>
    <t>J84855</t>
  </si>
  <si>
    <t>J84856</t>
  </si>
  <si>
    <t>J84857</t>
  </si>
  <si>
    <t>J84858</t>
  </si>
  <si>
    <t>J84859</t>
  </si>
  <si>
    <t>J84860</t>
  </si>
  <si>
    <t>J84861</t>
  </si>
  <si>
    <t>J84862</t>
  </si>
  <si>
    <t>J92368</t>
  </si>
  <si>
    <t>J92369</t>
  </si>
  <si>
    <t>J92370</t>
  </si>
  <si>
    <t>J92371</t>
  </si>
  <si>
    <t>J92372</t>
  </si>
  <si>
    <t>J92373</t>
  </si>
  <si>
    <t>J92374</t>
  </si>
  <si>
    <t>J92375</t>
  </si>
  <si>
    <t>J92376</t>
  </si>
  <si>
    <t>J92377</t>
  </si>
  <si>
    <t>J92378</t>
  </si>
  <si>
    <t>J92379</t>
  </si>
  <si>
    <t>J92380</t>
  </si>
  <si>
    <t>J92381</t>
  </si>
  <si>
    <t>J92382</t>
  </si>
  <si>
    <t>J92383</t>
  </si>
  <si>
    <t>J92384</t>
  </si>
  <si>
    <t>J92385</t>
  </si>
  <si>
    <t>JA5929</t>
  </si>
  <si>
    <t>JA5930</t>
  </si>
  <si>
    <t>JA1532</t>
  </si>
  <si>
    <t>JA5931</t>
  </si>
  <si>
    <t>JA5932</t>
  </si>
  <si>
    <t>JA1533</t>
  </si>
  <si>
    <t>JA1534</t>
  </si>
  <si>
    <t>JA1535</t>
  </si>
  <si>
    <t>JA1540</t>
  </si>
  <si>
    <t>JA1541</t>
  </si>
  <si>
    <t>JA1542</t>
  </si>
  <si>
    <t>JA1543</t>
  </si>
  <si>
    <t>JA5933</t>
  </si>
  <si>
    <t>JA5934</t>
  </si>
  <si>
    <t>JA1544</t>
  </si>
  <si>
    <t>JA1545</t>
  </si>
  <si>
    <t>JA1546</t>
  </si>
  <si>
    <t>JA1547</t>
  </si>
  <si>
    <t>JA5935</t>
  </si>
  <si>
    <t>JA1548</t>
  </si>
  <si>
    <t>JA1549</t>
  </si>
  <si>
    <t>JA1550</t>
  </si>
  <si>
    <t>JA1551</t>
  </si>
  <si>
    <t>JA1552</t>
  </si>
  <si>
    <t>ｻｸﾗ/単色ｸﾚﾖﾝ 太巻 黒 10本/LYﾊﾞﾗ#49</t>
  </si>
  <si>
    <t>G)ｻｸﾗ/ﾌｫｰﾑｲﾚｰｻﾞｰﾀﾞﾌﾞﾙ/RFW-S</t>
  </si>
  <si>
    <t>ｻｸﾗｸﾚﾊﾟｽ/ｱｰﾁ消しｺﾞﾑ S/RFA-S</t>
  </si>
  <si>
    <t>ｻｸﾗｸﾚﾊﾟｽ/ｱｰﾁ消しｺﾞﾑ M/RFA-M</t>
  </si>
  <si>
    <t>ｻｸﾗ/白板ﾏｰｶｰ補充用 ｱﾙｺｰﾙｲﾝｷ用 くろ 25ml/HWBK#49</t>
  </si>
  <si>
    <t>ｻｸﾗ/白板ﾏｰｶｰ補充用 ｱﾙｺｰﾙｲﾝｷ用 あお 25ml/HWBK#36</t>
  </si>
  <si>
    <t>ｻｸﾗ/白板ﾏｰｶｰ補充用 ｱﾙｺｰﾙｲﾝｷ用 みどり 25ml/HWBK#29</t>
  </si>
  <si>
    <t>ｻｸﾗ/白板ﾏｰｶｰ補充用 ｱﾙｺｰﾙｲﾝｷ用 あか 25ml/HWBK#19</t>
  </si>
  <si>
    <t>ｻｸﾗｸﾚﾊﾟｽ/ｱｰﾁ消しｺﾞﾑSﾌﾞﾗｯｸ/RFA-S#49</t>
  </si>
  <si>
    <t>ｻｸﾗ/ｸｰﾋﾟｰﾍﾟﾝｼﾙ 24色ｾｯﾄ(缶入)/FY24</t>
  </si>
  <si>
    <t>ｻｸﾗ/ｸｰﾋﾟｰﾍﾟﾝｼﾙ 24色ｾｯﾄ(ｿﾌﾄｹｰｽ入)/FY24R1</t>
  </si>
  <si>
    <t>ｻｸﾗ/半透明ﾌｫｰﾑｲﾚｰｻﾞｰ ﾋﾟｭｱｽﾘﾑM/RFPS-M</t>
  </si>
  <si>
    <t>ｻｸﾗ/ｻｸﾗｸﾚﾊﾟｽ 太巻 紫 10本/LPﾊﾞﾗ#24</t>
  </si>
  <si>
    <t>●ｻｸﾗ/RFW-SM(30個)/ﾌｫｰﾑｲﾚｰｻﾞｰﾀﾞﾌﾞﾙ</t>
  </si>
  <si>
    <t>ｻｸﾗ/小学生文具消しｺﾞﾑ ﾋﾟﾝｸ/Gｹｼｺﾞﾑ#20</t>
  </si>
  <si>
    <t>●ｻｸﾗ/PMK-B#53(10本)銀/ﾍﾟｲﾝﾄﾏｰｶｰ中字(油性)</t>
  </si>
  <si>
    <t>ｻｸﾗ/ｸﾚﾊﾟｽ太巻20色 10箱/LP20R</t>
  </si>
  <si>
    <t>G)ｻｸﾗ/ﾏｯﾄ水彩12色ﾎﾟﾘﾁｭｰﾌﾞ入り(ｼｰｽ入り)/MW12PF</t>
  </si>
  <si>
    <t>G)ｻｸﾗ/ﾏｯﾄ水彩15色ﾎﾟﾘﾁｭｰﾌﾞ入り(ｼｰｽ入り)/MW15PF</t>
  </si>
  <si>
    <t>●ｻｸﾗ/LY20R(20本入*10箱)/ｸﾚﾖﾝ太巻20色</t>
  </si>
  <si>
    <t>ｻｸﾗ/白板ﾏｰｶｰ補充用ｹﾄﾝｲﾝｷ 25ml 緑/HWBKｹﾄﾝ#29</t>
  </si>
  <si>
    <t>ｻｸﾗｸﾚﾊﾟｽ/ｸｰﾋﾟｰﾍﾟﾝｼﾙ18色(缶入)/FY18</t>
  </si>
  <si>
    <t>ｻｸﾗ/ｸｰﾋﾟｰﾍﾟﾝｼﾙ(単色) きいろ 10本/JFYﾊﾞﾗ#3</t>
  </si>
  <si>
    <t>ｻｸﾗ/ｸｰﾋﾟｰﾍﾟﾝｼﾙ(単色) だいだいいろ 10本/JFYﾊﾞﾗ#5</t>
  </si>
  <si>
    <t>ｻｸﾗ/ｸｰﾋﾟｰﾍﾟﾝｼﾙ(単色) ちゃいろ 10本/JFYﾊﾞﾗ#12</t>
  </si>
  <si>
    <t>ｻｸﾗ/ｸｰﾋﾟｰﾍﾟﾝｼﾙ(単色) あか 10本/JFYﾊﾞﾗ#19</t>
  </si>
  <si>
    <t>ｻｸﾗ/ｸｰﾋﾟｰﾍﾟﾝｼﾙ(単色) ももいろ 10本/JFYﾊﾞﾗ#20</t>
  </si>
  <si>
    <t>ｻｸﾗ/ｸｰﾋﾟｰﾍﾟﾝｼﾙ(単色) むらさき 10本/JFYﾊﾞﾗ#24</t>
  </si>
  <si>
    <t>ｻｸﾗ/ｸｰﾋﾟｰﾍﾟﾝｼﾙ(単色) みずいろ 10本/JFYﾊﾞﾗ#125</t>
  </si>
  <si>
    <t>ｻｸﾗ/ｸｰﾋﾟｰﾍﾟﾝｼﾙ(単色) きみどり 10本/JFYﾊﾞﾗ#27</t>
  </si>
  <si>
    <t>ｻｸﾗ/ｸｰﾋﾟｰﾍﾟﾝｼﾙ(単色) みどり 10本/JFYﾊﾞﾗ#29</t>
  </si>
  <si>
    <t>ｻｸﾗ/ｸｰﾋﾟｰﾍﾟﾝｼﾙ(単色) あお 10本/JFYﾊﾞﾗ#36</t>
  </si>
  <si>
    <t>ｻｸﾗ/ｸｰﾋﾟｰﾍﾟﾝｼﾙ(単色) くろ 10本/JFYﾊﾞﾗ#49</t>
  </si>
  <si>
    <t>ｻｸﾗ/ｸｰﾋﾟｰﾍﾟﾝｼﾙ(単色)うすだいだい 10本/JFYﾊﾞﾗ#7</t>
  </si>
  <si>
    <t>ｻｸﾗ/ｸｰﾋﾟｰﾍﾟﾝｼﾙ12色(缶入)/FY12</t>
  </si>
  <si>
    <t>ｻｸﾗ/ｻｸﾗｸﾚﾊﾟｽ太巻 白 10個/LPﾊﾞﾗ#50</t>
  </si>
  <si>
    <t>ｻｸﾗｸﾚﾊﾟｽ/ｸｰﾋﾟｰﾍﾟﾝｼﾙ12色(ｿﾌﾄｹｰｽ入り)/FY12-R1</t>
  </si>
  <si>
    <t>ｻｸﾗ/ｸﾚﾊﾟｽ太巻 16色/LP16R</t>
  </si>
  <si>
    <t>ｻｸﾗ/白板ﾏｰｶｰ補充用ｹﾄﾝｲﾝｷ 25ml 青/HWBKｹﾄﾝ#36</t>
  </si>
  <si>
    <t>ｻｸﾗ/白板ﾏｰｶｰ補充用ｹﾄﾝｲﾝｷ 25ml 赤/HWBKｹﾄﾝ#19</t>
  </si>
  <si>
    <t>ｻｸﾗ/単色ｸﾚﾖﾝ 太巻 赤 10本/LYﾊﾞﾗ#19</t>
  </si>
  <si>
    <t>ｻｸﾗ/ｸﾚﾊﾟｽ太巻 くろ 1本/LPﾊﾞﾗ#49</t>
  </si>
  <si>
    <t>ｻｸﾗ/ｸﾚﾊﾟｽ太巻 きいろ 1本/LPﾊﾞﾗ#3</t>
  </si>
  <si>
    <t>ｻｸﾗｸﾚﾊﾟｽ/ｱｰﾁ消しｺﾞﾑ 小学生 学習用 M ﾌﾞﾙｰ</t>
  </si>
  <si>
    <t>ｻｸﾗｸﾚﾊﾟｽ/ｱｰﾁ消しｺﾞﾑ 小学生 学習用 M ﾗﾍﾞﾝﾀﾞｰ</t>
  </si>
  <si>
    <t>ｻｸﾗ/ｸﾚﾊﾟｽ太巻 みどり 1本/LPﾊﾞﾗ#29</t>
  </si>
  <si>
    <t>G)ｻｸﾗ/ﾏｯﾄ水彩単色ﾎﾟﾘﾁｭｰﾌﾞ入ｴﾒﾗﾙﾄﾞｸﾞﾘｰﾝ 12ml/MWP#26</t>
  </si>
  <si>
    <t>G)ｻｸﾗ/ﾏｯﾄ水彩単色ﾎﾟﾘﾁｭｰﾌﾞ入 きみどり 12ml/MWP#27</t>
  </si>
  <si>
    <t>G)ｻｸﾗ/ﾏｯﾄ水彩単色ﾎﾟﾘﾁｭｰﾌﾞ入 ﾚﾓﾝいろ 12ml/MWP#2</t>
  </si>
  <si>
    <t>G)ｻｸﾗ/ﾏｯﾄ水彩単色ﾎﾟﾘﾁｭｰﾌﾞ入 ふかみどり 12ml/MWP#30</t>
  </si>
  <si>
    <t>G)ｻｸﾗ/ﾏｯﾄ水彩単色ﾎﾟﾘﾁｭｰﾌﾞ入 ﾋﾞﾘｼﾞｱﾝ 12ml/MWP#31</t>
  </si>
  <si>
    <t>G)ｻｸﾗ/ﾏｯﾄ水彩単色ﾎﾟﾘﾁｭｰﾌﾞ入 ぐんじょう 12ml/MWP#38</t>
  </si>
  <si>
    <t>G)ｻｸﾗ/ﾏｯﾄ水彩単色ﾎﾟﾘﾁｭｰﾌﾞ入 やまぶきいろ12ml/MWP#4</t>
  </si>
  <si>
    <t>G)ｻｸﾗ/ﾏｯﾄ水彩単色ﾎﾟﾘﾁｭｰﾌﾞ入 あいいろ 12ml/MWP#43</t>
  </si>
  <si>
    <t>G)ｻｸﾗ/ﾏｯﾄ水彩単色ﾎﾟﾘﾁｭｰﾌﾞ入 はいいろ 12ml/MWP#44</t>
  </si>
  <si>
    <t>G)ｻｸﾗ/ﾏｯﾄ水彩単色ﾎﾟﾘﾁｭｰﾌﾞ入 きんいろ 12ml/MWP#51</t>
  </si>
  <si>
    <t>G)ｻｸﾗ/ﾏｯﾄ水彩単色ﾎﾟﾘﾁｭｰﾌﾞ入 ぎんいろ 12ml/MWP#53</t>
  </si>
  <si>
    <t>G)ｻｸﾗ/ﾏｯﾄ水彩単色ﾎﾟﾘﾁｭｰﾌﾞ入 だいだいいろ12ml/MWP#5</t>
  </si>
  <si>
    <t>G)ｻｸﾗ/ﾏｯﾄ水彩単色ﾎﾟﾘﾁｭｰﾌﾞ入 おうどいろ 12ml/MWP#15</t>
  </si>
  <si>
    <t>G)ｻｸﾗ/ﾏｯﾄ水彩単色ﾎﾟﾘﾁｭｰﾌﾞ入 こげちゃ 12ml/MWP#17</t>
  </si>
  <si>
    <t>G)ｻｸﾗ/ﾏｯﾄ水彩単色ﾎﾟﾘﾁｭｰﾌﾞ入 しゅいろ 12ml/MWP#18</t>
  </si>
  <si>
    <t>G)ｻｸﾗ/ﾏｯﾄ水彩単色ﾎﾟﾘﾁｭｰﾌﾞ入 あかむらさき 12ml</t>
  </si>
  <si>
    <t>G)ｻｸﾗ/ﾏｯﾄ水彩単色ﾎﾟﾘﾁｭｰﾌﾞ入 むらさき 12ml/MWP#24</t>
  </si>
  <si>
    <t>G)ｻｸﾗ/ﾏｯﾄ水彩単色ﾎﾟﾘﾁｭｰﾌﾞ入 ｾﾙﾘｱﾝﾌﾞﾙｰ 12ml/MWP#25</t>
  </si>
  <si>
    <t>ｻｸﾗ/ｸﾚﾊﾟｽ太巻 だいだいいろ 10本/LPﾊﾞﾗ#5</t>
  </si>
  <si>
    <t>ｻｸﾗ/ｸﾚﾊﾟｽ太巻 うすだいだい(はだいろ) 10本/LPﾊﾞﾗ#7</t>
  </si>
  <si>
    <t>ｻｸﾗ/ｸﾚﾊﾟｽ太巻 ももいろ 10本/LPﾊﾞﾗ#20</t>
  </si>
  <si>
    <t>ｻｸﾗ/ｻｸﾗｸﾚﾊﾟｽ太巻 みずいろ 10本/LPﾊﾞﾗ#125</t>
  </si>
  <si>
    <t>ｻｸﾗ/ﾏｯﾄ水彩12色ﾗﾐﾈｰﾄﾁｭｰﾌﾞ入り/EMW12</t>
  </si>
  <si>
    <t>G)ｻｸﾗ/ﾏｯﾄ水彩単色 ﾎﾟﾘﾁｭｰﾌﾞ入 きいろ 12ml/MWP#3</t>
  </si>
  <si>
    <t>G)ｻｸﾗ/ﾏｯﾄ水彩単色 ﾎﾟﾘﾁｭｰﾌﾞ入 うすだいだい 12ml</t>
  </si>
  <si>
    <t>G)ｻｸﾗ/ﾏｯﾄ水彩単色 ﾎﾟﾘﾁｭｰﾌﾞ入 ちゃいろ 12ml/MWP#12</t>
  </si>
  <si>
    <t>G)ｻｸﾗ/ﾏｯﾄ水彩単色 ﾎﾟﾘﾁｭｰﾌﾞ入 あか 12ml/MWP#19</t>
  </si>
  <si>
    <t>G)ｻｸﾗ/ﾏｯﾄ水彩単色 ﾎﾟﾘﾁｭｰﾌﾞ入 みどり 12ml/MWP#29</t>
  </si>
  <si>
    <t>G)ｻｸﾗ/ﾏｯﾄ水彩単色 ﾎﾟﾘﾁｭｰﾌﾞ入 あお 12ml/MWP#36</t>
  </si>
  <si>
    <t>G)ｻｸﾗ/ﾏｯﾄ水彩単色 ﾎﾟﾘﾁｭｰﾌﾞ入 くろ 12ml/MWP#49</t>
  </si>
  <si>
    <t>G)ｻｸﾗ/ﾏｯﾄ水彩単色 ﾎﾟﾘﾁｭｰﾌﾞ入 しろ 12ml/MWP#50</t>
  </si>
  <si>
    <t>ｻｸﾗ/ｸﾚﾊﾟｽ太巻 16色ｾｯﾄ(ｿﾌﾄｹｰｽ入)/LP16S</t>
  </si>
  <si>
    <t>ｻｸﾗ/白板ﾏｰｶｰ補充用ｹﾄﾝｲﾝｷ 25ml 黒/HWBKｹﾄﾝ#49</t>
  </si>
  <si>
    <t>ｻｸﾗ/ｸﾚﾊﾟｽ太巻 はいいろ 10本/LPﾊﾞﾗ#44</t>
  </si>
  <si>
    <t>ｻｸﾗ/ｻｸﾗｸﾚﾊﾟｽ太巻 赤 10本/LPﾊﾞﾗ#19</t>
  </si>
  <si>
    <t>ｻｸﾗ/ﾏｯﾄ水彩15色 ﾗﾐﾈｰﾄﾁｭｰﾌﾞ入り(5ml)/EMW15</t>
  </si>
  <si>
    <t>ｻｸﾗ/ｻｸﾗｸﾚﾊﾟｽ太巻 青 10本/LPﾊﾞﾗ#36</t>
  </si>
  <si>
    <t>G)ｻｸﾗ/小学生学習字消し/RFWG-S</t>
  </si>
  <si>
    <t>ｻｸﾗ/ﾏｯﾄ水彩18色 ﾗﾐﾈｰﾄﾁｭｰﾌﾞ入り(5ml)/EMW18</t>
  </si>
  <si>
    <t>ｻｸﾗ/ﾏｯﾄ水彩24色 ﾗﾐﾈｰﾄﾁｭｰﾌﾞ入り(5ml)/EMW24</t>
  </si>
  <si>
    <t>G)ｻｸﾗ/ﾏｯﾄ水彩12色 ﾎﾟﾘﾁｭｰﾌﾞ入り(12ml)/MW12PE</t>
  </si>
  <si>
    <t>G)ｻｸﾗ/ﾏｯﾄ水彩15色 ﾎﾟﾘﾁｭｰﾌﾞ入り(12ml)/MW15PE</t>
  </si>
  <si>
    <t>G)ｻｸﾗ/ﾏｯﾄ水彩18色 ﾎﾟﾘﾁｭｰﾌﾞ入り(12ml)/MW18PE</t>
  </si>
  <si>
    <t>G)ｻｸﾗ/ﾏｯﾄ水彩24色 ﾎﾟﾘﾁｭｰﾌﾞ入り(12ml)/MW24PE</t>
  </si>
  <si>
    <t>G)ｻｸﾗ/小学生学習字消し/RFWG-M</t>
  </si>
  <si>
    <t>ｻｸﾗ/小学生文具消しｺﾞﾑ ﾌﾞﾙｰ/Gｹｼｺﾞﾑ#36</t>
  </si>
  <si>
    <t>ｻｸﾗｸﾚﾊﾟｽ/水でおとせる はじめてのふとふとｸﾚﾊﾟｽ 6色</t>
  </si>
  <si>
    <t>ｻｸﾗｸﾚﾊﾟｽ/ﾍﾟｲﾝﾄﾏｰｶｰ 中字 しろ/PMK-B#50</t>
  </si>
  <si>
    <t>ｻｸﾗｸﾚﾊﾟｽ/ｱｰﾁ消しｺﾞﾑ 小学生学習用 5ﾊﾟｯｸ/RFAGM-5P</t>
  </si>
  <si>
    <t>ｻｸﾗｸﾚﾊﾟｽ/ｱｰﾁ消しｺﾞﾑ 5ﾊﾟｯｸ/RFAM-5P</t>
  </si>
  <si>
    <t>ｻｸﾗｸﾚﾊﾟｽ/水彩ｾｯﾄH ﾈｲﾋﾞｰ/EWZ-H#43</t>
  </si>
  <si>
    <t>ｻｸﾗｸﾚﾊﾟｽ/水彩ｾｯﾄH ﾊﾟｽﾃﾙﾋﾟﾝｸ/EWZ-H#920</t>
  </si>
  <si>
    <t>ｻｸﾗｸﾚﾊﾟｽ/水でおとせるｸﾚﾖﾝ 12色/WYL12</t>
  </si>
  <si>
    <t>ｻｸﾗｸﾚﾊﾟｽ/水でおとせるｸﾚﾖﾝ 16色/WYL16</t>
  </si>
  <si>
    <t>ｻｸﾗｸﾚﾊﾟｽ/水でおとせるしかくいｸﾚﾊﾟｽ 12色/WP12</t>
  </si>
  <si>
    <t>ｻｸﾗｸﾚﾊﾟｽ/手がよごれないｸｰﾋﾟｰﾍﾟﾝｼﾙ 12色/FYS12</t>
  </si>
  <si>
    <t>ｻｸﾗｸﾚﾊﾟｽ/ｸｰﾋﾟｰﾍﾟﾝｼﾙ 30色(缶入り)/FY30</t>
  </si>
  <si>
    <t>ｻｸﾗｸﾚﾊﾟｽ/ｸｰﾋﾟｰﾍﾟﾝｼﾙ 60色(缶入り)/FY60</t>
  </si>
  <si>
    <t>ｻｸﾗｸﾚﾊﾟｽ/ｸｰﾋﾟｰﾍﾟﾝｼﾙ30 ｶﾗｰｵﾝｶﾗｰ/FY30NU</t>
  </si>
  <si>
    <t>ｻｸﾗｸﾚﾊﾟｽ/ﾌﾟﾗｽﾁｯｸ画板/EGS-G3</t>
  </si>
  <si>
    <t>ｻｸﾗｸﾚﾊﾟｽ/さんかく ｸｰﾋﾟｰﾍﾟﾝｼﾙ 8/FYL8</t>
  </si>
  <si>
    <t>ｻｸﾗｸﾚﾊﾟｽ/さんかく ｸｰﾋﾟｰﾍﾟﾝｼﾙ 12/FYL12</t>
  </si>
  <si>
    <t>ｻｸﾗｸﾚﾊﾟｽ/ｸｰﾋﾟｰ ﾏｰｶｰ3 ﾐﾙｷｰｶﾗｰ/FYLM-3A</t>
  </si>
  <si>
    <t>ｻｸﾗｸﾚﾊﾟｽ/ｸｰﾋﾟｰ ﾏｰｶｰ3 ﾎﾟｯﾌﾟｶﾗｰ/FYLM-3B</t>
  </si>
  <si>
    <t>ｻｸﾗｸﾚﾊﾟｽ/ｸｰﾋﾟｰ ﾏｰｶｰ3 ﾚﾄﾛｶﾗｰ/FYLM-3C</t>
  </si>
  <si>
    <t>ｻｸﾗｸﾚﾊﾟｽ/ｸﾚﾊﾟｽ太巻 12色/LP12R</t>
  </si>
  <si>
    <t>ｻｸﾗｸﾚﾊﾟｽ/ｸﾚﾊﾟｽ太巻 24色/LP24R</t>
  </si>
  <si>
    <t>ｻｸﾗｸﾚﾊﾟｽ/ｸｰﾋﾟｰﾍﾟﾝｼﾙ 12色(紙箱入り)/FY12K</t>
  </si>
  <si>
    <t>ｻｸﾗｸﾚﾊﾟｽ/ﾆｭｰｸﾚﾊﾟｽかくがた 16色/NEP16</t>
  </si>
  <si>
    <t>ｻｸﾗｸﾚﾊﾟｽ/ﾆｭｰｸﾚﾊﾟｽかくがた 25色/NEP25</t>
  </si>
  <si>
    <t>ｻｸﾗｸﾚﾊﾟｽ/ｸﾚﾊﾟｽ ｽﾍﾟｼｬﾘｽﾄ 12色/ESP12</t>
  </si>
  <si>
    <t>ｻｸﾗｸﾚﾊﾟｽ/ｸﾚﾊﾟｽ ｽﾍﾟｼｬﾘｽﾄ 25色/ESP25</t>
  </si>
  <si>
    <t>ｻｸﾗｸﾚﾊﾟｽ/ｸﾚﾊﾟｽ ｽﾍﾟｼｬﾘｽﾄ 36色/ESP36</t>
  </si>
  <si>
    <t>ｻｸﾗｸﾚﾊﾟｽ/ｸﾚﾊﾟｽ ｽﾍﾟｼｬﾘｽﾄ 50色/ESP50</t>
  </si>
  <si>
    <t>ｻｸﾗｸﾚﾊﾟｽ/ｸﾚﾊﾟｽ ｽﾍﾟｼｬﾘｽﾄ 88色/ESP88</t>
  </si>
  <si>
    <t>ｻｸﾗｸﾚﾊﾟｽ/ｸﾚﾖﾝ太巻 12色/LY12R</t>
  </si>
  <si>
    <t>ｻｸﾗｸﾚﾊﾟｽ/ｸﾚﾖﾝ太巻 16色/LY16R</t>
  </si>
  <si>
    <t>ｻｸﾗｸﾚﾊﾟｽ/ｸﾚﾖﾝ太巻 24色/LY24R</t>
  </si>
  <si>
    <t>ｻｸﾗｸﾚﾊﾟｽ/ｸﾚﾖﾝ太巻 12色(ﾎﾞﾀﾝ付ｹｰｽ)/BLY12</t>
  </si>
  <si>
    <t>ｻｸﾗｸﾚﾊﾟｽ/ｸﾚﾖﾝ太巻 16色(ﾎﾞﾀﾝ付ｹｰｽ)/BLY16</t>
  </si>
  <si>
    <t>ｻｸﾗｸﾚﾊﾟｽ/ｸﾚﾖﾝ水性 12色 ﾊﾆｰBee/WY12R1</t>
  </si>
  <si>
    <t>ｻｸﾗｸﾚﾊﾟｽ/ﾎﾟｽﾀｰｶﾗｰEX 8色/PEW8</t>
  </si>
  <si>
    <t>ｻｸﾗｸﾚﾊﾟｽ/ﾎﾟｽﾀｰｶﾗｰEX 13色/PEW13</t>
  </si>
  <si>
    <t>ｻｸﾗｸﾚﾊﾟｽ/ｱｸﾘﾙｶﾞｯｼｭ 12色13本 ﾗﾐﾈｰﾄﾁｭｰﾌﾞ入り/AGW13</t>
  </si>
  <si>
    <t>ｻｸﾗｸﾚﾊﾟｽ/ﾏｯﾄ水彩ﾏﾙﾁ 12色/MWM12PE</t>
  </si>
  <si>
    <t>ｻｸﾗｸﾚﾊﾟｽ/ﾏｯﾄ水彩ﾏﾙﾁ 15色/MWM15PE</t>
  </si>
  <si>
    <t>ｻｸﾗｸﾚﾊﾟｽ/ﾏｯﾄ水彩ﾏﾙﾁ 18色/MWM18PE</t>
  </si>
  <si>
    <t>ｻｸﾗｸﾚﾊﾟｽ/ﾏｯﾄ水彩ﾏﾙﾁ 単色 ﾚﾓﾝいろ/MWMP-P#2</t>
  </si>
  <si>
    <t>ｻｸﾗｸﾚﾊﾟｽ/ﾏｯﾄ水彩ﾏﾙﾁ 単色 きいろ/MWMP-P#3</t>
  </si>
  <si>
    <t>ｻｸﾗｸﾚﾊﾟｽ/ﾏｯﾄ水彩ﾏﾙﾁ 単色 うすだいだい/MWMP-P#7</t>
  </si>
  <si>
    <t>ｻｸﾗｸﾚﾊﾟｽ/ﾏｯﾄ水彩ﾏﾙﾁ 単色 ちゃいろ/MWMP-P#12</t>
  </si>
  <si>
    <t>ｻｸﾗｸﾚﾊﾟｽ/ﾏｯﾄ水彩ﾏﾙﾁ 単色 おうどいろ/MWMP-P#15</t>
  </si>
  <si>
    <t>ｻｸﾗｸﾚﾊﾟｽ/ﾏｯﾄ水彩ﾏﾙﾁ 単色 こげちゃ/MWMP-P#17</t>
  </si>
  <si>
    <t>ｻｸﾗｸﾚﾊﾟｽ/ﾏｯﾄ水彩ﾏﾙﾁ 単色 しゅいろ/MWMP-P#18</t>
  </si>
  <si>
    <t>ｻｸﾗｸﾚﾊﾟｽ/ﾏｯﾄ水彩ﾏﾙﾁ 単色 あか/MWMP-P#19</t>
  </si>
  <si>
    <t>ｻｸﾗｸﾚﾊﾟｽ/ﾏｯﾄ水彩ﾏﾙﾁ 単色 むらさき/MWMP-P#24</t>
  </si>
  <si>
    <t>ｻｸﾗｸﾚﾊﾟｽ/ﾏｯﾄ水彩ﾏﾙﾁ 単色 ｾﾙﾘｱﾝﾌﾞﾙｰ/MWMP-P#25</t>
  </si>
  <si>
    <t>ｻｸﾗｸﾚﾊﾟｽ/ﾏｯﾄ水彩ﾏﾙﾁ 単色 きみどり/MWMP-P#27</t>
  </si>
  <si>
    <t>ｻｸﾗｸﾚﾊﾟｽ/ﾏｯﾄ水彩ﾏﾙﾁ 単色 みどり/MWMP-P#29</t>
  </si>
  <si>
    <t>G)ｻｸﾗｸﾚﾊﾟｽ/画筆 ﾈｵｾﾌﾞﾛﾝ 丸型0号/NR0</t>
  </si>
  <si>
    <t>G)ｻｸﾗｸﾚﾊﾟｽ/画筆 ﾈｵｾﾌﾞﾛﾝ 丸型2号/NR2</t>
  </si>
  <si>
    <t>G)ｻｸﾗｸﾚﾊﾟｽ/画筆 ﾈｵｾﾌﾞﾛﾝ 丸型6号/NR6</t>
  </si>
  <si>
    <t>G)ｻｸﾗｸﾚﾊﾟｽ/画筆 ﾈｵｾﾌﾞﾛﾝ 丸型10号/NR10</t>
  </si>
  <si>
    <t>G)ｻｸﾗｸﾚﾊﾟｽ/画筆 ﾈｵｾﾌﾞﾛﾝ 丸型14号/NR14</t>
  </si>
  <si>
    <t>G)ｻｸﾗｸﾚﾊﾟｽ/画筆 ﾈｵｾﾌﾞﾛﾝ 丸型18号/NR18</t>
  </si>
  <si>
    <t>G)ｻｸﾗｸﾚﾊﾟｽ/画筆 ﾈｵｾﾌﾞﾛﾝ 平型6号/NF6</t>
  </si>
  <si>
    <t>G)ｻｸﾗｸﾚﾊﾟｽ/画筆 ﾈｵｾﾌﾞﾛﾝ 平型10号/NF10</t>
  </si>
  <si>
    <t>G)ｻｸﾗｸﾚﾊﾟｽ/画筆 ﾈｵｾﾌﾞﾛﾝ 平型14号/NF14</t>
  </si>
  <si>
    <t>G)ｻｸﾗｸﾚﾊﾟｽ/画筆 ﾈｵｾﾌﾞﾛﾝ 平型18号/NF18</t>
  </si>
  <si>
    <t>ｻｸﾗｸﾚﾊﾟｽ/洗濯で落ちる墨液 180ml/JW</t>
  </si>
  <si>
    <t>ｻｸﾗｸﾚﾊﾟｽ/清墨 180ml/JWS</t>
  </si>
  <si>
    <t>ｻｸﾗｸﾚﾊﾟｽ/ﾏｯﾄ水彩ﾏﾙﾁ 単色 あお/MWMP-P#36</t>
  </si>
  <si>
    <t>ｻｸﾗｸﾚﾊﾟｽ/ﾏｯﾄ水彩ﾏﾙﾁ 単色 あいいろ/MWMP-P#43</t>
  </si>
  <si>
    <t>ｻｸﾗｸﾚﾊﾟｽ/ﾏｯﾄ水彩ﾏﾙﾁ 単色 くろ/MWMP-P#49</t>
  </si>
  <si>
    <t>ｻｸﾗｸﾚﾊﾟｽ/ﾏｯﾄ水彩ﾏﾙﾁ 単色 しろ/MWMP-P#50</t>
  </si>
  <si>
    <t>ｻｸﾗｸﾚﾊﾟｽ/ﾏｯﾄ水彩ﾏﾙﾁ 単色 きんいろ/MWMP-P#51</t>
  </si>
  <si>
    <t>ｻｸﾗｸﾚﾊﾟｽ/ﾏｯﾄ水彩ﾏﾙﾁ 単色 ぎんいろ/MWMP-P#53</t>
  </si>
  <si>
    <t>ｻｸﾗｸﾚﾊﾟｽ/ﾍﾟｲﾝﾄﾏｰｶｰ中字 あか/PMK-B#19</t>
  </si>
  <si>
    <t>ｻｸﾗｸﾚﾊﾟｽ/ﾍﾟｲﾝﾄﾏｰｶｰ中字 くろ/PMK-B#49</t>
  </si>
  <si>
    <t>ｻｸﾗｸﾚﾊﾟｽ/ﾍﾟｲﾝﾄﾏｰｶｰ中字 みどり/PMK-B#29</t>
  </si>
  <si>
    <t>ｻｸﾗｸﾚﾊﾟｽ/ﾍﾟｲﾝﾄﾏｰｶｰ中字 むらさき/PMK-B#24</t>
  </si>
  <si>
    <t>ｻｸﾗｸﾚﾊﾟｽ/ﾍﾟｲﾝﾄﾏｰｶｰ中字 みずいろ/PMK-B#25</t>
  </si>
  <si>
    <t>ｻｸﾗｸﾚﾊﾟｽ/ﾍﾟｲﾝﾄﾏｰｶｰ中字 蛍光ﾚﾓﾝ/PMK-B#302</t>
  </si>
  <si>
    <t>ｻｸﾗｸﾚﾊﾟｽ/ﾍﾟｲﾝﾄﾏｰｶｰ中字 蛍光ﾋﾟﾝｸ/PMK-B#320</t>
  </si>
  <si>
    <t>ｻｸﾗｸﾚﾊﾟｽ/ｸﾚﾖﾝ太巻 単色 ﾚﾓﾝいろ 10本/LYﾊﾞﾗ#2</t>
  </si>
  <si>
    <t>ｻｸﾗｸﾚﾊﾟｽ/ｸﾚﾖﾝ太巻 単色 きいろ 10本/LYﾊﾞﾗ#3</t>
  </si>
  <si>
    <t>ｻｸﾗｸﾚﾊﾟｽ/ｸﾚﾖﾝ太巻 単色 だいだいいろ 10本/LYﾊﾞﾗ#5</t>
  </si>
  <si>
    <t>ｻｸﾗｸﾚﾊﾟｽ/ｸﾚﾖﾝ太巻 単色 うすだいだい 10本/LYﾊﾞﾗ#7</t>
  </si>
  <si>
    <t>ｻｸﾗｸﾚﾊﾟｽ/ｸﾚﾖﾝ太巻 単色 ちゃいろ 10本/LYﾊﾞﾗ#12</t>
  </si>
  <si>
    <t>ｻｸﾗｸﾚﾊﾟｽ/ｸﾚﾖﾝ太巻 単色 おうどいろ 10本/LYﾊﾞﾗ#15</t>
  </si>
  <si>
    <t>ｻｸﾗｸﾚﾊﾟｽ/ｸﾚﾖﾝ太巻 単色 こげちゃ 10本/LYﾊﾞﾗ#17</t>
  </si>
  <si>
    <t>ｻｸﾗｸﾚﾊﾟｽ/ｸﾚﾖﾝ太巻 単色 しゅいろ 10本/LYﾊﾞﾗ#18</t>
  </si>
  <si>
    <t>ｻｸﾗｸﾚﾊﾟｽ/ｸﾚﾖﾝ太巻 単色 ももいろ 10本/LYﾊﾞﾗ#20</t>
  </si>
  <si>
    <t>ｻｸﾗｸﾚﾊﾟｽ/ｸﾚﾖﾝ太巻 単色 むらさき 10本/LYﾊﾞﾗ#24</t>
  </si>
  <si>
    <t>ｻｸﾗｸﾚﾊﾟｽ/ｸﾚﾖﾝ太巻 単色 きみどり 10本/LYﾊﾞﾗ#27</t>
  </si>
  <si>
    <t>ｻｸﾗｸﾚﾊﾟｽ/ｸﾚﾖﾝ太巻 単色 みどり 10本/LYﾊﾞﾗ#29</t>
  </si>
  <si>
    <t>ｻｸﾗｸﾚﾊﾟｽ/ｸﾚﾖﾝ太巻 単色 ふかみどり 10本/LYﾊﾞﾗ#30</t>
  </si>
  <si>
    <t>ｻｸﾗｸﾚﾊﾟｽ/ｸﾚﾖﾝ太巻 単色 あお 10本/LYﾊﾞﾗ#36</t>
  </si>
  <si>
    <t>ｻｸﾗｸﾚﾊﾟｽ/ｸﾚﾖﾝ太巻 単色 ぐんじょう 10本/LYﾊﾞﾗ#38</t>
  </si>
  <si>
    <t>ｻｸﾗｸﾚﾊﾟｽ/ｸﾚﾖﾝ太巻 単色 あいいろ 10本/LYﾊﾞﾗ#43</t>
  </si>
  <si>
    <t>ｻｸﾗｸﾚﾊﾟｽ/ｸﾚﾖﾝ太巻 単色 はいいろ 10本/LYﾊﾞﾗ#44</t>
  </si>
  <si>
    <t>ｻｸﾗｸﾚﾊﾟｽ/ｸﾚﾖﾝ太巻 単色 くちばいろ 10本/LYﾊﾞﾗ#47</t>
  </si>
  <si>
    <t>ｻｸﾗｸﾚﾊﾟｽ/ｸﾚﾖﾝ太巻 単色 しろ 10本/LYﾊﾞﾗ#50</t>
  </si>
  <si>
    <t>ｻｸﾗｸﾚﾊﾟｽ/ｸﾚﾖﾝ太巻 単色 みかんいろ 10本/LYﾊﾞﾗ#105</t>
  </si>
  <si>
    <t>ｻｸﾗｸﾚﾊﾟｽ/ｸﾚﾖﾝ太巻 単色 あかるいむらさき 10本</t>
  </si>
  <si>
    <t>ｻｸﾗｸﾚﾊﾟｽ/ｸﾚﾖﾝ太巻 単色 みずいろ 10本/LYﾊﾞﾗ#125</t>
  </si>
  <si>
    <t>ｻｸﾗｸﾚﾊﾟｽ/ﾏｯﾄ水彩12ml ﾎﾟﾘﾁｭｰﾌﾞ入(ﾈｵﾊﾟｯｸ) ﾚﾓﾝいろ</t>
  </si>
  <si>
    <t>ｻｸﾗｸﾚﾊﾟｽ/ﾏｯﾄ水彩12ml ﾎﾟﾘﾁｭｰﾌﾞ入(ﾈｵﾊﾟｯｸ) きいろ</t>
  </si>
  <si>
    <t>ｻｸﾗｸﾚﾊﾟｽ/ﾏｯﾄ水彩12ml ﾎﾟﾘﾁｭｰﾌﾞ入(ﾈｵ) うすだいだい</t>
  </si>
  <si>
    <t>ｻｸﾗｸﾚﾊﾟｽ/ﾏｯﾄ水彩12ml ﾎﾟﾘﾁｭｰﾌﾞ入(ﾈｵﾊﾟｯｸ) ちゃいろ</t>
  </si>
  <si>
    <t>ｻｸﾗｸﾚﾊﾟｽ/ﾏｯﾄ水彩12ml ﾎﾟﾘﾁｭｰﾌﾞ入(ﾈｵﾊﾟｯｸ) おうどいろ</t>
  </si>
  <si>
    <t>ｻｸﾗｸﾚﾊﾟｽ/ﾏｯﾄ水彩12ml ﾎﾟﾘﾁｭｰﾌﾞ入(ﾈｵﾊﾟｯｸ) こげちゃ</t>
  </si>
  <si>
    <t>ｻｸﾗｸﾚﾊﾟｽ/ﾏｯﾄ水彩12ml ﾎﾟﾘﾁｭｰﾌﾞ入(ﾈｵﾊﾟｯｸ) しゅいろ</t>
  </si>
  <si>
    <t>ｻｸﾗｸﾚﾊﾟｽ/ﾏｯﾄ水彩12ml ﾎﾟﾘﾁｭｰﾌﾞ入(ﾈｵﾊﾟｯｸ) あか</t>
  </si>
  <si>
    <t>ｻｸﾗｸﾚﾊﾟｽ/ﾏｯﾄ水彩12ml ﾎﾟﾘﾁｭｰﾌﾞ入(ﾈｵﾊﾟｯｸ) むらさき</t>
  </si>
  <si>
    <t>ｻｸﾗｸﾚﾊﾟｽ/ﾏｯﾄ水彩12ml ﾎﾟﾘﾁｭｰﾌﾞ入(ﾈｵﾊﾟｯｸ) ｾﾙﾘｱﾝﾌﾞﾙｰ</t>
  </si>
  <si>
    <t>ｻｸﾗｸﾚﾊﾟｽ/ﾏｯﾄ水彩12ml ﾎﾟﾘﾁｭｰﾌﾞ入(ﾈｵﾊﾟｯｸ) きみどり</t>
  </si>
  <si>
    <t>ｻｸﾗｸﾚﾊﾟｽ/ﾏｯﾄ水彩12ml ﾎﾟﾘﾁｭｰﾌﾞ入(ﾈｵﾊﾟｯｸ) みどり</t>
  </si>
  <si>
    <t>ｻｸﾗｸﾚﾊﾟｽ/ﾏｯﾄ水彩12ml ﾎﾟﾘﾁｭｰﾌﾞ入(ﾈｵﾊﾟｯｸ) あお</t>
  </si>
  <si>
    <t>ｻｸﾗｸﾚﾊﾟｽ/ﾏｯﾄ水彩12ml ﾎﾟﾘﾁｭｰﾌﾞ入(ﾈｵﾊﾟｯｸ) あいいろ</t>
  </si>
  <si>
    <t>ｻｸﾗｸﾚﾊﾟｽ/ﾏｯﾄ水彩12ml ﾎﾟﾘﾁｭｰﾌﾞ入(ﾈｵﾊﾟｯｸ) くろ</t>
  </si>
  <si>
    <t>ｻｸﾗｸﾚﾊﾟｽ/ﾏｯﾄ水彩12ml ﾎﾟﾘﾁｭｰﾌﾞ入(ﾈｵﾊﾟｯｸ) しろ</t>
  </si>
  <si>
    <t>ｻｸﾗｸﾚﾊﾟｽ/ﾏｯﾄ水彩12ml ﾎﾟﾘﾁｭｰﾌﾞ入(ﾈｵﾊﾟｯｸ) きん</t>
  </si>
  <si>
    <t>ｻｸﾗｸﾚﾊﾟｽ/ﾏｯﾄ水彩12ml ﾎﾟﾘﾁｭｰﾌﾞ入(ﾈｵﾊﾟｯｸ) ぎん</t>
  </si>
  <si>
    <t>ｻｸﾗｸﾚﾊﾟｽ/ﾏｯﾄ水彩単色(ﾗﾐﾈｰﾄﾌｯｸ) ﾋﾞﾘｼﾞｱﾝ/EMW-P#31</t>
  </si>
  <si>
    <t>ｻｸﾗｸﾚﾊﾟｽ/ﾏｯﾄ水彩単色(ﾗﾐﾈｰﾄﾌｯｸ) あお/EMW-P#36</t>
  </si>
  <si>
    <t>ｻｸﾗｸﾚﾊﾟｽ/油性ﾏｰｶｰ補充用ｲﾝｷ くろ/HPK#49</t>
  </si>
  <si>
    <t>ｻｸﾗｸﾚﾊﾟｽ/ﾏｯﾄ水彩単色(ﾗﾐﾈｰﾄﾌｯｸ) ぐんじょう/EMW-P#38</t>
  </si>
  <si>
    <t>ｻｸﾗｸﾚﾊﾟｽ/ﾏｯﾄ水彩単色(ﾗﾐﾈｰﾄﾌｯｸ) あいいろ/EMW-P#43</t>
  </si>
  <si>
    <t>ｻｸﾗｸﾚﾊﾟｽ/油性ﾏｰｶｰ補充用ｲﾝｷ あか/HPK#19</t>
  </si>
  <si>
    <t>ｻｸﾗｸﾚﾊﾟｽ/油性ﾏｰｶｰ補充用ｲﾝｷ あお/HPK#36</t>
  </si>
  <si>
    <t>ｻｸﾗｸﾚﾊﾟｽ/油性ﾏｰｶｰ補充用ｲﾝｷ みどり/HPK#29</t>
  </si>
  <si>
    <t>ｻｸﾗｸﾚﾊﾟｽ/ﾏｯﾄ水彩単色(ﾗﾐﾈｰﾄﾌｯｸ) しろ/EMW-P#50</t>
  </si>
  <si>
    <t>ｻｸﾗｸﾚﾊﾟｽ/ﾏｯﾄ水彩単色(ﾗﾐﾈｰﾄﾌｯｸ) ﾚﾓﾝいろ/EMW-P#2</t>
  </si>
  <si>
    <t>ｻｸﾗｸﾚﾊﾟｽ/ﾏｯﾄ水彩単色(ﾗﾐﾈｰﾄﾌｯｸ)やまぶきいろ/EMW-P#4</t>
  </si>
  <si>
    <t>ｻｸﾗｸﾚﾊﾟｽ/ﾏｯﾄ水彩単色(ﾗﾐﾈｰﾄﾌｯｸ)うすだいだい/EMW-P#7</t>
  </si>
  <si>
    <t>ｻｸﾗｸﾚﾊﾟｽ/ﾏｯﾄ水彩単色(ﾗﾐﾈｰﾄﾌｯｸ) くろ/EMW-P#49</t>
  </si>
  <si>
    <t>ｻｸﾗｸﾚﾊﾟｽ/ﾏｯﾄ水彩単色(ﾗﾐﾈｰﾄﾌｯｸ) きんいろ/EMW-P#51</t>
  </si>
  <si>
    <t>ｻｸﾗｸﾚﾊﾟｽ/ﾏｯﾄ水彩単色(ﾗﾐﾈｰﾄﾌｯｸ) ちゃいろ/EMW-P#12</t>
  </si>
  <si>
    <t>ｻｸﾗｸﾚﾊﾟｽ/ﾏｯﾄ水彩単色(ﾗﾐﾈｰﾄﾌｯｸ) おうどいろ/EMW-P#15</t>
  </si>
  <si>
    <t>ｻｸﾗｸﾚﾊﾟｽ/ﾏｯﾄ水彩単色(ﾗﾐﾈｰﾄﾌｯｸ) こげちゃ/EMW-P#17</t>
  </si>
  <si>
    <t>ｻｸﾗｸﾚﾊﾟｽ/ﾏｯﾄ水彩単色(ﾗﾐﾈｰﾄﾌｯｸ) しゅいろ/EMW-P#18</t>
  </si>
  <si>
    <t>ｻｸﾗｸﾚﾊﾟｽ/ﾏｯﾄ水彩単色(ﾗﾐﾈｰﾄﾌｯｸ) ぎんいろ/EMW-P#53</t>
  </si>
  <si>
    <t>ｻｸﾗｸﾚﾊﾟｽ/ﾏｯﾄ水彩単色(ﾗﾐﾈｰﾄﾌｯｸ) あか/EMW-P#19</t>
  </si>
  <si>
    <t>ｻｸﾗｸﾚﾊﾟｽ/ﾏｯﾄ水彩単色(ﾗﾐﾈｰﾄﾌｯｸ) むらさき/EMW-P#24</t>
  </si>
  <si>
    <t>ｻｸﾗｸﾚﾊﾟｽ/ﾏｯﾄ水彩単色(ﾗﾐﾈｰﾄﾌｯｸ) ｾﾙﾘｱﾝﾌﾞﾙｰ/EMW-P#25</t>
  </si>
  <si>
    <t>ｻｸﾗｸﾚﾊﾟｽ/ﾏｯﾄ水彩単色(ﾗﾐﾈｰﾄﾌｯｸ) きみどり/EMW-P#27</t>
  </si>
  <si>
    <t>ｻｸﾗｸﾚﾊﾟｽ/ﾏｯﾄ水彩単色(ﾗﾐﾈｰﾄﾌｯｸ) ふかみどり/EMW-P#30</t>
  </si>
  <si>
    <t>J570MC</t>
  </si>
  <si>
    <t>J9068Y</t>
  </si>
  <si>
    <t>J9065Y</t>
  </si>
  <si>
    <t>J9067Y</t>
  </si>
  <si>
    <t>J556MC</t>
  </si>
  <si>
    <t>J557MC</t>
  </si>
  <si>
    <t>J558MC</t>
  </si>
  <si>
    <t>v30015</t>
  </si>
  <si>
    <t>ｻｸﾗｸﾚﾊﾟｽ 単色ｸﾚﾖﾝ 太巻 黒 10本</t>
  </si>
  <si>
    <t>ｻｸﾗｸﾚﾊﾟｽ/ｱｰﾁ消しｺﾞﾑ M 20個/RFA-M</t>
  </si>
  <si>
    <t>ｻｸﾗ/ｸｰﾋﾟｰﾍﾟﾝｼﾙ 24色ｾｯﾄ(ｿﾌﾄｹｰｽ入) 20個/FY24R1</t>
  </si>
  <si>
    <t>ｻｸﾗｸﾚﾊﾟｽ/ｸｰﾋﾟｰﾍﾟﾝｼﾙ12色(ｿﾌﾄｹｰｽ入り) 5個/FY12-R1</t>
  </si>
  <si>
    <t>ｻｸﾗ/ｸﾚﾊﾟｽ太巻 16色 5個/LP16R</t>
  </si>
  <si>
    <t>ｻｸﾗ/ｸﾚﾊﾟｽ太巻 くろ 10本/LPﾊﾞﾗ#49</t>
  </si>
  <si>
    <t>ｻｸﾗ/ｸﾚﾊﾟｽ太巻 きいろ 10本/LPﾊﾞﾗ#3</t>
  </si>
  <si>
    <t>ｻｸﾗ/ｸﾚﾊﾟｽ太巻 みどり 10本/LPﾊﾞﾗ#29</t>
  </si>
  <si>
    <t>G)ｻｸﾗ/ﾏｯﾄ水彩単色 ﾎﾟﾘﾁｭｰﾌﾞ入 あか 12ml 5本/MWP#19</t>
  </si>
  <si>
    <t>G)ｻｸﾗ/ﾏｯﾄ水彩単色 ﾎﾟﾘﾁｭｰﾌﾞ入 あお 12ml 5本/MWP#36</t>
  </si>
  <si>
    <t>G)ｻｸﾗ/ﾏｯﾄ水彩単色 ﾎﾟﾘﾁｭｰﾌﾞ入 しろ 12ml 5本/MWP#50</t>
  </si>
  <si>
    <t>34/285</t>
  </si>
  <si>
    <t>34/139</t>
  </si>
  <si>
    <t>34/139･285</t>
  </si>
  <si>
    <t>34/129</t>
  </si>
  <si>
    <t>6月
たの</t>
    <rPh sb="1" eb="2">
      <t>ガツ</t>
    </rPh>
    <phoneticPr fontId="2"/>
  </si>
  <si>
    <t>6月
カウ</t>
    <rPh sb="1" eb="2">
      <t>ガツ</t>
    </rPh>
    <phoneticPr fontId="2"/>
  </si>
  <si>
    <t>-</t>
  </si>
  <si>
    <t>サクラクレパス 消しゴム フォームイレーザーダブルS RFW-S 1セット(40個)（直送品）</t>
  </si>
  <si>
    <t>サクラクレパス アーチ消しゴムS RFA-S 1個</t>
  </si>
  <si>
    <t>サクラクレパス アーチ消しゴム60 ブラック RAF60#49 1セット(50個)（直送品）</t>
  </si>
  <si>
    <t>サクラクレパス 小学生学習字消し60円 RFW60S 1セット(20個)（直送品）</t>
  </si>
  <si>
    <t>サクラクレパス サクラクレヨン太巻　単色（10本入）　くろ</t>
  </si>
  <si>
    <t>サクラクレパス クレパス太巻単色10本入　むらさき</t>
  </si>
  <si>
    <t>サクラクレパス クーピーペンシル（単色10本入）　きいろ</t>
  </si>
  <si>
    <t>サクラクレパス クーピーペンシル（単色10本入）　だいだいいろ</t>
  </si>
  <si>
    <t>サクラクレパス クーピーペンシル（単色10本入）　ちゃいろ</t>
  </si>
  <si>
    <t>サクラクレパス クーピーペンシル（単色10本入）　あか</t>
  </si>
  <si>
    <t>サクラクレパス クーピーペンシル（単色10本入）　ももいろ</t>
  </si>
  <si>
    <t>サクラクレパス クーピーペンシル（単色10本入）　むらさき</t>
  </si>
  <si>
    <t>サクラクレパス クーピーペンシル（単色10本入）　みずいろ</t>
  </si>
  <si>
    <t>サクラクレパス クーピーペンシル（単色10本入）　きみどり</t>
  </si>
  <si>
    <t>サクラクレパス クーピーペンシル（単色10本入）　みどり</t>
  </si>
  <si>
    <t>サクラクレパス クーピーペンシル（単色10本入）　あお</t>
  </si>
  <si>
    <t>サクラクレパス クーピーペンシル（単色10本入）　くろ</t>
  </si>
  <si>
    <t>サクラクレパス クーピーペンシル（単色10本入）　うすだいだい</t>
  </si>
  <si>
    <t>サクラクレパス クレパス太巻単色10本入　しろ</t>
  </si>
  <si>
    <t>サクラクレパス クレヨン太巻単色 赤 LYバラ#19 1セット(10本)</t>
  </si>
  <si>
    <t>サクラクレパス クレパス太巻単色10本入　きいろ</t>
  </si>
  <si>
    <t>サクラクレパス クレパス太巻単色10本入　みどり</t>
  </si>
  <si>
    <t>サクラクレパス クレパス太巻単色10本入　だいだいいろ</t>
  </si>
  <si>
    <t>サクラクレパス クレパス太巻単色10本入　うすだいだい</t>
  </si>
  <si>
    <t>サクラクレパス クレパス太巻単色10本入　ももいろ</t>
  </si>
  <si>
    <t>サクラクレパス クレパス太巻単色10本入　みずいろ</t>
  </si>
  <si>
    <t>サクラクレパス クレパス太巻単色10本入　あお</t>
  </si>
  <si>
    <t>サクラクレパス クレパス太巻単色10本入　はいいろ</t>
  </si>
  <si>
    <t>サクラクレパス クレパス太巻単色10本入　あか</t>
  </si>
  <si>
    <t>【アウトレット】サクラクレパス クレヨン太巻単色 レモンいろ LYバラ#2 1セット(10本)</t>
  </si>
  <si>
    <t>サクラクレパス サクラクレヨン太巻　単色（10本入）　きいろ</t>
  </si>
  <si>
    <t>サクラクレパス クレヨン太巻単色 だいだい LYバラ#5 10個（直送品）</t>
  </si>
  <si>
    <t>サクラクレパス サクラクレヨン太巻　単色（10本入）　うすだいだい</t>
  </si>
  <si>
    <t>サクラクレパス サクラクレヨン太巻　単色（10本入）　ちゃいろ</t>
  </si>
  <si>
    <t>サクラクレパス クレヨン太巻単色 おうどいろ LYバラ#15 1セット(10本)</t>
  </si>
  <si>
    <t>サクラクレパス クレヨン太巻単色 こげ茶 LYバラ#17 10個（直送品）</t>
  </si>
  <si>
    <t>サクラクレパス クレヨン太巻単色 朱色 LYバラ#18 10個（直送品）</t>
  </si>
  <si>
    <t>サクラクレパス サクラクレヨン太巻　単色（10本入）　ももいろ</t>
  </si>
  <si>
    <t>サクラクレパス クレヨン太巻単色 紫 LYバラ#24 10個（直送品）</t>
  </si>
  <si>
    <t>サクラクレパス サクラクレヨン太巻　単色（10本入）　きみどり</t>
  </si>
  <si>
    <t>サクラクレパス サクラクレヨン太巻　単色（10本入）　みどり</t>
  </si>
  <si>
    <t>サクラクレパス クレヨン太巻単色 ふかみどり LYバラ#30 20個（直送品）</t>
  </si>
  <si>
    <t>サクラクレパス クレヨン太巻単色 青 LYバラ#36 1セット(20本)</t>
  </si>
  <si>
    <t>サクラクレパス クレヨン太巻単色 ぐんじょう LYバラ#38 20個（直送品）</t>
  </si>
  <si>
    <t>サクラクレパス クレヨン太巻単色 あいいろ LYバラ#43 20個（直送品）</t>
  </si>
  <si>
    <t>サクラクレパス サクラクレヨン太巻　単色（10本入）　はいいろ</t>
  </si>
  <si>
    <t>サクラクレパス クレヨン太巻単色 くちばいろ LYバラ#47 20個（直送品）</t>
  </si>
  <si>
    <t>サクラクレパス サクラクレヨン太巻　単色（10本入）　しろ</t>
  </si>
  <si>
    <t>サクラクレパス クレヨン太巻単色 みかんいろ LYバラ#105 20個（直送品）</t>
  </si>
  <si>
    <t>サクラクレパス クレヨン太巻単色 明るい紫 LYバラ#124 20個（直送品）</t>
  </si>
  <si>
    <t>サクラクレパス サクラクレヨン太巻　単色（10本入）　みずいろ</t>
  </si>
  <si>
    <t>サクラクレパス マット水彩 ラミネートチューブ 5ml フック袋入り しろ EMW-P#50 1セット(1個×10)（直送品）</t>
  </si>
  <si>
    <t>サクラクレパス マット水彩 ラミネートチューブ 5ml フック袋入り レモンいろ EMW-P#2 1セット(1個×10)（直送品）</t>
  </si>
  <si>
    <t>サクラクレパス マット水彩 ラミネートチューブ 5ml フック袋入り やまぶき EMW-P#4 1セット(1個×10)（直送品）</t>
  </si>
  <si>
    <t>サクラクレパス マット水彩 ラミネートチューブ 5ml フック袋入り うすだいだい EMW-P#7 1セット(1個×10)（直送品）</t>
  </si>
  <si>
    <t>サクラクレパス マット水彩 ラミネートチューブ 単色 5ml フック袋入り ちゃいろ EMW-P#12 1セット(1個×10)（直送品）</t>
  </si>
  <si>
    <t>サクラクレパス マット水彩 ラミネートチューブ 5ml フック袋入り おうどいろ EMW-P#15 1セット(1個×10)（直送品）</t>
  </si>
  <si>
    <t>サクラクレパス マット水彩 ラミネートチューブ 5ml フック袋入り こげちゃ EMW-P#17 1セット(1個×10)（直送品）</t>
  </si>
  <si>
    <t>サクラクレパス マット水彩 ラミネートチューブ 5ml フック袋入り しゅいろ EMW-P#18 1セット(1個×10)（直送品）</t>
  </si>
  <si>
    <t>サクラクレパス マット水彩 ラミネートチューブ 5ml フック袋入り あか EMW-P#19 1セット(1個×10)（直送品）</t>
  </si>
  <si>
    <t>サクラクレパス マット水彩 ラミネートチューブ 5ml フック袋入り むらさき EMW-P#24 1セット(1個×10)（直送品）</t>
  </si>
  <si>
    <t>サクラクレパス マット水彩 ラミネートチューブ 5ml フック袋入り セルリアン EMW-P#25 1セット(1個×10)（直送品）</t>
  </si>
  <si>
    <t>サクラクレパス マット水彩 ラミネートチューブ 5ml フック袋入り きみどり EMW-P#27 1セット(1個×10)（直送品）</t>
  </si>
  <si>
    <t>サクラクレパス マット水彩 ラミネートチューブ 5ml フック袋入り ふかみどり EMW-P#30 1セット(1個×10)（直送品）</t>
  </si>
  <si>
    <t>サクラクレパス マット水彩 ラミネートチューブ 5ml フック袋入り ビリジアン EMW-P#31 1セット(1個×10)（直送品）</t>
  </si>
  <si>
    <t>サクラクレパス マット水彩 ラミネートチューブ 5ml フック袋入り あお EMW-P#36 1セット(1個×10)（直送品）</t>
  </si>
  <si>
    <t>サクラクレパス マット水彩 ラミネートチューブ 5ml フック袋入り ぐんじょう EMW-P#38 1セット(1個×10)（直送品）</t>
  </si>
  <si>
    <t>サクラクレパス マット水彩 ラミネートチューブ 5ml フック袋入り あいいろ EMW-P#43 1セット(1個×10)（直送品）</t>
  </si>
  <si>
    <t>サクラクレパス マット水彩 ラミネートチューブ 5ml フック袋入り くろ EMW-P#49 1セット(1個×10)（直送品）</t>
  </si>
  <si>
    <t>サクラクレパス フォームイレーザーW80 RFW-80 1個</t>
  </si>
  <si>
    <t>サクラクレパス アーチ消しゴム 100 RAF100 1個</t>
  </si>
  <si>
    <t>サクラクレパス アーチ消しゴム 100 RAF100 1セット(20個)</t>
  </si>
  <si>
    <t>サクラクレパス ショウガクセイガクシュウジ RFW-100S 1個</t>
  </si>
  <si>
    <t>サクラクレパス アーチ消しゴム小学生学習用Mブルー RFAG-M#36 1セット(40個)（直送品）</t>
  </si>
  <si>
    <t>サクラクレパス アーチ消しゴム小学生学習用Mラベンダー RFAG-M#24 1セット(40個)（直送品）</t>
  </si>
  <si>
    <t>サクラクレパス 小学生消しゴム ピンク Gケシゴム#20 1個</t>
  </si>
  <si>
    <t>サクラクレパス 小学生消しゴム ブルー Gケシゴム#36 1個</t>
  </si>
  <si>
    <t>サクラクレパス マット水彩 ラミネートチューブ 5ml フック袋入り ぎんいろ EMW-P#53 1セット(1個×10)（直送品）</t>
  </si>
  <si>
    <t>サクラクレパス マット水彩ポリ エメラルド MWP#26 1セット(10個)（直送品）</t>
  </si>
  <si>
    <t>サクラクレパス マット水彩ポリ きみどり MWP#27 1セット(10個)（直送品）</t>
  </si>
  <si>
    <t>サクラクレパス マット水彩ポリ レモンいろ MWP#2 1セット(10個)（直送品）</t>
  </si>
  <si>
    <t>サクラクレパス マット水彩ポリ ふかみどり MWP#30 1セット(10個)（直送品）</t>
  </si>
  <si>
    <t>サクラクレパス マット水彩ポリ ビリジアン MWP#31 1セット(10個)（直送品）</t>
  </si>
  <si>
    <t>サクラクレパス マット水彩ポリ ぐんじょう MWP#38 1セット(10個)（直送品）</t>
  </si>
  <si>
    <t>サクラクレパス マット水彩ポリ やまぶきいろ MWP#4 1個</t>
  </si>
  <si>
    <t>サクラクレパス マット水彩ポリ あいいろ MWP#43 1セット(10個)（直送品）</t>
  </si>
  <si>
    <t>サクラクレパス マット水彩ポリ はいいろ MWP#44 1セット(10個)（直送品）</t>
  </si>
  <si>
    <t>サクラクレパス マット水彩ポリ だいだいいろ MWP#5 1セット(10個)（直送品）</t>
  </si>
  <si>
    <t>サクラクレパス マット水彩ポリ おうどいろ MWP#15 10個（直送品）</t>
  </si>
  <si>
    <t>サクラクレパス マット水彩ポリ こげちゃ MWP#17 1セット(10個)（直送品）</t>
  </si>
  <si>
    <t>サクラクレパス マット水彩ポリ しゅいろ MWP#18 1セット(10個)（直送品）</t>
  </si>
  <si>
    <t>サクラクレパス マット水彩ポリ あかむらさき MWP#122 1セット(10個)（直送品）</t>
  </si>
  <si>
    <t>サクラクレパス マット水彩ポリ むらさき MWP#24 1セット(10個)（直送品）</t>
  </si>
  <si>
    <t>サクラクレパス マット水彩ポリ セルリアン MWP#25 1セット(10個)（直送品）</t>
  </si>
  <si>
    <t>サクラクレパス マット水彩ポリ きいろ MWP#3 1個</t>
  </si>
  <si>
    <t>サクラクレパス マット水彩ポリ うすだいだい MWP#7 1セット(10個)（直送品）</t>
  </si>
  <si>
    <t>サクラクレパス マット水彩ポリ ちゃいろ MWP#12 1セット(10個)（直送品）</t>
  </si>
  <si>
    <t>サクラクレパス マット水彩ポリ あか MWP#19 1個</t>
  </si>
  <si>
    <t>サクラクレパス マット水彩ポリ あか MWP#19 1セット(10個)</t>
  </si>
  <si>
    <t>サクラクレパス マット水彩ポリ みどり MWP#29 1セット(10個)（直送品）</t>
  </si>
  <si>
    <t>サクラクレパス マット水彩ポリ あお MWP#36 1セット(10個)（直送品）</t>
  </si>
  <si>
    <t>サクラクレパス マット水彩ポリ くろ MWP#49 1セット(10個)（直送品）</t>
  </si>
  <si>
    <t>サクラクレパス マット水彩単色 白 12ml MWP#50 1個</t>
  </si>
  <si>
    <t>サクラクレパス マット水彩単色 白 12ml MWP#50 1セット(10個)</t>
  </si>
  <si>
    <t>サクラクレパス マット水彩ポリ レモンいろ MWP-P#2 10本（直送品）</t>
  </si>
  <si>
    <t>サクラクレパス マット水彩ポリ きいろ MWP-P#3 10本（直送品）</t>
  </si>
  <si>
    <t>サクラクレパス マット水彩ポリ　うすだいだい ＭＷＰーＰ＃７ 1個</t>
  </si>
  <si>
    <t>サクラクレパス マット水彩ポリ ちゃいろ MWP-P#12 10本（直送品）</t>
  </si>
  <si>
    <t>サクラクレパス マット水彩ポリ おうどいろ MWP-P#15 10本（直送品）</t>
  </si>
  <si>
    <t>サクラクレパス マット水彩ポリ こげちゃ MWP-P#17 10本（直送品）</t>
  </si>
  <si>
    <t>サクラクレパス マット水彩ポリ しゅいろ MWP-P#18 10本（直送品）</t>
  </si>
  <si>
    <t>サクラクレパス マット水彩ポリ あか MWPーP#19 1個</t>
  </si>
  <si>
    <t>サクラクレパス マット水彩ポリ むらさき MWP-P#24 10本（直送品）</t>
  </si>
  <si>
    <t>サクラクレパス マット水彩ポリ セルリアンブルー MWP-P#25 10本（直送品）</t>
  </si>
  <si>
    <t>サクラクレパス マット水彩ポリ きみどり MWP-P#27 10本（直送品）</t>
  </si>
  <si>
    <t>サクラクレパス マット水彩ポリ みどり MWP-P#29 10本（直送品）</t>
  </si>
  <si>
    <t>サクラクレパス マット水彩ポリ あお MWP-P#36 10本（直送品）</t>
  </si>
  <si>
    <t>サクラクレパス マット水彩ポリ あいいろ MWP-P#43 10本（直送品）</t>
  </si>
  <si>
    <t>サクラクレパス マット水彩ポリ くろ MWP-P#49 10本（直送品）</t>
  </si>
  <si>
    <t>サクラクレパス マット水彩ポリ しろ MWP-P#50 10本（直送品）</t>
  </si>
  <si>
    <t>サクラクレパス マット水彩 ラミネートチューブ 5ml フック袋入り きんいろ EMW-P#51 1セット(1個×10)（直送品）</t>
  </si>
  <si>
    <t>サクラクレパス 半透明RFW ピュアスリム RFPS150 10個（直送品）</t>
  </si>
  <si>
    <t>サクラクレパス マット水彩ポリ ぎんいろ MWP#53 1セット(10個)（直送品）</t>
  </si>
  <si>
    <t>サクラクレパス 絵具 マット水彩マルチ レモンいろ MWMP-P#2 1セット(5個)（直送品）</t>
  </si>
  <si>
    <t>サクラクレパス 絵具 マット水彩マルチ きいろ MWMP-P#3 1セット(5個)（直送品）</t>
  </si>
  <si>
    <t>サクラクレパス 絵具 マット水彩マルチ うすだいだい MWMP-P#7 1セット(5個)（直送品）</t>
  </si>
  <si>
    <t>サクラクレパス 絵具 マット水彩マルチ ちゃいろ MWMP-P#12 1セット(5個)（直送品）</t>
  </si>
  <si>
    <t>サクラクレパス 絵具 マット水彩マルチ おうどいろ MWMP-P#15 1セット(5個)（直送品）</t>
  </si>
  <si>
    <t>サクラクレパス 絵具 マット水彩マルチ こげちゃ MWMP-P#17 1セット(5個)（直送品）</t>
  </si>
  <si>
    <t>サクラクレパス 絵具 マット水彩マルチ しゅいろ MWMP-P#18 1セット(5個)（直送品）</t>
  </si>
  <si>
    <t>サクラクレパス 絵具 マット水彩マルチ あか MWMP-P#19 1セット(5個)（直送品）</t>
  </si>
  <si>
    <t>サクラクレパス 絵具 マット水彩マルチ むらさき MWMP-P#24 1セット(5個)（直送品）</t>
  </si>
  <si>
    <t>サクラクレパス 絵具 マット水彩マルチ セルリアン MWMP-P#25 1セット(5個)（直送品）</t>
  </si>
  <si>
    <t>サクラクレパス 絵具 マット水彩マルチ きみどり MWMP-P#27 1セット(5個)（直送品）</t>
  </si>
  <si>
    <t>サクラクレパス 絵具 マット水彩マルチ みどり MWMP-P#29 1セット(5個)（直送品）</t>
  </si>
  <si>
    <t>サクラクレパス 絵具 マット水彩マルチ あお　　　　　　　　　　 MWMP-P#36 1個</t>
  </si>
  <si>
    <t>サクラクレパス 絵具 マット水彩マルチ あいいろ MWMP-P#43 1セット(5個)（直送品）</t>
  </si>
  <si>
    <t>サクラクレパス 絵具 マット水彩マルチ くろ MWMP-P#49 1セット(5個)（直送品）</t>
  </si>
  <si>
    <t>サクラクレパス 絵具 マット水彩マルチ しろ MWMP-P#50 1個</t>
  </si>
  <si>
    <t>サクラクレパス マット水彩ポリ ぎんいろ MWP-P#53 10本（直送品）</t>
  </si>
  <si>
    <t>サクラクレパス マット水彩ポリ きんいろ MWP#51 1セット(10個)（直送品）</t>
  </si>
  <si>
    <t>サクラクレパス 絵具 マット水彩マルチ ぎんいろ MWMP-P#53 1セット(5個)（直送品）</t>
  </si>
  <si>
    <t>サクラクレパス マット水彩ポリ きんいろ MWPーP#51 1本</t>
  </si>
  <si>
    <t>サクラクレパス ペイントマーカー中字 銀色 PMK-B#53 1セット(5個)（直送品）</t>
  </si>
  <si>
    <t>サクラクレパス ペイントマーカー中字 白 PMK-B#50 1個</t>
  </si>
  <si>
    <t>サクラクレパス ペイントマーカー中字 赤 PMK-B#19 1個</t>
  </si>
  <si>
    <t>サクラクレパス ペイントマーカー中字 黒 PMK-B#49 1本</t>
  </si>
  <si>
    <t>サクラクレパス ペイントマーカー中字 緑 PMK-B#29 1本</t>
  </si>
  <si>
    <t>サクラクレパス ペイントマーカー中字 紫 PMK-B#24 1本</t>
  </si>
  <si>
    <t>サクラクレパス ペイントマーカー中字 水色 PMK-B#25 1個</t>
  </si>
  <si>
    <t>サクラクレパス ペイントマーカー中字蛍光レモン PMK-B#302 1個</t>
  </si>
  <si>
    <t>サクラクレパス ペイントマーカー中字蛍光ピンク PMK-B#320 1本</t>
  </si>
  <si>
    <t>サクラクレパス 絵具 マット水彩マルチ きんいろ   MWMP-P#51 5個（直送品）</t>
  </si>
  <si>
    <t>サクラクレパス 画筆ネオセブロン丸筆0号 NR0 1セット(5個)（直送品）</t>
  </si>
  <si>
    <t>サクラクレパス 画筆ネオセブロン丸筆2号 NR2 1本</t>
  </si>
  <si>
    <t>サクラクレパス 画筆ネオセブロン丸筆6号 NR6 1セット(5個)（直送品）</t>
  </si>
  <si>
    <t>サクラクレパス 画筆ネオセブロン平筆6号 NF6 1セット(5個)（直送品）</t>
  </si>
  <si>
    <t>サクラクレパス 画筆ネオセブロン丸筆10号 NR10 1セット(5個)（直送品）</t>
  </si>
  <si>
    <t>サクラクレパス 画筆ネオセブロン平筆10号 NF10 1個</t>
  </si>
  <si>
    <t>クーピーマーカー ミルキーカラー 3色セット FYLM-3A サクラクレパス</t>
  </si>
  <si>
    <t>サクラクレパス クーピーマーカー3ポップカラー FYLM-3B 1本</t>
  </si>
  <si>
    <t>クーピーマーカー レトロカラー 3色セット FYLM-3C サクラクレパス</t>
  </si>
  <si>
    <t>サクラクレパス 画筆ネオセブロン丸筆14号 NR14 1セット(5個)（直送品）</t>
  </si>
  <si>
    <t>サクラクレパス 画筆ネオセブロン平筆14号 NF14 1個</t>
  </si>
  <si>
    <t>サクラクレパス 洗濯で落ちる墨液 JW 1セット(5個)（直送品）</t>
  </si>
  <si>
    <t>サクラクレパス 清墨 JWS 1セット(2個)（直送品）</t>
  </si>
  <si>
    <t>サクラクレパス アーチ消しゴム 小学生学習用Mー5P RFAGM-5P 1袋(5個)</t>
  </si>
  <si>
    <t>サクラクレパス アーチ消しゴム M 5個パック RFAM-5P 1セット(1個×10)（直送品）</t>
  </si>
  <si>
    <t>サクラクレパス 画筆ネオセブロン丸筆18号 NR18 1セット(2個)（直送品）</t>
  </si>
  <si>
    <t>サクラクレパス 画筆ネオセブロン平筆18号 NF18 1セット(2個)（直送品）</t>
  </si>
  <si>
    <t>サクラクレパス　ホワイトボードマーカー補充インキ　HWBK　黒　HWBK#49　（直送品）</t>
  </si>
  <si>
    <t>サクラクレパス　ホワイトボードマーカー補充インキ　HWBK　青　HWBK#36　（直送品）</t>
  </si>
  <si>
    <t>サクラクレパス 白板マーカー補充インキ25ml緑 HWBK#29 1セット(2個)（直送品）</t>
  </si>
  <si>
    <t>サクラクレパス　ホワイトボードマーカー補充インキ　HWBK　赤　HWBK#19　(取寄品)（直送品）</t>
  </si>
  <si>
    <t>サクラクレパス　ボードマーカー補充インキ　ＨＷＢＫ　ケトン緑　3個　（直送品）</t>
  </si>
  <si>
    <t>サクラクレパス 白板マーカー補充用インキ青 HWBKケトン#36</t>
  </si>
  <si>
    <t>サクラクレパス 白板マーカー補充用インキ赤 HWBKケトン#19</t>
  </si>
  <si>
    <t>サクラクレパス 白板マーカー補充用インキ黒 HWBKケトン#49</t>
  </si>
  <si>
    <t>サクラクレパス　クレパス 太巻 ゴムひも付き　1セット（12色入）　オイルパステル クレヨン　LP12R</t>
  </si>
  <si>
    <t>サクラクレパス クレヨン太巻 12色セット　1パック　LY12R</t>
  </si>
  <si>
    <t>サクラクレパス クレヨン ふとまき 12色 ボタン付ケース BLY12 1セット</t>
  </si>
  <si>
    <t>サクラクレパス 油性マーカー 補充用インキ 25ml 緑 HPK#29 1セット(1個×10)（直送品）</t>
  </si>
  <si>
    <t>サクラクレパス クレヨン 水性12色ハニーBee WY12R1 1個（直送品）</t>
  </si>
  <si>
    <t>手がよごれないクーピーペンシル 12色 FYS12 サクラクレパス</t>
  </si>
  <si>
    <t>サクラクレパス マット水彩12色 ラミネートチューブ入 5ml EMW12 2個（直送品）</t>
  </si>
  <si>
    <t>サクラクレパス  クレパス 太巻 ゴムひも付き 1セット（16色入）　 オイルパステル クレヨン　LP16R</t>
  </si>
  <si>
    <t>サクラクレパス  クレパス 太巻 ゴムひも付き 16色セット　5セット （16色×5）  オイルパステル クレヨン　LP16R</t>
  </si>
  <si>
    <t>サクラクレパス クレヨン太巻 16色セット　1パック　LY16R</t>
  </si>
  <si>
    <t>サクラクレパス 水でおとせる はじめてのふとふとクレパス6色 WPL6 1個</t>
  </si>
  <si>
    <t>サクラクレパス 水でおとせるクレヨン12色 WYL12 2箱</t>
  </si>
  <si>
    <t>サクラクレパス 水でおとせるしかくいクレパス12色 WP12 1セット(2箱)（直送品）</t>
  </si>
  <si>
    <t>サクラクレパス クーピーペンシル12色（紙箱入） FY12K 2個（直送品）</t>
  </si>
  <si>
    <t>サクラクレパス クレパス太巻 16色セット　ソフトケース入り 1パック  オイルパステル クレヨン　LP16S</t>
  </si>
  <si>
    <t>【アウトレット】サクラクレパス ポスターカラーEX8色 PEW8 1個</t>
  </si>
  <si>
    <t>サクラクレパス クレパス 太巻 20色セット ゴムひも付き 1パック　オイルパステル クレヨン　LP20R</t>
  </si>
  <si>
    <t>サクラクレパス クーピーペンシル12色セット 缶入り 1パック  色鉛筆　FY12</t>
  </si>
  <si>
    <t>サクラクレパス マット水彩15色ラミネートチューブ入 EMW15 1セット(2個)（直送品）</t>
  </si>
  <si>
    <t>サクラクレパス さんかくクーピーペンシル8色 FYL8 1箱</t>
  </si>
  <si>
    <t>サクラクレパス クーピーペンシル12色セット ソフトケース入り 1パック　色鉛筆 FY12-R1</t>
  </si>
  <si>
    <t>サクラクレパス クーピーペンシル12色セット ソフトケース入り 5セット （12色×5）  色鉛筆　FY12-R1</t>
  </si>
  <si>
    <t>サクラクレパス 水でおとせるクレヨン16色 WYL16 1箱</t>
  </si>
  <si>
    <t>サクラクレパス　クレパス 太巻 ゴムひも付き 1セット（24色入）　オイルパステル クレヨン　LP24R</t>
  </si>
  <si>
    <t>サクラクレパス ニュークレパスかくがた16色 NEP16（直送品）</t>
  </si>
  <si>
    <t>サクラクレパス クレヨン 太巻 24色 LY24R（直送品）</t>
  </si>
  <si>
    <t>サクラクレパス マット水彩18色ラミネートチューブ入 EMW18 1セット(3個)（直送品）</t>
  </si>
  <si>
    <t>サクラクレパス マット水彩12色ポリシース入り MW12PF 1個</t>
  </si>
  <si>
    <t>絵の具 マット水彩 ポリチューブ入り 12色セット MW12PE サクラクレパス</t>
  </si>
  <si>
    <t>サクラクレパス　さんかく　クーピーペンシル12　FYL-12　（12色入）</t>
  </si>
  <si>
    <t>サクラクレパス クーピーペンシル18色(缶入) FY18 1個</t>
  </si>
  <si>
    <t>サクラクレパス ポスターカラーEX 12色13本入り PEW13 1個</t>
  </si>
  <si>
    <t>サクラクレパス マット水彩マルチ 12色 12ml MWM12PE 1個</t>
  </si>
  <si>
    <t>サクラクレパス 絵の具 アクリルガッシュ 12色13本入り AGW13 1個</t>
  </si>
  <si>
    <t>サクラクレパス マット水彩24色ラミネートチューブ入 EMW24（直送品）</t>
  </si>
  <si>
    <t>サクラクレパス マット水彩15色ポリシース入り MW15PF 1個</t>
  </si>
  <si>
    <t>サクラクレパス マット水彩15色12mlポリチューブ入 MW15PE 1セット(2個)（直送品）</t>
  </si>
  <si>
    <t>サクラクレパス サクラプラスチック画板 EGS-G3 1個</t>
  </si>
  <si>
    <t>サクラクレパス クーピーペンシル FY24 24色 缶入 1個（直送品）</t>
  </si>
  <si>
    <t>サクラクレパス ニュークレパスかくがた25色 NEP25（直送品）</t>
  </si>
  <si>
    <t>サクラクレパス 色鉛筆/クレヨン（学童用） クーピーペンシル24色ソフトケース入り FY24R1 1セット</t>
  </si>
  <si>
    <t>サクラクレパス マット水彩ポリ MW18PE 18色 1セット(3セット)（直送品）</t>
  </si>
  <si>
    <t>サクラクレパス クーピーペンシル30色セット 缶入り 1セット 色鉛筆 FY30</t>
  </si>
  <si>
    <t>サクラクレパス マット水彩マルチ18色ポリ MWM18PE（直送品）</t>
  </si>
  <si>
    <t>サクラクレパス クーピー30カラーオンカラー缶 FY30NU 1個（直送品）</t>
  </si>
  <si>
    <t>絵の具 マット水彩 ポリチューブ入り 24色セット MW24PE サクラクレパス</t>
  </si>
  <si>
    <t>サクラクレパス 水彩セットH ボーイズ EWZ-H#43 1個（直送品）</t>
  </si>
  <si>
    <t>サクラクレパス 水彩セットＨ　ガールズ EWZ-H#920 1個（直送品）</t>
  </si>
  <si>
    <t>サクラクレパス クーピーペンシル60色(缶入) FY60 1セット</t>
  </si>
  <si>
    <t>XP23112</t>
  </si>
  <si>
    <t>1セット(40個)</t>
  </si>
  <si>
    <t>UK22325</t>
  </si>
  <si>
    <t>1個</t>
  </si>
  <si>
    <t>WW49918</t>
  </si>
  <si>
    <t>1セット(50個)</t>
  </si>
  <si>
    <t>A888136</t>
  </si>
  <si>
    <t>1セット(20個)</t>
  </si>
  <si>
    <t>AE74852</t>
  </si>
  <si>
    <t>1セット（10本）</t>
  </si>
  <si>
    <t>AE74830</t>
  </si>
  <si>
    <t>AE74820</t>
  </si>
  <si>
    <t>1セット(10本)</t>
  </si>
  <si>
    <t>AE74831</t>
  </si>
  <si>
    <t>AE74822</t>
  </si>
  <si>
    <t>AE74842</t>
  </si>
  <si>
    <t>AE74837</t>
  </si>
  <si>
    <t>AE74832</t>
  </si>
  <si>
    <t>AE74836</t>
  </si>
  <si>
    <t>AE74829</t>
  </si>
  <si>
    <t>AE74824</t>
  </si>
  <si>
    <t>AE74838</t>
  </si>
  <si>
    <t>AE74825</t>
  </si>
  <si>
    <t>AE74839</t>
  </si>
  <si>
    <t>JA16905</t>
  </si>
  <si>
    <t>W114792</t>
  </si>
  <si>
    <t>JA59357</t>
  </si>
  <si>
    <t>AE74823</t>
  </si>
  <si>
    <t>AE74819</t>
  </si>
  <si>
    <t>AE74835</t>
  </si>
  <si>
    <t>AE74844</t>
  </si>
  <si>
    <t>AE74847</t>
  </si>
  <si>
    <t>AE74853</t>
  </si>
  <si>
    <t>AE74828</t>
  </si>
  <si>
    <t>JA16904</t>
  </si>
  <si>
    <t>W114793</t>
  </si>
  <si>
    <t>AE74841</t>
  </si>
  <si>
    <t>W114797</t>
  </si>
  <si>
    <t>AE74848</t>
  </si>
  <si>
    <t>AE74843</t>
  </si>
  <si>
    <t>W114789</t>
  </si>
  <si>
    <t>W114790</t>
  </si>
  <si>
    <t>W114791</t>
  </si>
  <si>
    <t>AE74833</t>
  </si>
  <si>
    <t>W114795</t>
  </si>
  <si>
    <t>AE74845</t>
  </si>
  <si>
    <t>AE74849</t>
  </si>
  <si>
    <t>W294922</t>
  </si>
  <si>
    <t>1セット（20本）</t>
  </si>
  <si>
    <t>W294923</t>
  </si>
  <si>
    <t>W294924</t>
  </si>
  <si>
    <t>W294925</t>
  </si>
  <si>
    <t>AE74850</t>
  </si>
  <si>
    <t>W294928</t>
  </si>
  <si>
    <t>AE74851</t>
  </si>
  <si>
    <t>W294917</t>
  </si>
  <si>
    <t>W294918</t>
  </si>
  <si>
    <t>AE74846</t>
  </si>
  <si>
    <t>UW31618</t>
  </si>
  <si>
    <t>1セット（1個×10）</t>
  </si>
  <si>
    <t>UW31590</t>
  </si>
  <si>
    <t>UW31615</t>
  </si>
  <si>
    <t>UW31617</t>
  </si>
  <si>
    <t>UW31585</t>
  </si>
  <si>
    <t>UW31587</t>
  </si>
  <si>
    <t>UW31588</t>
  </si>
  <si>
    <t>UW31589</t>
  </si>
  <si>
    <t>UW31592</t>
  </si>
  <si>
    <t>UW31591</t>
  </si>
  <si>
    <t>UW31593</t>
  </si>
  <si>
    <t>UW31594</t>
  </si>
  <si>
    <t>UW31616</t>
  </si>
  <si>
    <t>UW31597</t>
  </si>
  <si>
    <t>UW31603</t>
  </si>
  <si>
    <t>UW31601</t>
  </si>
  <si>
    <t>UW31605</t>
  </si>
  <si>
    <t>UW31622</t>
  </si>
  <si>
    <t>XN21254</t>
  </si>
  <si>
    <t>AH76903</t>
  </si>
  <si>
    <t>U564711</t>
  </si>
  <si>
    <t>1セット（20個）</t>
  </si>
  <si>
    <t>EW68574</t>
  </si>
  <si>
    <t>ANE0273</t>
  </si>
  <si>
    <t>1セット（40個）</t>
  </si>
  <si>
    <t>ANE0271</t>
  </si>
  <si>
    <t>EX60205</t>
  </si>
  <si>
    <t>HX35652</t>
  </si>
  <si>
    <t>UW31621</t>
  </si>
  <si>
    <t>W114828</t>
  </si>
  <si>
    <t>1セット(10個)</t>
  </si>
  <si>
    <t>W114829</t>
  </si>
  <si>
    <t>W114825</t>
  </si>
  <si>
    <t>W114832</t>
  </si>
  <si>
    <t>W114833</t>
  </si>
  <si>
    <t>W114835</t>
  </si>
  <si>
    <t>EK41085</t>
  </si>
  <si>
    <t>W114837</t>
  </si>
  <si>
    <t>W114838</t>
  </si>
  <si>
    <t>W114840</t>
  </si>
  <si>
    <t>W114821</t>
  </si>
  <si>
    <t>W114822</t>
  </si>
  <si>
    <t>W114823</t>
  </si>
  <si>
    <t>W114820</t>
  </si>
  <si>
    <t>W114826</t>
  </si>
  <si>
    <t>W114827</t>
  </si>
  <si>
    <t>EW70580</t>
  </si>
  <si>
    <t>W114843</t>
  </si>
  <si>
    <t>W114819</t>
  </si>
  <si>
    <t>HU92881</t>
  </si>
  <si>
    <t>W114824</t>
  </si>
  <si>
    <t>1セット（10個）</t>
  </si>
  <si>
    <t>W114830</t>
  </si>
  <si>
    <t>W114834</t>
  </si>
  <si>
    <t>W114839</t>
  </si>
  <si>
    <t>N566421</t>
  </si>
  <si>
    <t>3428633</t>
  </si>
  <si>
    <t>H850874</t>
  </si>
  <si>
    <t>H850879</t>
  </si>
  <si>
    <t>EJ97156</t>
  </si>
  <si>
    <t>H850869</t>
  </si>
  <si>
    <t>H850870</t>
  </si>
  <si>
    <t>H850871</t>
  </si>
  <si>
    <t>H850872</t>
  </si>
  <si>
    <t>EW68943</t>
  </si>
  <si>
    <t>H850875</t>
  </si>
  <si>
    <t>H850876</t>
  </si>
  <si>
    <t>H850877</t>
  </si>
  <si>
    <t>H850878</t>
  </si>
  <si>
    <t>H850880</t>
  </si>
  <si>
    <t>H850881</t>
  </si>
  <si>
    <t>H850882</t>
  </si>
  <si>
    <t>H850883</t>
  </si>
  <si>
    <t>UW31612</t>
  </si>
  <si>
    <t>A888128</t>
  </si>
  <si>
    <t>W114842</t>
  </si>
  <si>
    <t>AR25471</t>
  </si>
  <si>
    <t>1セット(5個)</t>
  </si>
  <si>
    <t>AR25476</t>
  </si>
  <si>
    <t>AR25482</t>
  </si>
  <si>
    <t>AR25466</t>
  </si>
  <si>
    <t>AR25465</t>
  </si>
  <si>
    <t>AR25469</t>
  </si>
  <si>
    <t>AR25468</t>
  </si>
  <si>
    <t>AR25470</t>
  </si>
  <si>
    <t>AR25472</t>
  </si>
  <si>
    <t>AR25473</t>
  </si>
  <si>
    <t>AR25474</t>
  </si>
  <si>
    <t>AR25475</t>
  </si>
  <si>
    <t>HK86267</t>
  </si>
  <si>
    <t>AR25478</t>
  </si>
  <si>
    <t>AR25479</t>
  </si>
  <si>
    <t>HK86266</t>
  </si>
  <si>
    <t>H850885</t>
  </si>
  <si>
    <t>W114841</t>
  </si>
  <si>
    <t>AR25481</t>
  </si>
  <si>
    <t>HU91200</t>
  </si>
  <si>
    <t>1本</t>
  </si>
  <si>
    <t>W294958</t>
  </si>
  <si>
    <t>NN11213</t>
  </si>
  <si>
    <t>EW71494</t>
  </si>
  <si>
    <t>HK87639</t>
  </si>
  <si>
    <t>EK41082</t>
  </si>
  <si>
    <t>EK41084</t>
  </si>
  <si>
    <t>HX37382</t>
  </si>
  <si>
    <t>HJ31519</t>
  </si>
  <si>
    <t>HK87666</t>
  </si>
  <si>
    <t>AR25483</t>
  </si>
  <si>
    <t>W115605</t>
  </si>
  <si>
    <t>EX61812</t>
  </si>
  <si>
    <t>W114891</t>
  </si>
  <si>
    <t>W114883</t>
  </si>
  <si>
    <t>W114887</t>
  </si>
  <si>
    <t>HU92886</t>
  </si>
  <si>
    <t>EE74230</t>
  </si>
  <si>
    <t>AX92929</t>
  </si>
  <si>
    <t>EE74231</t>
  </si>
  <si>
    <t>W114888</t>
  </si>
  <si>
    <t>HU92885</t>
  </si>
  <si>
    <t>W576054</t>
  </si>
  <si>
    <t>W561051</t>
  </si>
  <si>
    <t>1セット(2個)</t>
  </si>
  <si>
    <t>UK22323</t>
  </si>
  <si>
    <t>1袋（5個）</t>
  </si>
  <si>
    <t>WHW2503</t>
  </si>
  <si>
    <t>W114889</t>
  </si>
  <si>
    <t>W114882</t>
  </si>
  <si>
    <t>9405289</t>
  </si>
  <si>
    <t>9405270</t>
  </si>
  <si>
    <t>W294843</t>
  </si>
  <si>
    <t>1セット（2個）</t>
  </si>
  <si>
    <t>9405233</t>
  </si>
  <si>
    <t>N862713</t>
  </si>
  <si>
    <t>1セット(3個)</t>
  </si>
  <si>
    <t>3521100</t>
  </si>
  <si>
    <t>3521137</t>
  </si>
  <si>
    <t>3521146</t>
  </si>
  <si>
    <t>1397636</t>
  </si>
  <si>
    <t>1パック</t>
  </si>
  <si>
    <t>N566412</t>
  </si>
  <si>
    <t>KW72054</t>
  </si>
  <si>
    <t>1セット</t>
  </si>
  <si>
    <t>UW31647</t>
  </si>
  <si>
    <t>AR25523</t>
  </si>
  <si>
    <t>EE74319</t>
  </si>
  <si>
    <t>N865487</t>
  </si>
  <si>
    <t>2個</t>
  </si>
  <si>
    <t>1397583</t>
  </si>
  <si>
    <t>HE76892</t>
  </si>
  <si>
    <t>1セット（80本</t>
  </si>
  <si>
    <t>N566413</t>
  </si>
  <si>
    <t>UW43677</t>
  </si>
  <si>
    <t>A093205</t>
  </si>
  <si>
    <t>2箱</t>
  </si>
  <si>
    <t>A092897</t>
  </si>
  <si>
    <t>1セット(2箱)</t>
  </si>
  <si>
    <t>W344404</t>
  </si>
  <si>
    <t>8350542</t>
  </si>
  <si>
    <t>W561146</t>
  </si>
  <si>
    <t>9405663</t>
  </si>
  <si>
    <t>1397663</t>
  </si>
  <si>
    <t>1パック（12色入）</t>
  </si>
  <si>
    <t>W560861</t>
  </si>
  <si>
    <t>A093202</t>
  </si>
  <si>
    <t>1箱</t>
  </si>
  <si>
    <t>180830</t>
  </si>
  <si>
    <t>AU01995</t>
  </si>
  <si>
    <t>1セット（5パック</t>
  </si>
  <si>
    <t>AH76460</t>
  </si>
  <si>
    <t>1397618</t>
  </si>
  <si>
    <t>W115075</t>
  </si>
  <si>
    <t>AA59431</t>
  </si>
  <si>
    <t>1セット(10セット)</t>
  </si>
  <si>
    <t>WW48969</t>
  </si>
  <si>
    <t>W115575</t>
  </si>
  <si>
    <t>EE74327</t>
  </si>
  <si>
    <t>8544288</t>
  </si>
  <si>
    <t>1セット（12色入）</t>
  </si>
  <si>
    <t>W115552</t>
  </si>
  <si>
    <t>N566434</t>
  </si>
  <si>
    <t>N845680</t>
  </si>
  <si>
    <t>N566368</t>
  </si>
  <si>
    <t>W576038</t>
  </si>
  <si>
    <t>W115577</t>
  </si>
  <si>
    <t>EP17460</t>
  </si>
  <si>
    <t>W578006</t>
  </si>
  <si>
    <t>XP99991</t>
  </si>
  <si>
    <t>W115076</t>
  </si>
  <si>
    <t>XK43337</t>
  </si>
  <si>
    <t>KK93949</t>
  </si>
  <si>
    <t>1セット(3セット)</t>
  </si>
  <si>
    <t>9404693</t>
  </si>
  <si>
    <t>W114814</t>
  </si>
  <si>
    <t>H850851</t>
  </si>
  <si>
    <t>X417802</t>
  </si>
  <si>
    <t>WW48972</t>
  </si>
  <si>
    <t>WW48971</t>
  </si>
  <si>
    <t>HH06093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</si>
</sst>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0" fillId="3" borderId="10" xfId="0" applyFill="1" applyBorder="1">
      <alignment vertical="center"/>
    </xf>
    <xf numFmtId="0" fontId="0" fillId="0" borderId="4" xfId="0" applyFill="1" applyBorder="1">
      <alignment vertical="center"/>
    </xf>
    <xf numFmtId="0" fontId="0" fillId="6" borderId="4" xfId="0" applyFill="1" applyBorder="1">
      <alignment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D248"/>
  <sheetViews>
    <sheetView tabSelected="1" zoomScale="90" zoomScaleNormal="90" workbookViewId="0">
      <pane xSplit="7" ySplit="5" topLeftCell="S6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18" width="7.625" hidden="1" customWidth="1" outlineLevel="1"/>
    <col min="19" max="19" width="7.5" customWidth="1" collapsed="1"/>
    <col min="20" max="22" width="7.625" customWidth="1"/>
    <col min="23" max="23" width="4.375" customWidth="1" collapsed="1"/>
    <col min="24" max="25" width="7.625" customWidth="1"/>
    <col min="26" max="26" width="6.125" style="30" customWidth="1"/>
    <col min="27" max="27" width="7.625" customWidth="1"/>
    <col min="28" max="28" width="7.625" style="30" customWidth="1"/>
    <col min="29" max="32" width="7.625" customWidth="1"/>
    <col min="33" max="35" width="7.625" hidden="1" customWidth="1" outlineLevel="1"/>
    <col min="36" max="36" width="7.625" customWidth="1" collapsed="1"/>
    <col min="37" max="38" width="7.625" customWidth="1"/>
    <col min="39" max="41" width="7.625" customWidth="1" outlineLevel="1"/>
    <col min="42" max="45" width="7.625" customWidth="1"/>
    <col min="46" max="46" width="10.875" customWidth="1"/>
    <col min="47" max="55" width="7.625" customWidth="1"/>
  </cols>
  <sheetData>
    <row r="1" spans="1:56" x14ac:dyDescent="0.4">
      <c r="C1" s="29" t="s">
        <v>37</v>
      </c>
      <c r="S1" s="43" t="s">
        <v>34</v>
      </c>
      <c r="T1" s="44"/>
      <c r="U1" s="44"/>
      <c r="V1" s="45"/>
    </row>
    <row r="2" spans="1:56" x14ac:dyDescent="0.4">
      <c r="C2" s="8" t="s">
        <v>22</v>
      </c>
      <c r="D2" s="9" t="s">
        <v>23</v>
      </c>
      <c r="E2" s="9" t="s">
        <v>24</v>
      </c>
      <c r="F2" s="10"/>
      <c r="G2" s="10"/>
      <c r="H2" s="36"/>
      <c r="I2" s="36"/>
      <c r="J2" s="40" t="s">
        <v>25</v>
      </c>
      <c r="K2" s="42"/>
      <c r="L2" s="40" t="s">
        <v>1</v>
      </c>
      <c r="M2" s="41"/>
      <c r="N2" s="41"/>
      <c r="O2" s="42"/>
      <c r="P2" s="11"/>
      <c r="Q2" s="35"/>
      <c r="R2" s="35"/>
      <c r="S2" s="23"/>
      <c r="T2" s="24" t="s">
        <v>28</v>
      </c>
      <c r="U2" s="24"/>
      <c r="V2" s="25" t="s">
        <v>28</v>
      </c>
      <c r="W2" s="10"/>
      <c r="X2" s="9" t="s">
        <v>33</v>
      </c>
      <c r="Y2" s="11"/>
      <c r="Z2" s="31"/>
      <c r="AA2" s="11"/>
      <c r="AB2" s="31"/>
      <c r="AC2" s="11"/>
      <c r="AD2" s="22" t="s">
        <v>35</v>
      </c>
      <c r="AE2" s="11"/>
      <c r="AF2" s="11"/>
      <c r="AG2" s="27"/>
      <c r="AH2" s="11"/>
      <c r="AI2" s="11"/>
      <c r="AJ2" s="11"/>
      <c r="AK2" s="11"/>
      <c r="AL2" s="11"/>
      <c r="AM2" s="11"/>
      <c r="AN2" s="11"/>
      <c r="AO2" s="11"/>
      <c r="AP2">
        <v>51</v>
      </c>
      <c r="AW2">
        <v>14</v>
      </c>
      <c r="AX2">
        <v>28</v>
      </c>
    </row>
    <row r="3" spans="1:56" ht="75" x14ac:dyDescent="0.4">
      <c r="A3" s="1" t="s">
        <v>43</v>
      </c>
      <c r="B3" s="1" t="s">
        <v>48</v>
      </c>
      <c r="C3" s="2" t="s">
        <v>2</v>
      </c>
      <c r="D3" s="2" t="s">
        <v>6</v>
      </c>
      <c r="E3" s="2" t="s">
        <v>7</v>
      </c>
      <c r="F3" s="2" t="s">
        <v>0</v>
      </c>
      <c r="G3" s="12" t="s">
        <v>4</v>
      </c>
      <c r="H3" s="12" t="s">
        <v>45</v>
      </c>
      <c r="I3" s="12" t="s">
        <v>46</v>
      </c>
      <c r="J3" s="12" t="s">
        <v>19</v>
      </c>
      <c r="K3" s="12" t="s">
        <v>20</v>
      </c>
      <c r="L3" s="12" t="s">
        <v>56</v>
      </c>
      <c r="M3" s="2" t="s">
        <v>5</v>
      </c>
      <c r="N3" s="2" t="s">
        <v>54</v>
      </c>
      <c r="O3" s="2" t="s">
        <v>13</v>
      </c>
      <c r="P3" s="12" t="s">
        <v>41</v>
      </c>
      <c r="Q3" s="12" t="s">
        <v>17</v>
      </c>
      <c r="R3" s="12" t="s">
        <v>18</v>
      </c>
      <c r="S3" s="12" t="s">
        <v>52</v>
      </c>
      <c r="T3" s="12" t="s">
        <v>53</v>
      </c>
      <c r="U3" s="2" t="s">
        <v>54</v>
      </c>
      <c r="V3" s="12" t="s">
        <v>55</v>
      </c>
      <c r="W3" s="14" t="s">
        <v>3</v>
      </c>
      <c r="X3" s="20" t="s">
        <v>14</v>
      </c>
      <c r="Y3" s="2" t="s">
        <v>13</v>
      </c>
      <c r="Z3" s="32" t="s">
        <v>38</v>
      </c>
      <c r="AA3" s="12" t="s">
        <v>57</v>
      </c>
      <c r="AB3" s="37" t="s">
        <v>47</v>
      </c>
      <c r="AC3" s="2" t="s">
        <v>13</v>
      </c>
      <c r="AD3" s="13" t="s">
        <v>26</v>
      </c>
      <c r="AE3" s="2" t="s">
        <v>13</v>
      </c>
      <c r="AF3" s="2" t="s">
        <v>27</v>
      </c>
      <c r="AG3" s="26" t="s">
        <v>29</v>
      </c>
      <c r="AH3" s="12" t="s">
        <v>30</v>
      </c>
      <c r="AI3" s="12" t="s">
        <v>31</v>
      </c>
      <c r="AJ3" s="12" t="s">
        <v>21</v>
      </c>
      <c r="AK3" s="12" t="s">
        <v>32</v>
      </c>
      <c r="AL3" s="12" t="s">
        <v>15</v>
      </c>
      <c r="AM3" s="12" t="s">
        <v>16</v>
      </c>
      <c r="AN3" s="12" t="s">
        <v>17</v>
      </c>
      <c r="AO3" s="12" t="s">
        <v>18</v>
      </c>
      <c r="AP3" s="2" t="s">
        <v>8</v>
      </c>
      <c r="AQ3" s="2" t="s">
        <v>9</v>
      </c>
      <c r="AR3" s="2" t="s">
        <v>10</v>
      </c>
      <c r="AS3" s="2" t="s">
        <v>11</v>
      </c>
      <c r="AT3" s="12" t="s">
        <v>36</v>
      </c>
      <c r="AU3" s="2" t="s">
        <v>49</v>
      </c>
      <c r="AV3" s="2" t="s">
        <v>12</v>
      </c>
      <c r="AW3" s="18" t="s">
        <v>39</v>
      </c>
      <c r="AX3" s="18" t="s">
        <v>40</v>
      </c>
      <c r="AY3" s="15" t="s">
        <v>44</v>
      </c>
      <c r="AZ3" s="38" t="s">
        <v>460</v>
      </c>
      <c r="BA3" s="39" t="s">
        <v>50</v>
      </c>
      <c r="BB3" s="39" t="s">
        <v>461</v>
      </c>
      <c r="BC3" s="39" t="s">
        <v>51</v>
      </c>
      <c r="BD3" s="34" t="s">
        <v>42</v>
      </c>
    </row>
    <row r="4" spans="1:56" x14ac:dyDescent="0.4">
      <c r="A4" s="3">
        <v>2</v>
      </c>
      <c r="B4" s="3">
        <v>2</v>
      </c>
      <c r="C4" s="4">
        <v>103471</v>
      </c>
      <c r="D4" s="4" t="str">
        <f>TEXT(C4,"000000")</f>
        <v>103471</v>
      </c>
      <c r="E4" s="4">
        <v>103471</v>
      </c>
      <c r="F4" s="4" t="s">
        <v>204</v>
      </c>
      <c r="G4" s="5">
        <v>4901881010262</v>
      </c>
      <c r="H4" s="5"/>
      <c r="I4" s="5"/>
      <c r="J4" s="5">
        <v>1</v>
      </c>
      <c r="K4" s="5">
        <v>1</v>
      </c>
      <c r="L4" s="4">
        <v>70</v>
      </c>
      <c r="M4" s="4">
        <v>59</v>
      </c>
      <c r="N4" s="4">
        <v>30</v>
      </c>
      <c r="O4" s="6">
        <f>IFERROR(1-N4/M4,"-")</f>
        <v>0.49152542372881358</v>
      </c>
      <c r="P4" s="4" t="s">
        <v>462</v>
      </c>
      <c r="Q4" s="4" t="s">
        <v>462</v>
      </c>
      <c r="R4" s="4" t="s">
        <v>462</v>
      </c>
      <c r="S4" s="4">
        <v>90</v>
      </c>
      <c r="T4" s="4">
        <f>IF(W4="",S4,S4*W4)</f>
        <v>90</v>
      </c>
      <c r="U4" s="4">
        <v>39</v>
      </c>
      <c r="V4" s="4">
        <f>IF(W4="",U4,U4*W4)</f>
        <v>39</v>
      </c>
      <c r="W4" s="4"/>
      <c r="X4" s="21">
        <f>ROUND(M4*AL4,0)</f>
        <v>77</v>
      </c>
      <c r="Y4" s="6">
        <f>IFERROR(1-V4/X4,"-")</f>
        <v>0.49350649350649356</v>
      </c>
      <c r="Z4" s="33">
        <v>28.000000000000004</v>
      </c>
      <c r="AA4" s="4">
        <f>AV4</f>
        <v>70</v>
      </c>
      <c r="AB4" s="33">
        <f>IFERROR(AA4*AL4,"-")</f>
        <v>91</v>
      </c>
      <c r="AC4" s="6">
        <f>IFERROR(1-V4/AB4,"-")</f>
        <v>0.5714285714285714</v>
      </c>
      <c r="AD4" s="7">
        <v>74</v>
      </c>
      <c r="AE4" s="6">
        <f>1-V4/AD4</f>
        <v>0.47297297297297303</v>
      </c>
      <c r="AF4" s="4">
        <f>AD4-V4</f>
        <v>35</v>
      </c>
      <c r="AG4" s="28"/>
      <c r="AH4" s="6"/>
      <c r="AI4" s="6"/>
      <c r="AJ4" s="6">
        <f>IFERROR(T4/L4,"-")</f>
        <v>1.2857142857142858</v>
      </c>
      <c r="AK4" s="6">
        <f>IFERROR(AD4/M4,"-")</f>
        <v>1.2542372881355932</v>
      </c>
      <c r="AL4" s="6">
        <f>IFERROR(V4/N4,"-")</f>
        <v>1.3</v>
      </c>
      <c r="AM4" s="4" t="str">
        <f>IFERROR(ROUND($AD4*P4/$M4,0),"-")</f>
        <v>-</v>
      </c>
      <c r="AN4" s="4" t="str">
        <f>IF(Q4="","-",Q4)</f>
        <v>-</v>
      </c>
      <c r="AO4" s="4" t="str">
        <f>IF(R4="","-",R4)</f>
        <v>-</v>
      </c>
      <c r="AP4" s="4">
        <v>0</v>
      </c>
      <c r="AQ4" s="4" t="s">
        <v>690</v>
      </c>
      <c r="AR4" s="4">
        <v>1</v>
      </c>
      <c r="AS4" s="4">
        <v>40</v>
      </c>
      <c r="AT4" s="4" t="s">
        <v>691</v>
      </c>
      <c r="AU4" s="4">
        <v>2800</v>
      </c>
      <c r="AV4" s="4">
        <f>IF(AR4="",AU4,AR4/AS4*AU4)</f>
        <v>70</v>
      </c>
      <c r="AW4" s="19">
        <v>4</v>
      </c>
      <c r="AX4" s="19">
        <v>1</v>
      </c>
      <c r="AY4" s="16">
        <v>5</v>
      </c>
      <c r="AZ4">
        <v>2240</v>
      </c>
      <c r="BA4">
        <f>IFERROR(AZ4*AL4,"-")</f>
        <v>2912</v>
      </c>
      <c r="BB4" t="s">
        <v>462</v>
      </c>
      <c r="BC4" t="str">
        <f>IFERROR(BB4*AL4,"-")</f>
        <v>-</v>
      </c>
      <c r="BD4" t="s">
        <v>463</v>
      </c>
    </row>
    <row r="5" spans="1:56" x14ac:dyDescent="0.4">
      <c r="A5" s="3">
        <v>3</v>
      </c>
      <c r="B5" s="3">
        <v>3</v>
      </c>
      <c r="C5" s="4">
        <v>112264</v>
      </c>
      <c r="D5" s="4" t="str">
        <f>TEXT(C5,"000000")</f>
        <v>112264</v>
      </c>
      <c r="E5" s="4">
        <v>112264</v>
      </c>
      <c r="F5" s="4" t="s">
        <v>205</v>
      </c>
      <c r="G5" s="5">
        <v>4901881259289</v>
      </c>
      <c r="H5" s="5"/>
      <c r="I5" s="5"/>
      <c r="J5" s="5">
        <v>1</v>
      </c>
      <c r="K5" s="5">
        <v>1</v>
      </c>
      <c r="L5" s="4">
        <v>70</v>
      </c>
      <c r="M5" s="4">
        <v>44</v>
      </c>
      <c r="N5" s="4">
        <v>30</v>
      </c>
      <c r="O5" s="6">
        <f>IFERROR(1-N5/M5,"-")</f>
        <v>0.31818181818181823</v>
      </c>
      <c r="P5" s="4" t="s">
        <v>462</v>
      </c>
      <c r="Q5" s="4" t="s">
        <v>462</v>
      </c>
      <c r="R5" s="4" t="s">
        <v>462</v>
      </c>
      <c r="S5" s="4">
        <v>90</v>
      </c>
      <c r="T5" s="4">
        <f>IF(W5="",S5,S5*W5)</f>
        <v>90</v>
      </c>
      <c r="U5" s="4">
        <v>39</v>
      </c>
      <c r="V5" s="4">
        <f>IF(W5="",U5,U5*W5)</f>
        <v>39</v>
      </c>
      <c r="W5" s="4"/>
      <c r="X5" s="21">
        <f>ROUND(M5*AL5,0)</f>
        <v>57</v>
      </c>
      <c r="Y5" s="6">
        <f>IFERROR(1-V5/X5,"-")</f>
        <v>0.31578947368421051</v>
      </c>
      <c r="Z5" s="33">
        <v>131.75</v>
      </c>
      <c r="AA5" s="4">
        <f>AV5</f>
        <v>57</v>
      </c>
      <c r="AB5" s="33">
        <f>IFERROR(AA5*AL5,"-")</f>
        <v>74.100000000000009</v>
      </c>
      <c r="AC5" s="6">
        <f>IFERROR(1-V5/AB5,"-")</f>
        <v>0.47368421052631582</v>
      </c>
      <c r="AD5" s="7">
        <v>74</v>
      </c>
      <c r="AE5" s="6">
        <f>1-V5/AD5</f>
        <v>0.47297297297297303</v>
      </c>
      <c r="AF5" s="4">
        <f>AD5-V5</f>
        <v>35</v>
      </c>
      <c r="AG5" s="28"/>
      <c r="AH5" s="6"/>
      <c r="AI5" s="6"/>
      <c r="AJ5" s="6">
        <f>IFERROR(T5/L5,"-")</f>
        <v>1.2857142857142858</v>
      </c>
      <c r="AK5" s="6">
        <f>IFERROR(AD5/M5,"-")</f>
        <v>1.6818181818181819</v>
      </c>
      <c r="AL5" s="6">
        <f>IFERROR(V5/N5,"-")</f>
        <v>1.3</v>
      </c>
      <c r="AM5" s="4" t="str">
        <f t="shared" ref="AM5:AM68" si="0">IFERROR(ROUND($AD5*P5/$M5,0),"-")</f>
        <v>-</v>
      </c>
      <c r="AN5" s="4" t="str">
        <f t="shared" ref="AN5:AN68" si="1">IF(Q5="","-",Q5)</f>
        <v>-</v>
      </c>
      <c r="AO5" s="4" t="str">
        <f t="shared" ref="AO5:AO68" si="2">IF(R5="","-",R5)</f>
        <v>-</v>
      </c>
      <c r="AP5" s="4">
        <v>0</v>
      </c>
      <c r="AQ5" s="4" t="s">
        <v>692</v>
      </c>
      <c r="AR5" s="4"/>
      <c r="AS5" s="4"/>
      <c r="AT5" s="4" t="s">
        <v>693</v>
      </c>
      <c r="AU5" s="4">
        <v>57</v>
      </c>
      <c r="AV5" s="4">
        <f>IF(AR5="",AU5,AR5/AS5*AU5)</f>
        <v>57</v>
      </c>
      <c r="AW5" s="19">
        <v>4</v>
      </c>
      <c r="AX5" s="19">
        <v>1</v>
      </c>
      <c r="AY5" s="16">
        <v>5</v>
      </c>
      <c r="AZ5">
        <v>2240</v>
      </c>
      <c r="BA5">
        <f t="shared" ref="BA5:BA68" si="3">IFERROR(AZ5*AL5,"-")</f>
        <v>2912</v>
      </c>
      <c r="BB5">
        <v>2660</v>
      </c>
      <c r="BC5">
        <f t="shared" ref="BC5:BC68" si="4">IFERROR(BB5*AL5,"-")</f>
        <v>3458</v>
      </c>
      <c r="BD5" t="s">
        <v>464</v>
      </c>
    </row>
    <row r="6" spans="1:56" x14ac:dyDescent="0.4">
      <c r="A6" s="3">
        <v>9</v>
      </c>
      <c r="B6" s="3">
        <v>9</v>
      </c>
      <c r="C6" s="17">
        <v>189440</v>
      </c>
      <c r="D6" s="4" t="str">
        <f>TEXT(C6,"000000")</f>
        <v>189440</v>
      </c>
      <c r="E6" s="4">
        <v>189440</v>
      </c>
      <c r="F6" s="4" t="s">
        <v>211</v>
      </c>
      <c r="G6" s="5">
        <v>4901881226342</v>
      </c>
      <c r="H6" s="5"/>
      <c r="I6" s="5"/>
      <c r="J6" s="5">
        <v>1</v>
      </c>
      <c r="K6" s="5">
        <v>1</v>
      </c>
      <c r="L6" s="4">
        <v>70</v>
      </c>
      <c r="M6" s="4">
        <v>57</v>
      </c>
      <c r="N6" s="4">
        <v>30</v>
      </c>
      <c r="O6" s="6">
        <f>IFERROR(1-N6/M6,"-")</f>
        <v>0.47368421052631582</v>
      </c>
      <c r="P6" s="4" t="s">
        <v>462</v>
      </c>
      <c r="Q6" s="4" t="s">
        <v>462</v>
      </c>
      <c r="R6" s="4" t="s">
        <v>462</v>
      </c>
      <c r="S6" s="4">
        <v>90</v>
      </c>
      <c r="T6" s="4">
        <f>IF(W6="",S6,S6*W6)</f>
        <v>90</v>
      </c>
      <c r="U6" s="4">
        <v>39</v>
      </c>
      <c r="V6" s="4">
        <f>IF(W6="",U6,U6*W6)</f>
        <v>39</v>
      </c>
      <c r="W6" s="4"/>
      <c r="X6" s="21">
        <f>ROUND(M6*AL6,0)</f>
        <v>74</v>
      </c>
      <c r="Y6" s="6">
        <f>IFERROR(1-V6/X6,"-")</f>
        <v>0.47297297297297303</v>
      </c>
      <c r="Z6" s="33">
        <v>62.749999999999993</v>
      </c>
      <c r="AA6" s="4">
        <f>AV6</f>
        <v>70</v>
      </c>
      <c r="AB6" s="33">
        <f>IFERROR(AA6*AL6,"-")</f>
        <v>91</v>
      </c>
      <c r="AC6" s="6">
        <f>IFERROR(1-V6/AB6,"-")</f>
        <v>0.5714285714285714</v>
      </c>
      <c r="AD6" s="7">
        <v>74</v>
      </c>
      <c r="AE6" s="6">
        <f>1-V6/AD6</f>
        <v>0.47297297297297303</v>
      </c>
      <c r="AF6" s="4">
        <f>AD6-V6</f>
        <v>35</v>
      </c>
      <c r="AG6" s="28"/>
      <c r="AH6" s="6"/>
      <c r="AI6" s="6"/>
      <c r="AJ6" s="6">
        <f>IFERROR(T6/L6,"-")</f>
        <v>1.2857142857142858</v>
      </c>
      <c r="AK6" s="6">
        <f>IFERROR(AD6/M6,"-")</f>
        <v>1.2982456140350878</v>
      </c>
      <c r="AL6" s="6">
        <f>IFERROR(V6/N6,"-")</f>
        <v>1.3</v>
      </c>
      <c r="AM6" s="4" t="str">
        <f t="shared" si="0"/>
        <v>-</v>
      </c>
      <c r="AN6" s="4" t="str">
        <f t="shared" si="1"/>
        <v>-</v>
      </c>
      <c r="AO6" s="4" t="str">
        <f t="shared" si="2"/>
        <v>-</v>
      </c>
      <c r="AP6" s="4">
        <v>0</v>
      </c>
      <c r="AQ6" s="4" t="s">
        <v>694</v>
      </c>
      <c r="AR6" s="4">
        <v>1</v>
      </c>
      <c r="AS6" s="4">
        <v>50</v>
      </c>
      <c r="AT6" s="4" t="s">
        <v>695</v>
      </c>
      <c r="AU6" s="4">
        <v>3500</v>
      </c>
      <c r="AV6" s="4">
        <f>IF(AR6="",AU6,AR6/AS6*AU6)</f>
        <v>70</v>
      </c>
      <c r="AW6" s="19">
        <v>4</v>
      </c>
      <c r="AX6" s="19">
        <v>1</v>
      </c>
      <c r="AY6" s="16">
        <v>5</v>
      </c>
      <c r="AZ6" t="s">
        <v>462</v>
      </c>
      <c r="BA6" t="str">
        <f t="shared" si="3"/>
        <v>-</v>
      </c>
      <c r="BB6" t="s">
        <v>462</v>
      </c>
      <c r="BC6" t="str">
        <f t="shared" si="4"/>
        <v>-</v>
      </c>
      <c r="BD6" t="s">
        <v>465</v>
      </c>
    </row>
    <row r="7" spans="1:56" x14ac:dyDescent="0.4">
      <c r="A7" s="3">
        <v>84</v>
      </c>
      <c r="B7" s="3">
        <v>84</v>
      </c>
      <c r="C7" s="17">
        <v>691365</v>
      </c>
      <c r="D7" s="4" t="str">
        <f>TEXT(C7,"000000")</f>
        <v>691365</v>
      </c>
      <c r="E7" s="4">
        <v>691365</v>
      </c>
      <c r="F7" s="4" t="s">
        <v>286</v>
      </c>
      <c r="G7" s="5">
        <v>4901881020094</v>
      </c>
      <c r="H7" s="5"/>
      <c r="I7" s="5"/>
      <c r="J7" s="5">
        <v>1</v>
      </c>
      <c r="K7" s="5">
        <v>1</v>
      </c>
      <c r="L7" s="4">
        <v>70</v>
      </c>
      <c r="M7" s="4">
        <v>59</v>
      </c>
      <c r="N7" s="4">
        <v>30</v>
      </c>
      <c r="O7" s="6">
        <f>IFERROR(1-N7/M7,"-")</f>
        <v>0.49152542372881358</v>
      </c>
      <c r="P7" s="4" t="s">
        <v>462</v>
      </c>
      <c r="Q7" s="4" t="s">
        <v>462</v>
      </c>
      <c r="R7" s="4" t="s">
        <v>462</v>
      </c>
      <c r="S7" s="4">
        <v>90</v>
      </c>
      <c r="T7" s="4">
        <f>IF(W7="",S7,S7*W7)</f>
        <v>90</v>
      </c>
      <c r="U7" s="4">
        <v>39</v>
      </c>
      <c r="V7" s="4">
        <f>IF(W7="",U7,U7*W7)</f>
        <v>39</v>
      </c>
      <c r="W7" s="4"/>
      <c r="X7" s="21">
        <f>ROUND(M7*AL7,0)</f>
        <v>77</v>
      </c>
      <c r="Y7" s="6">
        <f>IFERROR(1-V7/X7,"-")</f>
        <v>0.49350649350649356</v>
      </c>
      <c r="Z7" s="33">
        <v>1034</v>
      </c>
      <c r="AA7" s="4">
        <f>AV7</f>
        <v>70</v>
      </c>
      <c r="AB7" s="33">
        <f>IFERROR(AA7*AL7,"-")</f>
        <v>91</v>
      </c>
      <c r="AC7" s="6">
        <f>IFERROR(1-V7/AB7,"-")</f>
        <v>0.5714285714285714</v>
      </c>
      <c r="AD7" s="7">
        <v>74</v>
      </c>
      <c r="AE7" s="6">
        <f>1-V7/AD7</f>
        <v>0.47297297297297303</v>
      </c>
      <c r="AF7" s="4">
        <f>AD7-V7</f>
        <v>35</v>
      </c>
      <c r="AG7" s="28"/>
      <c r="AH7" s="6"/>
      <c r="AI7" s="6"/>
      <c r="AJ7" s="6">
        <f>IFERROR(T7/L7,"-")</f>
        <v>1.2857142857142858</v>
      </c>
      <c r="AK7" s="6">
        <f>IFERROR(AD7/M7,"-")</f>
        <v>1.2542372881355932</v>
      </c>
      <c r="AL7" s="6">
        <f>IFERROR(V7/N7,"-")</f>
        <v>1.3</v>
      </c>
      <c r="AM7" s="4" t="str">
        <f t="shared" si="0"/>
        <v>-</v>
      </c>
      <c r="AN7" s="4" t="str">
        <f t="shared" si="1"/>
        <v>-</v>
      </c>
      <c r="AO7" s="4" t="str">
        <f t="shared" si="2"/>
        <v>-</v>
      </c>
      <c r="AP7" s="4">
        <v>0</v>
      </c>
      <c r="AQ7" s="4" t="s">
        <v>696</v>
      </c>
      <c r="AR7" s="4">
        <v>1</v>
      </c>
      <c r="AS7" s="4">
        <v>20</v>
      </c>
      <c r="AT7" s="4" t="s">
        <v>697</v>
      </c>
      <c r="AU7" s="4">
        <v>1400</v>
      </c>
      <c r="AV7" s="4">
        <f>IF(AR7="",AU7,AR7/AS7*AU7)</f>
        <v>70</v>
      </c>
      <c r="AW7" s="19">
        <v>4</v>
      </c>
      <c r="AX7" s="19">
        <v>1</v>
      </c>
      <c r="AY7" s="16">
        <v>5</v>
      </c>
      <c r="AZ7" t="s">
        <v>462</v>
      </c>
      <c r="BA7" t="str">
        <f t="shared" si="3"/>
        <v>-</v>
      </c>
      <c r="BB7">
        <v>2660</v>
      </c>
      <c r="BC7">
        <f t="shared" si="4"/>
        <v>3458</v>
      </c>
      <c r="BD7" t="s">
        <v>466</v>
      </c>
    </row>
    <row r="8" spans="1:56" x14ac:dyDescent="0.4">
      <c r="A8" s="3">
        <v>23</v>
      </c>
      <c r="B8" s="3">
        <v>23</v>
      </c>
      <c r="C8" s="4">
        <v>603239</v>
      </c>
      <c r="D8" s="4" t="str">
        <f>TEXT(C8,"000000")</f>
        <v>603239</v>
      </c>
      <c r="E8" s="4">
        <v>603239</v>
      </c>
      <c r="F8" s="4" t="s">
        <v>225</v>
      </c>
      <c r="G8" s="5">
        <v>4901881182624</v>
      </c>
      <c r="H8" s="5"/>
      <c r="I8" s="5"/>
      <c r="J8" s="5">
        <v>1</v>
      </c>
      <c r="K8" s="5">
        <v>1</v>
      </c>
      <c r="L8" s="4">
        <v>800</v>
      </c>
      <c r="M8" s="4">
        <v>579</v>
      </c>
      <c r="N8" s="4">
        <v>400</v>
      </c>
      <c r="O8" s="6">
        <f>IFERROR(1-N8/M8,"-")</f>
        <v>0.30915371329879104</v>
      </c>
      <c r="P8" s="4" t="s">
        <v>462</v>
      </c>
      <c r="Q8" s="4" t="s">
        <v>462</v>
      </c>
      <c r="R8" s="4" t="s">
        <v>462</v>
      </c>
      <c r="S8" s="4">
        <v>90</v>
      </c>
      <c r="T8" s="4">
        <f>IF(W8="",S8,S8*W8)</f>
        <v>900</v>
      </c>
      <c r="U8" s="4">
        <v>45</v>
      </c>
      <c r="V8" s="4">
        <f>IF(W8="",U8,U8*W8)</f>
        <v>450</v>
      </c>
      <c r="W8" s="4">
        <v>10</v>
      </c>
      <c r="X8" s="21">
        <f>ROUND(M8*AL8,0)</f>
        <v>651</v>
      </c>
      <c r="Y8" s="6">
        <f>IFERROR(1-V8/X8,"-")</f>
        <v>0.30875576036866359</v>
      </c>
      <c r="Z8" s="33">
        <v>11.75</v>
      </c>
      <c r="AA8" s="4">
        <f>AV8</f>
        <v>682</v>
      </c>
      <c r="AB8" s="33">
        <f>IFERROR(AA8*AL8,"-")</f>
        <v>767.25</v>
      </c>
      <c r="AC8" s="6">
        <f>IFERROR(1-V8/AB8,"-")</f>
        <v>0.4134897360703812</v>
      </c>
      <c r="AD8" s="7">
        <v>750</v>
      </c>
      <c r="AE8" s="6">
        <f>1-V8/AD8</f>
        <v>0.4</v>
      </c>
      <c r="AF8" s="4">
        <f>AD8-V8</f>
        <v>300</v>
      </c>
      <c r="AG8" s="28"/>
      <c r="AH8" s="6"/>
      <c r="AI8" s="6"/>
      <c r="AJ8" s="6">
        <f>IFERROR(T8/L8,"-")</f>
        <v>1.125</v>
      </c>
      <c r="AK8" s="6">
        <f>IFERROR(AD8/M8,"-")</f>
        <v>1.2953367875647668</v>
      </c>
      <c r="AL8" s="6">
        <f>IFERROR(V8/N8,"-")</f>
        <v>1.125</v>
      </c>
      <c r="AM8" s="4" t="str">
        <f t="shared" si="0"/>
        <v>-</v>
      </c>
      <c r="AN8" s="4" t="str">
        <f t="shared" si="1"/>
        <v>-</v>
      </c>
      <c r="AO8" s="4" t="str">
        <f t="shared" si="2"/>
        <v>-</v>
      </c>
      <c r="AP8" s="4">
        <v>0</v>
      </c>
      <c r="AQ8" s="4" t="s">
        <v>701</v>
      </c>
      <c r="AR8" s="4"/>
      <c r="AS8" s="4"/>
      <c r="AT8" s="4" t="s">
        <v>702</v>
      </c>
      <c r="AU8" s="4">
        <v>682</v>
      </c>
      <c r="AV8" s="4">
        <f>IF(AR8="",AU8,AR8/AS8*AU8)</f>
        <v>682</v>
      </c>
      <c r="AW8" s="19">
        <v>4</v>
      </c>
      <c r="AX8" s="19">
        <v>1</v>
      </c>
      <c r="AY8" s="16">
        <v>5</v>
      </c>
      <c r="AZ8" t="s">
        <v>462</v>
      </c>
      <c r="BA8" t="str">
        <f t="shared" si="3"/>
        <v>-</v>
      </c>
      <c r="BB8">
        <v>80</v>
      </c>
      <c r="BC8">
        <f t="shared" si="4"/>
        <v>90</v>
      </c>
      <c r="BD8" t="s">
        <v>469</v>
      </c>
    </row>
    <row r="9" spans="1:56" x14ac:dyDescent="0.4">
      <c r="A9" s="3">
        <v>24</v>
      </c>
      <c r="B9" s="3">
        <v>24</v>
      </c>
      <c r="C9" s="4">
        <v>603240</v>
      </c>
      <c r="D9" s="4" t="str">
        <f>TEXT(C9,"000000")</f>
        <v>603240</v>
      </c>
      <c r="E9" s="4">
        <v>603240</v>
      </c>
      <c r="F9" s="4" t="s">
        <v>226</v>
      </c>
      <c r="G9" s="5">
        <v>4901881182648</v>
      </c>
      <c r="H9" s="5"/>
      <c r="I9" s="5"/>
      <c r="J9" s="5">
        <v>1</v>
      </c>
      <c r="K9" s="5">
        <v>1</v>
      </c>
      <c r="L9" s="4">
        <v>800</v>
      </c>
      <c r="M9" s="4">
        <v>601</v>
      </c>
      <c r="N9" s="4">
        <v>400</v>
      </c>
      <c r="O9" s="6">
        <f>IFERROR(1-N9/M9,"-")</f>
        <v>0.33444259567387691</v>
      </c>
      <c r="P9" s="4" t="s">
        <v>462</v>
      </c>
      <c r="Q9" s="4" t="s">
        <v>462</v>
      </c>
      <c r="R9" s="4" t="s">
        <v>462</v>
      </c>
      <c r="S9" s="4">
        <v>90</v>
      </c>
      <c r="T9" s="4">
        <f>IF(W9="",S9,S9*W9)</f>
        <v>900</v>
      </c>
      <c r="U9" s="4">
        <v>45</v>
      </c>
      <c r="V9" s="4">
        <f>IF(W9="",U9,U9*W9)</f>
        <v>450</v>
      </c>
      <c r="W9" s="4">
        <v>10</v>
      </c>
      <c r="X9" s="21">
        <f>ROUND(M9*AL9,0)</f>
        <v>676</v>
      </c>
      <c r="Y9" s="6">
        <f>IFERROR(1-V9/X9,"-")</f>
        <v>0.33431952662721898</v>
      </c>
      <c r="Z9" s="33">
        <v>6.5</v>
      </c>
      <c r="AA9" s="4">
        <f>AV9</f>
        <v>682</v>
      </c>
      <c r="AB9" s="33">
        <f>IFERROR(AA9*AL9,"-")</f>
        <v>767.25</v>
      </c>
      <c r="AC9" s="6">
        <f>IFERROR(1-V9/AB9,"-")</f>
        <v>0.4134897360703812</v>
      </c>
      <c r="AD9" s="7">
        <v>750</v>
      </c>
      <c r="AE9" s="6">
        <f>1-V9/AD9</f>
        <v>0.4</v>
      </c>
      <c r="AF9" s="4">
        <f>AD9-V9</f>
        <v>300</v>
      </c>
      <c r="AG9" s="28"/>
      <c r="AH9" s="6"/>
      <c r="AI9" s="6"/>
      <c r="AJ9" s="6">
        <f>IFERROR(T9/L9,"-")</f>
        <v>1.125</v>
      </c>
      <c r="AK9" s="6">
        <f>IFERROR(AD9/M9,"-")</f>
        <v>1.2479201331114809</v>
      </c>
      <c r="AL9" s="6">
        <f>IFERROR(V9/N9,"-")</f>
        <v>1.125</v>
      </c>
      <c r="AM9" s="4" t="str">
        <f t="shared" si="0"/>
        <v>-</v>
      </c>
      <c r="AN9" s="4" t="str">
        <f t="shared" si="1"/>
        <v>-</v>
      </c>
      <c r="AO9" s="4" t="str">
        <f t="shared" si="2"/>
        <v>-</v>
      </c>
      <c r="AP9" s="4">
        <v>0</v>
      </c>
      <c r="AQ9" s="4" t="s">
        <v>703</v>
      </c>
      <c r="AR9" s="4"/>
      <c r="AS9" s="4"/>
      <c r="AT9" s="4" t="s">
        <v>702</v>
      </c>
      <c r="AU9" s="4">
        <v>682</v>
      </c>
      <c r="AV9" s="4">
        <f>IF(AR9="",AU9,AR9/AS9*AU9)</f>
        <v>682</v>
      </c>
      <c r="AW9" s="19">
        <v>4</v>
      </c>
      <c r="AX9" s="19">
        <v>1</v>
      </c>
      <c r="AY9" s="16">
        <v>5</v>
      </c>
      <c r="AZ9" t="s">
        <v>462</v>
      </c>
      <c r="BA9" t="str">
        <f t="shared" si="3"/>
        <v>-</v>
      </c>
      <c r="BB9">
        <v>760</v>
      </c>
      <c r="BC9">
        <f t="shared" si="4"/>
        <v>855</v>
      </c>
      <c r="BD9" t="s">
        <v>470</v>
      </c>
    </row>
    <row r="10" spans="1:56" x14ac:dyDescent="0.4">
      <c r="A10" s="3">
        <v>25</v>
      </c>
      <c r="B10" s="3">
        <v>25</v>
      </c>
      <c r="C10" s="4">
        <v>603241</v>
      </c>
      <c r="D10" s="4" t="str">
        <f>TEXT(C10,"000000")</f>
        <v>603241</v>
      </c>
      <c r="E10" s="4">
        <v>603241</v>
      </c>
      <c r="F10" s="4" t="s">
        <v>227</v>
      </c>
      <c r="G10" s="5">
        <v>4901881182679</v>
      </c>
      <c r="H10" s="5"/>
      <c r="I10" s="5"/>
      <c r="J10" s="5">
        <v>1</v>
      </c>
      <c r="K10" s="5">
        <v>1</v>
      </c>
      <c r="L10" s="4">
        <v>800</v>
      </c>
      <c r="M10" s="4">
        <v>579</v>
      </c>
      <c r="N10" s="4">
        <v>400</v>
      </c>
      <c r="O10" s="6">
        <f>IFERROR(1-N10/M10,"-")</f>
        <v>0.30915371329879104</v>
      </c>
      <c r="P10" s="4" t="s">
        <v>462</v>
      </c>
      <c r="Q10" s="4" t="s">
        <v>462</v>
      </c>
      <c r="R10" s="4" t="s">
        <v>462</v>
      </c>
      <c r="S10" s="4">
        <v>90</v>
      </c>
      <c r="T10" s="4">
        <f>IF(W10="",S10,S10*W10)</f>
        <v>900</v>
      </c>
      <c r="U10" s="4">
        <v>45</v>
      </c>
      <c r="V10" s="4">
        <f>IF(W10="",U10,U10*W10)</f>
        <v>450</v>
      </c>
      <c r="W10" s="4">
        <v>10</v>
      </c>
      <c r="X10" s="21">
        <f>ROUND(M10*AL10,0)</f>
        <v>651</v>
      </c>
      <c r="Y10" s="6">
        <f>IFERROR(1-V10/X10,"-")</f>
        <v>0.30875576036866359</v>
      </c>
      <c r="Z10" s="33">
        <v>7.5</v>
      </c>
      <c r="AA10" s="4">
        <f>AV10</f>
        <v>682</v>
      </c>
      <c r="AB10" s="33">
        <f>IFERROR(AA10*AL10,"-")</f>
        <v>767.25</v>
      </c>
      <c r="AC10" s="6">
        <f>IFERROR(1-V10/AB10,"-")</f>
        <v>0.4134897360703812</v>
      </c>
      <c r="AD10" s="7">
        <v>750</v>
      </c>
      <c r="AE10" s="6">
        <f>1-V10/AD10</f>
        <v>0.4</v>
      </c>
      <c r="AF10" s="4">
        <f>AD10-V10</f>
        <v>300</v>
      </c>
      <c r="AG10" s="28"/>
      <c r="AH10" s="6"/>
      <c r="AI10" s="6"/>
      <c r="AJ10" s="6">
        <f>IFERROR(T10/L10,"-")</f>
        <v>1.125</v>
      </c>
      <c r="AK10" s="6">
        <f>IFERROR(AD10/M10,"-")</f>
        <v>1.2953367875647668</v>
      </c>
      <c r="AL10" s="6">
        <f>IFERROR(V10/N10,"-")</f>
        <v>1.125</v>
      </c>
      <c r="AM10" s="4" t="str">
        <f t="shared" si="0"/>
        <v>-</v>
      </c>
      <c r="AN10" s="4" t="str">
        <f t="shared" si="1"/>
        <v>-</v>
      </c>
      <c r="AO10" s="4" t="str">
        <f t="shared" si="2"/>
        <v>-</v>
      </c>
      <c r="AP10" s="4">
        <v>0</v>
      </c>
      <c r="AQ10" s="4" t="s">
        <v>704</v>
      </c>
      <c r="AR10" s="4"/>
      <c r="AS10" s="4"/>
      <c r="AT10" s="4" t="s">
        <v>702</v>
      </c>
      <c r="AU10" s="4">
        <v>682</v>
      </c>
      <c r="AV10" s="4">
        <f>IF(AR10="",AU10,AR10/AS10*AU10)</f>
        <v>682</v>
      </c>
      <c r="AW10" s="19">
        <v>4</v>
      </c>
      <c r="AX10" s="19">
        <v>1</v>
      </c>
      <c r="AY10" s="16">
        <v>5</v>
      </c>
      <c r="AZ10" t="s">
        <v>462</v>
      </c>
      <c r="BA10" t="str">
        <f t="shared" si="3"/>
        <v>-</v>
      </c>
      <c r="BB10">
        <v>760</v>
      </c>
      <c r="BC10">
        <f t="shared" si="4"/>
        <v>855</v>
      </c>
      <c r="BD10" t="s">
        <v>471</v>
      </c>
    </row>
    <row r="11" spans="1:56" x14ac:dyDescent="0.4">
      <c r="A11" s="3">
        <v>26</v>
      </c>
      <c r="B11" s="3">
        <v>26</v>
      </c>
      <c r="C11" s="4">
        <v>603249</v>
      </c>
      <c r="D11" s="4" t="str">
        <f>TEXT(C11,"000000")</f>
        <v>603249</v>
      </c>
      <c r="E11" s="4">
        <v>603249</v>
      </c>
      <c r="F11" s="4" t="s">
        <v>228</v>
      </c>
      <c r="G11" s="5">
        <v>4901881182723</v>
      </c>
      <c r="H11" s="5"/>
      <c r="I11" s="5"/>
      <c r="J11" s="5">
        <v>1</v>
      </c>
      <c r="K11" s="5">
        <v>1</v>
      </c>
      <c r="L11" s="4">
        <v>800</v>
      </c>
      <c r="M11" s="4">
        <v>658</v>
      </c>
      <c r="N11" s="4">
        <v>400</v>
      </c>
      <c r="O11" s="6">
        <f>IFERROR(1-N11/M11,"-")</f>
        <v>0.39209726443769</v>
      </c>
      <c r="P11" s="4" t="s">
        <v>462</v>
      </c>
      <c r="Q11" s="4" t="s">
        <v>462</v>
      </c>
      <c r="R11" s="4" t="s">
        <v>462</v>
      </c>
      <c r="S11" s="4">
        <v>90</v>
      </c>
      <c r="T11" s="4">
        <f>IF(W11="",S11,S11*W11)</f>
        <v>900</v>
      </c>
      <c r="U11" s="4">
        <v>45</v>
      </c>
      <c r="V11" s="4">
        <f>IF(W11="",U11,U11*W11)</f>
        <v>450</v>
      </c>
      <c r="W11" s="4">
        <v>10</v>
      </c>
      <c r="X11" s="21">
        <f>ROUND(M11*AL11,0)</f>
        <v>740</v>
      </c>
      <c r="Y11" s="6">
        <f>IFERROR(1-V11/X11,"-")</f>
        <v>0.39189189189189189</v>
      </c>
      <c r="Z11" s="33">
        <v>19</v>
      </c>
      <c r="AA11" s="4">
        <f>AV11</f>
        <v>682</v>
      </c>
      <c r="AB11" s="33">
        <f>IFERROR(AA11*AL11,"-")</f>
        <v>767.25</v>
      </c>
      <c r="AC11" s="6">
        <f>IFERROR(1-V11/AB11,"-")</f>
        <v>0.4134897360703812</v>
      </c>
      <c r="AD11" s="7">
        <v>750</v>
      </c>
      <c r="AE11" s="6">
        <f>1-V11/AD11</f>
        <v>0.4</v>
      </c>
      <c r="AF11" s="4">
        <f>AD11-V11</f>
        <v>300</v>
      </c>
      <c r="AG11" s="28"/>
      <c r="AH11" s="6"/>
      <c r="AI11" s="6"/>
      <c r="AJ11" s="6">
        <f>IFERROR(T11/L11,"-")</f>
        <v>1.125</v>
      </c>
      <c r="AK11" s="6">
        <f>IFERROR(AD11/M11,"-")</f>
        <v>1.1398176291793314</v>
      </c>
      <c r="AL11" s="6">
        <f>IFERROR(V11/N11,"-")</f>
        <v>1.125</v>
      </c>
      <c r="AM11" s="4" t="str">
        <f t="shared" si="0"/>
        <v>-</v>
      </c>
      <c r="AN11" s="4" t="str">
        <f t="shared" si="1"/>
        <v>-</v>
      </c>
      <c r="AO11" s="4" t="str">
        <f t="shared" si="2"/>
        <v>-</v>
      </c>
      <c r="AP11" s="4">
        <v>0</v>
      </c>
      <c r="AQ11" s="4" t="s">
        <v>705</v>
      </c>
      <c r="AR11" s="4"/>
      <c r="AS11" s="4"/>
      <c r="AT11" s="4" t="s">
        <v>702</v>
      </c>
      <c r="AU11" s="4">
        <v>682</v>
      </c>
      <c r="AV11" s="4">
        <f>IF(AR11="",AU11,AR11/AS11*AU11)</f>
        <v>682</v>
      </c>
      <c r="AW11" s="19">
        <v>4</v>
      </c>
      <c r="AX11" s="19">
        <v>1</v>
      </c>
      <c r="AY11" s="16">
        <v>5</v>
      </c>
      <c r="AZ11" t="s">
        <v>462</v>
      </c>
      <c r="BA11" t="str">
        <f t="shared" si="3"/>
        <v>-</v>
      </c>
      <c r="BB11">
        <v>80</v>
      </c>
      <c r="BC11">
        <f t="shared" si="4"/>
        <v>90</v>
      </c>
      <c r="BD11" t="s">
        <v>472</v>
      </c>
    </row>
    <row r="12" spans="1:56" x14ac:dyDescent="0.4">
      <c r="A12" s="3">
        <v>27</v>
      </c>
      <c r="B12" s="3">
        <v>27</v>
      </c>
      <c r="C12" s="4">
        <v>603250</v>
      </c>
      <c r="D12" s="4" t="str">
        <f>TEXT(C12,"000000")</f>
        <v>603250</v>
      </c>
      <c r="E12" s="4">
        <v>603250</v>
      </c>
      <c r="F12" s="4" t="s">
        <v>229</v>
      </c>
      <c r="G12" s="5">
        <v>4901881182730</v>
      </c>
      <c r="H12" s="5"/>
      <c r="I12" s="5"/>
      <c r="J12" s="5">
        <v>1</v>
      </c>
      <c r="K12" s="5">
        <v>1</v>
      </c>
      <c r="L12" s="4">
        <v>800</v>
      </c>
      <c r="M12" s="4">
        <v>601</v>
      </c>
      <c r="N12" s="4">
        <v>400</v>
      </c>
      <c r="O12" s="6">
        <f>IFERROR(1-N12/M12,"-")</f>
        <v>0.33444259567387691</v>
      </c>
      <c r="P12" s="4" t="s">
        <v>462</v>
      </c>
      <c r="Q12" s="4" t="s">
        <v>462</v>
      </c>
      <c r="R12" s="4" t="s">
        <v>462</v>
      </c>
      <c r="S12" s="4">
        <v>90</v>
      </c>
      <c r="T12" s="4">
        <f>IF(W12="",S12,S12*W12)</f>
        <v>900</v>
      </c>
      <c r="U12" s="4">
        <v>45</v>
      </c>
      <c r="V12" s="4">
        <f>IF(W12="",U12,U12*W12)</f>
        <v>450</v>
      </c>
      <c r="W12" s="4">
        <v>10</v>
      </c>
      <c r="X12" s="21">
        <f>ROUND(M12*AL12,0)</f>
        <v>676</v>
      </c>
      <c r="Y12" s="6">
        <f>IFERROR(1-V12/X12,"-")</f>
        <v>0.33431952662721898</v>
      </c>
      <c r="Z12" s="33">
        <v>7.5</v>
      </c>
      <c r="AA12" s="4">
        <f>AV12</f>
        <v>682</v>
      </c>
      <c r="AB12" s="33">
        <f>IFERROR(AA12*AL12,"-")</f>
        <v>767.25</v>
      </c>
      <c r="AC12" s="6">
        <f>IFERROR(1-V12/AB12,"-")</f>
        <v>0.4134897360703812</v>
      </c>
      <c r="AD12" s="7">
        <v>750</v>
      </c>
      <c r="AE12" s="6">
        <f>1-V12/AD12</f>
        <v>0.4</v>
      </c>
      <c r="AF12" s="4">
        <f>AD12-V12</f>
        <v>300</v>
      </c>
      <c r="AG12" s="28"/>
      <c r="AH12" s="6"/>
      <c r="AI12" s="6"/>
      <c r="AJ12" s="6">
        <f>IFERROR(T12/L12,"-")</f>
        <v>1.125</v>
      </c>
      <c r="AK12" s="6">
        <f>IFERROR(AD12/M12,"-")</f>
        <v>1.2479201331114809</v>
      </c>
      <c r="AL12" s="6">
        <f>IFERROR(V12/N12,"-")</f>
        <v>1.125</v>
      </c>
      <c r="AM12" s="4" t="str">
        <f t="shared" si="0"/>
        <v>-</v>
      </c>
      <c r="AN12" s="4" t="str">
        <f t="shared" si="1"/>
        <v>-</v>
      </c>
      <c r="AO12" s="4" t="str">
        <f t="shared" si="2"/>
        <v>-</v>
      </c>
      <c r="AP12" s="4">
        <v>0</v>
      </c>
      <c r="AQ12" s="4" t="s">
        <v>706</v>
      </c>
      <c r="AR12" s="4"/>
      <c r="AS12" s="4"/>
      <c r="AT12" s="4" t="s">
        <v>702</v>
      </c>
      <c r="AU12" s="4">
        <v>682</v>
      </c>
      <c r="AV12" s="4">
        <f>IF(AR12="",AU12,AR12/AS12*AU12)</f>
        <v>682</v>
      </c>
      <c r="AW12" s="19">
        <v>4</v>
      </c>
      <c r="AX12" s="19">
        <v>1</v>
      </c>
      <c r="AY12" s="16">
        <v>5</v>
      </c>
      <c r="AZ12" t="s">
        <v>462</v>
      </c>
      <c r="BA12" t="str">
        <f t="shared" si="3"/>
        <v>-</v>
      </c>
      <c r="BB12">
        <v>80</v>
      </c>
      <c r="BC12">
        <f t="shared" si="4"/>
        <v>90</v>
      </c>
      <c r="BD12" t="s">
        <v>473</v>
      </c>
    </row>
    <row r="13" spans="1:56" x14ac:dyDescent="0.4">
      <c r="A13" s="3">
        <v>28</v>
      </c>
      <c r="B13" s="3">
        <v>28</v>
      </c>
      <c r="C13" s="4">
        <v>603251</v>
      </c>
      <c r="D13" s="4" t="str">
        <f>TEXT(C13,"000000")</f>
        <v>603251</v>
      </c>
      <c r="E13" s="4">
        <v>603251</v>
      </c>
      <c r="F13" s="4" t="s">
        <v>230</v>
      </c>
      <c r="G13" s="5">
        <v>4901881182747</v>
      </c>
      <c r="H13" s="5"/>
      <c r="I13" s="5"/>
      <c r="J13" s="5">
        <v>1</v>
      </c>
      <c r="K13" s="5">
        <v>1</v>
      </c>
      <c r="L13" s="4">
        <v>800</v>
      </c>
      <c r="M13" s="4">
        <v>541</v>
      </c>
      <c r="N13" s="4">
        <v>400</v>
      </c>
      <c r="O13" s="6">
        <f>IFERROR(1-N13/M13,"-")</f>
        <v>0.26062846580406651</v>
      </c>
      <c r="P13" s="4" t="s">
        <v>462</v>
      </c>
      <c r="Q13" s="4" t="s">
        <v>462</v>
      </c>
      <c r="R13" s="4" t="s">
        <v>462</v>
      </c>
      <c r="S13" s="4">
        <v>90</v>
      </c>
      <c r="T13" s="4">
        <f>IF(W13="",S13,S13*W13)</f>
        <v>900</v>
      </c>
      <c r="U13" s="4">
        <v>45</v>
      </c>
      <c r="V13" s="4">
        <f>IF(W13="",U13,U13*W13)</f>
        <v>450</v>
      </c>
      <c r="W13" s="4">
        <v>10</v>
      </c>
      <c r="X13" s="21">
        <f>ROUND(M13*AL13,0)</f>
        <v>609</v>
      </c>
      <c r="Y13" s="6">
        <f>IFERROR(1-V13/X13,"-")</f>
        <v>0.26108374384236455</v>
      </c>
      <c r="Z13" s="33">
        <v>7.5</v>
      </c>
      <c r="AA13" s="4">
        <f>AV13</f>
        <v>682</v>
      </c>
      <c r="AB13" s="33">
        <f>IFERROR(AA13*AL13,"-")</f>
        <v>767.25</v>
      </c>
      <c r="AC13" s="6">
        <f>IFERROR(1-V13/AB13,"-")</f>
        <v>0.4134897360703812</v>
      </c>
      <c r="AD13" s="7">
        <v>750</v>
      </c>
      <c r="AE13" s="6">
        <f>1-V13/AD13</f>
        <v>0.4</v>
      </c>
      <c r="AF13" s="4">
        <f>AD13-V13</f>
        <v>300</v>
      </c>
      <c r="AG13" s="28"/>
      <c r="AH13" s="6"/>
      <c r="AI13" s="6"/>
      <c r="AJ13" s="6">
        <f>IFERROR(T13/L13,"-")</f>
        <v>1.125</v>
      </c>
      <c r="AK13" s="6">
        <f>IFERROR(AD13/M13,"-")</f>
        <v>1.3863216266173752</v>
      </c>
      <c r="AL13" s="6">
        <f>IFERROR(V13/N13,"-")</f>
        <v>1.125</v>
      </c>
      <c r="AM13" s="4" t="str">
        <f t="shared" si="0"/>
        <v>-</v>
      </c>
      <c r="AN13" s="4" t="str">
        <f t="shared" si="1"/>
        <v>-</v>
      </c>
      <c r="AO13" s="4" t="str">
        <f t="shared" si="2"/>
        <v>-</v>
      </c>
      <c r="AP13" s="4">
        <v>0</v>
      </c>
      <c r="AQ13" s="4" t="s">
        <v>707</v>
      </c>
      <c r="AR13" s="4"/>
      <c r="AS13" s="4"/>
      <c r="AT13" s="4" t="s">
        <v>702</v>
      </c>
      <c r="AU13" s="4">
        <v>682</v>
      </c>
      <c r="AV13" s="4">
        <f>IF(AR13="",AU13,AR13/AS13*AU13)</f>
        <v>682</v>
      </c>
      <c r="AW13" s="19">
        <v>4</v>
      </c>
      <c r="AX13" s="19">
        <v>1</v>
      </c>
      <c r="AY13" s="16">
        <v>5</v>
      </c>
      <c r="AZ13" t="s">
        <v>462</v>
      </c>
      <c r="BA13" t="str">
        <f t="shared" si="3"/>
        <v>-</v>
      </c>
      <c r="BB13">
        <v>760</v>
      </c>
      <c r="BC13">
        <f t="shared" si="4"/>
        <v>855</v>
      </c>
      <c r="BD13" t="s">
        <v>474</v>
      </c>
    </row>
    <row r="14" spans="1:56" x14ac:dyDescent="0.4">
      <c r="A14" s="3">
        <v>29</v>
      </c>
      <c r="B14" s="3">
        <v>29</v>
      </c>
      <c r="C14" s="4">
        <v>603253</v>
      </c>
      <c r="D14" s="4" t="str">
        <f>TEXT(C14,"000000")</f>
        <v>603253</v>
      </c>
      <c r="E14" s="4">
        <v>603253</v>
      </c>
      <c r="F14" s="4" t="s">
        <v>231</v>
      </c>
      <c r="G14" s="5">
        <v>4901881182907</v>
      </c>
      <c r="H14" s="5"/>
      <c r="I14" s="5"/>
      <c r="J14" s="5">
        <v>1</v>
      </c>
      <c r="K14" s="5">
        <v>1</v>
      </c>
      <c r="L14" s="4">
        <v>800</v>
      </c>
      <c r="M14" s="4">
        <v>601</v>
      </c>
      <c r="N14" s="4">
        <v>400</v>
      </c>
      <c r="O14" s="6">
        <f>IFERROR(1-N14/M14,"-")</f>
        <v>0.33444259567387691</v>
      </c>
      <c r="P14" s="4" t="s">
        <v>462</v>
      </c>
      <c r="Q14" s="4" t="s">
        <v>462</v>
      </c>
      <c r="R14" s="4" t="s">
        <v>462</v>
      </c>
      <c r="S14" s="4">
        <v>90</v>
      </c>
      <c r="T14" s="4">
        <f>IF(W14="",S14,S14*W14)</f>
        <v>900</v>
      </c>
      <c r="U14" s="4">
        <v>45</v>
      </c>
      <c r="V14" s="4">
        <f>IF(W14="",U14,U14*W14)</f>
        <v>450</v>
      </c>
      <c r="W14" s="4">
        <v>10</v>
      </c>
      <c r="X14" s="21">
        <f>ROUND(M14*AL14,0)</f>
        <v>676</v>
      </c>
      <c r="Y14" s="6">
        <f>IFERROR(1-V14/X14,"-")</f>
        <v>0.33431952662721898</v>
      </c>
      <c r="Z14" s="33">
        <v>7.75</v>
      </c>
      <c r="AA14" s="4">
        <f>AV14</f>
        <v>682</v>
      </c>
      <c r="AB14" s="33">
        <f>IFERROR(AA14*AL14,"-")</f>
        <v>767.25</v>
      </c>
      <c r="AC14" s="6">
        <f>IFERROR(1-V14/AB14,"-")</f>
        <v>0.4134897360703812</v>
      </c>
      <c r="AD14" s="7">
        <v>750</v>
      </c>
      <c r="AE14" s="6">
        <f>1-V14/AD14</f>
        <v>0.4</v>
      </c>
      <c r="AF14" s="4">
        <f>AD14-V14</f>
        <v>300</v>
      </c>
      <c r="AG14" s="28"/>
      <c r="AH14" s="6"/>
      <c r="AI14" s="6"/>
      <c r="AJ14" s="6">
        <f>IFERROR(T14/L14,"-")</f>
        <v>1.125</v>
      </c>
      <c r="AK14" s="6">
        <f>IFERROR(AD14/M14,"-")</f>
        <v>1.2479201331114809</v>
      </c>
      <c r="AL14" s="6">
        <f>IFERROR(V14/N14,"-")</f>
        <v>1.125</v>
      </c>
      <c r="AM14" s="4" t="str">
        <f t="shared" si="0"/>
        <v>-</v>
      </c>
      <c r="AN14" s="4" t="str">
        <f t="shared" si="1"/>
        <v>-</v>
      </c>
      <c r="AO14" s="4" t="str">
        <f t="shared" si="2"/>
        <v>-</v>
      </c>
      <c r="AP14" s="4">
        <v>0</v>
      </c>
      <c r="AQ14" s="4" t="s">
        <v>708</v>
      </c>
      <c r="AR14" s="4"/>
      <c r="AS14" s="4"/>
      <c r="AT14" s="4" t="s">
        <v>702</v>
      </c>
      <c r="AU14" s="4">
        <v>682</v>
      </c>
      <c r="AV14" s="4">
        <f>IF(AR14="",AU14,AR14/AS14*AU14)</f>
        <v>682</v>
      </c>
      <c r="AW14" s="19">
        <v>4</v>
      </c>
      <c r="AX14" s="19">
        <v>1</v>
      </c>
      <c r="AY14" s="16">
        <v>5</v>
      </c>
      <c r="AZ14" t="s">
        <v>462</v>
      </c>
      <c r="BA14" t="str">
        <f t="shared" si="3"/>
        <v>-</v>
      </c>
      <c r="BB14">
        <v>80</v>
      </c>
      <c r="BC14">
        <f t="shared" si="4"/>
        <v>90</v>
      </c>
      <c r="BD14" t="s">
        <v>475</v>
      </c>
    </row>
    <row r="15" spans="1:56" x14ac:dyDescent="0.4">
      <c r="A15" s="3">
        <v>30</v>
      </c>
      <c r="B15" s="3">
        <v>30</v>
      </c>
      <c r="C15" s="4">
        <v>603254</v>
      </c>
      <c r="D15" s="4" t="str">
        <f>TEXT(C15,"000000")</f>
        <v>603254</v>
      </c>
      <c r="E15" s="4">
        <v>603254</v>
      </c>
      <c r="F15" s="4" t="s">
        <v>232</v>
      </c>
      <c r="G15" s="5">
        <v>4901881182761</v>
      </c>
      <c r="H15" s="5"/>
      <c r="I15" s="5"/>
      <c r="J15" s="5">
        <v>1</v>
      </c>
      <c r="K15" s="5">
        <v>1</v>
      </c>
      <c r="L15" s="4">
        <v>800</v>
      </c>
      <c r="M15" s="4">
        <v>608</v>
      </c>
      <c r="N15" s="4">
        <v>400</v>
      </c>
      <c r="O15" s="6">
        <f>IFERROR(1-N15/M15,"-")</f>
        <v>0.34210526315789469</v>
      </c>
      <c r="P15" s="4" t="s">
        <v>462</v>
      </c>
      <c r="Q15" s="4" t="s">
        <v>462</v>
      </c>
      <c r="R15" s="4" t="s">
        <v>462</v>
      </c>
      <c r="S15" s="4">
        <v>90</v>
      </c>
      <c r="T15" s="4">
        <f>IF(W15="",S15,S15*W15)</f>
        <v>900</v>
      </c>
      <c r="U15" s="4">
        <v>45</v>
      </c>
      <c r="V15" s="4">
        <f>IF(W15="",U15,U15*W15)</f>
        <v>450</v>
      </c>
      <c r="W15" s="4">
        <v>10</v>
      </c>
      <c r="X15" s="21">
        <f>ROUND(M15*AL15,0)</f>
        <v>684</v>
      </c>
      <c r="Y15" s="6">
        <f>IFERROR(1-V15/X15,"-")</f>
        <v>0.34210526315789469</v>
      </c>
      <c r="Z15" s="33">
        <v>10</v>
      </c>
      <c r="AA15" s="4">
        <f>AV15</f>
        <v>682</v>
      </c>
      <c r="AB15" s="33">
        <f>IFERROR(AA15*AL15,"-")</f>
        <v>767.25</v>
      </c>
      <c r="AC15" s="6">
        <f>IFERROR(1-V15/AB15,"-")</f>
        <v>0.4134897360703812</v>
      </c>
      <c r="AD15" s="7">
        <v>750</v>
      </c>
      <c r="AE15" s="6">
        <f>1-V15/AD15</f>
        <v>0.4</v>
      </c>
      <c r="AF15" s="4">
        <f>AD15-V15</f>
        <v>300</v>
      </c>
      <c r="AG15" s="28"/>
      <c r="AH15" s="6"/>
      <c r="AI15" s="6"/>
      <c r="AJ15" s="6">
        <f>IFERROR(T15/L15,"-")</f>
        <v>1.125</v>
      </c>
      <c r="AK15" s="6">
        <f>IFERROR(AD15/M15,"-")</f>
        <v>1.2335526315789473</v>
      </c>
      <c r="AL15" s="6">
        <f>IFERROR(V15/N15,"-")</f>
        <v>1.125</v>
      </c>
      <c r="AM15" s="4" t="str">
        <f t="shared" si="0"/>
        <v>-</v>
      </c>
      <c r="AN15" s="4" t="str">
        <f t="shared" si="1"/>
        <v>-</v>
      </c>
      <c r="AO15" s="4" t="str">
        <f t="shared" si="2"/>
        <v>-</v>
      </c>
      <c r="AP15" s="4">
        <v>0</v>
      </c>
      <c r="AQ15" s="4" t="s">
        <v>709</v>
      </c>
      <c r="AR15" s="4"/>
      <c r="AS15" s="4"/>
      <c r="AT15" s="4" t="s">
        <v>702</v>
      </c>
      <c r="AU15" s="4">
        <v>682</v>
      </c>
      <c r="AV15" s="4">
        <f>IF(AR15="",AU15,AR15/AS15*AU15)</f>
        <v>682</v>
      </c>
      <c r="AW15" s="19">
        <v>4</v>
      </c>
      <c r="AX15" s="19">
        <v>1</v>
      </c>
      <c r="AY15" s="16">
        <v>5</v>
      </c>
      <c r="AZ15" t="s">
        <v>462</v>
      </c>
      <c r="BA15" t="str">
        <f t="shared" si="3"/>
        <v>-</v>
      </c>
      <c r="BB15">
        <v>760</v>
      </c>
      <c r="BC15">
        <f t="shared" si="4"/>
        <v>855</v>
      </c>
      <c r="BD15" t="s">
        <v>476</v>
      </c>
    </row>
    <row r="16" spans="1:56" x14ac:dyDescent="0.4">
      <c r="A16" s="3">
        <v>31</v>
      </c>
      <c r="B16" s="3">
        <v>31</v>
      </c>
      <c r="C16" s="4">
        <v>603255</v>
      </c>
      <c r="D16" s="4" t="str">
        <f>TEXT(C16,"000000")</f>
        <v>603255</v>
      </c>
      <c r="E16" s="4">
        <v>603255</v>
      </c>
      <c r="F16" s="4" t="s">
        <v>233</v>
      </c>
      <c r="G16" s="5">
        <v>4901881182778</v>
      </c>
      <c r="H16" s="5"/>
      <c r="I16" s="5"/>
      <c r="J16" s="5">
        <v>1</v>
      </c>
      <c r="K16" s="5">
        <v>1</v>
      </c>
      <c r="L16" s="4">
        <v>800</v>
      </c>
      <c r="M16" s="4">
        <v>658</v>
      </c>
      <c r="N16" s="4">
        <v>400</v>
      </c>
      <c r="O16" s="6">
        <f>IFERROR(1-N16/M16,"-")</f>
        <v>0.39209726443769</v>
      </c>
      <c r="P16" s="4" t="s">
        <v>462</v>
      </c>
      <c r="Q16" s="4" t="s">
        <v>462</v>
      </c>
      <c r="R16" s="4" t="s">
        <v>462</v>
      </c>
      <c r="S16" s="4">
        <v>90</v>
      </c>
      <c r="T16" s="4">
        <f>IF(W16="",S16,S16*W16)</f>
        <v>900</v>
      </c>
      <c r="U16" s="4">
        <v>45</v>
      </c>
      <c r="V16" s="4">
        <f>IF(W16="",U16,U16*W16)</f>
        <v>450</v>
      </c>
      <c r="W16" s="4">
        <v>10</v>
      </c>
      <c r="X16" s="21">
        <f>ROUND(M16*AL16,0)</f>
        <v>740</v>
      </c>
      <c r="Y16" s="6">
        <f>IFERROR(1-V16/X16,"-")</f>
        <v>0.39189189189189189</v>
      </c>
      <c r="Z16" s="33">
        <v>10.5</v>
      </c>
      <c r="AA16" s="4">
        <f>AV16</f>
        <v>682</v>
      </c>
      <c r="AB16" s="33">
        <f>IFERROR(AA16*AL16,"-")</f>
        <v>767.25</v>
      </c>
      <c r="AC16" s="6">
        <f>IFERROR(1-V16/AB16,"-")</f>
        <v>0.4134897360703812</v>
      </c>
      <c r="AD16" s="7">
        <v>750</v>
      </c>
      <c r="AE16" s="6">
        <f>1-V16/AD16</f>
        <v>0.4</v>
      </c>
      <c r="AF16" s="4">
        <f>AD16-V16</f>
        <v>300</v>
      </c>
      <c r="AG16" s="28"/>
      <c r="AH16" s="6"/>
      <c r="AI16" s="6"/>
      <c r="AJ16" s="6">
        <f>IFERROR(T16/L16,"-")</f>
        <v>1.125</v>
      </c>
      <c r="AK16" s="6">
        <f>IFERROR(AD16/M16,"-")</f>
        <v>1.1398176291793314</v>
      </c>
      <c r="AL16" s="6">
        <f>IFERROR(V16/N16,"-")</f>
        <v>1.125</v>
      </c>
      <c r="AM16" s="4" t="str">
        <f t="shared" si="0"/>
        <v>-</v>
      </c>
      <c r="AN16" s="4" t="str">
        <f t="shared" si="1"/>
        <v>-</v>
      </c>
      <c r="AO16" s="4" t="str">
        <f t="shared" si="2"/>
        <v>-</v>
      </c>
      <c r="AP16" s="4">
        <v>0</v>
      </c>
      <c r="AQ16" s="4" t="s">
        <v>710</v>
      </c>
      <c r="AR16" s="4"/>
      <c r="AS16" s="4"/>
      <c r="AT16" s="4" t="s">
        <v>702</v>
      </c>
      <c r="AU16" s="4">
        <v>682</v>
      </c>
      <c r="AV16" s="4">
        <f>IF(AR16="",AU16,AR16/AS16*AU16)</f>
        <v>682</v>
      </c>
      <c r="AW16" s="19">
        <v>4</v>
      </c>
      <c r="AX16" s="19">
        <v>1</v>
      </c>
      <c r="AY16" s="16">
        <v>5</v>
      </c>
      <c r="AZ16" t="s">
        <v>462</v>
      </c>
      <c r="BA16" t="str">
        <f t="shared" si="3"/>
        <v>-</v>
      </c>
      <c r="BB16">
        <v>80</v>
      </c>
      <c r="BC16">
        <f t="shared" si="4"/>
        <v>90</v>
      </c>
      <c r="BD16" t="s">
        <v>477</v>
      </c>
    </row>
    <row r="17" spans="1:56" x14ac:dyDescent="0.4">
      <c r="A17" s="3">
        <v>32</v>
      </c>
      <c r="B17" s="3">
        <v>32</v>
      </c>
      <c r="C17" s="4">
        <v>603256</v>
      </c>
      <c r="D17" s="4" t="str">
        <f>TEXT(C17,"000000")</f>
        <v>603256</v>
      </c>
      <c r="E17" s="4">
        <v>603256</v>
      </c>
      <c r="F17" s="4" t="s">
        <v>234</v>
      </c>
      <c r="G17" s="5">
        <v>4901881182792</v>
      </c>
      <c r="H17" s="5"/>
      <c r="I17" s="5"/>
      <c r="J17" s="5">
        <v>1</v>
      </c>
      <c r="K17" s="5">
        <v>1</v>
      </c>
      <c r="L17" s="4">
        <v>800</v>
      </c>
      <c r="M17" s="4">
        <v>658</v>
      </c>
      <c r="N17" s="4">
        <v>400</v>
      </c>
      <c r="O17" s="6">
        <f>IFERROR(1-N17/M17,"-")</f>
        <v>0.39209726443769</v>
      </c>
      <c r="P17" s="4" t="s">
        <v>462</v>
      </c>
      <c r="Q17" s="4" t="s">
        <v>462</v>
      </c>
      <c r="R17" s="4" t="s">
        <v>462</v>
      </c>
      <c r="S17" s="4">
        <v>90</v>
      </c>
      <c r="T17" s="4">
        <f>IF(W17="",S17,S17*W17)</f>
        <v>900</v>
      </c>
      <c r="U17" s="4">
        <v>45</v>
      </c>
      <c r="V17" s="4">
        <f>IF(W17="",U17,U17*W17)</f>
        <v>450</v>
      </c>
      <c r="W17" s="4">
        <v>10</v>
      </c>
      <c r="X17" s="21">
        <f>ROUND(M17*AL17,0)</f>
        <v>740</v>
      </c>
      <c r="Y17" s="6">
        <f>IFERROR(1-V17/X17,"-")</f>
        <v>0.39189189189189189</v>
      </c>
      <c r="Z17" s="33">
        <v>18.75</v>
      </c>
      <c r="AA17" s="4">
        <f>AV17</f>
        <v>682</v>
      </c>
      <c r="AB17" s="33">
        <f>IFERROR(AA17*AL17,"-")</f>
        <v>767.25</v>
      </c>
      <c r="AC17" s="6">
        <f>IFERROR(1-V17/AB17,"-")</f>
        <v>0.4134897360703812</v>
      </c>
      <c r="AD17" s="7">
        <v>750</v>
      </c>
      <c r="AE17" s="6">
        <f>1-V17/AD17</f>
        <v>0.4</v>
      </c>
      <c r="AF17" s="4">
        <f>AD17-V17</f>
        <v>300</v>
      </c>
      <c r="AG17" s="28"/>
      <c r="AH17" s="6"/>
      <c r="AI17" s="6"/>
      <c r="AJ17" s="6">
        <f>IFERROR(T17/L17,"-")</f>
        <v>1.125</v>
      </c>
      <c r="AK17" s="6">
        <f>IFERROR(AD17/M17,"-")</f>
        <v>1.1398176291793314</v>
      </c>
      <c r="AL17" s="6">
        <f>IFERROR(V17/N17,"-")</f>
        <v>1.125</v>
      </c>
      <c r="AM17" s="4" t="str">
        <f t="shared" si="0"/>
        <v>-</v>
      </c>
      <c r="AN17" s="4" t="str">
        <f t="shared" si="1"/>
        <v>-</v>
      </c>
      <c r="AO17" s="4" t="str">
        <f t="shared" si="2"/>
        <v>-</v>
      </c>
      <c r="AP17" s="4">
        <v>0</v>
      </c>
      <c r="AQ17" s="4" t="s">
        <v>711</v>
      </c>
      <c r="AR17" s="4"/>
      <c r="AS17" s="4"/>
      <c r="AT17" s="4" t="s">
        <v>702</v>
      </c>
      <c r="AU17" s="4">
        <v>682</v>
      </c>
      <c r="AV17" s="4">
        <f>IF(AR17="",AU17,AR17/AS17*AU17)</f>
        <v>682</v>
      </c>
      <c r="AW17" s="19">
        <v>4</v>
      </c>
      <c r="AX17" s="19">
        <v>1</v>
      </c>
      <c r="AY17" s="16">
        <v>5</v>
      </c>
      <c r="AZ17" t="s">
        <v>462</v>
      </c>
      <c r="BA17" t="str">
        <f t="shared" si="3"/>
        <v>-</v>
      </c>
      <c r="BB17">
        <v>80</v>
      </c>
      <c r="BC17">
        <f t="shared" si="4"/>
        <v>90</v>
      </c>
      <c r="BD17" t="s">
        <v>478</v>
      </c>
    </row>
    <row r="18" spans="1:56" x14ac:dyDescent="0.4">
      <c r="A18" s="3">
        <v>33</v>
      </c>
      <c r="B18" s="3">
        <v>33</v>
      </c>
      <c r="C18" s="4">
        <v>603257</v>
      </c>
      <c r="D18" s="4" t="str">
        <f>TEXT(C18,"000000")</f>
        <v>603257</v>
      </c>
      <c r="E18" s="4">
        <v>603257</v>
      </c>
      <c r="F18" s="4" t="s">
        <v>235</v>
      </c>
      <c r="G18" s="5">
        <v>4901881182846</v>
      </c>
      <c r="H18" s="5"/>
      <c r="I18" s="5"/>
      <c r="J18" s="5">
        <v>1</v>
      </c>
      <c r="K18" s="5">
        <v>1</v>
      </c>
      <c r="L18" s="4">
        <v>800</v>
      </c>
      <c r="M18" s="4">
        <v>586</v>
      </c>
      <c r="N18" s="4">
        <v>400</v>
      </c>
      <c r="O18" s="6">
        <f>IFERROR(1-N18/M18,"-")</f>
        <v>0.31740614334470985</v>
      </c>
      <c r="P18" s="4" t="s">
        <v>462</v>
      </c>
      <c r="Q18" s="4" t="s">
        <v>462</v>
      </c>
      <c r="R18" s="4" t="s">
        <v>462</v>
      </c>
      <c r="S18" s="4">
        <v>90</v>
      </c>
      <c r="T18" s="4">
        <f>IF(W18="",S18,S18*W18)</f>
        <v>900</v>
      </c>
      <c r="U18" s="4">
        <v>45</v>
      </c>
      <c r="V18" s="4">
        <f>IF(W18="",U18,U18*W18)</f>
        <v>450</v>
      </c>
      <c r="W18" s="4">
        <v>10</v>
      </c>
      <c r="X18" s="21">
        <f>ROUND(M18*AL18,0)</f>
        <v>659</v>
      </c>
      <c r="Y18" s="6">
        <f>IFERROR(1-V18/X18,"-")</f>
        <v>0.3171471927162367</v>
      </c>
      <c r="Z18" s="33">
        <v>12.75</v>
      </c>
      <c r="AA18" s="4">
        <f>AV18</f>
        <v>682</v>
      </c>
      <c r="AB18" s="33">
        <f>IFERROR(AA18*AL18,"-")</f>
        <v>767.25</v>
      </c>
      <c r="AC18" s="6">
        <f>IFERROR(1-V18/AB18,"-")</f>
        <v>0.4134897360703812</v>
      </c>
      <c r="AD18" s="7">
        <v>750</v>
      </c>
      <c r="AE18" s="6">
        <f>1-V18/AD18</f>
        <v>0.4</v>
      </c>
      <c r="AF18" s="4">
        <f>AD18-V18</f>
        <v>300</v>
      </c>
      <c r="AG18" s="28"/>
      <c r="AH18" s="6"/>
      <c r="AI18" s="6"/>
      <c r="AJ18" s="6">
        <f>IFERROR(T18/L18,"-")</f>
        <v>1.125</v>
      </c>
      <c r="AK18" s="6">
        <f>IFERROR(AD18/M18,"-")</f>
        <v>1.2798634812286689</v>
      </c>
      <c r="AL18" s="6">
        <f>IFERROR(V18/N18,"-")</f>
        <v>1.125</v>
      </c>
      <c r="AM18" s="4" t="str">
        <f t="shared" si="0"/>
        <v>-</v>
      </c>
      <c r="AN18" s="4" t="str">
        <f t="shared" si="1"/>
        <v>-</v>
      </c>
      <c r="AO18" s="4" t="str">
        <f t="shared" si="2"/>
        <v>-</v>
      </c>
      <c r="AP18" s="4">
        <v>0</v>
      </c>
      <c r="AQ18" s="4" t="s">
        <v>712</v>
      </c>
      <c r="AR18" s="4"/>
      <c r="AS18" s="4"/>
      <c r="AT18" s="4" t="s">
        <v>702</v>
      </c>
      <c r="AU18" s="4">
        <v>682</v>
      </c>
      <c r="AV18" s="4">
        <f>IF(AR18="",AU18,AR18/AS18*AU18)</f>
        <v>682</v>
      </c>
      <c r="AW18" s="19">
        <v>4</v>
      </c>
      <c r="AX18" s="19">
        <v>1</v>
      </c>
      <c r="AY18" s="16">
        <v>5</v>
      </c>
      <c r="AZ18" t="s">
        <v>462</v>
      </c>
      <c r="BA18" t="str">
        <f t="shared" si="3"/>
        <v>-</v>
      </c>
      <c r="BB18">
        <v>80</v>
      </c>
      <c r="BC18">
        <f t="shared" si="4"/>
        <v>90</v>
      </c>
      <c r="BD18" t="s">
        <v>479</v>
      </c>
    </row>
    <row r="19" spans="1:56" x14ac:dyDescent="0.4">
      <c r="A19" s="3">
        <v>34</v>
      </c>
      <c r="B19" s="3">
        <v>34</v>
      </c>
      <c r="C19" s="4">
        <v>606203</v>
      </c>
      <c r="D19" s="4" t="str">
        <f>TEXT(C19,"000000")</f>
        <v>606203</v>
      </c>
      <c r="E19" s="4">
        <v>606203</v>
      </c>
      <c r="F19" s="4" t="s">
        <v>236</v>
      </c>
      <c r="G19" s="5">
        <v>4901881182655</v>
      </c>
      <c r="H19" s="5"/>
      <c r="I19" s="5"/>
      <c r="J19" s="5">
        <v>1</v>
      </c>
      <c r="K19" s="5">
        <v>1</v>
      </c>
      <c r="L19" s="4">
        <v>800</v>
      </c>
      <c r="M19" s="4">
        <v>453</v>
      </c>
      <c r="N19" s="4">
        <v>400</v>
      </c>
      <c r="O19" s="6">
        <f>IFERROR(1-N19/M19,"-")</f>
        <v>0.11699779249448128</v>
      </c>
      <c r="P19" s="4" t="s">
        <v>462</v>
      </c>
      <c r="Q19" s="4" t="s">
        <v>462</v>
      </c>
      <c r="R19" s="4" t="s">
        <v>462</v>
      </c>
      <c r="S19" s="4">
        <v>90</v>
      </c>
      <c r="T19" s="4">
        <f>IF(W19="",S19,S19*W19)</f>
        <v>900</v>
      </c>
      <c r="U19" s="4">
        <v>45</v>
      </c>
      <c r="V19" s="4">
        <f>IF(W19="",U19,U19*W19)</f>
        <v>450</v>
      </c>
      <c r="W19" s="4">
        <v>10</v>
      </c>
      <c r="X19" s="21">
        <f>ROUND(M19*AL19,0)</f>
        <v>510</v>
      </c>
      <c r="Y19" s="6">
        <f>IFERROR(1-V19/X19,"-")</f>
        <v>0.11764705882352944</v>
      </c>
      <c r="Z19" s="33">
        <v>7.75</v>
      </c>
      <c r="AA19" s="4">
        <f>AV19</f>
        <v>682</v>
      </c>
      <c r="AB19" s="33">
        <f>IFERROR(AA19*AL19,"-")</f>
        <v>767.25</v>
      </c>
      <c r="AC19" s="6">
        <f>IFERROR(1-V19/AB19,"-")</f>
        <v>0.4134897360703812</v>
      </c>
      <c r="AD19" s="7">
        <v>750</v>
      </c>
      <c r="AE19" s="6">
        <f>1-V19/AD19</f>
        <v>0.4</v>
      </c>
      <c r="AF19" s="4">
        <f>AD19-V19</f>
        <v>300</v>
      </c>
      <c r="AG19" s="28"/>
      <c r="AH19" s="6"/>
      <c r="AI19" s="6"/>
      <c r="AJ19" s="6">
        <f>IFERROR(T19/L19,"-")</f>
        <v>1.125</v>
      </c>
      <c r="AK19" s="6">
        <f>IFERROR(AD19/M19,"-")</f>
        <v>1.6556291390728477</v>
      </c>
      <c r="AL19" s="6">
        <f>IFERROR(V19/N19,"-")</f>
        <v>1.125</v>
      </c>
      <c r="AM19" s="4" t="str">
        <f t="shared" si="0"/>
        <v>-</v>
      </c>
      <c r="AN19" s="4" t="str">
        <f t="shared" si="1"/>
        <v>-</v>
      </c>
      <c r="AO19" s="4" t="str">
        <f t="shared" si="2"/>
        <v>-</v>
      </c>
      <c r="AP19" s="4">
        <v>0</v>
      </c>
      <c r="AQ19" s="4" t="s">
        <v>713</v>
      </c>
      <c r="AR19" s="4"/>
      <c r="AS19" s="4"/>
      <c r="AT19" s="4" t="s">
        <v>702</v>
      </c>
      <c r="AU19" s="4">
        <v>682</v>
      </c>
      <c r="AV19" s="4">
        <f>IF(AR19="",AU19,AR19/AS19*AU19)</f>
        <v>682</v>
      </c>
      <c r="AW19" s="19">
        <v>4</v>
      </c>
      <c r="AX19" s="19">
        <v>1</v>
      </c>
      <c r="AY19" s="16">
        <v>5</v>
      </c>
      <c r="AZ19" t="s">
        <v>462</v>
      </c>
      <c r="BA19" t="str">
        <f t="shared" si="3"/>
        <v>-</v>
      </c>
      <c r="BB19">
        <v>760</v>
      </c>
      <c r="BC19">
        <f t="shared" si="4"/>
        <v>855</v>
      </c>
      <c r="BD19" t="s">
        <v>480</v>
      </c>
    </row>
    <row r="20" spans="1:56" x14ac:dyDescent="0.4">
      <c r="A20" s="3">
        <v>1</v>
      </c>
      <c r="B20" s="3">
        <v>1</v>
      </c>
      <c r="C20" s="47">
        <v>100805</v>
      </c>
      <c r="D20" s="4" t="str">
        <f>TEXT(C20,"000000")</f>
        <v>100805</v>
      </c>
      <c r="E20" s="4">
        <v>100805</v>
      </c>
      <c r="F20" s="4" t="s">
        <v>203</v>
      </c>
      <c r="G20" s="5">
        <v>4901881180880</v>
      </c>
      <c r="H20" s="5"/>
      <c r="I20" s="5"/>
      <c r="J20" s="5">
        <v>2</v>
      </c>
      <c r="K20" s="5">
        <v>2</v>
      </c>
      <c r="L20" s="4">
        <v>800</v>
      </c>
      <c r="M20" s="4">
        <v>658</v>
      </c>
      <c r="N20" s="4">
        <v>400</v>
      </c>
      <c r="O20" s="6">
        <f>IFERROR(1-N20/M20,"-")</f>
        <v>0.39209726443769</v>
      </c>
      <c r="P20" s="4" t="s">
        <v>462</v>
      </c>
      <c r="Q20" s="4" t="s">
        <v>462</v>
      </c>
      <c r="R20" s="4" t="s">
        <v>462</v>
      </c>
      <c r="S20" s="4">
        <v>90</v>
      </c>
      <c r="T20" s="4">
        <f>IF(W20="",S20,S20*W20)</f>
        <v>900</v>
      </c>
      <c r="U20" s="4">
        <v>45</v>
      </c>
      <c r="V20" s="4">
        <f>IF(W20="",U20,U20*W20)</f>
        <v>450</v>
      </c>
      <c r="W20" s="4">
        <v>10</v>
      </c>
      <c r="X20" s="21">
        <f>ROUND(M20*AL20,0)</f>
        <v>740</v>
      </c>
      <c r="Y20" s="6">
        <f>IFERROR(1-V20/X20,"-")</f>
        <v>0.39189189189189189</v>
      </c>
      <c r="Z20" s="33">
        <v>26</v>
      </c>
      <c r="AA20" s="4">
        <f>AV20</f>
        <v>723</v>
      </c>
      <c r="AB20" s="33">
        <f>IFERROR(AA20*AL20,"-")</f>
        <v>813.375</v>
      </c>
      <c r="AC20" s="6">
        <f>IFERROR(1-V20/AB20,"-")</f>
        <v>0.44674965421853385</v>
      </c>
      <c r="AD20" s="7">
        <v>750</v>
      </c>
      <c r="AE20" s="6">
        <f>1-V20/AD20</f>
        <v>0.4</v>
      </c>
      <c r="AF20" s="4">
        <f>AD20-V20</f>
        <v>300</v>
      </c>
      <c r="AG20" s="28"/>
      <c r="AH20" s="6" t="e">
        <f>1-V20/AG20</f>
        <v>#DIV/0!</v>
      </c>
      <c r="AI20" s="4">
        <f>AG20-V20</f>
        <v>-450</v>
      </c>
      <c r="AJ20" s="6">
        <f>IFERROR(T20/L20,"-")</f>
        <v>1.125</v>
      </c>
      <c r="AK20" s="6">
        <f>IFERROR(AD20/M20,"-")</f>
        <v>1.1398176291793314</v>
      </c>
      <c r="AL20" s="6">
        <f>IFERROR(V20/N20,"-")</f>
        <v>1.125</v>
      </c>
      <c r="AM20" s="4" t="str">
        <f>IFERROR(ROUND($AD20*P20/$M20,0),"-")</f>
        <v>-</v>
      </c>
      <c r="AN20" s="4" t="str">
        <f>IF(Q20="","-",Q20)</f>
        <v>-</v>
      </c>
      <c r="AO20" s="4" t="str">
        <f>IF(R20="","-",R20)</f>
        <v>-</v>
      </c>
      <c r="AP20" s="4">
        <v>0</v>
      </c>
      <c r="AQ20" s="4" t="s">
        <v>698</v>
      </c>
      <c r="AR20" s="4"/>
      <c r="AS20" s="4"/>
      <c r="AT20" s="4" t="s">
        <v>699</v>
      </c>
      <c r="AU20" s="4">
        <v>723</v>
      </c>
      <c r="AV20" s="4">
        <f>IF(AR20="",AU20,AR20/AS20*AU20)</f>
        <v>723</v>
      </c>
      <c r="AW20" s="19">
        <v>4</v>
      </c>
      <c r="AX20" s="19">
        <v>1</v>
      </c>
      <c r="AY20" s="16">
        <v>5</v>
      </c>
      <c r="AZ20" t="s">
        <v>462</v>
      </c>
      <c r="BA20" t="str">
        <f>IFERROR(AZ20*AL20,"-")</f>
        <v>-</v>
      </c>
      <c r="BB20" t="s">
        <v>462</v>
      </c>
      <c r="BC20" t="str">
        <f>IFERROR(BB20*AL20,"-")</f>
        <v>-</v>
      </c>
      <c r="BD20" t="s">
        <v>467</v>
      </c>
    </row>
    <row r="21" spans="1:56" x14ac:dyDescent="0.4">
      <c r="A21" s="3">
        <v>235</v>
      </c>
      <c r="B21" s="3">
        <v>1</v>
      </c>
      <c r="C21" s="47">
        <v>100805</v>
      </c>
      <c r="D21" s="4" t="str">
        <f>TEXT(C21,"000000")</f>
        <v>100805</v>
      </c>
      <c r="E21" s="4" t="s">
        <v>444</v>
      </c>
      <c r="F21" s="33" t="s">
        <v>445</v>
      </c>
      <c r="G21" s="5">
        <v>4901881180880</v>
      </c>
      <c r="H21" s="5">
        <v>8</v>
      </c>
      <c r="I21" s="5" t="str">
        <f>C21&amp;H21</f>
        <v>1008058</v>
      </c>
      <c r="J21" s="5"/>
      <c r="K21" s="5"/>
      <c r="L21" s="4">
        <v>800</v>
      </c>
      <c r="M21" s="4">
        <v>880</v>
      </c>
      <c r="N21" s="4">
        <v>400</v>
      </c>
      <c r="O21" s="6">
        <f>IFERROR(1-N21/M21,"-")</f>
        <v>0.54545454545454541</v>
      </c>
      <c r="P21" s="4" t="s">
        <v>462</v>
      </c>
      <c r="Q21" s="4" t="s">
        <v>462</v>
      </c>
      <c r="R21" s="4" t="s">
        <v>462</v>
      </c>
      <c r="S21" s="4">
        <v>90</v>
      </c>
      <c r="T21" s="4">
        <f>IF(W21="",S21,S21*W21)</f>
        <v>900</v>
      </c>
      <c r="U21" s="4">
        <v>45</v>
      </c>
      <c r="V21" s="4">
        <f>IF(W21="",U21,U21*W21)</f>
        <v>450</v>
      </c>
      <c r="W21" s="4">
        <v>10</v>
      </c>
      <c r="X21" s="21">
        <f>ROUND(M21*AL21,0)</f>
        <v>990</v>
      </c>
      <c r="Y21" s="6">
        <f>IFERROR(1-V21/X21,"-")</f>
        <v>0.54545454545454541</v>
      </c>
      <c r="Z21" s="33">
        <v>26</v>
      </c>
      <c r="AA21" s="4">
        <f>AV21</f>
        <v>723</v>
      </c>
      <c r="AB21" s="33">
        <f>IFERROR(AA21*AL21,"-")</f>
        <v>813.375</v>
      </c>
      <c r="AC21" s="6">
        <f>IFERROR(1-V21/AB21,"-")</f>
        <v>0.44674965421853385</v>
      </c>
      <c r="AD21" s="7">
        <v>750</v>
      </c>
      <c r="AE21" s="6">
        <f>1-V21/AD21</f>
        <v>0.4</v>
      </c>
      <c r="AF21" s="4">
        <f>AD21-V21</f>
        <v>300</v>
      </c>
      <c r="AG21" s="28"/>
      <c r="AH21" s="6"/>
      <c r="AI21" s="6"/>
      <c r="AJ21" s="6">
        <f>IFERROR(T21/L21,"-")</f>
        <v>1.125</v>
      </c>
      <c r="AK21" s="6">
        <f>IFERROR(AD21/M21,"-")</f>
        <v>0.85227272727272729</v>
      </c>
      <c r="AL21" s="6">
        <f>IFERROR(V21/N21,"-")</f>
        <v>1.125</v>
      </c>
      <c r="AM21" s="4" t="str">
        <f>IFERROR(ROUND($AD21*P21/$M21,0),"-")</f>
        <v>-</v>
      </c>
      <c r="AN21" s="4" t="str">
        <f>IF(Q21="","-",Q21)</f>
        <v>-</v>
      </c>
      <c r="AO21" s="4" t="str">
        <f>IF(R21="","-",R21)</f>
        <v>-</v>
      </c>
      <c r="AP21" s="4">
        <v>0</v>
      </c>
      <c r="AQ21" s="4" t="s">
        <v>698</v>
      </c>
      <c r="AR21" s="4"/>
      <c r="AS21" s="4"/>
      <c r="AT21" s="4" t="s">
        <v>699</v>
      </c>
      <c r="AU21" s="4">
        <v>723</v>
      </c>
      <c r="AV21" s="4">
        <f>IF(AR21="",AU21,AR21/AS21*AU21)</f>
        <v>723</v>
      </c>
      <c r="AW21" s="19">
        <v>4</v>
      </c>
      <c r="AX21" s="19">
        <v>1</v>
      </c>
      <c r="AY21" s="16">
        <v>5</v>
      </c>
      <c r="AZ21" t="s">
        <v>462</v>
      </c>
      <c r="BA21" t="str">
        <f>IFERROR(AZ21*AL21,"-")</f>
        <v>-</v>
      </c>
      <c r="BB21" t="s">
        <v>462</v>
      </c>
      <c r="BC21" t="str">
        <f>IFERROR(BB21*AL21,"-")</f>
        <v>-</v>
      </c>
      <c r="BD21" t="s">
        <v>467</v>
      </c>
    </row>
    <row r="22" spans="1:56" x14ac:dyDescent="0.4">
      <c r="A22" s="3">
        <v>36</v>
      </c>
      <c r="B22" s="3">
        <v>36</v>
      </c>
      <c r="C22" s="4">
        <v>608957</v>
      </c>
      <c r="D22" s="4" t="str">
        <f>TEXT(C22,"000000")</f>
        <v>608957</v>
      </c>
      <c r="E22" s="4">
        <v>608957</v>
      </c>
      <c r="F22" s="4" t="s">
        <v>238</v>
      </c>
      <c r="G22" s="5">
        <v>4901881184512</v>
      </c>
      <c r="H22" s="5"/>
      <c r="I22" s="5"/>
      <c r="J22" s="5">
        <v>1</v>
      </c>
      <c r="K22" s="5">
        <v>1</v>
      </c>
      <c r="L22" s="4">
        <v>800</v>
      </c>
      <c r="M22" s="4">
        <v>722</v>
      </c>
      <c r="N22" s="4">
        <v>400</v>
      </c>
      <c r="O22" s="6">
        <f>IFERROR(1-N22/M22,"-")</f>
        <v>0.445983379501385</v>
      </c>
      <c r="P22" s="4" t="s">
        <v>462</v>
      </c>
      <c r="Q22" s="4" t="s">
        <v>462</v>
      </c>
      <c r="R22" s="4" t="s">
        <v>462</v>
      </c>
      <c r="S22" s="4">
        <v>90</v>
      </c>
      <c r="T22" s="4">
        <f>IF(W22="",S22,S22*W22)</f>
        <v>900</v>
      </c>
      <c r="U22" s="4">
        <v>45</v>
      </c>
      <c r="V22" s="4">
        <f>IF(W22="",U22,U22*W22)</f>
        <v>450</v>
      </c>
      <c r="W22" s="4">
        <v>10</v>
      </c>
      <c r="X22" s="21">
        <f>ROUND(M22*AL22,0)</f>
        <v>812</v>
      </c>
      <c r="Y22" s="6">
        <f>IFERROR(1-V22/X22,"-")</f>
        <v>0.44581280788177335</v>
      </c>
      <c r="Z22" s="33">
        <v>1509.75</v>
      </c>
      <c r="AA22" s="4">
        <f>AV22</f>
        <v>723</v>
      </c>
      <c r="AB22" s="33">
        <f>IFERROR(AA22*AL22,"-")</f>
        <v>813.375</v>
      </c>
      <c r="AC22" s="6">
        <f>IFERROR(1-V22/AB22,"-")</f>
        <v>0.44674965421853385</v>
      </c>
      <c r="AD22" s="7">
        <v>740</v>
      </c>
      <c r="AE22" s="6">
        <f>1-V22/AD22</f>
        <v>0.39189189189189189</v>
      </c>
      <c r="AF22" s="4">
        <f>AD22-V22</f>
        <v>290</v>
      </c>
      <c r="AG22" s="28"/>
      <c r="AH22" s="6"/>
      <c r="AI22" s="6"/>
      <c r="AJ22" s="6">
        <f>IFERROR(T22/L22,"-")</f>
        <v>1.125</v>
      </c>
      <c r="AK22" s="6">
        <f>IFERROR(AD22/M22,"-")</f>
        <v>1.0249307479224377</v>
      </c>
      <c r="AL22" s="6">
        <f>IFERROR(V22/N22,"-")</f>
        <v>1.125</v>
      </c>
      <c r="AM22" s="4" t="str">
        <f t="shared" si="0"/>
        <v>-</v>
      </c>
      <c r="AN22" s="4" t="str">
        <f t="shared" si="1"/>
        <v>-</v>
      </c>
      <c r="AO22" s="4" t="str">
        <f t="shared" si="2"/>
        <v>-</v>
      </c>
      <c r="AP22" s="49" t="s">
        <v>457</v>
      </c>
      <c r="AQ22" s="4" t="s">
        <v>714</v>
      </c>
      <c r="AR22" s="4"/>
      <c r="AS22" s="4"/>
      <c r="AT22" s="4" t="s">
        <v>699</v>
      </c>
      <c r="AU22" s="4">
        <v>723</v>
      </c>
      <c r="AV22" s="4">
        <f>IF(AR22="",AU22,AR22/AS22*AU22)</f>
        <v>723</v>
      </c>
      <c r="AW22" s="19">
        <v>4</v>
      </c>
      <c r="AX22" s="19">
        <v>1</v>
      </c>
      <c r="AY22" s="16">
        <v>5</v>
      </c>
      <c r="AZ22">
        <v>640</v>
      </c>
      <c r="BA22">
        <f t="shared" si="3"/>
        <v>720</v>
      </c>
      <c r="BB22">
        <v>726</v>
      </c>
      <c r="BC22">
        <f t="shared" si="4"/>
        <v>816.75</v>
      </c>
      <c r="BD22" t="s">
        <v>481</v>
      </c>
    </row>
    <row r="23" spans="1:56" x14ac:dyDescent="0.4">
      <c r="A23" s="3">
        <v>41</v>
      </c>
      <c r="B23" s="3">
        <v>41</v>
      </c>
      <c r="C23" s="4">
        <v>639326</v>
      </c>
      <c r="D23" s="4" t="str">
        <f>TEXT(C23,"000000")</f>
        <v>639326</v>
      </c>
      <c r="E23" s="4">
        <v>639326</v>
      </c>
      <c r="F23" s="4" t="s">
        <v>243</v>
      </c>
      <c r="G23" s="5">
        <v>4901881180750</v>
      </c>
      <c r="H23" s="5"/>
      <c r="I23" s="5"/>
      <c r="J23" s="5">
        <v>1</v>
      </c>
      <c r="K23" s="5">
        <v>1</v>
      </c>
      <c r="L23" s="4">
        <v>800</v>
      </c>
      <c r="M23" s="4">
        <v>535</v>
      </c>
      <c r="N23" s="4">
        <v>400</v>
      </c>
      <c r="O23" s="6">
        <f>IFERROR(1-N23/M23,"-")</f>
        <v>0.25233644859813087</v>
      </c>
      <c r="P23" s="4" t="s">
        <v>462</v>
      </c>
      <c r="Q23" s="4" t="s">
        <v>462</v>
      </c>
      <c r="R23" s="4" t="s">
        <v>462</v>
      </c>
      <c r="S23" s="4">
        <v>90</v>
      </c>
      <c r="T23" s="4">
        <f>IF(W23="",S23,S23*W23)</f>
        <v>900</v>
      </c>
      <c r="U23" s="4">
        <v>45</v>
      </c>
      <c r="V23" s="4">
        <f>IF(W23="",U23,U23*W23)</f>
        <v>450</v>
      </c>
      <c r="W23" s="4">
        <v>10</v>
      </c>
      <c r="X23" s="21">
        <f>ROUND(M23*AL23,0)</f>
        <v>602</v>
      </c>
      <c r="Y23" s="6">
        <f>IFERROR(1-V23/X23,"-")</f>
        <v>0.25249169435215946</v>
      </c>
      <c r="Z23" s="33">
        <v>5</v>
      </c>
      <c r="AA23" s="4">
        <f>AV23</f>
        <v>800</v>
      </c>
      <c r="AB23" s="33">
        <f>IFERROR(AA23*AL23,"-")</f>
        <v>900</v>
      </c>
      <c r="AC23" s="6">
        <f>IFERROR(1-V23/AB23,"-")</f>
        <v>0.5</v>
      </c>
      <c r="AD23" s="7">
        <v>740</v>
      </c>
      <c r="AE23" s="6">
        <f>1-V23/AD23</f>
        <v>0.39189189189189189</v>
      </c>
      <c r="AF23" s="4">
        <f>AD23-V23</f>
        <v>290</v>
      </c>
      <c r="AG23" s="28"/>
      <c r="AH23" s="6"/>
      <c r="AI23" s="6"/>
      <c r="AJ23" s="6">
        <f>IFERROR(T23/L23,"-")</f>
        <v>1.125</v>
      </c>
      <c r="AK23" s="6">
        <f>IFERROR(AD23/M23,"-")</f>
        <v>1.3831775700934579</v>
      </c>
      <c r="AL23" s="6">
        <f>IFERROR(V23/N23,"-")</f>
        <v>1.125</v>
      </c>
      <c r="AM23" s="4" t="str">
        <f t="shared" si="0"/>
        <v>-</v>
      </c>
      <c r="AN23" s="4" t="str">
        <f t="shared" si="1"/>
        <v>-</v>
      </c>
      <c r="AO23" s="4" t="str">
        <f t="shared" si="2"/>
        <v>-</v>
      </c>
      <c r="AP23" s="4">
        <v>0</v>
      </c>
      <c r="AQ23" s="4" t="s">
        <v>715</v>
      </c>
      <c r="AR23" s="4"/>
      <c r="AS23" s="4"/>
      <c r="AT23" s="4" t="s">
        <v>699</v>
      </c>
      <c r="AU23" s="4">
        <v>800</v>
      </c>
      <c r="AV23" s="4">
        <f>IF(AR23="",AU23,AR23/AS23*AU23)</f>
        <v>800</v>
      </c>
      <c r="AW23" s="19">
        <v>4</v>
      </c>
      <c r="AX23" s="19">
        <v>1</v>
      </c>
      <c r="AY23" s="16">
        <v>5</v>
      </c>
      <c r="AZ23" t="s">
        <v>462</v>
      </c>
      <c r="BA23" t="str">
        <f t="shared" si="3"/>
        <v>-</v>
      </c>
      <c r="BB23" t="s">
        <v>462</v>
      </c>
      <c r="BC23" t="str">
        <f t="shared" si="4"/>
        <v>-</v>
      </c>
      <c r="BD23" t="s">
        <v>482</v>
      </c>
    </row>
    <row r="24" spans="1:56" x14ac:dyDescent="0.4">
      <c r="A24" s="3">
        <v>13</v>
      </c>
      <c r="B24" s="3">
        <v>13</v>
      </c>
      <c r="C24" s="4">
        <v>395782</v>
      </c>
      <c r="D24" s="4" t="str">
        <f>TEXT(C24,"000000")</f>
        <v>395782</v>
      </c>
      <c r="E24" s="4">
        <v>395782</v>
      </c>
      <c r="F24" s="4" t="s">
        <v>215</v>
      </c>
      <c r="G24" s="5">
        <v>4901881184406</v>
      </c>
      <c r="H24" s="5"/>
      <c r="I24" s="5"/>
      <c r="J24" s="5">
        <v>1</v>
      </c>
      <c r="K24" s="5">
        <v>1</v>
      </c>
      <c r="L24" s="4">
        <v>800</v>
      </c>
      <c r="M24" s="4">
        <v>658</v>
      </c>
      <c r="N24" s="4">
        <v>400</v>
      </c>
      <c r="O24" s="6">
        <f>IFERROR(1-N24/M24,"-")</f>
        <v>0.39209726443769</v>
      </c>
      <c r="P24" s="4" t="s">
        <v>462</v>
      </c>
      <c r="Q24" s="4" t="s">
        <v>462</v>
      </c>
      <c r="R24" s="4" t="s">
        <v>462</v>
      </c>
      <c r="S24" s="4">
        <v>90</v>
      </c>
      <c r="T24" s="4">
        <f>IF(W24="",S24,S24*W24)</f>
        <v>900</v>
      </c>
      <c r="U24" s="4">
        <v>45</v>
      </c>
      <c r="V24" s="4">
        <f>IF(W24="",U24,U24*W24)</f>
        <v>450</v>
      </c>
      <c r="W24" s="4">
        <v>10</v>
      </c>
      <c r="X24" s="21">
        <f>ROUND(M24*AL24,0)</f>
        <v>740</v>
      </c>
      <c r="Y24" s="6">
        <f>IFERROR(1-V24/X24,"-")</f>
        <v>0.39189189189189189</v>
      </c>
      <c r="Z24" s="33">
        <v>18.75</v>
      </c>
      <c r="AA24" s="4">
        <f>AV24</f>
        <v>723</v>
      </c>
      <c r="AB24" s="33">
        <f>IFERROR(AA24*AL24,"-")</f>
        <v>813.375</v>
      </c>
      <c r="AC24" s="6">
        <f>IFERROR(1-V24/AB24,"-")</f>
        <v>0.44674965421853385</v>
      </c>
      <c r="AD24" s="7">
        <v>740</v>
      </c>
      <c r="AE24" s="6">
        <f>1-V24/AD24</f>
        <v>0.39189189189189189</v>
      </c>
      <c r="AF24" s="4">
        <f>AD24-V24</f>
        <v>290</v>
      </c>
      <c r="AG24" s="28"/>
      <c r="AH24" s="6"/>
      <c r="AI24" s="6"/>
      <c r="AJ24" s="6">
        <f>IFERROR(T24/L24,"-")</f>
        <v>1.125</v>
      </c>
      <c r="AK24" s="6">
        <f>IFERROR(AD24/M24,"-")</f>
        <v>1.1246200607902737</v>
      </c>
      <c r="AL24" s="6">
        <f>IFERROR(V24/N24,"-")</f>
        <v>1.125</v>
      </c>
      <c r="AM24" s="4" t="str">
        <f>IFERROR(ROUND($AD24*P24/$M24,0),"-")</f>
        <v>-</v>
      </c>
      <c r="AN24" s="4" t="str">
        <f>IF(Q24="","-",Q24)</f>
        <v>-</v>
      </c>
      <c r="AO24" s="4" t="str">
        <f>IF(R24="","-",R24)</f>
        <v>-</v>
      </c>
      <c r="AP24" s="4">
        <v>0</v>
      </c>
      <c r="AQ24" s="4" t="s">
        <v>700</v>
      </c>
      <c r="AR24" s="4"/>
      <c r="AS24" s="4"/>
      <c r="AT24" s="4" t="s">
        <v>699</v>
      </c>
      <c r="AU24" s="4">
        <v>723</v>
      </c>
      <c r="AV24" s="4">
        <f>IF(AR24="",AU24,AR24/AS24*AU24)</f>
        <v>723</v>
      </c>
      <c r="AW24" s="19">
        <v>4</v>
      </c>
      <c r="AX24" s="19">
        <v>8</v>
      </c>
      <c r="AY24" s="16">
        <v>5</v>
      </c>
      <c r="AZ24" t="s">
        <v>462</v>
      </c>
      <c r="BA24" t="str">
        <f>IFERROR(AZ24*AL24,"-")</f>
        <v>-</v>
      </c>
      <c r="BB24">
        <v>80</v>
      </c>
      <c r="BC24">
        <f>IFERROR(BB24*AL24,"-")</f>
        <v>90</v>
      </c>
      <c r="BD24" t="s">
        <v>468</v>
      </c>
    </row>
    <row r="25" spans="1:56" x14ac:dyDescent="0.4">
      <c r="A25" s="3">
        <v>42</v>
      </c>
      <c r="B25" s="3">
        <v>42</v>
      </c>
      <c r="C25" s="46">
        <v>662021</v>
      </c>
      <c r="D25" s="4" t="str">
        <f>TEXT(C25,"000000")</f>
        <v>662021</v>
      </c>
      <c r="E25" s="4">
        <v>662021</v>
      </c>
      <c r="F25" s="4" t="s">
        <v>244</v>
      </c>
      <c r="G25" s="5">
        <v>4901881184505</v>
      </c>
      <c r="H25" s="5"/>
      <c r="I25" s="5"/>
      <c r="J25" s="5">
        <v>2</v>
      </c>
      <c r="K25" s="5">
        <v>2</v>
      </c>
      <c r="L25" s="4">
        <v>80</v>
      </c>
      <c r="M25" s="4">
        <v>68</v>
      </c>
      <c r="N25" s="4">
        <v>40</v>
      </c>
      <c r="O25" s="6">
        <f>IFERROR(1-N25/M25,"-")</f>
        <v>0.41176470588235292</v>
      </c>
      <c r="P25" s="4" t="s">
        <v>462</v>
      </c>
      <c r="Q25" s="4" t="s">
        <v>462</v>
      </c>
      <c r="R25" s="4" t="s">
        <v>462</v>
      </c>
      <c r="S25" s="4">
        <v>90</v>
      </c>
      <c r="T25" s="4">
        <f>IF(W25="",S25,S25*W25)</f>
        <v>90</v>
      </c>
      <c r="U25" s="4">
        <v>45</v>
      </c>
      <c r="V25" s="4">
        <f>IF(W25="",U25,U25*W25)</f>
        <v>45</v>
      </c>
      <c r="W25" s="4"/>
      <c r="X25" s="21">
        <f>ROUND(M25*AL25,0)</f>
        <v>77</v>
      </c>
      <c r="Y25" s="6">
        <f>IFERROR(1-V25/X25,"-")</f>
        <v>0.41558441558441561</v>
      </c>
      <c r="Z25" s="33">
        <v>212.5</v>
      </c>
      <c r="AA25" s="4" t="str">
        <f>AV25</f>
        <v>-</v>
      </c>
      <c r="AB25" s="33" t="str">
        <f>IFERROR(AA25*AL25,"-")</f>
        <v>-</v>
      </c>
      <c r="AC25" s="6" t="str">
        <f>IFERROR(1-V25/AB25,"-")</f>
        <v>-</v>
      </c>
      <c r="AD25" s="7">
        <v>78</v>
      </c>
      <c r="AE25" s="6">
        <f>1-V25/AD25</f>
        <v>0.42307692307692313</v>
      </c>
      <c r="AF25" s="4">
        <f>AD25-V25</f>
        <v>33</v>
      </c>
      <c r="AG25" s="28"/>
      <c r="AH25" s="6"/>
      <c r="AI25" s="6"/>
      <c r="AJ25" s="6">
        <f>IFERROR(T25/L25,"-")</f>
        <v>1.125</v>
      </c>
      <c r="AK25" s="6">
        <f>IFERROR(AD25/M25,"-")</f>
        <v>1.1470588235294117</v>
      </c>
      <c r="AL25" s="6">
        <f>IFERROR(V25/N25,"-")</f>
        <v>1.125</v>
      </c>
      <c r="AM25" s="4" t="str">
        <f t="shared" si="0"/>
        <v>-</v>
      </c>
      <c r="AN25" s="4" t="str">
        <f t="shared" si="1"/>
        <v>-</v>
      </c>
      <c r="AO25" s="4" t="str">
        <f t="shared" si="2"/>
        <v>-</v>
      </c>
      <c r="AP25" s="4">
        <v>0</v>
      </c>
      <c r="AQ25" s="4" t="s">
        <v>462</v>
      </c>
      <c r="AR25" s="4"/>
      <c r="AS25" s="4"/>
      <c r="AT25" s="4" t="s">
        <v>462</v>
      </c>
      <c r="AU25" s="4" t="s">
        <v>462</v>
      </c>
      <c r="AV25" s="4" t="str">
        <f>IF(AR25="",AU25,AR25/AS25*AU25)</f>
        <v>-</v>
      </c>
      <c r="AW25" s="19">
        <v>4</v>
      </c>
      <c r="AX25" s="19">
        <v>1</v>
      </c>
      <c r="AY25" s="16">
        <v>5</v>
      </c>
      <c r="AZ25" t="s">
        <v>462</v>
      </c>
      <c r="BA25" t="str">
        <f t="shared" si="3"/>
        <v>-</v>
      </c>
      <c r="BB25">
        <v>702</v>
      </c>
      <c r="BC25">
        <f t="shared" si="4"/>
        <v>789.75</v>
      </c>
      <c r="BD25" t="s">
        <v>462</v>
      </c>
    </row>
    <row r="26" spans="1:56" x14ac:dyDescent="0.4">
      <c r="A26" s="3">
        <v>241</v>
      </c>
      <c r="B26" s="3">
        <v>42</v>
      </c>
      <c r="C26" s="46">
        <v>662021</v>
      </c>
      <c r="D26" s="4" t="str">
        <f>TEXT(C26,"000000")</f>
        <v>662021</v>
      </c>
      <c r="E26" s="4">
        <v>662023</v>
      </c>
      <c r="F26" s="33" t="s">
        <v>450</v>
      </c>
      <c r="G26" s="5">
        <v>4901881184505</v>
      </c>
      <c r="H26" s="5">
        <v>8</v>
      </c>
      <c r="I26" s="5" t="str">
        <f>C26&amp;H26</f>
        <v>6620218</v>
      </c>
      <c r="J26" s="5"/>
      <c r="K26" s="5"/>
      <c r="L26" s="4">
        <v>800</v>
      </c>
      <c r="M26" s="4">
        <v>658</v>
      </c>
      <c r="N26" s="4">
        <v>400</v>
      </c>
      <c r="O26" s="6">
        <f>IFERROR(1-N26/M26,"-")</f>
        <v>0.39209726443769</v>
      </c>
      <c r="P26" s="4" t="s">
        <v>462</v>
      </c>
      <c r="Q26" s="4" t="s">
        <v>462</v>
      </c>
      <c r="R26" s="4" t="s">
        <v>462</v>
      </c>
      <c r="S26" s="4">
        <v>90</v>
      </c>
      <c r="T26" s="4">
        <f>IF(W26="",S26,S26*W26)</f>
        <v>900</v>
      </c>
      <c r="U26" s="4">
        <v>45</v>
      </c>
      <c r="V26" s="4">
        <f>IF(W26="",U26,U26*W26)</f>
        <v>450</v>
      </c>
      <c r="W26" s="4">
        <v>10</v>
      </c>
      <c r="X26" s="21">
        <f>ROUND(M26*AL26,0)</f>
        <v>740</v>
      </c>
      <c r="Y26" s="6">
        <f>IFERROR(1-V26/X26,"-")</f>
        <v>0.39189189189189189</v>
      </c>
      <c r="Z26" s="33">
        <v>212.5</v>
      </c>
      <c r="AA26" s="4" t="str">
        <f>AV26</f>
        <v>-</v>
      </c>
      <c r="AB26" s="33" t="str">
        <f>IFERROR(AA26*AL26,"-")</f>
        <v>-</v>
      </c>
      <c r="AC26" s="6" t="str">
        <f>IFERROR(1-V26/AB26,"-")</f>
        <v>-</v>
      </c>
      <c r="AD26" s="7">
        <v>740</v>
      </c>
      <c r="AE26" s="6">
        <f>1-V26/AD26</f>
        <v>0.39189189189189189</v>
      </c>
      <c r="AF26" s="4">
        <f>AD26-V26</f>
        <v>290</v>
      </c>
      <c r="AG26" s="28"/>
      <c r="AH26" s="6"/>
      <c r="AI26" s="6"/>
      <c r="AJ26" s="6">
        <f>IFERROR(T26/L26,"-")</f>
        <v>1.125</v>
      </c>
      <c r="AK26" s="6">
        <f>IFERROR(AD26/M26,"-")</f>
        <v>1.1246200607902737</v>
      </c>
      <c r="AL26" s="6">
        <f>IFERROR(V26/N26,"-")</f>
        <v>1.125</v>
      </c>
      <c r="AM26" s="4" t="str">
        <f t="shared" si="0"/>
        <v>-</v>
      </c>
      <c r="AN26" s="4" t="str">
        <f t="shared" si="1"/>
        <v>-</v>
      </c>
      <c r="AO26" s="4" t="str">
        <f t="shared" si="2"/>
        <v>-</v>
      </c>
      <c r="AP26" s="49" t="s">
        <v>457</v>
      </c>
      <c r="AQ26" s="4" t="s">
        <v>462</v>
      </c>
      <c r="AR26" s="4"/>
      <c r="AS26" s="4"/>
      <c r="AT26" s="4" t="s">
        <v>462</v>
      </c>
      <c r="AU26" s="4" t="s">
        <v>462</v>
      </c>
      <c r="AV26" s="4" t="str">
        <f>IF(AR26="",AU26,AR26/AS26*AU26)</f>
        <v>-</v>
      </c>
      <c r="AW26" s="19">
        <v>4</v>
      </c>
      <c r="AX26" s="19">
        <v>1</v>
      </c>
      <c r="AY26" s="16">
        <v>5</v>
      </c>
      <c r="AZ26" t="s">
        <v>462</v>
      </c>
      <c r="BA26" t="str">
        <f t="shared" si="3"/>
        <v>-</v>
      </c>
      <c r="BB26">
        <v>702</v>
      </c>
      <c r="BC26">
        <f t="shared" si="4"/>
        <v>789.75</v>
      </c>
      <c r="BD26" t="s">
        <v>462</v>
      </c>
    </row>
    <row r="27" spans="1:56" x14ac:dyDescent="0.4">
      <c r="A27" s="3">
        <v>43</v>
      </c>
      <c r="B27" s="3">
        <v>43</v>
      </c>
      <c r="C27" s="46">
        <v>662024</v>
      </c>
      <c r="D27" s="4" t="str">
        <f>TEXT(C27,"000000")</f>
        <v>662024</v>
      </c>
      <c r="E27" s="4">
        <v>662024</v>
      </c>
      <c r="F27" s="4" t="s">
        <v>245</v>
      </c>
      <c r="G27" s="5">
        <v>4901881184314</v>
      </c>
      <c r="H27" s="5"/>
      <c r="I27" s="5"/>
      <c r="J27" s="5">
        <v>2</v>
      </c>
      <c r="K27" s="5">
        <v>2</v>
      </c>
      <c r="L27" s="4">
        <v>80</v>
      </c>
      <c r="M27" s="4">
        <v>68</v>
      </c>
      <c r="N27" s="4">
        <v>40</v>
      </c>
      <c r="O27" s="6">
        <f>IFERROR(1-N27/M27,"-")</f>
        <v>0.41176470588235292</v>
      </c>
      <c r="P27" s="4" t="s">
        <v>462</v>
      </c>
      <c r="Q27" s="4" t="s">
        <v>462</v>
      </c>
      <c r="R27" s="4" t="s">
        <v>462</v>
      </c>
      <c r="S27" s="4">
        <v>90</v>
      </c>
      <c r="T27" s="4">
        <f>IF(W27="",S27,S27*W27)</f>
        <v>90</v>
      </c>
      <c r="U27" s="4">
        <v>45</v>
      </c>
      <c r="V27" s="4">
        <f>IF(W27="",U27,U27*W27)</f>
        <v>45</v>
      </c>
      <c r="W27" s="4"/>
      <c r="X27" s="21">
        <f>ROUND(M27*AL27,0)</f>
        <v>77</v>
      </c>
      <c r="Y27" s="6">
        <f>IFERROR(1-V27/X27,"-")</f>
        <v>0.41558441558441561</v>
      </c>
      <c r="Z27" s="33">
        <v>64.5</v>
      </c>
      <c r="AA27" s="4">
        <f>AV27</f>
        <v>72.3</v>
      </c>
      <c r="AB27" s="33">
        <f>IFERROR(AA27*AL27,"-")</f>
        <v>81.337499999999991</v>
      </c>
      <c r="AC27" s="6">
        <f>IFERROR(1-V27/AB27,"-")</f>
        <v>0.44674965421853385</v>
      </c>
      <c r="AD27" s="7">
        <v>78</v>
      </c>
      <c r="AE27" s="6">
        <f>1-V27/AD27</f>
        <v>0.42307692307692313</v>
      </c>
      <c r="AF27" s="4">
        <f>AD27-V27</f>
        <v>33</v>
      </c>
      <c r="AG27" s="28"/>
      <c r="AH27" s="6"/>
      <c r="AI27" s="6"/>
      <c r="AJ27" s="6">
        <f>IFERROR(T27/L27,"-")</f>
        <v>1.125</v>
      </c>
      <c r="AK27" s="6">
        <f>IFERROR(AD27/M27,"-")</f>
        <v>1.1470588235294117</v>
      </c>
      <c r="AL27" s="6">
        <f>IFERROR(V27/N27,"-")</f>
        <v>1.125</v>
      </c>
      <c r="AM27" s="4" t="str">
        <f t="shared" si="0"/>
        <v>-</v>
      </c>
      <c r="AN27" s="4" t="str">
        <f t="shared" si="1"/>
        <v>-</v>
      </c>
      <c r="AO27" s="4" t="str">
        <f t="shared" si="2"/>
        <v>-</v>
      </c>
      <c r="AP27" s="4">
        <v>0</v>
      </c>
      <c r="AQ27" s="4" t="s">
        <v>716</v>
      </c>
      <c r="AR27" s="4">
        <v>1</v>
      </c>
      <c r="AS27" s="4">
        <v>10</v>
      </c>
      <c r="AT27" s="4" t="s">
        <v>699</v>
      </c>
      <c r="AU27" s="4">
        <v>723</v>
      </c>
      <c r="AV27" s="4">
        <f>IF(AR27="",AU27,AR27/AS27*AU27)</f>
        <v>72.3</v>
      </c>
      <c r="AW27" s="19">
        <v>4</v>
      </c>
      <c r="AX27" s="19">
        <v>1</v>
      </c>
      <c r="AY27" s="16">
        <v>5</v>
      </c>
      <c r="AZ27" t="s">
        <v>462</v>
      </c>
      <c r="BA27" t="str">
        <f t="shared" si="3"/>
        <v>-</v>
      </c>
      <c r="BB27">
        <v>80</v>
      </c>
      <c r="BC27">
        <f t="shared" si="4"/>
        <v>90</v>
      </c>
      <c r="BD27" t="s">
        <v>483</v>
      </c>
    </row>
    <row r="28" spans="1:56" x14ac:dyDescent="0.4">
      <c r="A28" s="3">
        <v>242</v>
      </c>
      <c r="B28" s="3">
        <v>43</v>
      </c>
      <c r="C28" s="46">
        <v>662024</v>
      </c>
      <c r="D28" s="4" t="str">
        <f>TEXT(C28,"000000")</f>
        <v>662024</v>
      </c>
      <c r="E28" s="4">
        <v>662025</v>
      </c>
      <c r="F28" s="33" t="s">
        <v>451</v>
      </c>
      <c r="G28" s="5">
        <v>4901881184314</v>
      </c>
      <c r="H28" s="5">
        <v>8</v>
      </c>
      <c r="I28" s="5" t="str">
        <f>C28&amp;H28</f>
        <v>6620248</v>
      </c>
      <c r="J28" s="5"/>
      <c r="K28" s="5"/>
      <c r="L28" s="4">
        <v>800</v>
      </c>
      <c r="M28" s="4">
        <v>658</v>
      </c>
      <c r="N28" s="4">
        <v>400</v>
      </c>
      <c r="O28" s="6">
        <f>IFERROR(1-N28/M28,"-")</f>
        <v>0.39209726443769</v>
      </c>
      <c r="P28" s="4" t="s">
        <v>462</v>
      </c>
      <c r="Q28" s="4" t="s">
        <v>462</v>
      </c>
      <c r="R28" s="4" t="s">
        <v>462</v>
      </c>
      <c r="S28" s="4">
        <v>90</v>
      </c>
      <c r="T28" s="4">
        <f>IF(W28="",S28,S28*W28)</f>
        <v>900</v>
      </c>
      <c r="U28" s="4">
        <v>45</v>
      </c>
      <c r="V28" s="4">
        <f>IF(W28="",U28,U28*W28)</f>
        <v>450</v>
      </c>
      <c r="W28" s="4">
        <v>10</v>
      </c>
      <c r="X28" s="21">
        <f>ROUND(M28*AL28,0)</f>
        <v>740</v>
      </c>
      <c r="Y28" s="6">
        <f>IFERROR(1-V28/X28,"-")</f>
        <v>0.39189189189189189</v>
      </c>
      <c r="Z28" s="33">
        <v>64.5</v>
      </c>
      <c r="AA28" s="4">
        <f>AV28</f>
        <v>723</v>
      </c>
      <c r="AB28" s="33">
        <f>IFERROR(AA28*AL28,"-")</f>
        <v>813.375</v>
      </c>
      <c r="AC28" s="6">
        <f>IFERROR(1-V28/AB28,"-")</f>
        <v>0.44674965421853385</v>
      </c>
      <c r="AD28" s="7">
        <v>740</v>
      </c>
      <c r="AE28" s="6">
        <f>1-V28/AD28</f>
        <v>0.39189189189189189</v>
      </c>
      <c r="AF28" s="4">
        <f>AD28-V28</f>
        <v>290</v>
      </c>
      <c r="AG28" s="28"/>
      <c r="AH28" s="6"/>
      <c r="AI28" s="6"/>
      <c r="AJ28" s="6">
        <f>IFERROR(T28/L28,"-")</f>
        <v>1.125</v>
      </c>
      <c r="AK28" s="6">
        <f>IFERROR(AD28/M28,"-")</f>
        <v>1.1246200607902737</v>
      </c>
      <c r="AL28" s="6">
        <f>IFERROR(V28/N28,"-")</f>
        <v>1.125</v>
      </c>
      <c r="AM28" s="4" t="str">
        <f t="shared" si="0"/>
        <v>-</v>
      </c>
      <c r="AN28" s="4" t="str">
        <f t="shared" si="1"/>
        <v>-</v>
      </c>
      <c r="AO28" s="4" t="str">
        <f t="shared" si="2"/>
        <v>-</v>
      </c>
      <c r="AP28" s="49" t="s">
        <v>457</v>
      </c>
      <c r="AQ28" s="4" t="s">
        <v>716</v>
      </c>
      <c r="AR28" s="4"/>
      <c r="AS28" s="4"/>
      <c r="AT28" s="4" t="s">
        <v>699</v>
      </c>
      <c r="AU28" s="4">
        <v>723</v>
      </c>
      <c r="AV28" s="4">
        <f>IF(AR28="",AU28,AR28/AS28*AU28)</f>
        <v>723</v>
      </c>
      <c r="AW28" s="19">
        <v>4</v>
      </c>
      <c r="AX28" s="19">
        <v>1</v>
      </c>
      <c r="AY28" s="16">
        <v>5</v>
      </c>
      <c r="AZ28" t="s">
        <v>462</v>
      </c>
      <c r="BA28" t="str">
        <f t="shared" si="3"/>
        <v>-</v>
      </c>
      <c r="BB28">
        <v>80</v>
      </c>
      <c r="BC28">
        <f t="shared" si="4"/>
        <v>90</v>
      </c>
      <c r="BD28" t="s">
        <v>483</v>
      </c>
    </row>
    <row r="29" spans="1:56" x14ac:dyDescent="0.4">
      <c r="A29" s="3">
        <v>46</v>
      </c>
      <c r="B29" s="3">
        <v>46</v>
      </c>
      <c r="C29" s="46">
        <v>662026</v>
      </c>
      <c r="D29" s="4" t="str">
        <f>TEXT(C29,"000000")</f>
        <v>662026</v>
      </c>
      <c r="E29" s="4">
        <v>662026</v>
      </c>
      <c r="F29" s="4" t="s">
        <v>248</v>
      </c>
      <c r="G29" s="5">
        <v>4901881184420</v>
      </c>
      <c r="H29" s="5"/>
      <c r="I29" s="5"/>
      <c r="J29" s="5">
        <v>2</v>
      </c>
      <c r="K29" s="5">
        <v>2</v>
      </c>
      <c r="L29" s="4">
        <v>80</v>
      </c>
      <c r="M29" s="4">
        <v>68</v>
      </c>
      <c r="N29" s="4">
        <v>40</v>
      </c>
      <c r="O29" s="6">
        <f>IFERROR(1-N29/M29,"-")</f>
        <v>0.41176470588235292</v>
      </c>
      <c r="P29" s="4" t="s">
        <v>462</v>
      </c>
      <c r="Q29" s="4" t="s">
        <v>462</v>
      </c>
      <c r="R29" s="4" t="s">
        <v>462</v>
      </c>
      <c r="S29" s="4">
        <v>90</v>
      </c>
      <c r="T29" s="4">
        <f>IF(W29="",S29,S29*W29)</f>
        <v>90</v>
      </c>
      <c r="U29" s="4">
        <v>45</v>
      </c>
      <c r="V29" s="4">
        <f>IF(W29="",U29,U29*W29)</f>
        <v>45</v>
      </c>
      <c r="W29" s="4"/>
      <c r="X29" s="21">
        <f>ROUND(M29*AL29,0)</f>
        <v>77</v>
      </c>
      <c r="Y29" s="6">
        <f>IFERROR(1-V29/X29,"-")</f>
        <v>0.41558441558441561</v>
      </c>
      <c r="Z29" s="33">
        <v>46.75</v>
      </c>
      <c r="AA29" s="4">
        <f>AV29</f>
        <v>72.3</v>
      </c>
      <c r="AB29" s="33">
        <f>IFERROR(AA29*AL29,"-")</f>
        <v>81.337499999999991</v>
      </c>
      <c r="AC29" s="6">
        <f>IFERROR(1-V29/AB29,"-")</f>
        <v>0.44674965421853385</v>
      </c>
      <c r="AD29" s="7">
        <v>78</v>
      </c>
      <c r="AE29" s="6">
        <f>1-V29/AD29</f>
        <v>0.42307692307692313</v>
      </c>
      <c r="AF29" s="4">
        <f>AD29-V29</f>
        <v>33</v>
      </c>
      <c r="AG29" s="28"/>
      <c r="AH29" s="6"/>
      <c r="AI29" s="6"/>
      <c r="AJ29" s="6">
        <f>IFERROR(T29/L29,"-")</f>
        <v>1.125</v>
      </c>
      <c r="AK29" s="6">
        <f>IFERROR(AD29/M29,"-")</f>
        <v>1.1470588235294117</v>
      </c>
      <c r="AL29" s="6">
        <f>IFERROR(V29/N29,"-")</f>
        <v>1.125</v>
      </c>
      <c r="AM29" s="4" t="str">
        <f t="shared" si="0"/>
        <v>-</v>
      </c>
      <c r="AN29" s="4" t="str">
        <f t="shared" si="1"/>
        <v>-</v>
      </c>
      <c r="AO29" s="4" t="str">
        <f t="shared" si="2"/>
        <v>-</v>
      </c>
      <c r="AP29" s="4">
        <v>0</v>
      </c>
      <c r="AQ29" s="4" t="s">
        <v>717</v>
      </c>
      <c r="AR29" s="4">
        <v>1</v>
      </c>
      <c r="AS29" s="4">
        <v>10</v>
      </c>
      <c r="AT29" s="4" t="s">
        <v>699</v>
      </c>
      <c r="AU29" s="4">
        <v>723</v>
      </c>
      <c r="AV29" s="4">
        <f>IF(AR29="",AU29,AR29/AS29*AU29)</f>
        <v>72.3</v>
      </c>
      <c r="AW29" s="19">
        <v>4</v>
      </c>
      <c r="AX29" s="19">
        <v>1</v>
      </c>
      <c r="AY29" s="16">
        <v>5</v>
      </c>
      <c r="AZ29" t="s">
        <v>462</v>
      </c>
      <c r="BA29" t="str">
        <f t="shared" si="3"/>
        <v>-</v>
      </c>
      <c r="BB29">
        <v>80</v>
      </c>
      <c r="BC29">
        <f t="shared" si="4"/>
        <v>90</v>
      </c>
      <c r="BD29" t="s">
        <v>484</v>
      </c>
    </row>
    <row r="30" spans="1:56" x14ac:dyDescent="0.4">
      <c r="A30" s="3">
        <v>243</v>
      </c>
      <c r="B30" s="3">
        <v>46</v>
      </c>
      <c r="C30" s="46">
        <v>662026</v>
      </c>
      <c r="D30" s="4" t="str">
        <f>TEXT(C30,"000000")</f>
        <v>662026</v>
      </c>
      <c r="E30" s="4">
        <v>662027</v>
      </c>
      <c r="F30" s="33" t="s">
        <v>452</v>
      </c>
      <c r="G30" s="5">
        <v>4901881184420</v>
      </c>
      <c r="H30" s="5">
        <v>8</v>
      </c>
      <c r="I30" s="5" t="str">
        <f>C30&amp;H30</f>
        <v>6620268</v>
      </c>
      <c r="J30" s="5"/>
      <c r="K30" s="5"/>
      <c r="L30" s="4">
        <v>800</v>
      </c>
      <c r="M30" s="4">
        <v>658</v>
      </c>
      <c r="N30" s="4">
        <v>400</v>
      </c>
      <c r="O30" s="6">
        <f>IFERROR(1-N30/M30,"-")</f>
        <v>0.39209726443769</v>
      </c>
      <c r="P30" s="4" t="s">
        <v>462</v>
      </c>
      <c r="Q30" s="4" t="s">
        <v>462</v>
      </c>
      <c r="R30" s="4" t="s">
        <v>462</v>
      </c>
      <c r="S30" s="4">
        <v>90</v>
      </c>
      <c r="T30" s="4">
        <f>IF(W30="",S30,S30*W30)</f>
        <v>900</v>
      </c>
      <c r="U30" s="4">
        <v>45</v>
      </c>
      <c r="V30" s="4">
        <f>IF(W30="",U30,U30*W30)</f>
        <v>450</v>
      </c>
      <c r="W30" s="4">
        <v>10</v>
      </c>
      <c r="X30" s="21">
        <f>ROUND(M30*AL30,0)</f>
        <v>740</v>
      </c>
      <c r="Y30" s="6">
        <f>IFERROR(1-V30/X30,"-")</f>
        <v>0.39189189189189189</v>
      </c>
      <c r="Z30" s="33">
        <v>46.75</v>
      </c>
      <c r="AA30" s="4">
        <f>AV30</f>
        <v>723</v>
      </c>
      <c r="AB30" s="33">
        <f>IFERROR(AA30*AL30,"-")</f>
        <v>813.375</v>
      </c>
      <c r="AC30" s="6">
        <f>IFERROR(1-V30/AB30,"-")</f>
        <v>0.44674965421853385</v>
      </c>
      <c r="AD30" s="7">
        <v>740</v>
      </c>
      <c r="AE30" s="6">
        <f>1-V30/AD30</f>
        <v>0.39189189189189189</v>
      </c>
      <c r="AF30" s="4">
        <f>AD30-V30</f>
        <v>290</v>
      </c>
      <c r="AG30" s="28"/>
      <c r="AH30" s="6"/>
      <c r="AI30" s="6"/>
      <c r="AJ30" s="6">
        <f>IFERROR(T30/L30,"-")</f>
        <v>1.125</v>
      </c>
      <c r="AK30" s="6">
        <f>IFERROR(AD30/M30,"-")</f>
        <v>1.1246200607902737</v>
      </c>
      <c r="AL30" s="6">
        <f>IFERROR(V30/N30,"-")</f>
        <v>1.125</v>
      </c>
      <c r="AM30" s="4" t="str">
        <f t="shared" si="0"/>
        <v>-</v>
      </c>
      <c r="AN30" s="4" t="str">
        <f t="shared" si="1"/>
        <v>-</v>
      </c>
      <c r="AO30" s="4" t="str">
        <f t="shared" si="2"/>
        <v>-</v>
      </c>
      <c r="AP30" s="49" t="s">
        <v>457</v>
      </c>
      <c r="AQ30" s="4" t="s">
        <v>717</v>
      </c>
      <c r="AR30" s="4"/>
      <c r="AS30" s="4"/>
      <c r="AT30" s="4" t="s">
        <v>699</v>
      </c>
      <c r="AU30" s="4">
        <v>723</v>
      </c>
      <c r="AV30" s="4">
        <f>IF(AR30="",AU30,AR30/AS30*AU30)</f>
        <v>723</v>
      </c>
      <c r="AW30" s="19">
        <v>4</v>
      </c>
      <c r="AX30" s="19">
        <v>1</v>
      </c>
      <c r="AY30" s="16">
        <v>5</v>
      </c>
      <c r="AZ30" t="s">
        <v>462</v>
      </c>
      <c r="BA30" t="str">
        <f t="shared" si="3"/>
        <v>-</v>
      </c>
      <c r="BB30">
        <v>80</v>
      </c>
      <c r="BC30">
        <f t="shared" si="4"/>
        <v>90</v>
      </c>
      <c r="BD30" t="s">
        <v>484</v>
      </c>
    </row>
    <row r="31" spans="1:56" x14ac:dyDescent="0.4">
      <c r="A31" s="3">
        <v>65</v>
      </c>
      <c r="B31" s="3">
        <v>65</v>
      </c>
      <c r="C31" s="4">
        <v>676890</v>
      </c>
      <c r="D31" s="4" t="str">
        <f>TEXT(C31,"000000")</f>
        <v>676890</v>
      </c>
      <c r="E31" s="4">
        <v>676890</v>
      </c>
      <c r="F31" s="4" t="s">
        <v>267</v>
      </c>
      <c r="G31" s="5">
        <v>4901881184321</v>
      </c>
      <c r="H31" s="5"/>
      <c r="I31" s="5"/>
      <c r="J31" s="5">
        <v>1</v>
      </c>
      <c r="K31" s="5">
        <v>1</v>
      </c>
      <c r="L31" s="4">
        <v>800</v>
      </c>
      <c r="M31" s="4">
        <v>592</v>
      </c>
      <c r="N31" s="4">
        <v>400</v>
      </c>
      <c r="O31" s="6">
        <f>IFERROR(1-N31/M31,"-")</f>
        <v>0.32432432432432434</v>
      </c>
      <c r="P31" s="4" t="s">
        <v>462</v>
      </c>
      <c r="Q31" s="4" t="s">
        <v>462</v>
      </c>
      <c r="R31" s="4" t="s">
        <v>462</v>
      </c>
      <c r="S31" s="4">
        <v>90</v>
      </c>
      <c r="T31" s="4">
        <f>IF(W31="",S31,S31*W31)</f>
        <v>900</v>
      </c>
      <c r="U31" s="4">
        <v>45</v>
      </c>
      <c r="V31" s="4">
        <f>IF(W31="",U31,U31*W31)</f>
        <v>450</v>
      </c>
      <c r="W31" s="4">
        <v>10</v>
      </c>
      <c r="X31" s="21">
        <f>ROUND(M31*AL31,0)</f>
        <v>666</v>
      </c>
      <c r="Y31" s="6">
        <f>IFERROR(1-V31/X31,"-")</f>
        <v>0.32432432432432434</v>
      </c>
      <c r="Z31" s="33">
        <v>13.25</v>
      </c>
      <c r="AA31" s="4">
        <f>AV31</f>
        <v>723</v>
      </c>
      <c r="AB31" s="33">
        <f>IFERROR(AA31*AL31,"-")</f>
        <v>813.375</v>
      </c>
      <c r="AC31" s="6">
        <f>IFERROR(1-V31/AB31,"-")</f>
        <v>0.44674965421853385</v>
      </c>
      <c r="AD31" s="7">
        <v>740</v>
      </c>
      <c r="AE31" s="6">
        <f>1-V31/AD31</f>
        <v>0.39189189189189189</v>
      </c>
      <c r="AF31" s="4">
        <f>AD31-V31</f>
        <v>290</v>
      </c>
      <c r="AG31" s="28"/>
      <c r="AH31" s="6"/>
      <c r="AI31" s="6"/>
      <c r="AJ31" s="6">
        <f>IFERROR(T31/L31,"-")</f>
        <v>1.125</v>
      </c>
      <c r="AK31" s="6">
        <f>IFERROR(AD31/M31,"-")</f>
        <v>1.25</v>
      </c>
      <c r="AL31" s="6">
        <f>IFERROR(V31/N31,"-")</f>
        <v>1.125</v>
      </c>
      <c r="AM31" s="4" t="str">
        <f t="shared" si="0"/>
        <v>-</v>
      </c>
      <c r="AN31" s="4" t="str">
        <f t="shared" si="1"/>
        <v>-</v>
      </c>
      <c r="AO31" s="4" t="str">
        <f t="shared" si="2"/>
        <v>-</v>
      </c>
      <c r="AP31" s="4">
        <v>0</v>
      </c>
      <c r="AQ31" s="4" t="s">
        <v>718</v>
      </c>
      <c r="AR31" s="4"/>
      <c r="AS31" s="4"/>
      <c r="AT31" s="4" t="s">
        <v>699</v>
      </c>
      <c r="AU31" s="4">
        <v>723</v>
      </c>
      <c r="AV31" s="4">
        <f>IF(AR31="",AU31,AR31/AS31*AU31)</f>
        <v>723</v>
      </c>
      <c r="AW31" s="19">
        <v>4</v>
      </c>
      <c r="AX31" s="19">
        <v>8</v>
      </c>
      <c r="AY31" s="16">
        <v>5</v>
      </c>
      <c r="AZ31" t="s">
        <v>462</v>
      </c>
      <c r="BA31" t="str">
        <f t="shared" si="3"/>
        <v>-</v>
      </c>
      <c r="BB31">
        <v>80</v>
      </c>
      <c r="BC31">
        <f t="shared" si="4"/>
        <v>90</v>
      </c>
      <c r="BD31" t="s">
        <v>485</v>
      </c>
    </row>
    <row r="32" spans="1:56" x14ac:dyDescent="0.4">
      <c r="A32" s="3">
        <v>66</v>
      </c>
      <c r="B32" s="3">
        <v>66</v>
      </c>
      <c r="C32" s="4">
        <v>676891</v>
      </c>
      <c r="D32" s="4" t="str">
        <f>TEXT(C32,"000000")</f>
        <v>676891</v>
      </c>
      <c r="E32" s="4">
        <v>676891</v>
      </c>
      <c r="F32" s="4" t="s">
        <v>268</v>
      </c>
      <c r="G32" s="5">
        <v>4901881184338</v>
      </c>
      <c r="H32" s="5"/>
      <c r="I32" s="5"/>
      <c r="J32" s="5">
        <v>1</v>
      </c>
      <c r="K32" s="5">
        <v>1</v>
      </c>
      <c r="L32" s="4">
        <v>800</v>
      </c>
      <c r="M32" s="4">
        <v>586</v>
      </c>
      <c r="N32" s="4">
        <v>400</v>
      </c>
      <c r="O32" s="6">
        <f>IFERROR(1-N32/M32,"-")</f>
        <v>0.31740614334470985</v>
      </c>
      <c r="P32" s="4" t="s">
        <v>462</v>
      </c>
      <c r="Q32" s="4" t="s">
        <v>462</v>
      </c>
      <c r="R32" s="4" t="s">
        <v>462</v>
      </c>
      <c r="S32" s="4">
        <v>90</v>
      </c>
      <c r="T32" s="4">
        <f>IF(W32="",S32,S32*W32)</f>
        <v>900</v>
      </c>
      <c r="U32" s="4">
        <v>45</v>
      </c>
      <c r="V32" s="4">
        <f>IF(W32="",U32,U32*W32)</f>
        <v>450</v>
      </c>
      <c r="W32" s="4">
        <v>10</v>
      </c>
      <c r="X32" s="21">
        <f>ROUND(M32*AL32,0)</f>
        <v>659</v>
      </c>
      <c r="Y32" s="6">
        <f>IFERROR(1-V32/X32,"-")</f>
        <v>0.3171471927162367</v>
      </c>
      <c r="Z32" s="33">
        <v>2.5</v>
      </c>
      <c r="AA32" s="4">
        <f>AV32</f>
        <v>689</v>
      </c>
      <c r="AB32" s="33">
        <f>IFERROR(AA32*AL32,"-")</f>
        <v>775.125</v>
      </c>
      <c r="AC32" s="6">
        <f>IFERROR(1-V32/AB32,"-")</f>
        <v>0.41944847605224966</v>
      </c>
      <c r="AD32" s="7">
        <v>740</v>
      </c>
      <c r="AE32" s="6">
        <f>1-V32/AD32</f>
        <v>0.39189189189189189</v>
      </c>
      <c r="AF32" s="4">
        <f>AD32-V32</f>
        <v>290</v>
      </c>
      <c r="AG32" s="28"/>
      <c r="AH32" s="6"/>
      <c r="AI32" s="6"/>
      <c r="AJ32" s="6">
        <f>IFERROR(T32/L32,"-")</f>
        <v>1.125</v>
      </c>
      <c r="AK32" s="6">
        <f>IFERROR(AD32/M32,"-")</f>
        <v>1.2627986348122866</v>
      </c>
      <c r="AL32" s="6">
        <f>IFERROR(V32/N32,"-")</f>
        <v>1.125</v>
      </c>
      <c r="AM32" s="4" t="str">
        <f t="shared" si="0"/>
        <v>-</v>
      </c>
      <c r="AN32" s="4" t="str">
        <f t="shared" si="1"/>
        <v>-</v>
      </c>
      <c r="AO32" s="4" t="str">
        <f t="shared" si="2"/>
        <v>-</v>
      </c>
      <c r="AP32" s="49" t="s">
        <v>457</v>
      </c>
      <c r="AQ32" s="4" t="s">
        <v>719</v>
      </c>
      <c r="AR32" s="4"/>
      <c r="AS32" s="4"/>
      <c r="AT32" s="4" t="s">
        <v>699</v>
      </c>
      <c r="AU32" s="4">
        <v>689</v>
      </c>
      <c r="AV32" s="4">
        <f>IF(AR32="",AU32,AR32/AS32*AU32)</f>
        <v>689</v>
      </c>
      <c r="AW32" s="19">
        <v>4</v>
      </c>
      <c r="AX32" s="19">
        <v>1</v>
      </c>
      <c r="AY32" s="16">
        <v>5</v>
      </c>
      <c r="AZ32" t="s">
        <v>462</v>
      </c>
      <c r="BA32" t="str">
        <f t="shared" si="3"/>
        <v>-</v>
      </c>
      <c r="BB32" t="s">
        <v>462</v>
      </c>
      <c r="BC32" t="str">
        <f t="shared" si="4"/>
        <v>-</v>
      </c>
      <c r="BD32" t="s">
        <v>486</v>
      </c>
    </row>
    <row r="33" spans="1:56" x14ac:dyDescent="0.4">
      <c r="A33" s="3">
        <v>67</v>
      </c>
      <c r="B33" s="3">
        <v>67</v>
      </c>
      <c r="C33" s="4">
        <v>676892</v>
      </c>
      <c r="D33" s="4" t="str">
        <f>TEXT(C33,"000000")</f>
        <v>676892</v>
      </c>
      <c r="E33" s="4">
        <v>676892</v>
      </c>
      <c r="F33" s="4" t="s">
        <v>269</v>
      </c>
      <c r="G33" s="5">
        <v>4901881184390</v>
      </c>
      <c r="H33" s="5"/>
      <c r="I33" s="5"/>
      <c r="J33" s="5">
        <v>1</v>
      </c>
      <c r="K33" s="5">
        <v>1</v>
      </c>
      <c r="L33" s="4">
        <v>800</v>
      </c>
      <c r="M33" s="4">
        <v>592</v>
      </c>
      <c r="N33" s="4">
        <v>400</v>
      </c>
      <c r="O33" s="6">
        <f>IFERROR(1-N33/M33,"-")</f>
        <v>0.32432432432432434</v>
      </c>
      <c r="P33" s="4" t="s">
        <v>462</v>
      </c>
      <c r="Q33" s="4" t="s">
        <v>462</v>
      </c>
      <c r="R33" s="4" t="s">
        <v>462</v>
      </c>
      <c r="S33" s="4">
        <v>90</v>
      </c>
      <c r="T33" s="4">
        <f>IF(W33="",S33,S33*W33)</f>
        <v>900</v>
      </c>
      <c r="U33" s="4">
        <v>45</v>
      </c>
      <c r="V33" s="4">
        <f>IF(W33="",U33,U33*W33)</f>
        <v>450</v>
      </c>
      <c r="W33" s="4">
        <v>10</v>
      </c>
      <c r="X33" s="21">
        <f>ROUND(M33*AL33,0)</f>
        <v>666</v>
      </c>
      <c r="Y33" s="6">
        <f>IFERROR(1-V33/X33,"-")</f>
        <v>0.32432432432432434</v>
      </c>
      <c r="Z33" s="33">
        <v>8.5</v>
      </c>
      <c r="AA33" s="4">
        <f>AV33</f>
        <v>723</v>
      </c>
      <c r="AB33" s="33">
        <f>IFERROR(AA33*AL33,"-")</f>
        <v>813.375</v>
      </c>
      <c r="AC33" s="6">
        <f>IFERROR(1-V33/AB33,"-")</f>
        <v>0.44674965421853385</v>
      </c>
      <c r="AD33" s="7">
        <v>740</v>
      </c>
      <c r="AE33" s="6">
        <f>1-V33/AD33</f>
        <v>0.39189189189189189</v>
      </c>
      <c r="AF33" s="4">
        <f>AD33-V33</f>
        <v>290</v>
      </c>
      <c r="AG33" s="28"/>
      <c r="AH33" s="6"/>
      <c r="AI33" s="6"/>
      <c r="AJ33" s="6">
        <f>IFERROR(T33/L33,"-")</f>
        <v>1.125</v>
      </c>
      <c r="AK33" s="6">
        <f>IFERROR(AD33/M33,"-")</f>
        <v>1.25</v>
      </c>
      <c r="AL33" s="6">
        <f>IFERROR(V33/N33,"-")</f>
        <v>1.125</v>
      </c>
      <c r="AM33" s="4" t="str">
        <f t="shared" si="0"/>
        <v>-</v>
      </c>
      <c r="AN33" s="4" t="str">
        <f t="shared" si="1"/>
        <v>-</v>
      </c>
      <c r="AO33" s="4" t="str">
        <f t="shared" si="2"/>
        <v>-</v>
      </c>
      <c r="AP33" s="49" t="s">
        <v>457</v>
      </c>
      <c r="AQ33" s="4" t="s">
        <v>720</v>
      </c>
      <c r="AR33" s="4"/>
      <c r="AS33" s="4"/>
      <c r="AT33" s="4" t="s">
        <v>699</v>
      </c>
      <c r="AU33" s="4">
        <v>723</v>
      </c>
      <c r="AV33" s="4">
        <f>IF(AR33="",AU33,AR33/AS33*AU33)</f>
        <v>723</v>
      </c>
      <c r="AW33" s="19">
        <v>4</v>
      </c>
      <c r="AX33" s="19">
        <v>8</v>
      </c>
      <c r="AY33" s="16">
        <v>5</v>
      </c>
      <c r="AZ33" t="s">
        <v>462</v>
      </c>
      <c r="BA33" t="str">
        <f t="shared" si="3"/>
        <v>-</v>
      </c>
      <c r="BB33">
        <v>80</v>
      </c>
      <c r="BC33">
        <f t="shared" si="4"/>
        <v>90</v>
      </c>
      <c r="BD33" t="s">
        <v>487</v>
      </c>
    </row>
    <row r="34" spans="1:56" x14ac:dyDescent="0.4">
      <c r="A34" s="3">
        <v>68</v>
      </c>
      <c r="B34" s="3">
        <v>68</v>
      </c>
      <c r="C34" s="4">
        <v>677676</v>
      </c>
      <c r="D34" s="4" t="str">
        <f>TEXT(C34,"000000")</f>
        <v>677676</v>
      </c>
      <c r="E34" s="4">
        <v>677676</v>
      </c>
      <c r="F34" s="4" t="s">
        <v>270</v>
      </c>
      <c r="G34" s="5">
        <v>4901881184543</v>
      </c>
      <c r="H34" s="5"/>
      <c r="I34" s="5"/>
      <c r="J34" s="5">
        <v>1</v>
      </c>
      <c r="K34" s="5">
        <v>1</v>
      </c>
      <c r="L34" s="4">
        <v>800</v>
      </c>
      <c r="M34" s="4">
        <v>645</v>
      </c>
      <c r="N34" s="4">
        <v>400</v>
      </c>
      <c r="O34" s="6">
        <f>IFERROR(1-N34/M34,"-")</f>
        <v>0.37984496124031009</v>
      </c>
      <c r="P34" s="4" t="s">
        <v>462</v>
      </c>
      <c r="Q34" s="4" t="s">
        <v>462</v>
      </c>
      <c r="R34" s="4" t="s">
        <v>462</v>
      </c>
      <c r="S34" s="4">
        <v>90</v>
      </c>
      <c r="T34" s="4">
        <f>IF(W34="",S34,S34*W34)</f>
        <v>900</v>
      </c>
      <c r="U34" s="4">
        <v>45</v>
      </c>
      <c r="V34" s="4">
        <f>IF(W34="",U34,U34*W34)</f>
        <v>450</v>
      </c>
      <c r="W34" s="4">
        <v>10</v>
      </c>
      <c r="X34" s="21">
        <f>ROUND(M34*AL34,0)</f>
        <v>726</v>
      </c>
      <c r="Y34" s="6">
        <f>IFERROR(1-V34/X34,"-")</f>
        <v>0.3801652892561983</v>
      </c>
      <c r="Z34" s="33">
        <v>59.25</v>
      </c>
      <c r="AA34" s="4">
        <f>AV34</f>
        <v>689</v>
      </c>
      <c r="AB34" s="33">
        <f>IFERROR(AA34*AL34,"-")</f>
        <v>775.125</v>
      </c>
      <c r="AC34" s="6">
        <f>IFERROR(1-V34/AB34,"-")</f>
        <v>0.41944847605224966</v>
      </c>
      <c r="AD34" s="7">
        <v>740</v>
      </c>
      <c r="AE34" s="6">
        <f>1-V34/AD34</f>
        <v>0.39189189189189189</v>
      </c>
      <c r="AF34" s="4">
        <f>AD34-V34</f>
        <v>290</v>
      </c>
      <c r="AG34" s="28"/>
      <c r="AH34" s="6"/>
      <c r="AI34" s="6"/>
      <c r="AJ34" s="6">
        <f>IFERROR(T34/L34,"-")</f>
        <v>1.125</v>
      </c>
      <c r="AK34" s="6">
        <f>IFERROR(AD34/M34,"-")</f>
        <v>1.1472868217054264</v>
      </c>
      <c r="AL34" s="6">
        <f>IFERROR(V34/N34,"-")</f>
        <v>1.125</v>
      </c>
      <c r="AM34" s="4" t="str">
        <f t="shared" si="0"/>
        <v>-</v>
      </c>
      <c r="AN34" s="4" t="str">
        <f t="shared" si="1"/>
        <v>-</v>
      </c>
      <c r="AO34" s="4" t="str">
        <f t="shared" si="2"/>
        <v>-</v>
      </c>
      <c r="AP34" s="49" t="s">
        <v>457</v>
      </c>
      <c r="AQ34" s="4" t="s">
        <v>721</v>
      </c>
      <c r="AR34" s="4"/>
      <c r="AS34" s="4"/>
      <c r="AT34" s="4" t="s">
        <v>699</v>
      </c>
      <c r="AU34" s="4">
        <v>689</v>
      </c>
      <c r="AV34" s="4">
        <f>IF(AR34="",AU34,AR34/AS34*AU34)</f>
        <v>689</v>
      </c>
      <c r="AW34" s="19">
        <v>4</v>
      </c>
      <c r="AX34" s="19">
        <v>8</v>
      </c>
      <c r="AY34" s="16">
        <v>5</v>
      </c>
      <c r="AZ34" t="s">
        <v>462</v>
      </c>
      <c r="BA34" t="str">
        <f t="shared" si="3"/>
        <v>-</v>
      </c>
      <c r="BB34">
        <v>80</v>
      </c>
      <c r="BC34">
        <f t="shared" si="4"/>
        <v>90</v>
      </c>
      <c r="BD34" t="s">
        <v>488</v>
      </c>
    </row>
    <row r="35" spans="1:56" x14ac:dyDescent="0.4">
      <c r="A35" s="3">
        <v>83</v>
      </c>
      <c r="B35" s="3">
        <v>83</v>
      </c>
      <c r="C35" s="4">
        <v>688486</v>
      </c>
      <c r="D35" s="4" t="str">
        <f>TEXT(C35,"000000")</f>
        <v>688486</v>
      </c>
      <c r="E35" s="4">
        <v>688486</v>
      </c>
      <c r="F35" s="4" t="s">
        <v>285</v>
      </c>
      <c r="G35" s="5">
        <v>4901881184444</v>
      </c>
      <c r="H35" s="5"/>
      <c r="I35" s="5"/>
      <c r="J35" s="5">
        <v>1</v>
      </c>
      <c r="K35" s="5">
        <v>1</v>
      </c>
      <c r="L35" s="4">
        <v>800</v>
      </c>
      <c r="M35" s="4">
        <v>658</v>
      </c>
      <c r="N35" s="4">
        <v>400</v>
      </c>
      <c r="O35" s="6">
        <f>IFERROR(1-N35/M35,"-")</f>
        <v>0.39209726443769</v>
      </c>
      <c r="P35" s="4" t="s">
        <v>462</v>
      </c>
      <c r="Q35" s="4" t="s">
        <v>462</v>
      </c>
      <c r="R35" s="4" t="s">
        <v>462</v>
      </c>
      <c r="S35" s="4">
        <v>90</v>
      </c>
      <c r="T35" s="4">
        <f>IF(W35="",S35,S35*W35)</f>
        <v>900</v>
      </c>
      <c r="U35" s="4">
        <v>45</v>
      </c>
      <c r="V35" s="4">
        <f>IF(W35="",U35,U35*W35)</f>
        <v>450</v>
      </c>
      <c r="W35" s="4">
        <v>10</v>
      </c>
      <c r="X35" s="21">
        <f>ROUND(M35*AL35,0)</f>
        <v>740</v>
      </c>
      <c r="Y35" s="6">
        <f>IFERROR(1-V35/X35,"-")</f>
        <v>0.39189189189189189</v>
      </c>
      <c r="Z35" s="33">
        <v>297.75</v>
      </c>
      <c r="AA35" s="4">
        <f>AV35</f>
        <v>723</v>
      </c>
      <c r="AB35" s="33">
        <f>IFERROR(AA35*AL35,"-")</f>
        <v>813.375</v>
      </c>
      <c r="AC35" s="6">
        <f>IFERROR(1-V35/AB35,"-")</f>
        <v>0.44674965421853385</v>
      </c>
      <c r="AD35" s="7">
        <v>740</v>
      </c>
      <c r="AE35" s="6">
        <f>1-V35/AD35</f>
        <v>0.39189189189189189</v>
      </c>
      <c r="AF35" s="4">
        <f>AD35-V35</f>
        <v>290</v>
      </c>
      <c r="AG35" s="28"/>
      <c r="AH35" s="6"/>
      <c r="AI35" s="6"/>
      <c r="AJ35" s="6">
        <f>IFERROR(T35/L35,"-")</f>
        <v>1.125</v>
      </c>
      <c r="AK35" s="6">
        <f>IFERROR(AD35/M35,"-")</f>
        <v>1.1246200607902737</v>
      </c>
      <c r="AL35" s="6">
        <f>IFERROR(V35/N35,"-")</f>
        <v>1.125</v>
      </c>
      <c r="AM35" s="4" t="str">
        <f t="shared" si="0"/>
        <v>-</v>
      </c>
      <c r="AN35" s="4" t="str">
        <f t="shared" si="1"/>
        <v>-</v>
      </c>
      <c r="AO35" s="4" t="str">
        <f t="shared" si="2"/>
        <v>-</v>
      </c>
      <c r="AP35" s="49" t="s">
        <v>457</v>
      </c>
      <c r="AQ35" s="4" t="s">
        <v>722</v>
      </c>
      <c r="AR35" s="4"/>
      <c r="AS35" s="4"/>
      <c r="AT35" s="4" t="s">
        <v>699</v>
      </c>
      <c r="AU35" s="4">
        <v>723</v>
      </c>
      <c r="AV35" s="4">
        <f>IF(AR35="",AU35,AR35/AS35*AU35)</f>
        <v>723</v>
      </c>
      <c r="AW35" s="19">
        <v>4</v>
      </c>
      <c r="AX35" s="19">
        <v>1</v>
      </c>
      <c r="AY35" s="16">
        <v>5</v>
      </c>
      <c r="AZ35" t="s">
        <v>462</v>
      </c>
      <c r="BA35" t="str">
        <f t="shared" si="3"/>
        <v>-</v>
      </c>
      <c r="BB35">
        <v>790</v>
      </c>
      <c r="BC35">
        <f t="shared" si="4"/>
        <v>888.75</v>
      </c>
      <c r="BD35" t="s">
        <v>489</v>
      </c>
    </row>
    <row r="36" spans="1:56" x14ac:dyDescent="0.4">
      <c r="A36" s="3">
        <v>80</v>
      </c>
      <c r="B36" s="3">
        <v>80</v>
      </c>
      <c r="C36" s="4">
        <v>688656</v>
      </c>
      <c r="D36" s="4" t="str">
        <f>TEXT(C36,"000000")</f>
        <v>688656</v>
      </c>
      <c r="E36" s="4">
        <v>688656</v>
      </c>
      <c r="F36" s="4" t="s">
        <v>282</v>
      </c>
      <c r="G36" s="5">
        <v>4901881184475</v>
      </c>
      <c r="H36" s="5"/>
      <c r="I36" s="5"/>
      <c r="J36" s="5">
        <v>1</v>
      </c>
      <c r="K36" s="5">
        <v>1</v>
      </c>
      <c r="L36" s="4">
        <v>800</v>
      </c>
      <c r="M36" s="4">
        <v>626</v>
      </c>
      <c r="N36" s="4">
        <v>400</v>
      </c>
      <c r="O36" s="6">
        <f>IFERROR(1-N36/M36,"-")</f>
        <v>0.36102236421725242</v>
      </c>
      <c r="P36" s="4" t="s">
        <v>462</v>
      </c>
      <c r="Q36" s="4" t="s">
        <v>462</v>
      </c>
      <c r="R36" s="4" t="s">
        <v>462</v>
      </c>
      <c r="S36" s="4">
        <v>90</v>
      </c>
      <c r="T36" s="4">
        <f>IF(W36="",S36,S36*W36)</f>
        <v>900</v>
      </c>
      <c r="U36" s="4">
        <v>45</v>
      </c>
      <c r="V36" s="4">
        <f>IF(W36="",U36,U36*W36)</f>
        <v>450</v>
      </c>
      <c r="W36" s="4">
        <v>10</v>
      </c>
      <c r="X36" s="21">
        <f>ROUND(M36*AL36,0)</f>
        <v>704</v>
      </c>
      <c r="Y36" s="6">
        <f>IFERROR(1-V36/X36,"-")</f>
        <v>0.36079545454545459</v>
      </c>
      <c r="Z36" s="33">
        <v>4.25</v>
      </c>
      <c r="AA36" s="4">
        <f>AV36</f>
        <v>689</v>
      </c>
      <c r="AB36" s="33">
        <f>IFERROR(AA36*AL36,"-")</f>
        <v>775.125</v>
      </c>
      <c r="AC36" s="6">
        <f>IFERROR(1-V36/AB36,"-")</f>
        <v>0.41944847605224966</v>
      </c>
      <c r="AD36" s="7">
        <v>740</v>
      </c>
      <c r="AE36" s="6">
        <f>1-V36/AD36</f>
        <v>0.39189189189189189</v>
      </c>
      <c r="AF36" s="4">
        <f>AD36-V36</f>
        <v>290</v>
      </c>
      <c r="AG36" s="28"/>
      <c r="AH36" s="6"/>
      <c r="AI36" s="6"/>
      <c r="AJ36" s="6">
        <f>IFERROR(T36/L36,"-")</f>
        <v>1.125</v>
      </c>
      <c r="AK36" s="6">
        <f>IFERROR(AD36/M36,"-")</f>
        <v>1.1821086261980831</v>
      </c>
      <c r="AL36" s="6">
        <f>IFERROR(V36/N36,"-")</f>
        <v>1.125</v>
      </c>
      <c r="AM36" s="4" t="str">
        <f t="shared" si="0"/>
        <v>-</v>
      </c>
      <c r="AN36" s="4" t="str">
        <f t="shared" si="1"/>
        <v>-</v>
      </c>
      <c r="AO36" s="4" t="str">
        <f t="shared" si="2"/>
        <v>-</v>
      </c>
      <c r="AP36" s="49" t="s">
        <v>457</v>
      </c>
      <c r="AQ36" s="4" t="s">
        <v>723</v>
      </c>
      <c r="AR36" s="4"/>
      <c r="AS36" s="4"/>
      <c r="AT36" s="4" t="s">
        <v>699</v>
      </c>
      <c r="AU36" s="4">
        <v>689</v>
      </c>
      <c r="AV36" s="4">
        <f>IF(AR36="",AU36,AR36/AS36*AU36)</f>
        <v>689</v>
      </c>
      <c r="AW36" s="19">
        <v>4</v>
      </c>
      <c r="AX36" s="19">
        <v>8</v>
      </c>
      <c r="AY36" s="16">
        <v>5</v>
      </c>
      <c r="AZ36" t="s">
        <v>462</v>
      </c>
      <c r="BA36" t="str">
        <f t="shared" si="3"/>
        <v>-</v>
      </c>
      <c r="BB36" t="s">
        <v>462</v>
      </c>
      <c r="BC36" t="str">
        <f t="shared" si="4"/>
        <v>-</v>
      </c>
      <c r="BD36" t="s">
        <v>490</v>
      </c>
    </row>
    <row r="37" spans="1:56" x14ac:dyDescent="0.4">
      <c r="A37" s="3">
        <v>81</v>
      </c>
      <c r="B37" s="3">
        <v>81</v>
      </c>
      <c r="C37" s="4">
        <v>688669</v>
      </c>
      <c r="D37" s="4" t="str">
        <f>TEXT(C37,"000000")</f>
        <v>688669</v>
      </c>
      <c r="E37" s="4">
        <v>688669</v>
      </c>
      <c r="F37" s="4" t="s">
        <v>283</v>
      </c>
      <c r="G37" s="5">
        <v>4901881184383</v>
      </c>
      <c r="H37" s="5"/>
      <c r="I37" s="5"/>
      <c r="J37" s="5">
        <v>1</v>
      </c>
      <c r="K37" s="5">
        <v>1</v>
      </c>
      <c r="L37" s="4">
        <v>800</v>
      </c>
      <c r="M37" s="4">
        <v>658</v>
      </c>
      <c r="N37" s="4">
        <v>400</v>
      </c>
      <c r="O37" s="6">
        <f>IFERROR(1-N37/M37,"-")</f>
        <v>0.39209726443769</v>
      </c>
      <c r="P37" s="4" t="s">
        <v>462</v>
      </c>
      <c r="Q37" s="4" t="s">
        <v>462</v>
      </c>
      <c r="R37" s="4" t="s">
        <v>462</v>
      </c>
      <c r="S37" s="4">
        <v>90</v>
      </c>
      <c r="T37" s="4">
        <f>IF(W37="",S37,S37*W37)</f>
        <v>900</v>
      </c>
      <c r="U37" s="4">
        <v>45</v>
      </c>
      <c r="V37" s="4">
        <f>IF(W37="",U37,U37*W37)</f>
        <v>450</v>
      </c>
      <c r="W37" s="4">
        <v>10</v>
      </c>
      <c r="X37" s="21">
        <f>ROUND(M37*AL37,0)</f>
        <v>740</v>
      </c>
      <c r="Y37" s="6">
        <f>IFERROR(1-V37/X37,"-")</f>
        <v>0.39189189189189189</v>
      </c>
      <c r="Z37" s="33">
        <v>343.75</v>
      </c>
      <c r="AA37" s="4">
        <f>AV37</f>
        <v>723</v>
      </c>
      <c r="AB37" s="33">
        <f>IFERROR(AA37*AL37,"-")</f>
        <v>813.375</v>
      </c>
      <c r="AC37" s="6">
        <f>IFERROR(1-V37/AB37,"-")</f>
        <v>0.44674965421853385</v>
      </c>
      <c r="AD37" s="7">
        <v>740</v>
      </c>
      <c r="AE37" s="6">
        <f>1-V37/AD37</f>
        <v>0.39189189189189189</v>
      </c>
      <c r="AF37" s="4">
        <f>AD37-V37</f>
        <v>290</v>
      </c>
      <c r="AG37" s="28"/>
      <c r="AH37" s="6"/>
      <c r="AI37" s="6"/>
      <c r="AJ37" s="6">
        <f>IFERROR(T37/L37,"-")</f>
        <v>1.125</v>
      </c>
      <c r="AK37" s="6">
        <f>IFERROR(AD37/M37,"-")</f>
        <v>1.1246200607902737</v>
      </c>
      <c r="AL37" s="6">
        <f>IFERROR(V37/N37,"-")</f>
        <v>1.125</v>
      </c>
      <c r="AM37" s="4" t="str">
        <f t="shared" si="0"/>
        <v>-</v>
      </c>
      <c r="AN37" s="4" t="str">
        <f t="shared" si="1"/>
        <v>-</v>
      </c>
      <c r="AO37" s="4" t="str">
        <f t="shared" si="2"/>
        <v>-</v>
      </c>
      <c r="AP37" s="49" t="s">
        <v>457</v>
      </c>
      <c r="AQ37" s="4" t="s">
        <v>724</v>
      </c>
      <c r="AR37" s="4"/>
      <c r="AS37" s="4"/>
      <c r="AT37" s="4" t="s">
        <v>699</v>
      </c>
      <c r="AU37" s="4">
        <v>723</v>
      </c>
      <c r="AV37" s="4">
        <f>IF(AR37="",AU37,AR37/AS37*AU37)</f>
        <v>723</v>
      </c>
      <c r="AW37" s="19">
        <v>4</v>
      </c>
      <c r="AX37" s="19">
        <v>1</v>
      </c>
      <c r="AY37" s="16">
        <v>5</v>
      </c>
      <c r="AZ37" t="s">
        <v>462</v>
      </c>
      <c r="BA37" t="str">
        <f t="shared" si="3"/>
        <v>-</v>
      </c>
      <c r="BB37">
        <v>726</v>
      </c>
      <c r="BC37">
        <f t="shared" si="4"/>
        <v>816.75</v>
      </c>
      <c r="BD37" t="s">
        <v>491</v>
      </c>
    </row>
    <row r="38" spans="1:56" x14ac:dyDescent="0.4">
      <c r="A38" s="3">
        <v>171</v>
      </c>
      <c r="B38" s="3">
        <v>171</v>
      </c>
      <c r="C38" s="4" t="s">
        <v>139</v>
      </c>
      <c r="D38" s="4" t="str">
        <f>TEXT(C38,"000000")</f>
        <v>J84841</v>
      </c>
      <c r="E38" s="4" t="s">
        <v>139</v>
      </c>
      <c r="F38" s="4" t="s">
        <v>373</v>
      </c>
      <c r="G38" s="5">
        <v>4901881180675</v>
      </c>
      <c r="H38" s="5"/>
      <c r="I38" s="5"/>
      <c r="J38" s="5">
        <v>1</v>
      </c>
      <c r="K38" s="5">
        <v>1</v>
      </c>
      <c r="L38" s="4">
        <v>800</v>
      </c>
      <c r="M38" s="4">
        <v>547</v>
      </c>
      <c r="N38" s="4">
        <v>400</v>
      </c>
      <c r="O38" s="6">
        <f>IFERROR(1-N38/M38,"-")</f>
        <v>0.26873857404021939</v>
      </c>
      <c r="P38" s="4" t="s">
        <v>462</v>
      </c>
      <c r="Q38" s="4" t="s">
        <v>462</v>
      </c>
      <c r="R38" s="4" t="s">
        <v>462</v>
      </c>
      <c r="S38" s="4">
        <v>90</v>
      </c>
      <c r="T38" s="4">
        <f>IF(W38="",S38,S38*W38)</f>
        <v>900</v>
      </c>
      <c r="U38" s="4">
        <v>45</v>
      </c>
      <c r="V38" s="4">
        <f>IF(W38="",U38,U38*W38)</f>
        <v>450</v>
      </c>
      <c r="W38" s="4">
        <v>10</v>
      </c>
      <c r="X38" s="21">
        <f>ROUND(M38*AL38,0)</f>
        <v>615</v>
      </c>
      <c r="Y38" s="6">
        <f>IFERROR(1-V38/X38,"-")</f>
        <v>0.26829268292682928</v>
      </c>
      <c r="Z38" s="33">
        <v>0</v>
      </c>
      <c r="AA38" s="4">
        <f>AV38</f>
        <v>347</v>
      </c>
      <c r="AB38" s="33">
        <f>IFERROR(AA38*AL38,"-")</f>
        <v>390.375</v>
      </c>
      <c r="AC38" s="6">
        <f>IFERROR(1-V38/AB38,"-")</f>
        <v>-0.1527377521613833</v>
      </c>
      <c r="AD38" s="7">
        <v>740</v>
      </c>
      <c r="AE38" s="6">
        <f>1-V38/AD38</f>
        <v>0.39189189189189189</v>
      </c>
      <c r="AF38" s="4">
        <f>AD38-V38</f>
        <v>290</v>
      </c>
      <c r="AG38" s="28"/>
      <c r="AH38" s="6"/>
      <c r="AI38" s="6"/>
      <c r="AJ38" s="6">
        <f>IFERROR(T38/L38,"-")</f>
        <v>1.125</v>
      </c>
      <c r="AK38" s="6">
        <f>IFERROR(AD38/M38,"-")</f>
        <v>1.3528336380255941</v>
      </c>
      <c r="AL38" s="6">
        <f>IFERROR(V38/N38,"-")</f>
        <v>1.125</v>
      </c>
      <c r="AM38" s="4" t="str">
        <f t="shared" si="0"/>
        <v>-</v>
      </c>
      <c r="AN38" s="4" t="str">
        <f t="shared" si="1"/>
        <v>-</v>
      </c>
      <c r="AO38" s="4" t="str">
        <f t="shared" si="2"/>
        <v>-</v>
      </c>
      <c r="AP38" s="4">
        <v>0</v>
      </c>
      <c r="AQ38" s="4" t="s">
        <v>725</v>
      </c>
      <c r="AR38" s="4"/>
      <c r="AS38" s="4"/>
      <c r="AT38" s="4" t="s">
        <v>699</v>
      </c>
      <c r="AU38" s="4">
        <v>347</v>
      </c>
      <c r="AV38" s="4">
        <f>IF(AR38="",AU38,AR38/AS38*AU38)</f>
        <v>347</v>
      </c>
      <c r="AW38" s="19">
        <v>4</v>
      </c>
      <c r="AX38" s="19">
        <v>8</v>
      </c>
      <c r="AY38" s="16">
        <v>5</v>
      </c>
      <c r="AZ38" t="s">
        <v>462</v>
      </c>
      <c r="BA38" t="str">
        <f t="shared" si="3"/>
        <v>-</v>
      </c>
      <c r="BB38" t="s">
        <v>462</v>
      </c>
      <c r="BC38" t="str">
        <f t="shared" si="4"/>
        <v>-</v>
      </c>
      <c r="BD38" t="s">
        <v>492</v>
      </c>
    </row>
    <row r="39" spans="1:56" x14ac:dyDescent="0.4">
      <c r="A39" s="3">
        <v>172</v>
      </c>
      <c r="B39" s="3">
        <v>172</v>
      </c>
      <c r="C39" s="4" t="s">
        <v>140</v>
      </c>
      <c r="D39" s="4" t="str">
        <f>TEXT(C39,"000000")</f>
        <v>J84842</v>
      </c>
      <c r="E39" s="4" t="s">
        <v>140</v>
      </c>
      <c r="F39" s="4" t="s">
        <v>374</v>
      </c>
      <c r="G39" s="5">
        <v>4901881180682</v>
      </c>
      <c r="H39" s="5"/>
      <c r="I39" s="5"/>
      <c r="J39" s="5">
        <v>1</v>
      </c>
      <c r="K39" s="5">
        <v>1</v>
      </c>
      <c r="L39" s="4">
        <v>800</v>
      </c>
      <c r="M39" s="4">
        <v>550</v>
      </c>
      <c r="N39" s="4">
        <v>400</v>
      </c>
      <c r="O39" s="6">
        <f>IFERROR(1-N39/M39,"-")</f>
        <v>0.27272727272727271</v>
      </c>
      <c r="P39" s="4" t="s">
        <v>462</v>
      </c>
      <c r="Q39" s="4" t="s">
        <v>462</v>
      </c>
      <c r="R39" s="4" t="s">
        <v>462</v>
      </c>
      <c r="S39" s="4">
        <v>90</v>
      </c>
      <c r="T39" s="4">
        <f>IF(W39="",S39,S39*W39)</f>
        <v>900</v>
      </c>
      <c r="U39" s="4">
        <v>45</v>
      </c>
      <c r="V39" s="4">
        <f>IF(W39="",U39,U39*W39)</f>
        <v>450</v>
      </c>
      <c r="W39" s="4">
        <v>10</v>
      </c>
      <c r="X39" s="21">
        <f>ROUND(M39*AL39,0)</f>
        <v>619</v>
      </c>
      <c r="Y39" s="6">
        <f>IFERROR(1-V39/X39,"-")</f>
        <v>0.27302100161550891</v>
      </c>
      <c r="Z39" s="33">
        <v>1.7500000000000002</v>
      </c>
      <c r="AA39" s="4">
        <f>AV39</f>
        <v>689</v>
      </c>
      <c r="AB39" s="33">
        <f>IFERROR(AA39*AL39,"-")</f>
        <v>775.125</v>
      </c>
      <c r="AC39" s="6">
        <f>IFERROR(1-V39/AB39,"-")</f>
        <v>0.41944847605224966</v>
      </c>
      <c r="AD39" s="7">
        <v>740</v>
      </c>
      <c r="AE39" s="6">
        <f>1-V39/AD39</f>
        <v>0.39189189189189189</v>
      </c>
      <c r="AF39" s="4">
        <f>AD39-V39</f>
        <v>290</v>
      </c>
      <c r="AG39" s="28"/>
      <c r="AH39" s="6"/>
      <c r="AI39" s="6"/>
      <c r="AJ39" s="6">
        <f>IFERROR(T39/L39,"-")</f>
        <v>1.125</v>
      </c>
      <c r="AK39" s="6">
        <f>IFERROR(AD39/M39,"-")</f>
        <v>1.3454545454545455</v>
      </c>
      <c r="AL39" s="6">
        <f>IFERROR(V39/N39,"-")</f>
        <v>1.125</v>
      </c>
      <c r="AM39" s="4" t="str">
        <f t="shared" si="0"/>
        <v>-</v>
      </c>
      <c r="AN39" s="4" t="str">
        <f t="shared" si="1"/>
        <v>-</v>
      </c>
      <c r="AO39" s="4" t="str">
        <f t="shared" si="2"/>
        <v>-</v>
      </c>
      <c r="AP39" s="4">
        <v>0</v>
      </c>
      <c r="AQ39" s="4" t="s">
        <v>726</v>
      </c>
      <c r="AR39" s="4"/>
      <c r="AS39" s="4"/>
      <c r="AT39" s="4" t="s">
        <v>699</v>
      </c>
      <c r="AU39" s="4">
        <v>689</v>
      </c>
      <c r="AV39" s="4">
        <f>IF(AR39="",AU39,AR39/AS39*AU39)</f>
        <v>689</v>
      </c>
      <c r="AW39" s="19">
        <v>4</v>
      </c>
      <c r="AX39" s="19">
        <v>8</v>
      </c>
      <c r="AY39" s="16">
        <v>5</v>
      </c>
      <c r="AZ39" t="s">
        <v>462</v>
      </c>
      <c r="BA39" t="str">
        <f t="shared" si="3"/>
        <v>-</v>
      </c>
      <c r="BB39" t="s">
        <v>462</v>
      </c>
      <c r="BC39" t="str">
        <f t="shared" si="4"/>
        <v>-</v>
      </c>
      <c r="BD39" t="s">
        <v>493</v>
      </c>
    </row>
    <row r="40" spans="1:56" x14ac:dyDescent="0.4">
      <c r="A40" s="3">
        <v>173</v>
      </c>
      <c r="B40" s="3">
        <v>173</v>
      </c>
      <c r="C40" s="4" t="s">
        <v>141</v>
      </c>
      <c r="D40" s="4" t="str">
        <f>TEXT(C40,"000000")</f>
        <v>J84843</v>
      </c>
      <c r="E40" s="4" t="s">
        <v>141</v>
      </c>
      <c r="F40" s="4" t="s">
        <v>375</v>
      </c>
      <c r="G40" s="5">
        <v>4901881180699</v>
      </c>
      <c r="H40" s="5"/>
      <c r="I40" s="5"/>
      <c r="J40" s="5">
        <v>1</v>
      </c>
      <c r="K40" s="5">
        <v>1</v>
      </c>
      <c r="L40" s="4">
        <v>800</v>
      </c>
      <c r="M40" s="4">
        <v>528</v>
      </c>
      <c r="N40" s="4">
        <v>400</v>
      </c>
      <c r="O40" s="6">
        <f>IFERROR(1-N40/M40,"-")</f>
        <v>0.24242424242424243</v>
      </c>
      <c r="P40" s="4" t="s">
        <v>462</v>
      </c>
      <c r="Q40" s="4" t="s">
        <v>462</v>
      </c>
      <c r="R40" s="4" t="s">
        <v>462</v>
      </c>
      <c r="S40" s="4">
        <v>90</v>
      </c>
      <c r="T40" s="4">
        <f>IF(W40="",S40,S40*W40)</f>
        <v>900</v>
      </c>
      <c r="U40" s="4">
        <v>45</v>
      </c>
      <c r="V40" s="4">
        <f>IF(W40="",U40,U40*W40)</f>
        <v>450</v>
      </c>
      <c r="W40" s="4">
        <v>10</v>
      </c>
      <c r="X40" s="21">
        <f>ROUND(M40*AL40,0)</f>
        <v>594</v>
      </c>
      <c r="Y40" s="6">
        <f>IFERROR(1-V40/X40,"-")</f>
        <v>0.24242424242424243</v>
      </c>
      <c r="Z40" s="33">
        <v>3.25</v>
      </c>
      <c r="AA40" s="4">
        <f>AV40</f>
        <v>800</v>
      </c>
      <c r="AB40" s="33">
        <f>IFERROR(AA40*AL40,"-")</f>
        <v>900</v>
      </c>
      <c r="AC40" s="6">
        <f>IFERROR(1-V40/AB40,"-")</f>
        <v>0.5</v>
      </c>
      <c r="AD40" s="7">
        <v>740</v>
      </c>
      <c r="AE40" s="6">
        <f>1-V40/AD40</f>
        <v>0.39189189189189189</v>
      </c>
      <c r="AF40" s="4">
        <f>AD40-V40</f>
        <v>290</v>
      </c>
      <c r="AG40" s="28"/>
      <c r="AH40" s="6"/>
      <c r="AI40" s="6"/>
      <c r="AJ40" s="6">
        <f>IFERROR(T40/L40,"-")</f>
        <v>1.125</v>
      </c>
      <c r="AK40" s="6">
        <f>IFERROR(AD40/M40,"-")</f>
        <v>1.4015151515151516</v>
      </c>
      <c r="AL40" s="6">
        <f>IFERROR(V40/N40,"-")</f>
        <v>1.125</v>
      </c>
      <c r="AM40" s="4" t="str">
        <f t="shared" si="0"/>
        <v>-</v>
      </c>
      <c r="AN40" s="4" t="str">
        <f t="shared" si="1"/>
        <v>-</v>
      </c>
      <c r="AO40" s="4" t="str">
        <f t="shared" si="2"/>
        <v>-</v>
      </c>
      <c r="AP40" s="4">
        <v>0</v>
      </c>
      <c r="AQ40" s="4" t="s">
        <v>727</v>
      </c>
      <c r="AR40" s="4"/>
      <c r="AS40" s="4"/>
      <c r="AT40" s="4" t="s">
        <v>699</v>
      </c>
      <c r="AU40" s="4">
        <v>800</v>
      </c>
      <c r="AV40" s="4">
        <f>IF(AR40="",AU40,AR40/AS40*AU40)</f>
        <v>800</v>
      </c>
      <c r="AW40" s="19">
        <v>4</v>
      </c>
      <c r="AX40" s="19">
        <v>8</v>
      </c>
      <c r="AY40" s="16">
        <v>5</v>
      </c>
      <c r="AZ40" t="s">
        <v>462</v>
      </c>
      <c r="BA40" t="str">
        <f t="shared" si="3"/>
        <v>-</v>
      </c>
      <c r="BB40" t="s">
        <v>462</v>
      </c>
      <c r="BC40" t="str">
        <f t="shared" si="4"/>
        <v>-</v>
      </c>
      <c r="BD40" t="s">
        <v>494</v>
      </c>
    </row>
    <row r="41" spans="1:56" x14ac:dyDescent="0.4">
      <c r="A41" s="3">
        <v>174</v>
      </c>
      <c r="B41" s="3">
        <v>174</v>
      </c>
      <c r="C41" s="4" t="s">
        <v>142</v>
      </c>
      <c r="D41" s="4" t="str">
        <f>TEXT(C41,"000000")</f>
        <v>J84844</v>
      </c>
      <c r="E41" s="4" t="s">
        <v>142</v>
      </c>
      <c r="F41" s="4" t="s">
        <v>376</v>
      </c>
      <c r="G41" s="5">
        <v>4901881180705</v>
      </c>
      <c r="H41" s="5"/>
      <c r="I41" s="5"/>
      <c r="J41" s="5">
        <v>1</v>
      </c>
      <c r="K41" s="5">
        <v>1</v>
      </c>
      <c r="L41" s="4">
        <v>800</v>
      </c>
      <c r="M41" s="4">
        <v>608</v>
      </c>
      <c r="N41" s="4">
        <v>400</v>
      </c>
      <c r="O41" s="6">
        <f>IFERROR(1-N41/M41,"-")</f>
        <v>0.34210526315789469</v>
      </c>
      <c r="P41" s="4" t="s">
        <v>462</v>
      </c>
      <c r="Q41" s="4" t="s">
        <v>462</v>
      </c>
      <c r="R41" s="4" t="s">
        <v>462</v>
      </c>
      <c r="S41" s="4">
        <v>90</v>
      </c>
      <c r="T41" s="4">
        <f>IF(W41="",S41,S41*W41)</f>
        <v>900</v>
      </c>
      <c r="U41" s="4">
        <v>45</v>
      </c>
      <c r="V41" s="4">
        <f>IF(W41="",U41,U41*W41)</f>
        <v>450</v>
      </c>
      <c r="W41" s="4">
        <v>10</v>
      </c>
      <c r="X41" s="21">
        <f>ROUND(M41*AL41,0)</f>
        <v>684</v>
      </c>
      <c r="Y41" s="6">
        <f>IFERROR(1-V41/X41,"-")</f>
        <v>0.34210526315789469</v>
      </c>
      <c r="Z41" s="33">
        <v>1.5</v>
      </c>
      <c r="AA41" s="4">
        <f>AV41</f>
        <v>689</v>
      </c>
      <c r="AB41" s="33">
        <f>IFERROR(AA41*AL41,"-")</f>
        <v>775.125</v>
      </c>
      <c r="AC41" s="6">
        <f>IFERROR(1-V41/AB41,"-")</f>
        <v>0.41944847605224966</v>
      </c>
      <c r="AD41" s="7">
        <v>740</v>
      </c>
      <c r="AE41" s="6">
        <f>1-V41/AD41</f>
        <v>0.39189189189189189</v>
      </c>
      <c r="AF41" s="4">
        <f>AD41-V41</f>
        <v>290</v>
      </c>
      <c r="AG41" s="28"/>
      <c r="AH41" s="6"/>
      <c r="AI41" s="6"/>
      <c r="AJ41" s="6">
        <f>IFERROR(T41/L41,"-")</f>
        <v>1.125</v>
      </c>
      <c r="AK41" s="6">
        <f>IFERROR(AD41/M41,"-")</f>
        <v>1.2171052631578947</v>
      </c>
      <c r="AL41" s="6">
        <f>IFERROR(V41/N41,"-")</f>
        <v>1.125</v>
      </c>
      <c r="AM41" s="4" t="str">
        <f t="shared" si="0"/>
        <v>-</v>
      </c>
      <c r="AN41" s="4" t="str">
        <f t="shared" si="1"/>
        <v>-</v>
      </c>
      <c r="AO41" s="4" t="str">
        <f t="shared" si="2"/>
        <v>-</v>
      </c>
      <c r="AP41" s="4">
        <v>0</v>
      </c>
      <c r="AQ41" s="4" t="s">
        <v>728</v>
      </c>
      <c r="AR41" s="4"/>
      <c r="AS41" s="4"/>
      <c r="AT41" s="4" t="s">
        <v>699</v>
      </c>
      <c r="AU41" s="4">
        <v>689</v>
      </c>
      <c r="AV41" s="4">
        <f>IF(AR41="",AU41,AR41/AS41*AU41)</f>
        <v>689</v>
      </c>
      <c r="AW41" s="19">
        <v>4</v>
      </c>
      <c r="AX41" s="19">
        <v>8</v>
      </c>
      <c r="AY41" s="16">
        <v>5</v>
      </c>
      <c r="AZ41" t="s">
        <v>462</v>
      </c>
      <c r="BA41" t="str">
        <f t="shared" si="3"/>
        <v>-</v>
      </c>
      <c r="BB41" t="s">
        <v>462</v>
      </c>
      <c r="BC41" t="str">
        <f t="shared" si="4"/>
        <v>-</v>
      </c>
      <c r="BD41" t="s">
        <v>495</v>
      </c>
    </row>
    <row r="42" spans="1:56" x14ac:dyDescent="0.4">
      <c r="A42" s="3">
        <v>175</v>
      </c>
      <c r="B42" s="3">
        <v>175</v>
      </c>
      <c r="C42" s="4" t="s">
        <v>143</v>
      </c>
      <c r="D42" s="4" t="str">
        <f>TEXT(C42,"000000")</f>
        <v>J84845</v>
      </c>
      <c r="E42" s="4" t="s">
        <v>143</v>
      </c>
      <c r="F42" s="4" t="s">
        <v>377</v>
      </c>
      <c r="G42" s="5">
        <v>4901881180712</v>
      </c>
      <c r="H42" s="5"/>
      <c r="I42" s="5"/>
      <c r="J42" s="5">
        <v>1</v>
      </c>
      <c r="K42" s="5">
        <v>1</v>
      </c>
      <c r="L42" s="4">
        <v>800</v>
      </c>
      <c r="M42" s="4">
        <v>596</v>
      </c>
      <c r="N42" s="4">
        <v>400</v>
      </c>
      <c r="O42" s="6">
        <f>IFERROR(1-N42/M42,"-")</f>
        <v>0.32885906040268453</v>
      </c>
      <c r="P42" s="4" t="s">
        <v>462</v>
      </c>
      <c r="Q42" s="4" t="s">
        <v>462</v>
      </c>
      <c r="R42" s="4" t="s">
        <v>462</v>
      </c>
      <c r="S42" s="4">
        <v>90</v>
      </c>
      <c r="T42" s="4">
        <f>IF(W42="",S42,S42*W42)</f>
        <v>900</v>
      </c>
      <c r="U42" s="4">
        <v>45</v>
      </c>
      <c r="V42" s="4">
        <f>IF(W42="",U42,U42*W42)</f>
        <v>450</v>
      </c>
      <c r="W42" s="4">
        <v>10</v>
      </c>
      <c r="X42" s="21">
        <f>ROUND(M42*AL42,0)</f>
        <v>671</v>
      </c>
      <c r="Y42" s="6">
        <f>IFERROR(1-V42/X42,"-")</f>
        <v>0.3293591654247392</v>
      </c>
      <c r="Z42" s="33">
        <v>1</v>
      </c>
      <c r="AA42" s="4">
        <f>AV42</f>
        <v>689</v>
      </c>
      <c r="AB42" s="33">
        <f>IFERROR(AA42*AL42,"-")</f>
        <v>775.125</v>
      </c>
      <c r="AC42" s="6">
        <f>IFERROR(1-V42/AB42,"-")</f>
        <v>0.41944847605224966</v>
      </c>
      <c r="AD42" s="7">
        <v>740</v>
      </c>
      <c r="AE42" s="6">
        <f>1-V42/AD42</f>
        <v>0.39189189189189189</v>
      </c>
      <c r="AF42" s="4">
        <f>AD42-V42</f>
        <v>290</v>
      </c>
      <c r="AG42" s="28"/>
      <c r="AH42" s="6"/>
      <c r="AI42" s="6"/>
      <c r="AJ42" s="6">
        <f>IFERROR(T42/L42,"-")</f>
        <v>1.125</v>
      </c>
      <c r="AK42" s="6">
        <f>IFERROR(AD42/M42,"-")</f>
        <v>1.2416107382550337</v>
      </c>
      <c r="AL42" s="6">
        <f>IFERROR(V42/N42,"-")</f>
        <v>1.125</v>
      </c>
      <c r="AM42" s="4" t="str">
        <f t="shared" si="0"/>
        <v>-</v>
      </c>
      <c r="AN42" s="4" t="str">
        <f t="shared" si="1"/>
        <v>-</v>
      </c>
      <c r="AO42" s="4" t="str">
        <f t="shared" si="2"/>
        <v>-</v>
      </c>
      <c r="AP42" s="4">
        <v>0</v>
      </c>
      <c r="AQ42" s="4" t="s">
        <v>729</v>
      </c>
      <c r="AR42" s="4"/>
      <c r="AS42" s="4"/>
      <c r="AT42" s="4" t="s">
        <v>699</v>
      </c>
      <c r="AU42" s="4">
        <v>689</v>
      </c>
      <c r="AV42" s="4">
        <f>IF(AR42="",AU42,AR42/AS42*AU42)</f>
        <v>689</v>
      </c>
      <c r="AW42" s="19">
        <v>4</v>
      </c>
      <c r="AX42" s="19">
        <v>8</v>
      </c>
      <c r="AY42" s="16">
        <v>5</v>
      </c>
      <c r="AZ42" t="s">
        <v>462</v>
      </c>
      <c r="BA42" t="str">
        <f t="shared" si="3"/>
        <v>-</v>
      </c>
      <c r="BB42" t="s">
        <v>462</v>
      </c>
      <c r="BC42" t="str">
        <f t="shared" si="4"/>
        <v>-</v>
      </c>
      <c r="BD42" t="s">
        <v>496</v>
      </c>
    </row>
    <row r="43" spans="1:56" x14ac:dyDescent="0.4">
      <c r="A43" s="3">
        <v>176</v>
      </c>
      <c r="B43" s="3">
        <v>176</v>
      </c>
      <c r="C43" s="4" t="s">
        <v>144</v>
      </c>
      <c r="D43" s="4" t="str">
        <f>TEXT(C43,"000000")</f>
        <v>J84846</v>
      </c>
      <c r="E43" s="4" t="s">
        <v>144</v>
      </c>
      <c r="F43" s="4" t="s">
        <v>378</v>
      </c>
      <c r="G43" s="5">
        <v>4901881180729</v>
      </c>
      <c r="H43" s="5"/>
      <c r="I43" s="5"/>
      <c r="J43" s="5">
        <v>1</v>
      </c>
      <c r="K43" s="5">
        <v>1</v>
      </c>
      <c r="L43" s="4">
        <v>800</v>
      </c>
      <c r="M43" s="4">
        <v>527</v>
      </c>
      <c r="N43" s="4">
        <v>400</v>
      </c>
      <c r="O43" s="6">
        <f>IFERROR(1-N43/M43,"-")</f>
        <v>0.24098671726755216</v>
      </c>
      <c r="P43" s="4" t="s">
        <v>462</v>
      </c>
      <c r="Q43" s="4" t="s">
        <v>462</v>
      </c>
      <c r="R43" s="4" t="s">
        <v>462</v>
      </c>
      <c r="S43" s="4">
        <v>90</v>
      </c>
      <c r="T43" s="4">
        <f>IF(W43="",S43,S43*W43)</f>
        <v>900</v>
      </c>
      <c r="U43" s="4">
        <v>45</v>
      </c>
      <c r="V43" s="4">
        <f>IF(W43="",U43,U43*W43)</f>
        <v>450</v>
      </c>
      <c r="W43" s="4">
        <v>10</v>
      </c>
      <c r="X43" s="21">
        <f>ROUND(M43*AL43,0)</f>
        <v>593</v>
      </c>
      <c r="Y43" s="6">
        <f>IFERROR(1-V43/X43,"-")</f>
        <v>0.24114671163575041</v>
      </c>
      <c r="Z43" s="33">
        <v>3.5000000000000004</v>
      </c>
      <c r="AA43" s="4">
        <f>AV43</f>
        <v>692</v>
      </c>
      <c r="AB43" s="33">
        <f>IFERROR(AA43*AL43,"-")</f>
        <v>778.5</v>
      </c>
      <c r="AC43" s="6">
        <f>IFERROR(1-V43/AB43,"-")</f>
        <v>0.4219653179190751</v>
      </c>
      <c r="AD43" s="7">
        <v>740</v>
      </c>
      <c r="AE43" s="6">
        <f>1-V43/AD43</f>
        <v>0.39189189189189189</v>
      </c>
      <c r="AF43" s="4">
        <f>AD43-V43</f>
        <v>290</v>
      </c>
      <c r="AG43" s="28"/>
      <c r="AH43" s="6"/>
      <c r="AI43" s="6"/>
      <c r="AJ43" s="6">
        <f>IFERROR(T43/L43,"-")</f>
        <v>1.125</v>
      </c>
      <c r="AK43" s="6">
        <f>IFERROR(AD43/M43,"-")</f>
        <v>1.4041745730550284</v>
      </c>
      <c r="AL43" s="6">
        <f>IFERROR(V43/N43,"-")</f>
        <v>1.125</v>
      </c>
      <c r="AM43" s="4" t="str">
        <f t="shared" si="0"/>
        <v>-</v>
      </c>
      <c r="AN43" s="4" t="str">
        <f t="shared" si="1"/>
        <v>-</v>
      </c>
      <c r="AO43" s="4" t="str">
        <f t="shared" si="2"/>
        <v>-</v>
      </c>
      <c r="AP43" s="4">
        <v>0</v>
      </c>
      <c r="AQ43" s="4" t="s">
        <v>730</v>
      </c>
      <c r="AR43" s="4"/>
      <c r="AS43" s="4"/>
      <c r="AT43" s="4" t="s">
        <v>699</v>
      </c>
      <c r="AU43" s="4">
        <v>692</v>
      </c>
      <c r="AV43" s="4">
        <f>IF(AR43="",AU43,AR43/AS43*AU43)</f>
        <v>692</v>
      </c>
      <c r="AW43" s="19">
        <v>4</v>
      </c>
      <c r="AX43" s="19">
        <v>8</v>
      </c>
      <c r="AY43" s="16">
        <v>5</v>
      </c>
      <c r="AZ43" t="s">
        <v>462</v>
      </c>
      <c r="BA43" t="str">
        <f t="shared" si="3"/>
        <v>-</v>
      </c>
      <c r="BB43" t="s">
        <v>462</v>
      </c>
      <c r="BC43" t="str">
        <f t="shared" si="4"/>
        <v>-</v>
      </c>
      <c r="BD43" t="s">
        <v>497</v>
      </c>
    </row>
    <row r="44" spans="1:56" x14ac:dyDescent="0.4">
      <c r="A44" s="3">
        <v>177</v>
      </c>
      <c r="B44" s="3">
        <v>177</v>
      </c>
      <c r="C44" s="4" t="s">
        <v>145</v>
      </c>
      <c r="D44" s="4" t="str">
        <f>TEXT(C44,"000000")</f>
        <v>J84847</v>
      </c>
      <c r="E44" s="4" t="s">
        <v>145</v>
      </c>
      <c r="F44" s="4" t="s">
        <v>379</v>
      </c>
      <c r="G44" s="5">
        <v>4901881180736</v>
      </c>
      <c r="H44" s="5"/>
      <c r="I44" s="5"/>
      <c r="J44" s="5">
        <v>1</v>
      </c>
      <c r="K44" s="5">
        <v>1</v>
      </c>
      <c r="L44" s="4">
        <v>800</v>
      </c>
      <c r="M44" s="4">
        <v>574</v>
      </c>
      <c r="N44" s="4">
        <v>400</v>
      </c>
      <c r="O44" s="6">
        <f>IFERROR(1-N44/M44,"-")</f>
        <v>0.30313588850174211</v>
      </c>
      <c r="P44" s="4" t="s">
        <v>462</v>
      </c>
      <c r="Q44" s="4" t="s">
        <v>462</v>
      </c>
      <c r="R44" s="4" t="s">
        <v>462</v>
      </c>
      <c r="S44" s="4">
        <v>90</v>
      </c>
      <c r="T44" s="4">
        <f>IF(W44="",S44,S44*W44)</f>
        <v>900</v>
      </c>
      <c r="U44" s="4">
        <v>45</v>
      </c>
      <c r="V44" s="4">
        <f>IF(W44="",U44,U44*W44)</f>
        <v>450</v>
      </c>
      <c r="W44" s="4">
        <v>10</v>
      </c>
      <c r="X44" s="21">
        <f>ROUND(M44*AL44,0)</f>
        <v>646</v>
      </c>
      <c r="Y44" s="6">
        <f>IFERROR(1-V44/X44,"-")</f>
        <v>0.30340557275541791</v>
      </c>
      <c r="Z44" s="33">
        <v>1.5</v>
      </c>
      <c r="AA44" s="4">
        <f>AV44</f>
        <v>800</v>
      </c>
      <c r="AB44" s="33">
        <f>IFERROR(AA44*AL44,"-")</f>
        <v>900</v>
      </c>
      <c r="AC44" s="6">
        <f>IFERROR(1-V44/AB44,"-")</f>
        <v>0.5</v>
      </c>
      <c r="AD44" s="7">
        <v>740</v>
      </c>
      <c r="AE44" s="6">
        <f>1-V44/AD44</f>
        <v>0.39189189189189189</v>
      </c>
      <c r="AF44" s="4">
        <f>AD44-V44</f>
        <v>290</v>
      </c>
      <c r="AG44" s="28"/>
      <c r="AH44" s="6"/>
      <c r="AI44" s="6"/>
      <c r="AJ44" s="6">
        <f>IFERROR(T44/L44,"-")</f>
        <v>1.125</v>
      </c>
      <c r="AK44" s="6">
        <f>IFERROR(AD44/M44,"-")</f>
        <v>1.2891986062717771</v>
      </c>
      <c r="AL44" s="6">
        <f>IFERROR(V44/N44,"-")</f>
        <v>1.125</v>
      </c>
      <c r="AM44" s="4" t="str">
        <f t="shared" si="0"/>
        <v>-</v>
      </c>
      <c r="AN44" s="4" t="str">
        <f t="shared" si="1"/>
        <v>-</v>
      </c>
      <c r="AO44" s="4" t="str">
        <f t="shared" si="2"/>
        <v>-</v>
      </c>
      <c r="AP44" s="4">
        <v>0</v>
      </c>
      <c r="AQ44" s="4" t="s">
        <v>731</v>
      </c>
      <c r="AR44" s="4"/>
      <c r="AS44" s="4"/>
      <c r="AT44" s="4" t="s">
        <v>699</v>
      </c>
      <c r="AU44" s="4">
        <v>800</v>
      </c>
      <c r="AV44" s="4">
        <f>IF(AR44="",AU44,AR44/AS44*AU44)</f>
        <v>800</v>
      </c>
      <c r="AW44" s="19">
        <v>4</v>
      </c>
      <c r="AX44" s="19">
        <v>8</v>
      </c>
      <c r="AY44" s="16">
        <v>5</v>
      </c>
      <c r="AZ44" t="s">
        <v>462</v>
      </c>
      <c r="BA44" t="str">
        <f t="shared" si="3"/>
        <v>-</v>
      </c>
      <c r="BB44" t="s">
        <v>462</v>
      </c>
      <c r="BC44" t="str">
        <f t="shared" si="4"/>
        <v>-</v>
      </c>
      <c r="BD44" t="s">
        <v>498</v>
      </c>
    </row>
    <row r="45" spans="1:56" x14ac:dyDescent="0.4">
      <c r="A45" s="3">
        <v>178</v>
      </c>
      <c r="B45" s="3">
        <v>178</v>
      </c>
      <c r="C45" s="4" t="s">
        <v>146</v>
      </c>
      <c r="D45" s="4" t="str">
        <f>TEXT(C45,"000000")</f>
        <v>J84848</v>
      </c>
      <c r="E45" s="4" t="s">
        <v>146</v>
      </c>
      <c r="F45" s="4" t="s">
        <v>380</v>
      </c>
      <c r="G45" s="5">
        <v>4901881180743</v>
      </c>
      <c r="H45" s="5"/>
      <c r="I45" s="5"/>
      <c r="J45" s="5">
        <v>1</v>
      </c>
      <c r="K45" s="5">
        <v>1</v>
      </c>
      <c r="L45" s="4">
        <v>800</v>
      </c>
      <c r="M45" s="4">
        <v>619</v>
      </c>
      <c r="N45" s="4">
        <v>400</v>
      </c>
      <c r="O45" s="6">
        <f>IFERROR(1-N45/M45,"-")</f>
        <v>0.35379644588045234</v>
      </c>
      <c r="P45" s="4" t="s">
        <v>462</v>
      </c>
      <c r="Q45" s="4" t="s">
        <v>462</v>
      </c>
      <c r="R45" s="4" t="s">
        <v>462</v>
      </c>
      <c r="S45" s="4">
        <v>90</v>
      </c>
      <c r="T45" s="4">
        <f>IF(W45="",S45,S45*W45)</f>
        <v>900</v>
      </c>
      <c r="U45" s="4">
        <v>45</v>
      </c>
      <c r="V45" s="4">
        <f>IF(W45="",U45,U45*W45)</f>
        <v>450</v>
      </c>
      <c r="W45" s="4">
        <v>10</v>
      </c>
      <c r="X45" s="21">
        <f>ROUND(M45*AL45,0)</f>
        <v>696</v>
      </c>
      <c r="Y45" s="6">
        <f>IFERROR(1-V45/X45,"-")</f>
        <v>0.35344827586206895</v>
      </c>
      <c r="Z45" s="33">
        <v>2.25</v>
      </c>
      <c r="AA45" s="4">
        <f>AV45</f>
        <v>800</v>
      </c>
      <c r="AB45" s="33">
        <f>IFERROR(AA45*AL45,"-")</f>
        <v>900</v>
      </c>
      <c r="AC45" s="6">
        <f>IFERROR(1-V45/AB45,"-")</f>
        <v>0.5</v>
      </c>
      <c r="AD45" s="7">
        <v>740</v>
      </c>
      <c r="AE45" s="6">
        <f>1-V45/AD45</f>
        <v>0.39189189189189189</v>
      </c>
      <c r="AF45" s="4">
        <f>AD45-V45</f>
        <v>290</v>
      </c>
      <c r="AG45" s="28"/>
      <c r="AH45" s="6"/>
      <c r="AI45" s="6"/>
      <c r="AJ45" s="6">
        <f>IFERROR(T45/L45,"-")</f>
        <v>1.125</v>
      </c>
      <c r="AK45" s="6">
        <f>IFERROR(AD45/M45,"-")</f>
        <v>1.1954765751211631</v>
      </c>
      <c r="AL45" s="6">
        <f>IFERROR(V45/N45,"-")</f>
        <v>1.125</v>
      </c>
      <c r="AM45" s="4" t="str">
        <f t="shared" si="0"/>
        <v>-</v>
      </c>
      <c r="AN45" s="4" t="str">
        <f t="shared" si="1"/>
        <v>-</v>
      </c>
      <c r="AO45" s="4" t="str">
        <f t="shared" si="2"/>
        <v>-</v>
      </c>
      <c r="AP45" s="4">
        <v>0</v>
      </c>
      <c r="AQ45" s="4" t="s">
        <v>732</v>
      </c>
      <c r="AR45" s="4"/>
      <c r="AS45" s="4"/>
      <c r="AT45" s="4" t="s">
        <v>699</v>
      </c>
      <c r="AU45" s="4">
        <v>800</v>
      </c>
      <c r="AV45" s="4">
        <f>IF(AR45="",AU45,AR45/AS45*AU45)</f>
        <v>800</v>
      </c>
      <c r="AW45" s="19">
        <v>4</v>
      </c>
      <c r="AX45" s="19">
        <v>8</v>
      </c>
      <c r="AY45" s="16">
        <v>5</v>
      </c>
      <c r="AZ45" t="s">
        <v>462</v>
      </c>
      <c r="BA45" t="str">
        <f t="shared" si="3"/>
        <v>-</v>
      </c>
      <c r="BB45" t="s">
        <v>462</v>
      </c>
      <c r="BC45" t="str">
        <f t="shared" si="4"/>
        <v>-</v>
      </c>
      <c r="BD45" t="s">
        <v>499</v>
      </c>
    </row>
    <row r="46" spans="1:56" x14ac:dyDescent="0.4">
      <c r="A46" s="3">
        <v>179</v>
      </c>
      <c r="B46" s="3">
        <v>179</v>
      </c>
      <c r="C46" s="4" t="s">
        <v>147</v>
      </c>
      <c r="D46" s="4" t="str">
        <f>TEXT(C46,"000000")</f>
        <v>J84849</v>
      </c>
      <c r="E46" s="4" t="s">
        <v>147</v>
      </c>
      <c r="F46" s="4" t="s">
        <v>381</v>
      </c>
      <c r="G46" s="5">
        <v>4901881180767</v>
      </c>
      <c r="H46" s="5"/>
      <c r="I46" s="5"/>
      <c r="J46" s="5">
        <v>1</v>
      </c>
      <c r="K46" s="5">
        <v>1</v>
      </c>
      <c r="L46" s="4">
        <v>800</v>
      </c>
      <c r="M46" s="4">
        <v>608</v>
      </c>
      <c r="N46" s="4">
        <v>400</v>
      </c>
      <c r="O46" s="6">
        <f>IFERROR(1-N46/M46,"-")</f>
        <v>0.34210526315789469</v>
      </c>
      <c r="P46" s="4" t="s">
        <v>462</v>
      </c>
      <c r="Q46" s="4" t="s">
        <v>462</v>
      </c>
      <c r="R46" s="4" t="s">
        <v>462</v>
      </c>
      <c r="S46" s="4">
        <v>90</v>
      </c>
      <c r="T46" s="4">
        <f>IF(W46="",S46,S46*W46)</f>
        <v>900</v>
      </c>
      <c r="U46" s="4">
        <v>45</v>
      </c>
      <c r="V46" s="4">
        <f>IF(W46="",U46,U46*W46)</f>
        <v>450</v>
      </c>
      <c r="W46" s="4">
        <v>10</v>
      </c>
      <c r="X46" s="21">
        <f>ROUND(M46*AL46,0)</f>
        <v>684</v>
      </c>
      <c r="Y46" s="6">
        <f>IFERROR(1-V46/X46,"-")</f>
        <v>0.34210526315789469</v>
      </c>
      <c r="Z46" s="33">
        <v>2.75</v>
      </c>
      <c r="AA46" s="4">
        <f>AV46</f>
        <v>723</v>
      </c>
      <c r="AB46" s="33">
        <f>IFERROR(AA46*AL46,"-")</f>
        <v>813.375</v>
      </c>
      <c r="AC46" s="6">
        <f>IFERROR(1-V46/AB46,"-")</f>
        <v>0.44674965421853385</v>
      </c>
      <c r="AD46" s="7">
        <v>740</v>
      </c>
      <c r="AE46" s="6">
        <f>1-V46/AD46</f>
        <v>0.39189189189189189</v>
      </c>
      <c r="AF46" s="4">
        <f>AD46-V46</f>
        <v>290</v>
      </c>
      <c r="AG46" s="28"/>
      <c r="AH46" s="6"/>
      <c r="AI46" s="6"/>
      <c r="AJ46" s="6">
        <f>IFERROR(T46/L46,"-")</f>
        <v>1.125</v>
      </c>
      <c r="AK46" s="6">
        <f>IFERROR(AD46/M46,"-")</f>
        <v>1.2171052631578947</v>
      </c>
      <c r="AL46" s="6">
        <f>IFERROR(V46/N46,"-")</f>
        <v>1.125</v>
      </c>
      <c r="AM46" s="4" t="str">
        <f t="shared" si="0"/>
        <v>-</v>
      </c>
      <c r="AN46" s="4" t="str">
        <f t="shared" si="1"/>
        <v>-</v>
      </c>
      <c r="AO46" s="4" t="str">
        <f t="shared" si="2"/>
        <v>-</v>
      </c>
      <c r="AP46" s="4">
        <v>0</v>
      </c>
      <c r="AQ46" s="4" t="s">
        <v>733</v>
      </c>
      <c r="AR46" s="4"/>
      <c r="AS46" s="4"/>
      <c r="AT46" s="4" t="s">
        <v>699</v>
      </c>
      <c r="AU46" s="4">
        <v>723</v>
      </c>
      <c r="AV46" s="4">
        <f>IF(AR46="",AU46,AR46/AS46*AU46)</f>
        <v>723</v>
      </c>
      <c r="AW46" s="19">
        <v>4</v>
      </c>
      <c r="AX46" s="19">
        <v>8</v>
      </c>
      <c r="AY46" s="16">
        <v>5</v>
      </c>
      <c r="AZ46" t="s">
        <v>462</v>
      </c>
      <c r="BA46" t="str">
        <f t="shared" si="3"/>
        <v>-</v>
      </c>
      <c r="BB46" t="s">
        <v>462</v>
      </c>
      <c r="BC46" t="str">
        <f t="shared" si="4"/>
        <v>-</v>
      </c>
      <c r="BD46" t="s">
        <v>500</v>
      </c>
    </row>
    <row r="47" spans="1:56" x14ac:dyDescent="0.4">
      <c r="A47" s="3">
        <v>180</v>
      </c>
      <c r="B47" s="3">
        <v>180</v>
      </c>
      <c r="C47" s="4" t="s">
        <v>148</v>
      </c>
      <c r="D47" s="4" t="str">
        <f>TEXT(C47,"000000")</f>
        <v>J84850</v>
      </c>
      <c r="E47" s="4" t="s">
        <v>148</v>
      </c>
      <c r="F47" s="4" t="s">
        <v>382</v>
      </c>
      <c r="G47" s="5">
        <v>4901881180781</v>
      </c>
      <c r="H47" s="5"/>
      <c r="I47" s="5"/>
      <c r="J47" s="5">
        <v>1</v>
      </c>
      <c r="K47" s="5">
        <v>1</v>
      </c>
      <c r="L47" s="4">
        <v>800</v>
      </c>
      <c r="M47" s="4">
        <v>608</v>
      </c>
      <c r="N47" s="4">
        <v>400</v>
      </c>
      <c r="O47" s="6">
        <f>IFERROR(1-N47/M47,"-")</f>
        <v>0.34210526315789469</v>
      </c>
      <c r="P47" s="4" t="s">
        <v>462</v>
      </c>
      <c r="Q47" s="4" t="s">
        <v>462</v>
      </c>
      <c r="R47" s="4" t="s">
        <v>462</v>
      </c>
      <c r="S47" s="4">
        <v>90</v>
      </c>
      <c r="T47" s="4">
        <f>IF(W47="",S47,S47*W47)</f>
        <v>900</v>
      </c>
      <c r="U47" s="4">
        <v>45</v>
      </c>
      <c r="V47" s="4">
        <f>IF(W47="",U47,U47*W47)</f>
        <v>450</v>
      </c>
      <c r="W47" s="4">
        <v>10</v>
      </c>
      <c r="X47" s="21">
        <f>ROUND(M47*AL47,0)</f>
        <v>684</v>
      </c>
      <c r="Y47" s="6">
        <f>IFERROR(1-V47/X47,"-")</f>
        <v>0.34210526315789469</v>
      </c>
      <c r="Z47" s="33">
        <v>3.75</v>
      </c>
      <c r="AA47" s="4">
        <f>AV47</f>
        <v>800</v>
      </c>
      <c r="AB47" s="33">
        <f>IFERROR(AA47*AL47,"-")</f>
        <v>900</v>
      </c>
      <c r="AC47" s="6">
        <f>IFERROR(1-V47/AB47,"-")</f>
        <v>0.5</v>
      </c>
      <c r="AD47" s="7">
        <v>740</v>
      </c>
      <c r="AE47" s="6">
        <f>1-V47/AD47</f>
        <v>0.39189189189189189</v>
      </c>
      <c r="AF47" s="4">
        <f>AD47-V47</f>
        <v>290</v>
      </c>
      <c r="AG47" s="28"/>
      <c r="AH47" s="6"/>
      <c r="AI47" s="6"/>
      <c r="AJ47" s="6">
        <f>IFERROR(T47/L47,"-")</f>
        <v>1.125</v>
      </c>
      <c r="AK47" s="6">
        <f>IFERROR(AD47/M47,"-")</f>
        <v>1.2171052631578947</v>
      </c>
      <c r="AL47" s="6">
        <f>IFERROR(V47/N47,"-")</f>
        <v>1.125</v>
      </c>
      <c r="AM47" s="4" t="str">
        <f t="shared" si="0"/>
        <v>-</v>
      </c>
      <c r="AN47" s="4" t="str">
        <f t="shared" si="1"/>
        <v>-</v>
      </c>
      <c r="AO47" s="4" t="str">
        <f t="shared" si="2"/>
        <v>-</v>
      </c>
      <c r="AP47" s="4">
        <v>0</v>
      </c>
      <c r="AQ47" s="4" t="s">
        <v>734</v>
      </c>
      <c r="AR47" s="4"/>
      <c r="AS47" s="4"/>
      <c r="AT47" s="4" t="s">
        <v>699</v>
      </c>
      <c r="AU47" s="4">
        <v>800</v>
      </c>
      <c r="AV47" s="4">
        <f>IF(AR47="",AU47,AR47/AS47*AU47)</f>
        <v>800</v>
      </c>
      <c r="AW47" s="19">
        <v>4</v>
      </c>
      <c r="AX47" s="19">
        <v>8</v>
      </c>
      <c r="AY47" s="16">
        <v>5</v>
      </c>
      <c r="AZ47" t="s">
        <v>462</v>
      </c>
      <c r="BA47" t="str">
        <f t="shared" si="3"/>
        <v>-</v>
      </c>
      <c r="BB47" t="s">
        <v>462</v>
      </c>
      <c r="BC47" t="str">
        <f t="shared" si="4"/>
        <v>-</v>
      </c>
      <c r="BD47" t="s">
        <v>501</v>
      </c>
    </row>
    <row r="48" spans="1:56" x14ac:dyDescent="0.4">
      <c r="A48" s="3">
        <v>181</v>
      </c>
      <c r="B48" s="3">
        <v>181</v>
      </c>
      <c r="C48" s="4" t="s">
        <v>149</v>
      </c>
      <c r="D48" s="4" t="str">
        <f>TEXT(C48,"000000")</f>
        <v>J84851</v>
      </c>
      <c r="E48" s="4" t="s">
        <v>149</v>
      </c>
      <c r="F48" s="4" t="s">
        <v>383</v>
      </c>
      <c r="G48" s="5">
        <v>4901881180798</v>
      </c>
      <c r="H48" s="5"/>
      <c r="I48" s="5"/>
      <c r="J48" s="5">
        <v>1</v>
      </c>
      <c r="K48" s="5">
        <v>1</v>
      </c>
      <c r="L48" s="4">
        <v>800</v>
      </c>
      <c r="M48" s="4">
        <v>593</v>
      </c>
      <c r="N48" s="4">
        <v>400</v>
      </c>
      <c r="O48" s="6">
        <f>IFERROR(1-N48/M48,"-")</f>
        <v>0.32546374367622255</v>
      </c>
      <c r="P48" s="4" t="s">
        <v>462</v>
      </c>
      <c r="Q48" s="4" t="s">
        <v>462</v>
      </c>
      <c r="R48" s="4" t="s">
        <v>462</v>
      </c>
      <c r="S48" s="4">
        <v>90</v>
      </c>
      <c r="T48" s="4">
        <f>IF(W48="",S48,S48*W48)</f>
        <v>900</v>
      </c>
      <c r="U48" s="4">
        <v>45</v>
      </c>
      <c r="V48" s="4">
        <f>IF(W48="",U48,U48*W48)</f>
        <v>450</v>
      </c>
      <c r="W48" s="4">
        <v>10</v>
      </c>
      <c r="X48" s="21">
        <f>ROUND(M48*AL48,0)</f>
        <v>667</v>
      </c>
      <c r="Y48" s="6">
        <f>IFERROR(1-V48/X48,"-")</f>
        <v>0.32533733133433285</v>
      </c>
      <c r="Z48" s="33">
        <v>15</v>
      </c>
      <c r="AA48" s="4">
        <f>AV48</f>
        <v>689</v>
      </c>
      <c r="AB48" s="33">
        <f>IFERROR(AA48*AL48,"-")</f>
        <v>775.125</v>
      </c>
      <c r="AC48" s="6">
        <f>IFERROR(1-V48/AB48,"-")</f>
        <v>0.41944847605224966</v>
      </c>
      <c r="AD48" s="7">
        <v>740</v>
      </c>
      <c r="AE48" s="6">
        <f>1-V48/AD48</f>
        <v>0.39189189189189189</v>
      </c>
      <c r="AF48" s="4">
        <f>AD48-V48</f>
        <v>290</v>
      </c>
      <c r="AG48" s="28"/>
      <c r="AH48" s="6"/>
      <c r="AI48" s="6"/>
      <c r="AJ48" s="6">
        <f>IFERROR(T48/L48,"-")</f>
        <v>1.125</v>
      </c>
      <c r="AK48" s="6">
        <f>IFERROR(AD48/M48,"-")</f>
        <v>1.2478920741989883</v>
      </c>
      <c r="AL48" s="6">
        <f>IFERROR(V48/N48,"-")</f>
        <v>1.125</v>
      </c>
      <c r="AM48" s="4" t="str">
        <f t="shared" si="0"/>
        <v>-</v>
      </c>
      <c r="AN48" s="4" t="str">
        <f t="shared" si="1"/>
        <v>-</v>
      </c>
      <c r="AO48" s="4" t="str">
        <f t="shared" si="2"/>
        <v>-</v>
      </c>
      <c r="AP48" s="4">
        <v>0</v>
      </c>
      <c r="AQ48" s="4" t="s">
        <v>735</v>
      </c>
      <c r="AR48" s="4"/>
      <c r="AS48" s="4"/>
      <c r="AT48" s="4" t="s">
        <v>699</v>
      </c>
      <c r="AU48" s="4">
        <v>689</v>
      </c>
      <c r="AV48" s="4">
        <f>IF(AR48="",AU48,AR48/AS48*AU48)</f>
        <v>689</v>
      </c>
      <c r="AW48" s="19">
        <v>4</v>
      </c>
      <c r="AX48" s="19">
        <v>8</v>
      </c>
      <c r="AY48" s="16">
        <v>5</v>
      </c>
      <c r="AZ48" t="s">
        <v>462</v>
      </c>
      <c r="BA48" t="str">
        <f t="shared" si="3"/>
        <v>-</v>
      </c>
      <c r="BB48" t="s">
        <v>462</v>
      </c>
      <c r="BC48" t="str">
        <f t="shared" si="4"/>
        <v>-</v>
      </c>
      <c r="BD48" t="s">
        <v>502</v>
      </c>
    </row>
    <row r="49" spans="1:56" x14ac:dyDescent="0.4">
      <c r="A49" s="3">
        <v>182</v>
      </c>
      <c r="B49" s="3">
        <v>182</v>
      </c>
      <c r="C49" s="4" t="s">
        <v>150</v>
      </c>
      <c r="D49" s="4" t="str">
        <f>TEXT(C49,"000000")</f>
        <v>J84852</v>
      </c>
      <c r="E49" s="4" t="s">
        <v>150</v>
      </c>
      <c r="F49" s="4" t="s">
        <v>384</v>
      </c>
      <c r="G49" s="5">
        <v>4901881180804</v>
      </c>
      <c r="H49" s="5"/>
      <c r="I49" s="5"/>
      <c r="J49" s="5">
        <v>1</v>
      </c>
      <c r="K49" s="5">
        <v>1</v>
      </c>
      <c r="L49" s="4">
        <v>800</v>
      </c>
      <c r="M49" s="4">
        <v>608</v>
      </c>
      <c r="N49" s="4">
        <v>400</v>
      </c>
      <c r="O49" s="6">
        <f>IFERROR(1-N49/M49,"-")</f>
        <v>0.34210526315789469</v>
      </c>
      <c r="P49" s="4" t="s">
        <v>462</v>
      </c>
      <c r="Q49" s="4" t="s">
        <v>462</v>
      </c>
      <c r="R49" s="4" t="s">
        <v>462</v>
      </c>
      <c r="S49" s="4">
        <v>90</v>
      </c>
      <c r="T49" s="4">
        <f>IF(W49="",S49,S49*W49)</f>
        <v>900</v>
      </c>
      <c r="U49" s="4">
        <v>45</v>
      </c>
      <c r="V49" s="4">
        <f>IF(W49="",U49,U49*W49)</f>
        <v>450</v>
      </c>
      <c r="W49" s="4">
        <v>10</v>
      </c>
      <c r="X49" s="21">
        <f>ROUND(M49*AL49,0)</f>
        <v>684</v>
      </c>
      <c r="Y49" s="6">
        <f>IFERROR(1-V49/X49,"-")</f>
        <v>0.34210526315789469</v>
      </c>
      <c r="Z49" s="33">
        <v>3.75</v>
      </c>
      <c r="AA49" s="4">
        <f>AV49</f>
        <v>689</v>
      </c>
      <c r="AB49" s="33">
        <f>IFERROR(AA49*AL49,"-")</f>
        <v>775.125</v>
      </c>
      <c r="AC49" s="6">
        <f>IFERROR(1-V49/AB49,"-")</f>
        <v>0.41944847605224966</v>
      </c>
      <c r="AD49" s="7">
        <v>740</v>
      </c>
      <c r="AE49" s="6">
        <f>1-V49/AD49</f>
        <v>0.39189189189189189</v>
      </c>
      <c r="AF49" s="4">
        <f>AD49-V49</f>
        <v>290</v>
      </c>
      <c r="AG49" s="28"/>
      <c r="AH49" s="6"/>
      <c r="AI49" s="6"/>
      <c r="AJ49" s="6">
        <f>IFERROR(T49/L49,"-")</f>
        <v>1.125</v>
      </c>
      <c r="AK49" s="6">
        <f>IFERROR(AD49/M49,"-")</f>
        <v>1.2171052631578947</v>
      </c>
      <c r="AL49" s="6">
        <f>IFERROR(V49/N49,"-")</f>
        <v>1.125</v>
      </c>
      <c r="AM49" s="4" t="str">
        <f t="shared" si="0"/>
        <v>-</v>
      </c>
      <c r="AN49" s="4" t="str">
        <f t="shared" si="1"/>
        <v>-</v>
      </c>
      <c r="AO49" s="4" t="str">
        <f t="shared" si="2"/>
        <v>-</v>
      </c>
      <c r="AP49" s="4">
        <v>0</v>
      </c>
      <c r="AQ49" s="4" t="s">
        <v>736</v>
      </c>
      <c r="AR49" s="4"/>
      <c r="AS49" s="4"/>
      <c r="AT49" s="4" t="s">
        <v>699</v>
      </c>
      <c r="AU49" s="4">
        <v>689</v>
      </c>
      <c r="AV49" s="4">
        <f>IF(AR49="",AU49,AR49/AS49*AU49)</f>
        <v>689</v>
      </c>
      <c r="AW49" s="19">
        <v>4</v>
      </c>
      <c r="AX49" s="19">
        <v>8</v>
      </c>
      <c r="AY49" s="16">
        <v>5</v>
      </c>
      <c r="AZ49" t="s">
        <v>462</v>
      </c>
      <c r="BA49" t="str">
        <f t="shared" si="3"/>
        <v>-</v>
      </c>
      <c r="BB49" t="s">
        <v>462</v>
      </c>
      <c r="BC49" t="str">
        <f t="shared" si="4"/>
        <v>-</v>
      </c>
      <c r="BD49" t="s">
        <v>503</v>
      </c>
    </row>
    <row r="50" spans="1:56" x14ac:dyDescent="0.4">
      <c r="A50" s="3">
        <v>183</v>
      </c>
      <c r="B50" s="3">
        <v>183</v>
      </c>
      <c r="C50" s="4" t="s">
        <v>151</v>
      </c>
      <c r="D50" s="4" t="str">
        <f>TEXT(C50,"000000")</f>
        <v>J84853</v>
      </c>
      <c r="E50" s="4" t="s">
        <v>151</v>
      </c>
      <c r="F50" s="4" t="s">
        <v>385</v>
      </c>
      <c r="G50" s="5">
        <v>4901881180811</v>
      </c>
      <c r="H50" s="5"/>
      <c r="I50" s="5"/>
      <c r="J50" s="5">
        <v>1</v>
      </c>
      <c r="K50" s="5">
        <v>1</v>
      </c>
      <c r="L50" s="4">
        <v>800</v>
      </c>
      <c r="M50" s="4">
        <v>447</v>
      </c>
      <c r="N50" s="4">
        <v>400</v>
      </c>
      <c r="O50" s="6">
        <f>IFERROR(1-N50/M50,"-")</f>
        <v>0.10514541387024612</v>
      </c>
      <c r="P50" s="4" t="s">
        <v>462</v>
      </c>
      <c r="Q50" s="4" t="s">
        <v>462</v>
      </c>
      <c r="R50" s="4" t="s">
        <v>462</v>
      </c>
      <c r="S50" s="4">
        <v>90</v>
      </c>
      <c r="T50" s="4">
        <f>IF(W50="",S50,S50*W50)</f>
        <v>900</v>
      </c>
      <c r="U50" s="4">
        <v>45</v>
      </c>
      <c r="V50" s="4">
        <f>IF(W50="",U50,U50*W50)</f>
        <v>450</v>
      </c>
      <c r="W50" s="4">
        <v>10</v>
      </c>
      <c r="X50" s="21">
        <f>ROUND(M50*AL50,0)</f>
        <v>503</v>
      </c>
      <c r="Y50" s="6">
        <f>IFERROR(1-V50/X50,"-")</f>
        <v>0.10536779324055667</v>
      </c>
      <c r="Z50" s="33">
        <v>2.5</v>
      </c>
      <c r="AA50" s="4">
        <f>AV50</f>
        <v>800</v>
      </c>
      <c r="AB50" s="33">
        <f>IFERROR(AA50*AL50,"-")</f>
        <v>900</v>
      </c>
      <c r="AC50" s="6">
        <f>IFERROR(1-V50/AB50,"-")</f>
        <v>0.5</v>
      </c>
      <c r="AD50" s="7">
        <v>740</v>
      </c>
      <c r="AE50" s="6">
        <f>1-V50/AD50</f>
        <v>0.39189189189189189</v>
      </c>
      <c r="AF50" s="4">
        <f>AD50-V50</f>
        <v>290</v>
      </c>
      <c r="AG50" s="28"/>
      <c r="AH50" s="6"/>
      <c r="AI50" s="6"/>
      <c r="AJ50" s="6">
        <f>IFERROR(T50/L50,"-")</f>
        <v>1.125</v>
      </c>
      <c r="AK50" s="6">
        <f>IFERROR(AD50/M50,"-")</f>
        <v>1.6554809843400446</v>
      </c>
      <c r="AL50" s="6">
        <f>IFERROR(V50/N50,"-")</f>
        <v>1.125</v>
      </c>
      <c r="AM50" s="4" t="str">
        <f t="shared" si="0"/>
        <v>-</v>
      </c>
      <c r="AN50" s="4" t="str">
        <f t="shared" si="1"/>
        <v>-</v>
      </c>
      <c r="AO50" s="4" t="str">
        <f t="shared" si="2"/>
        <v>-</v>
      </c>
      <c r="AP50" s="4">
        <v>0</v>
      </c>
      <c r="AQ50" s="4" t="s">
        <v>737</v>
      </c>
      <c r="AR50" s="4">
        <v>10</v>
      </c>
      <c r="AS50" s="4">
        <v>20</v>
      </c>
      <c r="AT50" s="4" t="s">
        <v>738</v>
      </c>
      <c r="AU50" s="4">
        <v>1600</v>
      </c>
      <c r="AV50" s="4">
        <f>IF(AR50="",AU50,AR50/AS50*AU50)</f>
        <v>800</v>
      </c>
      <c r="AW50" s="19">
        <v>4</v>
      </c>
      <c r="AX50" s="19">
        <v>8</v>
      </c>
      <c r="AY50" s="16">
        <v>5</v>
      </c>
      <c r="AZ50" t="s">
        <v>462</v>
      </c>
      <c r="BA50" t="str">
        <f t="shared" si="3"/>
        <v>-</v>
      </c>
      <c r="BB50" t="s">
        <v>462</v>
      </c>
      <c r="BC50" t="str">
        <f t="shared" si="4"/>
        <v>-</v>
      </c>
      <c r="BD50" t="s">
        <v>504</v>
      </c>
    </row>
    <row r="51" spans="1:56" x14ac:dyDescent="0.4">
      <c r="A51" s="3">
        <v>184</v>
      </c>
      <c r="B51" s="3">
        <v>184</v>
      </c>
      <c r="C51" s="4" t="s">
        <v>152</v>
      </c>
      <c r="D51" s="4" t="str">
        <f>TEXT(C51,"000000")</f>
        <v>J84854</v>
      </c>
      <c r="E51" s="4" t="s">
        <v>152</v>
      </c>
      <c r="F51" s="4" t="s">
        <v>386</v>
      </c>
      <c r="G51" s="5">
        <v>4901881180828</v>
      </c>
      <c r="H51" s="5"/>
      <c r="I51" s="5"/>
      <c r="J51" s="5">
        <v>1</v>
      </c>
      <c r="K51" s="5">
        <v>1</v>
      </c>
      <c r="L51" s="4">
        <v>800</v>
      </c>
      <c r="M51" s="4">
        <v>550</v>
      </c>
      <c r="N51" s="4">
        <v>400</v>
      </c>
      <c r="O51" s="6">
        <f>IFERROR(1-N51/M51,"-")</f>
        <v>0.27272727272727271</v>
      </c>
      <c r="P51" s="4" t="s">
        <v>462</v>
      </c>
      <c r="Q51" s="4" t="s">
        <v>462</v>
      </c>
      <c r="R51" s="4" t="s">
        <v>462</v>
      </c>
      <c r="S51" s="4">
        <v>90</v>
      </c>
      <c r="T51" s="4">
        <f>IF(W51="",S51,S51*W51)</f>
        <v>900</v>
      </c>
      <c r="U51" s="4">
        <v>45</v>
      </c>
      <c r="V51" s="4">
        <f>IF(W51="",U51,U51*W51)</f>
        <v>450</v>
      </c>
      <c r="W51" s="4">
        <v>10</v>
      </c>
      <c r="X51" s="21">
        <f>ROUND(M51*AL51,0)</f>
        <v>619</v>
      </c>
      <c r="Y51" s="6">
        <f>IFERROR(1-V51/X51,"-")</f>
        <v>0.27302100161550891</v>
      </c>
      <c r="Z51" s="33">
        <v>3.75</v>
      </c>
      <c r="AA51" s="4">
        <f>AV51</f>
        <v>703</v>
      </c>
      <c r="AB51" s="33">
        <f>IFERROR(AA51*AL51,"-")</f>
        <v>790.875</v>
      </c>
      <c r="AC51" s="6">
        <f>IFERROR(1-V51/AB51,"-")</f>
        <v>0.43100995732574676</v>
      </c>
      <c r="AD51" s="7">
        <v>740</v>
      </c>
      <c r="AE51" s="6">
        <f>1-V51/AD51</f>
        <v>0.39189189189189189</v>
      </c>
      <c r="AF51" s="4">
        <f>AD51-V51</f>
        <v>290</v>
      </c>
      <c r="AG51" s="28"/>
      <c r="AH51" s="6"/>
      <c r="AI51" s="6"/>
      <c r="AJ51" s="6">
        <f>IFERROR(T51/L51,"-")</f>
        <v>1.125</v>
      </c>
      <c r="AK51" s="6">
        <f>IFERROR(AD51/M51,"-")</f>
        <v>1.3454545454545455</v>
      </c>
      <c r="AL51" s="6">
        <f>IFERROR(V51/N51,"-")</f>
        <v>1.125</v>
      </c>
      <c r="AM51" s="4" t="str">
        <f t="shared" si="0"/>
        <v>-</v>
      </c>
      <c r="AN51" s="4" t="str">
        <f t="shared" si="1"/>
        <v>-</v>
      </c>
      <c r="AO51" s="4" t="str">
        <f t="shared" si="2"/>
        <v>-</v>
      </c>
      <c r="AP51" s="4">
        <v>0</v>
      </c>
      <c r="AQ51" s="4" t="s">
        <v>739</v>
      </c>
      <c r="AR51" s="4">
        <v>10</v>
      </c>
      <c r="AS51" s="4">
        <v>20</v>
      </c>
      <c r="AT51" s="4" t="s">
        <v>738</v>
      </c>
      <c r="AU51" s="4">
        <v>1406</v>
      </c>
      <c r="AV51" s="4">
        <f>IF(AR51="",AU51,AR51/AS51*AU51)</f>
        <v>703</v>
      </c>
      <c r="AW51" s="19">
        <v>4</v>
      </c>
      <c r="AX51" s="19">
        <v>8</v>
      </c>
      <c r="AY51" s="16">
        <v>5</v>
      </c>
      <c r="AZ51" t="s">
        <v>462</v>
      </c>
      <c r="BA51" t="str">
        <f t="shared" si="3"/>
        <v>-</v>
      </c>
      <c r="BB51" t="s">
        <v>462</v>
      </c>
      <c r="BC51" t="str">
        <f t="shared" si="4"/>
        <v>-</v>
      </c>
      <c r="BD51" t="s">
        <v>505</v>
      </c>
    </row>
    <row r="52" spans="1:56" x14ac:dyDescent="0.4">
      <c r="A52" s="3">
        <v>185</v>
      </c>
      <c r="B52" s="3">
        <v>185</v>
      </c>
      <c r="C52" s="4" t="s">
        <v>153</v>
      </c>
      <c r="D52" s="4" t="str">
        <f>TEXT(C52,"000000")</f>
        <v>J84855</v>
      </c>
      <c r="E52" s="4" t="s">
        <v>153</v>
      </c>
      <c r="F52" s="4" t="s">
        <v>387</v>
      </c>
      <c r="G52" s="5">
        <v>4901881180835</v>
      </c>
      <c r="H52" s="5"/>
      <c r="I52" s="5"/>
      <c r="J52" s="5">
        <v>1</v>
      </c>
      <c r="K52" s="5">
        <v>1</v>
      </c>
      <c r="L52" s="4">
        <v>800</v>
      </c>
      <c r="M52" s="4">
        <v>608</v>
      </c>
      <c r="N52" s="4">
        <v>400</v>
      </c>
      <c r="O52" s="6">
        <f>IFERROR(1-N52/M52,"-")</f>
        <v>0.34210526315789469</v>
      </c>
      <c r="P52" s="4" t="s">
        <v>462</v>
      </c>
      <c r="Q52" s="4" t="s">
        <v>462</v>
      </c>
      <c r="R52" s="4" t="s">
        <v>462</v>
      </c>
      <c r="S52" s="4">
        <v>90</v>
      </c>
      <c r="T52" s="4">
        <f>IF(W52="",S52,S52*W52)</f>
        <v>900</v>
      </c>
      <c r="U52" s="4">
        <v>45</v>
      </c>
      <c r="V52" s="4">
        <f>IF(W52="",U52,U52*W52)</f>
        <v>450</v>
      </c>
      <c r="W52" s="4">
        <v>10</v>
      </c>
      <c r="X52" s="21">
        <f>ROUND(M52*AL52,0)</f>
        <v>684</v>
      </c>
      <c r="Y52" s="6">
        <f>IFERROR(1-V52/X52,"-")</f>
        <v>0.34210526315789469</v>
      </c>
      <c r="Z52" s="33">
        <v>3.25</v>
      </c>
      <c r="AA52" s="4">
        <f>AV52</f>
        <v>800</v>
      </c>
      <c r="AB52" s="33">
        <f>IFERROR(AA52*AL52,"-")</f>
        <v>900</v>
      </c>
      <c r="AC52" s="6">
        <f>IFERROR(1-V52/AB52,"-")</f>
        <v>0.5</v>
      </c>
      <c r="AD52" s="7">
        <v>740</v>
      </c>
      <c r="AE52" s="6">
        <f>1-V52/AD52</f>
        <v>0.39189189189189189</v>
      </c>
      <c r="AF52" s="4">
        <f>AD52-V52</f>
        <v>290</v>
      </c>
      <c r="AG52" s="28"/>
      <c r="AH52" s="6"/>
      <c r="AI52" s="6"/>
      <c r="AJ52" s="6">
        <f>IFERROR(T52/L52,"-")</f>
        <v>1.125</v>
      </c>
      <c r="AK52" s="6">
        <f>IFERROR(AD52/M52,"-")</f>
        <v>1.2171052631578947</v>
      </c>
      <c r="AL52" s="6">
        <f>IFERROR(V52/N52,"-")</f>
        <v>1.125</v>
      </c>
      <c r="AM52" s="4" t="str">
        <f t="shared" si="0"/>
        <v>-</v>
      </c>
      <c r="AN52" s="4" t="str">
        <f t="shared" si="1"/>
        <v>-</v>
      </c>
      <c r="AO52" s="4" t="str">
        <f t="shared" si="2"/>
        <v>-</v>
      </c>
      <c r="AP52" s="4">
        <v>0</v>
      </c>
      <c r="AQ52" s="4" t="s">
        <v>740</v>
      </c>
      <c r="AR52" s="4">
        <v>10</v>
      </c>
      <c r="AS52" s="4">
        <v>20</v>
      </c>
      <c r="AT52" s="4" t="s">
        <v>738</v>
      </c>
      <c r="AU52" s="4">
        <v>1600</v>
      </c>
      <c r="AV52" s="4">
        <f>IF(AR52="",AU52,AR52/AS52*AU52)</f>
        <v>800</v>
      </c>
      <c r="AW52" s="19">
        <v>4</v>
      </c>
      <c r="AX52" s="19">
        <v>8</v>
      </c>
      <c r="AY52" s="16">
        <v>5</v>
      </c>
      <c r="AZ52" t="s">
        <v>462</v>
      </c>
      <c r="BA52" t="str">
        <f t="shared" si="3"/>
        <v>-</v>
      </c>
      <c r="BB52" t="s">
        <v>462</v>
      </c>
      <c r="BC52" t="str">
        <f t="shared" si="4"/>
        <v>-</v>
      </c>
      <c r="BD52" t="s">
        <v>506</v>
      </c>
    </row>
    <row r="53" spans="1:56" x14ac:dyDescent="0.4">
      <c r="A53" s="3">
        <v>186</v>
      </c>
      <c r="B53" s="3">
        <v>186</v>
      </c>
      <c r="C53" s="4" t="s">
        <v>154</v>
      </c>
      <c r="D53" s="4" t="str">
        <f>TEXT(C53,"000000")</f>
        <v>J84856</v>
      </c>
      <c r="E53" s="4" t="s">
        <v>154</v>
      </c>
      <c r="F53" s="4" t="s">
        <v>388</v>
      </c>
      <c r="G53" s="5">
        <v>4901881180842</v>
      </c>
      <c r="H53" s="5"/>
      <c r="I53" s="5"/>
      <c r="J53" s="5">
        <v>1</v>
      </c>
      <c r="K53" s="5">
        <v>1</v>
      </c>
      <c r="L53" s="4">
        <v>800</v>
      </c>
      <c r="M53" s="4">
        <v>527</v>
      </c>
      <c r="N53" s="4">
        <v>400</v>
      </c>
      <c r="O53" s="6">
        <f>IFERROR(1-N53/M53,"-")</f>
        <v>0.24098671726755216</v>
      </c>
      <c r="P53" s="4" t="s">
        <v>462</v>
      </c>
      <c r="Q53" s="4" t="s">
        <v>462</v>
      </c>
      <c r="R53" s="4" t="s">
        <v>462</v>
      </c>
      <c r="S53" s="4">
        <v>90</v>
      </c>
      <c r="T53" s="4">
        <f>IF(W53="",S53,S53*W53)</f>
        <v>900</v>
      </c>
      <c r="U53" s="4">
        <v>45</v>
      </c>
      <c r="V53" s="4">
        <f>IF(W53="",U53,U53*W53)</f>
        <v>450</v>
      </c>
      <c r="W53" s="4">
        <v>10</v>
      </c>
      <c r="X53" s="21">
        <f>ROUND(M53*AL53,0)</f>
        <v>593</v>
      </c>
      <c r="Y53" s="6">
        <f>IFERROR(1-V53/X53,"-")</f>
        <v>0.24114671163575041</v>
      </c>
      <c r="Z53" s="33">
        <v>2.5</v>
      </c>
      <c r="AA53" s="4">
        <f>AV53</f>
        <v>800</v>
      </c>
      <c r="AB53" s="33">
        <f>IFERROR(AA53*AL53,"-")</f>
        <v>900</v>
      </c>
      <c r="AC53" s="6">
        <f>IFERROR(1-V53/AB53,"-")</f>
        <v>0.5</v>
      </c>
      <c r="AD53" s="7">
        <v>740</v>
      </c>
      <c r="AE53" s="6">
        <f>1-V53/AD53</f>
        <v>0.39189189189189189</v>
      </c>
      <c r="AF53" s="4">
        <f>AD53-V53</f>
        <v>290</v>
      </c>
      <c r="AG53" s="28"/>
      <c r="AH53" s="6"/>
      <c r="AI53" s="6"/>
      <c r="AJ53" s="6">
        <f>IFERROR(T53/L53,"-")</f>
        <v>1.125</v>
      </c>
      <c r="AK53" s="6">
        <f>IFERROR(AD53/M53,"-")</f>
        <v>1.4041745730550284</v>
      </c>
      <c r="AL53" s="6">
        <f>IFERROR(V53/N53,"-")</f>
        <v>1.125</v>
      </c>
      <c r="AM53" s="4" t="str">
        <f t="shared" si="0"/>
        <v>-</v>
      </c>
      <c r="AN53" s="4" t="str">
        <f t="shared" si="1"/>
        <v>-</v>
      </c>
      <c r="AO53" s="4" t="str">
        <f t="shared" si="2"/>
        <v>-</v>
      </c>
      <c r="AP53" s="4">
        <v>0</v>
      </c>
      <c r="AQ53" s="4" t="s">
        <v>741</v>
      </c>
      <c r="AR53" s="4">
        <v>10</v>
      </c>
      <c r="AS53" s="4">
        <v>20</v>
      </c>
      <c r="AT53" s="4" t="s">
        <v>738</v>
      </c>
      <c r="AU53" s="4">
        <v>1600</v>
      </c>
      <c r="AV53" s="4">
        <f>IF(AR53="",AU53,AR53/AS53*AU53)</f>
        <v>800</v>
      </c>
      <c r="AW53" s="19">
        <v>4</v>
      </c>
      <c r="AX53" s="19">
        <v>8</v>
      </c>
      <c r="AY53" s="16">
        <v>5</v>
      </c>
      <c r="AZ53" t="s">
        <v>462</v>
      </c>
      <c r="BA53" t="str">
        <f t="shared" si="3"/>
        <v>-</v>
      </c>
      <c r="BB53" t="s">
        <v>462</v>
      </c>
      <c r="BC53" t="str">
        <f t="shared" si="4"/>
        <v>-</v>
      </c>
      <c r="BD53" t="s">
        <v>507</v>
      </c>
    </row>
    <row r="54" spans="1:56" x14ac:dyDescent="0.4">
      <c r="A54" s="3">
        <v>187</v>
      </c>
      <c r="B54" s="3">
        <v>187</v>
      </c>
      <c r="C54" s="4" t="s">
        <v>155</v>
      </c>
      <c r="D54" s="4" t="str">
        <f>TEXT(C54,"000000")</f>
        <v>J84857</v>
      </c>
      <c r="E54" s="4" t="s">
        <v>155</v>
      </c>
      <c r="F54" s="4" t="s">
        <v>389</v>
      </c>
      <c r="G54" s="5">
        <v>4901881180859</v>
      </c>
      <c r="H54" s="5"/>
      <c r="I54" s="5"/>
      <c r="J54" s="5">
        <v>1</v>
      </c>
      <c r="K54" s="5">
        <v>1</v>
      </c>
      <c r="L54" s="4">
        <v>800</v>
      </c>
      <c r="M54" s="4">
        <v>550</v>
      </c>
      <c r="N54" s="4">
        <v>400</v>
      </c>
      <c r="O54" s="6">
        <f>IFERROR(1-N54/M54,"-")</f>
        <v>0.27272727272727271</v>
      </c>
      <c r="P54" s="4" t="s">
        <v>462</v>
      </c>
      <c r="Q54" s="4" t="s">
        <v>462</v>
      </c>
      <c r="R54" s="4" t="s">
        <v>462</v>
      </c>
      <c r="S54" s="4">
        <v>90</v>
      </c>
      <c r="T54" s="4">
        <f>IF(W54="",S54,S54*W54)</f>
        <v>900</v>
      </c>
      <c r="U54" s="4">
        <v>45</v>
      </c>
      <c r="V54" s="4">
        <f>IF(W54="",U54,U54*W54)</f>
        <v>450</v>
      </c>
      <c r="W54" s="4">
        <v>10</v>
      </c>
      <c r="X54" s="21">
        <f>ROUND(M54*AL54,0)</f>
        <v>619</v>
      </c>
      <c r="Y54" s="6">
        <f>IFERROR(1-V54/X54,"-")</f>
        <v>0.27302100161550891</v>
      </c>
      <c r="Z54" s="33">
        <v>2.5</v>
      </c>
      <c r="AA54" s="4">
        <f>AV54</f>
        <v>689</v>
      </c>
      <c r="AB54" s="33">
        <f>IFERROR(AA54*AL54,"-")</f>
        <v>775.125</v>
      </c>
      <c r="AC54" s="6">
        <f>IFERROR(1-V54/AB54,"-")</f>
        <v>0.41944847605224966</v>
      </c>
      <c r="AD54" s="7">
        <v>740</v>
      </c>
      <c r="AE54" s="6">
        <f>1-V54/AD54</f>
        <v>0.39189189189189189</v>
      </c>
      <c r="AF54" s="4">
        <f>AD54-V54</f>
        <v>290</v>
      </c>
      <c r="AG54" s="28"/>
      <c r="AH54" s="6"/>
      <c r="AI54" s="6"/>
      <c r="AJ54" s="6">
        <f>IFERROR(T54/L54,"-")</f>
        <v>1.125</v>
      </c>
      <c r="AK54" s="6">
        <f>IFERROR(AD54/M54,"-")</f>
        <v>1.3454545454545455</v>
      </c>
      <c r="AL54" s="6">
        <f>IFERROR(V54/N54,"-")</f>
        <v>1.125</v>
      </c>
      <c r="AM54" s="4" t="str">
        <f t="shared" si="0"/>
        <v>-</v>
      </c>
      <c r="AN54" s="4" t="str">
        <f t="shared" si="1"/>
        <v>-</v>
      </c>
      <c r="AO54" s="4" t="str">
        <f t="shared" si="2"/>
        <v>-</v>
      </c>
      <c r="AP54" s="4">
        <v>0</v>
      </c>
      <c r="AQ54" s="4" t="s">
        <v>742</v>
      </c>
      <c r="AR54" s="4"/>
      <c r="AS54" s="4"/>
      <c r="AT54" s="4" t="s">
        <v>699</v>
      </c>
      <c r="AU54" s="4">
        <v>689</v>
      </c>
      <c r="AV54" s="4">
        <f>IF(AR54="",AU54,AR54/AS54*AU54)</f>
        <v>689</v>
      </c>
      <c r="AW54" s="19">
        <v>4</v>
      </c>
      <c r="AX54" s="19">
        <v>8</v>
      </c>
      <c r="AY54" s="16">
        <v>5</v>
      </c>
      <c r="AZ54" t="s">
        <v>462</v>
      </c>
      <c r="BA54" t="str">
        <f t="shared" si="3"/>
        <v>-</v>
      </c>
      <c r="BB54" t="s">
        <v>462</v>
      </c>
      <c r="BC54" t="str">
        <f t="shared" si="4"/>
        <v>-</v>
      </c>
      <c r="BD54" t="s">
        <v>508</v>
      </c>
    </row>
    <row r="55" spans="1:56" x14ac:dyDescent="0.4">
      <c r="A55" s="3">
        <v>188</v>
      </c>
      <c r="B55" s="3">
        <v>188</v>
      </c>
      <c r="C55" s="4" t="s">
        <v>156</v>
      </c>
      <c r="D55" s="4" t="str">
        <f>TEXT(C55,"000000")</f>
        <v>J84858</v>
      </c>
      <c r="E55" s="4" t="s">
        <v>156</v>
      </c>
      <c r="F55" s="4" t="s">
        <v>390</v>
      </c>
      <c r="G55" s="5">
        <v>4901881180873</v>
      </c>
      <c r="H55" s="5"/>
      <c r="I55" s="5"/>
      <c r="J55" s="5">
        <v>1</v>
      </c>
      <c r="K55" s="5">
        <v>1</v>
      </c>
      <c r="L55" s="4">
        <v>800</v>
      </c>
      <c r="M55" s="4">
        <v>527</v>
      </c>
      <c r="N55" s="4">
        <v>400</v>
      </c>
      <c r="O55" s="6">
        <f>IFERROR(1-N55/M55,"-")</f>
        <v>0.24098671726755216</v>
      </c>
      <c r="P55" s="4" t="s">
        <v>462</v>
      </c>
      <c r="Q55" s="4" t="s">
        <v>462</v>
      </c>
      <c r="R55" s="4" t="s">
        <v>462</v>
      </c>
      <c r="S55" s="4">
        <v>90</v>
      </c>
      <c r="T55" s="4">
        <f>IF(W55="",S55,S55*W55)</f>
        <v>900</v>
      </c>
      <c r="U55" s="4">
        <v>45</v>
      </c>
      <c r="V55" s="4">
        <f>IF(W55="",U55,U55*W55)</f>
        <v>450</v>
      </c>
      <c r="W55" s="4">
        <v>10</v>
      </c>
      <c r="X55" s="21">
        <f>ROUND(M55*AL55,0)</f>
        <v>593</v>
      </c>
      <c r="Y55" s="6">
        <f>IFERROR(1-V55/X55,"-")</f>
        <v>0.24114671163575041</v>
      </c>
      <c r="Z55" s="33">
        <v>1</v>
      </c>
      <c r="AA55" s="4">
        <f>AV55</f>
        <v>800</v>
      </c>
      <c r="AB55" s="33">
        <f>IFERROR(AA55*AL55,"-")</f>
        <v>900</v>
      </c>
      <c r="AC55" s="6">
        <f>IFERROR(1-V55/AB55,"-")</f>
        <v>0.5</v>
      </c>
      <c r="AD55" s="7">
        <v>740</v>
      </c>
      <c r="AE55" s="6">
        <f>1-V55/AD55</f>
        <v>0.39189189189189189</v>
      </c>
      <c r="AF55" s="4">
        <f>AD55-V55</f>
        <v>290</v>
      </c>
      <c r="AG55" s="28"/>
      <c r="AH55" s="6"/>
      <c r="AI55" s="6"/>
      <c r="AJ55" s="6">
        <f>IFERROR(T55/L55,"-")</f>
        <v>1.125</v>
      </c>
      <c r="AK55" s="6">
        <f>IFERROR(AD55/M55,"-")</f>
        <v>1.4041745730550284</v>
      </c>
      <c r="AL55" s="6">
        <f>IFERROR(V55/N55,"-")</f>
        <v>1.125</v>
      </c>
      <c r="AM55" s="4" t="str">
        <f t="shared" si="0"/>
        <v>-</v>
      </c>
      <c r="AN55" s="4" t="str">
        <f t="shared" si="1"/>
        <v>-</v>
      </c>
      <c r="AO55" s="4" t="str">
        <f t="shared" si="2"/>
        <v>-</v>
      </c>
      <c r="AP55" s="4">
        <v>0</v>
      </c>
      <c r="AQ55" s="4" t="s">
        <v>743</v>
      </c>
      <c r="AR55" s="4">
        <v>10</v>
      </c>
      <c r="AS55" s="4">
        <v>20</v>
      </c>
      <c r="AT55" s="4" t="s">
        <v>738</v>
      </c>
      <c r="AU55" s="4">
        <v>1600</v>
      </c>
      <c r="AV55" s="4">
        <f>IF(AR55="",AU55,AR55/AS55*AU55)</f>
        <v>800</v>
      </c>
      <c r="AW55" s="19">
        <v>4</v>
      </c>
      <c r="AX55" s="19">
        <v>8</v>
      </c>
      <c r="AY55" s="16">
        <v>5</v>
      </c>
      <c r="AZ55" t="s">
        <v>462</v>
      </c>
      <c r="BA55" t="str">
        <f t="shared" si="3"/>
        <v>-</v>
      </c>
      <c r="BB55" t="s">
        <v>462</v>
      </c>
      <c r="BC55" t="str">
        <f t="shared" si="4"/>
        <v>-</v>
      </c>
      <c r="BD55" t="s">
        <v>509</v>
      </c>
    </row>
    <row r="56" spans="1:56" x14ac:dyDescent="0.4">
      <c r="A56" s="3">
        <v>189</v>
      </c>
      <c r="B56" s="3">
        <v>189</v>
      </c>
      <c r="C56" s="4" t="s">
        <v>157</v>
      </c>
      <c r="D56" s="4" t="str">
        <f>TEXT(C56,"000000")</f>
        <v>J84859</v>
      </c>
      <c r="E56" s="4" t="s">
        <v>157</v>
      </c>
      <c r="F56" s="4" t="s">
        <v>391</v>
      </c>
      <c r="G56" s="5">
        <v>4901881180897</v>
      </c>
      <c r="H56" s="5"/>
      <c r="I56" s="5"/>
      <c r="J56" s="5">
        <v>1</v>
      </c>
      <c r="K56" s="5">
        <v>1</v>
      </c>
      <c r="L56" s="4">
        <v>800</v>
      </c>
      <c r="M56" s="4">
        <v>651</v>
      </c>
      <c r="N56" s="4">
        <v>400</v>
      </c>
      <c r="O56" s="6">
        <f>IFERROR(1-N56/M56,"-")</f>
        <v>0.38556067588325649</v>
      </c>
      <c r="P56" s="4" t="s">
        <v>462</v>
      </c>
      <c r="Q56" s="4" t="s">
        <v>462</v>
      </c>
      <c r="R56" s="4" t="s">
        <v>462</v>
      </c>
      <c r="S56" s="4">
        <v>90</v>
      </c>
      <c r="T56" s="4">
        <f>IF(W56="",S56,S56*W56)</f>
        <v>900</v>
      </c>
      <c r="U56" s="4">
        <v>45</v>
      </c>
      <c r="V56" s="4">
        <f>IF(W56="",U56,U56*W56)</f>
        <v>450</v>
      </c>
      <c r="W56" s="4">
        <v>10</v>
      </c>
      <c r="X56" s="21">
        <f>ROUND(M56*AL56,0)</f>
        <v>732</v>
      </c>
      <c r="Y56" s="6">
        <f>IFERROR(1-V56/X56,"-")</f>
        <v>0.38524590163934425</v>
      </c>
      <c r="Z56" s="33">
        <v>5</v>
      </c>
      <c r="AA56" s="4">
        <f>AV56</f>
        <v>723</v>
      </c>
      <c r="AB56" s="33">
        <f>IFERROR(AA56*AL56,"-")</f>
        <v>813.375</v>
      </c>
      <c r="AC56" s="6">
        <f>IFERROR(1-V56/AB56,"-")</f>
        <v>0.44674965421853385</v>
      </c>
      <c r="AD56" s="7">
        <v>740</v>
      </c>
      <c r="AE56" s="6">
        <f>1-V56/AD56</f>
        <v>0.39189189189189189</v>
      </c>
      <c r="AF56" s="4">
        <f>AD56-V56</f>
        <v>290</v>
      </c>
      <c r="AG56" s="28"/>
      <c r="AH56" s="6"/>
      <c r="AI56" s="6"/>
      <c r="AJ56" s="6">
        <f>IFERROR(T56/L56,"-")</f>
        <v>1.125</v>
      </c>
      <c r="AK56" s="6">
        <f>IFERROR(AD56/M56,"-")</f>
        <v>1.1367127496159755</v>
      </c>
      <c r="AL56" s="6">
        <f>IFERROR(V56/N56,"-")</f>
        <v>1.125</v>
      </c>
      <c r="AM56" s="4" t="str">
        <f t="shared" si="0"/>
        <v>-</v>
      </c>
      <c r="AN56" s="4" t="str">
        <f t="shared" si="1"/>
        <v>-</v>
      </c>
      <c r="AO56" s="4" t="str">
        <f t="shared" si="2"/>
        <v>-</v>
      </c>
      <c r="AP56" s="4">
        <v>0</v>
      </c>
      <c r="AQ56" s="4" t="s">
        <v>744</v>
      </c>
      <c r="AR56" s="4"/>
      <c r="AS56" s="4"/>
      <c r="AT56" s="4" t="s">
        <v>699</v>
      </c>
      <c r="AU56" s="4">
        <v>723</v>
      </c>
      <c r="AV56" s="4">
        <f>IF(AR56="",AU56,AR56/AS56*AU56)</f>
        <v>723</v>
      </c>
      <c r="AW56" s="19">
        <v>4</v>
      </c>
      <c r="AX56" s="19">
        <v>1</v>
      </c>
      <c r="AY56" s="16">
        <v>5</v>
      </c>
      <c r="AZ56" t="s">
        <v>462</v>
      </c>
      <c r="BA56" t="str">
        <f t="shared" si="3"/>
        <v>-</v>
      </c>
      <c r="BB56" t="s">
        <v>462</v>
      </c>
      <c r="BC56" t="str">
        <f t="shared" si="4"/>
        <v>-</v>
      </c>
      <c r="BD56" t="s">
        <v>510</v>
      </c>
    </row>
    <row r="57" spans="1:56" x14ac:dyDescent="0.4">
      <c r="A57" s="3">
        <v>190</v>
      </c>
      <c r="B57" s="3">
        <v>190</v>
      </c>
      <c r="C57" s="4" t="s">
        <v>158</v>
      </c>
      <c r="D57" s="4" t="str">
        <f>TEXT(C57,"000000")</f>
        <v>J84860</v>
      </c>
      <c r="E57" s="4" t="s">
        <v>158</v>
      </c>
      <c r="F57" s="4" t="s">
        <v>392</v>
      </c>
      <c r="G57" s="5">
        <v>4901881180927</v>
      </c>
      <c r="H57" s="5"/>
      <c r="I57" s="5"/>
      <c r="J57" s="5">
        <v>1</v>
      </c>
      <c r="K57" s="5">
        <v>1</v>
      </c>
      <c r="L57" s="4">
        <v>800</v>
      </c>
      <c r="M57" s="4">
        <v>527</v>
      </c>
      <c r="N57" s="4">
        <v>400</v>
      </c>
      <c r="O57" s="6">
        <f>IFERROR(1-N57/M57,"-")</f>
        <v>0.24098671726755216</v>
      </c>
      <c r="P57" s="4" t="s">
        <v>462</v>
      </c>
      <c r="Q57" s="4" t="s">
        <v>462</v>
      </c>
      <c r="R57" s="4" t="s">
        <v>462</v>
      </c>
      <c r="S57" s="4">
        <v>90</v>
      </c>
      <c r="T57" s="4">
        <f>IF(W57="",S57,S57*W57)</f>
        <v>900</v>
      </c>
      <c r="U57" s="4">
        <v>45</v>
      </c>
      <c r="V57" s="4">
        <f>IF(W57="",U57,U57*W57)</f>
        <v>450</v>
      </c>
      <c r="W57" s="4">
        <v>10</v>
      </c>
      <c r="X57" s="21">
        <f>ROUND(M57*AL57,0)</f>
        <v>593</v>
      </c>
      <c r="Y57" s="6">
        <f>IFERROR(1-V57/X57,"-")</f>
        <v>0.24114671163575041</v>
      </c>
      <c r="Z57" s="33">
        <v>1.5</v>
      </c>
      <c r="AA57" s="4">
        <f>AV57</f>
        <v>800</v>
      </c>
      <c r="AB57" s="33">
        <f>IFERROR(AA57*AL57,"-")</f>
        <v>900</v>
      </c>
      <c r="AC57" s="6">
        <f>IFERROR(1-V57/AB57,"-")</f>
        <v>0.5</v>
      </c>
      <c r="AD57" s="7">
        <v>740</v>
      </c>
      <c r="AE57" s="6">
        <f>1-V57/AD57</f>
        <v>0.39189189189189189</v>
      </c>
      <c r="AF57" s="4">
        <f>AD57-V57</f>
        <v>290</v>
      </c>
      <c r="AG57" s="28"/>
      <c r="AH57" s="6"/>
      <c r="AI57" s="6"/>
      <c r="AJ57" s="6">
        <f>IFERROR(T57/L57,"-")</f>
        <v>1.125</v>
      </c>
      <c r="AK57" s="6">
        <f>IFERROR(AD57/M57,"-")</f>
        <v>1.4041745730550284</v>
      </c>
      <c r="AL57" s="6">
        <f>IFERROR(V57/N57,"-")</f>
        <v>1.125</v>
      </c>
      <c r="AM57" s="4" t="str">
        <f t="shared" si="0"/>
        <v>-</v>
      </c>
      <c r="AN57" s="4" t="str">
        <f t="shared" si="1"/>
        <v>-</v>
      </c>
      <c r="AO57" s="4" t="str">
        <f t="shared" si="2"/>
        <v>-</v>
      </c>
      <c r="AP57" s="4">
        <v>0</v>
      </c>
      <c r="AQ57" s="4" t="s">
        <v>745</v>
      </c>
      <c r="AR57" s="4">
        <v>10</v>
      </c>
      <c r="AS57" s="4">
        <v>20</v>
      </c>
      <c r="AT57" s="4" t="s">
        <v>738</v>
      </c>
      <c r="AU57" s="4">
        <v>1600</v>
      </c>
      <c r="AV57" s="4">
        <f>IF(AR57="",AU57,AR57/AS57*AU57)</f>
        <v>800</v>
      </c>
      <c r="AW57" s="19">
        <v>4</v>
      </c>
      <c r="AX57" s="19">
        <v>8</v>
      </c>
      <c r="AY57" s="16">
        <v>5</v>
      </c>
      <c r="AZ57" t="s">
        <v>462</v>
      </c>
      <c r="BA57" t="str">
        <f t="shared" si="3"/>
        <v>-</v>
      </c>
      <c r="BB57" t="s">
        <v>462</v>
      </c>
      <c r="BC57" t="str">
        <f t="shared" si="4"/>
        <v>-</v>
      </c>
      <c r="BD57" t="s">
        <v>511</v>
      </c>
    </row>
    <row r="58" spans="1:56" x14ac:dyDescent="0.4">
      <c r="A58" s="3">
        <v>191</v>
      </c>
      <c r="B58" s="3">
        <v>191</v>
      </c>
      <c r="C58" s="4" t="s">
        <v>159</v>
      </c>
      <c r="D58" s="4" t="str">
        <f>TEXT(C58,"000000")</f>
        <v>J84861</v>
      </c>
      <c r="E58" s="4" t="s">
        <v>159</v>
      </c>
      <c r="F58" s="4" t="s">
        <v>393</v>
      </c>
      <c r="G58" s="5">
        <v>4901881180934</v>
      </c>
      <c r="H58" s="5"/>
      <c r="I58" s="5"/>
      <c r="J58" s="5">
        <v>1</v>
      </c>
      <c r="K58" s="5">
        <v>1</v>
      </c>
      <c r="L58" s="4">
        <v>800</v>
      </c>
      <c r="M58" s="4">
        <v>529</v>
      </c>
      <c r="N58" s="4">
        <v>400</v>
      </c>
      <c r="O58" s="6">
        <f>IFERROR(1-N58/M58,"-")</f>
        <v>0.24385633270321361</v>
      </c>
      <c r="P58" s="4" t="s">
        <v>462</v>
      </c>
      <c r="Q58" s="4" t="s">
        <v>462</v>
      </c>
      <c r="R58" s="4" t="s">
        <v>462</v>
      </c>
      <c r="S58" s="4">
        <v>90</v>
      </c>
      <c r="T58" s="4">
        <f>IF(W58="",S58,S58*W58)</f>
        <v>900</v>
      </c>
      <c r="U58" s="4">
        <v>45</v>
      </c>
      <c r="V58" s="4">
        <f>IF(W58="",U58,U58*W58)</f>
        <v>450</v>
      </c>
      <c r="W58" s="4">
        <v>10</v>
      </c>
      <c r="X58" s="21">
        <f>ROUND(M58*AL58,0)</f>
        <v>595</v>
      </c>
      <c r="Y58" s="6">
        <f>IFERROR(1-V58/X58,"-")</f>
        <v>0.24369747899159666</v>
      </c>
      <c r="Z58" s="33">
        <v>0</v>
      </c>
      <c r="AA58" s="4">
        <f>AV58</f>
        <v>800</v>
      </c>
      <c r="AB58" s="33">
        <f>IFERROR(AA58*AL58,"-")</f>
        <v>900</v>
      </c>
      <c r="AC58" s="6">
        <f>IFERROR(1-V58/AB58,"-")</f>
        <v>0.5</v>
      </c>
      <c r="AD58" s="7">
        <v>740</v>
      </c>
      <c r="AE58" s="6">
        <f>1-V58/AD58</f>
        <v>0.39189189189189189</v>
      </c>
      <c r="AF58" s="4">
        <f>AD58-V58</f>
        <v>290</v>
      </c>
      <c r="AG58" s="28"/>
      <c r="AH58" s="6"/>
      <c r="AI58" s="6"/>
      <c r="AJ58" s="6">
        <f>IFERROR(T58/L58,"-")</f>
        <v>1.125</v>
      </c>
      <c r="AK58" s="6">
        <f>IFERROR(AD58/M58,"-")</f>
        <v>1.3988657844990549</v>
      </c>
      <c r="AL58" s="6">
        <f>IFERROR(V58/N58,"-")</f>
        <v>1.125</v>
      </c>
      <c r="AM58" s="4" t="str">
        <f t="shared" si="0"/>
        <v>-</v>
      </c>
      <c r="AN58" s="4" t="str">
        <f t="shared" si="1"/>
        <v>-</v>
      </c>
      <c r="AO58" s="4" t="str">
        <f t="shared" si="2"/>
        <v>-</v>
      </c>
      <c r="AP58" s="4">
        <v>0</v>
      </c>
      <c r="AQ58" s="4" t="s">
        <v>746</v>
      </c>
      <c r="AR58" s="4">
        <v>10</v>
      </c>
      <c r="AS58" s="4">
        <v>20</v>
      </c>
      <c r="AT58" s="4" t="s">
        <v>738</v>
      </c>
      <c r="AU58" s="4">
        <v>1600</v>
      </c>
      <c r="AV58" s="4">
        <f>IF(AR58="",AU58,AR58/AS58*AU58)</f>
        <v>800</v>
      </c>
      <c r="AW58" s="19">
        <v>4</v>
      </c>
      <c r="AX58" s="19">
        <v>8</v>
      </c>
      <c r="AY58" s="16">
        <v>5</v>
      </c>
      <c r="AZ58" t="s">
        <v>462</v>
      </c>
      <c r="BA58" t="str">
        <f t="shared" si="3"/>
        <v>-</v>
      </c>
      <c r="BB58" t="s">
        <v>462</v>
      </c>
      <c r="BC58" t="str">
        <f t="shared" si="4"/>
        <v>-</v>
      </c>
      <c r="BD58" t="s">
        <v>512</v>
      </c>
    </row>
    <row r="59" spans="1:56" x14ac:dyDescent="0.4">
      <c r="A59" s="3">
        <v>192</v>
      </c>
      <c r="B59" s="3">
        <v>192</v>
      </c>
      <c r="C59" s="4" t="s">
        <v>160</v>
      </c>
      <c r="D59" s="4" t="str">
        <f>TEXT(C59,"000000")</f>
        <v>J84862</v>
      </c>
      <c r="E59" s="4" t="s">
        <v>160</v>
      </c>
      <c r="F59" s="4" t="s">
        <v>394</v>
      </c>
      <c r="G59" s="5">
        <v>4901881180941</v>
      </c>
      <c r="H59" s="5"/>
      <c r="I59" s="5"/>
      <c r="J59" s="5">
        <v>1</v>
      </c>
      <c r="K59" s="5">
        <v>1</v>
      </c>
      <c r="L59" s="4">
        <v>800</v>
      </c>
      <c r="M59" s="4">
        <v>547</v>
      </c>
      <c r="N59" s="4">
        <v>400</v>
      </c>
      <c r="O59" s="6">
        <f>IFERROR(1-N59/M59,"-")</f>
        <v>0.26873857404021939</v>
      </c>
      <c r="P59" s="4" t="s">
        <v>462</v>
      </c>
      <c r="Q59" s="4" t="s">
        <v>462</v>
      </c>
      <c r="R59" s="4" t="s">
        <v>462</v>
      </c>
      <c r="S59" s="4">
        <v>90</v>
      </c>
      <c r="T59" s="4">
        <f>IF(W59="",S59,S59*W59)</f>
        <v>900</v>
      </c>
      <c r="U59" s="4">
        <v>45</v>
      </c>
      <c r="V59" s="4">
        <f>IF(W59="",U59,U59*W59)</f>
        <v>450</v>
      </c>
      <c r="W59" s="4">
        <v>10</v>
      </c>
      <c r="X59" s="21">
        <f>ROUND(M59*AL59,0)</f>
        <v>615</v>
      </c>
      <c r="Y59" s="6">
        <f>IFERROR(1-V59/X59,"-")</f>
        <v>0.26829268292682928</v>
      </c>
      <c r="Z59" s="33">
        <v>1.25</v>
      </c>
      <c r="AA59" s="4">
        <f>AV59</f>
        <v>689</v>
      </c>
      <c r="AB59" s="33">
        <f>IFERROR(AA59*AL59,"-")</f>
        <v>775.125</v>
      </c>
      <c r="AC59" s="6">
        <f>IFERROR(1-V59/AB59,"-")</f>
        <v>0.41944847605224966</v>
      </c>
      <c r="AD59" s="7">
        <v>740</v>
      </c>
      <c r="AE59" s="6">
        <f>1-V59/AD59</f>
        <v>0.39189189189189189</v>
      </c>
      <c r="AF59" s="4">
        <f>AD59-V59</f>
        <v>290</v>
      </c>
      <c r="AG59" s="28"/>
      <c r="AH59" s="6"/>
      <c r="AI59" s="6"/>
      <c r="AJ59" s="6">
        <f>IFERROR(T59/L59,"-")</f>
        <v>1.125</v>
      </c>
      <c r="AK59" s="6">
        <f>IFERROR(AD59/M59,"-")</f>
        <v>1.3528336380255941</v>
      </c>
      <c r="AL59" s="6">
        <f>IFERROR(V59/N59,"-")</f>
        <v>1.125</v>
      </c>
      <c r="AM59" s="4" t="str">
        <f t="shared" si="0"/>
        <v>-</v>
      </c>
      <c r="AN59" s="4" t="str">
        <f t="shared" si="1"/>
        <v>-</v>
      </c>
      <c r="AO59" s="4" t="str">
        <f t="shared" si="2"/>
        <v>-</v>
      </c>
      <c r="AP59" s="4">
        <v>0</v>
      </c>
      <c r="AQ59" s="4" t="s">
        <v>747</v>
      </c>
      <c r="AR59" s="4"/>
      <c r="AS59" s="4"/>
      <c r="AT59" s="4" t="s">
        <v>699</v>
      </c>
      <c r="AU59" s="4">
        <v>689</v>
      </c>
      <c r="AV59" s="4">
        <f>IF(AR59="",AU59,AR59/AS59*AU59)</f>
        <v>689</v>
      </c>
      <c r="AW59" s="19">
        <v>4</v>
      </c>
      <c r="AX59" s="19">
        <v>8</v>
      </c>
      <c r="AY59" s="16">
        <v>5</v>
      </c>
      <c r="AZ59" t="s">
        <v>462</v>
      </c>
      <c r="BA59" t="str">
        <f t="shared" si="3"/>
        <v>-</v>
      </c>
      <c r="BB59" t="s">
        <v>462</v>
      </c>
      <c r="BC59" t="str">
        <f t="shared" si="4"/>
        <v>-</v>
      </c>
      <c r="BD59" t="s">
        <v>513</v>
      </c>
    </row>
    <row r="60" spans="1:56" x14ac:dyDescent="0.4">
      <c r="A60" s="3">
        <v>219</v>
      </c>
      <c r="B60" s="3">
        <v>219</v>
      </c>
      <c r="C60" s="4" t="s">
        <v>187</v>
      </c>
      <c r="D60" s="4" t="str">
        <f>TEXT(C60,"000000")</f>
        <v>JA1540</v>
      </c>
      <c r="E60" s="4" t="s">
        <v>187</v>
      </c>
      <c r="F60" s="4" t="s">
        <v>421</v>
      </c>
      <c r="G60" s="5">
        <v>4901881835476</v>
      </c>
      <c r="H60" s="5"/>
      <c r="I60" s="5"/>
      <c r="J60" s="5">
        <v>1</v>
      </c>
      <c r="K60" s="5">
        <v>1</v>
      </c>
      <c r="L60" s="4">
        <v>90</v>
      </c>
      <c r="M60" s="4">
        <v>69</v>
      </c>
      <c r="N60" s="4">
        <v>45</v>
      </c>
      <c r="O60" s="6">
        <f>IFERROR(1-N60/M60,"-")</f>
        <v>0.34782608695652173</v>
      </c>
      <c r="P60" s="4" t="s">
        <v>462</v>
      </c>
      <c r="Q60" s="4" t="s">
        <v>462</v>
      </c>
      <c r="R60" s="4" t="s">
        <v>462</v>
      </c>
      <c r="S60" s="4">
        <v>100</v>
      </c>
      <c r="T60" s="4">
        <f>IF(W60="",S60,S60*W60)</f>
        <v>100</v>
      </c>
      <c r="U60" s="4">
        <v>50</v>
      </c>
      <c r="V60" s="4">
        <f>IF(W60="",U60,U60*W60)</f>
        <v>50</v>
      </c>
      <c r="W60" s="4"/>
      <c r="X60" s="21">
        <f>ROUND(M60*AL60,0)</f>
        <v>77</v>
      </c>
      <c r="Y60" s="6">
        <f>IFERROR(1-V60/X60,"-")</f>
        <v>0.35064935064935066</v>
      </c>
      <c r="Z60" s="33">
        <v>2.75</v>
      </c>
      <c r="AA60" s="4">
        <f>AV60</f>
        <v>90</v>
      </c>
      <c r="AB60" s="33">
        <f>IFERROR(AA60*AL60,"-")</f>
        <v>100</v>
      </c>
      <c r="AC60" s="6">
        <f>IFERROR(1-V60/AB60,"-")</f>
        <v>0.5</v>
      </c>
      <c r="AD60" s="7">
        <v>80</v>
      </c>
      <c r="AE60" s="6">
        <f>1-V60/AD60</f>
        <v>0.375</v>
      </c>
      <c r="AF60" s="4">
        <f>AD60-V60</f>
        <v>30</v>
      </c>
      <c r="AG60" s="28"/>
      <c r="AH60" s="6"/>
      <c r="AI60" s="6"/>
      <c r="AJ60" s="6">
        <f>IFERROR(T60/L60,"-")</f>
        <v>1.1111111111111112</v>
      </c>
      <c r="AK60" s="6">
        <f>IFERROR(AD60/M60,"-")</f>
        <v>1.1594202898550725</v>
      </c>
      <c r="AL60" s="6">
        <f>IFERROR(V60/N60,"-")</f>
        <v>1.1111111111111112</v>
      </c>
      <c r="AM60" s="4" t="str">
        <f t="shared" si="0"/>
        <v>-</v>
      </c>
      <c r="AN60" s="4" t="str">
        <f t="shared" si="1"/>
        <v>-</v>
      </c>
      <c r="AO60" s="4" t="str">
        <f t="shared" si="2"/>
        <v>-</v>
      </c>
      <c r="AP60" s="4">
        <v>0</v>
      </c>
      <c r="AQ60" s="4" t="s">
        <v>748</v>
      </c>
      <c r="AR60" s="4">
        <v>1</v>
      </c>
      <c r="AS60" s="4">
        <v>10</v>
      </c>
      <c r="AT60" s="4" t="s">
        <v>749</v>
      </c>
      <c r="AU60" s="4">
        <v>900</v>
      </c>
      <c r="AV60" s="4">
        <f>IF(AR60="",AU60,AR60/AS60*AU60)</f>
        <v>90</v>
      </c>
      <c r="AW60" s="19">
        <v>4</v>
      </c>
      <c r="AX60" s="19">
        <v>1</v>
      </c>
      <c r="AY60" s="16">
        <v>5</v>
      </c>
      <c r="AZ60" t="s">
        <v>462</v>
      </c>
      <c r="BA60" t="str">
        <f t="shared" si="3"/>
        <v>-</v>
      </c>
      <c r="BB60" t="s">
        <v>462</v>
      </c>
      <c r="BC60" t="str">
        <f t="shared" si="4"/>
        <v>-</v>
      </c>
      <c r="BD60" t="s">
        <v>514</v>
      </c>
    </row>
    <row r="61" spans="1:56" x14ac:dyDescent="0.4">
      <c r="A61" s="3">
        <v>220</v>
      </c>
      <c r="B61" s="3">
        <v>220</v>
      </c>
      <c r="C61" s="4" t="s">
        <v>188</v>
      </c>
      <c r="D61" s="4" t="str">
        <f>TEXT(C61,"000000")</f>
        <v>JA1541</v>
      </c>
      <c r="E61" s="4" t="s">
        <v>188</v>
      </c>
      <c r="F61" s="4" t="s">
        <v>422</v>
      </c>
      <c r="G61" s="5">
        <v>4901881835308</v>
      </c>
      <c r="H61" s="5"/>
      <c r="I61" s="5"/>
      <c r="J61" s="5">
        <v>1</v>
      </c>
      <c r="K61" s="5">
        <v>1</v>
      </c>
      <c r="L61" s="4">
        <v>90</v>
      </c>
      <c r="M61" s="4">
        <v>61</v>
      </c>
      <c r="N61" s="4">
        <v>45</v>
      </c>
      <c r="O61" s="6">
        <f>IFERROR(1-N61/M61,"-")</f>
        <v>0.26229508196721307</v>
      </c>
      <c r="P61" s="4" t="s">
        <v>462</v>
      </c>
      <c r="Q61" s="4" t="s">
        <v>462</v>
      </c>
      <c r="R61" s="4" t="s">
        <v>462</v>
      </c>
      <c r="S61" s="4">
        <v>100</v>
      </c>
      <c r="T61" s="4">
        <f>IF(W61="",S61,S61*W61)</f>
        <v>100</v>
      </c>
      <c r="U61" s="4">
        <v>50</v>
      </c>
      <c r="V61" s="4">
        <f>IF(W61="",U61,U61*W61)</f>
        <v>50</v>
      </c>
      <c r="W61" s="4"/>
      <c r="X61" s="21">
        <f>ROUND(M61*AL61,0)</f>
        <v>68</v>
      </c>
      <c r="Y61" s="6">
        <f>IFERROR(1-V61/X61,"-")</f>
        <v>0.26470588235294112</v>
      </c>
      <c r="Z61" s="33">
        <v>0</v>
      </c>
      <c r="AA61" s="4">
        <f>AV61</f>
        <v>90</v>
      </c>
      <c r="AB61" s="33">
        <f>IFERROR(AA61*AL61,"-")</f>
        <v>100</v>
      </c>
      <c r="AC61" s="6">
        <f>IFERROR(1-V61/AB61,"-")</f>
        <v>0.5</v>
      </c>
      <c r="AD61" s="7">
        <v>80</v>
      </c>
      <c r="AE61" s="6">
        <f>1-V61/AD61</f>
        <v>0.375</v>
      </c>
      <c r="AF61" s="4">
        <f>AD61-V61</f>
        <v>30</v>
      </c>
      <c r="AG61" s="28"/>
      <c r="AH61" s="6"/>
      <c r="AI61" s="6"/>
      <c r="AJ61" s="6">
        <f>IFERROR(T61/L61,"-")</f>
        <v>1.1111111111111112</v>
      </c>
      <c r="AK61" s="6">
        <f>IFERROR(AD61/M61,"-")</f>
        <v>1.3114754098360655</v>
      </c>
      <c r="AL61" s="6">
        <f>IFERROR(V61/N61,"-")</f>
        <v>1.1111111111111112</v>
      </c>
      <c r="AM61" s="4" t="str">
        <f t="shared" si="0"/>
        <v>-</v>
      </c>
      <c r="AN61" s="4" t="str">
        <f t="shared" si="1"/>
        <v>-</v>
      </c>
      <c r="AO61" s="4" t="str">
        <f t="shared" si="2"/>
        <v>-</v>
      </c>
      <c r="AP61" s="4">
        <v>0</v>
      </c>
      <c r="AQ61" s="4" t="s">
        <v>750</v>
      </c>
      <c r="AR61" s="4">
        <v>1</v>
      </c>
      <c r="AS61" s="4">
        <v>10</v>
      </c>
      <c r="AT61" s="4" t="s">
        <v>749</v>
      </c>
      <c r="AU61" s="4">
        <v>900</v>
      </c>
      <c r="AV61" s="4">
        <f>IF(AR61="",AU61,AR61/AS61*AU61)</f>
        <v>90</v>
      </c>
      <c r="AW61" s="19">
        <v>4</v>
      </c>
      <c r="AX61" s="19">
        <v>8</v>
      </c>
      <c r="AY61" s="16">
        <v>5</v>
      </c>
      <c r="AZ61" t="s">
        <v>462</v>
      </c>
      <c r="BA61" t="str">
        <f t="shared" si="3"/>
        <v>-</v>
      </c>
      <c r="BB61" t="s">
        <v>462</v>
      </c>
      <c r="BC61" t="str">
        <f t="shared" si="4"/>
        <v>-</v>
      </c>
      <c r="BD61" t="s">
        <v>515</v>
      </c>
    </row>
    <row r="62" spans="1:56" x14ac:dyDescent="0.4">
      <c r="A62" s="3">
        <v>221</v>
      </c>
      <c r="B62" s="3">
        <v>221</v>
      </c>
      <c r="C62" s="4" t="s">
        <v>189</v>
      </c>
      <c r="D62" s="4" t="str">
        <f>TEXT(C62,"000000")</f>
        <v>JA1542</v>
      </c>
      <c r="E62" s="4" t="s">
        <v>189</v>
      </c>
      <c r="F62" s="4" t="s">
        <v>423</v>
      </c>
      <c r="G62" s="5">
        <v>4901881835315</v>
      </c>
      <c r="H62" s="5"/>
      <c r="I62" s="5"/>
      <c r="J62" s="5">
        <v>1</v>
      </c>
      <c r="K62" s="5">
        <v>1</v>
      </c>
      <c r="L62" s="4">
        <v>90</v>
      </c>
      <c r="M62" s="4">
        <v>68</v>
      </c>
      <c r="N62" s="4">
        <v>45</v>
      </c>
      <c r="O62" s="6">
        <f>IFERROR(1-N62/M62,"-")</f>
        <v>0.33823529411764708</v>
      </c>
      <c r="P62" s="4" t="s">
        <v>462</v>
      </c>
      <c r="Q62" s="4" t="s">
        <v>462</v>
      </c>
      <c r="R62" s="4" t="s">
        <v>462</v>
      </c>
      <c r="S62" s="4">
        <v>100</v>
      </c>
      <c r="T62" s="4">
        <f>IF(W62="",S62,S62*W62)</f>
        <v>100</v>
      </c>
      <c r="U62" s="4">
        <v>50</v>
      </c>
      <c r="V62" s="4">
        <f>IF(W62="",U62,U62*W62)</f>
        <v>50</v>
      </c>
      <c r="W62" s="4"/>
      <c r="X62" s="21">
        <f>ROUND(M62*AL62,0)</f>
        <v>76</v>
      </c>
      <c r="Y62" s="6">
        <f>IFERROR(1-V62/X62,"-")</f>
        <v>0.34210526315789469</v>
      </c>
      <c r="Z62" s="33">
        <v>0.5</v>
      </c>
      <c r="AA62" s="4">
        <f>AV62</f>
        <v>90</v>
      </c>
      <c r="AB62" s="33">
        <f>IFERROR(AA62*AL62,"-")</f>
        <v>100</v>
      </c>
      <c r="AC62" s="6">
        <f>IFERROR(1-V62/AB62,"-")</f>
        <v>0.5</v>
      </c>
      <c r="AD62" s="7">
        <v>80</v>
      </c>
      <c r="AE62" s="6">
        <f>1-V62/AD62</f>
        <v>0.375</v>
      </c>
      <c r="AF62" s="4">
        <f>AD62-V62</f>
        <v>30</v>
      </c>
      <c r="AG62" s="28"/>
      <c r="AH62" s="6"/>
      <c r="AI62" s="6"/>
      <c r="AJ62" s="6">
        <f>IFERROR(T62/L62,"-")</f>
        <v>1.1111111111111112</v>
      </c>
      <c r="AK62" s="6">
        <f>IFERROR(AD62/M62,"-")</f>
        <v>1.1764705882352942</v>
      </c>
      <c r="AL62" s="6">
        <f>IFERROR(V62/N62,"-")</f>
        <v>1.1111111111111112</v>
      </c>
      <c r="AM62" s="4" t="str">
        <f t="shared" si="0"/>
        <v>-</v>
      </c>
      <c r="AN62" s="4" t="str">
        <f t="shared" si="1"/>
        <v>-</v>
      </c>
      <c r="AO62" s="4" t="str">
        <f t="shared" si="2"/>
        <v>-</v>
      </c>
      <c r="AP62" s="4">
        <v>0</v>
      </c>
      <c r="AQ62" s="4" t="s">
        <v>751</v>
      </c>
      <c r="AR62" s="4">
        <v>1</v>
      </c>
      <c r="AS62" s="4">
        <v>10</v>
      </c>
      <c r="AT62" s="4" t="s">
        <v>749</v>
      </c>
      <c r="AU62" s="4">
        <v>900</v>
      </c>
      <c r="AV62" s="4">
        <f>IF(AR62="",AU62,AR62/AS62*AU62)</f>
        <v>90</v>
      </c>
      <c r="AW62" s="19">
        <v>4</v>
      </c>
      <c r="AX62" s="19">
        <v>8</v>
      </c>
      <c r="AY62" s="16">
        <v>5</v>
      </c>
      <c r="AZ62" t="s">
        <v>462</v>
      </c>
      <c r="BA62" t="str">
        <f t="shared" si="3"/>
        <v>-</v>
      </c>
      <c r="BB62" t="s">
        <v>462</v>
      </c>
      <c r="BC62" t="str">
        <f t="shared" si="4"/>
        <v>-</v>
      </c>
      <c r="BD62" t="s">
        <v>516</v>
      </c>
    </row>
    <row r="63" spans="1:56" x14ac:dyDescent="0.4">
      <c r="A63" s="3">
        <v>222</v>
      </c>
      <c r="B63" s="3">
        <v>222</v>
      </c>
      <c r="C63" s="4" t="s">
        <v>190</v>
      </c>
      <c r="D63" s="4" t="str">
        <f>TEXT(C63,"000000")</f>
        <v>JA1543</v>
      </c>
      <c r="E63" s="4" t="s">
        <v>190</v>
      </c>
      <c r="F63" s="4" t="s">
        <v>424</v>
      </c>
      <c r="G63" s="5">
        <v>4901881835322</v>
      </c>
      <c r="H63" s="5"/>
      <c r="I63" s="5"/>
      <c r="J63" s="5">
        <v>1</v>
      </c>
      <c r="K63" s="5">
        <v>1</v>
      </c>
      <c r="L63" s="4">
        <v>90</v>
      </c>
      <c r="M63" s="4">
        <v>61</v>
      </c>
      <c r="N63" s="4">
        <v>45</v>
      </c>
      <c r="O63" s="6">
        <f>IFERROR(1-N63/M63,"-")</f>
        <v>0.26229508196721307</v>
      </c>
      <c r="P63" s="4" t="s">
        <v>462</v>
      </c>
      <c r="Q63" s="4" t="s">
        <v>462</v>
      </c>
      <c r="R63" s="4" t="s">
        <v>462</v>
      </c>
      <c r="S63" s="4">
        <v>100</v>
      </c>
      <c r="T63" s="4">
        <f>IF(W63="",S63,S63*W63)</f>
        <v>100</v>
      </c>
      <c r="U63" s="4">
        <v>50</v>
      </c>
      <c r="V63" s="4">
        <f>IF(W63="",U63,U63*W63)</f>
        <v>50</v>
      </c>
      <c r="W63" s="4"/>
      <c r="X63" s="21">
        <f>ROUND(M63*AL63,0)</f>
        <v>68</v>
      </c>
      <c r="Y63" s="6">
        <f>IFERROR(1-V63/X63,"-")</f>
        <v>0.26470588235294112</v>
      </c>
      <c r="Z63" s="33">
        <v>0.25</v>
      </c>
      <c r="AA63" s="4">
        <f>AV63</f>
        <v>90</v>
      </c>
      <c r="AB63" s="33">
        <f>IFERROR(AA63*AL63,"-")</f>
        <v>100</v>
      </c>
      <c r="AC63" s="6">
        <f>IFERROR(1-V63/AB63,"-")</f>
        <v>0.5</v>
      </c>
      <c r="AD63" s="7">
        <v>80</v>
      </c>
      <c r="AE63" s="6">
        <f>1-V63/AD63</f>
        <v>0.375</v>
      </c>
      <c r="AF63" s="4">
        <f>AD63-V63</f>
        <v>30</v>
      </c>
      <c r="AG63" s="28"/>
      <c r="AH63" s="6"/>
      <c r="AI63" s="6"/>
      <c r="AJ63" s="6">
        <f>IFERROR(T63/L63,"-")</f>
        <v>1.1111111111111112</v>
      </c>
      <c r="AK63" s="6">
        <f>IFERROR(AD63/M63,"-")</f>
        <v>1.3114754098360655</v>
      </c>
      <c r="AL63" s="6">
        <f>IFERROR(V63/N63,"-")</f>
        <v>1.1111111111111112</v>
      </c>
      <c r="AM63" s="4" t="str">
        <f t="shared" si="0"/>
        <v>-</v>
      </c>
      <c r="AN63" s="4" t="str">
        <f t="shared" si="1"/>
        <v>-</v>
      </c>
      <c r="AO63" s="4" t="str">
        <f t="shared" si="2"/>
        <v>-</v>
      </c>
      <c r="AP63" s="4">
        <v>0</v>
      </c>
      <c r="AQ63" s="4" t="s">
        <v>752</v>
      </c>
      <c r="AR63" s="4">
        <v>1</v>
      </c>
      <c r="AS63" s="4">
        <v>10</v>
      </c>
      <c r="AT63" s="4" t="s">
        <v>749</v>
      </c>
      <c r="AU63" s="4">
        <v>900</v>
      </c>
      <c r="AV63" s="4">
        <f>IF(AR63="",AU63,AR63/AS63*AU63)</f>
        <v>90</v>
      </c>
      <c r="AW63" s="19">
        <v>4</v>
      </c>
      <c r="AX63" s="19">
        <v>8</v>
      </c>
      <c r="AY63" s="16">
        <v>5</v>
      </c>
      <c r="AZ63" t="s">
        <v>462</v>
      </c>
      <c r="BA63" t="str">
        <f t="shared" si="3"/>
        <v>-</v>
      </c>
      <c r="BB63" t="s">
        <v>462</v>
      </c>
      <c r="BC63" t="str">
        <f t="shared" si="4"/>
        <v>-</v>
      </c>
      <c r="BD63" t="s">
        <v>517</v>
      </c>
    </row>
    <row r="64" spans="1:56" x14ac:dyDescent="0.4">
      <c r="A64" s="3">
        <v>225</v>
      </c>
      <c r="B64" s="3">
        <v>225</v>
      </c>
      <c r="C64" s="4" t="s">
        <v>193</v>
      </c>
      <c r="D64" s="4" t="str">
        <f>TEXT(C64,"000000")</f>
        <v>JA1544</v>
      </c>
      <c r="E64" s="4" t="s">
        <v>193</v>
      </c>
      <c r="F64" s="4" t="s">
        <v>427</v>
      </c>
      <c r="G64" s="5">
        <v>4901881835339</v>
      </c>
      <c r="H64" s="5"/>
      <c r="I64" s="5"/>
      <c r="J64" s="5">
        <v>1</v>
      </c>
      <c r="K64" s="5">
        <v>1</v>
      </c>
      <c r="L64" s="4">
        <v>90</v>
      </c>
      <c r="M64" s="4">
        <v>69</v>
      </c>
      <c r="N64" s="4">
        <v>45</v>
      </c>
      <c r="O64" s="6">
        <f>IFERROR(1-N64/M64,"-")</f>
        <v>0.34782608695652173</v>
      </c>
      <c r="P64" s="4" t="s">
        <v>462</v>
      </c>
      <c r="Q64" s="4" t="s">
        <v>462</v>
      </c>
      <c r="R64" s="4" t="s">
        <v>462</v>
      </c>
      <c r="S64" s="4">
        <v>100</v>
      </c>
      <c r="T64" s="4">
        <f>IF(W64="",S64,S64*W64)</f>
        <v>100</v>
      </c>
      <c r="U64" s="4">
        <v>50</v>
      </c>
      <c r="V64" s="4">
        <f>IF(W64="",U64,U64*W64)</f>
        <v>50</v>
      </c>
      <c r="W64" s="4"/>
      <c r="X64" s="21">
        <f>ROUND(M64*AL64,0)</f>
        <v>77</v>
      </c>
      <c r="Y64" s="6">
        <f>IFERROR(1-V64/X64,"-")</f>
        <v>0.35064935064935066</v>
      </c>
      <c r="Z64" s="33">
        <v>0.5</v>
      </c>
      <c r="AA64" s="4">
        <f>AV64</f>
        <v>90</v>
      </c>
      <c r="AB64" s="33">
        <f>IFERROR(AA64*AL64,"-")</f>
        <v>100</v>
      </c>
      <c r="AC64" s="6">
        <f>IFERROR(1-V64/AB64,"-")</f>
        <v>0.5</v>
      </c>
      <c r="AD64" s="7">
        <v>80</v>
      </c>
      <c r="AE64" s="6">
        <f>1-V64/AD64</f>
        <v>0.375</v>
      </c>
      <c r="AF64" s="4">
        <f>AD64-V64</f>
        <v>30</v>
      </c>
      <c r="AG64" s="28"/>
      <c r="AH64" s="6"/>
      <c r="AI64" s="6"/>
      <c r="AJ64" s="6">
        <f>IFERROR(T64/L64,"-")</f>
        <v>1.1111111111111112</v>
      </c>
      <c r="AK64" s="6">
        <f>IFERROR(AD64/M64,"-")</f>
        <v>1.1594202898550725</v>
      </c>
      <c r="AL64" s="6">
        <f>IFERROR(V64/N64,"-")</f>
        <v>1.1111111111111112</v>
      </c>
      <c r="AM64" s="4" t="str">
        <f t="shared" si="0"/>
        <v>-</v>
      </c>
      <c r="AN64" s="4" t="str">
        <f t="shared" si="1"/>
        <v>-</v>
      </c>
      <c r="AO64" s="4" t="str">
        <f t="shared" si="2"/>
        <v>-</v>
      </c>
      <c r="AP64" s="4">
        <v>0</v>
      </c>
      <c r="AQ64" s="4" t="s">
        <v>753</v>
      </c>
      <c r="AR64" s="4">
        <v>1</v>
      </c>
      <c r="AS64" s="4">
        <v>10</v>
      </c>
      <c r="AT64" s="4" t="s">
        <v>749</v>
      </c>
      <c r="AU64" s="4">
        <v>900</v>
      </c>
      <c r="AV64" s="4">
        <f>IF(AR64="",AU64,AR64/AS64*AU64)</f>
        <v>90</v>
      </c>
      <c r="AW64" s="19">
        <v>4</v>
      </c>
      <c r="AX64" s="19">
        <v>8</v>
      </c>
      <c r="AY64" s="16">
        <v>5</v>
      </c>
      <c r="AZ64" t="s">
        <v>462</v>
      </c>
      <c r="BA64" t="str">
        <f t="shared" si="3"/>
        <v>-</v>
      </c>
      <c r="BB64" t="s">
        <v>462</v>
      </c>
      <c r="BC64" t="str">
        <f t="shared" si="4"/>
        <v>-</v>
      </c>
      <c r="BD64" t="s">
        <v>518</v>
      </c>
    </row>
    <row r="65" spans="1:56" x14ac:dyDescent="0.4">
      <c r="A65" s="3">
        <v>226</v>
      </c>
      <c r="B65" s="3">
        <v>226</v>
      </c>
      <c r="C65" s="4" t="s">
        <v>194</v>
      </c>
      <c r="D65" s="4" t="str">
        <f>TEXT(C65,"000000")</f>
        <v>JA1545</v>
      </c>
      <c r="E65" s="4" t="s">
        <v>194</v>
      </c>
      <c r="F65" s="4" t="s">
        <v>428</v>
      </c>
      <c r="G65" s="5">
        <v>4901881835346</v>
      </c>
      <c r="H65" s="5"/>
      <c r="I65" s="5"/>
      <c r="J65" s="5">
        <v>1</v>
      </c>
      <c r="K65" s="5">
        <v>1</v>
      </c>
      <c r="L65" s="4">
        <v>90</v>
      </c>
      <c r="M65" s="4">
        <v>68</v>
      </c>
      <c r="N65" s="4">
        <v>45</v>
      </c>
      <c r="O65" s="6">
        <f>IFERROR(1-N65/M65,"-")</f>
        <v>0.33823529411764708</v>
      </c>
      <c r="P65" s="4" t="s">
        <v>462</v>
      </c>
      <c r="Q65" s="4" t="s">
        <v>462</v>
      </c>
      <c r="R65" s="4" t="s">
        <v>462</v>
      </c>
      <c r="S65" s="4">
        <v>100</v>
      </c>
      <c r="T65" s="4">
        <f>IF(W65="",S65,S65*W65)</f>
        <v>100</v>
      </c>
      <c r="U65" s="4">
        <v>50</v>
      </c>
      <c r="V65" s="4">
        <f>IF(W65="",U65,U65*W65)</f>
        <v>50</v>
      </c>
      <c r="W65" s="4"/>
      <c r="X65" s="21">
        <f>ROUND(M65*AL65,0)</f>
        <v>76</v>
      </c>
      <c r="Y65" s="6">
        <f>IFERROR(1-V65/X65,"-")</f>
        <v>0.34210526315789469</v>
      </c>
      <c r="Z65" s="33">
        <v>0.5</v>
      </c>
      <c r="AA65" s="4">
        <f>AV65</f>
        <v>90</v>
      </c>
      <c r="AB65" s="33">
        <f>IFERROR(AA65*AL65,"-")</f>
        <v>100</v>
      </c>
      <c r="AC65" s="6">
        <f>IFERROR(1-V65/AB65,"-")</f>
        <v>0.5</v>
      </c>
      <c r="AD65" s="7">
        <v>80</v>
      </c>
      <c r="AE65" s="6">
        <f>1-V65/AD65</f>
        <v>0.375</v>
      </c>
      <c r="AF65" s="4">
        <f>AD65-V65</f>
        <v>30</v>
      </c>
      <c r="AG65" s="28"/>
      <c r="AH65" s="6"/>
      <c r="AI65" s="6"/>
      <c r="AJ65" s="6">
        <f>IFERROR(T65/L65,"-")</f>
        <v>1.1111111111111112</v>
      </c>
      <c r="AK65" s="6">
        <f>IFERROR(AD65/M65,"-")</f>
        <v>1.1764705882352942</v>
      </c>
      <c r="AL65" s="6">
        <f>IFERROR(V65/N65,"-")</f>
        <v>1.1111111111111112</v>
      </c>
      <c r="AM65" s="4" t="str">
        <f t="shared" si="0"/>
        <v>-</v>
      </c>
      <c r="AN65" s="4" t="str">
        <f t="shared" si="1"/>
        <v>-</v>
      </c>
      <c r="AO65" s="4" t="str">
        <f t="shared" si="2"/>
        <v>-</v>
      </c>
      <c r="AP65" s="4">
        <v>0</v>
      </c>
      <c r="AQ65" s="4" t="s">
        <v>754</v>
      </c>
      <c r="AR65" s="4">
        <v>1</v>
      </c>
      <c r="AS65" s="4">
        <v>10</v>
      </c>
      <c r="AT65" s="4" t="s">
        <v>749</v>
      </c>
      <c r="AU65" s="4">
        <v>900</v>
      </c>
      <c r="AV65" s="4">
        <f>IF(AR65="",AU65,AR65/AS65*AU65)</f>
        <v>90</v>
      </c>
      <c r="AW65" s="19">
        <v>4</v>
      </c>
      <c r="AX65" s="19">
        <v>8</v>
      </c>
      <c r="AY65" s="16">
        <v>5</v>
      </c>
      <c r="AZ65" t="s">
        <v>462</v>
      </c>
      <c r="BA65" t="str">
        <f t="shared" si="3"/>
        <v>-</v>
      </c>
      <c r="BB65" t="s">
        <v>462</v>
      </c>
      <c r="BC65" t="str">
        <f t="shared" si="4"/>
        <v>-</v>
      </c>
      <c r="BD65" t="s">
        <v>519</v>
      </c>
    </row>
    <row r="66" spans="1:56" x14ac:dyDescent="0.4">
      <c r="A66" s="3">
        <v>227</v>
      </c>
      <c r="B66" s="3">
        <v>227</v>
      </c>
      <c r="C66" s="4" t="s">
        <v>195</v>
      </c>
      <c r="D66" s="4" t="str">
        <f>TEXT(C66,"000000")</f>
        <v>JA1546</v>
      </c>
      <c r="E66" s="4" t="s">
        <v>195</v>
      </c>
      <c r="F66" s="4" t="s">
        <v>429</v>
      </c>
      <c r="G66" s="5">
        <v>4901881835353</v>
      </c>
      <c r="H66" s="5"/>
      <c r="I66" s="5"/>
      <c r="J66" s="5">
        <v>1</v>
      </c>
      <c r="K66" s="5">
        <v>1</v>
      </c>
      <c r="L66" s="4">
        <v>90</v>
      </c>
      <c r="M66" s="4">
        <v>68</v>
      </c>
      <c r="N66" s="4">
        <v>45</v>
      </c>
      <c r="O66" s="6">
        <f>IFERROR(1-N66/M66,"-")</f>
        <v>0.33823529411764708</v>
      </c>
      <c r="P66" s="4" t="s">
        <v>462</v>
      </c>
      <c r="Q66" s="4" t="s">
        <v>462</v>
      </c>
      <c r="R66" s="4" t="s">
        <v>462</v>
      </c>
      <c r="S66" s="4">
        <v>100</v>
      </c>
      <c r="T66" s="4">
        <f>IF(W66="",S66,S66*W66)</f>
        <v>100</v>
      </c>
      <c r="U66" s="4">
        <v>50</v>
      </c>
      <c r="V66" s="4">
        <f>IF(W66="",U66,U66*W66)</f>
        <v>50</v>
      </c>
      <c r="W66" s="4"/>
      <c r="X66" s="21">
        <f>ROUND(M66*AL66,0)</f>
        <v>76</v>
      </c>
      <c r="Y66" s="6">
        <f>IFERROR(1-V66/X66,"-")</f>
        <v>0.34210526315789469</v>
      </c>
      <c r="Z66" s="33">
        <v>0.25</v>
      </c>
      <c r="AA66" s="4">
        <f>AV66</f>
        <v>90</v>
      </c>
      <c r="AB66" s="33">
        <f>IFERROR(AA66*AL66,"-")</f>
        <v>100</v>
      </c>
      <c r="AC66" s="6">
        <f>IFERROR(1-V66/AB66,"-")</f>
        <v>0.5</v>
      </c>
      <c r="AD66" s="7">
        <v>80</v>
      </c>
      <c r="AE66" s="6">
        <f>1-V66/AD66</f>
        <v>0.375</v>
      </c>
      <c r="AF66" s="4">
        <f>AD66-V66</f>
        <v>30</v>
      </c>
      <c r="AG66" s="28"/>
      <c r="AH66" s="6"/>
      <c r="AI66" s="6"/>
      <c r="AJ66" s="6">
        <f>IFERROR(T66/L66,"-")</f>
        <v>1.1111111111111112</v>
      </c>
      <c r="AK66" s="6">
        <f>IFERROR(AD66/M66,"-")</f>
        <v>1.1764705882352942</v>
      </c>
      <c r="AL66" s="6">
        <f>IFERROR(V66/N66,"-")</f>
        <v>1.1111111111111112</v>
      </c>
      <c r="AM66" s="4" t="str">
        <f t="shared" si="0"/>
        <v>-</v>
      </c>
      <c r="AN66" s="4" t="str">
        <f t="shared" si="1"/>
        <v>-</v>
      </c>
      <c r="AO66" s="4" t="str">
        <f t="shared" si="2"/>
        <v>-</v>
      </c>
      <c r="AP66" s="4">
        <v>0</v>
      </c>
      <c r="AQ66" s="4" t="s">
        <v>755</v>
      </c>
      <c r="AR66" s="4">
        <v>1</v>
      </c>
      <c r="AS66" s="4">
        <v>10</v>
      </c>
      <c r="AT66" s="4" t="s">
        <v>749</v>
      </c>
      <c r="AU66" s="4">
        <v>900</v>
      </c>
      <c r="AV66" s="4">
        <f>IF(AR66="",AU66,AR66/AS66*AU66)</f>
        <v>90</v>
      </c>
      <c r="AW66" s="19">
        <v>4</v>
      </c>
      <c r="AX66" s="19">
        <v>8</v>
      </c>
      <c r="AY66" s="16">
        <v>5</v>
      </c>
      <c r="AZ66" t="s">
        <v>462</v>
      </c>
      <c r="BA66" t="str">
        <f t="shared" si="3"/>
        <v>-</v>
      </c>
      <c r="BB66" t="s">
        <v>462</v>
      </c>
      <c r="BC66" t="str">
        <f t="shared" si="4"/>
        <v>-</v>
      </c>
      <c r="BD66" t="s">
        <v>520</v>
      </c>
    </row>
    <row r="67" spans="1:56" x14ac:dyDescent="0.4">
      <c r="A67" s="3">
        <v>228</v>
      </c>
      <c r="B67" s="3">
        <v>228</v>
      </c>
      <c r="C67" s="4" t="s">
        <v>196</v>
      </c>
      <c r="D67" s="4" t="str">
        <f>TEXT(C67,"000000")</f>
        <v>JA1547</v>
      </c>
      <c r="E67" s="4" t="s">
        <v>196</v>
      </c>
      <c r="F67" s="4" t="s">
        <v>430</v>
      </c>
      <c r="G67" s="5">
        <v>4901881835360</v>
      </c>
      <c r="H67" s="5"/>
      <c r="I67" s="5"/>
      <c r="J67" s="5">
        <v>1</v>
      </c>
      <c r="K67" s="5">
        <v>1</v>
      </c>
      <c r="L67" s="4">
        <v>90</v>
      </c>
      <c r="M67" s="4">
        <v>68</v>
      </c>
      <c r="N67" s="4">
        <v>45</v>
      </c>
      <c r="O67" s="6">
        <f>IFERROR(1-N67/M67,"-")</f>
        <v>0.33823529411764708</v>
      </c>
      <c r="P67" s="4" t="s">
        <v>462</v>
      </c>
      <c r="Q67" s="4" t="s">
        <v>462</v>
      </c>
      <c r="R67" s="4" t="s">
        <v>462</v>
      </c>
      <c r="S67" s="4">
        <v>100</v>
      </c>
      <c r="T67" s="4">
        <f>IF(W67="",S67,S67*W67)</f>
        <v>100</v>
      </c>
      <c r="U67" s="4">
        <v>50</v>
      </c>
      <c r="V67" s="4">
        <f>IF(W67="",U67,U67*W67)</f>
        <v>50</v>
      </c>
      <c r="W67" s="4"/>
      <c r="X67" s="21">
        <f>ROUND(M67*AL67,0)</f>
        <v>76</v>
      </c>
      <c r="Y67" s="6">
        <f>IFERROR(1-V67/X67,"-")</f>
        <v>0.34210526315789469</v>
      </c>
      <c r="Z67" s="33">
        <v>0.5</v>
      </c>
      <c r="AA67" s="4">
        <f>AV67</f>
        <v>90</v>
      </c>
      <c r="AB67" s="33">
        <f>IFERROR(AA67*AL67,"-")</f>
        <v>100</v>
      </c>
      <c r="AC67" s="6">
        <f>IFERROR(1-V67/AB67,"-")</f>
        <v>0.5</v>
      </c>
      <c r="AD67" s="7">
        <v>80</v>
      </c>
      <c r="AE67" s="6">
        <f>1-V67/AD67</f>
        <v>0.375</v>
      </c>
      <c r="AF67" s="4">
        <f>AD67-V67</f>
        <v>30</v>
      </c>
      <c r="AG67" s="28"/>
      <c r="AH67" s="6"/>
      <c r="AI67" s="6"/>
      <c r="AJ67" s="6">
        <f>IFERROR(T67/L67,"-")</f>
        <v>1.1111111111111112</v>
      </c>
      <c r="AK67" s="6">
        <f>IFERROR(AD67/M67,"-")</f>
        <v>1.1764705882352942</v>
      </c>
      <c r="AL67" s="6">
        <f>IFERROR(V67/N67,"-")</f>
        <v>1.1111111111111112</v>
      </c>
      <c r="AM67" s="4" t="str">
        <f t="shared" si="0"/>
        <v>-</v>
      </c>
      <c r="AN67" s="4" t="str">
        <f t="shared" si="1"/>
        <v>-</v>
      </c>
      <c r="AO67" s="4" t="str">
        <f t="shared" si="2"/>
        <v>-</v>
      </c>
      <c r="AP67" s="4">
        <v>0</v>
      </c>
      <c r="AQ67" s="4" t="s">
        <v>756</v>
      </c>
      <c r="AR67" s="4">
        <v>1</v>
      </c>
      <c r="AS67" s="4">
        <v>10</v>
      </c>
      <c r="AT67" s="4" t="s">
        <v>749</v>
      </c>
      <c r="AU67" s="4">
        <v>900</v>
      </c>
      <c r="AV67" s="4">
        <f>IF(AR67="",AU67,AR67/AS67*AU67)</f>
        <v>90</v>
      </c>
      <c r="AW67" s="19">
        <v>4</v>
      </c>
      <c r="AX67" s="19">
        <v>8</v>
      </c>
      <c r="AY67" s="16">
        <v>5</v>
      </c>
      <c r="AZ67" t="s">
        <v>462</v>
      </c>
      <c r="BA67" t="str">
        <f t="shared" si="3"/>
        <v>-</v>
      </c>
      <c r="BB67" t="s">
        <v>462</v>
      </c>
      <c r="BC67" t="str">
        <f t="shared" si="4"/>
        <v>-</v>
      </c>
      <c r="BD67" t="s">
        <v>521</v>
      </c>
    </row>
    <row r="68" spans="1:56" x14ac:dyDescent="0.4">
      <c r="A68" s="3">
        <v>230</v>
      </c>
      <c r="B68" s="3">
        <v>230</v>
      </c>
      <c r="C68" s="4" t="s">
        <v>198</v>
      </c>
      <c r="D68" s="4" t="str">
        <f>TEXT(C68,"000000")</f>
        <v>JA1548</v>
      </c>
      <c r="E68" s="4" t="s">
        <v>198</v>
      </c>
      <c r="F68" s="4" t="s">
        <v>432</v>
      </c>
      <c r="G68" s="5">
        <v>4901881835377</v>
      </c>
      <c r="H68" s="5"/>
      <c r="I68" s="5"/>
      <c r="J68" s="5">
        <v>1</v>
      </c>
      <c r="K68" s="5">
        <v>1</v>
      </c>
      <c r="L68" s="4">
        <v>90</v>
      </c>
      <c r="M68" s="4">
        <v>69</v>
      </c>
      <c r="N68" s="4">
        <v>45</v>
      </c>
      <c r="O68" s="6">
        <f>IFERROR(1-N68/M68,"-")</f>
        <v>0.34782608695652173</v>
      </c>
      <c r="P68" s="4" t="s">
        <v>462</v>
      </c>
      <c r="Q68" s="4" t="s">
        <v>462</v>
      </c>
      <c r="R68" s="4" t="s">
        <v>462</v>
      </c>
      <c r="S68" s="4">
        <v>100</v>
      </c>
      <c r="T68" s="4">
        <f>IF(W68="",S68,S68*W68)</f>
        <v>100</v>
      </c>
      <c r="U68" s="4">
        <v>50</v>
      </c>
      <c r="V68" s="4">
        <f>IF(W68="",U68,U68*W68)</f>
        <v>50</v>
      </c>
      <c r="W68" s="4"/>
      <c r="X68" s="21">
        <f>ROUND(M68*AL68,0)</f>
        <v>77</v>
      </c>
      <c r="Y68" s="6">
        <f>IFERROR(1-V68/X68,"-")</f>
        <v>0.35064935064935066</v>
      </c>
      <c r="Z68" s="33">
        <v>1.5</v>
      </c>
      <c r="AA68" s="4">
        <f>AV68</f>
        <v>90</v>
      </c>
      <c r="AB68" s="33">
        <f>IFERROR(AA68*AL68,"-")</f>
        <v>100</v>
      </c>
      <c r="AC68" s="6">
        <f>IFERROR(1-V68/AB68,"-")</f>
        <v>0.5</v>
      </c>
      <c r="AD68" s="7">
        <v>80</v>
      </c>
      <c r="AE68" s="6">
        <f>1-V68/AD68</f>
        <v>0.375</v>
      </c>
      <c r="AF68" s="4">
        <f>AD68-V68</f>
        <v>30</v>
      </c>
      <c r="AG68" s="28"/>
      <c r="AH68" s="6"/>
      <c r="AI68" s="6"/>
      <c r="AJ68" s="6">
        <f>IFERROR(T68/L68,"-")</f>
        <v>1.1111111111111112</v>
      </c>
      <c r="AK68" s="6">
        <f>IFERROR(AD68/M68,"-")</f>
        <v>1.1594202898550725</v>
      </c>
      <c r="AL68" s="6">
        <f>IFERROR(V68/N68,"-")</f>
        <v>1.1111111111111112</v>
      </c>
      <c r="AM68" s="4" t="str">
        <f t="shared" si="0"/>
        <v>-</v>
      </c>
      <c r="AN68" s="4" t="str">
        <f t="shared" si="1"/>
        <v>-</v>
      </c>
      <c r="AO68" s="4" t="str">
        <f t="shared" si="2"/>
        <v>-</v>
      </c>
      <c r="AP68" s="4">
        <v>0</v>
      </c>
      <c r="AQ68" s="4" t="s">
        <v>757</v>
      </c>
      <c r="AR68" s="4">
        <v>1</v>
      </c>
      <c r="AS68" s="4">
        <v>10</v>
      </c>
      <c r="AT68" s="4" t="s">
        <v>749</v>
      </c>
      <c r="AU68" s="4">
        <v>900</v>
      </c>
      <c r="AV68" s="4">
        <f>IF(AR68="",AU68,AR68/AS68*AU68)</f>
        <v>90</v>
      </c>
      <c r="AW68" s="19">
        <v>4</v>
      </c>
      <c r="AX68" s="19">
        <v>1</v>
      </c>
      <c r="AY68" s="16">
        <v>5</v>
      </c>
      <c r="AZ68" t="s">
        <v>462</v>
      </c>
      <c r="BA68" t="str">
        <f t="shared" si="3"/>
        <v>-</v>
      </c>
      <c r="BB68" t="s">
        <v>462</v>
      </c>
      <c r="BC68" t="str">
        <f t="shared" si="4"/>
        <v>-</v>
      </c>
      <c r="BD68" t="s">
        <v>522</v>
      </c>
    </row>
    <row r="69" spans="1:56" x14ac:dyDescent="0.4">
      <c r="A69" s="3">
        <v>231</v>
      </c>
      <c r="B69" s="3">
        <v>231</v>
      </c>
      <c r="C69" s="4" t="s">
        <v>199</v>
      </c>
      <c r="D69" s="4" t="str">
        <f>TEXT(C69,"000000")</f>
        <v>JA1549</v>
      </c>
      <c r="E69" s="4" t="s">
        <v>199</v>
      </c>
      <c r="F69" s="4" t="s">
        <v>433</v>
      </c>
      <c r="G69" s="5">
        <v>4901881835384</v>
      </c>
      <c r="H69" s="5"/>
      <c r="I69" s="5"/>
      <c r="J69" s="5">
        <v>1</v>
      </c>
      <c r="K69" s="5">
        <v>1</v>
      </c>
      <c r="L69" s="4">
        <v>90</v>
      </c>
      <c r="M69" s="4">
        <v>68</v>
      </c>
      <c r="N69" s="4">
        <v>45</v>
      </c>
      <c r="O69" s="6">
        <f>IFERROR(1-N69/M69,"-")</f>
        <v>0.33823529411764708</v>
      </c>
      <c r="P69" s="4" t="s">
        <v>462</v>
      </c>
      <c r="Q69" s="4" t="s">
        <v>462</v>
      </c>
      <c r="R69" s="4" t="s">
        <v>462</v>
      </c>
      <c r="S69" s="4">
        <v>100</v>
      </c>
      <c r="T69" s="4">
        <f>IF(W69="",S69,S69*W69)</f>
        <v>100</v>
      </c>
      <c r="U69" s="4">
        <v>50</v>
      </c>
      <c r="V69" s="4">
        <f>IF(W69="",U69,U69*W69)</f>
        <v>50</v>
      </c>
      <c r="W69" s="4"/>
      <c r="X69" s="21">
        <f>ROUND(M69*AL69,0)</f>
        <v>76</v>
      </c>
      <c r="Y69" s="6">
        <f>IFERROR(1-V69/X69,"-")</f>
        <v>0.34210526315789469</v>
      </c>
      <c r="Z69" s="33">
        <v>0.25</v>
      </c>
      <c r="AA69" s="4">
        <f>AV69</f>
        <v>90</v>
      </c>
      <c r="AB69" s="33">
        <f>IFERROR(AA69*AL69,"-")</f>
        <v>100</v>
      </c>
      <c r="AC69" s="6">
        <f>IFERROR(1-V69/AB69,"-")</f>
        <v>0.5</v>
      </c>
      <c r="AD69" s="7">
        <v>80</v>
      </c>
      <c r="AE69" s="6">
        <f>1-V69/AD69</f>
        <v>0.375</v>
      </c>
      <c r="AF69" s="4">
        <f>AD69-V69</f>
        <v>30</v>
      </c>
      <c r="AG69" s="28"/>
      <c r="AH69" s="6"/>
      <c r="AI69" s="6"/>
      <c r="AJ69" s="6">
        <f>IFERROR(T69/L69,"-")</f>
        <v>1.1111111111111112</v>
      </c>
      <c r="AK69" s="6">
        <f>IFERROR(AD69/M69,"-")</f>
        <v>1.1764705882352942</v>
      </c>
      <c r="AL69" s="6">
        <f>IFERROR(V69/N69,"-")</f>
        <v>1.1111111111111112</v>
      </c>
      <c r="AM69" s="4" t="str">
        <f t="shared" ref="AM69:AM132" si="5">IFERROR(ROUND($AD69*P69/$M69,0),"-")</f>
        <v>-</v>
      </c>
      <c r="AN69" s="4" t="str">
        <f t="shared" ref="AN69:AN132" si="6">IF(Q69="","-",Q69)</f>
        <v>-</v>
      </c>
      <c r="AO69" s="4" t="str">
        <f t="shared" ref="AO69:AO132" si="7">IF(R69="","-",R69)</f>
        <v>-</v>
      </c>
      <c r="AP69" s="4">
        <v>0</v>
      </c>
      <c r="AQ69" s="4" t="s">
        <v>758</v>
      </c>
      <c r="AR69" s="4">
        <v>1</v>
      </c>
      <c r="AS69" s="4">
        <v>10</v>
      </c>
      <c r="AT69" s="4" t="s">
        <v>749</v>
      </c>
      <c r="AU69" s="4">
        <v>900</v>
      </c>
      <c r="AV69" s="4">
        <f>IF(AR69="",AU69,AR69/AS69*AU69)</f>
        <v>90</v>
      </c>
      <c r="AW69" s="19">
        <v>4</v>
      </c>
      <c r="AX69" s="19">
        <v>8</v>
      </c>
      <c r="AY69" s="16">
        <v>5</v>
      </c>
      <c r="AZ69" t="s">
        <v>462</v>
      </c>
      <c r="BA69" t="str">
        <f t="shared" ref="BA69:BA132" si="8">IFERROR(AZ69*AL69,"-")</f>
        <v>-</v>
      </c>
      <c r="BB69" t="s">
        <v>462</v>
      </c>
      <c r="BC69" t="str">
        <f t="shared" ref="BC69:BC132" si="9">IFERROR(BB69*AL69,"-")</f>
        <v>-</v>
      </c>
      <c r="BD69" t="s">
        <v>523</v>
      </c>
    </row>
    <row r="70" spans="1:56" x14ac:dyDescent="0.4">
      <c r="A70" s="3">
        <v>232</v>
      </c>
      <c r="B70" s="3">
        <v>232</v>
      </c>
      <c r="C70" s="4" t="s">
        <v>200</v>
      </c>
      <c r="D70" s="4" t="str">
        <f>TEXT(C70,"000000")</f>
        <v>JA1550</v>
      </c>
      <c r="E70" s="4" t="s">
        <v>200</v>
      </c>
      <c r="F70" s="4" t="s">
        <v>434</v>
      </c>
      <c r="G70" s="5">
        <v>4901881835391</v>
      </c>
      <c r="H70" s="5"/>
      <c r="I70" s="5"/>
      <c r="J70" s="5">
        <v>1</v>
      </c>
      <c r="K70" s="5">
        <v>1</v>
      </c>
      <c r="L70" s="4">
        <v>90</v>
      </c>
      <c r="M70" s="4">
        <v>68</v>
      </c>
      <c r="N70" s="4">
        <v>45</v>
      </c>
      <c r="O70" s="6">
        <f>IFERROR(1-N70/M70,"-")</f>
        <v>0.33823529411764708</v>
      </c>
      <c r="P70" s="4" t="s">
        <v>462</v>
      </c>
      <c r="Q70" s="4" t="s">
        <v>462</v>
      </c>
      <c r="R70" s="4" t="s">
        <v>462</v>
      </c>
      <c r="S70" s="4">
        <v>100</v>
      </c>
      <c r="T70" s="4">
        <f>IF(W70="",S70,S70*W70)</f>
        <v>100</v>
      </c>
      <c r="U70" s="4">
        <v>50</v>
      </c>
      <c r="V70" s="4">
        <f>IF(W70="",U70,U70*W70)</f>
        <v>50</v>
      </c>
      <c r="W70" s="4"/>
      <c r="X70" s="21">
        <f>ROUND(M70*AL70,0)</f>
        <v>76</v>
      </c>
      <c r="Y70" s="6">
        <f>IFERROR(1-V70/X70,"-")</f>
        <v>0.34210526315789469</v>
      </c>
      <c r="Z70" s="33">
        <v>0.5</v>
      </c>
      <c r="AA70" s="4">
        <f>AV70</f>
        <v>90</v>
      </c>
      <c r="AB70" s="33">
        <f>IFERROR(AA70*AL70,"-")</f>
        <v>100</v>
      </c>
      <c r="AC70" s="6">
        <f>IFERROR(1-V70/AB70,"-")</f>
        <v>0.5</v>
      </c>
      <c r="AD70" s="7">
        <v>80</v>
      </c>
      <c r="AE70" s="6">
        <f>1-V70/AD70</f>
        <v>0.375</v>
      </c>
      <c r="AF70" s="4">
        <f>AD70-V70</f>
        <v>30</v>
      </c>
      <c r="AG70" s="28"/>
      <c r="AH70" s="6"/>
      <c r="AI70" s="6"/>
      <c r="AJ70" s="6">
        <f>IFERROR(T70/L70,"-")</f>
        <v>1.1111111111111112</v>
      </c>
      <c r="AK70" s="6">
        <f>IFERROR(AD70/M70,"-")</f>
        <v>1.1764705882352942</v>
      </c>
      <c r="AL70" s="6">
        <f>IFERROR(V70/N70,"-")</f>
        <v>1.1111111111111112</v>
      </c>
      <c r="AM70" s="4" t="str">
        <f t="shared" si="5"/>
        <v>-</v>
      </c>
      <c r="AN70" s="4" t="str">
        <f t="shared" si="6"/>
        <v>-</v>
      </c>
      <c r="AO70" s="4" t="str">
        <f t="shared" si="7"/>
        <v>-</v>
      </c>
      <c r="AP70" s="4">
        <v>0</v>
      </c>
      <c r="AQ70" s="4" t="s">
        <v>759</v>
      </c>
      <c r="AR70" s="4">
        <v>1</v>
      </c>
      <c r="AS70" s="4">
        <v>10</v>
      </c>
      <c r="AT70" s="4" t="s">
        <v>749</v>
      </c>
      <c r="AU70" s="4">
        <v>900</v>
      </c>
      <c r="AV70" s="4">
        <f>IF(AR70="",AU70,AR70/AS70*AU70)</f>
        <v>90</v>
      </c>
      <c r="AW70" s="19">
        <v>4</v>
      </c>
      <c r="AX70" s="19">
        <v>8</v>
      </c>
      <c r="AY70" s="16">
        <v>5</v>
      </c>
      <c r="AZ70" t="s">
        <v>462</v>
      </c>
      <c r="BA70" t="str">
        <f t="shared" si="8"/>
        <v>-</v>
      </c>
      <c r="BB70" t="s">
        <v>462</v>
      </c>
      <c r="BC70" t="str">
        <f t="shared" si="9"/>
        <v>-</v>
      </c>
      <c r="BD70" t="s">
        <v>524</v>
      </c>
    </row>
    <row r="71" spans="1:56" x14ac:dyDescent="0.4">
      <c r="A71" s="3">
        <v>233</v>
      </c>
      <c r="B71" s="3">
        <v>233</v>
      </c>
      <c r="C71" s="4" t="s">
        <v>201</v>
      </c>
      <c r="D71" s="4" t="str">
        <f>TEXT(C71,"000000")</f>
        <v>JA1551</v>
      </c>
      <c r="E71" s="4" t="s">
        <v>201</v>
      </c>
      <c r="F71" s="4" t="s">
        <v>435</v>
      </c>
      <c r="G71" s="5">
        <v>4901881835407</v>
      </c>
      <c r="H71" s="5"/>
      <c r="I71" s="5"/>
      <c r="J71" s="5">
        <v>1</v>
      </c>
      <c r="K71" s="5">
        <v>1</v>
      </c>
      <c r="L71" s="4">
        <v>90</v>
      </c>
      <c r="M71" s="4">
        <v>68</v>
      </c>
      <c r="N71" s="4">
        <v>45</v>
      </c>
      <c r="O71" s="6">
        <f>IFERROR(1-N71/M71,"-")</f>
        <v>0.33823529411764708</v>
      </c>
      <c r="P71" s="4" t="s">
        <v>462</v>
      </c>
      <c r="Q71" s="4" t="s">
        <v>462</v>
      </c>
      <c r="R71" s="4" t="s">
        <v>462</v>
      </c>
      <c r="S71" s="4">
        <v>100</v>
      </c>
      <c r="T71" s="4">
        <f>IF(W71="",S71,S71*W71)</f>
        <v>100</v>
      </c>
      <c r="U71" s="4">
        <v>50</v>
      </c>
      <c r="V71" s="4">
        <f>IF(W71="",U71,U71*W71)</f>
        <v>50</v>
      </c>
      <c r="W71" s="4"/>
      <c r="X71" s="21">
        <f>ROUND(M71*AL71,0)</f>
        <v>76</v>
      </c>
      <c r="Y71" s="6">
        <f>IFERROR(1-V71/X71,"-")</f>
        <v>0.34210526315789469</v>
      </c>
      <c r="Z71" s="33">
        <v>0.75</v>
      </c>
      <c r="AA71" s="4">
        <f>AV71</f>
        <v>90</v>
      </c>
      <c r="AB71" s="33">
        <f>IFERROR(AA71*AL71,"-")</f>
        <v>100</v>
      </c>
      <c r="AC71" s="6">
        <f>IFERROR(1-V71/AB71,"-")</f>
        <v>0.5</v>
      </c>
      <c r="AD71" s="7">
        <v>80</v>
      </c>
      <c r="AE71" s="6">
        <f>1-V71/AD71</f>
        <v>0.375</v>
      </c>
      <c r="AF71" s="4">
        <f>AD71-V71</f>
        <v>30</v>
      </c>
      <c r="AG71" s="28"/>
      <c r="AH71" s="6"/>
      <c r="AI71" s="6"/>
      <c r="AJ71" s="6">
        <f>IFERROR(T71/L71,"-")</f>
        <v>1.1111111111111112</v>
      </c>
      <c r="AK71" s="6">
        <f>IFERROR(AD71/M71,"-")</f>
        <v>1.1764705882352942</v>
      </c>
      <c r="AL71" s="6">
        <f>IFERROR(V71/N71,"-")</f>
        <v>1.1111111111111112</v>
      </c>
      <c r="AM71" s="4" t="str">
        <f t="shared" si="5"/>
        <v>-</v>
      </c>
      <c r="AN71" s="4" t="str">
        <f t="shared" si="6"/>
        <v>-</v>
      </c>
      <c r="AO71" s="4" t="str">
        <f t="shared" si="7"/>
        <v>-</v>
      </c>
      <c r="AP71" s="4">
        <v>0</v>
      </c>
      <c r="AQ71" s="4" t="s">
        <v>760</v>
      </c>
      <c r="AR71" s="4">
        <v>1</v>
      </c>
      <c r="AS71" s="4">
        <v>10</v>
      </c>
      <c r="AT71" s="4" t="s">
        <v>749</v>
      </c>
      <c r="AU71" s="4">
        <v>900</v>
      </c>
      <c r="AV71" s="4">
        <f>IF(AR71="",AU71,AR71/AS71*AU71)</f>
        <v>90</v>
      </c>
      <c r="AW71" s="19">
        <v>4</v>
      </c>
      <c r="AX71" s="19">
        <v>8</v>
      </c>
      <c r="AY71" s="16">
        <v>5</v>
      </c>
      <c r="AZ71" t="s">
        <v>462</v>
      </c>
      <c r="BA71" t="str">
        <f t="shared" si="8"/>
        <v>-</v>
      </c>
      <c r="BB71" t="s">
        <v>462</v>
      </c>
      <c r="BC71" t="str">
        <f t="shared" si="9"/>
        <v>-</v>
      </c>
      <c r="BD71" t="s">
        <v>525</v>
      </c>
    </row>
    <row r="72" spans="1:56" x14ac:dyDescent="0.4">
      <c r="A72" s="3">
        <v>234</v>
      </c>
      <c r="B72" s="3">
        <v>234</v>
      </c>
      <c r="C72" s="4" t="s">
        <v>202</v>
      </c>
      <c r="D72" s="4" t="str">
        <f>TEXT(C72,"000000")</f>
        <v>JA1552</v>
      </c>
      <c r="E72" s="4" t="s">
        <v>202</v>
      </c>
      <c r="F72" s="4" t="s">
        <v>436</v>
      </c>
      <c r="G72" s="5">
        <v>4901881835414</v>
      </c>
      <c r="H72" s="5"/>
      <c r="I72" s="5"/>
      <c r="J72" s="5">
        <v>1</v>
      </c>
      <c r="K72" s="5">
        <v>1</v>
      </c>
      <c r="L72" s="4">
        <v>90</v>
      </c>
      <c r="M72" s="4">
        <v>68</v>
      </c>
      <c r="N72" s="4">
        <v>45</v>
      </c>
      <c r="O72" s="6">
        <f>IFERROR(1-N72/M72,"-")</f>
        <v>0.33823529411764708</v>
      </c>
      <c r="P72" s="4" t="s">
        <v>462</v>
      </c>
      <c r="Q72" s="4" t="s">
        <v>462</v>
      </c>
      <c r="R72" s="4" t="s">
        <v>462</v>
      </c>
      <c r="S72" s="4">
        <v>100</v>
      </c>
      <c r="T72" s="4">
        <f>IF(W72="",S72,S72*W72)</f>
        <v>100</v>
      </c>
      <c r="U72" s="4">
        <v>50</v>
      </c>
      <c r="V72" s="4">
        <f>IF(W72="",U72,U72*W72)</f>
        <v>50</v>
      </c>
      <c r="W72" s="4"/>
      <c r="X72" s="21">
        <f>ROUND(M72*AL72,0)</f>
        <v>76</v>
      </c>
      <c r="Y72" s="6">
        <f>IFERROR(1-V72/X72,"-")</f>
        <v>0.34210526315789469</v>
      </c>
      <c r="Z72" s="33">
        <v>0.25</v>
      </c>
      <c r="AA72" s="4">
        <f>AV72</f>
        <v>90</v>
      </c>
      <c r="AB72" s="33">
        <f>IFERROR(AA72*AL72,"-")</f>
        <v>100</v>
      </c>
      <c r="AC72" s="6">
        <f>IFERROR(1-V72/AB72,"-")</f>
        <v>0.5</v>
      </c>
      <c r="AD72" s="7">
        <v>80</v>
      </c>
      <c r="AE72" s="6">
        <f>1-V72/AD72</f>
        <v>0.375</v>
      </c>
      <c r="AF72" s="4">
        <f>AD72-V72</f>
        <v>30</v>
      </c>
      <c r="AG72" s="28"/>
      <c r="AH72" s="6"/>
      <c r="AI72" s="6"/>
      <c r="AJ72" s="6">
        <f>IFERROR(T72/L72,"-")</f>
        <v>1.1111111111111112</v>
      </c>
      <c r="AK72" s="6">
        <f>IFERROR(AD72/M72,"-")</f>
        <v>1.1764705882352942</v>
      </c>
      <c r="AL72" s="6">
        <f>IFERROR(V72/N72,"-")</f>
        <v>1.1111111111111112</v>
      </c>
      <c r="AM72" s="4" t="str">
        <f t="shared" si="5"/>
        <v>-</v>
      </c>
      <c r="AN72" s="4" t="str">
        <f t="shared" si="6"/>
        <v>-</v>
      </c>
      <c r="AO72" s="4" t="str">
        <f t="shared" si="7"/>
        <v>-</v>
      </c>
      <c r="AP72" s="4">
        <v>0</v>
      </c>
      <c r="AQ72" s="4" t="s">
        <v>761</v>
      </c>
      <c r="AR72" s="4">
        <v>1</v>
      </c>
      <c r="AS72" s="4">
        <v>10</v>
      </c>
      <c r="AT72" s="4" t="s">
        <v>749</v>
      </c>
      <c r="AU72" s="4">
        <v>900</v>
      </c>
      <c r="AV72" s="4">
        <f>IF(AR72="",AU72,AR72/AS72*AU72)</f>
        <v>90</v>
      </c>
      <c r="AW72" s="19">
        <v>4</v>
      </c>
      <c r="AX72" s="19">
        <v>8</v>
      </c>
      <c r="AY72" s="16">
        <v>5</v>
      </c>
      <c r="AZ72" t="s">
        <v>462</v>
      </c>
      <c r="BA72" t="str">
        <f t="shared" si="8"/>
        <v>-</v>
      </c>
      <c r="BB72" t="s">
        <v>462</v>
      </c>
      <c r="BC72" t="str">
        <f t="shared" si="9"/>
        <v>-</v>
      </c>
      <c r="BD72" t="s">
        <v>526</v>
      </c>
    </row>
    <row r="73" spans="1:56" x14ac:dyDescent="0.4">
      <c r="A73" s="3">
        <v>211</v>
      </c>
      <c r="B73" s="3">
        <v>211</v>
      </c>
      <c r="C73" s="4" t="s">
        <v>179</v>
      </c>
      <c r="D73" s="4" t="str">
        <f>TEXT(C73,"000000")</f>
        <v>JA5929</v>
      </c>
      <c r="E73" s="4" t="s">
        <v>179</v>
      </c>
      <c r="F73" s="4" t="s">
        <v>413</v>
      </c>
      <c r="G73" s="5">
        <v>4901881835421</v>
      </c>
      <c r="H73" s="5"/>
      <c r="I73" s="5"/>
      <c r="J73" s="5">
        <v>1</v>
      </c>
      <c r="K73" s="5">
        <v>1</v>
      </c>
      <c r="L73" s="4">
        <v>90</v>
      </c>
      <c r="M73" s="4">
        <v>66</v>
      </c>
      <c r="N73" s="4">
        <v>45</v>
      </c>
      <c r="O73" s="6">
        <f>IFERROR(1-N73/M73,"-")</f>
        <v>0.31818181818181823</v>
      </c>
      <c r="P73" s="4" t="s">
        <v>462</v>
      </c>
      <c r="Q73" s="4" t="s">
        <v>462</v>
      </c>
      <c r="R73" s="4" t="s">
        <v>462</v>
      </c>
      <c r="S73" s="4">
        <v>100</v>
      </c>
      <c r="T73" s="4">
        <f>IF(W73="",S73,S73*W73)</f>
        <v>100</v>
      </c>
      <c r="U73" s="4">
        <v>50</v>
      </c>
      <c r="V73" s="4">
        <f>IF(W73="",U73,U73*W73)</f>
        <v>50</v>
      </c>
      <c r="W73" s="4"/>
      <c r="X73" s="21">
        <f>ROUND(M73*AL73,0)</f>
        <v>73</v>
      </c>
      <c r="Y73" s="6">
        <f>IFERROR(1-V73/X73,"-")</f>
        <v>0.31506849315068497</v>
      </c>
      <c r="Z73" s="33">
        <v>0.75</v>
      </c>
      <c r="AA73" s="4">
        <f>AV73</f>
        <v>90</v>
      </c>
      <c r="AB73" s="33">
        <f>IFERROR(AA73*AL73,"-")</f>
        <v>100</v>
      </c>
      <c r="AC73" s="6">
        <f>IFERROR(1-V73/AB73,"-")</f>
        <v>0.5</v>
      </c>
      <c r="AD73" s="7">
        <v>80</v>
      </c>
      <c r="AE73" s="6">
        <f>1-V73/AD73</f>
        <v>0.375</v>
      </c>
      <c r="AF73" s="4">
        <f>AD73-V73</f>
        <v>30</v>
      </c>
      <c r="AG73" s="28"/>
      <c r="AH73" s="6"/>
      <c r="AI73" s="6"/>
      <c r="AJ73" s="6">
        <f>IFERROR(T73/L73,"-")</f>
        <v>1.1111111111111112</v>
      </c>
      <c r="AK73" s="6">
        <f>IFERROR(AD73/M73,"-")</f>
        <v>1.2121212121212122</v>
      </c>
      <c r="AL73" s="6">
        <f>IFERROR(V73/N73,"-")</f>
        <v>1.1111111111111112</v>
      </c>
      <c r="AM73" s="4" t="str">
        <f t="shared" si="5"/>
        <v>-</v>
      </c>
      <c r="AN73" s="4" t="str">
        <f t="shared" si="6"/>
        <v>-</v>
      </c>
      <c r="AO73" s="4" t="str">
        <f t="shared" si="7"/>
        <v>-</v>
      </c>
      <c r="AP73" s="4">
        <v>0</v>
      </c>
      <c r="AQ73" s="4" t="s">
        <v>762</v>
      </c>
      <c r="AR73" s="4">
        <v>1</v>
      </c>
      <c r="AS73" s="4">
        <v>10</v>
      </c>
      <c r="AT73" s="4" t="s">
        <v>749</v>
      </c>
      <c r="AU73" s="4">
        <v>900</v>
      </c>
      <c r="AV73" s="4">
        <f>IF(AR73="",AU73,AR73/AS73*AU73)</f>
        <v>90</v>
      </c>
      <c r="AW73" s="19">
        <v>4</v>
      </c>
      <c r="AX73" s="19">
        <v>8</v>
      </c>
      <c r="AY73" s="16">
        <v>5</v>
      </c>
      <c r="AZ73" t="s">
        <v>462</v>
      </c>
      <c r="BA73" t="str">
        <f t="shared" si="8"/>
        <v>-</v>
      </c>
      <c r="BB73" t="s">
        <v>462</v>
      </c>
      <c r="BC73" t="str">
        <f t="shared" si="9"/>
        <v>-</v>
      </c>
      <c r="BD73" t="s">
        <v>527</v>
      </c>
    </row>
    <row r="74" spans="1:56" x14ac:dyDescent="0.4">
      <c r="A74" s="3">
        <v>212</v>
      </c>
      <c r="B74" s="3">
        <v>212</v>
      </c>
      <c r="C74" s="4" t="s">
        <v>180</v>
      </c>
      <c r="D74" s="4" t="str">
        <f>TEXT(C74,"000000")</f>
        <v>JA5930</v>
      </c>
      <c r="E74" s="4" t="s">
        <v>180</v>
      </c>
      <c r="F74" s="4" t="s">
        <v>414</v>
      </c>
      <c r="G74" s="5">
        <v>4901881835438</v>
      </c>
      <c r="H74" s="5"/>
      <c r="I74" s="5"/>
      <c r="J74" s="5">
        <v>1</v>
      </c>
      <c r="K74" s="5">
        <v>1</v>
      </c>
      <c r="L74" s="4">
        <v>90</v>
      </c>
      <c r="M74" s="4">
        <v>68</v>
      </c>
      <c r="N74" s="4">
        <v>45</v>
      </c>
      <c r="O74" s="6">
        <f>IFERROR(1-N74/M74,"-")</f>
        <v>0.33823529411764708</v>
      </c>
      <c r="P74" s="4" t="s">
        <v>462</v>
      </c>
      <c r="Q74" s="4" t="s">
        <v>462</v>
      </c>
      <c r="R74" s="4" t="s">
        <v>462</v>
      </c>
      <c r="S74" s="4">
        <v>100</v>
      </c>
      <c r="T74" s="4">
        <f>IF(W74="",S74,S74*W74)</f>
        <v>100</v>
      </c>
      <c r="U74" s="4">
        <v>50</v>
      </c>
      <c r="V74" s="4">
        <f>IF(W74="",U74,U74*W74)</f>
        <v>50</v>
      </c>
      <c r="W74" s="4"/>
      <c r="X74" s="21">
        <f>ROUND(M74*AL74,0)</f>
        <v>76</v>
      </c>
      <c r="Y74" s="6">
        <f>IFERROR(1-V74/X74,"-")</f>
        <v>0.34210526315789469</v>
      </c>
      <c r="Z74" s="33">
        <v>1.5</v>
      </c>
      <c r="AA74" s="4">
        <f>AV74</f>
        <v>90</v>
      </c>
      <c r="AB74" s="33">
        <f>IFERROR(AA74*AL74,"-")</f>
        <v>100</v>
      </c>
      <c r="AC74" s="6">
        <f>IFERROR(1-V74/AB74,"-")</f>
        <v>0.5</v>
      </c>
      <c r="AD74" s="7">
        <v>80</v>
      </c>
      <c r="AE74" s="6">
        <f>1-V74/AD74</f>
        <v>0.375</v>
      </c>
      <c r="AF74" s="4">
        <f>AD74-V74</f>
        <v>30</v>
      </c>
      <c r="AG74" s="28"/>
      <c r="AH74" s="6"/>
      <c r="AI74" s="6"/>
      <c r="AJ74" s="6">
        <f>IFERROR(T74/L74,"-")</f>
        <v>1.1111111111111112</v>
      </c>
      <c r="AK74" s="6">
        <f>IFERROR(AD74/M74,"-")</f>
        <v>1.1764705882352942</v>
      </c>
      <c r="AL74" s="6">
        <f>IFERROR(V74/N74,"-")</f>
        <v>1.1111111111111112</v>
      </c>
      <c r="AM74" s="4" t="str">
        <f t="shared" si="5"/>
        <v>-</v>
      </c>
      <c r="AN74" s="4" t="str">
        <f t="shared" si="6"/>
        <v>-</v>
      </c>
      <c r="AO74" s="4" t="str">
        <f t="shared" si="7"/>
        <v>-</v>
      </c>
      <c r="AP74" s="4">
        <v>0</v>
      </c>
      <c r="AQ74" s="4" t="s">
        <v>763</v>
      </c>
      <c r="AR74" s="4">
        <v>1</v>
      </c>
      <c r="AS74" s="4">
        <v>10</v>
      </c>
      <c r="AT74" s="4" t="s">
        <v>749</v>
      </c>
      <c r="AU74" s="4">
        <v>900</v>
      </c>
      <c r="AV74" s="4">
        <f>IF(AR74="",AU74,AR74/AS74*AU74)</f>
        <v>90</v>
      </c>
      <c r="AW74" s="19">
        <v>4</v>
      </c>
      <c r="AX74" s="19">
        <v>1</v>
      </c>
      <c r="AY74" s="16">
        <v>5</v>
      </c>
      <c r="AZ74" t="s">
        <v>462</v>
      </c>
      <c r="BA74" t="str">
        <f t="shared" si="8"/>
        <v>-</v>
      </c>
      <c r="BB74" t="s">
        <v>462</v>
      </c>
      <c r="BC74" t="str">
        <f t="shared" si="9"/>
        <v>-</v>
      </c>
      <c r="BD74" t="s">
        <v>528</v>
      </c>
    </row>
    <row r="75" spans="1:56" x14ac:dyDescent="0.4">
      <c r="A75" s="3">
        <v>214</v>
      </c>
      <c r="B75" s="3">
        <v>214</v>
      </c>
      <c r="C75" s="4" t="s">
        <v>182</v>
      </c>
      <c r="D75" s="4" t="str">
        <f>TEXT(C75,"000000")</f>
        <v>JA5931</v>
      </c>
      <c r="E75" s="4" t="s">
        <v>182</v>
      </c>
      <c r="F75" s="4" t="s">
        <v>416</v>
      </c>
      <c r="G75" s="5">
        <v>4901881835445</v>
      </c>
      <c r="H75" s="5"/>
      <c r="I75" s="5"/>
      <c r="J75" s="5">
        <v>1</v>
      </c>
      <c r="K75" s="5">
        <v>1</v>
      </c>
      <c r="L75" s="4">
        <v>90</v>
      </c>
      <c r="M75" s="4">
        <v>68</v>
      </c>
      <c r="N75" s="4">
        <v>45</v>
      </c>
      <c r="O75" s="6">
        <f>IFERROR(1-N75/M75,"-")</f>
        <v>0.33823529411764708</v>
      </c>
      <c r="P75" s="4" t="s">
        <v>462</v>
      </c>
      <c r="Q75" s="4" t="s">
        <v>462</v>
      </c>
      <c r="R75" s="4" t="s">
        <v>462</v>
      </c>
      <c r="S75" s="4">
        <v>100</v>
      </c>
      <c r="T75" s="4">
        <f>IF(W75="",S75,S75*W75)</f>
        <v>100</v>
      </c>
      <c r="U75" s="4">
        <v>50</v>
      </c>
      <c r="V75" s="4">
        <f>IF(W75="",U75,U75*W75)</f>
        <v>50</v>
      </c>
      <c r="W75" s="4"/>
      <c r="X75" s="21">
        <f>ROUND(M75*AL75,0)</f>
        <v>76</v>
      </c>
      <c r="Y75" s="6">
        <f>IFERROR(1-V75/X75,"-")</f>
        <v>0.34210526315789469</v>
      </c>
      <c r="Z75" s="33">
        <v>0.25</v>
      </c>
      <c r="AA75" s="4">
        <f>AV75</f>
        <v>90</v>
      </c>
      <c r="AB75" s="33">
        <f>IFERROR(AA75*AL75,"-")</f>
        <v>100</v>
      </c>
      <c r="AC75" s="6">
        <f>IFERROR(1-V75/AB75,"-")</f>
        <v>0.5</v>
      </c>
      <c r="AD75" s="7">
        <v>80</v>
      </c>
      <c r="AE75" s="6">
        <f>1-V75/AD75</f>
        <v>0.375</v>
      </c>
      <c r="AF75" s="4">
        <f>AD75-V75</f>
        <v>30</v>
      </c>
      <c r="AG75" s="28"/>
      <c r="AH75" s="6"/>
      <c r="AI75" s="6"/>
      <c r="AJ75" s="6">
        <f>IFERROR(T75/L75,"-")</f>
        <v>1.1111111111111112</v>
      </c>
      <c r="AK75" s="6">
        <f>IFERROR(AD75/M75,"-")</f>
        <v>1.1764705882352942</v>
      </c>
      <c r="AL75" s="6">
        <f>IFERROR(V75/N75,"-")</f>
        <v>1.1111111111111112</v>
      </c>
      <c r="AM75" s="4" t="str">
        <f t="shared" si="5"/>
        <v>-</v>
      </c>
      <c r="AN75" s="4" t="str">
        <f t="shared" si="6"/>
        <v>-</v>
      </c>
      <c r="AO75" s="4" t="str">
        <f t="shared" si="7"/>
        <v>-</v>
      </c>
      <c r="AP75" s="4">
        <v>0</v>
      </c>
      <c r="AQ75" s="4" t="s">
        <v>764</v>
      </c>
      <c r="AR75" s="4">
        <v>1</v>
      </c>
      <c r="AS75" s="4">
        <v>10</v>
      </c>
      <c r="AT75" s="4" t="s">
        <v>749</v>
      </c>
      <c r="AU75" s="4">
        <v>900</v>
      </c>
      <c r="AV75" s="4">
        <f>IF(AR75="",AU75,AR75/AS75*AU75)</f>
        <v>90</v>
      </c>
      <c r="AW75" s="19">
        <v>4</v>
      </c>
      <c r="AX75" s="19">
        <v>8</v>
      </c>
      <c r="AY75" s="16">
        <v>5</v>
      </c>
      <c r="AZ75" t="s">
        <v>462</v>
      </c>
      <c r="BA75" t="str">
        <f t="shared" si="8"/>
        <v>-</v>
      </c>
      <c r="BB75" t="s">
        <v>462</v>
      </c>
      <c r="BC75" t="str">
        <f t="shared" si="9"/>
        <v>-</v>
      </c>
      <c r="BD75" t="s">
        <v>529</v>
      </c>
    </row>
    <row r="76" spans="1:56" x14ac:dyDescent="0.4">
      <c r="A76" s="3">
        <v>215</v>
      </c>
      <c r="B76" s="3">
        <v>215</v>
      </c>
      <c r="C76" s="4" t="s">
        <v>183</v>
      </c>
      <c r="D76" s="4" t="str">
        <f>TEXT(C76,"000000")</f>
        <v>JA5932</v>
      </c>
      <c r="E76" s="4" t="s">
        <v>183</v>
      </c>
      <c r="F76" s="4" t="s">
        <v>417</v>
      </c>
      <c r="G76" s="5">
        <v>4901881835452</v>
      </c>
      <c r="H76" s="5"/>
      <c r="I76" s="5"/>
      <c r="J76" s="5">
        <v>1</v>
      </c>
      <c r="K76" s="5">
        <v>1</v>
      </c>
      <c r="L76" s="4">
        <v>90</v>
      </c>
      <c r="M76" s="4">
        <v>68</v>
      </c>
      <c r="N76" s="4">
        <v>45</v>
      </c>
      <c r="O76" s="6">
        <f>IFERROR(1-N76/M76,"-")</f>
        <v>0.33823529411764708</v>
      </c>
      <c r="P76" s="4" t="s">
        <v>462</v>
      </c>
      <c r="Q76" s="4" t="s">
        <v>462</v>
      </c>
      <c r="R76" s="4" t="s">
        <v>462</v>
      </c>
      <c r="S76" s="4">
        <v>100</v>
      </c>
      <c r="T76" s="4">
        <f>IF(W76="",S76,S76*W76)</f>
        <v>100</v>
      </c>
      <c r="U76" s="4">
        <v>50</v>
      </c>
      <c r="V76" s="4">
        <f>IF(W76="",U76,U76*W76)</f>
        <v>50</v>
      </c>
      <c r="W76" s="4"/>
      <c r="X76" s="21">
        <f>ROUND(M76*AL76,0)</f>
        <v>76</v>
      </c>
      <c r="Y76" s="6">
        <f>IFERROR(1-V76/X76,"-")</f>
        <v>0.34210526315789469</v>
      </c>
      <c r="Z76" s="33">
        <v>0.5</v>
      </c>
      <c r="AA76" s="4">
        <f>AV76</f>
        <v>90</v>
      </c>
      <c r="AB76" s="33">
        <f>IFERROR(AA76*AL76,"-")</f>
        <v>100</v>
      </c>
      <c r="AC76" s="6">
        <f>IFERROR(1-V76/AB76,"-")</f>
        <v>0.5</v>
      </c>
      <c r="AD76" s="7">
        <v>80</v>
      </c>
      <c r="AE76" s="6">
        <f>1-V76/AD76</f>
        <v>0.375</v>
      </c>
      <c r="AF76" s="4">
        <f>AD76-V76</f>
        <v>30</v>
      </c>
      <c r="AG76" s="28"/>
      <c r="AH76" s="6"/>
      <c r="AI76" s="6"/>
      <c r="AJ76" s="6">
        <f>IFERROR(T76/L76,"-")</f>
        <v>1.1111111111111112</v>
      </c>
      <c r="AK76" s="6">
        <f>IFERROR(AD76/M76,"-")</f>
        <v>1.1764705882352942</v>
      </c>
      <c r="AL76" s="6">
        <f>IFERROR(V76/N76,"-")</f>
        <v>1.1111111111111112</v>
      </c>
      <c r="AM76" s="4" t="str">
        <f t="shared" si="5"/>
        <v>-</v>
      </c>
      <c r="AN76" s="4" t="str">
        <f t="shared" si="6"/>
        <v>-</v>
      </c>
      <c r="AO76" s="4" t="str">
        <f t="shared" si="7"/>
        <v>-</v>
      </c>
      <c r="AP76" s="4">
        <v>0</v>
      </c>
      <c r="AQ76" s="4" t="s">
        <v>765</v>
      </c>
      <c r="AR76" s="4">
        <v>1</v>
      </c>
      <c r="AS76" s="4">
        <v>10</v>
      </c>
      <c r="AT76" s="4" t="s">
        <v>749</v>
      </c>
      <c r="AU76" s="4">
        <v>900</v>
      </c>
      <c r="AV76" s="4">
        <f>IF(AR76="",AU76,AR76/AS76*AU76)</f>
        <v>90</v>
      </c>
      <c r="AW76" s="19">
        <v>4</v>
      </c>
      <c r="AX76" s="19">
        <v>8</v>
      </c>
      <c r="AY76" s="16">
        <v>5</v>
      </c>
      <c r="AZ76" t="s">
        <v>462</v>
      </c>
      <c r="BA76" t="str">
        <f t="shared" si="8"/>
        <v>-</v>
      </c>
      <c r="BB76" t="s">
        <v>462</v>
      </c>
      <c r="BC76" t="str">
        <f t="shared" si="9"/>
        <v>-</v>
      </c>
      <c r="BD76" t="s">
        <v>530</v>
      </c>
    </row>
    <row r="77" spans="1:56" x14ac:dyDescent="0.4">
      <c r="A77" s="3">
        <v>223</v>
      </c>
      <c r="B77" s="3">
        <v>223</v>
      </c>
      <c r="C77" s="4" t="s">
        <v>191</v>
      </c>
      <c r="D77" s="4" t="str">
        <f>TEXT(C77,"000000")</f>
        <v>JA5933</v>
      </c>
      <c r="E77" s="4" t="s">
        <v>191</v>
      </c>
      <c r="F77" s="4" t="s">
        <v>425</v>
      </c>
      <c r="G77" s="5">
        <v>4901881835469</v>
      </c>
      <c r="H77" s="5"/>
      <c r="I77" s="5"/>
      <c r="J77" s="5">
        <v>1</v>
      </c>
      <c r="K77" s="5">
        <v>1</v>
      </c>
      <c r="L77" s="4">
        <v>90</v>
      </c>
      <c r="M77" s="4">
        <v>68</v>
      </c>
      <c r="N77" s="4">
        <v>45</v>
      </c>
      <c r="O77" s="6">
        <f>IFERROR(1-N77/M77,"-")</f>
        <v>0.33823529411764708</v>
      </c>
      <c r="P77" s="4" t="s">
        <v>462</v>
      </c>
      <c r="Q77" s="4" t="s">
        <v>462</v>
      </c>
      <c r="R77" s="4" t="s">
        <v>462</v>
      </c>
      <c r="S77" s="4">
        <v>100</v>
      </c>
      <c r="T77" s="4">
        <f>IF(W77="",S77,S77*W77)</f>
        <v>100</v>
      </c>
      <c r="U77" s="4">
        <v>50</v>
      </c>
      <c r="V77" s="4">
        <f>IF(W77="",U77,U77*W77)</f>
        <v>50</v>
      </c>
      <c r="W77" s="4"/>
      <c r="X77" s="21">
        <f>ROUND(M77*AL77,0)</f>
        <v>76</v>
      </c>
      <c r="Y77" s="6">
        <f>IFERROR(1-V77/X77,"-")</f>
        <v>0.34210526315789469</v>
      </c>
      <c r="Z77" s="33">
        <v>1</v>
      </c>
      <c r="AA77" s="4">
        <f>AV77</f>
        <v>90</v>
      </c>
      <c r="AB77" s="33">
        <f>IFERROR(AA77*AL77,"-")</f>
        <v>100</v>
      </c>
      <c r="AC77" s="6">
        <f>IFERROR(1-V77/AB77,"-")</f>
        <v>0.5</v>
      </c>
      <c r="AD77" s="7">
        <v>80</v>
      </c>
      <c r="AE77" s="6">
        <f>1-V77/AD77</f>
        <v>0.375</v>
      </c>
      <c r="AF77" s="4">
        <f>AD77-V77</f>
        <v>30</v>
      </c>
      <c r="AG77" s="28"/>
      <c r="AH77" s="6"/>
      <c r="AI77" s="6"/>
      <c r="AJ77" s="6">
        <f>IFERROR(T77/L77,"-")</f>
        <v>1.1111111111111112</v>
      </c>
      <c r="AK77" s="6">
        <f>IFERROR(AD77/M77,"-")</f>
        <v>1.1764705882352942</v>
      </c>
      <c r="AL77" s="6">
        <f>IFERROR(V77/N77,"-")</f>
        <v>1.1111111111111112</v>
      </c>
      <c r="AM77" s="4" t="str">
        <f t="shared" si="5"/>
        <v>-</v>
      </c>
      <c r="AN77" s="4" t="str">
        <f t="shared" si="6"/>
        <v>-</v>
      </c>
      <c r="AO77" s="4" t="str">
        <f t="shared" si="7"/>
        <v>-</v>
      </c>
      <c r="AP77" s="4">
        <v>0</v>
      </c>
      <c r="AQ77" s="4" t="s">
        <v>766</v>
      </c>
      <c r="AR77" s="4">
        <v>1</v>
      </c>
      <c r="AS77" s="4">
        <v>10</v>
      </c>
      <c r="AT77" s="4" t="s">
        <v>749</v>
      </c>
      <c r="AU77" s="4">
        <v>900</v>
      </c>
      <c r="AV77" s="4">
        <f>IF(AR77="",AU77,AR77/AS77*AU77)</f>
        <v>90</v>
      </c>
      <c r="AW77" s="19">
        <v>4</v>
      </c>
      <c r="AX77" s="19">
        <v>8</v>
      </c>
      <c r="AY77" s="16">
        <v>5</v>
      </c>
      <c r="AZ77" t="s">
        <v>462</v>
      </c>
      <c r="BA77" t="str">
        <f t="shared" si="8"/>
        <v>-</v>
      </c>
      <c r="BB77" t="s">
        <v>462</v>
      </c>
      <c r="BC77" t="str">
        <f t="shared" si="9"/>
        <v>-</v>
      </c>
      <c r="BD77" t="s">
        <v>531</v>
      </c>
    </row>
    <row r="78" spans="1:56" x14ac:dyDescent="0.4">
      <c r="A78" s="3">
        <v>14</v>
      </c>
      <c r="B78" s="3">
        <v>14</v>
      </c>
      <c r="C78" s="4">
        <v>406585</v>
      </c>
      <c r="D78" s="4" t="str">
        <f>TEXT(C78,"000000")</f>
        <v>406585</v>
      </c>
      <c r="E78" s="4">
        <v>406585</v>
      </c>
      <c r="F78" s="4" t="s">
        <v>216</v>
      </c>
      <c r="G78" s="5">
        <v>4901881018619</v>
      </c>
      <c r="H78" s="5"/>
      <c r="I78" s="5"/>
      <c r="J78" s="5">
        <v>1</v>
      </c>
      <c r="K78" s="5">
        <v>1</v>
      </c>
      <c r="L78" s="4">
        <v>3000</v>
      </c>
      <c r="M78" s="4">
        <v>2428</v>
      </c>
      <c r="N78" s="4">
        <v>1290</v>
      </c>
      <c r="O78" s="6">
        <f>IFERROR(1-N78/M78,"-")</f>
        <v>0.46869851729818779</v>
      </c>
      <c r="P78" s="4" t="s">
        <v>462</v>
      </c>
      <c r="Q78" s="4" t="s">
        <v>462</v>
      </c>
      <c r="R78" s="4" t="s">
        <v>462</v>
      </c>
      <c r="S78" s="4">
        <v>120</v>
      </c>
      <c r="T78" s="4">
        <f>IF(W78="",S78,S78*W78)</f>
        <v>3600</v>
      </c>
      <c r="U78" s="4">
        <v>52</v>
      </c>
      <c r="V78" s="4">
        <f>IF(W78="",U78,U78*W78)</f>
        <v>1560</v>
      </c>
      <c r="W78" s="4">
        <v>30</v>
      </c>
      <c r="X78" s="21">
        <f>ROUND(M78*AL78,0)</f>
        <v>2936</v>
      </c>
      <c r="Y78" s="6">
        <f>IFERROR(1-V78/X78,"-")</f>
        <v>0.46866485013623982</v>
      </c>
      <c r="Z78" s="33">
        <v>0</v>
      </c>
      <c r="AA78" s="4">
        <f>AV78</f>
        <v>2160</v>
      </c>
      <c r="AB78" s="33">
        <f>IFERROR(AA78*AL78,"-")</f>
        <v>2612.0930232558139</v>
      </c>
      <c r="AC78" s="6">
        <f>IFERROR(1-V78/AB78,"-")</f>
        <v>0.40277777777777779</v>
      </c>
      <c r="AD78" s="7">
        <v>2600</v>
      </c>
      <c r="AE78" s="6">
        <f>1-V78/AD78</f>
        <v>0.4</v>
      </c>
      <c r="AF78" s="4">
        <f>AD78-V78</f>
        <v>1040</v>
      </c>
      <c r="AG78" s="28"/>
      <c r="AH78" s="6"/>
      <c r="AI78" s="6"/>
      <c r="AJ78" s="6">
        <f>IFERROR(T78/L78,"-")</f>
        <v>1.2</v>
      </c>
      <c r="AK78" s="6">
        <f>IFERROR(AD78/M78,"-")</f>
        <v>1.0708401976935749</v>
      </c>
      <c r="AL78" s="6">
        <f>IFERROR(V78/N78,"-")</f>
        <v>1.2093023255813953</v>
      </c>
      <c r="AM78" s="4" t="str">
        <f t="shared" si="5"/>
        <v>-</v>
      </c>
      <c r="AN78" s="4" t="str">
        <f t="shared" si="6"/>
        <v>-</v>
      </c>
      <c r="AO78" s="4" t="str">
        <f t="shared" si="7"/>
        <v>-</v>
      </c>
      <c r="AP78" s="4">
        <v>0</v>
      </c>
      <c r="AQ78" s="4" t="s">
        <v>767</v>
      </c>
      <c r="AR78" s="4">
        <v>30</v>
      </c>
      <c r="AS78" s="4">
        <v>1</v>
      </c>
      <c r="AT78" s="4" t="s">
        <v>693</v>
      </c>
      <c r="AU78" s="4">
        <v>72</v>
      </c>
      <c r="AV78" s="4">
        <f>IF(AR78="",AU78,AR78/AS78*AU78)</f>
        <v>2160</v>
      </c>
      <c r="AW78" s="19">
        <v>8</v>
      </c>
      <c r="AX78" s="19">
        <v>8</v>
      </c>
      <c r="AY78" s="16">
        <v>5</v>
      </c>
      <c r="AZ78" t="s">
        <v>462</v>
      </c>
      <c r="BA78" t="str">
        <f t="shared" si="8"/>
        <v>-</v>
      </c>
      <c r="BB78" t="s">
        <v>462</v>
      </c>
      <c r="BC78" t="str">
        <f t="shared" si="9"/>
        <v>-</v>
      </c>
      <c r="BD78" t="s">
        <v>532</v>
      </c>
    </row>
    <row r="79" spans="1:56" x14ac:dyDescent="0.4">
      <c r="A79" s="3">
        <v>4</v>
      </c>
      <c r="B79" s="3">
        <v>4</v>
      </c>
      <c r="C79" s="46">
        <v>112265</v>
      </c>
      <c r="D79" s="4" t="str">
        <f>TEXT(C79,"000000")</f>
        <v>112265</v>
      </c>
      <c r="E79" s="4">
        <v>112265</v>
      </c>
      <c r="F79" s="4" t="s">
        <v>206</v>
      </c>
      <c r="G79" s="5">
        <v>4901881259296</v>
      </c>
      <c r="H79" s="5"/>
      <c r="I79" s="5"/>
      <c r="J79" s="5">
        <v>2</v>
      </c>
      <c r="K79" s="5">
        <v>2</v>
      </c>
      <c r="L79" s="4">
        <v>120</v>
      </c>
      <c r="M79" s="4">
        <v>103</v>
      </c>
      <c r="N79" s="4">
        <v>52</v>
      </c>
      <c r="O79" s="6">
        <f>IFERROR(1-N79/M79,"-")</f>
        <v>0.49514563106796117</v>
      </c>
      <c r="P79" s="4" t="s">
        <v>462</v>
      </c>
      <c r="Q79" s="4" t="s">
        <v>462</v>
      </c>
      <c r="R79" s="4" t="s">
        <v>462</v>
      </c>
      <c r="S79" s="4">
        <v>150</v>
      </c>
      <c r="T79" s="4">
        <f>IF(W79="",S79,S79*W79)</f>
        <v>150</v>
      </c>
      <c r="U79" s="4">
        <v>65</v>
      </c>
      <c r="V79" s="4">
        <f>IF(W79="",U79,U79*W79)</f>
        <v>65</v>
      </c>
      <c r="W79" s="4"/>
      <c r="X79" s="21">
        <f>ROUND(M79*AL79,0)</f>
        <v>129</v>
      </c>
      <c r="Y79" s="6">
        <f>IFERROR(1-V79/X79,"-")</f>
        <v>0.49612403100775193</v>
      </c>
      <c r="Z79" s="33">
        <v>68.25</v>
      </c>
      <c r="AA79" s="4">
        <f>AV79</f>
        <v>120</v>
      </c>
      <c r="AB79" s="33">
        <f>IFERROR(AA79*AL79,"-")</f>
        <v>150</v>
      </c>
      <c r="AC79" s="6">
        <f>IFERROR(1-V79/AB79,"-")</f>
        <v>0.56666666666666665</v>
      </c>
      <c r="AD79" s="7">
        <v>130</v>
      </c>
      <c r="AE79" s="6">
        <f>1-V79/AD79</f>
        <v>0.5</v>
      </c>
      <c r="AF79" s="4">
        <f>AD79-V79</f>
        <v>65</v>
      </c>
      <c r="AG79" s="28"/>
      <c r="AH79" s="6"/>
      <c r="AI79" s="6"/>
      <c r="AJ79" s="6">
        <f>IFERROR(T79/L79,"-")</f>
        <v>1.25</v>
      </c>
      <c r="AK79" s="6">
        <f>IFERROR(AD79/M79,"-")</f>
        <v>1.2621359223300972</v>
      </c>
      <c r="AL79" s="6">
        <f>IFERROR(V79/N79,"-")</f>
        <v>1.25</v>
      </c>
      <c r="AM79" s="4" t="str">
        <f t="shared" si="5"/>
        <v>-</v>
      </c>
      <c r="AN79" s="4" t="str">
        <f t="shared" si="6"/>
        <v>-</v>
      </c>
      <c r="AO79" s="4" t="str">
        <f t="shared" si="7"/>
        <v>-</v>
      </c>
      <c r="AP79" s="4">
        <v>0</v>
      </c>
      <c r="AQ79" s="4" t="s">
        <v>768</v>
      </c>
      <c r="AR79" s="4"/>
      <c r="AS79" s="4"/>
      <c r="AT79" s="4" t="s">
        <v>693</v>
      </c>
      <c r="AU79" s="4">
        <v>120</v>
      </c>
      <c r="AV79" s="4">
        <f>IF(AR79="",AU79,AR79/AS79*AU79)</f>
        <v>120</v>
      </c>
      <c r="AW79" s="19">
        <v>4</v>
      </c>
      <c r="AX79" s="19">
        <v>1</v>
      </c>
      <c r="AY79" s="16">
        <v>5</v>
      </c>
      <c r="AZ79">
        <v>1920</v>
      </c>
      <c r="BA79">
        <f t="shared" si="8"/>
        <v>2400</v>
      </c>
      <c r="BB79">
        <v>2280</v>
      </c>
      <c r="BC79">
        <f t="shared" si="9"/>
        <v>2850</v>
      </c>
      <c r="BD79" t="s">
        <v>533</v>
      </c>
    </row>
    <row r="80" spans="1:56" x14ac:dyDescent="0.4">
      <c r="A80" s="3">
        <v>236</v>
      </c>
      <c r="B80" s="3">
        <v>4</v>
      </c>
      <c r="C80" s="46">
        <v>112265</v>
      </c>
      <c r="D80" s="4" t="str">
        <f>TEXT(C80,"000000")</f>
        <v>112265</v>
      </c>
      <c r="E80" s="4" t="s">
        <v>437</v>
      </c>
      <c r="F80" s="33" t="s">
        <v>446</v>
      </c>
      <c r="G80" s="5">
        <v>4901881259296</v>
      </c>
      <c r="H80" s="5">
        <v>8</v>
      </c>
      <c r="I80" s="5" t="str">
        <f>C80&amp;H80</f>
        <v>1122658</v>
      </c>
      <c r="J80" s="5"/>
      <c r="K80" s="5"/>
      <c r="L80" s="4">
        <v>2400</v>
      </c>
      <c r="M80" s="4">
        <v>1730</v>
      </c>
      <c r="N80" s="4">
        <v>1040</v>
      </c>
      <c r="O80" s="6">
        <f>IFERROR(1-N80/M80,"-")</f>
        <v>0.39884393063583812</v>
      </c>
      <c r="P80" s="4" t="s">
        <v>462</v>
      </c>
      <c r="Q80" s="4" t="s">
        <v>462</v>
      </c>
      <c r="R80" s="4" t="s">
        <v>462</v>
      </c>
      <c r="S80" s="4">
        <v>150</v>
      </c>
      <c r="T80" s="4">
        <f>IF(W80="",S80,S80*W80)</f>
        <v>3000</v>
      </c>
      <c r="U80" s="4">
        <v>65</v>
      </c>
      <c r="V80" s="4">
        <f>IF(W80="",U80,U80*W80)</f>
        <v>1300</v>
      </c>
      <c r="W80" s="4">
        <v>20</v>
      </c>
      <c r="X80" s="21">
        <f>ROUND(M80*AL80,0)</f>
        <v>2163</v>
      </c>
      <c r="Y80" s="6">
        <f>IFERROR(1-V80/X80,"-")</f>
        <v>0.39898289412852517</v>
      </c>
      <c r="Z80" s="33">
        <v>68.25</v>
      </c>
      <c r="AA80" s="4">
        <f>AV80</f>
        <v>2400</v>
      </c>
      <c r="AB80" s="33">
        <f>IFERROR(AA80*AL80,"-")</f>
        <v>3000</v>
      </c>
      <c r="AC80" s="6">
        <f>IFERROR(1-V80/AB80,"-")</f>
        <v>0.56666666666666665</v>
      </c>
      <c r="AD80" s="7">
        <v>2200</v>
      </c>
      <c r="AE80" s="6">
        <f>1-V80/AD80</f>
        <v>0.40909090909090906</v>
      </c>
      <c r="AF80" s="4">
        <f>AD80-V80</f>
        <v>900</v>
      </c>
      <c r="AG80" s="28"/>
      <c r="AH80" s="6"/>
      <c r="AI80" s="6"/>
      <c r="AJ80" s="6">
        <f>IFERROR(T80/L80,"-")</f>
        <v>1.25</v>
      </c>
      <c r="AK80" s="6">
        <f>IFERROR(AD80/M80,"-")</f>
        <v>1.2716763005780347</v>
      </c>
      <c r="AL80" s="6">
        <f>IFERROR(V80/N80,"-")</f>
        <v>1.25</v>
      </c>
      <c r="AM80" s="4" t="str">
        <f t="shared" si="5"/>
        <v>-</v>
      </c>
      <c r="AN80" s="4" t="str">
        <f t="shared" si="6"/>
        <v>-</v>
      </c>
      <c r="AO80" s="4" t="str">
        <f t="shared" si="7"/>
        <v>-</v>
      </c>
      <c r="AP80" s="4">
        <v>0</v>
      </c>
      <c r="AQ80" s="4" t="s">
        <v>769</v>
      </c>
      <c r="AR80" s="4"/>
      <c r="AS80" s="4"/>
      <c r="AT80" s="4" t="s">
        <v>770</v>
      </c>
      <c r="AU80" s="4">
        <v>2400</v>
      </c>
      <c r="AV80" s="4">
        <f>IF(AR80="",AU80,AR80/AS80*AU80)</f>
        <v>2400</v>
      </c>
      <c r="AW80" s="19">
        <v>4</v>
      </c>
      <c r="AX80" s="19">
        <v>1</v>
      </c>
      <c r="AY80" s="16">
        <v>5</v>
      </c>
      <c r="AZ80">
        <v>1920</v>
      </c>
      <c r="BA80">
        <f t="shared" si="8"/>
        <v>2400</v>
      </c>
      <c r="BB80">
        <v>2280</v>
      </c>
      <c r="BC80">
        <f t="shared" si="9"/>
        <v>2850</v>
      </c>
      <c r="BD80" t="s">
        <v>534</v>
      </c>
    </row>
    <row r="81" spans="1:56" x14ac:dyDescent="0.4">
      <c r="A81" s="3">
        <v>91</v>
      </c>
      <c r="B81" s="3">
        <v>91</v>
      </c>
      <c r="C81" s="4">
        <v>699855</v>
      </c>
      <c r="D81" s="4" t="str">
        <f>TEXT(C81,"000000")</f>
        <v>699855</v>
      </c>
      <c r="E81" s="4">
        <v>699855</v>
      </c>
      <c r="F81" s="4" t="s">
        <v>293</v>
      </c>
      <c r="G81" s="5">
        <v>4901881019159</v>
      </c>
      <c r="H81" s="5"/>
      <c r="I81" s="5"/>
      <c r="J81" s="5">
        <v>1</v>
      </c>
      <c r="K81" s="5">
        <v>1</v>
      </c>
      <c r="L81" s="4">
        <v>120</v>
      </c>
      <c r="M81" s="4">
        <v>99</v>
      </c>
      <c r="N81" s="4">
        <v>52</v>
      </c>
      <c r="O81" s="6">
        <f>IFERROR(1-N81/M81,"-")</f>
        <v>0.4747474747474747</v>
      </c>
      <c r="P81" s="4" t="s">
        <v>462</v>
      </c>
      <c r="Q81" s="4" t="s">
        <v>462</v>
      </c>
      <c r="R81" s="4" t="s">
        <v>462</v>
      </c>
      <c r="S81" s="4">
        <v>150</v>
      </c>
      <c r="T81" s="4">
        <f>IF(W81="",S81,S81*W81)</f>
        <v>150</v>
      </c>
      <c r="U81" s="4">
        <v>65</v>
      </c>
      <c r="V81" s="4">
        <f>IF(W81="",U81,U81*W81)</f>
        <v>65</v>
      </c>
      <c r="W81" s="4"/>
      <c r="X81" s="21">
        <f>ROUND(M81*AL81,0)</f>
        <v>124</v>
      </c>
      <c r="Y81" s="6">
        <f>IFERROR(1-V81/X81,"-")</f>
        <v>0.47580645161290325</v>
      </c>
      <c r="Z81" s="33">
        <v>96.5</v>
      </c>
      <c r="AA81" s="4">
        <f>AV81</f>
        <v>90</v>
      </c>
      <c r="AB81" s="33">
        <f>IFERROR(AA81*AL81,"-")</f>
        <v>112.5</v>
      </c>
      <c r="AC81" s="6">
        <f>IFERROR(1-V81/AB81,"-")</f>
        <v>0.42222222222222228</v>
      </c>
      <c r="AD81" s="7">
        <v>112</v>
      </c>
      <c r="AE81" s="6">
        <f>1-V81/AD81</f>
        <v>0.4196428571428571</v>
      </c>
      <c r="AF81" s="4">
        <f>AD81-V81</f>
        <v>47</v>
      </c>
      <c r="AG81" s="28"/>
      <c r="AH81" s="6"/>
      <c r="AI81" s="6"/>
      <c r="AJ81" s="6">
        <f>IFERROR(T81/L81,"-")</f>
        <v>1.25</v>
      </c>
      <c r="AK81" s="6">
        <f>IFERROR(AD81/M81,"-")</f>
        <v>1.1313131313131313</v>
      </c>
      <c r="AL81" s="6">
        <f>IFERROR(V81/N81,"-")</f>
        <v>1.25</v>
      </c>
      <c r="AM81" s="4" t="str">
        <f t="shared" si="5"/>
        <v>-</v>
      </c>
      <c r="AN81" s="4" t="str">
        <f t="shared" si="6"/>
        <v>-</v>
      </c>
      <c r="AO81" s="4" t="str">
        <f t="shared" si="7"/>
        <v>-</v>
      </c>
      <c r="AP81" s="4">
        <v>0</v>
      </c>
      <c r="AQ81" s="4" t="s">
        <v>771</v>
      </c>
      <c r="AR81" s="4"/>
      <c r="AS81" s="4"/>
      <c r="AT81" s="4" t="s">
        <v>693</v>
      </c>
      <c r="AU81" s="4">
        <v>90</v>
      </c>
      <c r="AV81" s="4">
        <f>IF(AR81="",AU81,AR81/AS81*AU81)</f>
        <v>90</v>
      </c>
      <c r="AW81" s="19">
        <v>4</v>
      </c>
      <c r="AX81" s="19">
        <v>1</v>
      </c>
      <c r="AY81" s="16">
        <v>5</v>
      </c>
      <c r="AZ81">
        <v>1920</v>
      </c>
      <c r="BA81">
        <f t="shared" si="8"/>
        <v>2400</v>
      </c>
      <c r="BB81">
        <v>2280</v>
      </c>
      <c r="BC81">
        <f t="shared" si="9"/>
        <v>2850</v>
      </c>
      <c r="BD81" t="s">
        <v>535</v>
      </c>
    </row>
    <row r="82" spans="1:56" x14ac:dyDescent="0.4">
      <c r="A82" s="3">
        <v>44</v>
      </c>
      <c r="B82" s="3">
        <v>44</v>
      </c>
      <c r="C82" s="4" t="s">
        <v>59</v>
      </c>
      <c r="D82" s="4" t="str">
        <f>TEXT(C82,"000000")</f>
        <v>6608AJ</v>
      </c>
      <c r="E82" s="4" t="s">
        <v>59</v>
      </c>
      <c r="F82" s="4" t="s">
        <v>246</v>
      </c>
      <c r="G82" s="5">
        <v>4901881247552</v>
      </c>
      <c r="H82" s="5"/>
      <c r="I82" s="5"/>
      <c r="J82" s="5">
        <v>1</v>
      </c>
      <c r="K82" s="5">
        <v>1</v>
      </c>
      <c r="L82" s="4">
        <v>120</v>
      </c>
      <c r="M82" s="4">
        <v>91</v>
      </c>
      <c r="N82" s="4">
        <v>52</v>
      </c>
      <c r="O82" s="6">
        <f>IFERROR(1-N82/M82,"-")</f>
        <v>0.4285714285714286</v>
      </c>
      <c r="P82" s="4" t="s">
        <v>462</v>
      </c>
      <c r="Q82" s="4" t="s">
        <v>462</v>
      </c>
      <c r="R82" s="4" t="s">
        <v>462</v>
      </c>
      <c r="S82" s="4">
        <v>150</v>
      </c>
      <c r="T82" s="4">
        <f>IF(W82="",S82,S82*W82)</f>
        <v>150</v>
      </c>
      <c r="U82" s="4">
        <v>65</v>
      </c>
      <c r="V82" s="4">
        <f>IF(W82="",U82,U82*W82)</f>
        <v>65</v>
      </c>
      <c r="W82" s="4"/>
      <c r="X82" s="21">
        <f>ROUND(M82*AL82,0)</f>
        <v>114</v>
      </c>
      <c r="Y82" s="6">
        <f>IFERROR(1-V82/X82,"-")</f>
        <v>0.42982456140350878</v>
      </c>
      <c r="Z82" s="33">
        <v>1</v>
      </c>
      <c r="AA82" s="4">
        <f>AV82</f>
        <v>120</v>
      </c>
      <c r="AB82" s="33">
        <f>IFERROR(AA82*AL82,"-")</f>
        <v>150</v>
      </c>
      <c r="AC82" s="6">
        <f>IFERROR(1-V82/AB82,"-")</f>
        <v>0.56666666666666665</v>
      </c>
      <c r="AD82" s="7">
        <v>112</v>
      </c>
      <c r="AE82" s="6">
        <f>1-V82/AD82</f>
        <v>0.4196428571428571</v>
      </c>
      <c r="AF82" s="4">
        <f>AD82-V82</f>
        <v>47</v>
      </c>
      <c r="AG82" s="28"/>
      <c r="AH82" s="6"/>
      <c r="AI82" s="6"/>
      <c r="AJ82" s="6">
        <f>IFERROR(T82/L82,"-")</f>
        <v>1.25</v>
      </c>
      <c r="AK82" s="6">
        <f>IFERROR(AD82/M82,"-")</f>
        <v>1.2307692307692308</v>
      </c>
      <c r="AL82" s="6">
        <f>IFERROR(V82/N82,"-")</f>
        <v>1.25</v>
      </c>
      <c r="AM82" s="4" t="str">
        <f t="shared" si="5"/>
        <v>-</v>
      </c>
      <c r="AN82" s="4" t="str">
        <f t="shared" si="6"/>
        <v>-</v>
      </c>
      <c r="AO82" s="4" t="str">
        <f t="shared" si="7"/>
        <v>-</v>
      </c>
      <c r="AP82" s="4">
        <v>0</v>
      </c>
      <c r="AQ82" s="4" t="s">
        <v>772</v>
      </c>
      <c r="AR82" s="4">
        <v>1</v>
      </c>
      <c r="AS82" s="4">
        <v>40</v>
      </c>
      <c r="AT82" s="4" t="s">
        <v>773</v>
      </c>
      <c r="AU82" s="4">
        <v>4800</v>
      </c>
      <c r="AV82" s="4">
        <f>IF(AR82="",AU82,AR82/AS82*AU82)</f>
        <v>120</v>
      </c>
      <c r="AW82" s="19">
        <v>4</v>
      </c>
      <c r="AX82" s="19">
        <v>1</v>
      </c>
      <c r="AY82" s="16">
        <v>5</v>
      </c>
      <c r="AZ82" t="s">
        <v>462</v>
      </c>
      <c r="BA82" t="str">
        <f t="shared" si="8"/>
        <v>-</v>
      </c>
      <c r="BB82" t="s">
        <v>462</v>
      </c>
      <c r="BC82" t="str">
        <f t="shared" si="9"/>
        <v>-</v>
      </c>
      <c r="BD82" t="s">
        <v>536</v>
      </c>
    </row>
    <row r="83" spans="1:56" x14ac:dyDescent="0.4">
      <c r="A83" s="3">
        <v>45</v>
      </c>
      <c r="B83" s="3">
        <v>45</v>
      </c>
      <c r="C83" s="4" t="s">
        <v>60</v>
      </c>
      <c r="D83" s="4" t="str">
        <f>TEXT(C83,"000000")</f>
        <v>6609AJ</v>
      </c>
      <c r="E83" s="4" t="s">
        <v>60</v>
      </c>
      <c r="F83" s="4" t="s">
        <v>247</v>
      </c>
      <c r="G83" s="5">
        <v>4901881247569</v>
      </c>
      <c r="H83" s="5"/>
      <c r="I83" s="5"/>
      <c r="J83" s="5">
        <v>1</v>
      </c>
      <c r="K83" s="5">
        <v>1</v>
      </c>
      <c r="L83" s="4">
        <v>120</v>
      </c>
      <c r="M83" s="4">
        <v>91</v>
      </c>
      <c r="N83" s="4">
        <v>52</v>
      </c>
      <c r="O83" s="6">
        <f>IFERROR(1-N83/M83,"-")</f>
        <v>0.4285714285714286</v>
      </c>
      <c r="P83" s="4" t="s">
        <v>462</v>
      </c>
      <c r="Q83" s="4" t="s">
        <v>462</v>
      </c>
      <c r="R83" s="4" t="s">
        <v>462</v>
      </c>
      <c r="S83" s="4">
        <v>150</v>
      </c>
      <c r="T83" s="4">
        <f>IF(W83="",S83,S83*W83)</f>
        <v>150</v>
      </c>
      <c r="U83" s="4">
        <v>65</v>
      </c>
      <c r="V83" s="4">
        <f>IF(W83="",U83,U83*W83)</f>
        <v>65</v>
      </c>
      <c r="W83" s="4"/>
      <c r="X83" s="21">
        <f>ROUND(M83*AL83,0)</f>
        <v>114</v>
      </c>
      <c r="Y83" s="6">
        <f>IFERROR(1-V83/X83,"-")</f>
        <v>0.42982456140350878</v>
      </c>
      <c r="Z83" s="33">
        <v>12.25</v>
      </c>
      <c r="AA83" s="4">
        <f>AV83</f>
        <v>120</v>
      </c>
      <c r="AB83" s="33">
        <f>IFERROR(AA83*AL83,"-")</f>
        <v>150</v>
      </c>
      <c r="AC83" s="6">
        <f>IFERROR(1-V83/AB83,"-")</f>
        <v>0.56666666666666665</v>
      </c>
      <c r="AD83" s="7">
        <v>112</v>
      </c>
      <c r="AE83" s="6">
        <f>1-V83/AD83</f>
        <v>0.4196428571428571</v>
      </c>
      <c r="AF83" s="4">
        <f>AD83-V83</f>
        <v>47</v>
      </c>
      <c r="AG83" s="28"/>
      <c r="AH83" s="6"/>
      <c r="AI83" s="6"/>
      <c r="AJ83" s="6">
        <f>IFERROR(T83/L83,"-")</f>
        <v>1.25</v>
      </c>
      <c r="AK83" s="6">
        <f>IFERROR(AD83/M83,"-")</f>
        <v>1.2307692307692308</v>
      </c>
      <c r="AL83" s="6">
        <f>IFERROR(V83/N83,"-")</f>
        <v>1.25</v>
      </c>
      <c r="AM83" s="4" t="str">
        <f t="shared" si="5"/>
        <v>-</v>
      </c>
      <c r="AN83" s="4" t="str">
        <f t="shared" si="6"/>
        <v>-</v>
      </c>
      <c r="AO83" s="4" t="str">
        <f t="shared" si="7"/>
        <v>-</v>
      </c>
      <c r="AP83" s="4">
        <v>0</v>
      </c>
      <c r="AQ83" s="4" t="s">
        <v>774</v>
      </c>
      <c r="AR83" s="4">
        <v>1</v>
      </c>
      <c r="AS83" s="4">
        <v>40</v>
      </c>
      <c r="AT83" s="4" t="s">
        <v>773</v>
      </c>
      <c r="AU83" s="4">
        <v>4800</v>
      </c>
      <c r="AV83" s="4">
        <f>IF(AR83="",AU83,AR83/AS83*AU83)</f>
        <v>120</v>
      </c>
      <c r="AW83" s="19">
        <v>4</v>
      </c>
      <c r="AX83" s="19">
        <v>1</v>
      </c>
      <c r="AY83" s="16">
        <v>5</v>
      </c>
      <c r="AZ83" t="s">
        <v>462</v>
      </c>
      <c r="BA83" t="str">
        <f t="shared" si="8"/>
        <v>-</v>
      </c>
      <c r="BB83" t="s">
        <v>462</v>
      </c>
      <c r="BC83" t="str">
        <f t="shared" si="9"/>
        <v>-</v>
      </c>
      <c r="BD83" t="s">
        <v>537</v>
      </c>
    </row>
    <row r="84" spans="1:56" x14ac:dyDescent="0.4">
      <c r="A84" s="3">
        <v>15</v>
      </c>
      <c r="B84" s="3">
        <v>15</v>
      </c>
      <c r="C84" s="4">
        <v>407148</v>
      </c>
      <c r="D84" s="4" t="str">
        <f>TEXT(C84,"000000")</f>
        <v>407148</v>
      </c>
      <c r="E84" s="4">
        <v>407148</v>
      </c>
      <c r="F84" s="4" t="s">
        <v>217</v>
      </c>
      <c r="G84" s="5">
        <v>4901881287107</v>
      </c>
      <c r="H84" s="5"/>
      <c r="I84" s="5"/>
      <c r="J84" s="5">
        <v>1</v>
      </c>
      <c r="K84" s="5">
        <v>1</v>
      </c>
      <c r="L84" s="4">
        <v>120</v>
      </c>
      <c r="M84" s="4">
        <v>81</v>
      </c>
      <c r="N84" s="4">
        <v>54</v>
      </c>
      <c r="O84" s="6">
        <f>IFERROR(1-N84/M84,"-")</f>
        <v>0.33333333333333337</v>
      </c>
      <c r="P84" s="4" t="s">
        <v>462</v>
      </c>
      <c r="Q84" s="4" t="s">
        <v>462</v>
      </c>
      <c r="R84" s="4" t="s">
        <v>462</v>
      </c>
      <c r="S84" s="4">
        <v>150</v>
      </c>
      <c r="T84" s="4">
        <f>IF(W84="",S84,S84*W84)</f>
        <v>150</v>
      </c>
      <c r="U84" s="4">
        <v>68</v>
      </c>
      <c r="V84" s="4">
        <f>IF(W84="",U84,U84*W84)</f>
        <v>68</v>
      </c>
      <c r="W84" s="4"/>
      <c r="X84" s="21">
        <f>ROUND(M84*AL84,0)</f>
        <v>102</v>
      </c>
      <c r="Y84" s="6">
        <f>IFERROR(1-V84/X84,"-")</f>
        <v>0.33333333333333337</v>
      </c>
      <c r="Z84" s="33">
        <v>11</v>
      </c>
      <c r="AA84" s="4">
        <f>AV84</f>
        <v>101</v>
      </c>
      <c r="AB84" s="33">
        <f>IFERROR(AA84*AL84,"-")</f>
        <v>127.18518518518519</v>
      </c>
      <c r="AC84" s="6">
        <f>IFERROR(1-V84/AB84,"-")</f>
        <v>0.46534653465346532</v>
      </c>
      <c r="AD84" s="7">
        <v>120</v>
      </c>
      <c r="AE84" s="6">
        <f>1-V84/AD84</f>
        <v>0.43333333333333335</v>
      </c>
      <c r="AF84" s="4">
        <f>AD84-V84</f>
        <v>52</v>
      </c>
      <c r="AG84" s="28"/>
      <c r="AH84" s="6"/>
      <c r="AI84" s="6"/>
      <c r="AJ84" s="6">
        <f>IFERROR(T84/L84,"-")</f>
        <v>1.25</v>
      </c>
      <c r="AK84" s="6">
        <f>IFERROR(AD84/M84,"-")</f>
        <v>1.4814814814814814</v>
      </c>
      <c r="AL84" s="6">
        <f>IFERROR(V84/N84,"-")</f>
        <v>1.2592592592592593</v>
      </c>
      <c r="AM84" s="4" t="str">
        <f t="shared" si="5"/>
        <v>-</v>
      </c>
      <c r="AN84" s="4" t="str">
        <f t="shared" si="6"/>
        <v>-</v>
      </c>
      <c r="AO84" s="4" t="str">
        <f t="shared" si="7"/>
        <v>-</v>
      </c>
      <c r="AP84" s="4">
        <v>0</v>
      </c>
      <c r="AQ84" s="4" t="s">
        <v>775</v>
      </c>
      <c r="AR84" s="4"/>
      <c r="AS84" s="4"/>
      <c r="AT84" s="4" t="s">
        <v>693</v>
      </c>
      <c r="AU84" s="4">
        <v>101</v>
      </c>
      <c r="AV84" s="4">
        <f>IF(AR84="",AU84,AR84/AS84*AU84)</f>
        <v>101</v>
      </c>
      <c r="AW84" s="19">
        <v>4</v>
      </c>
      <c r="AX84" s="19">
        <v>1</v>
      </c>
      <c r="AY84" s="16">
        <v>5</v>
      </c>
      <c r="AZ84" t="s">
        <v>462</v>
      </c>
      <c r="BA84" t="str">
        <f t="shared" si="8"/>
        <v>-</v>
      </c>
      <c r="BB84" t="s">
        <v>462</v>
      </c>
      <c r="BC84" t="str">
        <f t="shared" si="9"/>
        <v>-</v>
      </c>
      <c r="BD84" t="s">
        <v>538</v>
      </c>
    </row>
    <row r="85" spans="1:56" x14ac:dyDescent="0.4">
      <c r="A85" s="3">
        <v>92</v>
      </c>
      <c r="B85" s="3">
        <v>92</v>
      </c>
      <c r="C85" s="4">
        <v>939575</v>
      </c>
      <c r="D85" s="4" t="str">
        <f>TEXT(C85,"000000")</f>
        <v>939575</v>
      </c>
      <c r="E85" s="4">
        <v>939575</v>
      </c>
      <c r="F85" s="4" t="s">
        <v>294</v>
      </c>
      <c r="G85" s="5">
        <v>4901881287114</v>
      </c>
      <c r="H85" s="5"/>
      <c r="I85" s="5"/>
      <c r="J85" s="5">
        <v>1</v>
      </c>
      <c r="K85" s="5">
        <v>1</v>
      </c>
      <c r="L85" s="4">
        <v>120</v>
      </c>
      <c r="M85" s="4">
        <v>103</v>
      </c>
      <c r="N85" s="4">
        <v>54</v>
      </c>
      <c r="O85" s="6">
        <f>IFERROR(1-N85/M85,"-")</f>
        <v>0.47572815533980584</v>
      </c>
      <c r="P85" s="4" t="s">
        <v>462</v>
      </c>
      <c r="Q85" s="4" t="s">
        <v>462</v>
      </c>
      <c r="R85" s="4" t="s">
        <v>462</v>
      </c>
      <c r="S85" s="4">
        <v>150</v>
      </c>
      <c r="T85" s="4">
        <f>IF(W85="",S85,S85*W85)</f>
        <v>150</v>
      </c>
      <c r="U85" s="4">
        <v>68</v>
      </c>
      <c r="V85" s="4">
        <f>IF(W85="",U85,U85*W85)</f>
        <v>68</v>
      </c>
      <c r="W85" s="4"/>
      <c r="X85" s="21">
        <f>ROUND(M85*AL85,0)</f>
        <v>130</v>
      </c>
      <c r="Y85" s="6">
        <f>IFERROR(1-V85/X85,"-")</f>
        <v>0.47692307692307689</v>
      </c>
      <c r="Z85" s="33">
        <v>16</v>
      </c>
      <c r="AA85" s="4">
        <f>AV85</f>
        <v>144</v>
      </c>
      <c r="AB85" s="33">
        <f>IFERROR(AA85*AL85,"-")</f>
        <v>181.33333333333334</v>
      </c>
      <c r="AC85" s="6">
        <f>IFERROR(1-V85/AB85,"-")</f>
        <v>0.625</v>
      </c>
      <c r="AD85" s="7">
        <v>120</v>
      </c>
      <c r="AE85" s="6">
        <f>1-V85/AD85</f>
        <v>0.43333333333333335</v>
      </c>
      <c r="AF85" s="4">
        <f>AD85-V85</f>
        <v>52</v>
      </c>
      <c r="AG85" s="28"/>
      <c r="AH85" s="6"/>
      <c r="AI85" s="6"/>
      <c r="AJ85" s="6">
        <f>IFERROR(T85/L85,"-")</f>
        <v>1.25</v>
      </c>
      <c r="AK85" s="6">
        <f>IFERROR(AD85/M85,"-")</f>
        <v>1.1650485436893203</v>
      </c>
      <c r="AL85" s="6">
        <f>IFERROR(V85/N85,"-")</f>
        <v>1.2592592592592593</v>
      </c>
      <c r="AM85" s="4" t="str">
        <f t="shared" si="5"/>
        <v>-</v>
      </c>
      <c r="AN85" s="4" t="str">
        <f t="shared" si="6"/>
        <v>-</v>
      </c>
      <c r="AO85" s="4" t="str">
        <f t="shared" si="7"/>
        <v>-</v>
      </c>
      <c r="AP85" s="4">
        <v>0</v>
      </c>
      <c r="AQ85" s="4" t="s">
        <v>776</v>
      </c>
      <c r="AR85" s="4"/>
      <c r="AS85" s="4"/>
      <c r="AT85" s="4" t="s">
        <v>693</v>
      </c>
      <c r="AU85" s="4">
        <v>144</v>
      </c>
      <c r="AV85" s="4">
        <f>IF(AR85="",AU85,AR85/AS85*AU85)</f>
        <v>144</v>
      </c>
      <c r="AW85" s="19">
        <v>4</v>
      </c>
      <c r="AX85" s="19">
        <v>1</v>
      </c>
      <c r="AY85" s="16">
        <v>5</v>
      </c>
      <c r="AZ85" t="s">
        <v>462</v>
      </c>
      <c r="BA85" t="str">
        <f t="shared" si="8"/>
        <v>-</v>
      </c>
      <c r="BB85" t="s">
        <v>462</v>
      </c>
      <c r="BC85" t="str">
        <f t="shared" si="9"/>
        <v>-</v>
      </c>
      <c r="BD85" t="s">
        <v>539</v>
      </c>
    </row>
    <row r="86" spans="1:56" x14ac:dyDescent="0.4">
      <c r="A86" s="3">
        <v>229</v>
      </c>
      <c r="B86" s="3">
        <v>229</v>
      </c>
      <c r="C86" s="4" t="s">
        <v>197</v>
      </c>
      <c r="D86" s="4" t="str">
        <f>TEXT(C86,"000000")</f>
        <v>JA5935</v>
      </c>
      <c r="E86" s="4" t="s">
        <v>197</v>
      </c>
      <c r="F86" s="4" t="s">
        <v>431</v>
      </c>
      <c r="G86" s="5">
        <v>4901881835490</v>
      </c>
      <c r="H86" s="5"/>
      <c r="I86" s="5"/>
      <c r="J86" s="5">
        <v>1</v>
      </c>
      <c r="K86" s="5">
        <v>1</v>
      </c>
      <c r="L86" s="4">
        <v>140</v>
      </c>
      <c r="M86" s="4">
        <v>106</v>
      </c>
      <c r="N86" s="4">
        <v>70</v>
      </c>
      <c r="O86" s="6">
        <f>IFERROR(1-N86/M86,"-")</f>
        <v>0.339622641509434</v>
      </c>
      <c r="P86" s="4" t="s">
        <v>462</v>
      </c>
      <c r="Q86" s="4" t="s">
        <v>462</v>
      </c>
      <c r="R86" s="4" t="s">
        <v>462</v>
      </c>
      <c r="S86" s="4">
        <v>150</v>
      </c>
      <c r="T86" s="4">
        <f>IF(W86="",S86,S86*W86)</f>
        <v>150</v>
      </c>
      <c r="U86" s="4">
        <v>75</v>
      </c>
      <c r="V86" s="4">
        <f>IF(W86="",U86,U86*W86)</f>
        <v>75</v>
      </c>
      <c r="W86" s="4"/>
      <c r="X86" s="21">
        <f>ROUND(M86*AL86,0)</f>
        <v>114</v>
      </c>
      <c r="Y86" s="6">
        <f>IFERROR(1-V86/X86,"-")</f>
        <v>0.34210526315789469</v>
      </c>
      <c r="Z86" s="33">
        <v>0.25</v>
      </c>
      <c r="AA86" s="4">
        <f>AV86</f>
        <v>140</v>
      </c>
      <c r="AB86" s="33">
        <f>IFERROR(AA86*AL86,"-")</f>
        <v>150</v>
      </c>
      <c r="AC86" s="6">
        <f>IFERROR(1-V86/AB86,"-")</f>
        <v>0.5</v>
      </c>
      <c r="AD86" s="7">
        <v>120</v>
      </c>
      <c r="AE86" s="6">
        <f>1-V86/AD86</f>
        <v>0.375</v>
      </c>
      <c r="AF86" s="4">
        <f>AD86-V86</f>
        <v>45</v>
      </c>
      <c r="AG86" s="28"/>
      <c r="AH86" s="6"/>
      <c r="AI86" s="6"/>
      <c r="AJ86" s="6">
        <f>IFERROR(T86/L86,"-")</f>
        <v>1.0714285714285714</v>
      </c>
      <c r="AK86" s="6">
        <f>IFERROR(AD86/M86,"-")</f>
        <v>1.1320754716981132</v>
      </c>
      <c r="AL86" s="6">
        <f>IFERROR(V86/N86,"-")</f>
        <v>1.0714285714285714</v>
      </c>
      <c r="AM86" s="4" t="str">
        <f t="shared" si="5"/>
        <v>-</v>
      </c>
      <c r="AN86" s="4" t="str">
        <f t="shared" si="6"/>
        <v>-</v>
      </c>
      <c r="AO86" s="4" t="str">
        <f t="shared" si="7"/>
        <v>-</v>
      </c>
      <c r="AP86" s="4">
        <v>0</v>
      </c>
      <c r="AQ86" s="4" t="s">
        <v>777</v>
      </c>
      <c r="AR86" s="4">
        <v>1</v>
      </c>
      <c r="AS86" s="4">
        <v>10</v>
      </c>
      <c r="AT86" s="4" t="s">
        <v>749</v>
      </c>
      <c r="AU86" s="4">
        <v>1400</v>
      </c>
      <c r="AV86" s="4">
        <f>IF(AR86="",AU86,AR86/AS86*AU86)</f>
        <v>140</v>
      </c>
      <c r="AW86" s="19">
        <v>4</v>
      </c>
      <c r="AX86" s="19">
        <v>8</v>
      </c>
      <c r="AY86" s="16">
        <v>5</v>
      </c>
      <c r="AZ86" t="s">
        <v>462</v>
      </c>
      <c r="BA86" t="str">
        <f t="shared" si="8"/>
        <v>-</v>
      </c>
      <c r="BB86" t="s">
        <v>462</v>
      </c>
      <c r="BC86" t="str">
        <f t="shared" si="9"/>
        <v>-</v>
      </c>
      <c r="BD86" t="s">
        <v>540</v>
      </c>
    </row>
    <row r="87" spans="1:56" x14ac:dyDescent="0.4">
      <c r="A87" s="3">
        <v>47</v>
      </c>
      <c r="B87" s="3">
        <v>47</v>
      </c>
      <c r="C87" s="4">
        <v>667225</v>
      </c>
      <c r="D87" s="4" t="str">
        <f>TEXT(C87,"000000")</f>
        <v>667225</v>
      </c>
      <c r="E87" s="4">
        <v>667225</v>
      </c>
      <c r="F87" s="4" t="s">
        <v>249</v>
      </c>
      <c r="G87" s="5">
        <v>4901881142178</v>
      </c>
      <c r="H87" s="5"/>
      <c r="I87" s="5"/>
      <c r="J87" s="5">
        <v>1</v>
      </c>
      <c r="K87" s="5">
        <v>1</v>
      </c>
      <c r="L87" s="4">
        <v>150</v>
      </c>
      <c r="M87" s="4">
        <v>116</v>
      </c>
      <c r="N87" s="4">
        <v>75</v>
      </c>
      <c r="O87" s="6">
        <f>IFERROR(1-N87/M87,"-")</f>
        <v>0.35344827586206895</v>
      </c>
      <c r="P87" s="4" t="s">
        <v>462</v>
      </c>
      <c r="Q87" s="4" t="s">
        <v>462</v>
      </c>
      <c r="R87" s="4" t="s">
        <v>462</v>
      </c>
      <c r="S87" s="4">
        <v>170</v>
      </c>
      <c r="T87" s="4">
        <f>IF(W87="",S87,S87*W87)</f>
        <v>170</v>
      </c>
      <c r="U87" s="4">
        <v>85</v>
      </c>
      <c r="V87" s="4">
        <f>IF(W87="",U87,U87*W87)</f>
        <v>85</v>
      </c>
      <c r="W87" s="4"/>
      <c r="X87" s="21">
        <f>ROUND(M87*AL87,0)</f>
        <v>131</v>
      </c>
      <c r="Y87" s="6">
        <f>IFERROR(1-V87/X87,"-")</f>
        <v>0.35114503816793896</v>
      </c>
      <c r="Z87" s="33">
        <v>1.7500000000000002</v>
      </c>
      <c r="AA87" s="4">
        <f>AV87</f>
        <v>150</v>
      </c>
      <c r="AB87" s="33">
        <f>IFERROR(AA87*AL87,"-")</f>
        <v>170</v>
      </c>
      <c r="AC87" s="6">
        <f>IFERROR(1-V87/AB87,"-")</f>
        <v>0.5</v>
      </c>
      <c r="AD87" s="7">
        <v>140</v>
      </c>
      <c r="AE87" s="6">
        <f>1-V87/AD87</f>
        <v>0.3928571428571429</v>
      </c>
      <c r="AF87" s="4">
        <f>AD87-V87</f>
        <v>55</v>
      </c>
      <c r="AG87" s="28"/>
      <c r="AH87" s="6"/>
      <c r="AI87" s="6"/>
      <c r="AJ87" s="6">
        <f>IFERROR(T87/L87,"-")</f>
        <v>1.1333333333333333</v>
      </c>
      <c r="AK87" s="6">
        <f>IFERROR(AD87/M87,"-")</f>
        <v>1.2068965517241379</v>
      </c>
      <c r="AL87" s="6">
        <f>IFERROR(V87/N87,"-")</f>
        <v>1.1333333333333333</v>
      </c>
      <c r="AM87" s="4" t="str">
        <f t="shared" si="5"/>
        <v>-</v>
      </c>
      <c r="AN87" s="4" t="str">
        <f t="shared" si="6"/>
        <v>-</v>
      </c>
      <c r="AO87" s="4" t="str">
        <f t="shared" si="7"/>
        <v>-</v>
      </c>
      <c r="AP87" s="4">
        <v>0</v>
      </c>
      <c r="AQ87" s="4" t="s">
        <v>778</v>
      </c>
      <c r="AR87" s="4">
        <v>1</v>
      </c>
      <c r="AS87" s="4">
        <v>10</v>
      </c>
      <c r="AT87" s="4" t="s">
        <v>779</v>
      </c>
      <c r="AU87" s="4">
        <v>1500</v>
      </c>
      <c r="AV87" s="4">
        <f>IF(AR87="",AU87,AR87/AS87*AU87)</f>
        <v>150</v>
      </c>
      <c r="AW87" s="19">
        <v>4</v>
      </c>
      <c r="AX87" s="19">
        <v>1</v>
      </c>
      <c r="AY87" s="16">
        <v>5</v>
      </c>
      <c r="AZ87" t="s">
        <v>462</v>
      </c>
      <c r="BA87" t="str">
        <f t="shared" si="8"/>
        <v>-</v>
      </c>
      <c r="BB87" t="s">
        <v>462</v>
      </c>
      <c r="BC87" t="str">
        <f t="shared" si="9"/>
        <v>-</v>
      </c>
      <c r="BD87" t="s">
        <v>541</v>
      </c>
    </row>
    <row r="88" spans="1:56" x14ac:dyDescent="0.4">
      <c r="A88" s="3">
        <v>48</v>
      </c>
      <c r="B88" s="3">
        <v>48</v>
      </c>
      <c r="C88" s="4">
        <v>667226</v>
      </c>
      <c r="D88" s="4" t="str">
        <f>TEXT(C88,"000000")</f>
        <v>667226</v>
      </c>
      <c r="E88" s="4">
        <v>667226</v>
      </c>
      <c r="F88" s="4" t="s">
        <v>250</v>
      </c>
      <c r="G88" s="5">
        <v>4901881142185</v>
      </c>
      <c r="H88" s="5"/>
      <c r="I88" s="5"/>
      <c r="J88" s="5">
        <v>1</v>
      </c>
      <c r="K88" s="5">
        <v>1</v>
      </c>
      <c r="L88" s="4">
        <v>150</v>
      </c>
      <c r="M88" s="4">
        <v>123</v>
      </c>
      <c r="N88" s="4">
        <v>75</v>
      </c>
      <c r="O88" s="6">
        <f>IFERROR(1-N88/M88,"-")</f>
        <v>0.3902439024390244</v>
      </c>
      <c r="P88" s="4" t="s">
        <v>462</v>
      </c>
      <c r="Q88" s="4" t="s">
        <v>462</v>
      </c>
      <c r="R88" s="4" t="s">
        <v>462</v>
      </c>
      <c r="S88" s="4">
        <v>170</v>
      </c>
      <c r="T88" s="4">
        <f>IF(W88="",S88,S88*W88)</f>
        <v>170</v>
      </c>
      <c r="U88" s="4">
        <v>85</v>
      </c>
      <c r="V88" s="4">
        <f>IF(W88="",U88,U88*W88)</f>
        <v>85</v>
      </c>
      <c r="W88" s="4"/>
      <c r="X88" s="21">
        <f>ROUND(M88*AL88,0)</f>
        <v>139</v>
      </c>
      <c r="Y88" s="6">
        <f>IFERROR(1-V88/X88,"-")</f>
        <v>0.38848920863309355</v>
      </c>
      <c r="Z88" s="33">
        <v>5</v>
      </c>
      <c r="AA88" s="4">
        <f>AV88</f>
        <v>150</v>
      </c>
      <c r="AB88" s="33">
        <f>IFERROR(AA88*AL88,"-")</f>
        <v>170</v>
      </c>
      <c r="AC88" s="6">
        <f>IFERROR(1-V88/AB88,"-")</f>
        <v>0.5</v>
      </c>
      <c r="AD88" s="7">
        <v>140</v>
      </c>
      <c r="AE88" s="6">
        <f>1-V88/AD88</f>
        <v>0.3928571428571429</v>
      </c>
      <c r="AF88" s="4">
        <f>AD88-V88</f>
        <v>55</v>
      </c>
      <c r="AG88" s="28"/>
      <c r="AH88" s="6"/>
      <c r="AI88" s="6"/>
      <c r="AJ88" s="6">
        <f>IFERROR(T88/L88,"-")</f>
        <v>1.1333333333333333</v>
      </c>
      <c r="AK88" s="6">
        <f>IFERROR(AD88/M88,"-")</f>
        <v>1.1382113821138211</v>
      </c>
      <c r="AL88" s="6">
        <f>IFERROR(V88/N88,"-")</f>
        <v>1.1333333333333333</v>
      </c>
      <c r="AM88" s="4" t="str">
        <f t="shared" si="5"/>
        <v>-</v>
      </c>
      <c r="AN88" s="4" t="str">
        <f t="shared" si="6"/>
        <v>-</v>
      </c>
      <c r="AO88" s="4" t="str">
        <f t="shared" si="7"/>
        <v>-</v>
      </c>
      <c r="AP88" s="4">
        <v>0</v>
      </c>
      <c r="AQ88" s="4" t="s">
        <v>780</v>
      </c>
      <c r="AR88" s="4">
        <v>1</v>
      </c>
      <c r="AS88" s="4">
        <v>10</v>
      </c>
      <c r="AT88" s="4" t="s">
        <v>779</v>
      </c>
      <c r="AU88" s="4">
        <v>1500</v>
      </c>
      <c r="AV88" s="4">
        <f>IF(AR88="",AU88,AR88/AS88*AU88)</f>
        <v>150</v>
      </c>
      <c r="AW88" s="19">
        <v>4</v>
      </c>
      <c r="AX88" s="19">
        <v>1</v>
      </c>
      <c r="AY88" s="16">
        <v>5</v>
      </c>
      <c r="AZ88">
        <v>640</v>
      </c>
      <c r="BA88">
        <f t="shared" si="8"/>
        <v>725.33333333333326</v>
      </c>
      <c r="BB88" t="s">
        <v>462</v>
      </c>
      <c r="BC88" t="str">
        <f t="shared" si="9"/>
        <v>-</v>
      </c>
      <c r="BD88" t="s">
        <v>542</v>
      </c>
    </row>
    <row r="89" spans="1:56" x14ac:dyDescent="0.4">
      <c r="A89" s="3">
        <v>49</v>
      </c>
      <c r="B89" s="3">
        <v>49</v>
      </c>
      <c r="C89" s="4">
        <v>667227</v>
      </c>
      <c r="D89" s="4" t="str">
        <f>TEXT(C89,"000000")</f>
        <v>667227</v>
      </c>
      <c r="E89" s="4">
        <v>667227</v>
      </c>
      <c r="F89" s="4" t="s">
        <v>251</v>
      </c>
      <c r="G89" s="5">
        <v>4901881142024</v>
      </c>
      <c r="H89" s="5"/>
      <c r="I89" s="5"/>
      <c r="J89" s="5">
        <v>1</v>
      </c>
      <c r="K89" s="5">
        <v>1</v>
      </c>
      <c r="L89" s="4">
        <v>150</v>
      </c>
      <c r="M89" s="4">
        <v>116</v>
      </c>
      <c r="N89" s="4">
        <v>75</v>
      </c>
      <c r="O89" s="6">
        <f>IFERROR(1-N89/M89,"-")</f>
        <v>0.35344827586206895</v>
      </c>
      <c r="P89" s="4" t="s">
        <v>462</v>
      </c>
      <c r="Q89" s="4" t="s">
        <v>462</v>
      </c>
      <c r="R89" s="4" t="s">
        <v>462</v>
      </c>
      <c r="S89" s="4">
        <v>170</v>
      </c>
      <c r="T89" s="4">
        <f>IF(W89="",S89,S89*W89)</f>
        <v>170</v>
      </c>
      <c r="U89" s="4">
        <v>85</v>
      </c>
      <c r="V89" s="4">
        <f>IF(W89="",U89,U89*W89)</f>
        <v>85</v>
      </c>
      <c r="W89" s="4"/>
      <c r="X89" s="21">
        <f>ROUND(M89*AL89,0)</f>
        <v>131</v>
      </c>
      <c r="Y89" s="6">
        <f>IFERROR(1-V89/X89,"-")</f>
        <v>0.35114503816793896</v>
      </c>
      <c r="Z89" s="33">
        <v>7.0000000000000009</v>
      </c>
      <c r="AA89" s="4">
        <f>AV89</f>
        <v>150</v>
      </c>
      <c r="AB89" s="33">
        <f>IFERROR(AA89*AL89,"-")</f>
        <v>170</v>
      </c>
      <c r="AC89" s="6">
        <f>IFERROR(1-V89/AB89,"-")</f>
        <v>0.5</v>
      </c>
      <c r="AD89" s="7">
        <v>140</v>
      </c>
      <c r="AE89" s="6">
        <f>1-V89/AD89</f>
        <v>0.3928571428571429</v>
      </c>
      <c r="AF89" s="4">
        <f>AD89-V89</f>
        <v>55</v>
      </c>
      <c r="AG89" s="28"/>
      <c r="AH89" s="6"/>
      <c r="AI89" s="6"/>
      <c r="AJ89" s="6">
        <f>IFERROR(T89/L89,"-")</f>
        <v>1.1333333333333333</v>
      </c>
      <c r="AK89" s="6">
        <f>IFERROR(AD89/M89,"-")</f>
        <v>1.2068965517241379</v>
      </c>
      <c r="AL89" s="6">
        <f>IFERROR(V89/N89,"-")</f>
        <v>1.1333333333333333</v>
      </c>
      <c r="AM89" s="4" t="str">
        <f t="shared" si="5"/>
        <v>-</v>
      </c>
      <c r="AN89" s="4" t="str">
        <f t="shared" si="6"/>
        <v>-</v>
      </c>
      <c r="AO89" s="4" t="str">
        <f t="shared" si="7"/>
        <v>-</v>
      </c>
      <c r="AP89" s="4">
        <v>0</v>
      </c>
      <c r="AQ89" s="4" t="s">
        <v>781</v>
      </c>
      <c r="AR89" s="4">
        <v>1</v>
      </c>
      <c r="AS89" s="4">
        <v>10</v>
      </c>
      <c r="AT89" s="4" t="s">
        <v>779</v>
      </c>
      <c r="AU89" s="4">
        <v>1500</v>
      </c>
      <c r="AV89" s="4">
        <f>IF(AR89="",AU89,AR89/AS89*AU89)</f>
        <v>150</v>
      </c>
      <c r="AW89" s="19">
        <v>4</v>
      </c>
      <c r="AX89" s="19">
        <v>1</v>
      </c>
      <c r="AY89" s="16">
        <v>5</v>
      </c>
      <c r="AZ89">
        <v>640</v>
      </c>
      <c r="BA89">
        <f t="shared" si="8"/>
        <v>725.33333333333326</v>
      </c>
      <c r="BB89" t="s">
        <v>462</v>
      </c>
      <c r="BC89" t="str">
        <f t="shared" si="9"/>
        <v>-</v>
      </c>
      <c r="BD89" t="s">
        <v>543</v>
      </c>
    </row>
    <row r="90" spans="1:56" x14ac:dyDescent="0.4">
      <c r="A90" s="3">
        <v>50</v>
      </c>
      <c r="B90" s="3">
        <v>50</v>
      </c>
      <c r="C90" s="4">
        <v>667228</v>
      </c>
      <c r="D90" s="4" t="str">
        <f>TEXT(C90,"000000")</f>
        <v>667228</v>
      </c>
      <c r="E90" s="4">
        <v>667228</v>
      </c>
      <c r="F90" s="4" t="s">
        <v>252</v>
      </c>
      <c r="G90" s="5">
        <v>4901881142208</v>
      </c>
      <c r="H90" s="5"/>
      <c r="I90" s="5"/>
      <c r="J90" s="5">
        <v>1</v>
      </c>
      <c r="K90" s="5">
        <v>1</v>
      </c>
      <c r="L90" s="4">
        <v>150</v>
      </c>
      <c r="M90" s="4">
        <v>114</v>
      </c>
      <c r="N90" s="4">
        <v>75</v>
      </c>
      <c r="O90" s="6">
        <f>IFERROR(1-N90/M90,"-")</f>
        <v>0.34210526315789469</v>
      </c>
      <c r="P90" s="4" t="s">
        <v>462</v>
      </c>
      <c r="Q90" s="4" t="s">
        <v>462</v>
      </c>
      <c r="R90" s="4" t="s">
        <v>462</v>
      </c>
      <c r="S90" s="4">
        <v>170</v>
      </c>
      <c r="T90" s="4">
        <f>IF(W90="",S90,S90*W90)</f>
        <v>170</v>
      </c>
      <c r="U90" s="4">
        <v>85</v>
      </c>
      <c r="V90" s="4">
        <f>IF(W90="",U90,U90*W90)</f>
        <v>85</v>
      </c>
      <c r="W90" s="4"/>
      <c r="X90" s="21">
        <f>ROUND(M90*AL90,0)</f>
        <v>129</v>
      </c>
      <c r="Y90" s="6">
        <f>IFERROR(1-V90/X90,"-")</f>
        <v>0.34108527131782951</v>
      </c>
      <c r="Z90" s="33">
        <v>1.25</v>
      </c>
      <c r="AA90" s="4">
        <f>AV90</f>
        <v>150</v>
      </c>
      <c r="AB90" s="33">
        <f>IFERROR(AA90*AL90,"-")</f>
        <v>170</v>
      </c>
      <c r="AC90" s="6">
        <f>IFERROR(1-V90/AB90,"-")</f>
        <v>0.5</v>
      </c>
      <c r="AD90" s="7">
        <v>140</v>
      </c>
      <c r="AE90" s="6">
        <f>1-V90/AD90</f>
        <v>0.3928571428571429</v>
      </c>
      <c r="AF90" s="4">
        <f>AD90-V90</f>
        <v>55</v>
      </c>
      <c r="AG90" s="28"/>
      <c r="AH90" s="6"/>
      <c r="AI90" s="6"/>
      <c r="AJ90" s="6">
        <f>IFERROR(T90/L90,"-")</f>
        <v>1.1333333333333333</v>
      </c>
      <c r="AK90" s="6">
        <f>IFERROR(AD90/M90,"-")</f>
        <v>1.2280701754385965</v>
      </c>
      <c r="AL90" s="6">
        <f>IFERROR(V90/N90,"-")</f>
        <v>1.1333333333333333</v>
      </c>
      <c r="AM90" s="4" t="str">
        <f t="shared" si="5"/>
        <v>-</v>
      </c>
      <c r="AN90" s="4" t="str">
        <f t="shared" si="6"/>
        <v>-</v>
      </c>
      <c r="AO90" s="4" t="str">
        <f t="shared" si="7"/>
        <v>-</v>
      </c>
      <c r="AP90" s="4">
        <v>0</v>
      </c>
      <c r="AQ90" s="4" t="s">
        <v>782</v>
      </c>
      <c r="AR90" s="4">
        <v>1</v>
      </c>
      <c r="AS90" s="4">
        <v>10</v>
      </c>
      <c r="AT90" s="4" t="s">
        <v>779</v>
      </c>
      <c r="AU90" s="4">
        <v>1500</v>
      </c>
      <c r="AV90" s="4">
        <f>IF(AR90="",AU90,AR90/AS90*AU90)</f>
        <v>150</v>
      </c>
      <c r="AW90" s="19">
        <v>4</v>
      </c>
      <c r="AX90" s="19">
        <v>1</v>
      </c>
      <c r="AY90" s="16">
        <v>5</v>
      </c>
      <c r="AZ90" t="s">
        <v>462</v>
      </c>
      <c r="BA90" t="str">
        <f t="shared" si="8"/>
        <v>-</v>
      </c>
      <c r="BB90" t="s">
        <v>462</v>
      </c>
      <c r="BC90" t="str">
        <f t="shared" si="9"/>
        <v>-</v>
      </c>
      <c r="BD90" t="s">
        <v>544</v>
      </c>
    </row>
    <row r="91" spans="1:56" x14ac:dyDescent="0.4">
      <c r="A91" s="3">
        <v>51</v>
      </c>
      <c r="B91" s="3">
        <v>51</v>
      </c>
      <c r="C91" s="4">
        <v>667239</v>
      </c>
      <c r="D91" s="4" t="str">
        <f>TEXT(C91,"000000")</f>
        <v>667239</v>
      </c>
      <c r="E91" s="4">
        <v>667239</v>
      </c>
      <c r="F91" s="4" t="s">
        <v>253</v>
      </c>
      <c r="G91" s="5">
        <v>4901881142215</v>
      </c>
      <c r="H91" s="5"/>
      <c r="I91" s="5"/>
      <c r="J91" s="5">
        <v>1</v>
      </c>
      <c r="K91" s="5">
        <v>1</v>
      </c>
      <c r="L91" s="4">
        <v>150</v>
      </c>
      <c r="M91" s="4">
        <v>102</v>
      </c>
      <c r="N91" s="4">
        <v>75</v>
      </c>
      <c r="O91" s="6">
        <f>IFERROR(1-N91/M91,"-")</f>
        <v>0.26470588235294112</v>
      </c>
      <c r="P91" s="4" t="s">
        <v>462</v>
      </c>
      <c r="Q91" s="4" t="s">
        <v>462</v>
      </c>
      <c r="R91" s="4" t="s">
        <v>462</v>
      </c>
      <c r="S91" s="4">
        <v>170</v>
      </c>
      <c r="T91" s="4">
        <f>IF(W91="",S91,S91*W91)</f>
        <v>170</v>
      </c>
      <c r="U91" s="4">
        <v>85</v>
      </c>
      <c r="V91" s="4">
        <f>IF(W91="",U91,U91*W91)</f>
        <v>85</v>
      </c>
      <c r="W91" s="4"/>
      <c r="X91" s="21">
        <f>ROUND(M91*AL91,0)</f>
        <v>116</v>
      </c>
      <c r="Y91" s="6">
        <f>IFERROR(1-V91/X91,"-")</f>
        <v>0.26724137931034486</v>
      </c>
      <c r="Z91" s="33">
        <v>1.5</v>
      </c>
      <c r="AA91" s="4">
        <f>AV91</f>
        <v>150</v>
      </c>
      <c r="AB91" s="33">
        <f>IFERROR(AA91*AL91,"-")</f>
        <v>170</v>
      </c>
      <c r="AC91" s="6">
        <f>IFERROR(1-V91/AB91,"-")</f>
        <v>0.5</v>
      </c>
      <c r="AD91" s="7">
        <v>140</v>
      </c>
      <c r="AE91" s="6">
        <f>1-V91/AD91</f>
        <v>0.3928571428571429</v>
      </c>
      <c r="AF91" s="4">
        <f>AD91-V91</f>
        <v>55</v>
      </c>
      <c r="AG91" s="28"/>
      <c r="AH91" s="6"/>
      <c r="AI91" s="6"/>
      <c r="AJ91" s="6">
        <f>IFERROR(T91/L91,"-")</f>
        <v>1.1333333333333333</v>
      </c>
      <c r="AK91" s="6">
        <f>IFERROR(AD91/M91,"-")</f>
        <v>1.3725490196078431</v>
      </c>
      <c r="AL91" s="6">
        <f>IFERROR(V91/N91,"-")</f>
        <v>1.1333333333333333</v>
      </c>
      <c r="AM91" s="4" t="str">
        <f t="shared" si="5"/>
        <v>-</v>
      </c>
      <c r="AN91" s="4" t="str">
        <f t="shared" si="6"/>
        <v>-</v>
      </c>
      <c r="AO91" s="4" t="str">
        <f t="shared" si="7"/>
        <v>-</v>
      </c>
      <c r="AP91" s="4">
        <v>0</v>
      </c>
      <c r="AQ91" s="4" t="s">
        <v>783</v>
      </c>
      <c r="AR91" s="4">
        <v>1</v>
      </c>
      <c r="AS91" s="4">
        <v>10</v>
      </c>
      <c r="AT91" s="4" t="s">
        <v>779</v>
      </c>
      <c r="AU91" s="4">
        <v>1500</v>
      </c>
      <c r="AV91" s="4">
        <f>IF(AR91="",AU91,AR91/AS91*AU91)</f>
        <v>150</v>
      </c>
      <c r="AW91" s="19">
        <v>4</v>
      </c>
      <c r="AX91" s="19">
        <v>1</v>
      </c>
      <c r="AY91" s="16">
        <v>5</v>
      </c>
      <c r="AZ91" t="s">
        <v>462</v>
      </c>
      <c r="BA91" t="str">
        <f t="shared" si="8"/>
        <v>-</v>
      </c>
      <c r="BB91" t="s">
        <v>462</v>
      </c>
      <c r="BC91" t="str">
        <f t="shared" si="9"/>
        <v>-</v>
      </c>
      <c r="BD91" t="s">
        <v>545</v>
      </c>
    </row>
    <row r="92" spans="1:56" x14ac:dyDescent="0.4">
      <c r="A92" s="3">
        <v>52</v>
      </c>
      <c r="B92" s="3">
        <v>52</v>
      </c>
      <c r="C92" s="4">
        <v>667257</v>
      </c>
      <c r="D92" s="4" t="str">
        <f>TEXT(C92,"000000")</f>
        <v>667257</v>
      </c>
      <c r="E92" s="4">
        <v>667257</v>
      </c>
      <c r="F92" s="4" t="s">
        <v>254</v>
      </c>
      <c r="G92" s="5">
        <v>4901881142239</v>
      </c>
      <c r="H92" s="5"/>
      <c r="I92" s="5"/>
      <c r="J92" s="5">
        <v>1</v>
      </c>
      <c r="K92" s="5">
        <v>1</v>
      </c>
      <c r="L92" s="4">
        <v>150</v>
      </c>
      <c r="M92" s="4">
        <v>123</v>
      </c>
      <c r="N92" s="4">
        <v>75</v>
      </c>
      <c r="O92" s="6">
        <f>IFERROR(1-N92/M92,"-")</f>
        <v>0.3902439024390244</v>
      </c>
      <c r="P92" s="4" t="s">
        <v>462</v>
      </c>
      <c r="Q92" s="4" t="s">
        <v>462</v>
      </c>
      <c r="R92" s="4" t="s">
        <v>462</v>
      </c>
      <c r="S92" s="4">
        <v>170</v>
      </c>
      <c r="T92" s="4">
        <f>IF(W92="",S92,S92*W92)</f>
        <v>170</v>
      </c>
      <c r="U92" s="4">
        <v>85</v>
      </c>
      <c r="V92" s="4">
        <f>IF(W92="",U92,U92*W92)</f>
        <v>85</v>
      </c>
      <c r="W92" s="4"/>
      <c r="X92" s="21">
        <f>ROUND(M92*AL92,0)</f>
        <v>139</v>
      </c>
      <c r="Y92" s="6">
        <f>IFERROR(1-V92/X92,"-")</f>
        <v>0.38848920863309355</v>
      </c>
      <c r="Z92" s="33">
        <v>2.75</v>
      </c>
      <c r="AA92" s="4">
        <f>AV92</f>
        <v>150</v>
      </c>
      <c r="AB92" s="33">
        <f>IFERROR(AA92*AL92,"-")</f>
        <v>170</v>
      </c>
      <c r="AC92" s="6">
        <f>IFERROR(1-V92/AB92,"-")</f>
        <v>0.5</v>
      </c>
      <c r="AD92" s="7">
        <v>140</v>
      </c>
      <c r="AE92" s="6">
        <f>1-V92/AD92</f>
        <v>0.3928571428571429</v>
      </c>
      <c r="AF92" s="4">
        <f>AD92-V92</f>
        <v>55</v>
      </c>
      <c r="AG92" s="28"/>
      <c r="AH92" s="6"/>
      <c r="AI92" s="6"/>
      <c r="AJ92" s="6">
        <f>IFERROR(T92/L92,"-")</f>
        <v>1.1333333333333333</v>
      </c>
      <c r="AK92" s="6">
        <f>IFERROR(AD92/M92,"-")</f>
        <v>1.1382113821138211</v>
      </c>
      <c r="AL92" s="6">
        <f>IFERROR(V92/N92,"-")</f>
        <v>1.1333333333333333</v>
      </c>
      <c r="AM92" s="4" t="str">
        <f t="shared" si="5"/>
        <v>-</v>
      </c>
      <c r="AN92" s="4" t="str">
        <f t="shared" si="6"/>
        <v>-</v>
      </c>
      <c r="AO92" s="4" t="str">
        <f t="shared" si="7"/>
        <v>-</v>
      </c>
      <c r="AP92" s="4">
        <v>0</v>
      </c>
      <c r="AQ92" s="4" t="s">
        <v>784</v>
      </c>
      <c r="AR92" s="4">
        <v>1</v>
      </c>
      <c r="AS92" s="4">
        <v>10</v>
      </c>
      <c r="AT92" s="4" t="s">
        <v>779</v>
      </c>
      <c r="AU92" s="4">
        <v>1500</v>
      </c>
      <c r="AV92" s="4">
        <f>IF(AR92="",AU92,AR92/AS92*AU92)</f>
        <v>150</v>
      </c>
      <c r="AW92" s="19">
        <v>4</v>
      </c>
      <c r="AX92" s="19">
        <v>1</v>
      </c>
      <c r="AY92" s="16">
        <v>5</v>
      </c>
      <c r="AZ92" t="s">
        <v>462</v>
      </c>
      <c r="BA92" t="str">
        <f t="shared" si="8"/>
        <v>-</v>
      </c>
      <c r="BB92" t="s">
        <v>462</v>
      </c>
      <c r="BC92" t="str">
        <f t="shared" si="9"/>
        <v>-</v>
      </c>
      <c r="BD92" t="s">
        <v>546</v>
      </c>
    </row>
    <row r="93" spans="1:56" x14ac:dyDescent="0.4">
      <c r="A93" s="3">
        <v>53</v>
      </c>
      <c r="B93" s="3">
        <v>53</v>
      </c>
      <c r="C93" s="4">
        <v>667258</v>
      </c>
      <c r="D93" s="4" t="str">
        <f>TEXT(C93,"000000")</f>
        <v>667258</v>
      </c>
      <c r="E93" s="4">
        <v>667258</v>
      </c>
      <c r="F93" s="4" t="s">
        <v>255</v>
      </c>
      <c r="G93" s="5">
        <v>4901881142048</v>
      </c>
      <c r="H93" s="5"/>
      <c r="I93" s="5"/>
      <c r="J93" s="5">
        <v>1</v>
      </c>
      <c r="K93" s="5">
        <v>1</v>
      </c>
      <c r="L93" s="4">
        <v>150</v>
      </c>
      <c r="M93" s="4">
        <v>101</v>
      </c>
      <c r="N93" s="4">
        <v>75</v>
      </c>
      <c r="O93" s="6">
        <f>IFERROR(1-N93/M93,"-")</f>
        <v>0.25742574257425743</v>
      </c>
      <c r="P93" s="4" t="s">
        <v>462</v>
      </c>
      <c r="Q93" s="4" t="s">
        <v>462</v>
      </c>
      <c r="R93" s="4" t="s">
        <v>462</v>
      </c>
      <c r="S93" s="4">
        <v>170</v>
      </c>
      <c r="T93" s="4">
        <f>IF(W93="",S93,S93*W93)</f>
        <v>170</v>
      </c>
      <c r="U93" s="4">
        <v>85</v>
      </c>
      <c r="V93" s="4">
        <f>IF(W93="",U93,U93*W93)</f>
        <v>85</v>
      </c>
      <c r="W93" s="4"/>
      <c r="X93" s="21">
        <f>ROUND(M93*AL93,0)</f>
        <v>114</v>
      </c>
      <c r="Y93" s="6">
        <f>IFERROR(1-V93/X93,"-")</f>
        <v>0.25438596491228072</v>
      </c>
      <c r="Z93" s="33">
        <v>2.25</v>
      </c>
      <c r="AA93" s="4">
        <f>AV93</f>
        <v>123</v>
      </c>
      <c r="AB93" s="33">
        <f>IFERROR(AA93*AL93,"-")</f>
        <v>139.4</v>
      </c>
      <c r="AC93" s="6">
        <f>IFERROR(1-V93/AB93,"-")</f>
        <v>0.3902439024390244</v>
      </c>
      <c r="AD93" s="7">
        <v>140</v>
      </c>
      <c r="AE93" s="6">
        <f>1-V93/AD93</f>
        <v>0.3928571428571429</v>
      </c>
      <c r="AF93" s="4">
        <f>AD93-V93</f>
        <v>55</v>
      </c>
      <c r="AG93" s="28"/>
      <c r="AH93" s="6"/>
      <c r="AI93" s="6"/>
      <c r="AJ93" s="6">
        <f>IFERROR(T93/L93,"-")</f>
        <v>1.1333333333333333</v>
      </c>
      <c r="AK93" s="6">
        <f>IFERROR(AD93/M93,"-")</f>
        <v>1.386138613861386</v>
      </c>
      <c r="AL93" s="6">
        <f>IFERROR(V93/N93,"-")</f>
        <v>1.1333333333333333</v>
      </c>
      <c r="AM93" s="4" t="str">
        <f t="shared" si="5"/>
        <v>-</v>
      </c>
      <c r="AN93" s="4" t="str">
        <f t="shared" si="6"/>
        <v>-</v>
      </c>
      <c r="AO93" s="4" t="str">
        <f t="shared" si="7"/>
        <v>-</v>
      </c>
      <c r="AP93" s="4">
        <v>0</v>
      </c>
      <c r="AQ93" s="4" t="s">
        <v>785</v>
      </c>
      <c r="AR93" s="4"/>
      <c r="AS93" s="4"/>
      <c r="AT93" s="4" t="s">
        <v>693</v>
      </c>
      <c r="AU93" s="4">
        <v>123</v>
      </c>
      <c r="AV93" s="4">
        <f>IF(AR93="",AU93,AR93/AS93*AU93)</f>
        <v>123</v>
      </c>
      <c r="AW93" s="19">
        <v>4</v>
      </c>
      <c r="AX93" s="19">
        <v>1</v>
      </c>
      <c r="AY93" s="16">
        <v>5</v>
      </c>
      <c r="AZ93" t="s">
        <v>462</v>
      </c>
      <c r="BA93" t="str">
        <f t="shared" si="8"/>
        <v>-</v>
      </c>
      <c r="BB93" t="s">
        <v>462</v>
      </c>
      <c r="BC93" t="str">
        <f t="shared" si="9"/>
        <v>-</v>
      </c>
      <c r="BD93" t="s">
        <v>547</v>
      </c>
    </row>
    <row r="94" spans="1:56" x14ac:dyDescent="0.4">
      <c r="A94" s="3">
        <v>54</v>
      </c>
      <c r="B94" s="3">
        <v>54</v>
      </c>
      <c r="C94" s="4">
        <v>667259</v>
      </c>
      <c r="D94" s="4" t="str">
        <f>TEXT(C94,"000000")</f>
        <v>667259</v>
      </c>
      <c r="E94" s="4">
        <v>667259</v>
      </c>
      <c r="F94" s="4" t="s">
        <v>256</v>
      </c>
      <c r="G94" s="5">
        <v>4901881142321</v>
      </c>
      <c r="H94" s="5"/>
      <c r="I94" s="5"/>
      <c r="J94" s="5">
        <v>1</v>
      </c>
      <c r="K94" s="5">
        <v>1</v>
      </c>
      <c r="L94" s="4">
        <v>150</v>
      </c>
      <c r="M94" s="4">
        <v>123</v>
      </c>
      <c r="N94" s="4">
        <v>75</v>
      </c>
      <c r="O94" s="6">
        <f>IFERROR(1-N94/M94,"-")</f>
        <v>0.3902439024390244</v>
      </c>
      <c r="P94" s="4" t="s">
        <v>462</v>
      </c>
      <c r="Q94" s="4" t="s">
        <v>462</v>
      </c>
      <c r="R94" s="4" t="s">
        <v>462</v>
      </c>
      <c r="S94" s="4">
        <v>170</v>
      </c>
      <c r="T94" s="4">
        <f>IF(W94="",S94,S94*W94)</f>
        <v>170</v>
      </c>
      <c r="U94" s="4">
        <v>85</v>
      </c>
      <c r="V94" s="4">
        <f>IF(W94="",U94,U94*W94)</f>
        <v>85</v>
      </c>
      <c r="W94" s="4"/>
      <c r="X94" s="21">
        <f>ROUND(M94*AL94,0)</f>
        <v>139</v>
      </c>
      <c r="Y94" s="6">
        <f>IFERROR(1-V94/X94,"-")</f>
        <v>0.38848920863309355</v>
      </c>
      <c r="Z94" s="33">
        <v>28.000000000000004</v>
      </c>
      <c r="AA94" s="4">
        <f>AV94</f>
        <v>150</v>
      </c>
      <c r="AB94" s="33">
        <f>IFERROR(AA94*AL94,"-")</f>
        <v>170</v>
      </c>
      <c r="AC94" s="6">
        <f>IFERROR(1-V94/AB94,"-")</f>
        <v>0.5</v>
      </c>
      <c r="AD94" s="7">
        <v>140</v>
      </c>
      <c r="AE94" s="6">
        <f>1-V94/AD94</f>
        <v>0.3928571428571429</v>
      </c>
      <c r="AF94" s="4">
        <f>AD94-V94</f>
        <v>55</v>
      </c>
      <c r="AG94" s="28"/>
      <c r="AH94" s="6"/>
      <c r="AI94" s="6"/>
      <c r="AJ94" s="6">
        <f>IFERROR(T94/L94,"-")</f>
        <v>1.1333333333333333</v>
      </c>
      <c r="AK94" s="6">
        <f>IFERROR(AD94/M94,"-")</f>
        <v>1.1382113821138211</v>
      </c>
      <c r="AL94" s="6">
        <f>IFERROR(V94/N94,"-")</f>
        <v>1.1333333333333333</v>
      </c>
      <c r="AM94" s="4" t="str">
        <f t="shared" si="5"/>
        <v>-</v>
      </c>
      <c r="AN94" s="4" t="str">
        <f t="shared" si="6"/>
        <v>-</v>
      </c>
      <c r="AO94" s="4" t="str">
        <f t="shared" si="7"/>
        <v>-</v>
      </c>
      <c r="AP94" s="4">
        <v>0</v>
      </c>
      <c r="AQ94" s="4" t="s">
        <v>786</v>
      </c>
      <c r="AR94" s="4">
        <v>1</v>
      </c>
      <c r="AS94" s="4">
        <v>10</v>
      </c>
      <c r="AT94" s="4" t="s">
        <v>779</v>
      </c>
      <c r="AU94" s="4">
        <v>1500</v>
      </c>
      <c r="AV94" s="4">
        <f>IF(AR94="",AU94,AR94/AS94*AU94)</f>
        <v>150</v>
      </c>
      <c r="AW94" s="19">
        <v>4</v>
      </c>
      <c r="AX94" s="19">
        <v>1</v>
      </c>
      <c r="AY94" s="16">
        <v>5</v>
      </c>
      <c r="AZ94">
        <v>640</v>
      </c>
      <c r="BA94">
        <f t="shared" si="8"/>
        <v>725.33333333333326</v>
      </c>
      <c r="BB94" t="s">
        <v>462</v>
      </c>
      <c r="BC94" t="str">
        <f t="shared" si="9"/>
        <v>-</v>
      </c>
      <c r="BD94" t="s">
        <v>548</v>
      </c>
    </row>
    <row r="95" spans="1:56" x14ac:dyDescent="0.4">
      <c r="A95" s="3">
        <v>55</v>
      </c>
      <c r="B95" s="3">
        <v>55</v>
      </c>
      <c r="C95" s="4">
        <v>667264</v>
      </c>
      <c r="D95" s="4" t="str">
        <f>TEXT(C95,"000000")</f>
        <v>667264</v>
      </c>
      <c r="E95" s="4">
        <v>667264</v>
      </c>
      <c r="F95" s="4" t="s">
        <v>257</v>
      </c>
      <c r="G95" s="5">
        <v>4901881142338</v>
      </c>
      <c r="H95" s="5"/>
      <c r="I95" s="5"/>
      <c r="J95" s="5">
        <v>1</v>
      </c>
      <c r="K95" s="5">
        <v>1</v>
      </c>
      <c r="L95" s="4">
        <v>150</v>
      </c>
      <c r="M95" s="4">
        <v>116</v>
      </c>
      <c r="N95" s="4">
        <v>75</v>
      </c>
      <c r="O95" s="6">
        <f>IFERROR(1-N95/M95,"-")</f>
        <v>0.35344827586206895</v>
      </c>
      <c r="P95" s="4" t="s">
        <v>462</v>
      </c>
      <c r="Q95" s="4" t="s">
        <v>462</v>
      </c>
      <c r="R95" s="4" t="s">
        <v>462</v>
      </c>
      <c r="S95" s="4">
        <v>170</v>
      </c>
      <c r="T95" s="4">
        <f>IF(W95="",S95,S95*W95)</f>
        <v>170</v>
      </c>
      <c r="U95" s="4">
        <v>85</v>
      </c>
      <c r="V95" s="4">
        <f>IF(W95="",U95,U95*W95)</f>
        <v>85</v>
      </c>
      <c r="W95" s="4"/>
      <c r="X95" s="21">
        <f>ROUND(M95*AL95,0)</f>
        <v>131</v>
      </c>
      <c r="Y95" s="6">
        <f>IFERROR(1-V95/X95,"-")</f>
        <v>0.35114503816793896</v>
      </c>
      <c r="Z95" s="33">
        <v>0.5</v>
      </c>
      <c r="AA95" s="4">
        <f>AV95</f>
        <v>150</v>
      </c>
      <c r="AB95" s="33">
        <f>IFERROR(AA95*AL95,"-")</f>
        <v>170</v>
      </c>
      <c r="AC95" s="6">
        <f>IFERROR(1-V95/AB95,"-")</f>
        <v>0.5</v>
      </c>
      <c r="AD95" s="7">
        <v>140</v>
      </c>
      <c r="AE95" s="6">
        <f>1-V95/AD95</f>
        <v>0.3928571428571429</v>
      </c>
      <c r="AF95" s="4">
        <f>AD95-V95</f>
        <v>55</v>
      </c>
      <c r="AG95" s="28"/>
      <c r="AH95" s="6"/>
      <c r="AI95" s="6"/>
      <c r="AJ95" s="6">
        <f>IFERROR(T95/L95,"-")</f>
        <v>1.1333333333333333</v>
      </c>
      <c r="AK95" s="6">
        <f>IFERROR(AD95/M95,"-")</f>
        <v>1.2068965517241379</v>
      </c>
      <c r="AL95" s="6">
        <f>IFERROR(V95/N95,"-")</f>
        <v>1.1333333333333333</v>
      </c>
      <c r="AM95" s="4" t="str">
        <f t="shared" si="5"/>
        <v>-</v>
      </c>
      <c r="AN95" s="4" t="str">
        <f t="shared" si="6"/>
        <v>-</v>
      </c>
      <c r="AO95" s="4" t="str">
        <f t="shared" si="7"/>
        <v>-</v>
      </c>
      <c r="AP95" s="4">
        <v>0</v>
      </c>
      <c r="AQ95" s="4" t="s">
        <v>787</v>
      </c>
      <c r="AR95" s="4">
        <v>1</v>
      </c>
      <c r="AS95" s="4">
        <v>10</v>
      </c>
      <c r="AT95" s="4" t="s">
        <v>779</v>
      </c>
      <c r="AU95" s="4">
        <v>1500</v>
      </c>
      <c r="AV95" s="4">
        <f>IF(AR95="",AU95,AR95/AS95*AU95)</f>
        <v>150</v>
      </c>
      <c r="AW95" s="19">
        <v>4</v>
      </c>
      <c r="AX95" s="19">
        <v>1</v>
      </c>
      <c r="AY95" s="16">
        <v>5</v>
      </c>
      <c r="AZ95" t="s">
        <v>462</v>
      </c>
      <c r="BA95" t="str">
        <f t="shared" si="8"/>
        <v>-</v>
      </c>
      <c r="BB95" t="s">
        <v>462</v>
      </c>
      <c r="BC95" t="str">
        <f t="shared" si="9"/>
        <v>-</v>
      </c>
      <c r="BD95" t="s">
        <v>549</v>
      </c>
    </row>
    <row r="96" spans="1:56" x14ac:dyDescent="0.4">
      <c r="A96" s="3">
        <v>58</v>
      </c>
      <c r="B96" s="3">
        <v>58</v>
      </c>
      <c r="C96" s="4">
        <v>667268</v>
      </c>
      <c r="D96" s="4" t="str">
        <f>TEXT(C96,"000000")</f>
        <v>667268</v>
      </c>
      <c r="E96" s="4">
        <v>667268</v>
      </c>
      <c r="F96" s="4" t="s">
        <v>260</v>
      </c>
      <c r="G96" s="5">
        <v>4901881142055</v>
      </c>
      <c r="H96" s="5"/>
      <c r="I96" s="5"/>
      <c r="J96" s="5">
        <v>1</v>
      </c>
      <c r="K96" s="5">
        <v>1</v>
      </c>
      <c r="L96" s="4">
        <v>150</v>
      </c>
      <c r="M96" s="4">
        <v>122</v>
      </c>
      <c r="N96" s="4">
        <v>75</v>
      </c>
      <c r="O96" s="6">
        <f>IFERROR(1-N96/M96,"-")</f>
        <v>0.38524590163934425</v>
      </c>
      <c r="P96" s="4" t="s">
        <v>462</v>
      </c>
      <c r="Q96" s="4" t="s">
        <v>462</v>
      </c>
      <c r="R96" s="4" t="s">
        <v>462</v>
      </c>
      <c r="S96" s="4">
        <v>170</v>
      </c>
      <c r="T96" s="4">
        <f>IF(W96="",S96,S96*W96)</f>
        <v>170</v>
      </c>
      <c r="U96" s="4">
        <v>85</v>
      </c>
      <c r="V96" s="4">
        <f>IF(W96="",U96,U96*W96)</f>
        <v>85</v>
      </c>
      <c r="W96" s="4"/>
      <c r="X96" s="21">
        <f>ROUND(M96*AL96,0)</f>
        <v>138</v>
      </c>
      <c r="Y96" s="6">
        <f>IFERROR(1-V96/X96,"-")</f>
        <v>0.38405797101449279</v>
      </c>
      <c r="Z96" s="33">
        <v>3.75</v>
      </c>
      <c r="AA96" s="4">
        <f>AV96</f>
        <v>150</v>
      </c>
      <c r="AB96" s="33">
        <f>IFERROR(AA96*AL96,"-")</f>
        <v>170</v>
      </c>
      <c r="AC96" s="6">
        <f>IFERROR(1-V96/AB96,"-")</f>
        <v>0.5</v>
      </c>
      <c r="AD96" s="7">
        <v>140</v>
      </c>
      <c r="AE96" s="6">
        <f>1-V96/AD96</f>
        <v>0.3928571428571429</v>
      </c>
      <c r="AF96" s="4">
        <f>AD96-V96</f>
        <v>55</v>
      </c>
      <c r="AG96" s="28"/>
      <c r="AH96" s="6"/>
      <c r="AI96" s="6"/>
      <c r="AJ96" s="6">
        <f>IFERROR(T96/L96,"-")</f>
        <v>1.1333333333333333</v>
      </c>
      <c r="AK96" s="6">
        <f>IFERROR(AD96/M96,"-")</f>
        <v>1.1475409836065573</v>
      </c>
      <c r="AL96" s="6">
        <f>IFERROR(V96/N96,"-")</f>
        <v>1.1333333333333333</v>
      </c>
      <c r="AM96" s="4" t="str">
        <f t="shared" si="5"/>
        <v>-</v>
      </c>
      <c r="AN96" s="4" t="str">
        <f t="shared" si="6"/>
        <v>-</v>
      </c>
      <c r="AO96" s="4" t="str">
        <f t="shared" si="7"/>
        <v>-</v>
      </c>
      <c r="AP96" s="4">
        <v>0</v>
      </c>
      <c r="AQ96" s="4" t="s">
        <v>788</v>
      </c>
      <c r="AR96" s="4">
        <v>1</v>
      </c>
      <c r="AS96" s="4">
        <v>10</v>
      </c>
      <c r="AT96" s="4" t="s">
        <v>779</v>
      </c>
      <c r="AU96" s="4">
        <v>1500</v>
      </c>
      <c r="AV96" s="4">
        <f>IF(AR96="",AU96,AR96/AS96*AU96)</f>
        <v>150</v>
      </c>
      <c r="AW96" s="19">
        <v>4</v>
      </c>
      <c r="AX96" s="19">
        <v>1</v>
      </c>
      <c r="AY96" s="16">
        <v>5</v>
      </c>
      <c r="AZ96" t="s">
        <v>462</v>
      </c>
      <c r="BA96" t="str">
        <f t="shared" si="8"/>
        <v>-</v>
      </c>
      <c r="BB96" t="s">
        <v>462</v>
      </c>
      <c r="BC96" t="str">
        <f t="shared" si="9"/>
        <v>-</v>
      </c>
      <c r="BD96" t="s">
        <v>550</v>
      </c>
    </row>
    <row r="97" spans="1:56" x14ac:dyDescent="0.4">
      <c r="A97" s="3">
        <v>59</v>
      </c>
      <c r="B97" s="3">
        <v>59</v>
      </c>
      <c r="C97" s="4">
        <v>667270</v>
      </c>
      <c r="D97" s="4" t="str">
        <f>TEXT(C97,"000000")</f>
        <v>667270</v>
      </c>
      <c r="E97" s="4">
        <v>667270</v>
      </c>
      <c r="F97" s="4" t="s">
        <v>261</v>
      </c>
      <c r="G97" s="5">
        <v>4901881142086</v>
      </c>
      <c r="H97" s="5"/>
      <c r="I97" s="5"/>
      <c r="J97" s="5">
        <v>1</v>
      </c>
      <c r="K97" s="5">
        <v>1</v>
      </c>
      <c r="L97" s="4">
        <v>150</v>
      </c>
      <c r="M97" s="4">
        <v>95</v>
      </c>
      <c r="N97" s="4">
        <v>75</v>
      </c>
      <c r="O97" s="6">
        <f>IFERROR(1-N97/M97,"-")</f>
        <v>0.21052631578947367</v>
      </c>
      <c r="P97" s="4" t="s">
        <v>462</v>
      </c>
      <c r="Q97" s="4" t="s">
        <v>462</v>
      </c>
      <c r="R97" s="4" t="s">
        <v>462</v>
      </c>
      <c r="S97" s="4">
        <v>170</v>
      </c>
      <c r="T97" s="4">
        <f>IF(W97="",S97,S97*W97)</f>
        <v>170</v>
      </c>
      <c r="U97" s="4">
        <v>85</v>
      </c>
      <c r="V97" s="4">
        <f>IF(W97="",U97,U97*W97)</f>
        <v>85</v>
      </c>
      <c r="W97" s="4"/>
      <c r="X97" s="21">
        <f>ROUND(M97*AL97,0)</f>
        <v>108</v>
      </c>
      <c r="Y97" s="6">
        <f>IFERROR(1-V97/X97,"-")</f>
        <v>0.21296296296296291</v>
      </c>
      <c r="Z97" s="33">
        <v>6.75</v>
      </c>
      <c r="AA97" s="4">
        <f>AV97</f>
        <v>150</v>
      </c>
      <c r="AB97" s="33">
        <f>IFERROR(AA97*AL97,"-")</f>
        <v>170</v>
      </c>
      <c r="AC97" s="6">
        <f>IFERROR(1-V97/AB97,"-")</f>
        <v>0.5</v>
      </c>
      <c r="AD97" s="7">
        <v>140</v>
      </c>
      <c r="AE97" s="6">
        <f>1-V97/AD97</f>
        <v>0.3928571428571429</v>
      </c>
      <c r="AF97" s="4">
        <f>AD97-V97</f>
        <v>55</v>
      </c>
      <c r="AG97" s="28"/>
      <c r="AH97" s="6"/>
      <c r="AI97" s="6"/>
      <c r="AJ97" s="6">
        <f>IFERROR(T97/L97,"-")</f>
        <v>1.1333333333333333</v>
      </c>
      <c r="AK97" s="6">
        <f>IFERROR(AD97/M97,"-")</f>
        <v>1.4736842105263157</v>
      </c>
      <c r="AL97" s="6">
        <f>IFERROR(V97/N97,"-")</f>
        <v>1.1333333333333333</v>
      </c>
      <c r="AM97" s="4" t="str">
        <f t="shared" si="5"/>
        <v>-</v>
      </c>
      <c r="AN97" s="4" t="str">
        <f t="shared" si="6"/>
        <v>-</v>
      </c>
      <c r="AO97" s="4" t="str">
        <f t="shared" si="7"/>
        <v>-</v>
      </c>
      <c r="AP97" s="4">
        <v>0</v>
      </c>
      <c r="AQ97" s="4" t="s">
        <v>789</v>
      </c>
      <c r="AR97" s="4">
        <v>1</v>
      </c>
      <c r="AS97" s="4">
        <v>10</v>
      </c>
      <c r="AT97" s="4" t="s">
        <v>779</v>
      </c>
      <c r="AU97" s="4">
        <v>1500</v>
      </c>
      <c r="AV97" s="4">
        <f>IF(AR97="",AU97,AR97/AS97*AU97)</f>
        <v>150</v>
      </c>
      <c r="AW97" s="19">
        <v>4</v>
      </c>
      <c r="AX97" s="19">
        <v>1</v>
      </c>
      <c r="AY97" s="16">
        <v>5</v>
      </c>
      <c r="AZ97">
        <v>640</v>
      </c>
      <c r="BA97">
        <f t="shared" si="8"/>
        <v>725.33333333333326</v>
      </c>
      <c r="BB97" t="s">
        <v>462</v>
      </c>
      <c r="BC97" t="str">
        <f t="shared" si="9"/>
        <v>-</v>
      </c>
      <c r="BD97" t="s">
        <v>551</v>
      </c>
    </row>
    <row r="98" spans="1:56" x14ac:dyDescent="0.4">
      <c r="A98" s="3">
        <v>60</v>
      </c>
      <c r="B98" s="3">
        <v>60</v>
      </c>
      <c r="C98" s="4">
        <v>667271</v>
      </c>
      <c r="D98" s="4" t="str">
        <f>TEXT(C98,"000000")</f>
        <v>667271</v>
      </c>
      <c r="E98" s="4">
        <v>667271</v>
      </c>
      <c r="F98" s="4" t="s">
        <v>262</v>
      </c>
      <c r="G98" s="5">
        <v>4901881142093</v>
      </c>
      <c r="H98" s="5"/>
      <c r="I98" s="5"/>
      <c r="J98" s="5">
        <v>1</v>
      </c>
      <c r="K98" s="5">
        <v>1</v>
      </c>
      <c r="L98" s="4">
        <v>150</v>
      </c>
      <c r="M98" s="4">
        <v>114</v>
      </c>
      <c r="N98" s="4">
        <v>75</v>
      </c>
      <c r="O98" s="6">
        <f>IFERROR(1-N98/M98,"-")</f>
        <v>0.34210526315789469</v>
      </c>
      <c r="P98" s="4" t="s">
        <v>462</v>
      </c>
      <c r="Q98" s="4" t="s">
        <v>462</v>
      </c>
      <c r="R98" s="4" t="s">
        <v>462</v>
      </c>
      <c r="S98" s="4">
        <v>170</v>
      </c>
      <c r="T98" s="4">
        <f>IF(W98="",S98,S98*W98)</f>
        <v>170</v>
      </c>
      <c r="U98" s="4">
        <v>85</v>
      </c>
      <c r="V98" s="4">
        <f>IF(W98="",U98,U98*W98)</f>
        <v>85</v>
      </c>
      <c r="W98" s="4"/>
      <c r="X98" s="21">
        <f>ROUND(M98*AL98,0)</f>
        <v>129</v>
      </c>
      <c r="Y98" s="6">
        <f>IFERROR(1-V98/X98,"-")</f>
        <v>0.34108527131782951</v>
      </c>
      <c r="Z98" s="33">
        <v>3.5000000000000004</v>
      </c>
      <c r="AA98" s="4">
        <f>AV98</f>
        <v>150</v>
      </c>
      <c r="AB98" s="33">
        <f>IFERROR(AA98*AL98,"-")</f>
        <v>170</v>
      </c>
      <c r="AC98" s="6">
        <f>IFERROR(1-V98/AB98,"-")</f>
        <v>0.5</v>
      </c>
      <c r="AD98" s="7">
        <v>140</v>
      </c>
      <c r="AE98" s="6">
        <f>1-V98/AD98</f>
        <v>0.3928571428571429</v>
      </c>
      <c r="AF98" s="4">
        <f>AD98-V98</f>
        <v>55</v>
      </c>
      <c r="AG98" s="28"/>
      <c r="AH98" s="6"/>
      <c r="AI98" s="6"/>
      <c r="AJ98" s="6">
        <f>IFERROR(T98/L98,"-")</f>
        <v>1.1333333333333333</v>
      </c>
      <c r="AK98" s="6">
        <f>IFERROR(AD98/M98,"-")</f>
        <v>1.2280701754385965</v>
      </c>
      <c r="AL98" s="6">
        <f>IFERROR(V98/N98,"-")</f>
        <v>1.1333333333333333</v>
      </c>
      <c r="AM98" s="4" t="str">
        <f t="shared" si="5"/>
        <v>-</v>
      </c>
      <c r="AN98" s="4" t="str">
        <f t="shared" si="6"/>
        <v>-</v>
      </c>
      <c r="AO98" s="4" t="str">
        <f t="shared" si="7"/>
        <v>-</v>
      </c>
      <c r="AP98" s="4">
        <v>0</v>
      </c>
      <c r="AQ98" s="4" t="s">
        <v>790</v>
      </c>
      <c r="AR98" s="4">
        <v>1</v>
      </c>
      <c r="AS98" s="4">
        <v>10</v>
      </c>
      <c r="AT98" s="4" t="s">
        <v>779</v>
      </c>
      <c r="AU98" s="4">
        <v>1500</v>
      </c>
      <c r="AV98" s="4">
        <f>IF(AR98="",AU98,AR98/AS98*AU98)</f>
        <v>150</v>
      </c>
      <c r="AW98" s="19">
        <v>4</v>
      </c>
      <c r="AX98" s="19">
        <v>1</v>
      </c>
      <c r="AY98" s="16">
        <v>5</v>
      </c>
      <c r="AZ98" t="s">
        <v>462</v>
      </c>
      <c r="BA98" t="str">
        <f t="shared" si="8"/>
        <v>-</v>
      </c>
      <c r="BB98" t="s">
        <v>462</v>
      </c>
      <c r="BC98" t="str">
        <f t="shared" si="9"/>
        <v>-</v>
      </c>
      <c r="BD98" t="s">
        <v>552</v>
      </c>
    </row>
    <row r="99" spans="1:56" x14ac:dyDescent="0.4">
      <c r="A99" s="3">
        <v>61</v>
      </c>
      <c r="B99" s="3">
        <v>61</v>
      </c>
      <c r="C99" s="4">
        <v>667276</v>
      </c>
      <c r="D99" s="4" t="str">
        <f>TEXT(C99,"000000")</f>
        <v>667276</v>
      </c>
      <c r="E99" s="4">
        <v>667276</v>
      </c>
      <c r="F99" s="4" t="s">
        <v>263</v>
      </c>
      <c r="G99" s="5">
        <v>4901881142109</v>
      </c>
      <c r="H99" s="5"/>
      <c r="I99" s="5"/>
      <c r="J99" s="5">
        <v>1</v>
      </c>
      <c r="K99" s="5">
        <v>1</v>
      </c>
      <c r="L99" s="4">
        <v>150</v>
      </c>
      <c r="M99" s="4">
        <v>116</v>
      </c>
      <c r="N99" s="4">
        <v>75</v>
      </c>
      <c r="O99" s="6">
        <f>IFERROR(1-N99/M99,"-")</f>
        <v>0.35344827586206895</v>
      </c>
      <c r="P99" s="4" t="s">
        <v>462</v>
      </c>
      <c r="Q99" s="4" t="s">
        <v>462</v>
      </c>
      <c r="R99" s="4" t="s">
        <v>462</v>
      </c>
      <c r="S99" s="4">
        <v>170</v>
      </c>
      <c r="T99" s="4">
        <f>IF(W99="",S99,S99*W99)</f>
        <v>170</v>
      </c>
      <c r="U99" s="4">
        <v>85</v>
      </c>
      <c r="V99" s="4">
        <f>IF(W99="",U99,U99*W99)</f>
        <v>85</v>
      </c>
      <c r="W99" s="4"/>
      <c r="X99" s="21">
        <f>ROUND(M99*AL99,0)</f>
        <v>131</v>
      </c>
      <c r="Y99" s="6">
        <f>IFERROR(1-V99/X99,"-")</f>
        <v>0.35114503816793896</v>
      </c>
      <c r="Z99" s="33">
        <v>1</v>
      </c>
      <c r="AA99" s="4">
        <f>AV99</f>
        <v>150</v>
      </c>
      <c r="AB99" s="33">
        <f>IFERROR(AA99*AL99,"-")</f>
        <v>170</v>
      </c>
      <c r="AC99" s="6">
        <f>IFERROR(1-V99/AB99,"-")</f>
        <v>0.5</v>
      </c>
      <c r="AD99" s="7">
        <v>140</v>
      </c>
      <c r="AE99" s="6">
        <f>1-V99/AD99</f>
        <v>0.3928571428571429</v>
      </c>
      <c r="AF99" s="4">
        <f>AD99-V99</f>
        <v>55</v>
      </c>
      <c r="AG99" s="28"/>
      <c r="AH99" s="6"/>
      <c r="AI99" s="6"/>
      <c r="AJ99" s="6">
        <f>IFERROR(T99/L99,"-")</f>
        <v>1.1333333333333333</v>
      </c>
      <c r="AK99" s="6">
        <f>IFERROR(AD99/M99,"-")</f>
        <v>1.2068965517241379</v>
      </c>
      <c r="AL99" s="6">
        <f>IFERROR(V99/N99,"-")</f>
        <v>1.1333333333333333</v>
      </c>
      <c r="AM99" s="4" t="str">
        <f t="shared" si="5"/>
        <v>-</v>
      </c>
      <c r="AN99" s="4" t="str">
        <f t="shared" si="6"/>
        <v>-</v>
      </c>
      <c r="AO99" s="4" t="str">
        <f t="shared" si="7"/>
        <v>-</v>
      </c>
      <c r="AP99" s="4">
        <v>0</v>
      </c>
      <c r="AQ99" s="4" t="s">
        <v>791</v>
      </c>
      <c r="AR99" s="4">
        <v>1</v>
      </c>
      <c r="AS99" s="4">
        <v>10</v>
      </c>
      <c r="AT99" s="4" t="s">
        <v>779</v>
      </c>
      <c r="AU99" s="4">
        <v>1500</v>
      </c>
      <c r="AV99" s="4">
        <f>IF(AR99="",AU99,AR99/AS99*AU99)</f>
        <v>150</v>
      </c>
      <c r="AW99" s="19">
        <v>4</v>
      </c>
      <c r="AX99" s="19">
        <v>1</v>
      </c>
      <c r="AY99" s="16">
        <v>5</v>
      </c>
      <c r="AZ99" t="s">
        <v>462</v>
      </c>
      <c r="BA99" t="str">
        <f t="shared" si="8"/>
        <v>-</v>
      </c>
      <c r="BB99" t="s">
        <v>462</v>
      </c>
      <c r="BC99" t="str">
        <f t="shared" si="9"/>
        <v>-</v>
      </c>
      <c r="BD99" t="s">
        <v>553</v>
      </c>
    </row>
    <row r="100" spans="1:56" x14ac:dyDescent="0.4">
      <c r="A100" s="3">
        <v>62</v>
      </c>
      <c r="B100" s="3">
        <v>62</v>
      </c>
      <c r="C100" s="4">
        <v>667297</v>
      </c>
      <c r="D100" s="4" t="str">
        <f>TEXT(C100,"000000")</f>
        <v>667297</v>
      </c>
      <c r="E100" s="4">
        <v>667297</v>
      </c>
      <c r="F100" s="4" t="s">
        <v>264</v>
      </c>
      <c r="G100" s="5">
        <v>4901881142147</v>
      </c>
      <c r="H100" s="5"/>
      <c r="I100" s="5"/>
      <c r="J100" s="5">
        <v>1</v>
      </c>
      <c r="K100" s="5">
        <v>1</v>
      </c>
      <c r="L100" s="4">
        <v>150</v>
      </c>
      <c r="M100" s="4">
        <v>116</v>
      </c>
      <c r="N100" s="4">
        <v>75</v>
      </c>
      <c r="O100" s="6">
        <f>IFERROR(1-N100/M100,"-")</f>
        <v>0.35344827586206895</v>
      </c>
      <c r="P100" s="4" t="s">
        <v>462</v>
      </c>
      <c r="Q100" s="4" t="s">
        <v>462</v>
      </c>
      <c r="R100" s="4" t="s">
        <v>462</v>
      </c>
      <c r="S100" s="4">
        <v>170</v>
      </c>
      <c r="T100" s="4">
        <f>IF(W100="",S100,S100*W100)</f>
        <v>170</v>
      </c>
      <c r="U100" s="4">
        <v>85</v>
      </c>
      <c r="V100" s="4">
        <f>IF(W100="",U100,U100*W100)</f>
        <v>85</v>
      </c>
      <c r="W100" s="4"/>
      <c r="X100" s="21">
        <f>ROUND(M100*AL100,0)</f>
        <v>131</v>
      </c>
      <c r="Y100" s="6">
        <f>IFERROR(1-V100/X100,"-")</f>
        <v>0.35114503816793896</v>
      </c>
      <c r="Z100" s="33">
        <v>6.75</v>
      </c>
      <c r="AA100" s="4">
        <f>AV100</f>
        <v>150</v>
      </c>
      <c r="AB100" s="33">
        <f>IFERROR(AA100*AL100,"-")</f>
        <v>170</v>
      </c>
      <c r="AC100" s="6">
        <f>IFERROR(1-V100/AB100,"-")</f>
        <v>0.5</v>
      </c>
      <c r="AD100" s="7">
        <v>140</v>
      </c>
      <c r="AE100" s="6">
        <f>1-V100/AD100</f>
        <v>0.3928571428571429</v>
      </c>
      <c r="AF100" s="4">
        <f>AD100-V100</f>
        <v>55</v>
      </c>
      <c r="AG100" s="28"/>
      <c r="AH100" s="6"/>
      <c r="AI100" s="6"/>
      <c r="AJ100" s="6">
        <f>IFERROR(T100/L100,"-")</f>
        <v>1.1333333333333333</v>
      </c>
      <c r="AK100" s="6">
        <f>IFERROR(AD100/M100,"-")</f>
        <v>1.2068965517241379</v>
      </c>
      <c r="AL100" s="6">
        <f>IFERROR(V100/N100,"-")</f>
        <v>1.1333333333333333</v>
      </c>
      <c r="AM100" s="4" t="str">
        <f t="shared" si="5"/>
        <v>-</v>
      </c>
      <c r="AN100" s="4" t="str">
        <f t="shared" si="6"/>
        <v>-</v>
      </c>
      <c r="AO100" s="4" t="str">
        <f t="shared" si="7"/>
        <v>-</v>
      </c>
      <c r="AP100" s="4">
        <v>0</v>
      </c>
      <c r="AQ100" s="4" t="s">
        <v>792</v>
      </c>
      <c r="AR100" s="4">
        <v>1</v>
      </c>
      <c r="AS100" s="4">
        <v>10</v>
      </c>
      <c r="AT100" s="4" t="s">
        <v>779</v>
      </c>
      <c r="AU100" s="4">
        <v>1500</v>
      </c>
      <c r="AV100" s="4">
        <f>IF(AR100="",AU100,AR100/AS100*AU100)</f>
        <v>150</v>
      </c>
      <c r="AW100" s="19">
        <v>4</v>
      </c>
      <c r="AX100" s="19">
        <v>1</v>
      </c>
      <c r="AY100" s="16">
        <v>5</v>
      </c>
      <c r="AZ100" t="s">
        <v>462</v>
      </c>
      <c r="BA100" t="str">
        <f t="shared" si="8"/>
        <v>-</v>
      </c>
      <c r="BB100" t="s">
        <v>462</v>
      </c>
      <c r="BC100" t="str">
        <f t="shared" si="9"/>
        <v>-</v>
      </c>
      <c r="BD100" t="s">
        <v>554</v>
      </c>
    </row>
    <row r="101" spans="1:56" x14ac:dyDescent="0.4">
      <c r="A101" s="3">
        <v>63</v>
      </c>
      <c r="B101" s="3">
        <v>63</v>
      </c>
      <c r="C101" s="4">
        <v>667424</v>
      </c>
      <c r="D101" s="4" t="str">
        <f>TEXT(C101,"000000")</f>
        <v>667424</v>
      </c>
      <c r="E101" s="4">
        <v>667424</v>
      </c>
      <c r="F101" s="4" t="s">
        <v>265</v>
      </c>
      <c r="G101" s="5">
        <v>4901881142154</v>
      </c>
      <c r="H101" s="5"/>
      <c r="I101" s="5"/>
      <c r="J101" s="5">
        <v>1</v>
      </c>
      <c r="K101" s="5">
        <v>1</v>
      </c>
      <c r="L101" s="4">
        <v>150</v>
      </c>
      <c r="M101" s="4">
        <v>123</v>
      </c>
      <c r="N101" s="4">
        <v>75</v>
      </c>
      <c r="O101" s="6">
        <f>IFERROR(1-N101/M101,"-")</f>
        <v>0.3902439024390244</v>
      </c>
      <c r="P101" s="4" t="s">
        <v>462</v>
      </c>
      <c r="Q101" s="4" t="s">
        <v>462</v>
      </c>
      <c r="R101" s="4" t="s">
        <v>462</v>
      </c>
      <c r="S101" s="4">
        <v>170</v>
      </c>
      <c r="T101" s="4">
        <f>IF(W101="",S101,S101*W101)</f>
        <v>170</v>
      </c>
      <c r="U101" s="4">
        <v>85</v>
      </c>
      <c r="V101" s="4">
        <f>IF(W101="",U101,U101*W101)</f>
        <v>85</v>
      </c>
      <c r="W101" s="4"/>
      <c r="X101" s="21">
        <f>ROUND(M101*AL101,0)</f>
        <v>139</v>
      </c>
      <c r="Y101" s="6">
        <f>IFERROR(1-V101/X101,"-")</f>
        <v>0.38848920863309355</v>
      </c>
      <c r="Z101" s="33">
        <v>1.5</v>
      </c>
      <c r="AA101" s="4">
        <f>AV101</f>
        <v>150</v>
      </c>
      <c r="AB101" s="33">
        <f>IFERROR(AA101*AL101,"-")</f>
        <v>170</v>
      </c>
      <c r="AC101" s="6">
        <f>IFERROR(1-V101/AB101,"-")</f>
        <v>0.5</v>
      </c>
      <c r="AD101" s="7">
        <v>140</v>
      </c>
      <c r="AE101" s="6">
        <f>1-V101/AD101</f>
        <v>0.3928571428571429</v>
      </c>
      <c r="AF101" s="4">
        <f>AD101-V101</f>
        <v>55</v>
      </c>
      <c r="AG101" s="28"/>
      <c r="AH101" s="6"/>
      <c r="AI101" s="6"/>
      <c r="AJ101" s="6">
        <f>IFERROR(T101/L101,"-")</f>
        <v>1.1333333333333333</v>
      </c>
      <c r="AK101" s="6">
        <f>IFERROR(AD101/M101,"-")</f>
        <v>1.1382113821138211</v>
      </c>
      <c r="AL101" s="6">
        <f>IFERROR(V101/N101,"-")</f>
        <v>1.1333333333333333</v>
      </c>
      <c r="AM101" s="4" t="str">
        <f t="shared" si="5"/>
        <v>-</v>
      </c>
      <c r="AN101" s="4" t="str">
        <f t="shared" si="6"/>
        <v>-</v>
      </c>
      <c r="AO101" s="4" t="str">
        <f t="shared" si="7"/>
        <v>-</v>
      </c>
      <c r="AP101" s="4">
        <v>0</v>
      </c>
      <c r="AQ101" s="4" t="s">
        <v>793</v>
      </c>
      <c r="AR101" s="4">
        <v>1</v>
      </c>
      <c r="AS101" s="4">
        <v>10</v>
      </c>
      <c r="AT101" s="4" t="s">
        <v>779</v>
      </c>
      <c r="AU101" s="4">
        <v>1500</v>
      </c>
      <c r="AV101" s="4">
        <f>IF(AR101="",AU101,AR101/AS101*AU101)</f>
        <v>150</v>
      </c>
      <c r="AW101" s="19">
        <v>4</v>
      </c>
      <c r="AX101" s="19">
        <v>1</v>
      </c>
      <c r="AY101" s="16">
        <v>5</v>
      </c>
      <c r="AZ101" t="s">
        <v>462</v>
      </c>
      <c r="BA101" t="str">
        <f t="shared" si="8"/>
        <v>-</v>
      </c>
      <c r="BB101" t="s">
        <v>462</v>
      </c>
      <c r="BC101" t="str">
        <f t="shared" si="9"/>
        <v>-</v>
      </c>
      <c r="BD101" t="s">
        <v>555</v>
      </c>
    </row>
    <row r="102" spans="1:56" x14ac:dyDescent="0.4">
      <c r="A102" s="3">
        <v>64</v>
      </c>
      <c r="B102" s="3">
        <v>64</v>
      </c>
      <c r="C102" s="4">
        <v>667425</v>
      </c>
      <c r="D102" s="4" t="str">
        <f>TEXT(C102,"000000")</f>
        <v>667425</v>
      </c>
      <c r="E102" s="4">
        <v>667425</v>
      </c>
      <c r="F102" s="4" t="s">
        <v>266</v>
      </c>
      <c r="G102" s="5">
        <v>4901881142161</v>
      </c>
      <c r="H102" s="5"/>
      <c r="I102" s="5"/>
      <c r="J102" s="5">
        <v>1</v>
      </c>
      <c r="K102" s="5">
        <v>1</v>
      </c>
      <c r="L102" s="4">
        <v>150</v>
      </c>
      <c r="M102" s="4">
        <v>123</v>
      </c>
      <c r="N102" s="4">
        <v>75</v>
      </c>
      <c r="O102" s="6">
        <f>IFERROR(1-N102/M102,"-")</f>
        <v>0.3902439024390244</v>
      </c>
      <c r="P102" s="4" t="s">
        <v>462</v>
      </c>
      <c r="Q102" s="4" t="s">
        <v>462</v>
      </c>
      <c r="R102" s="4" t="s">
        <v>462</v>
      </c>
      <c r="S102" s="4">
        <v>170</v>
      </c>
      <c r="T102" s="4">
        <f>IF(W102="",S102,S102*W102)</f>
        <v>170</v>
      </c>
      <c r="U102" s="4">
        <v>85</v>
      </c>
      <c r="V102" s="4">
        <f>IF(W102="",U102,U102*W102)</f>
        <v>85</v>
      </c>
      <c r="W102" s="4"/>
      <c r="X102" s="21">
        <f>ROUND(M102*AL102,0)</f>
        <v>139</v>
      </c>
      <c r="Y102" s="6">
        <f>IFERROR(1-V102/X102,"-")</f>
        <v>0.38848920863309355</v>
      </c>
      <c r="Z102" s="33">
        <v>5.25</v>
      </c>
      <c r="AA102" s="4">
        <f>AV102</f>
        <v>150</v>
      </c>
      <c r="AB102" s="33">
        <f>IFERROR(AA102*AL102,"-")</f>
        <v>170</v>
      </c>
      <c r="AC102" s="6">
        <f>IFERROR(1-V102/AB102,"-")</f>
        <v>0.5</v>
      </c>
      <c r="AD102" s="7">
        <v>140</v>
      </c>
      <c r="AE102" s="6">
        <f>1-V102/AD102</f>
        <v>0.3928571428571429</v>
      </c>
      <c r="AF102" s="4">
        <f>AD102-V102</f>
        <v>55</v>
      </c>
      <c r="AG102" s="28"/>
      <c r="AH102" s="6"/>
      <c r="AI102" s="6"/>
      <c r="AJ102" s="6">
        <f>IFERROR(T102/L102,"-")</f>
        <v>1.1333333333333333</v>
      </c>
      <c r="AK102" s="6">
        <f>IFERROR(AD102/M102,"-")</f>
        <v>1.1382113821138211</v>
      </c>
      <c r="AL102" s="6">
        <f>IFERROR(V102/N102,"-")</f>
        <v>1.1333333333333333</v>
      </c>
      <c r="AM102" s="4" t="str">
        <f t="shared" si="5"/>
        <v>-</v>
      </c>
      <c r="AN102" s="4" t="str">
        <f t="shared" si="6"/>
        <v>-</v>
      </c>
      <c r="AO102" s="4" t="str">
        <f t="shared" si="7"/>
        <v>-</v>
      </c>
      <c r="AP102" s="4">
        <v>0</v>
      </c>
      <c r="AQ102" s="4" t="s">
        <v>794</v>
      </c>
      <c r="AR102" s="4">
        <v>1</v>
      </c>
      <c r="AS102" s="4">
        <v>10</v>
      </c>
      <c r="AT102" s="4" t="s">
        <v>779</v>
      </c>
      <c r="AU102" s="4">
        <v>1500</v>
      </c>
      <c r="AV102" s="4">
        <f>IF(AR102="",AU102,AR102/AS102*AU102)</f>
        <v>150</v>
      </c>
      <c r="AW102" s="19">
        <v>4</v>
      </c>
      <c r="AX102" s="19">
        <v>1</v>
      </c>
      <c r="AY102" s="16">
        <v>5</v>
      </c>
      <c r="AZ102" t="s">
        <v>462</v>
      </c>
      <c r="BA102" t="str">
        <f t="shared" si="8"/>
        <v>-</v>
      </c>
      <c r="BB102" t="s">
        <v>462</v>
      </c>
      <c r="BC102" t="str">
        <f t="shared" si="9"/>
        <v>-</v>
      </c>
      <c r="BD102" t="s">
        <v>556</v>
      </c>
    </row>
    <row r="103" spans="1:56" x14ac:dyDescent="0.4">
      <c r="A103" s="3">
        <v>70</v>
      </c>
      <c r="B103" s="3">
        <v>70</v>
      </c>
      <c r="C103" s="4">
        <v>681049</v>
      </c>
      <c r="D103" s="4" t="str">
        <f>TEXT(C103,"000000")</f>
        <v>681049</v>
      </c>
      <c r="E103" s="4">
        <v>681049</v>
      </c>
      <c r="F103" s="4" t="s">
        <v>272</v>
      </c>
      <c r="G103" s="5">
        <v>4901881142031</v>
      </c>
      <c r="H103" s="5"/>
      <c r="I103" s="5"/>
      <c r="J103" s="5">
        <v>1</v>
      </c>
      <c r="K103" s="5">
        <v>1</v>
      </c>
      <c r="L103" s="4">
        <v>150</v>
      </c>
      <c r="M103" s="4">
        <v>123</v>
      </c>
      <c r="N103" s="4">
        <v>75</v>
      </c>
      <c r="O103" s="6">
        <f>IFERROR(1-N103/M103,"-")</f>
        <v>0.3902439024390244</v>
      </c>
      <c r="P103" s="4" t="s">
        <v>462</v>
      </c>
      <c r="Q103" s="4" t="s">
        <v>462</v>
      </c>
      <c r="R103" s="4" t="s">
        <v>462</v>
      </c>
      <c r="S103" s="4">
        <v>170</v>
      </c>
      <c r="T103" s="4">
        <f>IF(W103="",S103,S103*W103)</f>
        <v>170</v>
      </c>
      <c r="U103" s="4">
        <v>85</v>
      </c>
      <c r="V103" s="4">
        <f>IF(W103="",U103,U103*W103)</f>
        <v>85</v>
      </c>
      <c r="W103" s="4"/>
      <c r="X103" s="21">
        <f>ROUND(M103*AL103,0)</f>
        <v>139</v>
      </c>
      <c r="Y103" s="6">
        <f>IFERROR(1-V103/X103,"-")</f>
        <v>0.38848920863309355</v>
      </c>
      <c r="Z103" s="33">
        <v>13.25</v>
      </c>
      <c r="AA103" s="4">
        <f>AV103</f>
        <v>137</v>
      </c>
      <c r="AB103" s="33">
        <f>IFERROR(AA103*AL103,"-")</f>
        <v>155.26666666666665</v>
      </c>
      <c r="AC103" s="6">
        <f>IFERROR(1-V103/AB103,"-")</f>
        <v>0.45255474452554734</v>
      </c>
      <c r="AD103" s="7">
        <v>140</v>
      </c>
      <c r="AE103" s="6">
        <f>1-V103/AD103</f>
        <v>0.3928571428571429</v>
      </c>
      <c r="AF103" s="4">
        <f>AD103-V103</f>
        <v>55</v>
      </c>
      <c r="AG103" s="28"/>
      <c r="AH103" s="6"/>
      <c r="AI103" s="6"/>
      <c r="AJ103" s="6">
        <f>IFERROR(T103/L103,"-")</f>
        <v>1.1333333333333333</v>
      </c>
      <c r="AK103" s="6">
        <f>IFERROR(AD103/M103,"-")</f>
        <v>1.1382113821138211</v>
      </c>
      <c r="AL103" s="6">
        <f>IFERROR(V103/N103,"-")</f>
        <v>1.1333333333333333</v>
      </c>
      <c r="AM103" s="4" t="str">
        <f t="shared" si="5"/>
        <v>-</v>
      </c>
      <c r="AN103" s="4" t="str">
        <f t="shared" si="6"/>
        <v>-</v>
      </c>
      <c r="AO103" s="4" t="str">
        <f t="shared" si="7"/>
        <v>-</v>
      </c>
      <c r="AP103" s="4">
        <v>0</v>
      </c>
      <c r="AQ103" s="4" t="s">
        <v>795</v>
      </c>
      <c r="AR103" s="4"/>
      <c r="AS103" s="4"/>
      <c r="AT103" s="4" t="s">
        <v>693</v>
      </c>
      <c r="AU103" s="4">
        <v>137</v>
      </c>
      <c r="AV103" s="4">
        <f>IF(AR103="",AU103,AR103/AS103*AU103)</f>
        <v>137</v>
      </c>
      <c r="AW103" s="19">
        <v>4</v>
      </c>
      <c r="AX103" s="19">
        <v>1</v>
      </c>
      <c r="AY103" s="16">
        <v>5</v>
      </c>
      <c r="AZ103">
        <v>640</v>
      </c>
      <c r="BA103">
        <f t="shared" si="8"/>
        <v>725.33333333333326</v>
      </c>
      <c r="BB103" t="s">
        <v>462</v>
      </c>
      <c r="BC103" t="str">
        <f t="shared" si="9"/>
        <v>-</v>
      </c>
      <c r="BD103" t="s">
        <v>557</v>
      </c>
    </row>
    <row r="104" spans="1:56" x14ac:dyDescent="0.4">
      <c r="A104" s="3">
        <v>71</v>
      </c>
      <c r="B104" s="3">
        <v>71</v>
      </c>
      <c r="C104" s="4">
        <v>681050</v>
      </c>
      <c r="D104" s="4" t="str">
        <f>TEXT(C104,"000000")</f>
        <v>681050</v>
      </c>
      <c r="E104" s="4">
        <v>681050</v>
      </c>
      <c r="F104" s="4" t="s">
        <v>273</v>
      </c>
      <c r="G104" s="5">
        <v>4901881142062</v>
      </c>
      <c r="H104" s="5"/>
      <c r="I104" s="5"/>
      <c r="J104" s="5">
        <v>1</v>
      </c>
      <c r="K104" s="5">
        <v>1</v>
      </c>
      <c r="L104" s="4">
        <v>150</v>
      </c>
      <c r="M104" s="4">
        <v>116</v>
      </c>
      <c r="N104" s="4">
        <v>75</v>
      </c>
      <c r="O104" s="6">
        <f>IFERROR(1-N104/M104,"-")</f>
        <v>0.35344827586206895</v>
      </c>
      <c r="P104" s="4" t="s">
        <v>462</v>
      </c>
      <c r="Q104" s="4" t="s">
        <v>462</v>
      </c>
      <c r="R104" s="4" t="s">
        <v>462</v>
      </c>
      <c r="S104" s="4">
        <v>170</v>
      </c>
      <c r="T104" s="4">
        <f>IF(W104="",S104,S104*W104)</f>
        <v>170</v>
      </c>
      <c r="U104" s="4">
        <v>85</v>
      </c>
      <c r="V104" s="4">
        <f>IF(W104="",U104,U104*W104)</f>
        <v>85</v>
      </c>
      <c r="W104" s="4"/>
      <c r="X104" s="21">
        <f>ROUND(M104*AL104,0)</f>
        <v>131</v>
      </c>
      <c r="Y104" s="6">
        <f>IFERROR(1-V104/X104,"-")</f>
        <v>0.35114503816793896</v>
      </c>
      <c r="Z104" s="33">
        <v>12.5</v>
      </c>
      <c r="AA104" s="4">
        <f>AV104</f>
        <v>150</v>
      </c>
      <c r="AB104" s="33">
        <f>IFERROR(AA104*AL104,"-")</f>
        <v>170</v>
      </c>
      <c r="AC104" s="6">
        <f>IFERROR(1-V104/AB104,"-")</f>
        <v>0.5</v>
      </c>
      <c r="AD104" s="7">
        <v>140</v>
      </c>
      <c r="AE104" s="6">
        <f>1-V104/AD104</f>
        <v>0.3928571428571429</v>
      </c>
      <c r="AF104" s="4">
        <f>AD104-V104</f>
        <v>55</v>
      </c>
      <c r="AG104" s="28"/>
      <c r="AH104" s="6"/>
      <c r="AI104" s="6"/>
      <c r="AJ104" s="6">
        <f>IFERROR(T104/L104,"-")</f>
        <v>1.1333333333333333</v>
      </c>
      <c r="AK104" s="6">
        <f>IFERROR(AD104/M104,"-")</f>
        <v>1.2068965517241379</v>
      </c>
      <c r="AL104" s="6">
        <f>IFERROR(V104/N104,"-")</f>
        <v>1.1333333333333333</v>
      </c>
      <c r="AM104" s="4" t="str">
        <f t="shared" si="5"/>
        <v>-</v>
      </c>
      <c r="AN104" s="4" t="str">
        <f t="shared" si="6"/>
        <v>-</v>
      </c>
      <c r="AO104" s="4" t="str">
        <f t="shared" si="7"/>
        <v>-</v>
      </c>
      <c r="AP104" s="4">
        <v>0</v>
      </c>
      <c r="AQ104" s="4" t="s">
        <v>796</v>
      </c>
      <c r="AR104" s="4">
        <v>1</v>
      </c>
      <c r="AS104" s="4">
        <v>10</v>
      </c>
      <c r="AT104" s="4" t="s">
        <v>779</v>
      </c>
      <c r="AU104" s="4">
        <v>1500</v>
      </c>
      <c r="AV104" s="4">
        <f>IF(AR104="",AU104,AR104/AS104*AU104)</f>
        <v>150</v>
      </c>
      <c r="AW104" s="19">
        <v>4</v>
      </c>
      <c r="AX104" s="19">
        <v>1</v>
      </c>
      <c r="AY104" s="16">
        <v>5</v>
      </c>
      <c r="AZ104" t="s">
        <v>462</v>
      </c>
      <c r="BA104" t="str">
        <f t="shared" si="8"/>
        <v>-</v>
      </c>
      <c r="BB104" t="s">
        <v>462</v>
      </c>
      <c r="BC104" t="str">
        <f t="shared" si="9"/>
        <v>-</v>
      </c>
      <c r="BD104" t="s">
        <v>558</v>
      </c>
    </row>
    <row r="105" spans="1:56" x14ac:dyDescent="0.4">
      <c r="A105" s="3">
        <v>72</v>
      </c>
      <c r="B105" s="3">
        <v>72</v>
      </c>
      <c r="C105" s="4">
        <v>681051</v>
      </c>
      <c r="D105" s="4" t="str">
        <f>TEXT(C105,"000000")</f>
        <v>681051</v>
      </c>
      <c r="E105" s="4">
        <v>681051</v>
      </c>
      <c r="F105" s="4" t="s">
        <v>274</v>
      </c>
      <c r="G105" s="5">
        <v>4901881142079</v>
      </c>
      <c r="H105" s="5"/>
      <c r="I105" s="5"/>
      <c r="J105" s="5">
        <v>1</v>
      </c>
      <c r="K105" s="5">
        <v>1</v>
      </c>
      <c r="L105" s="4">
        <v>150</v>
      </c>
      <c r="M105" s="4">
        <v>96</v>
      </c>
      <c r="N105" s="4">
        <v>75</v>
      </c>
      <c r="O105" s="6">
        <f>IFERROR(1-N105/M105,"-")</f>
        <v>0.21875</v>
      </c>
      <c r="P105" s="4" t="s">
        <v>462</v>
      </c>
      <c r="Q105" s="4" t="s">
        <v>462</v>
      </c>
      <c r="R105" s="4" t="s">
        <v>462</v>
      </c>
      <c r="S105" s="4">
        <v>170</v>
      </c>
      <c r="T105" s="4">
        <f>IF(W105="",S105,S105*W105)</f>
        <v>170</v>
      </c>
      <c r="U105" s="4">
        <v>85</v>
      </c>
      <c r="V105" s="4">
        <f>IF(W105="",U105,U105*W105)</f>
        <v>85</v>
      </c>
      <c r="W105" s="4"/>
      <c r="X105" s="21">
        <f>ROUND(M105*AL105,0)</f>
        <v>109</v>
      </c>
      <c r="Y105" s="6">
        <f>IFERROR(1-V105/X105,"-")</f>
        <v>0.22018348623853212</v>
      </c>
      <c r="Z105" s="33">
        <v>8</v>
      </c>
      <c r="AA105" s="4">
        <f>AV105</f>
        <v>150</v>
      </c>
      <c r="AB105" s="33">
        <f>IFERROR(AA105*AL105,"-")</f>
        <v>170</v>
      </c>
      <c r="AC105" s="6">
        <f>IFERROR(1-V105/AB105,"-")</f>
        <v>0.5</v>
      </c>
      <c r="AD105" s="7">
        <v>140</v>
      </c>
      <c r="AE105" s="6">
        <f>1-V105/AD105</f>
        <v>0.3928571428571429</v>
      </c>
      <c r="AF105" s="4">
        <f>AD105-V105</f>
        <v>55</v>
      </c>
      <c r="AG105" s="28"/>
      <c r="AH105" s="6"/>
      <c r="AI105" s="6"/>
      <c r="AJ105" s="6">
        <f>IFERROR(T105/L105,"-")</f>
        <v>1.1333333333333333</v>
      </c>
      <c r="AK105" s="6">
        <f>IFERROR(AD105/M105,"-")</f>
        <v>1.4583333333333333</v>
      </c>
      <c r="AL105" s="6">
        <f>IFERROR(V105/N105,"-")</f>
        <v>1.1333333333333333</v>
      </c>
      <c r="AM105" s="4" t="str">
        <f t="shared" si="5"/>
        <v>-</v>
      </c>
      <c r="AN105" s="4" t="str">
        <f t="shared" si="6"/>
        <v>-</v>
      </c>
      <c r="AO105" s="4" t="str">
        <f t="shared" si="7"/>
        <v>-</v>
      </c>
      <c r="AP105" s="4">
        <v>0</v>
      </c>
      <c r="AQ105" s="4" t="s">
        <v>797</v>
      </c>
      <c r="AR105" s="4">
        <v>1</v>
      </c>
      <c r="AS105" s="4">
        <v>10</v>
      </c>
      <c r="AT105" s="4" t="s">
        <v>779</v>
      </c>
      <c r="AU105" s="4">
        <v>1500</v>
      </c>
      <c r="AV105" s="4">
        <f>IF(AR105="",AU105,AR105/AS105*AU105)</f>
        <v>150</v>
      </c>
      <c r="AW105" s="19">
        <v>4</v>
      </c>
      <c r="AX105" s="19">
        <v>1</v>
      </c>
      <c r="AY105" s="16">
        <v>5</v>
      </c>
      <c r="AZ105" t="s">
        <v>462</v>
      </c>
      <c r="BA105" t="str">
        <f t="shared" si="8"/>
        <v>-</v>
      </c>
      <c r="BB105" t="s">
        <v>462</v>
      </c>
      <c r="BC105" t="str">
        <f t="shared" si="9"/>
        <v>-</v>
      </c>
      <c r="BD105" t="s">
        <v>559</v>
      </c>
    </row>
    <row r="106" spans="1:56" x14ac:dyDescent="0.4">
      <c r="A106" s="3">
        <v>73</v>
      </c>
      <c r="B106" s="3">
        <v>73</v>
      </c>
      <c r="C106" s="46">
        <v>681052</v>
      </c>
      <c r="D106" s="4" t="str">
        <f>TEXT(C106,"000000")</f>
        <v>681052</v>
      </c>
      <c r="E106" s="4">
        <v>681052</v>
      </c>
      <c r="F106" s="4" t="s">
        <v>275</v>
      </c>
      <c r="G106" s="5">
        <v>4901881142116</v>
      </c>
      <c r="H106" s="5"/>
      <c r="I106" s="5"/>
      <c r="J106" s="5">
        <v>2</v>
      </c>
      <c r="K106" s="5">
        <v>2</v>
      </c>
      <c r="L106" s="4">
        <v>150</v>
      </c>
      <c r="M106" s="4">
        <v>123</v>
      </c>
      <c r="N106" s="4">
        <v>75</v>
      </c>
      <c r="O106" s="6">
        <f>IFERROR(1-N106/M106,"-")</f>
        <v>0.3902439024390244</v>
      </c>
      <c r="P106" s="4" t="s">
        <v>462</v>
      </c>
      <c r="Q106" s="4" t="s">
        <v>462</v>
      </c>
      <c r="R106" s="4" t="s">
        <v>462</v>
      </c>
      <c r="S106" s="4">
        <v>170</v>
      </c>
      <c r="T106" s="4">
        <f>IF(W106="",S106,S106*W106)</f>
        <v>170</v>
      </c>
      <c r="U106" s="4">
        <v>85</v>
      </c>
      <c r="V106" s="4">
        <f>IF(W106="",U106,U106*W106)</f>
        <v>85</v>
      </c>
      <c r="W106" s="4"/>
      <c r="X106" s="21">
        <f>ROUND(M106*AL106,0)</f>
        <v>139</v>
      </c>
      <c r="Y106" s="6">
        <f>IFERROR(1-V106/X106,"-")</f>
        <v>0.38848920863309355</v>
      </c>
      <c r="Z106" s="33">
        <v>28.249999999999996</v>
      </c>
      <c r="AA106" s="4">
        <f>AV106</f>
        <v>135</v>
      </c>
      <c r="AB106" s="33">
        <f>IFERROR(AA106*AL106,"-")</f>
        <v>153</v>
      </c>
      <c r="AC106" s="6">
        <f>IFERROR(1-V106/AB106,"-")</f>
        <v>0.44444444444444442</v>
      </c>
      <c r="AD106" s="7">
        <v>140</v>
      </c>
      <c r="AE106" s="6">
        <f>1-V106/AD106</f>
        <v>0.3928571428571429</v>
      </c>
      <c r="AF106" s="4">
        <f>AD106-V106</f>
        <v>55</v>
      </c>
      <c r="AG106" s="28"/>
      <c r="AH106" s="6"/>
      <c r="AI106" s="6"/>
      <c r="AJ106" s="6">
        <f>IFERROR(T106/L106,"-")</f>
        <v>1.1333333333333333</v>
      </c>
      <c r="AK106" s="6">
        <f>IFERROR(AD106/M106,"-")</f>
        <v>1.1382113821138211</v>
      </c>
      <c r="AL106" s="6">
        <f>IFERROR(V106/N106,"-")</f>
        <v>1.1333333333333333</v>
      </c>
      <c r="AM106" s="4" t="str">
        <f t="shared" si="5"/>
        <v>-</v>
      </c>
      <c r="AN106" s="4" t="str">
        <f t="shared" si="6"/>
        <v>-</v>
      </c>
      <c r="AO106" s="4" t="str">
        <f t="shared" si="7"/>
        <v>-</v>
      </c>
      <c r="AP106" s="4">
        <v>0</v>
      </c>
      <c r="AQ106" s="4" t="s">
        <v>798</v>
      </c>
      <c r="AR106" s="4"/>
      <c r="AS106" s="4"/>
      <c r="AT106" s="4" t="s">
        <v>693</v>
      </c>
      <c r="AU106" s="4">
        <v>135</v>
      </c>
      <c r="AV106" s="4">
        <f>IF(AR106="",AU106,AR106/AS106*AU106)</f>
        <v>135</v>
      </c>
      <c r="AW106" s="19">
        <v>4</v>
      </c>
      <c r="AX106" s="19">
        <v>1</v>
      </c>
      <c r="AY106" s="16">
        <v>5</v>
      </c>
      <c r="AZ106">
        <v>640</v>
      </c>
      <c r="BA106">
        <f t="shared" si="8"/>
        <v>725.33333333333326</v>
      </c>
      <c r="BB106" t="s">
        <v>462</v>
      </c>
      <c r="BC106" t="str">
        <f t="shared" si="9"/>
        <v>-</v>
      </c>
      <c r="BD106" t="s">
        <v>560</v>
      </c>
    </row>
    <row r="107" spans="1:56" x14ac:dyDescent="0.4">
      <c r="A107" s="3">
        <v>244</v>
      </c>
      <c r="B107" s="3">
        <v>73</v>
      </c>
      <c r="C107" s="46">
        <v>681052</v>
      </c>
      <c r="D107" s="4" t="str">
        <f>TEXT(C107,"000000")</f>
        <v>681052</v>
      </c>
      <c r="E107" s="4" t="s">
        <v>441</v>
      </c>
      <c r="F107" s="33" t="s">
        <v>453</v>
      </c>
      <c r="G107" s="5">
        <v>4901881142116</v>
      </c>
      <c r="H107" s="5">
        <v>8</v>
      </c>
      <c r="I107" s="5" t="str">
        <f>C107&amp;H107</f>
        <v>6810528</v>
      </c>
      <c r="J107" s="5"/>
      <c r="K107" s="5"/>
      <c r="L107" s="4">
        <v>750</v>
      </c>
      <c r="M107" s="4">
        <v>582</v>
      </c>
      <c r="N107" s="4">
        <v>375</v>
      </c>
      <c r="O107" s="6">
        <f>IFERROR(1-N107/M107,"-")</f>
        <v>0.35567010309278346</v>
      </c>
      <c r="P107" s="4" t="s">
        <v>462</v>
      </c>
      <c r="Q107" s="4" t="s">
        <v>462</v>
      </c>
      <c r="R107" s="4" t="s">
        <v>462</v>
      </c>
      <c r="S107" s="4">
        <v>170</v>
      </c>
      <c r="T107" s="4">
        <f>IF(W107="",S107,S107*W107)</f>
        <v>850</v>
      </c>
      <c r="U107" s="4">
        <v>85</v>
      </c>
      <c r="V107" s="4">
        <f>IF(W107="",U107,U107*W107)</f>
        <v>425</v>
      </c>
      <c r="W107" s="4">
        <v>5</v>
      </c>
      <c r="X107" s="21">
        <f>ROUND(M107*AL107,0)</f>
        <v>660</v>
      </c>
      <c r="Y107" s="6">
        <f>IFERROR(1-V107/X107,"-")</f>
        <v>0.35606060606060608</v>
      </c>
      <c r="Z107" s="33">
        <v>28.249999999999996</v>
      </c>
      <c r="AA107" s="4">
        <f>AV107</f>
        <v>642.5</v>
      </c>
      <c r="AB107" s="33">
        <f>IFERROR(AA107*AL107,"-")</f>
        <v>728.16666666666663</v>
      </c>
      <c r="AC107" s="6">
        <f>IFERROR(1-V107/AB107,"-")</f>
        <v>0.41634241245136183</v>
      </c>
      <c r="AD107" s="7">
        <v>660</v>
      </c>
      <c r="AE107" s="6">
        <f>1-V107/AD107</f>
        <v>0.35606060606060608</v>
      </c>
      <c r="AF107" s="4">
        <f>AD107-V107</f>
        <v>235</v>
      </c>
      <c r="AG107" s="28"/>
      <c r="AH107" s="6"/>
      <c r="AI107" s="6"/>
      <c r="AJ107" s="6">
        <f>IFERROR(T107/L107,"-")</f>
        <v>1.1333333333333333</v>
      </c>
      <c r="AK107" s="6">
        <f>IFERROR(AD107/M107,"-")</f>
        <v>1.134020618556701</v>
      </c>
      <c r="AL107" s="6">
        <f>IFERROR(V107/N107,"-")</f>
        <v>1.1333333333333333</v>
      </c>
      <c r="AM107" s="4" t="str">
        <f t="shared" si="5"/>
        <v>-</v>
      </c>
      <c r="AN107" s="4" t="str">
        <f t="shared" si="6"/>
        <v>-</v>
      </c>
      <c r="AO107" s="4" t="str">
        <f t="shared" si="7"/>
        <v>-</v>
      </c>
      <c r="AP107" s="4">
        <v>0</v>
      </c>
      <c r="AQ107" s="4" t="s">
        <v>799</v>
      </c>
      <c r="AR107" s="4">
        <v>5</v>
      </c>
      <c r="AS107" s="4">
        <v>10</v>
      </c>
      <c r="AT107" s="4" t="s">
        <v>800</v>
      </c>
      <c r="AU107" s="4">
        <v>1285</v>
      </c>
      <c r="AV107" s="4">
        <f>IF(AR107="",AU107,AR107/AS107*AU107)</f>
        <v>642.5</v>
      </c>
      <c r="AW107" s="19">
        <v>4</v>
      </c>
      <c r="AX107" s="19">
        <v>1</v>
      </c>
      <c r="AY107" s="16">
        <v>5</v>
      </c>
      <c r="AZ107">
        <v>640</v>
      </c>
      <c r="BA107">
        <f t="shared" si="8"/>
        <v>725.33333333333326</v>
      </c>
      <c r="BB107" t="s">
        <v>462</v>
      </c>
      <c r="BC107" t="str">
        <f t="shared" si="9"/>
        <v>-</v>
      </c>
      <c r="BD107" t="s">
        <v>561</v>
      </c>
    </row>
    <row r="108" spans="1:56" x14ac:dyDescent="0.4">
      <c r="A108" s="3">
        <v>74</v>
      </c>
      <c r="B108" s="3">
        <v>74</v>
      </c>
      <c r="C108" s="4">
        <v>681053</v>
      </c>
      <c r="D108" s="4" t="str">
        <f>TEXT(C108,"000000")</f>
        <v>681053</v>
      </c>
      <c r="E108" s="4">
        <v>681053</v>
      </c>
      <c r="F108" s="4" t="s">
        <v>276</v>
      </c>
      <c r="G108" s="5">
        <v>4901881142192</v>
      </c>
      <c r="H108" s="5"/>
      <c r="I108" s="5"/>
      <c r="J108" s="5">
        <v>1</v>
      </c>
      <c r="K108" s="5">
        <v>1</v>
      </c>
      <c r="L108" s="4">
        <v>150</v>
      </c>
      <c r="M108" s="4">
        <v>123</v>
      </c>
      <c r="N108" s="4">
        <v>75</v>
      </c>
      <c r="O108" s="6">
        <f>IFERROR(1-N108/M108,"-")</f>
        <v>0.3902439024390244</v>
      </c>
      <c r="P108" s="4" t="s">
        <v>462</v>
      </c>
      <c r="Q108" s="4" t="s">
        <v>462</v>
      </c>
      <c r="R108" s="4" t="s">
        <v>462</v>
      </c>
      <c r="S108" s="4">
        <v>170</v>
      </c>
      <c r="T108" s="4">
        <f>IF(W108="",S108,S108*W108)</f>
        <v>170</v>
      </c>
      <c r="U108" s="4">
        <v>85</v>
      </c>
      <c r="V108" s="4">
        <f>IF(W108="",U108,U108*W108)</f>
        <v>85</v>
      </c>
      <c r="W108" s="4"/>
      <c r="X108" s="21">
        <f>ROUND(M108*AL108,0)</f>
        <v>139</v>
      </c>
      <c r="Y108" s="6">
        <f>IFERROR(1-V108/X108,"-")</f>
        <v>0.38848920863309355</v>
      </c>
      <c r="Z108" s="33">
        <v>12.75</v>
      </c>
      <c r="AA108" s="4">
        <f>AV108</f>
        <v>150</v>
      </c>
      <c r="AB108" s="33">
        <f>IFERROR(AA108*AL108,"-")</f>
        <v>170</v>
      </c>
      <c r="AC108" s="6">
        <f>IFERROR(1-V108/AB108,"-")</f>
        <v>0.5</v>
      </c>
      <c r="AD108" s="7">
        <v>140</v>
      </c>
      <c r="AE108" s="6">
        <f>1-V108/AD108</f>
        <v>0.3928571428571429</v>
      </c>
      <c r="AF108" s="4">
        <f>AD108-V108</f>
        <v>55</v>
      </c>
      <c r="AG108" s="28"/>
      <c r="AH108" s="6"/>
      <c r="AI108" s="6"/>
      <c r="AJ108" s="6">
        <f>IFERROR(T108/L108,"-")</f>
        <v>1.1333333333333333</v>
      </c>
      <c r="AK108" s="6">
        <f>IFERROR(AD108/M108,"-")</f>
        <v>1.1382113821138211</v>
      </c>
      <c r="AL108" s="6">
        <f>IFERROR(V108/N108,"-")</f>
        <v>1.1333333333333333</v>
      </c>
      <c r="AM108" s="4" t="str">
        <f t="shared" si="5"/>
        <v>-</v>
      </c>
      <c r="AN108" s="4" t="str">
        <f t="shared" si="6"/>
        <v>-</v>
      </c>
      <c r="AO108" s="4" t="str">
        <f t="shared" si="7"/>
        <v>-</v>
      </c>
      <c r="AP108" s="4">
        <v>0</v>
      </c>
      <c r="AQ108" s="4" t="s">
        <v>801</v>
      </c>
      <c r="AR108" s="4">
        <v>1</v>
      </c>
      <c r="AS108" s="4">
        <v>10</v>
      </c>
      <c r="AT108" s="4" t="s">
        <v>779</v>
      </c>
      <c r="AU108" s="4">
        <v>1500</v>
      </c>
      <c r="AV108" s="4">
        <f>IF(AR108="",AU108,AR108/AS108*AU108)</f>
        <v>150</v>
      </c>
      <c r="AW108" s="19">
        <v>4</v>
      </c>
      <c r="AX108" s="19">
        <v>1</v>
      </c>
      <c r="AY108" s="16">
        <v>5</v>
      </c>
      <c r="AZ108">
        <v>640</v>
      </c>
      <c r="BA108">
        <f t="shared" si="8"/>
        <v>725.33333333333326</v>
      </c>
      <c r="BB108" t="s">
        <v>462</v>
      </c>
      <c r="BC108" t="str">
        <f t="shared" si="9"/>
        <v>-</v>
      </c>
      <c r="BD108" t="s">
        <v>562</v>
      </c>
    </row>
    <row r="109" spans="1:56" x14ac:dyDescent="0.4">
      <c r="A109" s="3">
        <v>75</v>
      </c>
      <c r="B109" s="3">
        <v>75</v>
      </c>
      <c r="C109" s="46">
        <v>681054</v>
      </c>
      <c r="D109" s="4" t="str">
        <f>TEXT(C109,"000000")</f>
        <v>681054</v>
      </c>
      <c r="E109" s="4">
        <v>681054</v>
      </c>
      <c r="F109" s="4" t="s">
        <v>277</v>
      </c>
      <c r="G109" s="5">
        <v>4901881142222</v>
      </c>
      <c r="H109" s="5"/>
      <c r="I109" s="5"/>
      <c r="J109" s="5">
        <v>2</v>
      </c>
      <c r="K109" s="5">
        <v>2</v>
      </c>
      <c r="L109" s="4">
        <v>150</v>
      </c>
      <c r="M109" s="4">
        <v>123</v>
      </c>
      <c r="N109" s="4">
        <v>75</v>
      </c>
      <c r="O109" s="6">
        <f>IFERROR(1-N109/M109,"-")</f>
        <v>0.3902439024390244</v>
      </c>
      <c r="P109" s="4" t="s">
        <v>462</v>
      </c>
      <c r="Q109" s="4" t="s">
        <v>462</v>
      </c>
      <c r="R109" s="4" t="s">
        <v>462</v>
      </c>
      <c r="S109" s="4">
        <v>170</v>
      </c>
      <c r="T109" s="4">
        <f>IF(W109="",S109,S109*W109)</f>
        <v>170</v>
      </c>
      <c r="U109" s="4">
        <v>85</v>
      </c>
      <c r="V109" s="4">
        <f>IF(W109="",U109,U109*W109)</f>
        <v>85</v>
      </c>
      <c r="W109" s="4"/>
      <c r="X109" s="21">
        <f>ROUND(M109*AL109,0)</f>
        <v>139</v>
      </c>
      <c r="Y109" s="6">
        <f>IFERROR(1-V109/X109,"-")</f>
        <v>0.38848920863309355</v>
      </c>
      <c r="Z109" s="33">
        <v>69</v>
      </c>
      <c r="AA109" s="4">
        <f>AV109</f>
        <v>150</v>
      </c>
      <c r="AB109" s="33">
        <f>IFERROR(AA109*AL109,"-")</f>
        <v>170</v>
      </c>
      <c r="AC109" s="6">
        <f>IFERROR(1-V109/AB109,"-")</f>
        <v>0.5</v>
      </c>
      <c r="AD109" s="7">
        <v>140</v>
      </c>
      <c r="AE109" s="6">
        <f>1-V109/AD109</f>
        <v>0.3928571428571429</v>
      </c>
      <c r="AF109" s="4">
        <f>AD109-V109</f>
        <v>55</v>
      </c>
      <c r="AG109" s="28"/>
      <c r="AH109" s="6"/>
      <c r="AI109" s="6"/>
      <c r="AJ109" s="6">
        <f>IFERROR(T109/L109,"-")</f>
        <v>1.1333333333333333</v>
      </c>
      <c r="AK109" s="6">
        <f>IFERROR(AD109/M109,"-")</f>
        <v>1.1382113821138211</v>
      </c>
      <c r="AL109" s="6">
        <f>IFERROR(V109/N109,"-")</f>
        <v>1.1333333333333333</v>
      </c>
      <c r="AM109" s="4" t="str">
        <f t="shared" si="5"/>
        <v>-</v>
      </c>
      <c r="AN109" s="4" t="str">
        <f t="shared" si="6"/>
        <v>-</v>
      </c>
      <c r="AO109" s="4" t="str">
        <f t="shared" si="7"/>
        <v>-</v>
      </c>
      <c r="AP109" s="4">
        <v>0</v>
      </c>
      <c r="AQ109" s="4" t="s">
        <v>802</v>
      </c>
      <c r="AR109" s="4">
        <v>1</v>
      </c>
      <c r="AS109" s="4">
        <v>10</v>
      </c>
      <c r="AT109" s="4" t="s">
        <v>779</v>
      </c>
      <c r="AU109" s="4">
        <v>1500</v>
      </c>
      <c r="AV109" s="4">
        <f>IF(AR109="",AU109,AR109/AS109*AU109)</f>
        <v>150</v>
      </c>
      <c r="AW109" s="19">
        <v>4</v>
      </c>
      <c r="AX109" s="19">
        <v>1</v>
      </c>
      <c r="AY109" s="16">
        <v>5</v>
      </c>
      <c r="AZ109">
        <v>640</v>
      </c>
      <c r="BA109">
        <f t="shared" si="8"/>
        <v>725.33333333333326</v>
      </c>
      <c r="BB109" t="s">
        <v>462</v>
      </c>
      <c r="BC109" t="str">
        <f t="shared" si="9"/>
        <v>-</v>
      </c>
      <c r="BD109" t="s">
        <v>563</v>
      </c>
    </row>
    <row r="110" spans="1:56" x14ac:dyDescent="0.4">
      <c r="A110" s="3">
        <v>245</v>
      </c>
      <c r="B110" s="3">
        <v>75</v>
      </c>
      <c r="C110" s="46">
        <v>681054</v>
      </c>
      <c r="D110" s="4" t="str">
        <f>TEXT(C110,"000000")</f>
        <v>681054</v>
      </c>
      <c r="E110" s="4" t="s">
        <v>442</v>
      </c>
      <c r="F110" s="33" t="s">
        <v>454</v>
      </c>
      <c r="G110" s="5">
        <v>4901881142222</v>
      </c>
      <c r="H110" s="5">
        <v>8</v>
      </c>
      <c r="I110" s="5" t="str">
        <f>C110&amp;H110</f>
        <v>6810548</v>
      </c>
      <c r="J110" s="5"/>
      <c r="K110" s="5"/>
      <c r="L110" s="4">
        <v>750</v>
      </c>
      <c r="M110" s="4">
        <v>582</v>
      </c>
      <c r="N110" s="4">
        <v>375</v>
      </c>
      <c r="O110" s="6">
        <f>IFERROR(1-N110/M110,"-")</f>
        <v>0.35567010309278346</v>
      </c>
      <c r="P110" s="4" t="s">
        <v>462</v>
      </c>
      <c r="Q110" s="4" t="s">
        <v>462</v>
      </c>
      <c r="R110" s="4" t="s">
        <v>462</v>
      </c>
      <c r="S110" s="4">
        <v>170</v>
      </c>
      <c r="T110" s="4">
        <f>IF(W110="",S110,S110*W110)</f>
        <v>850</v>
      </c>
      <c r="U110" s="4">
        <v>85</v>
      </c>
      <c r="V110" s="4">
        <f>IF(W110="",U110,U110*W110)</f>
        <v>425</v>
      </c>
      <c r="W110" s="4">
        <v>5</v>
      </c>
      <c r="X110" s="21">
        <f>ROUND(M110*AL110,0)</f>
        <v>660</v>
      </c>
      <c r="Y110" s="6">
        <f>IFERROR(1-V110/X110,"-")</f>
        <v>0.35606060606060608</v>
      </c>
      <c r="Z110" s="33">
        <v>69</v>
      </c>
      <c r="AA110" s="4">
        <f>AV110</f>
        <v>750</v>
      </c>
      <c r="AB110" s="33">
        <f>IFERROR(AA110*AL110,"-")</f>
        <v>850</v>
      </c>
      <c r="AC110" s="6">
        <f>IFERROR(1-V110/AB110,"-")</f>
        <v>0.5</v>
      </c>
      <c r="AD110" s="7">
        <v>660</v>
      </c>
      <c r="AE110" s="6">
        <f>1-V110/AD110</f>
        <v>0.35606060606060608</v>
      </c>
      <c r="AF110" s="4">
        <f>AD110-V110</f>
        <v>235</v>
      </c>
      <c r="AG110" s="28"/>
      <c r="AH110" s="6"/>
      <c r="AI110" s="6"/>
      <c r="AJ110" s="6">
        <f>IFERROR(T110/L110,"-")</f>
        <v>1.1333333333333333</v>
      </c>
      <c r="AK110" s="6">
        <f>IFERROR(AD110/M110,"-")</f>
        <v>1.134020618556701</v>
      </c>
      <c r="AL110" s="6">
        <f>IFERROR(V110/N110,"-")</f>
        <v>1.1333333333333333</v>
      </c>
      <c r="AM110" s="4" t="str">
        <f t="shared" si="5"/>
        <v>-</v>
      </c>
      <c r="AN110" s="4" t="str">
        <f t="shared" si="6"/>
        <v>-</v>
      </c>
      <c r="AO110" s="4" t="str">
        <f t="shared" si="7"/>
        <v>-</v>
      </c>
      <c r="AP110" s="4">
        <v>0</v>
      </c>
      <c r="AQ110" s="4" t="s">
        <v>802</v>
      </c>
      <c r="AR110" s="4">
        <v>5</v>
      </c>
      <c r="AS110" s="4">
        <v>10</v>
      </c>
      <c r="AT110" s="4" t="s">
        <v>779</v>
      </c>
      <c r="AU110" s="4">
        <v>1500</v>
      </c>
      <c r="AV110" s="4">
        <f>IF(AR110="",AU110,AR110/AS110*AU110)</f>
        <v>750</v>
      </c>
      <c r="AW110" s="19">
        <v>4</v>
      </c>
      <c r="AX110" s="19">
        <v>1</v>
      </c>
      <c r="AY110" s="16">
        <v>5</v>
      </c>
      <c r="AZ110">
        <v>640</v>
      </c>
      <c r="BA110">
        <f t="shared" si="8"/>
        <v>725.33333333333326</v>
      </c>
      <c r="BB110" t="s">
        <v>462</v>
      </c>
      <c r="BC110" t="str">
        <f t="shared" si="9"/>
        <v>-</v>
      </c>
      <c r="BD110" t="s">
        <v>563</v>
      </c>
    </row>
    <row r="111" spans="1:56" x14ac:dyDescent="0.4">
      <c r="A111" s="3">
        <v>76</v>
      </c>
      <c r="B111" s="3">
        <v>76</v>
      </c>
      <c r="C111" s="4">
        <v>681055</v>
      </c>
      <c r="D111" s="4" t="str">
        <f>TEXT(C111,"000000")</f>
        <v>681055</v>
      </c>
      <c r="E111" s="4">
        <v>681055</v>
      </c>
      <c r="F111" s="4" t="s">
        <v>278</v>
      </c>
      <c r="G111" s="5">
        <v>4901881142345</v>
      </c>
      <c r="H111" s="5"/>
      <c r="I111" s="5"/>
      <c r="J111" s="5">
        <v>1</v>
      </c>
      <c r="K111" s="5">
        <v>1</v>
      </c>
      <c r="L111" s="4">
        <v>150</v>
      </c>
      <c r="M111" s="4">
        <v>122</v>
      </c>
      <c r="N111" s="4">
        <v>75</v>
      </c>
      <c r="O111" s="6">
        <f>IFERROR(1-N111/M111,"-")</f>
        <v>0.38524590163934425</v>
      </c>
      <c r="P111" s="4" t="s">
        <v>462</v>
      </c>
      <c r="Q111" s="4" t="s">
        <v>462</v>
      </c>
      <c r="R111" s="4" t="s">
        <v>462</v>
      </c>
      <c r="S111" s="4">
        <v>170</v>
      </c>
      <c r="T111" s="4">
        <f>IF(W111="",S111,S111*W111)</f>
        <v>170</v>
      </c>
      <c r="U111" s="4">
        <v>85</v>
      </c>
      <c r="V111" s="4">
        <f>IF(W111="",U111,U111*W111)</f>
        <v>85</v>
      </c>
      <c r="W111" s="4"/>
      <c r="X111" s="21">
        <f>ROUND(M111*AL111,0)</f>
        <v>138</v>
      </c>
      <c r="Y111" s="6">
        <f>IFERROR(1-V111/X111,"-")</f>
        <v>0.38405797101449279</v>
      </c>
      <c r="Z111" s="33">
        <v>18.25</v>
      </c>
      <c r="AA111" s="4">
        <f>AV111</f>
        <v>150</v>
      </c>
      <c r="AB111" s="33">
        <f>IFERROR(AA111*AL111,"-")</f>
        <v>170</v>
      </c>
      <c r="AC111" s="6">
        <f>IFERROR(1-V111/AB111,"-")</f>
        <v>0.5</v>
      </c>
      <c r="AD111" s="7">
        <v>140</v>
      </c>
      <c r="AE111" s="6">
        <f>1-V111/AD111</f>
        <v>0.3928571428571429</v>
      </c>
      <c r="AF111" s="4">
        <f>AD111-V111</f>
        <v>55</v>
      </c>
      <c r="AG111" s="28"/>
      <c r="AH111" s="6"/>
      <c r="AI111" s="6"/>
      <c r="AJ111" s="6">
        <f>IFERROR(T111/L111,"-")</f>
        <v>1.1333333333333333</v>
      </c>
      <c r="AK111" s="6">
        <f>IFERROR(AD111/M111,"-")</f>
        <v>1.1475409836065573</v>
      </c>
      <c r="AL111" s="6">
        <f>IFERROR(V111/N111,"-")</f>
        <v>1.1333333333333333</v>
      </c>
      <c r="AM111" s="4" t="str">
        <f t="shared" si="5"/>
        <v>-</v>
      </c>
      <c r="AN111" s="4" t="str">
        <f t="shared" si="6"/>
        <v>-</v>
      </c>
      <c r="AO111" s="4" t="str">
        <f t="shared" si="7"/>
        <v>-</v>
      </c>
      <c r="AP111" s="4">
        <v>0</v>
      </c>
      <c r="AQ111" s="4" t="s">
        <v>803</v>
      </c>
      <c r="AR111" s="4">
        <v>1</v>
      </c>
      <c r="AS111" s="4">
        <v>10</v>
      </c>
      <c r="AT111" s="4" t="s">
        <v>779</v>
      </c>
      <c r="AU111" s="4">
        <v>1500</v>
      </c>
      <c r="AV111" s="4">
        <f>IF(AR111="",AU111,AR111/AS111*AU111)</f>
        <v>150</v>
      </c>
      <c r="AW111" s="19">
        <v>4</v>
      </c>
      <c r="AX111" s="19">
        <v>1</v>
      </c>
      <c r="AY111" s="16">
        <v>5</v>
      </c>
      <c r="AZ111">
        <v>640</v>
      </c>
      <c r="BA111">
        <f t="shared" si="8"/>
        <v>725.33333333333326</v>
      </c>
      <c r="BB111" t="s">
        <v>462</v>
      </c>
      <c r="BC111" t="str">
        <f t="shared" si="9"/>
        <v>-</v>
      </c>
      <c r="BD111" t="s">
        <v>564</v>
      </c>
    </row>
    <row r="112" spans="1:56" x14ac:dyDescent="0.4">
      <c r="A112" s="3">
        <v>77</v>
      </c>
      <c r="B112" s="3">
        <v>77</v>
      </c>
      <c r="C112" s="46">
        <v>681056</v>
      </c>
      <c r="D112" s="4" t="str">
        <f>TEXT(C112,"000000")</f>
        <v>681056</v>
      </c>
      <c r="E112" s="4">
        <v>681056</v>
      </c>
      <c r="F112" s="4" t="s">
        <v>279</v>
      </c>
      <c r="G112" s="5">
        <v>4901881142352</v>
      </c>
      <c r="H112" s="5"/>
      <c r="I112" s="5"/>
      <c r="J112" s="5">
        <v>2</v>
      </c>
      <c r="K112" s="5">
        <v>2</v>
      </c>
      <c r="L112" s="4">
        <v>150</v>
      </c>
      <c r="M112" s="4">
        <v>123</v>
      </c>
      <c r="N112" s="4">
        <v>75</v>
      </c>
      <c r="O112" s="6">
        <f>IFERROR(1-N112/M112,"-")</f>
        <v>0.3902439024390244</v>
      </c>
      <c r="P112" s="4" t="s">
        <v>462</v>
      </c>
      <c r="Q112" s="4" t="s">
        <v>462</v>
      </c>
      <c r="R112" s="4" t="s">
        <v>462</v>
      </c>
      <c r="S112" s="4">
        <v>170</v>
      </c>
      <c r="T112" s="4">
        <f>IF(W112="",S112,S112*W112)</f>
        <v>170</v>
      </c>
      <c r="U112" s="4">
        <v>85</v>
      </c>
      <c r="V112" s="4">
        <f>IF(W112="",U112,U112*W112)</f>
        <v>85</v>
      </c>
      <c r="W112" s="4"/>
      <c r="X112" s="21">
        <f>ROUND(M112*AL112,0)</f>
        <v>139</v>
      </c>
      <c r="Y112" s="6">
        <f>IFERROR(1-V112/X112,"-")</f>
        <v>0.38848920863309355</v>
      </c>
      <c r="Z112" s="33">
        <v>57.25</v>
      </c>
      <c r="AA112" s="4">
        <f>AV112</f>
        <v>138</v>
      </c>
      <c r="AB112" s="33">
        <f>IFERROR(AA112*AL112,"-")</f>
        <v>156.4</v>
      </c>
      <c r="AC112" s="6">
        <f>IFERROR(1-V112/AB112,"-")</f>
        <v>0.45652173913043481</v>
      </c>
      <c r="AD112" s="7">
        <v>140</v>
      </c>
      <c r="AE112" s="6">
        <f>1-V112/AD112</f>
        <v>0.3928571428571429</v>
      </c>
      <c r="AF112" s="4">
        <f>AD112-V112</f>
        <v>55</v>
      </c>
      <c r="AG112" s="28"/>
      <c r="AH112" s="6"/>
      <c r="AI112" s="6"/>
      <c r="AJ112" s="6">
        <f>IFERROR(T112/L112,"-")</f>
        <v>1.1333333333333333</v>
      </c>
      <c r="AK112" s="6">
        <f>IFERROR(AD112/M112,"-")</f>
        <v>1.1382113821138211</v>
      </c>
      <c r="AL112" s="6">
        <f>IFERROR(V112/N112,"-")</f>
        <v>1.1333333333333333</v>
      </c>
      <c r="AM112" s="4" t="str">
        <f t="shared" si="5"/>
        <v>-</v>
      </c>
      <c r="AN112" s="4" t="str">
        <f t="shared" si="6"/>
        <v>-</v>
      </c>
      <c r="AO112" s="4" t="str">
        <f t="shared" si="7"/>
        <v>-</v>
      </c>
      <c r="AP112" s="4">
        <v>0</v>
      </c>
      <c r="AQ112" s="4" t="s">
        <v>804</v>
      </c>
      <c r="AR112" s="4"/>
      <c r="AS112" s="4"/>
      <c r="AT112" s="4" t="s">
        <v>693</v>
      </c>
      <c r="AU112" s="4">
        <v>138</v>
      </c>
      <c r="AV112" s="4">
        <f>IF(AR112="",AU112,AR112/AS112*AU112)</f>
        <v>138</v>
      </c>
      <c r="AW112" s="19">
        <v>4</v>
      </c>
      <c r="AX112" s="19">
        <v>1</v>
      </c>
      <c r="AY112" s="16">
        <v>5</v>
      </c>
      <c r="AZ112">
        <v>640</v>
      </c>
      <c r="BA112">
        <f t="shared" si="8"/>
        <v>725.33333333333326</v>
      </c>
      <c r="BB112" t="s">
        <v>462</v>
      </c>
      <c r="BC112" t="str">
        <f t="shared" si="9"/>
        <v>-</v>
      </c>
      <c r="BD112" t="s">
        <v>565</v>
      </c>
    </row>
    <row r="113" spans="1:56" x14ac:dyDescent="0.4">
      <c r="A113" s="3">
        <v>246</v>
      </c>
      <c r="B113" s="3">
        <v>77</v>
      </c>
      <c r="C113" s="46">
        <v>681056</v>
      </c>
      <c r="D113" s="4" t="str">
        <f>TEXT(C113,"000000")</f>
        <v>681056</v>
      </c>
      <c r="E113" s="4" t="s">
        <v>443</v>
      </c>
      <c r="F113" s="33" t="s">
        <v>455</v>
      </c>
      <c r="G113" s="5">
        <v>4901881142352</v>
      </c>
      <c r="H113" s="5">
        <v>8</v>
      </c>
      <c r="I113" s="5" t="str">
        <f>C113&amp;H113</f>
        <v>6810568</v>
      </c>
      <c r="J113" s="5"/>
      <c r="K113" s="5"/>
      <c r="L113" s="4">
        <v>750</v>
      </c>
      <c r="M113" s="4">
        <v>582</v>
      </c>
      <c r="N113" s="4">
        <v>375</v>
      </c>
      <c r="O113" s="6">
        <f>IFERROR(1-N113/M113,"-")</f>
        <v>0.35567010309278346</v>
      </c>
      <c r="P113" s="4" t="s">
        <v>462</v>
      </c>
      <c r="Q113" s="4" t="s">
        <v>462</v>
      </c>
      <c r="R113" s="4" t="s">
        <v>462</v>
      </c>
      <c r="S113" s="4">
        <v>170</v>
      </c>
      <c r="T113" s="4">
        <f>IF(W113="",S113,S113*W113)</f>
        <v>850</v>
      </c>
      <c r="U113" s="4">
        <v>85</v>
      </c>
      <c r="V113" s="4">
        <f>IF(W113="",U113,U113*W113)</f>
        <v>425</v>
      </c>
      <c r="W113" s="4">
        <v>5</v>
      </c>
      <c r="X113" s="21">
        <f>ROUND(M113*AL113,0)</f>
        <v>660</v>
      </c>
      <c r="Y113" s="6">
        <f>IFERROR(1-V113/X113,"-")</f>
        <v>0.35606060606060608</v>
      </c>
      <c r="Z113" s="33">
        <v>57.25</v>
      </c>
      <c r="AA113" s="4">
        <f>AV113</f>
        <v>628</v>
      </c>
      <c r="AB113" s="33">
        <f>IFERROR(AA113*AL113,"-")</f>
        <v>711.73333333333335</v>
      </c>
      <c r="AC113" s="6">
        <f>IFERROR(1-V113/AB113,"-")</f>
        <v>0.40286624203821653</v>
      </c>
      <c r="AD113" s="7">
        <v>660</v>
      </c>
      <c r="AE113" s="6">
        <f>1-V113/AD113</f>
        <v>0.35606060606060608</v>
      </c>
      <c r="AF113" s="4">
        <f>AD113-V113</f>
        <v>235</v>
      </c>
      <c r="AG113" s="28"/>
      <c r="AH113" s="6"/>
      <c r="AI113" s="6"/>
      <c r="AJ113" s="6">
        <f>IFERROR(T113/L113,"-")</f>
        <v>1.1333333333333333</v>
      </c>
      <c r="AK113" s="6">
        <f>IFERROR(AD113/M113,"-")</f>
        <v>1.134020618556701</v>
      </c>
      <c r="AL113" s="6">
        <f>IFERROR(V113/N113,"-")</f>
        <v>1.1333333333333333</v>
      </c>
      <c r="AM113" s="4" t="str">
        <f t="shared" si="5"/>
        <v>-</v>
      </c>
      <c r="AN113" s="4" t="str">
        <f t="shared" si="6"/>
        <v>-</v>
      </c>
      <c r="AO113" s="4" t="str">
        <f t="shared" si="7"/>
        <v>-</v>
      </c>
      <c r="AP113" s="4">
        <v>0</v>
      </c>
      <c r="AQ113" s="4" t="s">
        <v>805</v>
      </c>
      <c r="AR113" s="4">
        <v>5</v>
      </c>
      <c r="AS113" s="4">
        <v>10</v>
      </c>
      <c r="AT113" s="4" t="s">
        <v>800</v>
      </c>
      <c r="AU113" s="4">
        <v>1256</v>
      </c>
      <c r="AV113" s="4">
        <f>IF(AR113="",AU113,AR113/AS113*AU113)</f>
        <v>628</v>
      </c>
      <c r="AW113" s="19">
        <v>4</v>
      </c>
      <c r="AX113" s="19">
        <v>1</v>
      </c>
      <c r="AY113" s="16">
        <v>5</v>
      </c>
      <c r="AZ113">
        <v>640</v>
      </c>
      <c r="BA113">
        <f t="shared" si="8"/>
        <v>725.33333333333326</v>
      </c>
      <c r="BB113" t="s">
        <v>462</v>
      </c>
      <c r="BC113" t="str">
        <f t="shared" si="9"/>
        <v>-</v>
      </c>
      <c r="BD113" t="s">
        <v>566</v>
      </c>
    </row>
    <row r="114" spans="1:56" x14ac:dyDescent="0.4">
      <c r="A114" s="3">
        <v>193</v>
      </c>
      <c r="B114" s="3">
        <v>193</v>
      </c>
      <c r="C114" s="4" t="s">
        <v>161</v>
      </c>
      <c r="D114" s="4" t="str">
        <f>TEXT(C114,"000000")</f>
        <v>J92368</v>
      </c>
      <c r="E114" s="4" t="s">
        <v>161</v>
      </c>
      <c r="F114" s="4" t="s">
        <v>395</v>
      </c>
      <c r="G114" s="5">
        <v>4901881143205</v>
      </c>
      <c r="H114" s="5"/>
      <c r="I114" s="5"/>
      <c r="J114" s="5">
        <v>1</v>
      </c>
      <c r="K114" s="5">
        <v>1</v>
      </c>
      <c r="L114" s="4">
        <v>150</v>
      </c>
      <c r="M114" s="4">
        <v>97</v>
      </c>
      <c r="N114" s="4">
        <v>75</v>
      </c>
      <c r="O114" s="6">
        <f>IFERROR(1-N114/M114,"-")</f>
        <v>0.22680412371134018</v>
      </c>
      <c r="P114" s="4" t="s">
        <v>462</v>
      </c>
      <c r="Q114" s="4" t="s">
        <v>462</v>
      </c>
      <c r="R114" s="4" t="s">
        <v>462</v>
      </c>
      <c r="S114" s="4">
        <v>170</v>
      </c>
      <c r="T114" s="4">
        <f>IF(W114="",S114,S114*W114)</f>
        <v>170</v>
      </c>
      <c r="U114" s="4">
        <v>85</v>
      </c>
      <c r="V114" s="4">
        <f>IF(W114="",U114,U114*W114)</f>
        <v>85</v>
      </c>
      <c r="W114" s="4"/>
      <c r="X114" s="21">
        <f>ROUND(M114*AL114,0)</f>
        <v>110</v>
      </c>
      <c r="Y114" s="6">
        <f>IFERROR(1-V114/X114,"-")</f>
        <v>0.22727272727272729</v>
      </c>
      <c r="Z114" s="33">
        <v>1.25</v>
      </c>
      <c r="AA114" s="4">
        <f>AV114</f>
        <v>150</v>
      </c>
      <c r="AB114" s="33">
        <f>IFERROR(AA114*AL114,"-")</f>
        <v>170</v>
      </c>
      <c r="AC114" s="6">
        <f>IFERROR(1-V114/AB114,"-")</f>
        <v>0.5</v>
      </c>
      <c r="AD114" s="7">
        <v>140</v>
      </c>
      <c r="AE114" s="6">
        <f>1-V114/AD114</f>
        <v>0.3928571428571429</v>
      </c>
      <c r="AF114" s="4">
        <f>AD114-V114</f>
        <v>55</v>
      </c>
      <c r="AG114" s="28"/>
      <c r="AH114" s="6"/>
      <c r="AI114" s="6"/>
      <c r="AJ114" s="6">
        <f>IFERROR(T114/L114,"-")</f>
        <v>1.1333333333333333</v>
      </c>
      <c r="AK114" s="6">
        <f>IFERROR(AD114/M114,"-")</f>
        <v>1.4432989690721649</v>
      </c>
      <c r="AL114" s="6">
        <f>IFERROR(V114/N114,"-")</f>
        <v>1.1333333333333333</v>
      </c>
      <c r="AM114" s="4" t="str">
        <f t="shared" si="5"/>
        <v>-</v>
      </c>
      <c r="AN114" s="4" t="str">
        <f t="shared" si="6"/>
        <v>-</v>
      </c>
      <c r="AO114" s="4" t="str">
        <f t="shared" si="7"/>
        <v>-</v>
      </c>
      <c r="AP114" s="4">
        <v>0</v>
      </c>
      <c r="AQ114" s="4" t="s">
        <v>806</v>
      </c>
      <c r="AR114" s="4">
        <v>1</v>
      </c>
      <c r="AS114" s="4">
        <v>10</v>
      </c>
      <c r="AT114" s="4" t="s">
        <v>702</v>
      </c>
      <c r="AU114" s="4">
        <v>1500</v>
      </c>
      <c r="AV114" s="4">
        <f>IF(AR114="",AU114,AR114/AS114*AU114)</f>
        <v>150</v>
      </c>
      <c r="AW114" s="19">
        <v>4</v>
      </c>
      <c r="AX114" s="19">
        <v>8</v>
      </c>
      <c r="AY114" s="16">
        <v>5</v>
      </c>
      <c r="AZ114" t="s">
        <v>462</v>
      </c>
      <c r="BA114" t="str">
        <f t="shared" si="8"/>
        <v>-</v>
      </c>
      <c r="BB114" t="s">
        <v>462</v>
      </c>
      <c r="BC114" t="str">
        <f t="shared" si="9"/>
        <v>-</v>
      </c>
      <c r="BD114" t="s">
        <v>567</v>
      </c>
    </row>
    <row r="115" spans="1:56" x14ac:dyDescent="0.4">
      <c r="A115" s="3">
        <v>194</v>
      </c>
      <c r="B115" s="3">
        <v>194</v>
      </c>
      <c r="C115" s="4" t="s">
        <v>162</v>
      </c>
      <c r="D115" s="4" t="str">
        <f>TEXT(C115,"000000")</f>
        <v>J92369</v>
      </c>
      <c r="E115" s="4" t="s">
        <v>162</v>
      </c>
      <c r="F115" s="4" t="s">
        <v>396</v>
      </c>
      <c r="G115" s="5">
        <v>4901881143212</v>
      </c>
      <c r="H115" s="5"/>
      <c r="I115" s="5"/>
      <c r="J115" s="5">
        <v>1</v>
      </c>
      <c r="K115" s="5">
        <v>1</v>
      </c>
      <c r="L115" s="4">
        <v>150</v>
      </c>
      <c r="M115" s="4">
        <v>123</v>
      </c>
      <c r="N115" s="4">
        <v>75</v>
      </c>
      <c r="O115" s="6">
        <f>IFERROR(1-N115/M115,"-")</f>
        <v>0.3902439024390244</v>
      </c>
      <c r="P115" s="4" t="s">
        <v>462</v>
      </c>
      <c r="Q115" s="4" t="s">
        <v>462</v>
      </c>
      <c r="R115" s="4" t="s">
        <v>462</v>
      </c>
      <c r="S115" s="4">
        <v>170</v>
      </c>
      <c r="T115" s="4">
        <f>IF(W115="",S115,S115*W115)</f>
        <v>170</v>
      </c>
      <c r="U115" s="4">
        <v>85</v>
      </c>
      <c r="V115" s="4">
        <f>IF(W115="",U115,U115*W115)</f>
        <v>85</v>
      </c>
      <c r="W115" s="4"/>
      <c r="X115" s="21">
        <f>ROUND(M115*AL115,0)</f>
        <v>139</v>
      </c>
      <c r="Y115" s="6">
        <f>IFERROR(1-V115/X115,"-")</f>
        <v>0.38848920863309355</v>
      </c>
      <c r="Z115" s="33">
        <v>2.75</v>
      </c>
      <c r="AA115" s="4">
        <f>AV115</f>
        <v>150</v>
      </c>
      <c r="AB115" s="33">
        <f>IFERROR(AA115*AL115,"-")</f>
        <v>170</v>
      </c>
      <c r="AC115" s="6">
        <f>IFERROR(1-V115/AB115,"-")</f>
        <v>0.5</v>
      </c>
      <c r="AD115" s="7">
        <v>140</v>
      </c>
      <c r="AE115" s="6">
        <f>1-V115/AD115</f>
        <v>0.3928571428571429</v>
      </c>
      <c r="AF115" s="4">
        <f>AD115-V115</f>
        <v>55</v>
      </c>
      <c r="AG115" s="28"/>
      <c r="AH115" s="6"/>
      <c r="AI115" s="6"/>
      <c r="AJ115" s="6">
        <f>IFERROR(T115/L115,"-")</f>
        <v>1.1333333333333333</v>
      </c>
      <c r="AK115" s="6">
        <f>IFERROR(AD115/M115,"-")</f>
        <v>1.1382113821138211</v>
      </c>
      <c r="AL115" s="6">
        <f>IFERROR(V115/N115,"-")</f>
        <v>1.1333333333333333</v>
      </c>
      <c r="AM115" s="4" t="str">
        <f t="shared" si="5"/>
        <v>-</v>
      </c>
      <c r="AN115" s="4" t="str">
        <f t="shared" si="6"/>
        <v>-</v>
      </c>
      <c r="AO115" s="4" t="str">
        <f t="shared" si="7"/>
        <v>-</v>
      </c>
      <c r="AP115" s="4">
        <v>0</v>
      </c>
      <c r="AQ115" s="4" t="s">
        <v>807</v>
      </c>
      <c r="AR115" s="4">
        <v>1</v>
      </c>
      <c r="AS115" s="4">
        <v>10</v>
      </c>
      <c r="AT115" s="4" t="s">
        <v>702</v>
      </c>
      <c r="AU115" s="4">
        <v>1500</v>
      </c>
      <c r="AV115" s="4">
        <f>IF(AR115="",AU115,AR115/AS115*AU115)</f>
        <v>150</v>
      </c>
      <c r="AW115" s="19">
        <v>4</v>
      </c>
      <c r="AX115" s="19">
        <v>8</v>
      </c>
      <c r="AY115" s="16">
        <v>5</v>
      </c>
      <c r="AZ115" t="s">
        <v>462</v>
      </c>
      <c r="BA115" t="str">
        <f t="shared" si="8"/>
        <v>-</v>
      </c>
      <c r="BB115" t="s">
        <v>462</v>
      </c>
      <c r="BC115" t="str">
        <f t="shared" si="9"/>
        <v>-</v>
      </c>
      <c r="BD115" t="s">
        <v>568</v>
      </c>
    </row>
    <row r="116" spans="1:56" x14ac:dyDescent="0.4">
      <c r="A116" s="3">
        <v>195</v>
      </c>
      <c r="B116" s="3">
        <v>195</v>
      </c>
      <c r="C116" s="4" t="s">
        <v>163</v>
      </c>
      <c r="D116" s="4" t="str">
        <f>TEXT(C116,"000000")</f>
        <v>J92370</v>
      </c>
      <c r="E116" s="4" t="s">
        <v>163</v>
      </c>
      <c r="F116" s="4" t="s">
        <v>397</v>
      </c>
      <c r="G116" s="5">
        <v>4901881143229</v>
      </c>
      <c r="H116" s="5"/>
      <c r="I116" s="5"/>
      <c r="J116" s="5">
        <v>1</v>
      </c>
      <c r="K116" s="5">
        <v>1</v>
      </c>
      <c r="L116" s="4">
        <v>150</v>
      </c>
      <c r="M116" s="4">
        <v>95</v>
      </c>
      <c r="N116" s="4">
        <v>75</v>
      </c>
      <c r="O116" s="6">
        <f>IFERROR(1-N116/M116,"-")</f>
        <v>0.21052631578947367</v>
      </c>
      <c r="P116" s="4" t="s">
        <v>462</v>
      </c>
      <c r="Q116" s="4" t="s">
        <v>462</v>
      </c>
      <c r="R116" s="4" t="s">
        <v>462</v>
      </c>
      <c r="S116" s="4">
        <v>170</v>
      </c>
      <c r="T116" s="4">
        <f>IF(W116="",S116,S116*W116)</f>
        <v>170</v>
      </c>
      <c r="U116" s="4">
        <v>85</v>
      </c>
      <c r="V116" s="4">
        <f>IF(W116="",U116,U116*W116)</f>
        <v>85</v>
      </c>
      <c r="W116" s="4"/>
      <c r="X116" s="21">
        <f>ROUND(M116*AL116,0)</f>
        <v>108</v>
      </c>
      <c r="Y116" s="6">
        <f>IFERROR(1-V116/X116,"-")</f>
        <v>0.21296296296296291</v>
      </c>
      <c r="Z116" s="33">
        <v>1.7500000000000002</v>
      </c>
      <c r="AA116" s="4">
        <f>AV116</f>
        <v>135</v>
      </c>
      <c r="AB116" s="33">
        <f>IFERROR(AA116*AL116,"-")</f>
        <v>153</v>
      </c>
      <c r="AC116" s="6">
        <f>IFERROR(1-V116/AB116,"-")</f>
        <v>0.44444444444444442</v>
      </c>
      <c r="AD116" s="7">
        <v>140</v>
      </c>
      <c r="AE116" s="6">
        <f>1-V116/AD116</f>
        <v>0.3928571428571429</v>
      </c>
      <c r="AF116" s="4">
        <f>AD116-V116</f>
        <v>55</v>
      </c>
      <c r="AG116" s="28"/>
      <c r="AH116" s="6"/>
      <c r="AI116" s="6"/>
      <c r="AJ116" s="6">
        <f>IFERROR(T116/L116,"-")</f>
        <v>1.1333333333333333</v>
      </c>
      <c r="AK116" s="6">
        <f>IFERROR(AD116/M116,"-")</f>
        <v>1.4736842105263157</v>
      </c>
      <c r="AL116" s="6">
        <f>IFERROR(V116/N116,"-")</f>
        <v>1.1333333333333333</v>
      </c>
      <c r="AM116" s="4" t="str">
        <f t="shared" si="5"/>
        <v>-</v>
      </c>
      <c r="AN116" s="4" t="str">
        <f t="shared" si="6"/>
        <v>-</v>
      </c>
      <c r="AO116" s="4" t="str">
        <f t="shared" si="7"/>
        <v>-</v>
      </c>
      <c r="AP116" s="4">
        <v>0</v>
      </c>
      <c r="AQ116" s="4" t="s">
        <v>808</v>
      </c>
      <c r="AR116" s="4"/>
      <c r="AS116" s="4"/>
      <c r="AT116" s="4" t="s">
        <v>693</v>
      </c>
      <c r="AU116" s="4">
        <v>135</v>
      </c>
      <c r="AV116" s="4">
        <f>IF(AR116="",AU116,AR116/AS116*AU116)</f>
        <v>135</v>
      </c>
      <c r="AW116" s="19">
        <v>4</v>
      </c>
      <c r="AX116" s="19">
        <v>8</v>
      </c>
      <c r="AY116" s="16">
        <v>5</v>
      </c>
      <c r="AZ116" t="s">
        <v>462</v>
      </c>
      <c r="BA116" t="str">
        <f t="shared" si="8"/>
        <v>-</v>
      </c>
      <c r="BB116" t="s">
        <v>462</v>
      </c>
      <c r="BC116" t="str">
        <f t="shared" si="9"/>
        <v>-</v>
      </c>
      <c r="BD116" t="s">
        <v>569</v>
      </c>
    </row>
    <row r="117" spans="1:56" x14ac:dyDescent="0.4">
      <c r="A117" s="3">
        <v>196</v>
      </c>
      <c r="B117" s="3">
        <v>196</v>
      </c>
      <c r="C117" s="4" t="s">
        <v>164</v>
      </c>
      <c r="D117" s="4" t="str">
        <f>TEXT(C117,"000000")</f>
        <v>J92371</v>
      </c>
      <c r="E117" s="4" t="s">
        <v>164</v>
      </c>
      <c r="F117" s="4" t="s">
        <v>398</v>
      </c>
      <c r="G117" s="5">
        <v>4901881143236</v>
      </c>
      <c r="H117" s="5"/>
      <c r="I117" s="5"/>
      <c r="J117" s="5">
        <v>1</v>
      </c>
      <c r="K117" s="5">
        <v>1</v>
      </c>
      <c r="L117" s="4">
        <v>150</v>
      </c>
      <c r="M117" s="4">
        <v>95</v>
      </c>
      <c r="N117" s="4">
        <v>75</v>
      </c>
      <c r="O117" s="6">
        <f>IFERROR(1-N117/M117,"-")</f>
        <v>0.21052631578947367</v>
      </c>
      <c r="P117" s="4" t="s">
        <v>462</v>
      </c>
      <c r="Q117" s="4" t="s">
        <v>462</v>
      </c>
      <c r="R117" s="4" t="s">
        <v>462</v>
      </c>
      <c r="S117" s="4">
        <v>170</v>
      </c>
      <c r="T117" s="4">
        <f>IF(W117="",S117,S117*W117)</f>
        <v>170</v>
      </c>
      <c r="U117" s="4">
        <v>85</v>
      </c>
      <c r="V117" s="4">
        <f>IF(W117="",U117,U117*W117)</f>
        <v>85</v>
      </c>
      <c r="W117" s="4"/>
      <c r="X117" s="21">
        <f>ROUND(M117*AL117,0)</f>
        <v>108</v>
      </c>
      <c r="Y117" s="6">
        <f>IFERROR(1-V117/X117,"-")</f>
        <v>0.21296296296296291</v>
      </c>
      <c r="Z117" s="33">
        <v>1.5</v>
      </c>
      <c r="AA117" s="4">
        <f>AV117</f>
        <v>150</v>
      </c>
      <c r="AB117" s="33">
        <f>IFERROR(AA117*AL117,"-")</f>
        <v>170</v>
      </c>
      <c r="AC117" s="6">
        <f>IFERROR(1-V117/AB117,"-")</f>
        <v>0.5</v>
      </c>
      <c r="AD117" s="7">
        <v>140</v>
      </c>
      <c r="AE117" s="6">
        <f>1-V117/AD117</f>
        <v>0.3928571428571429</v>
      </c>
      <c r="AF117" s="4">
        <f>AD117-V117</f>
        <v>55</v>
      </c>
      <c r="AG117" s="28"/>
      <c r="AH117" s="6"/>
      <c r="AI117" s="6"/>
      <c r="AJ117" s="6">
        <f>IFERROR(T117/L117,"-")</f>
        <v>1.1333333333333333</v>
      </c>
      <c r="AK117" s="6">
        <f>IFERROR(AD117/M117,"-")</f>
        <v>1.4736842105263157</v>
      </c>
      <c r="AL117" s="6">
        <f>IFERROR(V117/N117,"-")</f>
        <v>1.1333333333333333</v>
      </c>
      <c r="AM117" s="4" t="str">
        <f t="shared" si="5"/>
        <v>-</v>
      </c>
      <c r="AN117" s="4" t="str">
        <f t="shared" si="6"/>
        <v>-</v>
      </c>
      <c r="AO117" s="4" t="str">
        <f t="shared" si="7"/>
        <v>-</v>
      </c>
      <c r="AP117" s="4">
        <v>0</v>
      </c>
      <c r="AQ117" s="4" t="s">
        <v>809</v>
      </c>
      <c r="AR117" s="4">
        <v>1</v>
      </c>
      <c r="AS117" s="4">
        <v>10</v>
      </c>
      <c r="AT117" s="4" t="s">
        <v>702</v>
      </c>
      <c r="AU117" s="4">
        <v>1500</v>
      </c>
      <c r="AV117" s="4">
        <f>IF(AR117="",AU117,AR117/AS117*AU117)</f>
        <v>150</v>
      </c>
      <c r="AW117" s="19">
        <v>4</v>
      </c>
      <c r="AX117" s="19">
        <v>8</v>
      </c>
      <c r="AY117" s="16">
        <v>5</v>
      </c>
      <c r="AZ117" t="s">
        <v>462</v>
      </c>
      <c r="BA117" t="str">
        <f t="shared" si="8"/>
        <v>-</v>
      </c>
      <c r="BB117" t="s">
        <v>462</v>
      </c>
      <c r="BC117" t="str">
        <f t="shared" si="9"/>
        <v>-</v>
      </c>
      <c r="BD117" t="s">
        <v>570</v>
      </c>
    </row>
    <row r="118" spans="1:56" x14ac:dyDescent="0.4">
      <c r="A118" s="3">
        <v>197</v>
      </c>
      <c r="B118" s="3">
        <v>197</v>
      </c>
      <c r="C118" s="4" t="s">
        <v>165</v>
      </c>
      <c r="D118" s="4" t="str">
        <f>TEXT(C118,"000000")</f>
        <v>J92372</v>
      </c>
      <c r="E118" s="4" t="s">
        <v>165</v>
      </c>
      <c r="F118" s="4" t="s">
        <v>399</v>
      </c>
      <c r="G118" s="5">
        <v>4901881143243</v>
      </c>
      <c r="H118" s="5"/>
      <c r="I118" s="5"/>
      <c r="J118" s="5">
        <v>1</v>
      </c>
      <c r="K118" s="5">
        <v>1</v>
      </c>
      <c r="L118" s="4">
        <v>150</v>
      </c>
      <c r="M118" s="4">
        <v>107</v>
      </c>
      <c r="N118" s="4">
        <v>75</v>
      </c>
      <c r="O118" s="6">
        <f>IFERROR(1-N118/M118,"-")</f>
        <v>0.2990654205607477</v>
      </c>
      <c r="P118" s="4" t="s">
        <v>462</v>
      </c>
      <c r="Q118" s="4" t="s">
        <v>462</v>
      </c>
      <c r="R118" s="4" t="s">
        <v>462</v>
      </c>
      <c r="S118" s="4">
        <v>170</v>
      </c>
      <c r="T118" s="4">
        <f>IF(W118="",S118,S118*W118)</f>
        <v>170</v>
      </c>
      <c r="U118" s="4">
        <v>85</v>
      </c>
      <c r="V118" s="4">
        <f>IF(W118="",U118,U118*W118)</f>
        <v>85</v>
      </c>
      <c r="W118" s="4"/>
      <c r="X118" s="21">
        <f>ROUND(M118*AL118,0)</f>
        <v>121</v>
      </c>
      <c r="Y118" s="6">
        <f>IFERROR(1-V118/X118,"-")</f>
        <v>0.2975206611570248</v>
      </c>
      <c r="Z118" s="33">
        <v>0.25</v>
      </c>
      <c r="AA118" s="4">
        <f>AV118</f>
        <v>150</v>
      </c>
      <c r="AB118" s="33">
        <f>IFERROR(AA118*AL118,"-")</f>
        <v>170</v>
      </c>
      <c r="AC118" s="6">
        <f>IFERROR(1-V118/AB118,"-")</f>
        <v>0.5</v>
      </c>
      <c r="AD118" s="7">
        <v>140</v>
      </c>
      <c r="AE118" s="6">
        <f>1-V118/AD118</f>
        <v>0.3928571428571429</v>
      </c>
      <c r="AF118" s="4">
        <f>AD118-V118</f>
        <v>55</v>
      </c>
      <c r="AG118" s="28"/>
      <c r="AH118" s="6"/>
      <c r="AI118" s="6"/>
      <c r="AJ118" s="6">
        <f>IFERROR(T118/L118,"-")</f>
        <v>1.1333333333333333</v>
      </c>
      <c r="AK118" s="6">
        <f>IFERROR(AD118/M118,"-")</f>
        <v>1.308411214953271</v>
      </c>
      <c r="AL118" s="6">
        <f>IFERROR(V118/N118,"-")</f>
        <v>1.1333333333333333</v>
      </c>
      <c r="AM118" s="4" t="str">
        <f t="shared" si="5"/>
        <v>-</v>
      </c>
      <c r="AN118" s="4" t="str">
        <f t="shared" si="6"/>
        <v>-</v>
      </c>
      <c r="AO118" s="4" t="str">
        <f t="shared" si="7"/>
        <v>-</v>
      </c>
      <c r="AP118" s="4">
        <v>0</v>
      </c>
      <c r="AQ118" s="4" t="s">
        <v>810</v>
      </c>
      <c r="AR118" s="4">
        <v>1</v>
      </c>
      <c r="AS118" s="4">
        <v>10</v>
      </c>
      <c r="AT118" s="4" t="s">
        <v>702</v>
      </c>
      <c r="AU118" s="4">
        <v>1500</v>
      </c>
      <c r="AV118" s="4">
        <f>IF(AR118="",AU118,AR118/AS118*AU118)</f>
        <v>150</v>
      </c>
      <c r="AW118" s="19">
        <v>4</v>
      </c>
      <c r="AX118" s="19">
        <v>8</v>
      </c>
      <c r="AY118" s="16">
        <v>5</v>
      </c>
      <c r="AZ118" t="s">
        <v>462</v>
      </c>
      <c r="BA118" t="str">
        <f t="shared" si="8"/>
        <v>-</v>
      </c>
      <c r="BB118" t="s">
        <v>462</v>
      </c>
      <c r="BC118" t="str">
        <f t="shared" si="9"/>
        <v>-</v>
      </c>
      <c r="BD118" t="s">
        <v>571</v>
      </c>
    </row>
    <row r="119" spans="1:56" x14ac:dyDescent="0.4">
      <c r="A119" s="3">
        <v>198</v>
      </c>
      <c r="B119" s="3">
        <v>198</v>
      </c>
      <c r="C119" s="4" t="s">
        <v>166</v>
      </c>
      <c r="D119" s="4" t="str">
        <f>TEXT(C119,"000000")</f>
        <v>J92373</v>
      </c>
      <c r="E119" s="4" t="s">
        <v>166</v>
      </c>
      <c r="F119" s="4" t="s">
        <v>400</v>
      </c>
      <c r="G119" s="5">
        <v>4901881143250</v>
      </c>
      <c r="H119" s="5"/>
      <c r="I119" s="5"/>
      <c r="J119" s="5">
        <v>1</v>
      </c>
      <c r="K119" s="5">
        <v>1</v>
      </c>
      <c r="L119" s="4">
        <v>150</v>
      </c>
      <c r="M119" s="4">
        <v>107</v>
      </c>
      <c r="N119" s="4">
        <v>75</v>
      </c>
      <c r="O119" s="6">
        <f>IFERROR(1-N119/M119,"-")</f>
        <v>0.2990654205607477</v>
      </c>
      <c r="P119" s="4" t="s">
        <v>462</v>
      </c>
      <c r="Q119" s="4" t="s">
        <v>462</v>
      </c>
      <c r="R119" s="4" t="s">
        <v>462</v>
      </c>
      <c r="S119" s="4">
        <v>170</v>
      </c>
      <c r="T119" s="4">
        <f>IF(W119="",S119,S119*W119)</f>
        <v>170</v>
      </c>
      <c r="U119" s="4">
        <v>85</v>
      </c>
      <c r="V119" s="4">
        <f>IF(W119="",U119,U119*W119)</f>
        <v>85</v>
      </c>
      <c r="W119" s="4"/>
      <c r="X119" s="21">
        <f>ROUND(M119*AL119,0)</f>
        <v>121</v>
      </c>
      <c r="Y119" s="6">
        <f>IFERROR(1-V119/X119,"-")</f>
        <v>0.2975206611570248</v>
      </c>
      <c r="Z119" s="33">
        <v>0.5</v>
      </c>
      <c r="AA119" s="4">
        <f>AV119</f>
        <v>150</v>
      </c>
      <c r="AB119" s="33">
        <f>IFERROR(AA119*AL119,"-")</f>
        <v>170</v>
      </c>
      <c r="AC119" s="6">
        <f>IFERROR(1-V119/AB119,"-")</f>
        <v>0.5</v>
      </c>
      <c r="AD119" s="7">
        <v>140</v>
      </c>
      <c r="AE119" s="6">
        <f>1-V119/AD119</f>
        <v>0.3928571428571429</v>
      </c>
      <c r="AF119" s="4">
        <f>AD119-V119</f>
        <v>55</v>
      </c>
      <c r="AG119" s="28"/>
      <c r="AH119" s="6"/>
      <c r="AI119" s="6"/>
      <c r="AJ119" s="6">
        <f>IFERROR(T119/L119,"-")</f>
        <v>1.1333333333333333</v>
      </c>
      <c r="AK119" s="6">
        <f>IFERROR(AD119/M119,"-")</f>
        <v>1.308411214953271</v>
      </c>
      <c r="AL119" s="6">
        <f>IFERROR(V119/N119,"-")</f>
        <v>1.1333333333333333</v>
      </c>
      <c r="AM119" s="4" t="str">
        <f t="shared" si="5"/>
        <v>-</v>
      </c>
      <c r="AN119" s="4" t="str">
        <f t="shared" si="6"/>
        <v>-</v>
      </c>
      <c r="AO119" s="4" t="str">
        <f t="shared" si="7"/>
        <v>-</v>
      </c>
      <c r="AP119" s="4">
        <v>0</v>
      </c>
      <c r="AQ119" s="4" t="s">
        <v>811</v>
      </c>
      <c r="AR119" s="4">
        <v>1</v>
      </c>
      <c r="AS119" s="4">
        <v>10</v>
      </c>
      <c r="AT119" s="4" t="s">
        <v>702</v>
      </c>
      <c r="AU119" s="4">
        <v>1500</v>
      </c>
      <c r="AV119" s="4">
        <f>IF(AR119="",AU119,AR119/AS119*AU119)</f>
        <v>150</v>
      </c>
      <c r="AW119" s="19">
        <v>4</v>
      </c>
      <c r="AX119" s="19">
        <v>8</v>
      </c>
      <c r="AY119" s="16">
        <v>5</v>
      </c>
      <c r="AZ119" t="s">
        <v>462</v>
      </c>
      <c r="BA119" t="str">
        <f t="shared" si="8"/>
        <v>-</v>
      </c>
      <c r="BB119" t="s">
        <v>462</v>
      </c>
      <c r="BC119" t="str">
        <f t="shared" si="9"/>
        <v>-</v>
      </c>
      <c r="BD119" t="s">
        <v>572</v>
      </c>
    </row>
    <row r="120" spans="1:56" x14ac:dyDescent="0.4">
      <c r="A120" s="3">
        <v>199</v>
      </c>
      <c r="B120" s="3">
        <v>199</v>
      </c>
      <c r="C120" s="4" t="s">
        <v>167</v>
      </c>
      <c r="D120" s="4" t="str">
        <f>TEXT(C120,"000000")</f>
        <v>J92374</v>
      </c>
      <c r="E120" s="4" t="s">
        <v>167</v>
      </c>
      <c r="F120" s="4" t="s">
        <v>401</v>
      </c>
      <c r="G120" s="5">
        <v>4901881143267</v>
      </c>
      <c r="H120" s="5"/>
      <c r="I120" s="5"/>
      <c r="J120" s="5">
        <v>1</v>
      </c>
      <c r="K120" s="5">
        <v>1</v>
      </c>
      <c r="L120" s="4">
        <v>150</v>
      </c>
      <c r="M120" s="4">
        <v>95</v>
      </c>
      <c r="N120" s="4">
        <v>75</v>
      </c>
      <c r="O120" s="6">
        <f>IFERROR(1-N120/M120,"-")</f>
        <v>0.21052631578947367</v>
      </c>
      <c r="P120" s="4" t="s">
        <v>462</v>
      </c>
      <c r="Q120" s="4" t="s">
        <v>462</v>
      </c>
      <c r="R120" s="4" t="s">
        <v>462</v>
      </c>
      <c r="S120" s="4">
        <v>170</v>
      </c>
      <c r="T120" s="4">
        <f>IF(W120="",S120,S120*W120)</f>
        <v>170</v>
      </c>
      <c r="U120" s="4">
        <v>85</v>
      </c>
      <c r="V120" s="4">
        <f>IF(W120="",U120,U120*W120)</f>
        <v>85</v>
      </c>
      <c r="W120" s="4"/>
      <c r="X120" s="21">
        <f>ROUND(M120*AL120,0)</f>
        <v>108</v>
      </c>
      <c r="Y120" s="6">
        <f>IFERROR(1-V120/X120,"-")</f>
        <v>0.21296296296296291</v>
      </c>
      <c r="Z120" s="33">
        <v>0.25</v>
      </c>
      <c r="AA120" s="4">
        <f>AV120</f>
        <v>280</v>
      </c>
      <c r="AB120" s="33">
        <f>IFERROR(AA120*AL120,"-")</f>
        <v>317.33333333333331</v>
      </c>
      <c r="AC120" s="6">
        <f>IFERROR(1-V120/AB120,"-")</f>
        <v>0.73214285714285721</v>
      </c>
      <c r="AD120" s="7">
        <v>140</v>
      </c>
      <c r="AE120" s="6">
        <f>1-V120/AD120</f>
        <v>0.3928571428571429</v>
      </c>
      <c r="AF120" s="4">
        <f>AD120-V120</f>
        <v>55</v>
      </c>
      <c r="AG120" s="28"/>
      <c r="AH120" s="6"/>
      <c r="AI120" s="6"/>
      <c r="AJ120" s="6">
        <f>IFERROR(T120/L120,"-")</f>
        <v>1.1333333333333333</v>
      </c>
      <c r="AK120" s="6">
        <f>IFERROR(AD120/M120,"-")</f>
        <v>1.4736842105263157</v>
      </c>
      <c r="AL120" s="6">
        <f>IFERROR(V120/N120,"-")</f>
        <v>1.1333333333333333</v>
      </c>
      <c r="AM120" s="4" t="str">
        <f t="shared" si="5"/>
        <v>-</v>
      </c>
      <c r="AN120" s="4" t="str">
        <f t="shared" si="6"/>
        <v>-</v>
      </c>
      <c r="AO120" s="4" t="str">
        <f t="shared" si="7"/>
        <v>-</v>
      </c>
      <c r="AP120" s="4">
        <v>0</v>
      </c>
      <c r="AQ120" s="4" t="s">
        <v>812</v>
      </c>
      <c r="AR120" s="4">
        <v>1</v>
      </c>
      <c r="AS120" s="4">
        <v>10</v>
      </c>
      <c r="AT120" s="4" t="s">
        <v>702</v>
      </c>
      <c r="AU120" s="4">
        <v>2800</v>
      </c>
      <c r="AV120" s="4">
        <f>IF(AR120="",AU120,AR120/AS120*AU120)</f>
        <v>280</v>
      </c>
      <c r="AW120" s="19">
        <v>4</v>
      </c>
      <c r="AX120" s="19">
        <v>1</v>
      </c>
      <c r="AY120" s="16">
        <v>5</v>
      </c>
      <c r="AZ120" t="s">
        <v>462</v>
      </c>
      <c r="BA120" t="str">
        <f t="shared" si="8"/>
        <v>-</v>
      </c>
      <c r="BB120" t="s">
        <v>462</v>
      </c>
      <c r="BC120" t="str">
        <f t="shared" si="9"/>
        <v>-</v>
      </c>
      <c r="BD120" t="s">
        <v>573</v>
      </c>
    </row>
    <row r="121" spans="1:56" x14ac:dyDescent="0.4">
      <c r="A121" s="3">
        <v>200</v>
      </c>
      <c r="B121" s="3">
        <v>200</v>
      </c>
      <c r="C121" s="4" t="s">
        <v>168</v>
      </c>
      <c r="D121" s="4" t="str">
        <f>TEXT(C121,"000000")</f>
        <v>J92375</v>
      </c>
      <c r="E121" s="4" t="s">
        <v>168</v>
      </c>
      <c r="F121" s="4" t="s">
        <v>402</v>
      </c>
      <c r="G121" s="5">
        <v>4901881143274</v>
      </c>
      <c r="H121" s="5"/>
      <c r="I121" s="5"/>
      <c r="J121" s="5">
        <v>1</v>
      </c>
      <c r="K121" s="5">
        <v>1</v>
      </c>
      <c r="L121" s="4">
        <v>150</v>
      </c>
      <c r="M121" s="4">
        <v>114</v>
      </c>
      <c r="N121" s="4">
        <v>75</v>
      </c>
      <c r="O121" s="6">
        <f>IFERROR(1-N121/M121,"-")</f>
        <v>0.34210526315789469</v>
      </c>
      <c r="P121" s="4" t="s">
        <v>462</v>
      </c>
      <c r="Q121" s="4" t="s">
        <v>462</v>
      </c>
      <c r="R121" s="4" t="s">
        <v>462</v>
      </c>
      <c r="S121" s="4">
        <v>170</v>
      </c>
      <c r="T121" s="4">
        <f>IF(W121="",S121,S121*W121)</f>
        <v>170</v>
      </c>
      <c r="U121" s="4">
        <v>85</v>
      </c>
      <c r="V121" s="4">
        <f>IF(W121="",U121,U121*W121)</f>
        <v>85</v>
      </c>
      <c r="W121" s="4"/>
      <c r="X121" s="21">
        <f>ROUND(M121*AL121,0)</f>
        <v>129</v>
      </c>
      <c r="Y121" s="6">
        <f>IFERROR(1-V121/X121,"-")</f>
        <v>0.34108527131782951</v>
      </c>
      <c r="Z121" s="33">
        <v>1.5</v>
      </c>
      <c r="AA121" s="4">
        <f>AV121</f>
        <v>137</v>
      </c>
      <c r="AB121" s="33">
        <f>IFERROR(AA121*AL121,"-")</f>
        <v>155.26666666666665</v>
      </c>
      <c r="AC121" s="6">
        <f>IFERROR(1-V121/AB121,"-")</f>
        <v>0.45255474452554734</v>
      </c>
      <c r="AD121" s="7">
        <v>140</v>
      </c>
      <c r="AE121" s="6">
        <f>1-V121/AD121</f>
        <v>0.3928571428571429</v>
      </c>
      <c r="AF121" s="4">
        <f>AD121-V121</f>
        <v>55</v>
      </c>
      <c r="AG121" s="28"/>
      <c r="AH121" s="6"/>
      <c r="AI121" s="6"/>
      <c r="AJ121" s="6">
        <f>IFERROR(T121/L121,"-")</f>
        <v>1.1333333333333333</v>
      </c>
      <c r="AK121" s="6">
        <f>IFERROR(AD121/M121,"-")</f>
        <v>1.2280701754385965</v>
      </c>
      <c r="AL121" s="6">
        <f>IFERROR(V121/N121,"-")</f>
        <v>1.1333333333333333</v>
      </c>
      <c r="AM121" s="4" t="str">
        <f t="shared" si="5"/>
        <v>-</v>
      </c>
      <c r="AN121" s="4" t="str">
        <f t="shared" si="6"/>
        <v>-</v>
      </c>
      <c r="AO121" s="4" t="str">
        <f t="shared" si="7"/>
        <v>-</v>
      </c>
      <c r="AP121" s="4">
        <v>0</v>
      </c>
      <c r="AQ121" s="4" t="s">
        <v>813</v>
      </c>
      <c r="AR121" s="4"/>
      <c r="AS121" s="4"/>
      <c r="AT121" s="4" t="s">
        <v>693</v>
      </c>
      <c r="AU121" s="4">
        <v>137</v>
      </c>
      <c r="AV121" s="4">
        <f>IF(AR121="",AU121,AR121/AS121*AU121)</f>
        <v>137</v>
      </c>
      <c r="AW121" s="19">
        <v>4</v>
      </c>
      <c r="AX121" s="19">
        <v>8</v>
      </c>
      <c r="AY121" s="16">
        <v>5</v>
      </c>
      <c r="AZ121" t="s">
        <v>462</v>
      </c>
      <c r="BA121" t="str">
        <f t="shared" si="8"/>
        <v>-</v>
      </c>
      <c r="BB121" t="s">
        <v>462</v>
      </c>
      <c r="BC121" t="str">
        <f t="shared" si="9"/>
        <v>-</v>
      </c>
      <c r="BD121" t="s">
        <v>574</v>
      </c>
    </row>
    <row r="122" spans="1:56" x14ac:dyDescent="0.4">
      <c r="A122" s="3">
        <v>201</v>
      </c>
      <c r="B122" s="3">
        <v>201</v>
      </c>
      <c r="C122" s="4" t="s">
        <v>169</v>
      </c>
      <c r="D122" s="4" t="str">
        <f>TEXT(C122,"000000")</f>
        <v>J92376</v>
      </c>
      <c r="E122" s="4" t="s">
        <v>169</v>
      </c>
      <c r="F122" s="4" t="s">
        <v>403</v>
      </c>
      <c r="G122" s="5">
        <v>4901881143281</v>
      </c>
      <c r="H122" s="5"/>
      <c r="I122" s="5"/>
      <c r="J122" s="5">
        <v>1</v>
      </c>
      <c r="K122" s="5">
        <v>1</v>
      </c>
      <c r="L122" s="4">
        <v>150</v>
      </c>
      <c r="M122" s="4">
        <v>114</v>
      </c>
      <c r="N122" s="4">
        <v>75</v>
      </c>
      <c r="O122" s="6">
        <f>IFERROR(1-N122/M122,"-")</f>
        <v>0.34210526315789469</v>
      </c>
      <c r="P122" s="4" t="s">
        <v>462</v>
      </c>
      <c r="Q122" s="4" t="s">
        <v>462</v>
      </c>
      <c r="R122" s="4" t="s">
        <v>462</v>
      </c>
      <c r="S122" s="4">
        <v>170</v>
      </c>
      <c r="T122" s="4">
        <f>IF(W122="",S122,S122*W122)</f>
        <v>170</v>
      </c>
      <c r="U122" s="4">
        <v>85</v>
      </c>
      <c r="V122" s="4">
        <f>IF(W122="",U122,U122*W122)</f>
        <v>85</v>
      </c>
      <c r="W122" s="4"/>
      <c r="X122" s="21">
        <f>ROUND(M122*AL122,0)</f>
        <v>129</v>
      </c>
      <c r="Y122" s="6">
        <f>IFERROR(1-V122/X122,"-")</f>
        <v>0.34108527131782951</v>
      </c>
      <c r="Z122" s="33">
        <v>0.75</v>
      </c>
      <c r="AA122" s="4">
        <f>AV122</f>
        <v>150</v>
      </c>
      <c r="AB122" s="33">
        <f>IFERROR(AA122*AL122,"-")</f>
        <v>170</v>
      </c>
      <c r="AC122" s="6">
        <f>IFERROR(1-V122/AB122,"-")</f>
        <v>0.5</v>
      </c>
      <c r="AD122" s="7">
        <v>140</v>
      </c>
      <c r="AE122" s="6">
        <f>1-V122/AD122</f>
        <v>0.3928571428571429</v>
      </c>
      <c r="AF122" s="4">
        <f>AD122-V122</f>
        <v>55</v>
      </c>
      <c r="AG122" s="28"/>
      <c r="AH122" s="6"/>
      <c r="AI122" s="6"/>
      <c r="AJ122" s="6">
        <f>IFERROR(T122/L122,"-")</f>
        <v>1.1333333333333333</v>
      </c>
      <c r="AK122" s="6">
        <f>IFERROR(AD122/M122,"-")</f>
        <v>1.2280701754385965</v>
      </c>
      <c r="AL122" s="6">
        <f>IFERROR(V122/N122,"-")</f>
        <v>1.1333333333333333</v>
      </c>
      <c r="AM122" s="4" t="str">
        <f t="shared" si="5"/>
        <v>-</v>
      </c>
      <c r="AN122" s="4" t="str">
        <f t="shared" si="6"/>
        <v>-</v>
      </c>
      <c r="AO122" s="4" t="str">
        <f t="shared" si="7"/>
        <v>-</v>
      </c>
      <c r="AP122" s="4">
        <v>0</v>
      </c>
      <c r="AQ122" s="4" t="s">
        <v>814</v>
      </c>
      <c r="AR122" s="4">
        <v>1</v>
      </c>
      <c r="AS122" s="4">
        <v>10</v>
      </c>
      <c r="AT122" s="4" t="s">
        <v>702</v>
      </c>
      <c r="AU122" s="4">
        <v>1500</v>
      </c>
      <c r="AV122" s="4">
        <f>IF(AR122="",AU122,AR122/AS122*AU122)</f>
        <v>150</v>
      </c>
      <c r="AW122" s="19">
        <v>4</v>
      </c>
      <c r="AX122" s="19">
        <v>8</v>
      </c>
      <c r="AY122" s="16">
        <v>5</v>
      </c>
      <c r="AZ122" t="s">
        <v>462</v>
      </c>
      <c r="BA122" t="str">
        <f t="shared" si="8"/>
        <v>-</v>
      </c>
      <c r="BB122" t="s">
        <v>462</v>
      </c>
      <c r="BC122" t="str">
        <f t="shared" si="9"/>
        <v>-</v>
      </c>
      <c r="BD122" t="s">
        <v>575</v>
      </c>
    </row>
    <row r="123" spans="1:56" x14ac:dyDescent="0.4">
      <c r="A123" s="3">
        <v>202</v>
      </c>
      <c r="B123" s="3">
        <v>202</v>
      </c>
      <c r="C123" s="4" t="s">
        <v>170</v>
      </c>
      <c r="D123" s="4" t="str">
        <f>TEXT(C123,"000000")</f>
        <v>J92377</v>
      </c>
      <c r="E123" s="4" t="s">
        <v>170</v>
      </c>
      <c r="F123" s="4" t="s">
        <v>404</v>
      </c>
      <c r="G123" s="5">
        <v>4901881143298</v>
      </c>
      <c r="H123" s="5"/>
      <c r="I123" s="5"/>
      <c r="J123" s="5">
        <v>1</v>
      </c>
      <c r="K123" s="5">
        <v>1</v>
      </c>
      <c r="L123" s="4">
        <v>150</v>
      </c>
      <c r="M123" s="4">
        <v>114</v>
      </c>
      <c r="N123" s="4">
        <v>75</v>
      </c>
      <c r="O123" s="6">
        <f>IFERROR(1-N123/M123,"-")</f>
        <v>0.34210526315789469</v>
      </c>
      <c r="P123" s="4" t="s">
        <v>462</v>
      </c>
      <c r="Q123" s="4" t="s">
        <v>462</v>
      </c>
      <c r="R123" s="4" t="s">
        <v>462</v>
      </c>
      <c r="S123" s="4">
        <v>170</v>
      </c>
      <c r="T123" s="4">
        <f>IF(W123="",S123,S123*W123)</f>
        <v>170</v>
      </c>
      <c r="U123" s="4">
        <v>85</v>
      </c>
      <c r="V123" s="4">
        <f>IF(W123="",U123,U123*W123)</f>
        <v>85</v>
      </c>
      <c r="W123" s="4"/>
      <c r="X123" s="21">
        <f>ROUND(M123*AL123,0)</f>
        <v>129</v>
      </c>
      <c r="Y123" s="6">
        <f>IFERROR(1-V123/X123,"-")</f>
        <v>0.34108527131782951</v>
      </c>
      <c r="Z123" s="33">
        <v>1.25</v>
      </c>
      <c r="AA123" s="4">
        <f>AV123</f>
        <v>150</v>
      </c>
      <c r="AB123" s="33">
        <f>IFERROR(AA123*AL123,"-")</f>
        <v>170</v>
      </c>
      <c r="AC123" s="6">
        <f>IFERROR(1-V123/AB123,"-")</f>
        <v>0.5</v>
      </c>
      <c r="AD123" s="7">
        <v>140</v>
      </c>
      <c r="AE123" s="6">
        <f>1-V123/AD123</f>
        <v>0.3928571428571429</v>
      </c>
      <c r="AF123" s="4">
        <f>AD123-V123</f>
        <v>55</v>
      </c>
      <c r="AG123" s="28"/>
      <c r="AH123" s="6"/>
      <c r="AI123" s="6"/>
      <c r="AJ123" s="6">
        <f>IFERROR(T123/L123,"-")</f>
        <v>1.1333333333333333</v>
      </c>
      <c r="AK123" s="6">
        <f>IFERROR(AD123/M123,"-")</f>
        <v>1.2280701754385965</v>
      </c>
      <c r="AL123" s="6">
        <f>IFERROR(V123/N123,"-")</f>
        <v>1.1333333333333333</v>
      </c>
      <c r="AM123" s="4" t="str">
        <f t="shared" si="5"/>
        <v>-</v>
      </c>
      <c r="AN123" s="4" t="str">
        <f t="shared" si="6"/>
        <v>-</v>
      </c>
      <c r="AO123" s="4" t="str">
        <f t="shared" si="7"/>
        <v>-</v>
      </c>
      <c r="AP123" s="4">
        <v>0</v>
      </c>
      <c r="AQ123" s="4" t="s">
        <v>815</v>
      </c>
      <c r="AR123" s="4">
        <v>1</v>
      </c>
      <c r="AS123" s="4">
        <v>10</v>
      </c>
      <c r="AT123" s="4" t="s">
        <v>702</v>
      </c>
      <c r="AU123" s="4">
        <v>1500</v>
      </c>
      <c r="AV123" s="4">
        <f>IF(AR123="",AU123,AR123/AS123*AU123)</f>
        <v>150</v>
      </c>
      <c r="AW123" s="19">
        <v>4</v>
      </c>
      <c r="AX123" s="19">
        <v>8</v>
      </c>
      <c r="AY123" s="16">
        <v>5</v>
      </c>
      <c r="AZ123" t="s">
        <v>462</v>
      </c>
      <c r="BA123" t="str">
        <f t="shared" si="8"/>
        <v>-</v>
      </c>
      <c r="BB123" t="s">
        <v>462</v>
      </c>
      <c r="BC123" t="str">
        <f t="shared" si="9"/>
        <v>-</v>
      </c>
      <c r="BD123" t="s">
        <v>576</v>
      </c>
    </row>
    <row r="124" spans="1:56" x14ac:dyDescent="0.4">
      <c r="A124" s="3">
        <v>203</v>
      </c>
      <c r="B124" s="3">
        <v>203</v>
      </c>
      <c r="C124" s="4" t="s">
        <v>171</v>
      </c>
      <c r="D124" s="4" t="str">
        <f>TEXT(C124,"000000")</f>
        <v>J92378</v>
      </c>
      <c r="E124" s="4" t="s">
        <v>171</v>
      </c>
      <c r="F124" s="4" t="s">
        <v>405</v>
      </c>
      <c r="G124" s="5">
        <v>4901881143304</v>
      </c>
      <c r="H124" s="5"/>
      <c r="I124" s="5"/>
      <c r="J124" s="5">
        <v>1</v>
      </c>
      <c r="K124" s="5">
        <v>1</v>
      </c>
      <c r="L124" s="4">
        <v>150</v>
      </c>
      <c r="M124" s="4">
        <v>95</v>
      </c>
      <c r="N124" s="4">
        <v>75</v>
      </c>
      <c r="O124" s="6">
        <f>IFERROR(1-N124/M124,"-")</f>
        <v>0.21052631578947367</v>
      </c>
      <c r="P124" s="4" t="s">
        <v>462</v>
      </c>
      <c r="Q124" s="4" t="s">
        <v>462</v>
      </c>
      <c r="R124" s="4" t="s">
        <v>462</v>
      </c>
      <c r="S124" s="4">
        <v>170</v>
      </c>
      <c r="T124" s="4">
        <f>IF(W124="",S124,S124*W124)</f>
        <v>170</v>
      </c>
      <c r="U124" s="4">
        <v>85</v>
      </c>
      <c r="V124" s="4">
        <f>IF(W124="",U124,U124*W124)</f>
        <v>85</v>
      </c>
      <c r="W124" s="4"/>
      <c r="X124" s="21">
        <f>ROUND(M124*AL124,0)</f>
        <v>108</v>
      </c>
      <c r="Y124" s="6">
        <f>IFERROR(1-V124/X124,"-")</f>
        <v>0.21296296296296291</v>
      </c>
      <c r="Z124" s="33">
        <v>0.75</v>
      </c>
      <c r="AA124" s="4">
        <f>AV124</f>
        <v>150</v>
      </c>
      <c r="AB124" s="33">
        <f>IFERROR(AA124*AL124,"-")</f>
        <v>170</v>
      </c>
      <c r="AC124" s="6">
        <f>IFERROR(1-V124/AB124,"-")</f>
        <v>0.5</v>
      </c>
      <c r="AD124" s="7">
        <v>140</v>
      </c>
      <c r="AE124" s="6">
        <f>1-V124/AD124</f>
        <v>0.3928571428571429</v>
      </c>
      <c r="AF124" s="4">
        <f>AD124-V124</f>
        <v>55</v>
      </c>
      <c r="AG124" s="28"/>
      <c r="AH124" s="6"/>
      <c r="AI124" s="6"/>
      <c r="AJ124" s="6">
        <f>IFERROR(T124/L124,"-")</f>
        <v>1.1333333333333333</v>
      </c>
      <c r="AK124" s="6">
        <f>IFERROR(AD124/M124,"-")</f>
        <v>1.4736842105263157</v>
      </c>
      <c r="AL124" s="6">
        <f>IFERROR(V124/N124,"-")</f>
        <v>1.1333333333333333</v>
      </c>
      <c r="AM124" s="4" t="str">
        <f t="shared" si="5"/>
        <v>-</v>
      </c>
      <c r="AN124" s="4" t="str">
        <f t="shared" si="6"/>
        <v>-</v>
      </c>
      <c r="AO124" s="4" t="str">
        <f t="shared" si="7"/>
        <v>-</v>
      </c>
      <c r="AP124" s="4">
        <v>0</v>
      </c>
      <c r="AQ124" s="4" t="s">
        <v>816</v>
      </c>
      <c r="AR124" s="4">
        <v>1</v>
      </c>
      <c r="AS124" s="4">
        <v>10</v>
      </c>
      <c r="AT124" s="4" t="s">
        <v>702</v>
      </c>
      <c r="AU124" s="4">
        <v>1500</v>
      </c>
      <c r="AV124" s="4">
        <f>IF(AR124="",AU124,AR124/AS124*AU124)</f>
        <v>150</v>
      </c>
      <c r="AW124" s="19">
        <v>4</v>
      </c>
      <c r="AX124" s="19">
        <v>8</v>
      </c>
      <c r="AY124" s="16">
        <v>5</v>
      </c>
      <c r="AZ124" t="s">
        <v>462</v>
      </c>
      <c r="BA124" t="str">
        <f t="shared" si="8"/>
        <v>-</v>
      </c>
      <c r="BB124" t="s">
        <v>462</v>
      </c>
      <c r="BC124" t="str">
        <f t="shared" si="9"/>
        <v>-</v>
      </c>
      <c r="BD124" t="s">
        <v>577</v>
      </c>
    </row>
    <row r="125" spans="1:56" x14ac:dyDescent="0.4">
      <c r="A125" s="3">
        <v>204</v>
      </c>
      <c r="B125" s="3">
        <v>204</v>
      </c>
      <c r="C125" s="4" t="s">
        <v>172</v>
      </c>
      <c r="D125" s="4" t="str">
        <f>TEXT(C125,"000000")</f>
        <v>J92379</v>
      </c>
      <c r="E125" s="4" t="s">
        <v>172</v>
      </c>
      <c r="F125" s="4" t="s">
        <v>406</v>
      </c>
      <c r="G125" s="5">
        <v>4901881143311</v>
      </c>
      <c r="H125" s="5"/>
      <c r="I125" s="5"/>
      <c r="J125" s="5">
        <v>1</v>
      </c>
      <c r="K125" s="5">
        <v>1</v>
      </c>
      <c r="L125" s="4">
        <v>150</v>
      </c>
      <c r="M125" s="4">
        <v>114</v>
      </c>
      <c r="N125" s="4">
        <v>75</v>
      </c>
      <c r="O125" s="6">
        <f>IFERROR(1-N125/M125,"-")</f>
        <v>0.34210526315789469</v>
      </c>
      <c r="P125" s="4" t="s">
        <v>462</v>
      </c>
      <c r="Q125" s="4" t="s">
        <v>462</v>
      </c>
      <c r="R125" s="4" t="s">
        <v>462</v>
      </c>
      <c r="S125" s="4">
        <v>170</v>
      </c>
      <c r="T125" s="4">
        <f>IF(W125="",S125,S125*W125)</f>
        <v>170</v>
      </c>
      <c r="U125" s="4">
        <v>85</v>
      </c>
      <c r="V125" s="4">
        <f>IF(W125="",U125,U125*W125)</f>
        <v>85</v>
      </c>
      <c r="W125" s="4"/>
      <c r="X125" s="21">
        <f>ROUND(M125*AL125,0)</f>
        <v>129</v>
      </c>
      <c r="Y125" s="6">
        <f>IFERROR(1-V125/X125,"-")</f>
        <v>0.34108527131782951</v>
      </c>
      <c r="Z125" s="33">
        <v>0.75</v>
      </c>
      <c r="AA125" s="4">
        <f>AV125</f>
        <v>150</v>
      </c>
      <c r="AB125" s="33">
        <f>IFERROR(AA125*AL125,"-")</f>
        <v>170</v>
      </c>
      <c r="AC125" s="6">
        <f>IFERROR(1-V125/AB125,"-")</f>
        <v>0.5</v>
      </c>
      <c r="AD125" s="7">
        <v>140</v>
      </c>
      <c r="AE125" s="6">
        <f>1-V125/AD125</f>
        <v>0.3928571428571429</v>
      </c>
      <c r="AF125" s="4">
        <f>AD125-V125</f>
        <v>55</v>
      </c>
      <c r="AG125" s="28"/>
      <c r="AH125" s="6"/>
      <c r="AI125" s="6"/>
      <c r="AJ125" s="6">
        <f>IFERROR(T125/L125,"-")</f>
        <v>1.1333333333333333</v>
      </c>
      <c r="AK125" s="6">
        <f>IFERROR(AD125/M125,"-")</f>
        <v>1.2280701754385965</v>
      </c>
      <c r="AL125" s="6">
        <f>IFERROR(V125/N125,"-")</f>
        <v>1.1333333333333333</v>
      </c>
      <c r="AM125" s="4" t="str">
        <f t="shared" si="5"/>
        <v>-</v>
      </c>
      <c r="AN125" s="4" t="str">
        <f t="shared" si="6"/>
        <v>-</v>
      </c>
      <c r="AO125" s="4" t="str">
        <f t="shared" si="7"/>
        <v>-</v>
      </c>
      <c r="AP125" s="4">
        <v>0</v>
      </c>
      <c r="AQ125" s="4" t="s">
        <v>817</v>
      </c>
      <c r="AR125" s="4">
        <v>1</v>
      </c>
      <c r="AS125" s="4">
        <v>10</v>
      </c>
      <c r="AT125" s="4" t="s">
        <v>702</v>
      </c>
      <c r="AU125" s="4">
        <v>1500</v>
      </c>
      <c r="AV125" s="4">
        <f>IF(AR125="",AU125,AR125/AS125*AU125)</f>
        <v>150</v>
      </c>
      <c r="AW125" s="19">
        <v>4</v>
      </c>
      <c r="AX125" s="19">
        <v>8</v>
      </c>
      <c r="AY125" s="16">
        <v>5</v>
      </c>
      <c r="AZ125" t="s">
        <v>462</v>
      </c>
      <c r="BA125" t="str">
        <f t="shared" si="8"/>
        <v>-</v>
      </c>
      <c r="BB125" t="s">
        <v>462</v>
      </c>
      <c r="BC125" t="str">
        <f t="shared" si="9"/>
        <v>-</v>
      </c>
      <c r="BD125" t="s">
        <v>578</v>
      </c>
    </row>
    <row r="126" spans="1:56" x14ac:dyDescent="0.4">
      <c r="A126" s="3">
        <v>205</v>
      </c>
      <c r="B126" s="3">
        <v>205</v>
      </c>
      <c r="C126" s="4" t="s">
        <v>173</v>
      </c>
      <c r="D126" s="4" t="str">
        <f>TEXT(C126,"000000")</f>
        <v>J92380</v>
      </c>
      <c r="E126" s="4" t="s">
        <v>173</v>
      </c>
      <c r="F126" s="4" t="s">
        <v>407</v>
      </c>
      <c r="G126" s="5">
        <v>4901881143328</v>
      </c>
      <c r="H126" s="5"/>
      <c r="I126" s="5"/>
      <c r="J126" s="5">
        <v>1</v>
      </c>
      <c r="K126" s="5">
        <v>1</v>
      </c>
      <c r="L126" s="4">
        <v>150</v>
      </c>
      <c r="M126" s="4">
        <v>114</v>
      </c>
      <c r="N126" s="4">
        <v>75</v>
      </c>
      <c r="O126" s="6">
        <f>IFERROR(1-N126/M126,"-")</f>
        <v>0.34210526315789469</v>
      </c>
      <c r="P126" s="4" t="s">
        <v>462</v>
      </c>
      <c r="Q126" s="4" t="s">
        <v>462</v>
      </c>
      <c r="R126" s="4" t="s">
        <v>462</v>
      </c>
      <c r="S126" s="4">
        <v>170</v>
      </c>
      <c r="T126" s="4">
        <f>IF(W126="",S126,S126*W126)</f>
        <v>170</v>
      </c>
      <c r="U126" s="4">
        <v>85</v>
      </c>
      <c r="V126" s="4">
        <f>IF(W126="",U126,U126*W126)</f>
        <v>85</v>
      </c>
      <c r="W126" s="4"/>
      <c r="X126" s="21">
        <f>ROUND(M126*AL126,0)</f>
        <v>129</v>
      </c>
      <c r="Y126" s="6">
        <f>IFERROR(1-V126/X126,"-")</f>
        <v>0.34108527131782951</v>
      </c>
      <c r="Z126" s="33">
        <v>1.5</v>
      </c>
      <c r="AA126" s="4">
        <f>AV126</f>
        <v>150</v>
      </c>
      <c r="AB126" s="33">
        <f>IFERROR(AA126*AL126,"-")</f>
        <v>170</v>
      </c>
      <c r="AC126" s="6">
        <f>IFERROR(1-V126/AB126,"-")</f>
        <v>0.5</v>
      </c>
      <c r="AD126" s="7">
        <v>140</v>
      </c>
      <c r="AE126" s="6">
        <f>1-V126/AD126</f>
        <v>0.3928571428571429</v>
      </c>
      <c r="AF126" s="4">
        <f>AD126-V126</f>
        <v>55</v>
      </c>
      <c r="AG126" s="28"/>
      <c r="AH126" s="6"/>
      <c r="AI126" s="6"/>
      <c r="AJ126" s="6">
        <f>IFERROR(T126/L126,"-")</f>
        <v>1.1333333333333333</v>
      </c>
      <c r="AK126" s="6">
        <f>IFERROR(AD126/M126,"-")</f>
        <v>1.2280701754385965</v>
      </c>
      <c r="AL126" s="6">
        <f>IFERROR(V126/N126,"-")</f>
        <v>1.1333333333333333</v>
      </c>
      <c r="AM126" s="4" t="str">
        <f t="shared" si="5"/>
        <v>-</v>
      </c>
      <c r="AN126" s="4" t="str">
        <f t="shared" si="6"/>
        <v>-</v>
      </c>
      <c r="AO126" s="4" t="str">
        <f t="shared" si="7"/>
        <v>-</v>
      </c>
      <c r="AP126" s="4">
        <v>0</v>
      </c>
      <c r="AQ126" s="4" t="s">
        <v>818</v>
      </c>
      <c r="AR126" s="4">
        <v>1</v>
      </c>
      <c r="AS126" s="4">
        <v>10</v>
      </c>
      <c r="AT126" s="4" t="s">
        <v>702</v>
      </c>
      <c r="AU126" s="4">
        <v>1500</v>
      </c>
      <c r="AV126" s="4">
        <f>IF(AR126="",AU126,AR126/AS126*AU126)</f>
        <v>150</v>
      </c>
      <c r="AW126" s="19">
        <v>4</v>
      </c>
      <c r="AX126" s="19">
        <v>8</v>
      </c>
      <c r="AY126" s="16">
        <v>5</v>
      </c>
      <c r="AZ126" t="s">
        <v>462</v>
      </c>
      <c r="BA126" t="str">
        <f t="shared" si="8"/>
        <v>-</v>
      </c>
      <c r="BB126" t="s">
        <v>462</v>
      </c>
      <c r="BC126" t="str">
        <f t="shared" si="9"/>
        <v>-</v>
      </c>
      <c r="BD126" t="s">
        <v>579</v>
      </c>
    </row>
    <row r="127" spans="1:56" x14ac:dyDescent="0.4">
      <c r="A127" s="3">
        <v>206</v>
      </c>
      <c r="B127" s="3">
        <v>206</v>
      </c>
      <c r="C127" s="4" t="s">
        <v>174</v>
      </c>
      <c r="D127" s="4" t="str">
        <f>TEXT(C127,"000000")</f>
        <v>J92381</v>
      </c>
      <c r="E127" s="4" t="s">
        <v>174</v>
      </c>
      <c r="F127" s="4" t="s">
        <v>408</v>
      </c>
      <c r="G127" s="5">
        <v>4901881143335</v>
      </c>
      <c r="H127" s="5"/>
      <c r="I127" s="5"/>
      <c r="J127" s="5">
        <v>1</v>
      </c>
      <c r="K127" s="5">
        <v>1</v>
      </c>
      <c r="L127" s="4">
        <v>150</v>
      </c>
      <c r="M127" s="4">
        <v>95</v>
      </c>
      <c r="N127" s="4">
        <v>75</v>
      </c>
      <c r="O127" s="6">
        <f>IFERROR(1-N127/M127,"-")</f>
        <v>0.21052631578947367</v>
      </c>
      <c r="P127" s="4" t="s">
        <v>462</v>
      </c>
      <c r="Q127" s="4" t="s">
        <v>462</v>
      </c>
      <c r="R127" s="4" t="s">
        <v>462</v>
      </c>
      <c r="S127" s="4">
        <v>170</v>
      </c>
      <c r="T127" s="4">
        <f>IF(W127="",S127,S127*W127)</f>
        <v>170</v>
      </c>
      <c r="U127" s="4">
        <v>85</v>
      </c>
      <c r="V127" s="4">
        <f>IF(W127="",U127,U127*W127)</f>
        <v>85</v>
      </c>
      <c r="W127" s="4"/>
      <c r="X127" s="21">
        <f>ROUND(M127*AL127,0)</f>
        <v>108</v>
      </c>
      <c r="Y127" s="6">
        <f>IFERROR(1-V127/X127,"-")</f>
        <v>0.21296296296296291</v>
      </c>
      <c r="Z127" s="33">
        <v>0.5</v>
      </c>
      <c r="AA127" s="4">
        <f>AV127</f>
        <v>150</v>
      </c>
      <c r="AB127" s="33">
        <f>IFERROR(AA127*AL127,"-")</f>
        <v>170</v>
      </c>
      <c r="AC127" s="6">
        <f>IFERROR(1-V127/AB127,"-")</f>
        <v>0.5</v>
      </c>
      <c r="AD127" s="7">
        <v>140</v>
      </c>
      <c r="AE127" s="6">
        <f>1-V127/AD127</f>
        <v>0.3928571428571429</v>
      </c>
      <c r="AF127" s="4">
        <f>AD127-V127</f>
        <v>55</v>
      </c>
      <c r="AG127" s="28"/>
      <c r="AH127" s="6"/>
      <c r="AI127" s="6"/>
      <c r="AJ127" s="6">
        <f>IFERROR(T127/L127,"-")</f>
        <v>1.1333333333333333</v>
      </c>
      <c r="AK127" s="6">
        <f>IFERROR(AD127/M127,"-")</f>
        <v>1.4736842105263157</v>
      </c>
      <c r="AL127" s="6">
        <f>IFERROR(V127/N127,"-")</f>
        <v>1.1333333333333333</v>
      </c>
      <c r="AM127" s="4" t="str">
        <f t="shared" si="5"/>
        <v>-</v>
      </c>
      <c r="AN127" s="4" t="str">
        <f t="shared" si="6"/>
        <v>-</v>
      </c>
      <c r="AO127" s="4" t="str">
        <f t="shared" si="7"/>
        <v>-</v>
      </c>
      <c r="AP127" s="4">
        <v>0</v>
      </c>
      <c r="AQ127" s="4" t="s">
        <v>819</v>
      </c>
      <c r="AR127" s="4">
        <v>1</v>
      </c>
      <c r="AS127" s="4">
        <v>10</v>
      </c>
      <c r="AT127" s="4" t="s">
        <v>702</v>
      </c>
      <c r="AU127" s="4">
        <v>1500</v>
      </c>
      <c r="AV127" s="4">
        <f>IF(AR127="",AU127,AR127/AS127*AU127)</f>
        <v>150</v>
      </c>
      <c r="AW127" s="19">
        <v>4</v>
      </c>
      <c r="AX127" s="19">
        <v>8</v>
      </c>
      <c r="AY127" s="16">
        <v>5</v>
      </c>
      <c r="AZ127" t="s">
        <v>462</v>
      </c>
      <c r="BA127" t="str">
        <f t="shared" si="8"/>
        <v>-</v>
      </c>
      <c r="BB127" t="s">
        <v>462</v>
      </c>
      <c r="BC127" t="str">
        <f t="shared" si="9"/>
        <v>-</v>
      </c>
      <c r="BD127" t="s">
        <v>580</v>
      </c>
    </row>
    <row r="128" spans="1:56" x14ac:dyDescent="0.4">
      <c r="A128" s="3">
        <v>207</v>
      </c>
      <c r="B128" s="3">
        <v>207</v>
      </c>
      <c r="C128" s="4" t="s">
        <v>175</v>
      </c>
      <c r="D128" s="4" t="str">
        <f>TEXT(C128,"000000")</f>
        <v>J92382</v>
      </c>
      <c r="E128" s="4" t="s">
        <v>175</v>
      </c>
      <c r="F128" s="4" t="s">
        <v>409</v>
      </c>
      <c r="G128" s="5">
        <v>4901881143342</v>
      </c>
      <c r="H128" s="5"/>
      <c r="I128" s="5"/>
      <c r="J128" s="5">
        <v>1</v>
      </c>
      <c r="K128" s="5">
        <v>1</v>
      </c>
      <c r="L128" s="4">
        <v>150</v>
      </c>
      <c r="M128" s="4">
        <v>95</v>
      </c>
      <c r="N128" s="4">
        <v>75</v>
      </c>
      <c r="O128" s="6">
        <f>IFERROR(1-N128/M128,"-")</f>
        <v>0.21052631578947367</v>
      </c>
      <c r="P128" s="4" t="s">
        <v>462</v>
      </c>
      <c r="Q128" s="4" t="s">
        <v>462</v>
      </c>
      <c r="R128" s="4" t="s">
        <v>462</v>
      </c>
      <c r="S128" s="4">
        <v>170</v>
      </c>
      <c r="T128" s="4">
        <f>IF(W128="",S128,S128*W128)</f>
        <v>170</v>
      </c>
      <c r="U128" s="4">
        <v>85</v>
      </c>
      <c r="V128" s="4">
        <f>IF(W128="",U128,U128*W128)</f>
        <v>85</v>
      </c>
      <c r="W128" s="4"/>
      <c r="X128" s="21">
        <f>ROUND(M128*AL128,0)</f>
        <v>108</v>
      </c>
      <c r="Y128" s="6">
        <f>IFERROR(1-V128/X128,"-")</f>
        <v>0.21296296296296291</v>
      </c>
      <c r="Z128" s="33">
        <v>0.25</v>
      </c>
      <c r="AA128" s="4">
        <f>AV128</f>
        <v>150</v>
      </c>
      <c r="AB128" s="33">
        <f>IFERROR(AA128*AL128,"-")</f>
        <v>170</v>
      </c>
      <c r="AC128" s="6">
        <f>IFERROR(1-V128/AB128,"-")</f>
        <v>0.5</v>
      </c>
      <c r="AD128" s="7">
        <v>140</v>
      </c>
      <c r="AE128" s="6">
        <f>1-V128/AD128</f>
        <v>0.3928571428571429</v>
      </c>
      <c r="AF128" s="4">
        <f>AD128-V128</f>
        <v>55</v>
      </c>
      <c r="AG128" s="28"/>
      <c r="AH128" s="6"/>
      <c r="AI128" s="6"/>
      <c r="AJ128" s="6">
        <f>IFERROR(T128/L128,"-")</f>
        <v>1.1333333333333333</v>
      </c>
      <c r="AK128" s="6">
        <f>IFERROR(AD128/M128,"-")</f>
        <v>1.4736842105263157</v>
      </c>
      <c r="AL128" s="6">
        <f>IFERROR(V128/N128,"-")</f>
        <v>1.1333333333333333</v>
      </c>
      <c r="AM128" s="4" t="str">
        <f t="shared" si="5"/>
        <v>-</v>
      </c>
      <c r="AN128" s="4" t="str">
        <f t="shared" si="6"/>
        <v>-</v>
      </c>
      <c r="AO128" s="4" t="str">
        <f t="shared" si="7"/>
        <v>-</v>
      </c>
      <c r="AP128" s="4">
        <v>0</v>
      </c>
      <c r="AQ128" s="4" t="s">
        <v>820</v>
      </c>
      <c r="AR128" s="4">
        <v>1</v>
      </c>
      <c r="AS128" s="4">
        <v>10</v>
      </c>
      <c r="AT128" s="4" t="s">
        <v>702</v>
      </c>
      <c r="AU128" s="4">
        <v>1500</v>
      </c>
      <c r="AV128" s="4">
        <f>IF(AR128="",AU128,AR128/AS128*AU128)</f>
        <v>150</v>
      </c>
      <c r="AW128" s="19">
        <v>4</v>
      </c>
      <c r="AX128" s="19">
        <v>8</v>
      </c>
      <c r="AY128" s="16">
        <v>5</v>
      </c>
      <c r="AZ128" t="s">
        <v>462</v>
      </c>
      <c r="BA128" t="str">
        <f t="shared" si="8"/>
        <v>-</v>
      </c>
      <c r="BB128" t="s">
        <v>462</v>
      </c>
      <c r="BC128" t="str">
        <f t="shared" si="9"/>
        <v>-</v>
      </c>
      <c r="BD128" t="s">
        <v>581</v>
      </c>
    </row>
    <row r="129" spans="1:56" x14ac:dyDescent="0.4">
      <c r="A129" s="3">
        <v>208</v>
      </c>
      <c r="B129" s="3">
        <v>208</v>
      </c>
      <c r="C129" s="4" t="s">
        <v>176</v>
      </c>
      <c r="D129" s="4" t="str">
        <f>TEXT(C129,"000000")</f>
        <v>J92383</v>
      </c>
      <c r="E129" s="4" t="s">
        <v>176</v>
      </c>
      <c r="F129" s="4" t="s">
        <v>410</v>
      </c>
      <c r="G129" s="5">
        <v>4901881143359</v>
      </c>
      <c r="H129" s="5"/>
      <c r="I129" s="5"/>
      <c r="J129" s="5">
        <v>1</v>
      </c>
      <c r="K129" s="5">
        <v>1</v>
      </c>
      <c r="L129" s="4">
        <v>150</v>
      </c>
      <c r="M129" s="4">
        <v>114</v>
      </c>
      <c r="N129" s="4">
        <v>75</v>
      </c>
      <c r="O129" s="6">
        <f>IFERROR(1-N129/M129,"-")</f>
        <v>0.34210526315789469</v>
      </c>
      <c r="P129" s="4" t="s">
        <v>462</v>
      </c>
      <c r="Q129" s="4" t="s">
        <v>462</v>
      </c>
      <c r="R129" s="4" t="s">
        <v>462</v>
      </c>
      <c r="S129" s="4">
        <v>170</v>
      </c>
      <c r="T129" s="4">
        <f>IF(W129="",S129,S129*W129)</f>
        <v>170</v>
      </c>
      <c r="U129" s="4">
        <v>85</v>
      </c>
      <c r="V129" s="4">
        <f>IF(W129="",U129,U129*W129)</f>
        <v>85</v>
      </c>
      <c r="W129" s="4"/>
      <c r="X129" s="21">
        <f>ROUND(M129*AL129,0)</f>
        <v>129</v>
      </c>
      <c r="Y129" s="6">
        <f>IFERROR(1-V129/X129,"-")</f>
        <v>0.34108527131782951</v>
      </c>
      <c r="Z129" s="33">
        <v>2.75</v>
      </c>
      <c r="AA129" s="4">
        <f>AV129</f>
        <v>150</v>
      </c>
      <c r="AB129" s="33">
        <f>IFERROR(AA129*AL129,"-")</f>
        <v>170</v>
      </c>
      <c r="AC129" s="6">
        <f>IFERROR(1-V129/AB129,"-")</f>
        <v>0.5</v>
      </c>
      <c r="AD129" s="7">
        <v>140</v>
      </c>
      <c r="AE129" s="6">
        <f>1-V129/AD129</f>
        <v>0.3928571428571429</v>
      </c>
      <c r="AF129" s="4">
        <f>AD129-V129</f>
        <v>55</v>
      </c>
      <c r="AG129" s="28"/>
      <c r="AH129" s="6"/>
      <c r="AI129" s="6"/>
      <c r="AJ129" s="6">
        <f>IFERROR(T129/L129,"-")</f>
        <v>1.1333333333333333</v>
      </c>
      <c r="AK129" s="6">
        <f>IFERROR(AD129/M129,"-")</f>
        <v>1.2280701754385965</v>
      </c>
      <c r="AL129" s="6">
        <f>IFERROR(V129/N129,"-")</f>
        <v>1.1333333333333333</v>
      </c>
      <c r="AM129" s="4" t="str">
        <f t="shared" si="5"/>
        <v>-</v>
      </c>
      <c r="AN129" s="4" t="str">
        <f t="shared" si="6"/>
        <v>-</v>
      </c>
      <c r="AO129" s="4" t="str">
        <f t="shared" si="7"/>
        <v>-</v>
      </c>
      <c r="AP129" s="4">
        <v>0</v>
      </c>
      <c r="AQ129" s="4" t="s">
        <v>821</v>
      </c>
      <c r="AR129" s="4">
        <v>1</v>
      </c>
      <c r="AS129" s="4">
        <v>10</v>
      </c>
      <c r="AT129" s="4" t="s">
        <v>702</v>
      </c>
      <c r="AU129" s="4">
        <v>1500</v>
      </c>
      <c r="AV129" s="4">
        <f>IF(AR129="",AU129,AR129/AS129*AU129)</f>
        <v>150</v>
      </c>
      <c r="AW129" s="19">
        <v>4</v>
      </c>
      <c r="AX129" s="19">
        <v>8</v>
      </c>
      <c r="AY129" s="16">
        <v>5</v>
      </c>
      <c r="AZ129" t="s">
        <v>462</v>
      </c>
      <c r="BA129" t="str">
        <f t="shared" si="8"/>
        <v>-</v>
      </c>
      <c r="BB129" t="s">
        <v>462</v>
      </c>
      <c r="BC129" t="str">
        <f t="shared" si="9"/>
        <v>-</v>
      </c>
      <c r="BD129" t="s">
        <v>582</v>
      </c>
    </row>
    <row r="130" spans="1:56" x14ac:dyDescent="0.4">
      <c r="A130" s="3">
        <v>224</v>
      </c>
      <c r="B130" s="3">
        <v>224</v>
      </c>
      <c r="C130" s="4" t="s">
        <v>192</v>
      </c>
      <c r="D130" s="4" t="str">
        <f>TEXT(C130,"000000")</f>
        <v>JA5934</v>
      </c>
      <c r="E130" s="4" t="s">
        <v>192</v>
      </c>
      <c r="F130" s="4" t="s">
        <v>426</v>
      </c>
      <c r="G130" s="5">
        <v>4901881835483</v>
      </c>
      <c r="H130" s="5"/>
      <c r="I130" s="5"/>
      <c r="J130" s="5">
        <v>1</v>
      </c>
      <c r="K130" s="5">
        <v>1</v>
      </c>
      <c r="L130" s="4">
        <v>150</v>
      </c>
      <c r="M130" s="4">
        <v>114</v>
      </c>
      <c r="N130" s="4">
        <v>75</v>
      </c>
      <c r="O130" s="6">
        <f>IFERROR(1-N130/M130,"-")</f>
        <v>0.34210526315789469</v>
      </c>
      <c r="P130" s="4" t="s">
        <v>462</v>
      </c>
      <c r="Q130" s="4" t="s">
        <v>462</v>
      </c>
      <c r="R130" s="4" t="s">
        <v>462</v>
      </c>
      <c r="S130" s="4">
        <v>170</v>
      </c>
      <c r="T130" s="4">
        <f>IF(W130="",S130,S130*W130)</f>
        <v>170</v>
      </c>
      <c r="U130" s="4">
        <v>85</v>
      </c>
      <c r="V130" s="4">
        <f>IF(W130="",U130,U130*W130)</f>
        <v>85</v>
      </c>
      <c r="W130" s="4"/>
      <c r="X130" s="21">
        <f>ROUND(M130*AL130,0)</f>
        <v>129</v>
      </c>
      <c r="Y130" s="6">
        <f>IFERROR(1-V130/X130,"-")</f>
        <v>0.34108527131782951</v>
      </c>
      <c r="Z130" s="33">
        <v>0.25</v>
      </c>
      <c r="AA130" s="4">
        <f>AV130</f>
        <v>150</v>
      </c>
      <c r="AB130" s="33">
        <f>IFERROR(AA130*AL130,"-")</f>
        <v>170</v>
      </c>
      <c r="AC130" s="6">
        <f>IFERROR(1-V130/AB130,"-")</f>
        <v>0.5</v>
      </c>
      <c r="AD130" s="7">
        <v>140</v>
      </c>
      <c r="AE130" s="6">
        <f>1-V130/AD130</f>
        <v>0.3928571428571429</v>
      </c>
      <c r="AF130" s="4">
        <f>AD130-V130</f>
        <v>55</v>
      </c>
      <c r="AG130" s="28"/>
      <c r="AH130" s="6"/>
      <c r="AI130" s="6"/>
      <c r="AJ130" s="6">
        <f>IFERROR(T130/L130,"-")</f>
        <v>1.1333333333333333</v>
      </c>
      <c r="AK130" s="6">
        <f>IFERROR(AD130/M130,"-")</f>
        <v>1.2280701754385965</v>
      </c>
      <c r="AL130" s="6">
        <f>IFERROR(V130/N130,"-")</f>
        <v>1.1333333333333333</v>
      </c>
      <c r="AM130" s="4" t="str">
        <f t="shared" si="5"/>
        <v>-</v>
      </c>
      <c r="AN130" s="4" t="str">
        <f t="shared" si="6"/>
        <v>-</v>
      </c>
      <c r="AO130" s="4" t="str">
        <f t="shared" si="7"/>
        <v>-</v>
      </c>
      <c r="AP130" s="4">
        <v>0</v>
      </c>
      <c r="AQ130" s="4" t="s">
        <v>822</v>
      </c>
      <c r="AR130" s="4">
        <v>1</v>
      </c>
      <c r="AS130" s="4">
        <v>10</v>
      </c>
      <c r="AT130" s="4" t="s">
        <v>749</v>
      </c>
      <c r="AU130" s="4">
        <v>1500</v>
      </c>
      <c r="AV130" s="4">
        <f>IF(AR130="",AU130,AR130/AS130*AU130)</f>
        <v>150</v>
      </c>
      <c r="AW130" s="19">
        <v>4</v>
      </c>
      <c r="AX130" s="19">
        <v>8</v>
      </c>
      <c r="AY130" s="16">
        <v>5</v>
      </c>
      <c r="AZ130" t="s">
        <v>462</v>
      </c>
      <c r="BA130" t="str">
        <f t="shared" si="8"/>
        <v>-</v>
      </c>
      <c r="BB130" t="s">
        <v>462</v>
      </c>
      <c r="BC130" t="str">
        <f t="shared" si="9"/>
        <v>-</v>
      </c>
      <c r="BD130" t="s">
        <v>583</v>
      </c>
    </row>
    <row r="131" spans="1:56" x14ac:dyDescent="0.4">
      <c r="A131" s="3">
        <v>12</v>
      </c>
      <c r="B131" s="3">
        <v>12</v>
      </c>
      <c r="C131" s="4">
        <v>395523</v>
      </c>
      <c r="D131" s="4" t="str">
        <f>TEXT(C131,"000000")</f>
        <v>395523</v>
      </c>
      <c r="E131" s="4">
        <v>395523</v>
      </c>
      <c r="F131" s="4" t="s">
        <v>214</v>
      </c>
      <c r="G131" s="5">
        <v>4901881021985</v>
      </c>
      <c r="H131" s="5"/>
      <c r="I131" s="5"/>
      <c r="J131" s="5">
        <v>1</v>
      </c>
      <c r="K131" s="5">
        <v>1</v>
      </c>
      <c r="L131" s="4">
        <v>180</v>
      </c>
      <c r="M131" s="4">
        <v>141</v>
      </c>
      <c r="N131" s="4">
        <v>77</v>
      </c>
      <c r="O131" s="6">
        <f>IFERROR(1-N131/M131,"-")</f>
        <v>0.45390070921985815</v>
      </c>
      <c r="P131" s="4" t="s">
        <v>462</v>
      </c>
      <c r="Q131" s="4" t="s">
        <v>462</v>
      </c>
      <c r="R131" s="4" t="s">
        <v>462</v>
      </c>
      <c r="S131" s="4">
        <v>200</v>
      </c>
      <c r="T131" s="4">
        <f>IF(W131="",S131,S131*W131)</f>
        <v>200</v>
      </c>
      <c r="U131" s="4">
        <v>86</v>
      </c>
      <c r="V131" s="4">
        <f>IF(W131="",U131,U131*W131)</f>
        <v>86</v>
      </c>
      <c r="W131" s="4"/>
      <c r="X131" s="21">
        <f>ROUND(M131*AL131,0)</f>
        <v>157</v>
      </c>
      <c r="Y131" s="6">
        <f>IFERROR(1-V131/X131,"-")</f>
        <v>0.45222929936305734</v>
      </c>
      <c r="Z131" s="33">
        <v>14.000000000000002</v>
      </c>
      <c r="AA131" s="4">
        <f>AV131</f>
        <v>180</v>
      </c>
      <c r="AB131" s="33">
        <f>IFERROR(AA131*AL131,"-")</f>
        <v>201.03896103896102</v>
      </c>
      <c r="AC131" s="6">
        <f>IFERROR(1-V131/AB131,"-")</f>
        <v>0.57222222222222219</v>
      </c>
      <c r="AD131" s="7">
        <v>150</v>
      </c>
      <c r="AE131" s="6">
        <f>1-V131/AD131</f>
        <v>0.42666666666666664</v>
      </c>
      <c r="AF131" s="4">
        <f>AD131-V131</f>
        <v>64</v>
      </c>
      <c r="AG131" s="28"/>
      <c r="AH131" s="6"/>
      <c r="AI131" s="6"/>
      <c r="AJ131" s="6">
        <f>IFERROR(T131/L131,"-")</f>
        <v>1.1111111111111112</v>
      </c>
      <c r="AK131" s="6">
        <f>IFERROR(AD131/M131,"-")</f>
        <v>1.0638297872340425</v>
      </c>
      <c r="AL131" s="6">
        <f>IFERROR(V131/N131,"-")</f>
        <v>1.1168831168831168</v>
      </c>
      <c r="AM131" s="4" t="str">
        <f t="shared" si="5"/>
        <v>-</v>
      </c>
      <c r="AN131" s="4" t="str">
        <f t="shared" si="6"/>
        <v>-</v>
      </c>
      <c r="AO131" s="4" t="str">
        <f t="shared" si="7"/>
        <v>-</v>
      </c>
      <c r="AP131" s="4">
        <v>0</v>
      </c>
      <c r="AQ131" s="4" t="s">
        <v>823</v>
      </c>
      <c r="AR131" s="4">
        <v>1</v>
      </c>
      <c r="AS131" s="4">
        <v>10</v>
      </c>
      <c r="AT131" s="4" t="s">
        <v>779</v>
      </c>
      <c r="AU131" s="4">
        <v>1800</v>
      </c>
      <c r="AV131" s="4">
        <f>IF(AR131="",AU131,AR131/AS131*AU131)</f>
        <v>180</v>
      </c>
      <c r="AW131" s="19">
        <v>4</v>
      </c>
      <c r="AX131" s="19">
        <v>1</v>
      </c>
      <c r="AY131" s="16">
        <v>5</v>
      </c>
      <c r="AZ131" t="s">
        <v>462</v>
      </c>
      <c r="BA131" t="str">
        <f t="shared" si="8"/>
        <v>-</v>
      </c>
      <c r="BB131" t="s">
        <v>462</v>
      </c>
      <c r="BC131" t="str">
        <f t="shared" si="9"/>
        <v>-</v>
      </c>
      <c r="BD131" t="s">
        <v>584</v>
      </c>
    </row>
    <row r="132" spans="1:56" x14ac:dyDescent="0.4">
      <c r="A132" s="3">
        <v>57</v>
      </c>
      <c r="B132" s="3">
        <v>57</v>
      </c>
      <c r="C132" s="4">
        <v>667267</v>
      </c>
      <c r="D132" s="4" t="str">
        <f>TEXT(C132,"000000")</f>
        <v>667267</v>
      </c>
      <c r="E132" s="4">
        <v>667267</v>
      </c>
      <c r="F132" s="4" t="s">
        <v>259</v>
      </c>
      <c r="G132" s="5">
        <v>4901881142376</v>
      </c>
      <c r="H132" s="5"/>
      <c r="I132" s="5"/>
      <c r="J132" s="5">
        <v>1</v>
      </c>
      <c r="K132" s="5">
        <v>1</v>
      </c>
      <c r="L132" s="4">
        <v>170</v>
      </c>
      <c r="M132" s="4">
        <v>129</v>
      </c>
      <c r="N132" s="4">
        <v>85</v>
      </c>
      <c r="O132" s="6">
        <f>IFERROR(1-N132/M132,"-")</f>
        <v>0.34108527131782951</v>
      </c>
      <c r="P132" s="4" t="s">
        <v>462</v>
      </c>
      <c r="Q132" s="4" t="s">
        <v>462</v>
      </c>
      <c r="R132" s="4" t="s">
        <v>462</v>
      </c>
      <c r="S132" s="4">
        <v>190</v>
      </c>
      <c r="T132" s="4">
        <f>IF(W132="",S132,S132*W132)</f>
        <v>190</v>
      </c>
      <c r="U132" s="4">
        <v>95</v>
      </c>
      <c r="V132" s="4">
        <f>IF(W132="",U132,U132*W132)</f>
        <v>95</v>
      </c>
      <c r="W132" s="4"/>
      <c r="X132" s="21">
        <f>ROUND(M132*AL132,0)</f>
        <v>144</v>
      </c>
      <c r="Y132" s="6">
        <f>IFERROR(1-V132/X132,"-")</f>
        <v>0.34027777777777779</v>
      </c>
      <c r="Z132" s="33">
        <v>0.5</v>
      </c>
      <c r="AA132" s="4">
        <f>AV132</f>
        <v>170</v>
      </c>
      <c r="AB132" s="33">
        <f>IFERROR(AA132*AL132,"-")</f>
        <v>190</v>
      </c>
      <c r="AC132" s="6">
        <f>IFERROR(1-V132/AB132,"-")</f>
        <v>0.5</v>
      </c>
      <c r="AD132" s="7">
        <v>155</v>
      </c>
      <c r="AE132" s="6">
        <f>1-V132/AD132</f>
        <v>0.38709677419354838</v>
      </c>
      <c r="AF132" s="4">
        <f>AD132-V132</f>
        <v>60</v>
      </c>
      <c r="AG132" s="28"/>
      <c r="AH132" s="6"/>
      <c r="AI132" s="6"/>
      <c r="AJ132" s="6">
        <f>IFERROR(T132/L132,"-")</f>
        <v>1.1176470588235294</v>
      </c>
      <c r="AK132" s="6">
        <f>IFERROR(AD132/M132,"-")</f>
        <v>1.2015503875968991</v>
      </c>
      <c r="AL132" s="6">
        <f>IFERROR(V132/N132,"-")</f>
        <v>1.1176470588235294</v>
      </c>
      <c r="AM132" s="4" t="str">
        <f t="shared" si="5"/>
        <v>-</v>
      </c>
      <c r="AN132" s="4" t="str">
        <f t="shared" si="6"/>
        <v>-</v>
      </c>
      <c r="AO132" s="4" t="str">
        <f t="shared" si="7"/>
        <v>-</v>
      </c>
      <c r="AP132" s="4">
        <v>0</v>
      </c>
      <c r="AQ132" s="4" t="s">
        <v>824</v>
      </c>
      <c r="AR132" s="4">
        <v>1</v>
      </c>
      <c r="AS132" s="4">
        <v>10</v>
      </c>
      <c r="AT132" s="4" t="s">
        <v>779</v>
      </c>
      <c r="AU132" s="4">
        <v>1700</v>
      </c>
      <c r="AV132" s="4">
        <f>IF(AR132="",AU132,AR132/AS132*AU132)</f>
        <v>170</v>
      </c>
      <c r="AW132" s="19">
        <v>4</v>
      </c>
      <c r="AX132" s="19">
        <v>1</v>
      </c>
      <c r="AY132" s="16">
        <v>5</v>
      </c>
      <c r="AZ132" t="s">
        <v>462</v>
      </c>
      <c r="BA132" t="str">
        <f t="shared" si="8"/>
        <v>-</v>
      </c>
      <c r="BB132" t="s">
        <v>462</v>
      </c>
      <c r="BC132" t="str">
        <f t="shared" si="9"/>
        <v>-</v>
      </c>
      <c r="BD132" t="s">
        <v>585</v>
      </c>
    </row>
    <row r="133" spans="1:56" x14ac:dyDescent="0.4">
      <c r="A133" s="3">
        <v>134</v>
      </c>
      <c r="B133" s="3">
        <v>134</v>
      </c>
      <c r="C133" s="4" t="s">
        <v>102</v>
      </c>
      <c r="D133" s="4" t="str">
        <f>TEXT(C133,"000000")</f>
        <v>J84527</v>
      </c>
      <c r="E133" s="4" t="s">
        <v>102</v>
      </c>
      <c r="F133" s="4" t="s">
        <v>336</v>
      </c>
      <c r="G133" s="5">
        <v>4901881143380</v>
      </c>
      <c r="H133" s="5"/>
      <c r="I133" s="5"/>
      <c r="J133" s="5">
        <v>1</v>
      </c>
      <c r="K133" s="5">
        <v>1</v>
      </c>
      <c r="L133" s="4">
        <v>170</v>
      </c>
      <c r="M133" s="4">
        <v>129</v>
      </c>
      <c r="N133" s="4">
        <v>85</v>
      </c>
      <c r="O133" s="6">
        <f>IFERROR(1-N133/M133,"-")</f>
        <v>0.34108527131782951</v>
      </c>
      <c r="P133" s="4" t="s">
        <v>462</v>
      </c>
      <c r="Q133" s="4" t="s">
        <v>462</v>
      </c>
      <c r="R133" s="4" t="s">
        <v>462</v>
      </c>
      <c r="S133" s="4">
        <v>190</v>
      </c>
      <c r="T133" s="4">
        <f>IF(W133="",S133,S133*W133)</f>
        <v>190</v>
      </c>
      <c r="U133" s="4">
        <v>95</v>
      </c>
      <c r="V133" s="4">
        <f>IF(W133="",U133,U133*W133)</f>
        <v>95</v>
      </c>
      <c r="W133" s="4"/>
      <c r="X133" s="21">
        <f>ROUND(M133*AL133,0)</f>
        <v>144</v>
      </c>
      <c r="Y133" s="6">
        <f>IFERROR(1-V133/X133,"-")</f>
        <v>0.34027777777777779</v>
      </c>
      <c r="Z133" s="33">
        <v>1</v>
      </c>
      <c r="AA133" s="4">
        <f>AV133</f>
        <v>170</v>
      </c>
      <c r="AB133" s="33">
        <f>IFERROR(AA133*AL133,"-")</f>
        <v>190</v>
      </c>
      <c r="AC133" s="6">
        <f>IFERROR(1-V133/AB133,"-")</f>
        <v>0.5</v>
      </c>
      <c r="AD133" s="7">
        <v>155</v>
      </c>
      <c r="AE133" s="6">
        <f>1-V133/AD133</f>
        <v>0.38709677419354838</v>
      </c>
      <c r="AF133" s="4">
        <f>AD133-V133</f>
        <v>60</v>
      </c>
      <c r="AG133" s="28"/>
      <c r="AH133" s="6"/>
      <c r="AI133" s="6"/>
      <c r="AJ133" s="6">
        <f>IFERROR(T133/L133,"-")</f>
        <v>1.1176470588235294</v>
      </c>
      <c r="AK133" s="6">
        <f>IFERROR(AD133/M133,"-")</f>
        <v>1.2015503875968991</v>
      </c>
      <c r="AL133" s="6">
        <f>IFERROR(V133/N133,"-")</f>
        <v>1.1176470588235294</v>
      </c>
      <c r="AM133" s="4" t="str">
        <f t="shared" ref="AM133:AM196" si="10">IFERROR(ROUND($AD133*P133/$M133,0),"-")</f>
        <v>-</v>
      </c>
      <c r="AN133" s="4" t="str">
        <f t="shared" ref="AN133:AN196" si="11">IF(Q133="","-",Q133)</f>
        <v>-</v>
      </c>
      <c r="AO133" s="4" t="str">
        <f t="shared" ref="AO133:AO196" si="12">IF(R133="","-",R133)</f>
        <v>-</v>
      </c>
      <c r="AP133" s="4">
        <v>0</v>
      </c>
      <c r="AQ133" s="4" t="s">
        <v>825</v>
      </c>
      <c r="AR133" s="4">
        <v>1</v>
      </c>
      <c r="AS133" s="4">
        <v>5</v>
      </c>
      <c r="AT133" s="4" t="s">
        <v>826</v>
      </c>
      <c r="AU133" s="4">
        <v>850</v>
      </c>
      <c r="AV133" s="4">
        <f>IF(AR133="",AU133,AR133/AS133*AU133)</f>
        <v>170</v>
      </c>
      <c r="AW133" s="19">
        <v>4</v>
      </c>
      <c r="AX133" s="19">
        <v>1</v>
      </c>
      <c r="AY133" s="16">
        <v>5</v>
      </c>
      <c r="AZ133" t="s">
        <v>462</v>
      </c>
      <c r="BA133" t="str">
        <f t="shared" ref="BA133:BA196" si="13">IFERROR(AZ133*AL133,"-")</f>
        <v>-</v>
      </c>
      <c r="BB133" t="s">
        <v>462</v>
      </c>
      <c r="BC133" t="str">
        <f t="shared" ref="BC133:BC196" si="14">IFERROR(BB133*AL133,"-")</f>
        <v>-</v>
      </c>
      <c r="BD133" t="s">
        <v>586</v>
      </c>
    </row>
    <row r="134" spans="1:56" x14ac:dyDescent="0.4">
      <c r="A134" s="3">
        <v>135</v>
      </c>
      <c r="B134" s="3">
        <v>135</v>
      </c>
      <c r="C134" s="4" t="s">
        <v>103</v>
      </c>
      <c r="D134" s="4" t="str">
        <f>TEXT(C134,"000000")</f>
        <v>J84528</v>
      </c>
      <c r="E134" s="4" t="s">
        <v>103</v>
      </c>
      <c r="F134" s="4" t="s">
        <v>337</v>
      </c>
      <c r="G134" s="5">
        <v>4901881143397</v>
      </c>
      <c r="H134" s="5"/>
      <c r="I134" s="5"/>
      <c r="J134" s="5">
        <v>1</v>
      </c>
      <c r="K134" s="5">
        <v>1</v>
      </c>
      <c r="L134" s="4">
        <v>170</v>
      </c>
      <c r="M134" s="4">
        <v>138</v>
      </c>
      <c r="N134" s="4">
        <v>85</v>
      </c>
      <c r="O134" s="6">
        <f>IFERROR(1-N134/M134,"-")</f>
        <v>0.38405797101449279</v>
      </c>
      <c r="P134" s="4" t="s">
        <v>462</v>
      </c>
      <c r="Q134" s="4" t="s">
        <v>462</v>
      </c>
      <c r="R134" s="4" t="s">
        <v>462</v>
      </c>
      <c r="S134" s="4">
        <v>190</v>
      </c>
      <c r="T134" s="4">
        <f>IF(W134="",S134,S134*W134)</f>
        <v>190</v>
      </c>
      <c r="U134" s="4">
        <v>95</v>
      </c>
      <c r="V134" s="4">
        <f>IF(W134="",U134,U134*W134)</f>
        <v>95</v>
      </c>
      <c r="W134" s="4"/>
      <c r="X134" s="21">
        <f>ROUND(M134*AL134,0)</f>
        <v>154</v>
      </c>
      <c r="Y134" s="6">
        <f>IFERROR(1-V134/X134,"-")</f>
        <v>0.38311688311688308</v>
      </c>
      <c r="Z134" s="33">
        <v>1.5</v>
      </c>
      <c r="AA134" s="4">
        <f>AV134</f>
        <v>170</v>
      </c>
      <c r="AB134" s="33">
        <f>IFERROR(AA134*AL134,"-")</f>
        <v>190</v>
      </c>
      <c r="AC134" s="6">
        <f>IFERROR(1-V134/AB134,"-")</f>
        <v>0.5</v>
      </c>
      <c r="AD134" s="7">
        <v>155</v>
      </c>
      <c r="AE134" s="6">
        <f>1-V134/AD134</f>
        <v>0.38709677419354838</v>
      </c>
      <c r="AF134" s="4">
        <f>AD134-V134</f>
        <v>60</v>
      </c>
      <c r="AG134" s="28"/>
      <c r="AH134" s="6"/>
      <c r="AI134" s="6"/>
      <c r="AJ134" s="6">
        <f>IFERROR(T134/L134,"-")</f>
        <v>1.1176470588235294</v>
      </c>
      <c r="AK134" s="6">
        <f>IFERROR(AD134/M134,"-")</f>
        <v>1.1231884057971016</v>
      </c>
      <c r="AL134" s="6">
        <f>IFERROR(V134/N134,"-")</f>
        <v>1.1176470588235294</v>
      </c>
      <c r="AM134" s="4" t="str">
        <f t="shared" si="10"/>
        <v>-</v>
      </c>
      <c r="AN134" s="4" t="str">
        <f t="shared" si="11"/>
        <v>-</v>
      </c>
      <c r="AO134" s="4" t="str">
        <f t="shared" si="12"/>
        <v>-</v>
      </c>
      <c r="AP134" s="4">
        <v>0</v>
      </c>
      <c r="AQ134" s="4" t="s">
        <v>827</v>
      </c>
      <c r="AR134" s="4">
        <v>1</v>
      </c>
      <c r="AS134" s="4">
        <v>5</v>
      </c>
      <c r="AT134" s="4" t="s">
        <v>826</v>
      </c>
      <c r="AU134" s="4">
        <v>850</v>
      </c>
      <c r="AV134" s="4">
        <f>IF(AR134="",AU134,AR134/AS134*AU134)</f>
        <v>170</v>
      </c>
      <c r="AW134" s="19">
        <v>4</v>
      </c>
      <c r="AX134" s="19">
        <v>1</v>
      </c>
      <c r="AY134" s="16">
        <v>5</v>
      </c>
      <c r="AZ134" t="s">
        <v>462</v>
      </c>
      <c r="BA134" t="str">
        <f t="shared" si="13"/>
        <v>-</v>
      </c>
      <c r="BB134" t="s">
        <v>462</v>
      </c>
      <c r="BC134" t="str">
        <f t="shared" si="14"/>
        <v>-</v>
      </c>
      <c r="BD134" t="s">
        <v>587</v>
      </c>
    </row>
    <row r="135" spans="1:56" x14ac:dyDescent="0.4">
      <c r="A135" s="3">
        <v>136</v>
      </c>
      <c r="B135" s="3">
        <v>136</v>
      </c>
      <c r="C135" s="4" t="s">
        <v>104</v>
      </c>
      <c r="D135" s="4" t="str">
        <f>TEXT(C135,"000000")</f>
        <v>J84529</v>
      </c>
      <c r="E135" s="4" t="s">
        <v>104</v>
      </c>
      <c r="F135" s="4" t="s">
        <v>338</v>
      </c>
      <c r="G135" s="5">
        <v>4901881143403</v>
      </c>
      <c r="H135" s="5"/>
      <c r="I135" s="5"/>
      <c r="J135" s="5">
        <v>1</v>
      </c>
      <c r="K135" s="5">
        <v>1</v>
      </c>
      <c r="L135" s="4">
        <v>170</v>
      </c>
      <c r="M135" s="4">
        <v>129</v>
      </c>
      <c r="N135" s="4">
        <v>85</v>
      </c>
      <c r="O135" s="6">
        <f>IFERROR(1-N135/M135,"-")</f>
        <v>0.34108527131782951</v>
      </c>
      <c r="P135" s="4" t="s">
        <v>462</v>
      </c>
      <c r="Q135" s="4" t="s">
        <v>462</v>
      </c>
      <c r="R135" s="4" t="s">
        <v>462</v>
      </c>
      <c r="S135" s="4">
        <v>190</v>
      </c>
      <c r="T135" s="4">
        <f>IF(W135="",S135,S135*W135)</f>
        <v>190</v>
      </c>
      <c r="U135" s="4">
        <v>95</v>
      </c>
      <c r="V135" s="4">
        <f>IF(W135="",U135,U135*W135)</f>
        <v>95</v>
      </c>
      <c r="W135" s="4"/>
      <c r="X135" s="21">
        <f>ROUND(M135*AL135,0)</f>
        <v>144</v>
      </c>
      <c r="Y135" s="6">
        <f>IFERROR(1-V135/X135,"-")</f>
        <v>0.34027777777777779</v>
      </c>
      <c r="Z135" s="33">
        <v>0.25</v>
      </c>
      <c r="AA135" s="4">
        <f>AV135</f>
        <v>170</v>
      </c>
      <c r="AB135" s="33">
        <f>IFERROR(AA135*AL135,"-")</f>
        <v>190</v>
      </c>
      <c r="AC135" s="6">
        <f>IFERROR(1-V135/AB135,"-")</f>
        <v>0.5</v>
      </c>
      <c r="AD135" s="7">
        <v>155</v>
      </c>
      <c r="AE135" s="6">
        <f>1-V135/AD135</f>
        <v>0.38709677419354838</v>
      </c>
      <c r="AF135" s="4">
        <f>AD135-V135</f>
        <v>60</v>
      </c>
      <c r="AG135" s="28"/>
      <c r="AH135" s="6"/>
      <c r="AI135" s="6"/>
      <c r="AJ135" s="6">
        <f>IFERROR(T135/L135,"-")</f>
        <v>1.1176470588235294</v>
      </c>
      <c r="AK135" s="6">
        <f>IFERROR(AD135/M135,"-")</f>
        <v>1.2015503875968991</v>
      </c>
      <c r="AL135" s="6">
        <f>IFERROR(V135/N135,"-")</f>
        <v>1.1176470588235294</v>
      </c>
      <c r="AM135" s="4" t="str">
        <f t="shared" si="10"/>
        <v>-</v>
      </c>
      <c r="AN135" s="4" t="str">
        <f t="shared" si="11"/>
        <v>-</v>
      </c>
      <c r="AO135" s="4" t="str">
        <f t="shared" si="12"/>
        <v>-</v>
      </c>
      <c r="AP135" s="4">
        <v>0</v>
      </c>
      <c r="AQ135" s="4" t="s">
        <v>828</v>
      </c>
      <c r="AR135" s="4">
        <v>1</v>
      </c>
      <c r="AS135" s="4">
        <v>5</v>
      </c>
      <c r="AT135" s="4" t="s">
        <v>826</v>
      </c>
      <c r="AU135" s="4">
        <v>850</v>
      </c>
      <c r="AV135" s="4">
        <f>IF(AR135="",AU135,AR135/AS135*AU135)</f>
        <v>170</v>
      </c>
      <c r="AW135" s="19">
        <v>4</v>
      </c>
      <c r="AX135" s="19">
        <v>8</v>
      </c>
      <c r="AY135" s="16">
        <v>5</v>
      </c>
      <c r="AZ135" t="s">
        <v>462</v>
      </c>
      <c r="BA135" t="str">
        <f t="shared" si="13"/>
        <v>-</v>
      </c>
      <c r="BB135" t="s">
        <v>462</v>
      </c>
      <c r="BC135" t="str">
        <f t="shared" si="14"/>
        <v>-</v>
      </c>
      <c r="BD135" t="s">
        <v>588</v>
      </c>
    </row>
    <row r="136" spans="1:56" x14ac:dyDescent="0.4">
      <c r="A136" s="3">
        <v>137</v>
      </c>
      <c r="B136" s="3">
        <v>137</v>
      </c>
      <c r="C136" s="4" t="s">
        <v>105</v>
      </c>
      <c r="D136" s="4" t="str">
        <f>TEXT(C136,"000000")</f>
        <v>J84530</v>
      </c>
      <c r="E136" s="4" t="s">
        <v>105</v>
      </c>
      <c r="F136" s="4" t="s">
        <v>339</v>
      </c>
      <c r="G136" s="5">
        <v>4901881143410</v>
      </c>
      <c r="H136" s="5"/>
      <c r="I136" s="5"/>
      <c r="J136" s="5">
        <v>1</v>
      </c>
      <c r="K136" s="5">
        <v>1</v>
      </c>
      <c r="L136" s="4">
        <v>170</v>
      </c>
      <c r="M136" s="4">
        <v>123</v>
      </c>
      <c r="N136" s="4">
        <v>85</v>
      </c>
      <c r="O136" s="6">
        <f>IFERROR(1-N136/M136,"-")</f>
        <v>0.30894308943089432</v>
      </c>
      <c r="P136" s="4" t="s">
        <v>462</v>
      </c>
      <c r="Q136" s="4" t="s">
        <v>462</v>
      </c>
      <c r="R136" s="4" t="s">
        <v>462</v>
      </c>
      <c r="S136" s="4">
        <v>190</v>
      </c>
      <c r="T136" s="4">
        <f>IF(W136="",S136,S136*W136)</f>
        <v>190</v>
      </c>
      <c r="U136" s="4">
        <v>95</v>
      </c>
      <c r="V136" s="4">
        <f>IF(W136="",U136,U136*W136)</f>
        <v>95</v>
      </c>
      <c r="W136" s="4"/>
      <c r="X136" s="21">
        <f>ROUND(M136*AL136,0)</f>
        <v>137</v>
      </c>
      <c r="Y136" s="6">
        <f>IFERROR(1-V136/X136,"-")</f>
        <v>0.30656934306569339</v>
      </c>
      <c r="Z136" s="33">
        <v>0.5</v>
      </c>
      <c r="AA136" s="4">
        <f>AV136</f>
        <v>170</v>
      </c>
      <c r="AB136" s="33">
        <f>IFERROR(AA136*AL136,"-")</f>
        <v>190</v>
      </c>
      <c r="AC136" s="6">
        <f>IFERROR(1-V136/AB136,"-")</f>
        <v>0.5</v>
      </c>
      <c r="AD136" s="7">
        <v>155</v>
      </c>
      <c r="AE136" s="6">
        <f>1-V136/AD136</f>
        <v>0.38709677419354838</v>
      </c>
      <c r="AF136" s="4">
        <f>AD136-V136</f>
        <v>60</v>
      </c>
      <c r="AG136" s="28"/>
      <c r="AH136" s="6"/>
      <c r="AI136" s="6"/>
      <c r="AJ136" s="6">
        <f>IFERROR(T136/L136,"-")</f>
        <v>1.1176470588235294</v>
      </c>
      <c r="AK136" s="6">
        <f>IFERROR(AD136/M136,"-")</f>
        <v>1.2601626016260163</v>
      </c>
      <c r="AL136" s="6">
        <f>IFERROR(V136/N136,"-")</f>
        <v>1.1176470588235294</v>
      </c>
      <c r="AM136" s="4" t="str">
        <f t="shared" si="10"/>
        <v>-</v>
      </c>
      <c r="AN136" s="4" t="str">
        <f t="shared" si="11"/>
        <v>-</v>
      </c>
      <c r="AO136" s="4" t="str">
        <f t="shared" si="12"/>
        <v>-</v>
      </c>
      <c r="AP136" s="4">
        <v>0</v>
      </c>
      <c r="AQ136" s="4" t="s">
        <v>829</v>
      </c>
      <c r="AR136" s="4">
        <v>1</v>
      </c>
      <c r="AS136" s="4">
        <v>5</v>
      </c>
      <c r="AT136" s="4" t="s">
        <v>826</v>
      </c>
      <c r="AU136" s="4">
        <v>850</v>
      </c>
      <c r="AV136" s="4">
        <f>IF(AR136="",AU136,AR136/AS136*AU136)</f>
        <v>170</v>
      </c>
      <c r="AW136" s="19">
        <v>4</v>
      </c>
      <c r="AX136" s="19">
        <v>1</v>
      </c>
      <c r="AY136" s="16">
        <v>5</v>
      </c>
      <c r="AZ136" t="s">
        <v>462</v>
      </c>
      <c r="BA136" t="str">
        <f t="shared" si="13"/>
        <v>-</v>
      </c>
      <c r="BB136" t="s">
        <v>462</v>
      </c>
      <c r="BC136" t="str">
        <f t="shared" si="14"/>
        <v>-</v>
      </c>
      <c r="BD136" t="s">
        <v>589</v>
      </c>
    </row>
    <row r="137" spans="1:56" x14ac:dyDescent="0.4">
      <c r="A137" s="3">
        <v>138</v>
      </c>
      <c r="B137" s="3">
        <v>138</v>
      </c>
      <c r="C137" s="4" t="s">
        <v>106</v>
      </c>
      <c r="D137" s="4" t="str">
        <f>TEXT(C137,"000000")</f>
        <v>J84531</v>
      </c>
      <c r="E137" s="4" t="s">
        <v>106</v>
      </c>
      <c r="F137" s="4" t="s">
        <v>340</v>
      </c>
      <c r="G137" s="5">
        <v>4901881143427</v>
      </c>
      <c r="H137" s="5"/>
      <c r="I137" s="5"/>
      <c r="J137" s="5">
        <v>1</v>
      </c>
      <c r="K137" s="5">
        <v>1</v>
      </c>
      <c r="L137" s="4">
        <v>170</v>
      </c>
      <c r="M137" s="4">
        <v>138</v>
      </c>
      <c r="N137" s="4">
        <v>85</v>
      </c>
      <c r="O137" s="6">
        <f>IFERROR(1-N137/M137,"-")</f>
        <v>0.38405797101449279</v>
      </c>
      <c r="P137" s="4" t="s">
        <v>462</v>
      </c>
      <c r="Q137" s="4" t="s">
        <v>462</v>
      </c>
      <c r="R137" s="4" t="s">
        <v>462</v>
      </c>
      <c r="S137" s="4">
        <v>190</v>
      </c>
      <c r="T137" s="4">
        <f>IF(W137="",S137,S137*W137)</f>
        <v>190</v>
      </c>
      <c r="U137" s="4">
        <v>95</v>
      </c>
      <c r="V137" s="4">
        <f>IF(W137="",U137,U137*W137)</f>
        <v>95</v>
      </c>
      <c r="W137" s="4"/>
      <c r="X137" s="21">
        <f>ROUND(M137*AL137,0)</f>
        <v>154</v>
      </c>
      <c r="Y137" s="6">
        <f>IFERROR(1-V137/X137,"-")</f>
        <v>0.38311688311688308</v>
      </c>
      <c r="Z137" s="33">
        <v>0.25</v>
      </c>
      <c r="AA137" s="4">
        <f>AV137</f>
        <v>170</v>
      </c>
      <c r="AB137" s="33">
        <f>IFERROR(AA137*AL137,"-")</f>
        <v>190</v>
      </c>
      <c r="AC137" s="6">
        <f>IFERROR(1-V137/AB137,"-")</f>
        <v>0.5</v>
      </c>
      <c r="AD137" s="7">
        <v>155</v>
      </c>
      <c r="AE137" s="6">
        <f>1-V137/AD137</f>
        <v>0.38709677419354838</v>
      </c>
      <c r="AF137" s="4">
        <f>AD137-V137</f>
        <v>60</v>
      </c>
      <c r="AG137" s="28"/>
      <c r="AH137" s="6"/>
      <c r="AI137" s="6"/>
      <c r="AJ137" s="6">
        <f>IFERROR(T137/L137,"-")</f>
        <v>1.1176470588235294</v>
      </c>
      <c r="AK137" s="6">
        <f>IFERROR(AD137/M137,"-")</f>
        <v>1.1231884057971016</v>
      </c>
      <c r="AL137" s="6">
        <f>IFERROR(V137/N137,"-")</f>
        <v>1.1176470588235294</v>
      </c>
      <c r="AM137" s="4" t="str">
        <f t="shared" si="10"/>
        <v>-</v>
      </c>
      <c r="AN137" s="4" t="str">
        <f t="shared" si="11"/>
        <v>-</v>
      </c>
      <c r="AO137" s="4" t="str">
        <f t="shared" si="12"/>
        <v>-</v>
      </c>
      <c r="AP137" s="4">
        <v>0</v>
      </c>
      <c r="AQ137" s="4" t="s">
        <v>830</v>
      </c>
      <c r="AR137" s="4">
        <v>1</v>
      </c>
      <c r="AS137" s="4">
        <v>5</v>
      </c>
      <c r="AT137" s="4" t="s">
        <v>826</v>
      </c>
      <c r="AU137" s="4">
        <v>850</v>
      </c>
      <c r="AV137" s="4">
        <f>IF(AR137="",AU137,AR137/AS137*AU137)</f>
        <v>170</v>
      </c>
      <c r="AW137" s="19">
        <v>4</v>
      </c>
      <c r="AX137" s="19">
        <v>8</v>
      </c>
      <c r="AY137" s="16">
        <v>5</v>
      </c>
      <c r="AZ137" t="s">
        <v>462</v>
      </c>
      <c r="BA137" t="str">
        <f t="shared" si="13"/>
        <v>-</v>
      </c>
      <c r="BB137" t="s">
        <v>462</v>
      </c>
      <c r="BC137" t="str">
        <f t="shared" si="14"/>
        <v>-</v>
      </c>
      <c r="BD137" t="s">
        <v>590</v>
      </c>
    </row>
    <row r="138" spans="1:56" x14ac:dyDescent="0.4">
      <c r="A138" s="3">
        <v>139</v>
      </c>
      <c r="B138" s="3">
        <v>139</v>
      </c>
      <c r="C138" s="4" t="s">
        <v>107</v>
      </c>
      <c r="D138" s="4" t="str">
        <f>TEXT(C138,"000000")</f>
        <v>J84532</v>
      </c>
      <c r="E138" s="4" t="s">
        <v>107</v>
      </c>
      <c r="F138" s="4" t="s">
        <v>341</v>
      </c>
      <c r="G138" s="5">
        <v>4901881143434</v>
      </c>
      <c r="H138" s="5"/>
      <c r="I138" s="5"/>
      <c r="J138" s="5">
        <v>1</v>
      </c>
      <c r="K138" s="5">
        <v>1</v>
      </c>
      <c r="L138" s="4">
        <v>170</v>
      </c>
      <c r="M138" s="4">
        <v>129</v>
      </c>
      <c r="N138" s="4">
        <v>85</v>
      </c>
      <c r="O138" s="6">
        <f>IFERROR(1-N138/M138,"-")</f>
        <v>0.34108527131782951</v>
      </c>
      <c r="P138" s="4" t="s">
        <v>462</v>
      </c>
      <c r="Q138" s="4" t="s">
        <v>462</v>
      </c>
      <c r="R138" s="4" t="s">
        <v>462</v>
      </c>
      <c r="S138" s="4">
        <v>190</v>
      </c>
      <c r="T138" s="4">
        <f>IF(W138="",S138,S138*W138)</f>
        <v>190</v>
      </c>
      <c r="U138" s="4">
        <v>95</v>
      </c>
      <c r="V138" s="4">
        <f>IF(W138="",U138,U138*W138)</f>
        <v>95</v>
      </c>
      <c r="W138" s="4"/>
      <c r="X138" s="21">
        <f>ROUND(M138*AL138,0)</f>
        <v>144</v>
      </c>
      <c r="Y138" s="6">
        <f>IFERROR(1-V138/X138,"-")</f>
        <v>0.34027777777777779</v>
      </c>
      <c r="Z138" s="33">
        <v>0.25</v>
      </c>
      <c r="AA138" s="4">
        <f>AV138</f>
        <v>170</v>
      </c>
      <c r="AB138" s="33">
        <f>IFERROR(AA138*AL138,"-")</f>
        <v>190</v>
      </c>
      <c r="AC138" s="6">
        <f>IFERROR(1-V138/AB138,"-")</f>
        <v>0.5</v>
      </c>
      <c r="AD138" s="7">
        <v>155</v>
      </c>
      <c r="AE138" s="6">
        <f>1-V138/AD138</f>
        <v>0.38709677419354838</v>
      </c>
      <c r="AF138" s="4">
        <f>AD138-V138</f>
        <v>60</v>
      </c>
      <c r="AG138" s="28"/>
      <c r="AH138" s="6"/>
      <c r="AI138" s="6"/>
      <c r="AJ138" s="6">
        <f>IFERROR(T138/L138,"-")</f>
        <v>1.1176470588235294</v>
      </c>
      <c r="AK138" s="6">
        <f>IFERROR(AD138/M138,"-")</f>
        <v>1.2015503875968991</v>
      </c>
      <c r="AL138" s="6">
        <f>IFERROR(V138/N138,"-")</f>
        <v>1.1176470588235294</v>
      </c>
      <c r="AM138" s="4" t="str">
        <f t="shared" si="10"/>
        <v>-</v>
      </c>
      <c r="AN138" s="4" t="str">
        <f t="shared" si="11"/>
        <v>-</v>
      </c>
      <c r="AO138" s="4" t="str">
        <f t="shared" si="12"/>
        <v>-</v>
      </c>
      <c r="AP138" s="4">
        <v>0</v>
      </c>
      <c r="AQ138" s="4" t="s">
        <v>831</v>
      </c>
      <c r="AR138" s="4">
        <v>1</v>
      </c>
      <c r="AS138" s="4">
        <v>5</v>
      </c>
      <c r="AT138" s="4" t="s">
        <v>826</v>
      </c>
      <c r="AU138" s="4">
        <v>850</v>
      </c>
      <c r="AV138" s="4">
        <f>IF(AR138="",AU138,AR138/AS138*AU138)</f>
        <v>170</v>
      </c>
      <c r="AW138" s="19">
        <v>4</v>
      </c>
      <c r="AX138" s="19">
        <v>8</v>
      </c>
      <c r="AY138" s="16">
        <v>5</v>
      </c>
      <c r="AZ138" t="s">
        <v>462</v>
      </c>
      <c r="BA138" t="str">
        <f t="shared" si="13"/>
        <v>-</v>
      </c>
      <c r="BB138" t="s">
        <v>462</v>
      </c>
      <c r="BC138" t="str">
        <f t="shared" si="14"/>
        <v>-</v>
      </c>
      <c r="BD138" t="s">
        <v>591</v>
      </c>
    </row>
    <row r="139" spans="1:56" x14ac:dyDescent="0.4">
      <c r="A139" s="3">
        <v>140</v>
      </c>
      <c r="B139" s="3">
        <v>140</v>
      </c>
      <c r="C139" s="4" t="s">
        <v>108</v>
      </c>
      <c r="D139" s="4" t="str">
        <f>TEXT(C139,"000000")</f>
        <v>J84533</v>
      </c>
      <c r="E139" s="4" t="s">
        <v>108</v>
      </c>
      <c r="F139" s="4" t="s">
        <v>342</v>
      </c>
      <c r="G139" s="5">
        <v>4901881143441</v>
      </c>
      <c r="H139" s="5"/>
      <c r="I139" s="5"/>
      <c r="J139" s="5">
        <v>1</v>
      </c>
      <c r="K139" s="5">
        <v>1</v>
      </c>
      <c r="L139" s="4">
        <v>170</v>
      </c>
      <c r="M139" s="4">
        <v>129</v>
      </c>
      <c r="N139" s="4">
        <v>85</v>
      </c>
      <c r="O139" s="6">
        <f>IFERROR(1-N139/M139,"-")</f>
        <v>0.34108527131782951</v>
      </c>
      <c r="P139" s="4" t="s">
        <v>462</v>
      </c>
      <c r="Q139" s="4" t="s">
        <v>462</v>
      </c>
      <c r="R139" s="4" t="s">
        <v>462</v>
      </c>
      <c r="S139" s="4">
        <v>190</v>
      </c>
      <c r="T139" s="4">
        <f>IF(W139="",S139,S139*W139)</f>
        <v>190</v>
      </c>
      <c r="U139" s="4">
        <v>95</v>
      </c>
      <c r="V139" s="4">
        <f>IF(W139="",U139,U139*W139)</f>
        <v>95</v>
      </c>
      <c r="W139" s="4"/>
      <c r="X139" s="21">
        <f>ROUND(M139*AL139,0)</f>
        <v>144</v>
      </c>
      <c r="Y139" s="6">
        <f>IFERROR(1-V139/X139,"-")</f>
        <v>0.34027777777777779</v>
      </c>
      <c r="Z139" s="33">
        <v>0.5</v>
      </c>
      <c r="AA139" s="4">
        <f>AV139</f>
        <v>170</v>
      </c>
      <c r="AB139" s="33">
        <f>IFERROR(AA139*AL139,"-")</f>
        <v>190</v>
      </c>
      <c r="AC139" s="6">
        <f>IFERROR(1-V139/AB139,"-")</f>
        <v>0.5</v>
      </c>
      <c r="AD139" s="7">
        <v>155</v>
      </c>
      <c r="AE139" s="6">
        <f>1-V139/AD139</f>
        <v>0.38709677419354838</v>
      </c>
      <c r="AF139" s="4">
        <f>AD139-V139</f>
        <v>60</v>
      </c>
      <c r="AG139" s="28"/>
      <c r="AH139" s="6"/>
      <c r="AI139" s="6"/>
      <c r="AJ139" s="6">
        <f>IFERROR(T139/L139,"-")</f>
        <v>1.1176470588235294</v>
      </c>
      <c r="AK139" s="6">
        <f>IFERROR(AD139/M139,"-")</f>
        <v>1.2015503875968991</v>
      </c>
      <c r="AL139" s="6">
        <f>IFERROR(V139/N139,"-")</f>
        <v>1.1176470588235294</v>
      </c>
      <c r="AM139" s="4" t="str">
        <f t="shared" si="10"/>
        <v>-</v>
      </c>
      <c r="AN139" s="4" t="str">
        <f t="shared" si="11"/>
        <v>-</v>
      </c>
      <c r="AO139" s="4" t="str">
        <f t="shared" si="12"/>
        <v>-</v>
      </c>
      <c r="AP139" s="4">
        <v>0</v>
      </c>
      <c r="AQ139" s="4" t="s">
        <v>832</v>
      </c>
      <c r="AR139" s="4">
        <v>1</v>
      </c>
      <c r="AS139" s="4">
        <v>5</v>
      </c>
      <c r="AT139" s="4" t="s">
        <v>826</v>
      </c>
      <c r="AU139" s="4">
        <v>850</v>
      </c>
      <c r="AV139" s="4">
        <f>IF(AR139="",AU139,AR139/AS139*AU139)</f>
        <v>170</v>
      </c>
      <c r="AW139" s="19">
        <v>4</v>
      </c>
      <c r="AX139" s="19">
        <v>1</v>
      </c>
      <c r="AY139" s="16">
        <v>5</v>
      </c>
      <c r="AZ139" t="s">
        <v>462</v>
      </c>
      <c r="BA139" t="str">
        <f t="shared" si="13"/>
        <v>-</v>
      </c>
      <c r="BB139" t="s">
        <v>462</v>
      </c>
      <c r="BC139" t="str">
        <f t="shared" si="14"/>
        <v>-</v>
      </c>
      <c r="BD139" t="s">
        <v>592</v>
      </c>
    </row>
    <row r="140" spans="1:56" x14ac:dyDescent="0.4">
      <c r="A140" s="3">
        <v>141</v>
      </c>
      <c r="B140" s="3">
        <v>141</v>
      </c>
      <c r="C140" s="4" t="s">
        <v>109</v>
      </c>
      <c r="D140" s="4" t="str">
        <f>TEXT(C140,"000000")</f>
        <v>J84534</v>
      </c>
      <c r="E140" s="4" t="s">
        <v>109</v>
      </c>
      <c r="F140" s="4" t="s">
        <v>343</v>
      </c>
      <c r="G140" s="5">
        <v>4901881143458</v>
      </c>
      <c r="H140" s="5"/>
      <c r="I140" s="5"/>
      <c r="J140" s="5">
        <v>1</v>
      </c>
      <c r="K140" s="5">
        <v>1</v>
      </c>
      <c r="L140" s="4">
        <v>170</v>
      </c>
      <c r="M140" s="4">
        <v>138</v>
      </c>
      <c r="N140" s="4">
        <v>85</v>
      </c>
      <c r="O140" s="6">
        <f>IFERROR(1-N140/M140,"-")</f>
        <v>0.38405797101449279</v>
      </c>
      <c r="P140" s="4" t="s">
        <v>462</v>
      </c>
      <c r="Q140" s="4" t="s">
        <v>462</v>
      </c>
      <c r="R140" s="4" t="s">
        <v>462</v>
      </c>
      <c r="S140" s="4">
        <v>190</v>
      </c>
      <c r="T140" s="4">
        <f>IF(W140="",S140,S140*W140)</f>
        <v>190</v>
      </c>
      <c r="U140" s="4">
        <v>95</v>
      </c>
      <c r="V140" s="4">
        <f>IF(W140="",U140,U140*W140)</f>
        <v>95</v>
      </c>
      <c r="W140" s="4"/>
      <c r="X140" s="21">
        <f>ROUND(M140*AL140,0)</f>
        <v>154</v>
      </c>
      <c r="Y140" s="6">
        <f>IFERROR(1-V140/X140,"-")</f>
        <v>0.38311688311688308</v>
      </c>
      <c r="Z140" s="33">
        <v>2.5</v>
      </c>
      <c r="AA140" s="4">
        <f>AV140</f>
        <v>170</v>
      </c>
      <c r="AB140" s="33">
        <f>IFERROR(AA140*AL140,"-")</f>
        <v>190</v>
      </c>
      <c r="AC140" s="6">
        <f>IFERROR(1-V140/AB140,"-")</f>
        <v>0.5</v>
      </c>
      <c r="AD140" s="7">
        <v>155</v>
      </c>
      <c r="AE140" s="6">
        <f>1-V140/AD140</f>
        <v>0.38709677419354838</v>
      </c>
      <c r="AF140" s="4">
        <f>AD140-V140</f>
        <v>60</v>
      </c>
      <c r="AG140" s="28"/>
      <c r="AH140" s="6"/>
      <c r="AI140" s="6"/>
      <c r="AJ140" s="6">
        <f>IFERROR(T140/L140,"-")</f>
        <v>1.1176470588235294</v>
      </c>
      <c r="AK140" s="6">
        <f>IFERROR(AD140/M140,"-")</f>
        <v>1.1231884057971016</v>
      </c>
      <c r="AL140" s="6">
        <f>IFERROR(V140/N140,"-")</f>
        <v>1.1176470588235294</v>
      </c>
      <c r="AM140" s="4" t="str">
        <f t="shared" si="10"/>
        <v>-</v>
      </c>
      <c r="AN140" s="4" t="str">
        <f t="shared" si="11"/>
        <v>-</v>
      </c>
      <c r="AO140" s="4" t="str">
        <f t="shared" si="12"/>
        <v>-</v>
      </c>
      <c r="AP140" s="4">
        <v>0</v>
      </c>
      <c r="AQ140" s="4" t="s">
        <v>833</v>
      </c>
      <c r="AR140" s="4">
        <v>1</v>
      </c>
      <c r="AS140" s="4">
        <v>5</v>
      </c>
      <c r="AT140" s="4" t="s">
        <v>826</v>
      </c>
      <c r="AU140" s="4">
        <v>850</v>
      </c>
      <c r="AV140" s="4">
        <f>IF(AR140="",AU140,AR140/AS140*AU140)</f>
        <v>170</v>
      </c>
      <c r="AW140" s="19">
        <v>4</v>
      </c>
      <c r="AX140" s="19">
        <v>1</v>
      </c>
      <c r="AY140" s="16">
        <v>5</v>
      </c>
      <c r="AZ140" t="s">
        <v>462</v>
      </c>
      <c r="BA140" t="str">
        <f t="shared" si="13"/>
        <v>-</v>
      </c>
      <c r="BB140" t="s">
        <v>462</v>
      </c>
      <c r="BC140" t="str">
        <f t="shared" si="14"/>
        <v>-</v>
      </c>
      <c r="BD140" t="s">
        <v>593</v>
      </c>
    </row>
    <row r="141" spans="1:56" x14ac:dyDescent="0.4">
      <c r="A141" s="3">
        <v>142</v>
      </c>
      <c r="B141" s="3">
        <v>142</v>
      </c>
      <c r="C141" s="4" t="s">
        <v>110</v>
      </c>
      <c r="D141" s="4" t="str">
        <f>TEXT(C141,"000000")</f>
        <v>J84535</v>
      </c>
      <c r="E141" s="4" t="s">
        <v>110</v>
      </c>
      <c r="F141" s="4" t="s">
        <v>344</v>
      </c>
      <c r="G141" s="5">
        <v>4901881143465</v>
      </c>
      <c r="H141" s="5"/>
      <c r="I141" s="5"/>
      <c r="J141" s="5">
        <v>1</v>
      </c>
      <c r="K141" s="5">
        <v>1</v>
      </c>
      <c r="L141" s="4">
        <v>170</v>
      </c>
      <c r="M141" s="4">
        <v>129</v>
      </c>
      <c r="N141" s="4">
        <v>85</v>
      </c>
      <c r="O141" s="6">
        <f>IFERROR(1-N141/M141,"-")</f>
        <v>0.34108527131782951</v>
      </c>
      <c r="P141" s="4" t="s">
        <v>462</v>
      </c>
      <c r="Q141" s="4" t="s">
        <v>462</v>
      </c>
      <c r="R141" s="4" t="s">
        <v>462</v>
      </c>
      <c r="S141" s="4">
        <v>190</v>
      </c>
      <c r="T141" s="4">
        <f>IF(W141="",S141,S141*W141)</f>
        <v>190</v>
      </c>
      <c r="U141" s="4">
        <v>95</v>
      </c>
      <c r="V141" s="4">
        <f>IF(W141="",U141,U141*W141)</f>
        <v>95</v>
      </c>
      <c r="W141" s="4"/>
      <c r="X141" s="21">
        <f>ROUND(M141*AL141,0)</f>
        <v>144</v>
      </c>
      <c r="Y141" s="6">
        <f>IFERROR(1-V141/X141,"-")</f>
        <v>0.34027777777777779</v>
      </c>
      <c r="Z141" s="33">
        <v>0.25</v>
      </c>
      <c r="AA141" s="4">
        <f>AV141</f>
        <v>170</v>
      </c>
      <c r="AB141" s="33">
        <f>IFERROR(AA141*AL141,"-")</f>
        <v>190</v>
      </c>
      <c r="AC141" s="6">
        <f>IFERROR(1-V141/AB141,"-")</f>
        <v>0.5</v>
      </c>
      <c r="AD141" s="7">
        <v>155</v>
      </c>
      <c r="AE141" s="6">
        <f>1-V141/AD141</f>
        <v>0.38709677419354838</v>
      </c>
      <c r="AF141" s="4">
        <f>AD141-V141</f>
        <v>60</v>
      </c>
      <c r="AG141" s="28"/>
      <c r="AH141" s="6"/>
      <c r="AI141" s="6"/>
      <c r="AJ141" s="6">
        <f>IFERROR(T141/L141,"-")</f>
        <v>1.1176470588235294</v>
      </c>
      <c r="AK141" s="6">
        <f>IFERROR(AD141/M141,"-")</f>
        <v>1.2015503875968991</v>
      </c>
      <c r="AL141" s="6">
        <f>IFERROR(V141/N141,"-")</f>
        <v>1.1176470588235294</v>
      </c>
      <c r="AM141" s="4" t="str">
        <f t="shared" si="10"/>
        <v>-</v>
      </c>
      <c r="AN141" s="4" t="str">
        <f t="shared" si="11"/>
        <v>-</v>
      </c>
      <c r="AO141" s="4" t="str">
        <f t="shared" si="12"/>
        <v>-</v>
      </c>
      <c r="AP141" s="4">
        <v>0</v>
      </c>
      <c r="AQ141" s="4" t="s">
        <v>834</v>
      </c>
      <c r="AR141" s="4">
        <v>1</v>
      </c>
      <c r="AS141" s="4">
        <v>5</v>
      </c>
      <c r="AT141" s="4" t="s">
        <v>826</v>
      </c>
      <c r="AU141" s="4">
        <v>850</v>
      </c>
      <c r="AV141" s="4">
        <f>IF(AR141="",AU141,AR141/AS141*AU141)</f>
        <v>170</v>
      </c>
      <c r="AW141" s="19">
        <v>4</v>
      </c>
      <c r="AX141" s="19">
        <v>8</v>
      </c>
      <c r="AY141" s="16">
        <v>5</v>
      </c>
      <c r="AZ141" t="s">
        <v>462</v>
      </c>
      <c r="BA141" t="str">
        <f t="shared" si="13"/>
        <v>-</v>
      </c>
      <c r="BB141" t="s">
        <v>462</v>
      </c>
      <c r="BC141" t="str">
        <f t="shared" si="14"/>
        <v>-</v>
      </c>
      <c r="BD141" t="s">
        <v>594</v>
      </c>
    </row>
    <row r="142" spans="1:56" x14ac:dyDescent="0.4">
      <c r="A142" s="3">
        <v>143</v>
      </c>
      <c r="B142" s="3">
        <v>143</v>
      </c>
      <c r="C142" s="4" t="s">
        <v>111</v>
      </c>
      <c r="D142" s="4" t="str">
        <f>TEXT(C142,"000000")</f>
        <v>J84536</v>
      </c>
      <c r="E142" s="4" t="s">
        <v>111</v>
      </c>
      <c r="F142" s="4" t="s">
        <v>345</v>
      </c>
      <c r="G142" s="5">
        <v>4901881143472</v>
      </c>
      <c r="H142" s="5"/>
      <c r="I142" s="5"/>
      <c r="J142" s="5">
        <v>1</v>
      </c>
      <c r="K142" s="5">
        <v>1</v>
      </c>
      <c r="L142" s="4">
        <v>170</v>
      </c>
      <c r="M142" s="4">
        <v>138</v>
      </c>
      <c r="N142" s="4">
        <v>85</v>
      </c>
      <c r="O142" s="6">
        <f>IFERROR(1-N142/M142,"-")</f>
        <v>0.38405797101449279</v>
      </c>
      <c r="P142" s="4" t="s">
        <v>462</v>
      </c>
      <c r="Q142" s="4" t="s">
        <v>462</v>
      </c>
      <c r="R142" s="4" t="s">
        <v>462</v>
      </c>
      <c r="S142" s="4">
        <v>190</v>
      </c>
      <c r="T142" s="4">
        <f>IF(W142="",S142,S142*W142)</f>
        <v>190</v>
      </c>
      <c r="U142" s="4">
        <v>95</v>
      </c>
      <c r="V142" s="4">
        <f>IF(W142="",U142,U142*W142)</f>
        <v>95</v>
      </c>
      <c r="W142" s="4"/>
      <c r="X142" s="21">
        <f>ROUND(M142*AL142,0)</f>
        <v>154</v>
      </c>
      <c r="Y142" s="6">
        <f>IFERROR(1-V142/X142,"-")</f>
        <v>0.38311688311688308</v>
      </c>
      <c r="Z142" s="33">
        <v>1</v>
      </c>
      <c r="AA142" s="4">
        <f>AV142</f>
        <v>170</v>
      </c>
      <c r="AB142" s="33">
        <f>IFERROR(AA142*AL142,"-")</f>
        <v>190</v>
      </c>
      <c r="AC142" s="6">
        <f>IFERROR(1-V142/AB142,"-")</f>
        <v>0.5</v>
      </c>
      <c r="AD142" s="7">
        <v>155</v>
      </c>
      <c r="AE142" s="6">
        <f>1-V142/AD142</f>
        <v>0.38709677419354838</v>
      </c>
      <c r="AF142" s="4">
        <f>AD142-V142</f>
        <v>60</v>
      </c>
      <c r="AG142" s="28"/>
      <c r="AH142" s="6"/>
      <c r="AI142" s="6"/>
      <c r="AJ142" s="6">
        <f>IFERROR(T142/L142,"-")</f>
        <v>1.1176470588235294</v>
      </c>
      <c r="AK142" s="6">
        <f>IFERROR(AD142/M142,"-")</f>
        <v>1.1231884057971016</v>
      </c>
      <c r="AL142" s="6">
        <f>IFERROR(V142/N142,"-")</f>
        <v>1.1176470588235294</v>
      </c>
      <c r="AM142" s="4" t="str">
        <f t="shared" si="10"/>
        <v>-</v>
      </c>
      <c r="AN142" s="4" t="str">
        <f t="shared" si="11"/>
        <v>-</v>
      </c>
      <c r="AO142" s="4" t="str">
        <f t="shared" si="12"/>
        <v>-</v>
      </c>
      <c r="AP142" s="4">
        <v>0</v>
      </c>
      <c r="AQ142" s="4" t="s">
        <v>835</v>
      </c>
      <c r="AR142" s="4">
        <v>1</v>
      </c>
      <c r="AS142" s="4">
        <v>5</v>
      </c>
      <c r="AT142" s="4" t="s">
        <v>826</v>
      </c>
      <c r="AU142" s="4">
        <v>850</v>
      </c>
      <c r="AV142" s="4">
        <f>IF(AR142="",AU142,AR142/AS142*AU142)</f>
        <v>170</v>
      </c>
      <c r="AW142" s="19">
        <v>4</v>
      </c>
      <c r="AX142" s="19">
        <v>8</v>
      </c>
      <c r="AY142" s="16">
        <v>5</v>
      </c>
      <c r="AZ142" t="s">
        <v>462</v>
      </c>
      <c r="BA142" t="str">
        <f t="shared" si="13"/>
        <v>-</v>
      </c>
      <c r="BB142" t="s">
        <v>462</v>
      </c>
      <c r="BC142" t="str">
        <f t="shared" si="14"/>
        <v>-</v>
      </c>
      <c r="BD142" t="s">
        <v>595</v>
      </c>
    </row>
    <row r="143" spans="1:56" x14ac:dyDescent="0.4">
      <c r="A143" s="3">
        <v>144</v>
      </c>
      <c r="B143" s="3">
        <v>144</v>
      </c>
      <c r="C143" s="4" t="s">
        <v>112</v>
      </c>
      <c r="D143" s="4" t="str">
        <f>TEXT(C143,"000000")</f>
        <v>J84537</v>
      </c>
      <c r="E143" s="4" t="s">
        <v>112</v>
      </c>
      <c r="F143" s="4" t="s">
        <v>346</v>
      </c>
      <c r="G143" s="5">
        <v>4901881143489</v>
      </c>
      <c r="H143" s="5"/>
      <c r="I143" s="5"/>
      <c r="J143" s="5">
        <v>1</v>
      </c>
      <c r="K143" s="5">
        <v>1</v>
      </c>
      <c r="L143" s="4">
        <v>170</v>
      </c>
      <c r="M143" s="4">
        <v>138</v>
      </c>
      <c r="N143" s="4">
        <v>85</v>
      </c>
      <c r="O143" s="6">
        <f>IFERROR(1-N143/M143,"-")</f>
        <v>0.38405797101449279</v>
      </c>
      <c r="P143" s="4" t="s">
        <v>462</v>
      </c>
      <c r="Q143" s="4" t="s">
        <v>462</v>
      </c>
      <c r="R143" s="4" t="s">
        <v>462</v>
      </c>
      <c r="S143" s="4">
        <v>190</v>
      </c>
      <c r="T143" s="4">
        <f>IF(W143="",S143,S143*W143)</f>
        <v>190</v>
      </c>
      <c r="U143" s="4">
        <v>95</v>
      </c>
      <c r="V143" s="4">
        <f>IF(W143="",U143,U143*W143)</f>
        <v>95</v>
      </c>
      <c r="W143" s="4"/>
      <c r="X143" s="21">
        <f>ROUND(M143*AL143,0)</f>
        <v>154</v>
      </c>
      <c r="Y143" s="6">
        <f>IFERROR(1-V143/X143,"-")</f>
        <v>0.38311688311688308</v>
      </c>
      <c r="Z143" s="33">
        <v>1.25</v>
      </c>
      <c r="AA143" s="4">
        <f>AV143</f>
        <v>170</v>
      </c>
      <c r="AB143" s="33">
        <f>IFERROR(AA143*AL143,"-")</f>
        <v>190</v>
      </c>
      <c r="AC143" s="6">
        <f>IFERROR(1-V143/AB143,"-")</f>
        <v>0.5</v>
      </c>
      <c r="AD143" s="7">
        <v>155</v>
      </c>
      <c r="AE143" s="6">
        <f>1-V143/AD143</f>
        <v>0.38709677419354838</v>
      </c>
      <c r="AF143" s="4">
        <f>AD143-V143</f>
        <v>60</v>
      </c>
      <c r="AG143" s="28"/>
      <c r="AH143" s="6"/>
      <c r="AI143" s="6"/>
      <c r="AJ143" s="6">
        <f>IFERROR(T143/L143,"-")</f>
        <v>1.1176470588235294</v>
      </c>
      <c r="AK143" s="6">
        <f>IFERROR(AD143/M143,"-")</f>
        <v>1.1231884057971016</v>
      </c>
      <c r="AL143" s="6">
        <f>IFERROR(V143/N143,"-")</f>
        <v>1.1176470588235294</v>
      </c>
      <c r="AM143" s="4" t="str">
        <f t="shared" si="10"/>
        <v>-</v>
      </c>
      <c r="AN143" s="4" t="str">
        <f t="shared" si="11"/>
        <v>-</v>
      </c>
      <c r="AO143" s="4" t="str">
        <f t="shared" si="12"/>
        <v>-</v>
      </c>
      <c r="AP143" s="4">
        <v>0</v>
      </c>
      <c r="AQ143" s="4" t="s">
        <v>836</v>
      </c>
      <c r="AR143" s="4">
        <v>1</v>
      </c>
      <c r="AS143" s="4">
        <v>5</v>
      </c>
      <c r="AT143" s="4" t="s">
        <v>826</v>
      </c>
      <c r="AU143" s="4">
        <v>850</v>
      </c>
      <c r="AV143" s="4">
        <f>IF(AR143="",AU143,AR143/AS143*AU143)</f>
        <v>170</v>
      </c>
      <c r="AW143" s="19">
        <v>4</v>
      </c>
      <c r="AX143" s="19">
        <v>1</v>
      </c>
      <c r="AY143" s="16">
        <v>5</v>
      </c>
      <c r="AZ143" t="s">
        <v>462</v>
      </c>
      <c r="BA143" t="str">
        <f t="shared" si="13"/>
        <v>-</v>
      </c>
      <c r="BB143" t="s">
        <v>462</v>
      </c>
      <c r="BC143" t="str">
        <f t="shared" si="14"/>
        <v>-</v>
      </c>
      <c r="BD143" t="s">
        <v>596</v>
      </c>
    </row>
    <row r="144" spans="1:56" x14ac:dyDescent="0.4">
      <c r="A144" s="3">
        <v>145</v>
      </c>
      <c r="B144" s="3">
        <v>145</v>
      </c>
      <c r="C144" s="4" t="s">
        <v>113</v>
      </c>
      <c r="D144" s="4" t="str">
        <f>TEXT(C144,"000000")</f>
        <v>J84538</v>
      </c>
      <c r="E144" s="4" t="s">
        <v>113</v>
      </c>
      <c r="F144" s="4" t="s">
        <v>347</v>
      </c>
      <c r="G144" s="5">
        <v>4901881143496</v>
      </c>
      <c r="H144" s="5"/>
      <c r="I144" s="5"/>
      <c r="J144" s="5">
        <v>1</v>
      </c>
      <c r="K144" s="5">
        <v>1</v>
      </c>
      <c r="L144" s="4">
        <v>170</v>
      </c>
      <c r="M144" s="4">
        <v>114</v>
      </c>
      <c r="N144" s="4">
        <v>85</v>
      </c>
      <c r="O144" s="6">
        <f>IFERROR(1-N144/M144,"-")</f>
        <v>0.25438596491228072</v>
      </c>
      <c r="P144" s="4" t="s">
        <v>462</v>
      </c>
      <c r="Q144" s="4" t="s">
        <v>462</v>
      </c>
      <c r="R144" s="4" t="s">
        <v>462</v>
      </c>
      <c r="S144" s="4">
        <v>190</v>
      </c>
      <c r="T144" s="4">
        <f>IF(W144="",S144,S144*W144)</f>
        <v>190</v>
      </c>
      <c r="U144" s="4">
        <v>95</v>
      </c>
      <c r="V144" s="4">
        <f>IF(W144="",U144,U144*W144)</f>
        <v>95</v>
      </c>
      <c r="W144" s="4"/>
      <c r="X144" s="21">
        <f>ROUND(M144*AL144,0)</f>
        <v>127</v>
      </c>
      <c r="Y144" s="6">
        <f>IFERROR(1-V144/X144,"-")</f>
        <v>0.25196850393700787</v>
      </c>
      <c r="Z144" s="33">
        <v>2.5</v>
      </c>
      <c r="AA144" s="4">
        <f>AV144</f>
        <v>170</v>
      </c>
      <c r="AB144" s="33">
        <f>IFERROR(AA144*AL144,"-")</f>
        <v>190</v>
      </c>
      <c r="AC144" s="6">
        <f>IFERROR(1-V144/AB144,"-")</f>
        <v>0.5</v>
      </c>
      <c r="AD144" s="7">
        <v>155</v>
      </c>
      <c r="AE144" s="6">
        <f>1-V144/AD144</f>
        <v>0.38709677419354838</v>
      </c>
      <c r="AF144" s="4">
        <f>AD144-V144</f>
        <v>60</v>
      </c>
      <c r="AG144" s="28"/>
      <c r="AH144" s="6"/>
      <c r="AI144" s="6"/>
      <c r="AJ144" s="6">
        <f>IFERROR(T144/L144,"-")</f>
        <v>1.1176470588235294</v>
      </c>
      <c r="AK144" s="6">
        <f>IFERROR(AD144/M144,"-")</f>
        <v>1.3596491228070176</v>
      </c>
      <c r="AL144" s="6">
        <f>IFERROR(V144/N144,"-")</f>
        <v>1.1176470588235294</v>
      </c>
      <c r="AM144" s="4" t="str">
        <f t="shared" si="10"/>
        <v>-</v>
      </c>
      <c r="AN144" s="4" t="str">
        <f t="shared" si="11"/>
        <v>-</v>
      </c>
      <c r="AO144" s="4" t="str">
        <f t="shared" si="12"/>
        <v>-</v>
      </c>
      <c r="AP144" s="4">
        <v>0</v>
      </c>
      <c r="AQ144" s="4" t="s">
        <v>837</v>
      </c>
      <c r="AR144" s="4">
        <v>1</v>
      </c>
      <c r="AS144" s="4">
        <v>5</v>
      </c>
      <c r="AT144" s="4" t="s">
        <v>826</v>
      </c>
      <c r="AU144" s="4">
        <v>850</v>
      </c>
      <c r="AV144" s="4">
        <f>IF(AR144="",AU144,AR144/AS144*AU144)</f>
        <v>170</v>
      </c>
      <c r="AW144" s="19">
        <v>4</v>
      </c>
      <c r="AX144" s="19">
        <v>1</v>
      </c>
      <c r="AY144" s="16">
        <v>5</v>
      </c>
      <c r="AZ144" t="s">
        <v>462</v>
      </c>
      <c r="BA144" t="str">
        <f t="shared" si="13"/>
        <v>-</v>
      </c>
      <c r="BB144" t="s">
        <v>462</v>
      </c>
      <c r="BC144" t="str">
        <f t="shared" si="14"/>
        <v>-</v>
      </c>
      <c r="BD144" t="s">
        <v>597</v>
      </c>
    </row>
    <row r="145" spans="1:56" x14ac:dyDescent="0.4">
      <c r="A145" s="3">
        <v>158</v>
      </c>
      <c r="B145" s="3">
        <v>158</v>
      </c>
      <c r="C145" s="4" t="s">
        <v>126</v>
      </c>
      <c r="D145" s="4" t="str">
        <f>TEXT(C145,"000000")</f>
        <v>J84539</v>
      </c>
      <c r="E145" s="4" t="s">
        <v>126</v>
      </c>
      <c r="F145" s="4" t="s">
        <v>360</v>
      </c>
      <c r="G145" s="5">
        <v>4901881143502</v>
      </c>
      <c r="H145" s="5"/>
      <c r="I145" s="5"/>
      <c r="J145" s="5">
        <v>1</v>
      </c>
      <c r="K145" s="5">
        <v>1</v>
      </c>
      <c r="L145" s="4">
        <v>170</v>
      </c>
      <c r="M145" s="4">
        <v>129</v>
      </c>
      <c r="N145" s="4">
        <v>85</v>
      </c>
      <c r="O145" s="6">
        <f>IFERROR(1-N145/M145,"-")</f>
        <v>0.34108527131782951</v>
      </c>
      <c r="P145" s="4" t="s">
        <v>462</v>
      </c>
      <c r="Q145" s="4" t="s">
        <v>462</v>
      </c>
      <c r="R145" s="4" t="s">
        <v>462</v>
      </c>
      <c r="S145" s="4">
        <v>190</v>
      </c>
      <c r="T145" s="4">
        <f>IF(W145="",S145,S145*W145)</f>
        <v>190</v>
      </c>
      <c r="U145" s="4">
        <v>95</v>
      </c>
      <c r="V145" s="4">
        <f>IF(W145="",U145,U145*W145)</f>
        <v>95</v>
      </c>
      <c r="W145" s="4"/>
      <c r="X145" s="21">
        <f>ROUND(M145*AL145,0)</f>
        <v>144</v>
      </c>
      <c r="Y145" s="6">
        <f>IFERROR(1-V145/X145,"-")</f>
        <v>0.34027777777777779</v>
      </c>
      <c r="Z145" s="33">
        <v>4</v>
      </c>
      <c r="AA145" s="4">
        <f>AV145</f>
        <v>170</v>
      </c>
      <c r="AB145" s="33">
        <f>IFERROR(AA145*AL145,"-")</f>
        <v>190</v>
      </c>
      <c r="AC145" s="6">
        <f>IFERROR(1-V145/AB145,"-")</f>
        <v>0.5</v>
      </c>
      <c r="AD145" s="7">
        <v>155</v>
      </c>
      <c r="AE145" s="6">
        <f>1-V145/AD145</f>
        <v>0.38709677419354838</v>
      </c>
      <c r="AF145" s="4">
        <f>AD145-V145</f>
        <v>60</v>
      </c>
      <c r="AG145" s="28"/>
      <c r="AH145" s="6"/>
      <c r="AI145" s="6"/>
      <c r="AJ145" s="6">
        <f>IFERROR(T145/L145,"-")</f>
        <v>1.1176470588235294</v>
      </c>
      <c r="AK145" s="6">
        <f>IFERROR(AD145/M145,"-")</f>
        <v>1.2015503875968991</v>
      </c>
      <c r="AL145" s="6">
        <f>IFERROR(V145/N145,"-")</f>
        <v>1.1176470588235294</v>
      </c>
      <c r="AM145" s="4" t="str">
        <f t="shared" si="10"/>
        <v>-</v>
      </c>
      <c r="AN145" s="4" t="str">
        <f t="shared" si="11"/>
        <v>-</v>
      </c>
      <c r="AO145" s="4" t="str">
        <f t="shared" si="12"/>
        <v>-</v>
      </c>
      <c r="AP145" s="4">
        <v>0</v>
      </c>
      <c r="AQ145" s="4" t="s">
        <v>838</v>
      </c>
      <c r="AR145" s="4"/>
      <c r="AS145" s="4"/>
      <c r="AT145" s="4" t="s">
        <v>693</v>
      </c>
      <c r="AU145" s="4">
        <v>170</v>
      </c>
      <c r="AV145" s="4">
        <f>IF(AR145="",AU145,AR145/AS145*AU145)</f>
        <v>170</v>
      </c>
      <c r="AW145" s="19">
        <v>4</v>
      </c>
      <c r="AX145" s="19">
        <v>1</v>
      </c>
      <c r="AY145" s="16">
        <v>5</v>
      </c>
      <c r="AZ145" t="s">
        <v>462</v>
      </c>
      <c r="BA145" t="str">
        <f t="shared" si="13"/>
        <v>-</v>
      </c>
      <c r="BB145" t="s">
        <v>462</v>
      </c>
      <c r="BC145" t="str">
        <f t="shared" si="14"/>
        <v>-</v>
      </c>
      <c r="BD145" t="s">
        <v>598</v>
      </c>
    </row>
    <row r="146" spans="1:56" x14ac:dyDescent="0.4">
      <c r="A146" s="3">
        <v>159</v>
      </c>
      <c r="B146" s="3">
        <v>159</v>
      </c>
      <c r="C146" s="4" t="s">
        <v>127</v>
      </c>
      <c r="D146" s="4" t="str">
        <f>TEXT(C146,"000000")</f>
        <v>J84540</v>
      </c>
      <c r="E146" s="4" t="s">
        <v>127</v>
      </c>
      <c r="F146" s="4" t="s">
        <v>361</v>
      </c>
      <c r="G146" s="5">
        <v>4901881143519</v>
      </c>
      <c r="H146" s="5"/>
      <c r="I146" s="5"/>
      <c r="J146" s="5">
        <v>1</v>
      </c>
      <c r="K146" s="5">
        <v>1</v>
      </c>
      <c r="L146" s="4">
        <v>170</v>
      </c>
      <c r="M146" s="4">
        <v>129</v>
      </c>
      <c r="N146" s="4">
        <v>85</v>
      </c>
      <c r="O146" s="6">
        <f>IFERROR(1-N146/M146,"-")</f>
        <v>0.34108527131782951</v>
      </c>
      <c r="P146" s="4" t="s">
        <v>462</v>
      </c>
      <c r="Q146" s="4" t="s">
        <v>462</v>
      </c>
      <c r="R146" s="4" t="s">
        <v>462</v>
      </c>
      <c r="S146" s="4">
        <v>190</v>
      </c>
      <c r="T146" s="4">
        <f>IF(W146="",S146,S146*W146)</f>
        <v>190</v>
      </c>
      <c r="U146" s="4">
        <v>95</v>
      </c>
      <c r="V146" s="4">
        <f>IF(W146="",U146,U146*W146)</f>
        <v>95</v>
      </c>
      <c r="W146" s="4"/>
      <c r="X146" s="21">
        <f>ROUND(M146*AL146,0)</f>
        <v>144</v>
      </c>
      <c r="Y146" s="6">
        <f>IFERROR(1-V146/X146,"-")</f>
        <v>0.34027777777777779</v>
      </c>
      <c r="Z146" s="33">
        <v>1.25</v>
      </c>
      <c r="AA146" s="4">
        <f>AV146</f>
        <v>170</v>
      </c>
      <c r="AB146" s="33">
        <f>IFERROR(AA146*AL146,"-")</f>
        <v>190</v>
      </c>
      <c r="AC146" s="6">
        <f>IFERROR(1-V146/AB146,"-")</f>
        <v>0.5</v>
      </c>
      <c r="AD146" s="7">
        <v>155</v>
      </c>
      <c r="AE146" s="6">
        <f>1-V146/AD146</f>
        <v>0.38709677419354838</v>
      </c>
      <c r="AF146" s="4">
        <f>AD146-V146</f>
        <v>60</v>
      </c>
      <c r="AG146" s="28"/>
      <c r="AH146" s="6"/>
      <c r="AI146" s="6"/>
      <c r="AJ146" s="6">
        <f>IFERROR(T146/L146,"-")</f>
        <v>1.1176470588235294</v>
      </c>
      <c r="AK146" s="6">
        <f>IFERROR(AD146/M146,"-")</f>
        <v>1.2015503875968991</v>
      </c>
      <c r="AL146" s="6">
        <f>IFERROR(V146/N146,"-")</f>
        <v>1.1176470588235294</v>
      </c>
      <c r="AM146" s="4" t="str">
        <f t="shared" si="10"/>
        <v>-</v>
      </c>
      <c r="AN146" s="4" t="str">
        <f t="shared" si="11"/>
        <v>-</v>
      </c>
      <c r="AO146" s="4" t="str">
        <f t="shared" si="12"/>
        <v>-</v>
      </c>
      <c r="AP146" s="4">
        <v>0</v>
      </c>
      <c r="AQ146" s="4" t="s">
        <v>839</v>
      </c>
      <c r="AR146" s="4">
        <v>1</v>
      </c>
      <c r="AS146" s="4">
        <v>5</v>
      </c>
      <c r="AT146" s="4" t="s">
        <v>826</v>
      </c>
      <c r="AU146" s="4">
        <v>850</v>
      </c>
      <c r="AV146" s="4">
        <f>IF(AR146="",AU146,AR146/AS146*AU146)</f>
        <v>170</v>
      </c>
      <c r="AW146" s="19">
        <v>4</v>
      </c>
      <c r="AX146" s="19">
        <v>8</v>
      </c>
      <c r="AY146" s="16">
        <v>5</v>
      </c>
      <c r="AZ146" t="s">
        <v>462</v>
      </c>
      <c r="BA146" t="str">
        <f t="shared" si="13"/>
        <v>-</v>
      </c>
      <c r="BB146" t="s">
        <v>462</v>
      </c>
      <c r="BC146" t="str">
        <f t="shared" si="14"/>
        <v>-</v>
      </c>
      <c r="BD146" t="s">
        <v>599</v>
      </c>
    </row>
    <row r="147" spans="1:56" x14ac:dyDescent="0.4">
      <c r="A147" s="3">
        <v>160</v>
      </c>
      <c r="B147" s="3">
        <v>160</v>
      </c>
      <c r="C147" s="4" t="s">
        <v>128</v>
      </c>
      <c r="D147" s="4" t="str">
        <f>TEXT(C147,"000000")</f>
        <v>J84541</v>
      </c>
      <c r="E147" s="4" t="s">
        <v>128</v>
      </c>
      <c r="F147" s="4" t="s">
        <v>362</v>
      </c>
      <c r="G147" s="5">
        <v>4901881143526</v>
      </c>
      <c r="H147" s="5"/>
      <c r="I147" s="5"/>
      <c r="J147" s="5">
        <v>1</v>
      </c>
      <c r="K147" s="5">
        <v>1</v>
      </c>
      <c r="L147" s="4">
        <v>170</v>
      </c>
      <c r="M147" s="4">
        <v>131</v>
      </c>
      <c r="N147" s="4">
        <v>85</v>
      </c>
      <c r="O147" s="6">
        <f>IFERROR(1-N147/M147,"-")</f>
        <v>0.35114503816793896</v>
      </c>
      <c r="P147" s="4" t="s">
        <v>462</v>
      </c>
      <c r="Q147" s="4" t="s">
        <v>462</v>
      </c>
      <c r="R147" s="4" t="s">
        <v>462</v>
      </c>
      <c r="S147" s="4">
        <v>190</v>
      </c>
      <c r="T147" s="4">
        <f>IF(W147="",S147,S147*W147)</f>
        <v>190</v>
      </c>
      <c r="U147" s="4">
        <v>95</v>
      </c>
      <c r="V147" s="4">
        <f>IF(W147="",U147,U147*W147)</f>
        <v>95</v>
      </c>
      <c r="W147" s="4"/>
      <c r="X147" s="21">
        <f>ROUND(M147*AL147,0)</f>
        <v>146</v>
      </c>
      <c r="Y147" s="6">
        <f>IFERROR(1-V147/X147,"-")</f>
        <v>0.34931506849315064</v>
      </c>
      <c r="Z147" s="33">
        <v>0.5</v>
      </c>
      <c r="AA147" s="4">
        <f>AV147</f>
        <v>170</v>
      </c>
      <c r="AB147" s="33">
        <f>IFERROR(AA147*AL147,"-")</f>
        <v>190</v>
      </c>
      <c r="AC147" s="6">
        <f>IFERROR(1-V147/AB147,"-")</f>
        <v>0.5</v>
      </c>
      <c r="AD147" s="7">
        <v>155</v>
      </c>
      <c r="AE147" s="6">
        <f>1-V147/AD147</f>
        <v>0.38709677419354838</v>
      </c>
      <c r="AF147" s="4">
        <f>AD147-V147</f>
        <v>60</v>
      </c>
      <c r="AG147" s="28"/>
      <c r="AH147" s="6"/>
      <c r="AI147" s="6"/>
      <c r="AJ147" s="6">
        <f>IFERROR(T147/L147,"-")</f>
        <v>1.1176470588235294</v>
      </c>
      <c r="AK147" s="6">
        <f>IFERROR(AD147/M147,"-")</f>
        <v>1.1832061068702291</v>
      </c>
      <c r="AL147" s="6">
        <f>IFERROR(V147/N147,"-")</f>
        <v>1.1176470588235294</v>
      </c>
      <c r="AM147" s="4" t="str">
        <f t="shared" si="10"/>
        <v>-</v>
      </c>
      <c r="AN147" s="4" t="str">
        <f t="shared" si="11"/>
        <v>-</v>
      </c>
      <c r="AO147" s="4" t="str">
        <f t="shared" si="12"/>
        <v>-</v>
      </c>
      <c r="AP147" s="4">
        <v>0</v>
      </c>
      <c r="AQ147" s="4" t="s">
        <v>840</v>
      </c>
      <c r="AR147" s="4">
        <v>1</v>
      </c>
      <c r="AS147" s="4">
        <v>5</v>
      </c>
      <c r="AT147" s="4" t="s">
        <v>826</v>
      </c>
      <c r="AU147" s="4">
        <v>850</v>
      </c>
      <c r="AV147" s="4">
        <f>IF(AR147="",AU147,AR147/AS147*AU147)</f>
        <v>170</v>
      </c>
      <c r="AW147" s="19">
        <v>4</v>
      </c>
      <c r="AX147" s="19">
        <v>1</v>
      </c>
      <c r="AY147" s="16">
        <v>5</v>
      </c>
      <c r="AZ147" t="s">
        <v>462</v>
      </c>
      <c r="BA147" t="str">
        <f t="shared" si="13"/>
        <v>-</v>
      </c>
      <c r="BB147" t="s">
        <v>462</v>
      </c>
      <c r="BC147" t="str">
        <f t="shared" si="14"/>
        <v>-</v>
      </c>
      <c r="BD147" t="s">
        <v>600</v>
      </c>
    </row>
    <row r="148" spans="1:56" x14ac:dyDescent="0.4">
      <c r="A148" s="3">
        <v>161</v>
      </c>
      <c r="B148" s="3">
        <v>161</v>
      </c>
      <c r="C148" s="4" t="s">
        <v>129</v>
      </c>
      <c r="D148" s="4" t="str">
        <f>TEXT(C148,"000000")</f>
        <v>J84542</v>
      </c>
      <c r="E148" s="4" t="s">
        <v>129</v>
      </c>
      <c r="F148" s="4" t="s">
        <v>363</v>
      </c>
      <c r="G148" s="5">
        <v>4901881143533</v>
      </c>
      <c r="H148" s="5"/>
      <c r="I148" s="5"/>
      <c r="J148" s="5">
        <v>1</v>
      </c>
      <c r="K148" s="5">
        <v>1</v>
      </c>
      <c r="L148" s="4">
        <v>170</v>
      </c>
      <c r="M148" s="4">
        <v>138</v>
      </c>
      <c r="N148" s="4">
        <v>85</v>
      </c>
      <c r="O148" s="6">
        <f>IFERROR(1-N148/M148,"-")</f>
        <v>0.38405797101449279</v>
      </c>
      <c r="P148" s="4" t="s">
        <v>462</v>
      </c>
      <c r="Q148" s="4" t="s">
        <v>462</v>
      </c>
      <c r="R148" s="4" t="s">
        <v>462</v>
      </c>
      <c r="S148" s="4">
        <v>190</v>
      </c>
      <c r="T148" s="4">
        <f>IF(W148="",S148,S148*W148)</f>
        <v>190</v>
      </c>
      <c r="U148" s="4">
        <v>95</v>
      </c>
      <c r="V148" s="4">
        <f>IF(W148="",U148,U148*W148)</f>
        <v>95</v>
      </c>
      <c r="W148" s="4"/>
      <c r="X148" s="21">
        <f>ROUND(M148*AL148,0)</f>
        <v>154</v>
      </c>
      <c r="Y148" s="6">
        <f>IFERROR(1-V148/X148,"-")</f>
        <v>0.38311688311688308</v>
      </c>
      <c r="Z148" s="33">
        <v>6.25</v>
      </c>
      <c r="AA148" s="4">
        <f>AV148</f>
        <v>170</v>
      </c>
      <c r="AB148" s="33">
        <f>IFERROR(AA148*AL148,"-")</f>
        <v>190</v>
      </c>
      <c r="AC148" s="6">
        <f>IFERROR(1-V148/AB148,"-")</f>
        <v>0.5</v>
      </c>
      <c r="AD148" s="7">
        <v>155</v>
      </c>
      <c r="AE148" s="6">
        <f>1-V148/AD148</f>
        <v>0.38709677419354838</v>
      </c>
      <c r="AF148" s="4">
        <f>AD148-V148</f>
        <v>60</v>
      </c>
      <c r="AG148" s="28"/>
      <c r="AH148" s="6"/>
      <c r="AI148" s="6"/>
      <c r="AJ148" s="6">
        <f>IFERROR(T148/L148,"-")</f>
        <v>1.1176470588235294</v>
      </c>
      <c r="AK148" s="6">
        <f>IFERROR(AD148/M148,"-")</f>
        <v>1.1231884057971016</v>
      </c>
      <c r="AL148" s="6">
        <f>IFERROR(V148/N148,"-")</f>
        <v>1.1176470588235294</v>
      </c>
      <c r="AM148" s="4" t="str">
        <f t="shared" si="10"/>
        <v>-</v>
      </c>
      <c r="AN148" s="4" t="str">
        <f t="shared" si="11"/>
        <v>-</v>
      </c>
      <c r="AO148" s="4" t="str">
        <f t="shared" si="12"/>
        <v>-</v>
      </c>
      <c r="AP148" s="4">
        <v>0</v>
      </c>
      <c r="AQ148" s="4" t="s">
        <v>841</v>
      </c>
      <c r="AR148" s="4"/>
      <c r="AS148" s="4"/>
      <c r="AT148" s="4" t="s">
        <v>693</v>
      </c>
      <c r="AU148" s="4">
        <v>170</v>
      </c>
      <c r="AV148" s="4">
        <f>IF(AR148="",AU148,AR148/AS148*AU148)</f>
        <v>170</v>
      </c>
      <c r="AW148" s="19">
        <v>4</v>
      </c>
      <c r="AX148" s="19">
        <v>1</v>
      </c>
      <c r="AY148" s="16">
        <v>5</v>
      </c>
      <c r="AZ148" t="s">
        <v>462</v>
      </c>
      <c r="BA148" t="str">
        <f t="shared" si="13"/>
        <v>-</v>
      </c>
      <c r="BB148" t="s">
        <v>462</v>
      </c>
      <c r="BC148" t="str">
        <f t="shared" si="14"/>
        <v>-</v>
      </c>
      <c r="BD148" t="s">
        <v>601</v>
      </c>
    </row>
    <row r="149" spans="1:56" x14ac:dyDescent="0.4">
      <c r="A149" s="3">
        <v>210</v>
      </c>
      <c r="B149" s="3">
        <v>210</v>
      </c>
      <c r="C149" s="4" t="s">
        <v>178</v>
      </c>
      <c r="D149" s="4" t="str">
        <f>TEXT(C149,"000000")</f>
        <v>J92385</v>
      </c>
      <c r="E149" s="4" t="s">
        <v>178</v>
      </c>
      <c r="F149" s="4" t="s">
        <v>412</v>
      </c>
      <c r="G149" s="5">
        <v>4901881143373</v>
      </c>
      <c r="H149" s="5"/>
      <c r="I149" s="5"/>
      <c r="J149" s="5">
        <v>1</v>
      </c>
      <c r="K149" s="5">
        <v>1</v>
      </c>
      <c r="L149" s="4">
        <v>170</v>
      </c>
      <c r="M149" s="4">
        <v>116</v>
      </c>
      <c r="N149" s="4">
        <v>85</v>
      </c>
      <c r="O149" s="6">
        <f>IFERROR(1-N149/M149,"-")</f>
        <v>0.26724137931034486</v>
      </c>
      <c r="P149" s="4" t="s">
        <v>462</v>
      </c>
      <c r="Q149" s="4" t="s">
        <v>462</v>
      </c>
      <c r="R149" s="4" t="s">
        <v>462</v>
      </c>
      <c r="S149" s="4">
        <v>190</v>
      </c>
      <c r="T149" s="4">
        <f>IF(W149="",S149,S149*W149)</f>
        <v>190</v>
      </c>
      <c r="U149" s="4">
        <v>95</v>
      </c>
      <c r="V149" s="4">
        <f>IF(W149="",U149,U149*W149)</f>
        <v>95</v>
      </c>
      <c r="W149" s="4"/>
      <c r="X149" s="21">
        <f>ROUND(M149*AL149,0)</f>
        <v>130</v>
      </c>
      <c r="Y149" s="6">
        <f>IFERROR(1-V149/X149,"-")</f>
        <v>0.26923076923076927</v>
      </c>
      <c r="Z149" s="33">
        <v>0.25</v>
      </c>
      <c r="AA149" s="4">
        <f>AV149</f>
        <v>170</v>
      </c>
      <c r="AB149" s="33">
        <f>IFERROR(AA149*AL149,"-")</f>
        <v>190</v>
      </c>
      <c r="AC149" s="6">
        <f>IFERROR(1-V149/AB149,"-")</f>
        <v>0.5</v>
      </c>
      <c r="AD149" s="7">
        <v>155</v>
      </c>
      <c r="AE149" s="6">
        <f>1-V149/AD149</f>
        <v>0.38709677419354838</v>
      </c>
      <c r="AF149" s="4">
        <f>AD149-V149</f>
        <v>60</v>
      </c>
      <c r="AG149" s="28"/>
      <c r="AH149" s="6"/>
      <c r="AI149" s="6"/>
      <c r="AJ149" s="6">
        <f>IFERROR(T149/L149,"-")</f>
        <v>1.1176470588235294</v>
      </c>
      <c r="AK149" s="6">
        <f>IFERROR(AD149/M149,"-")</f>
        <v>1.3362068965517242</v>
      </c>
      <c r="AL149" s="6">
        <f>IFERROR(V149/N149,"-")</f>
        <v>1.1176470588235294</v>
      </c>
      <c r="AM149" s="4" t="str">
        <f t="shared" si="10"/>
        <v>-</v>
      </c>
      <c r="AN149" s="4" t="str">
        <f t="shared" si="11"/>
        <v>-</v>
      </c>
      <c r="AO149" s="4" t="str">
        <f t="shared" si="12"/>
        <v>-</v>
      </c>
      <c r="AP149" s="4">
        <v>0</v>
      </c>
      <c r="AQ149" s="4" t="s">
        <v>842</v>
      </c>
      <c r="AR149" s="4">
        <v>1</v>
      </c>
      <c r="AS149" s="4">
        <v>10</v>
      </c>
      <c r="AT149" s="4" t="s">
        <v>702</v>
      </c>
      <c r="AU149" s="4">
        <v>1700</v>
      </c>
      <c r="AV149" s="4">
        <f>IF(AR149="",AU149,AR149/AS149*AU149)</f>
        <v>170</v>
      </c>
      <c r="AW149" s="19">
        <v>4</v>
      </c>
      <c r="AX149" s="19">
        <v>8</v>
      </c>
      <c r="AY149" s="16">
        <v>5</v>
      </c>
      <c r="AZ149" t="s">
        <v>462</v>
      </c>
      <c r="BA149" t="str">
        <f t="shared" si="13"/>
        <v>-</v>
      </c>
      <c r="BB149" t="s">
        <v>462</v>
      </c>
      <c r="BC149" t="str">
        <f t="shared" si="14"/>
        <v>-</v>
      </c>
      <c r="BD149" t="s">
        <v>602</v>
      </c>
    </row>
    <row r="150" spans="1:56" x14ac:dyDescent="0.4">
      <c r="A150" s="3">
        <v>56</v>
      </c>
      <c r="B150" s="3">
        <v>56</v>
      </c>
      <c r="C150" s="4">
        <v>667265</v>
      </c>
      <c r="D150" s="4" t="str">
        <f>TEXT(C150,"000000")</f>
        <v>667265</v>
      </c>
      <c r="E150" s="4">
        <v>667265</v>
      </c>
      <c r="F150" s="4" t="s">
        <v>258</v>
      </c>
      <c r="G150" s="5">
        <v>4901881142369</v>
      </c>
      <c r="H150" s="5"/>
      <c r="I150" s="5"/>
      <c r="J150" s="5">
        <v>1</v>
      </c>
      <c r="K150" s="5">
        <v>1</v>
      </c>
      <c r="L150" s="4">
        <v>190</v>
      </c>
      <c r="M150" s="4">
        <v>147</v>
      </c>
      <c r="N150" s="4">
        <v>95</v>
      </c>
      <c r="O150" s="6">
        <f>IFERROR(1-N150/M150,"-")</f>
        <v>0.3537414965986394</v>
      </c>
      <c r="P150" s="4" t="s">
        <v>462</v>
      </c>
      <c r="Q150" s="4" t="s">
        <v>462</v>
      </c>
      <c r="R150" s="4" t="s">
        <v>462</v>
      </c>
      <c r="S150" s="4">
        <v>210</v>
      </c>
      <c r="T150" s="4">
        <f>IF(W150="",S150,S150*W150)</f>
        <v>210</v>
      </c>
      <c r="U150" s="4">
        <v>105</v>
      </c>
      <c r="V150" s="4">
        <f>IF(W150="",U150,U150*W150)</f>
        <v>105</v>
      </c>
      <c r="W150" s="4"/>
      <c r="X150" s="21">
        <f>ROUND(M150*AL150,0)</f>
        <v>162</v>
      </c>
      <c r="Y150" s="6">
        <f>IFERROR(1-V150/X150,"-")</f>
        <v>0.35185185185185186</v>
      </c>
      <c r="Z150" s="33">
        <v>10.75</v>
      </c>
      <c r="AA150" s="4">
        <f>AV150</f>
        <v>190</v>
      </c>
      <c r="AB150" s="33">
        <f>IFERROR(AA150*AL150,"-")</f>
        <v>210.00000000000003</v>
      </c>
      <c r="AC150" s="6">
        <f>IFERROR(1-V150/AB150,"-")</f>
        <v>0.5</v>
      </c>
      <c r="AD150" s="7">
        <v>170</v>
      </c>
      <c r="AE150" s="6">
        <f>1-V150/AD150</f>
        <v>0.38235294117647056</v>
      </c>
      <c r="AF150" s="4">
        <f>AD150-V150</f>
        <v>65</v>
      </c>
      <c r="AG150" s="28"/>
      <c r="AH150" s="6"/>
      <c r="AI150" s="6"/>
      <c r="AJ150" s="6">
        <f>IFERROR(T150/L150,"-")</f>
        <v>1.1052631578947369</v>
      </c>
      <c r="AK150" s="6">
        <f>IFERROR(AD150/M150,"-")</f>
        <v>1.1564625850340136</v>
      </c>
      <c r="AL150" s="6">
        <f>IFERROR(V150/N150,"-")</f>
        <v>1.1052631578947369</v>
      </c>
      <c r="AM150" s="4" t="str">
        <f t="shared" si="10"/>
        <v>-</v>
      </c>
      <c r="AN150" s="4" t="str">
        <f t="shared" si="11"/>
        <v>-</v>
      </c>
      <c r="AO150" s="4" t="str">
        <f t="shared" si="12"/>
        <v>-</v>
      </c>
      <c r="AP150" s="4">
        <v>0</v>
      </c>
      <c r="AQ150" s="4" t="s">
        <v>843</v>
      </c>
      <c r="AR150" s="4">
        <v>1</v>
      </c>
      <c r="AS150" s="4">
        <v>10</v>
      </c>
      <c r="AT150" s="4" t="s">
        <v>779</v>
      </c>
      <c r="AU150" s="4">
        <v>1900</v>
      </c>
      <c r="AV150" s="4">
        <f>IF(AR150="",AU150,AR150/AS150*AU150)</f>
        <v>190</v>
      </c>
      <c r="AW150" s="19">
        <v>4</v>
      </c>
      <c r="AX150" s="19">
        <v>1</v>
      </c>
      <c r="AY150" s="16">
        <v>5</v>
      </c>
      <c r="AZ150" t="s">
        <v>462</v>
      </c>
      <c r="BA150" t="str">
        <f t="shared" si="13"/>
        <v>-</v>
      </c>
      <c r="BB150" t="s">
        <v>462</v>
      </c>
      <c r="BC150" t="str">
        <f t="shared" si="14"/>
        <v>-</v>
      </c>
      <c r="BD150" t="s">
        <v>603</v>
      </c>
    </row>
    <row r="151" spans="1:56" x14ac:dyDescent="0.4">
      <c r="A151" s="3">
        <v>163</v>
      </c>
      <c r="B151" s="3">
        <v>163</v>
      </c>
      <c r="C151" s="4" t="s">
        <v>131</v>
      </c>
      <c r="D151" s="4" t="str">
        <f>TEXT(C151,"000000")</f>
        <v>J84544</v>
      </c>
      <c r="E151" s="4" t="s">
        <v>131</v>
      </c>
      <c r="F151" s="4" t="s">
        <v>365</v>
      </c>
      <c r="G151" s="5">
        <v>4901881143557</v>
      </c>
      <c r="H151" s="5"/>
      <c r="I151" s="5"/>
      <c r="J151" s="5">
        <v>1</v>
      </c>
      <c r="K151" s="5">
        <v>1</v>
      </c>
      <c r="L151" s="4">
        <v>190</v>
      </c>
      <c r="M151" s="4">
        <v>140</v>
      </c>
      <c r="N151" s="4">
        <v>95</v>
      </c>
      <c r="O151" s="6">
        <f>IFERROR(1-N151/M151,"-")</f>
        <v>0.3214285714285714</v>
      </c>
      <c r="P151" s="4" t="s">
        <v>462</v>
      </c>
      <c r="Q151" s="4" t="s">
        <v>462</v>
      </c>
      <c r="R151" s="4" t="s">
        <v>462</v>
      </c>
      <c r="S151" s="4">
        <v>210</v>
      </c>
      <c r="T151" s="4">
        <f>IF(W151="",S151,S151*W151)</f>
        <v>210</v>
      </c>
      <c r="U151" s="4">
        <v>105</v>
      </c>
      <c r="V151" s="4">
        <f>IF(W151="",U151,U151*W151)</f>
        <v>105</v>
      </c>
      <c r="W151" s="4"/>
      <c r="X151" s="21">
        <f>ROUND(M151*AL151,0)</f>
        <v>155</v>
      </c>
      <c r="Y151" s="6">
        <f>IFERROR(1-V151/X151,"-")</f>
        <v>0.32258064516129037</v>
      </c>
      <c r="Z151" s="33">
        <v>0</v>
      </c>
      <c r="AA151" s="4">
        <f>AV151</f>
        <v>190</v>
      </c>
      <c r="AB151" s="33">
        <f>IFERROR(AA151*AL151,"-")</f>
        <v>210.00000000000003</v>
      </c>
      <c r="AC151" s="6">
        <f>IFERROR(1-V151/AB151,"-")</f>
        <v>0.5</v>
      </c>
      <c r="AD151" s="7">
        <v>170</v>
      </c>
      <c r="AE151" s="6">
        <f>1-V151/AD151</f>
        <v>0.38235294117647056</v>
      </c>
      <c r="AF151" s="4">
        <f>AD151-V151</f>
        <v>65</v>
      </c>
      <c r="AG151" s="28"/>
      <c r="AH151" s="6"/>
      <c r="AI151" s="6"/>
      <c r="AJ151" s="6">
        <f>IFERROR(T151/L151,"-")</f>
        <v>1.1052631578947369</v>
      </c>
      <c r="AK151" s="6">
        <f>IFERROR(AD151/M151,"-")</f>
        <v>1.2142857142857142</v>
      </c>
      <c r="AL151" s="6">
        <f>IFERROR(V151/N151,"-")</f>
        <v>1.1052631578947369</v>
      </c>
      <c r="AM151" s="4" t="str">
        <f t="shared" si="10"/>
        <v>-</v>
      </c>
      <c r="AN151" s="4" t="str">
        <f t="shared" si="11"/>
        <v>-</v>
      </c>
      <c r="AO151" s="4" t="str">
        <f t="shared" si="12"/>
        <v>-</v>
      </c>
      <c r="AP151" s="4">
        <v>0</v>
      </c>
      <c r="AQ151" s="4" t="s">
        <v>844</v>
      </c>
      <c r="AR151" s="4">
        <v>1</v>
      </c>
      <c r="AS151" s="4">
        <v>5</v>
      </c>
      <c r="AT151" s="4" t="s">
        <v>826</v>
      </c>
      <c r="AU151" s="4">
        <v>950</v>
      </c>
      <c r="AV151" s="4">
        <f>IF(AR151="",AU151,AR151/AS151*AU151)</f>
        <v>190</v>
      </c>
      <c r="AW151" s="19">
        <v>4</v>
      </c>
      <c r="AX151" s="19">
        <v>8</v>
      </c>
      <c r="AY151" s="16">
        <v>5</v>
      </c>
      <c r="AZ151" t="s">
        <v>462</v>
      </c>
      <c r="BA151" t="str">
        <f t="shared" si="13"/>
        <v>-</v>
      </c>
      <c r="BB151" t="s">
        <v>462</v>
      </c>
      <c r="BC151" t="str">
        <f t="shared" si="14"/>
        <v>-</v>
      </c>
      <c r="BD151" t="s">
        <v>604</v>
      </c>
    </row>
    <row r="152" spans="1:56" x14ac:dyDescent="0.4">
      <c r="A152" s="3">
        <v>209</v>
      </c>
      <c r="B152" s="3">
        <v>209</v>
      </c>
      <c r="C152" s="4" t="s">
        <v>177</v>
      </c>
      <c r="D152" s="4" t="str">
        <f>TEXT(C152,"000000")</f>
        <v>J92384</v>
      </c>
      <c r="E152" s="4" t="s">
        <v>177</v>
      </c>
      <c r="F152" s="4" t="s">
        <v>411</v>
      </c>
      <c r="G152" s="5">
        <v>4901881143366</v>
      </c>
      <c r="H152" s="5"/>
      <c r="I152" s="5"/>
      <c r="J152" s="5">
        <v>1</v>
      </c>
      <c r="K152" s="5">
        <v>1</v>
      </c>
      <c r="L152" s="4">
        <v>190</v>
      </c>
      <c r="M152" s="4">
        <v>155</v>
      </c>
      <c r="N152" s="4">
        <v>95</v>
      </c>
      <c r="O152" s="6">
        <f>IFERROR(1-N152/M152,"-")</f>
        <v>0.38709677419354838</v>
      </c>
      <c r="P152" s="4" t="s">
        <v>462</v>
      </c>
      <c r="Q152" s="4" t="s">
        <v>462</v>
      </c>
      <c r="R152" s="4" t="s">
        <v>462</v>
      </c>
      <c r="S152" s="4">
        <v>210</v>
      </c>
      <c r="T152" s="4">
        <f>IF(W152="",S152,S152*W152)</f>
        <v>210</v>
      </c>
      <c r="U152" s="4">
        <v>105</v>
      </c>
      <c r="V152" s="4">
        <f>IF(W152="",U152,U152*W152)</f>
        <v>105</v>
      </c>
      <c r="W152" s="4"/>
      <c r="X152" s="21">
        <f>ROUND(M152*AL152,0)</f>
        <v>171</v>
      </c>
      <c r="Y152" s="6">
        <f>IFERROR(1-V152/X152,"-")</f>
        <v>0.38596491228070173</v>
      </c>
      <c r="Z152" s="33">
        <v>0.5</v>
      </c>
      <c r="AA152" s="4">
        <f>AV152</f>
        <v>175</v>
      </c>
      <c r="AB152" s="33">
        <f>IFERROR(AA152*AL152,"-")</f>
        <v>193.42105263157896</v>
      </c>
      <c r="AC152" s="6">
        <f>IFERROR(1-V152/AB152,"-")</f>
        <v>0.45714285714285718</v>
      </c>
      <c r="AD152" s="7">
        <v>170</v>
      </c>
      <c r="AE152" s="6">
        <f>1-V152/AD152</f>
        <v>0.38235294117647056</v>
      </c>
      <c r="AF152" s="4">
        <f>AD152-V152</f>
        <v>65</v>
      </c>
      <c r="AG152" s="28"/>
      <c r="AH152" s="6"/>
      <c r="AI152" s="6"/>
      <c r="AJ152" s="6">
        <f>IFERROR(T152/L152,"-")</f>
        <v>1.1052631578947369</v>
      </c>
      <c r="AK152" s="6">
        <f>IFERROR(AD152/M152,"-")</f>
        <v>1.096774193548387</v>
      </c>
      <c r="AL152" s="6">
        <f>IFERROR(V152/N152,"-")</f>
        <v>1.1052631578947369</v>
      </c>
      <c r="AM152" s="4" t="str">
        <f t="shared" si="10"/>
        <v>-</v>
      </c>
      <c r="AN152" s="4" t="str">
        <f t="shared" si="11"/>
        <v>-</v>
      </c>
      <c r="AO152" s="4" t="str">
        <f t="shared" si="12"/>
        <v>-</v>
      </c>
      <c r="AP152" s="4">
        <v>0</v>
      </c>
      <c r="AQ152" s="4" t="s">
        <v>845</v>
      </c>
      <c r="AR152" s="4"/>
      <c r="AS152" s="4"/>
      <c r="AT152" s="4" t="s">
        <v>846</v>
      </c>
      <c r="AU152" s="4">
        <v>175</v>
      </c>
      <c r="AV152" s="4">
        <f>IF(AR152="",AU152,AR152/AS152*AU152)</f>
        <v>175</v>
      </c>
      <c r="AW152" s="19">
        <v>4</v>
      </c>
      <c r="AX152" s="19">
        <v>8</v>
      </c>
      <c r="AY152" s="16">
        <v>5</v>
      </c>
      <c r="AZ152" t="s">
        <v>462</v>
      </c>
      <c r="BA152" t="str">
        <f t="shared" si="13"/>
        <v>-</v>
      </c>
      <c r="BB152" t="s">
        <v>462</v>
      </c>
      <c r="BC152" t="str">
        <f t="shared" si="14"/>
        <v>-</v>
      </c>
      <c r="BD152" t="s">
        <v>605</v>
      </c>
    </row>
    <row r="153" spans="1:56" x14ac:dyDescent="0.4">
      <c r="A153" s="3">
        <v>16</v>
      </c>
      <c r="B153" s="3">
        <v>16</v>
      </c>
      <c r="C153" s="4">
        <v>410356</v>
      </c>
      <c r="D153" s="4" t="str">
        <f>TEXT(C153,"000000")</f>
        <v>410356</v>
      </c>
      <c r="E153" s="4">
        <v>410356</v>
      </c>
      <c r="F153" s="4" t="s">
        <v>218</v>
      </c>
      <c r="G153" s="5">
        <v>4901881185298</v>
      </c>
      <c r="H153" s="5"/>
      <c r="I153" s="5"/>
      <c r="J153" s="5">
        <v>1</v>
      </c>
      <c r="K153" s="5">
        <v>1</v>
      </c>
      <c r="L153" s="4">
        <v>2000</v>
      </c>
      <c r="M153" s="4">
        <v>1600</v>
      </c>
      <c r="N153" s="4">
        <v>1000</v>
      </c>
      <c r="O153" s="6">
        <f>IFERROR(1-N153/M153,"-")</f>
        <v>0.375</v>
      </c>
      <c r="P153" s="4" t="s">
        <v>462</v>
      </c>
      <c r="Q153" s="4" t="s">
        <v>462</v>
      </c>
      <c r="R153" s="4" t="s">
        <v>462</v>
      </c>
      <c r="S153" s="4">
        <v>230</v>
      </c>
      <c r="T153" s="4">
        <f>IF(W153="",S153,S153*W153)</f>
        <v>2300</v>
      </c>
      <c r="U153" s="4">
        <v>115</v>
      </c>
      <c r="V153" s="4">
        <f>IF(W153="",U153,U153*W153)</f>
        <v>1150</v>
      </c>
      <c r="W153" s="4">
        <v>10</v>
      </c>
      <c r="X153" s="21">
        <f>ROUND(M153*AL153,0)</f>
        <v>1840</v>
      </c>
      <c r="Y153" s="6">
        <f>IFERROR(1-V153/X153,"-")</f>
        <v>0.375</v>
      </c>
      <c r="Z153" s="33">
        <v>0</v>
      </c>
      <c r="AA153" s="4">
        <f>AV153</f>
        <v>2000</v>
      </c>
      <c r="AB153" s="33">
        <f>IFERROR(AA153*AL153,"-")</f>
        <v>2300</v>
      </c>
      <c r="AC153" s="6">
        <f>IFERROR(1-V153/AB153,"-")</f>
        <v>0.5</v>
      </c>
      <c r="AD153" s="7">
        <v>1840</v>
      </c>
      <c r="AE153" s="6">
        <f>1-V153/AD153</f>
        <v>0.375</v>
      </c>
      <c r="AF153" s="4">
        <f>AD153-V153</f>
        <v>690</v>
      </c>
      <c r="AG153" s="28"/>
      <c r="AH153" s="6"/>
      <c r="AI153" s="6"/>
      <c r="AJ153" s="6">
        <f>IFERROR(T153/L153,"-")</f>
        <v>1.1499999999999999</v>
      </c>
      <c r="AK153" s="6">
        <f>IFERROR(AD153/M153,"-")</f>
        <v>1.1499999999999999</v>
      </c>
      <c r="AL153" s="6">
        <f>IFERROR(V153/N153,"-")</f>
        <v>1.1499999999999999</v>
      </c>
      <c r="AM153" s="4" t="str">
        <f t="shared" si="10"/>
        <v>-</v>
      </c>
      <c r="AN153" s="4" t="str">
        <f t="shared" si="11"/>
        <v>-</v>
      </c>
      <c r="AO153" s="4" t="str">
        <f t="shared" si="12"/>
        <v>-</v>
      </c>
      <c r="AP153" s="4">
        <v>0</v>
      </c>
      <c r="AQ153" s="4" t="s">
        <v>847</v>
      </c>
      <c r="AR153" s="4">
        <v>10</v>
      </c>
      <c r="AS153" s="4">
        <v>5</v>
      </c>
      <c r="AT153" s="4" t="s">
        <v>826</v>
      </c>
      <c r="AU153" s="4">
        <v>1000</v>
      </c>
      <c r="AV153" s="4">
        <f>IF(AR153="",AU153,AR153/AS153*AU153)</f>
        <v>2000</v>
      </c>
      <c r="AW153" s="19">
        <v>8</v>
      </c>
      <c r="AX153" s="19">
        <v>8</v>
      </c>
      <c r="AY153" s="16">
        <v>5</v>
      </c>
      <c r="AZ153">
        <v>160</v>
      </c>
      <c r="BA153">
        <f t="shared" si="13"/>
        <v>184</v>
      </c>
      <c r="BB153" t="s">
        <v>462</v>
      </c>
      <c r="BC153" t="str">
        <f t="shared" si="14"/>
        <v>-</v>
      </c>
      <c r="BD153" t="s">
        <v>606</v>
      </c>
    </row>
    <row r="154" spans="1:56" x14ac:dyDescent="0.4">
      <c r="A154" s="3">
        <v>94</v>
      </c>
      <c r="B154" s="3">
        <v>94</v>
      </c>
      <c r="C154" s="4" t="s">
        <v>62</v>
      </c>
      <c r="D154" s="4" t="str">
        <f>TEXT(C154,"000000")</f>
        <v>J2862R</v>
      </c>
      <c r="E154" s="4" t="s">
        <v>62</v>
      </c>
      <c r="F154" s="4" t="s">
        <v>296</v>
      </c>
      <c r="G154" s="5">
        <v>4901881185274</v>
      </c>
      <c r="H154" s="5"/>
      <c r="I154" s="5"/>
      <c r="J154" s="5">
        <v>1</v>
      </c>
      <c r="K154" s="5">
        <v>1</v>
      </c>
      <c r="L154" s="4">
        <v>200</v>
      </c>
      <c r="M154" s="4">
        <v>175</v>
      </c>
      <c r="N154" s="4">
        <v>100</v>
      </c>
      <c r="O154" s="6">
        <f>IFERROR(1-N154/M154,"-")</f>
        <v>0.4285714285714286</v>
      </c>
      <c r="P154" s="4" t="s">
        <v>462</v>
      </c>
      <c r="Q154" s="4" t="s">
        <v>462</v>
      </c>
      <c r="R154" s="4" t="s">
        <v>462</v>
      </c>
      <c r="S154" s="4">
        <v>230</v>
      </c>
      <c r="T154" s="4">
        <f>IF(W154="",S154,S154*W154)</f>
        <v>230</v>
      </c>
      <c r="U154" s="4">
        <v>115</v>
      </c>
      <c r="V154" s="4">
        <f>IF(W154="",U154,U154*W154)</f>
        <v>115</v>
      </c>
      <c r="W154" s="4"/>
      <c r="X154" s="21">
        <f>ROUND(M154*AL154,0)</f>
        <v>201</v>
      </c>
      <c r="Y154" s="6">
        <f>IFERROR(1-V154/X154,"-")</f>
        <v>0.42786069651741299</v>
      </c>
      <c r="Z154" s="33">
        <v>2.75</v>
      </c>
      <c r="AA154" s="4">
        <f>AV154</f>
        <v>221</v>
      </c>
      <c r="AB154" s="33">
        <f>IFERROR(AA154*AL154,"-")</f>
        <v>254.14999999999998</v>
      </c>
      <c r="AC154" s="6">
        <f>IFERROR(1-V154/AB154,"-")</f>
        <v>0.54751131221719451</v>
      </c>
      <c r="AD154" s="7">
        <v>185</v>
      </c>
      <c r="AE154" s="6">
        <f>1-V154/AD154</f>
        <v>0.3783783783783784</v>
      </c>
      <c r="AF154" s="4">
        <f>AD154-V154</f>
        <v>70</v>
      </c>
      <c r="AG154" s="28"/>
      <c r="AH154" s="6"/>
      <c r="AI154" s="6"/>
      <c r="AJ154" s="6">
        <f>IFERROR(T154/L154,"-")</f>
        <v>1.1499999999999999</v>
      </c>
      <c r="AK154" s="6">
        <f>IFERROR(AD154/M154,"-")</f>
        <v>1.0571428571428572</v>
      </c>
      <c r="AL154" s="6">
        <f>IFERROR(V154/N154,"-")</f>
        <v>1.1499999999999999</v>
      </c>
      <c r="AM154" s="4" t="str">
        <f t="shared" si="10"/>
        <v>-</v>
      </c>
      <c r="AN154" s="4" t="str">
        <f t="shared" si="11"/>
        <v>-</v>
      </c>
      <c r="AO154" s="4" t="str">
        <f t="shared" si="12"/>
        <v>-</v>
      </c>
      <c r="AP154" s="4">
        <v>0</v>
      </c>
      <c r="AQ154" s="4" t="s">
        <v>848</v>
      </c>
      <c r="AR154" s="4"/>
      <c r="AS154" s="4"/>
      <c r="AT154" s="4" t="s">
        <v>693</v>
      </c>
      <c r="AU154" s="4">
        <v>221</v>
      </c>
      <c r="AV154" s="4">
        <f>IF(AR154="",AU154,AR154/AS154*AU154)</f>
        <v>221</v>
      </c>
      <c r="AW154" s="19">
        <v>4</v>
      </c>
      <c r="AX154" s="19">
        <v>1</v>
      </c>
      <c r="AY154" s="16">
        <v>5</v>
      </c>
      <c r="AZ154">
        <v>160</v>
      </c>
      <c r="BA154">
        <f t="shared" si="13"/>
        <v>184</v>
      </c>
      <c r="BB154" t="s">
        <v>462</v>
      </c>
      <c r="BC154" t="str">
        <f t="shared" si="14"/>
        <v>-</v>
      </c>
      <c r="BD154" t="s">
        <v>607</v>
      </c>
    </row>
    <row r="155" spans="1:56" x14ac:dyDescent="0.4">
      <c r="A155" s="3">
        <v>164</v>
      </c>
      <c r="B155" s="3">
        <v>164</v>
      </c>
      <c r="C155" s="4" t="s">
        <v>132</v>
      </c>
      <c r="D155" s="4" t="str">
        <f>TEXT(C155,"000000")</f>
        <v>J84572</v>
      </c>
      <c r="E155" s="4" t="s">
        <v>132</v>
      </c>
      <c r="F155" s="4" t="s">
        <v>366</v>
      </c>
      <c r="G155" s="5">
        <v>4901881185212</v>
      </c>
      <c r="H155" s="5"/>
      <c r="I155" s="5"/>
      <c r="J155" s="5">
        <v>1</v>
      </c>
      <c r="K155" s="5">
        <v>1</v>
      </c>
      <c r="L155" s="4">
        <v>200</v>
      </c>
      <c r="M155" s="4">
        <v>137</v>
      </c>
      <c r="N155" s="4">
        <v>100</v>
      </c>
      <c r="O155" s="6">
        <f>IFERROR(1-N155/M155,"-")</f>
        <v>0.27007299270072993</v>
      </c>
      <c r="P155" s="4" t="s">
        <v>462</v>
      </c>
      <c r="Q155" s="4" t="s">
        <v>462</v>
      </c>
      <c r="R155" s="4" t="s">
        <v>462</v>
      </c>
      <c r="S155" s="4">
        <v>230</v>
      </c>
      <c r="T155" s="4">
        <f>IF(W155="",S155,S155*W155)</f>
        <v>230</v>
      </c>
      <c r="U155" s="4">
        <v>115</v>
      </c>
      <c r="V155" s="4">
        <f>IF(W155="",U155,U155*W155)</f>
        <v>115</v>
      </c>
      <c r="W155" s="4"/>
      <c r="X155" s="21">
        <f>ROUND(M155*AL155,0)</f>
        <v>158</v>
      </c>
      <c r="Y155" s="6">
        <f>IFERROR(1-V155/X155,"-")</f>
        <v>0.27215189873417722</v>
      </c>
      <c r="Z155" s="33">
        <v>1.25</v>
      </c>
      <c r="AA155" s="4">
        <f>AV155</f>
        <v>170</v>
      </c>
      <c r="AB155" s="33">
        <f>IFERROR(AA155*AL155,"-")</f>
        <v>195.49999999999997</v>
      </c>
      <c r="AC155" s="6">
        <f>IFERROR(1-V155/AB155,"-")</f>
        <v>0.41176470588235281</v>
      </c>
      <c r="AD155" s="7">
        <v>185</v>
      </c>
      <c r="AE155" s="6">
        <f>1-V155/AD155</f>
        <v>0.3783783783783784</v>
      </c>
      <c r="AF155" s="4">
        <f>AD155-V155</f>
        <v>70</v>
      </c>
      <c r="AG155" s="28"/>
      <c r="AH155" s="6"/>
      <c r="AI155" s="6"/>
      <c r="AJ155" s="6">
        <f>IFERROR(T155/L155,"-")</f>
        <v>1.1499999999999999</v>
      </c>
      <c r="AK155" s="6">
        <f>IFERROR(AD155/M155,"-")</f>
        <v>1.3503649635036497</v>
      </c>
      <c r="AL155" s="6">
        <f>IFERROR(V155/N155,"-")</f>
        <v>1.1499999999999999</v>
      </c>
      <c r="AM155" s="4" t="str">
        <f t="shared" si="10"/>
        <v>-</v>
      </c>
      <c r="AN155" s="4" t="str">
        <f t="shared" si="11"/>
        <v>-</v>
      </c>
      <c r="AO155" s="4" t="str">
        <f t="shared" si="12"/>
        <v>-</v>
      </c>
      <c r="AP155" s="4">
        <v>0</v>
      </c>
      <c r="AQ155" s="4" t="s">
        <v>849</v>
      </c>
      <c r="AR155" s="4"/>
      <c r="AS155" s="4"/>
      <c r="AT155" s="4" t="s">
        <v>693</v>
      </c>
      <c r="AU155" s="4">
        <v>170</v>
      </c>
      <c r="AV155" s="4">
        <f>IF(AR155="",AU155,AR155/AS155*AU155)</f>
        <v>170</v>
      </c>
      <c r="AW155" s="19">
        <v>4</v>
      </c>
      <c r="AX155" s="19">
        <v>8</v>
      </c>
      <c r="AY155" s="16">
        <v>5</v>
      </c>
      <c r="AZ155" t="s">
        <v>462</v>
      </c>
      <c r="BA155" t="str">
        <f t="shared" si="13"/>
        <v>-</v>
      </c>
      <c r="BB155" t="s">
        <v>462</v>
      </c>
      <c r="BC155" t="str">
        <f t="shared" si="14"/>
        <v>-</v>
      </c>
      <c r="BD155" t="s">
        <v>608</v>
      </c>
    </row>
    <row r="156" spans="1:56" x14ac:dyDescent="0.4">
      <c r="A156" s="3">
        <v>165</v>
      </c>
      <c r="B156" s="3">
        <v>165</v>
      </c>
      <c r="C156" s="4" t="s">
        <v>133</v>
      </c>
      <c r="D156" s="4" t="str">
        <f>TEXT(C156,"000000")</f>
        <v>J84573</v>
      </c>
      <c r="E156" s="4" t="s">
        <v>133</v>
      </c>
      <c r="F156" s="4" t="s">
        <v>367</v>
      </c>
      <c r="G156" s="5">
        <v>4901881185267</v>
      </c>
      <c r="H156" s="5"/>
      <c r="I156" s="5"/>
      <c r="J156" s="5">
        <v>1</v>
      </c>
      <c r="K156" s="5">
        <v>1</v>
      </c>
      <c r="L156" s="4">
        <v>200</v>
      </c>
      <c r="M156" s="4">
        <v>163</v>
      </c>
      <c r="N156" s="4">
        <v>100</v>
      </c>
      <c r="O156" s="6">
        <f>IFERROR(1-N156/M156,"-")</f>
        <v>0.38650306748466257</v>
      </c>
      <c r="P156" s="4" t="s">
        <v>462</v>
      </c>
      <c r="Q156" s="4" t="s">
        <v>462</v>
      </c>
      <c r="R156" s="4" t="s">
        <v>462</v>
      </c>
      <c r="S156" s="4">
        <v>230</v>
      </c>
      <c r="T156" s="4">
        <f>IF(W156="",S156,S156*W156)</f>
        <v>230</v>
      </c>
      <c r="U156" s="4">
        <v>115</v>
      </c>
      <c r="V156" s="4">
        <f>IF(W156="",U156,U156*W156)</f>
        <v>115</v>
      </c>
      <c r="W156" s="4"/>
      <c r="X156" s="21">
        <f>ROUND(M156*AL156,0)</f>
        <v>187</v>
      </c>
      <c r="Y156" s="6">
        <f>IFERROR(1-V156/X156,"-")</f>
        <v>0.38502673796791442</v>
      </c>
      <c r="Z156" s="33">
        <v>2</v>
      </c>
      <c r="AA156" s="4">
        <f>AV156</f>
        <v>240</v>
      </c>
      <c r="AB156" s="33">
        <f>IFERROR(AA156*AL156,"-")</f>
        <v>276</v>
      </c>
      <c r="AC156" s="6">
        <f>IFERROR(1-V156/AB156,"-")</f>
        <v>0.58333333333333326</v>
      </c>
      <c r="AD156" s="7">
        <v>185</v>
      </c>
      <c r="AE156" s="6">
        <f>1-V156/AD156</f>
        <v>0.3783783783783784</v>
      </c>
      <c r="AF156" s="4">
        <f>AD156-V156</f>
        <v>70</v>
      </c>
      <c r="AG156" s="28"/>
      <c r="AH156" s="6"/>
      <c r="AI156" s="6"/>
      <c r="AJ156" s="6">
        <f>IFERROR(T156/L156,"-")</f>
        <v>1.1499999999999999</v>
      </c>
      <c r="AK156" s="6">
        <f>IFERROR(AD156/M156,"-")</f>
        <v>1.1349693251533743</v>
      </c>
      <c r="AL156" s="6">
        <f>IFERROR(V156/N156,"-")</f>
        <v>1.1499999999999999</v>
      </c>
      <c r="AM156" s="4" t="str">
        <f t="shared" si="10"/>
        <v>-</v>
      </c>
      <c r="AN156" s="4" t="str">
        <f t="shared" si="11"/>
        <v>-</v>
      </c>
      <c r="AO156" s="4" t="str">
        <f t="shared" si="12"/>
        <v>-</v>
      </c>
      <c r="AP156" s="4">
        <v>0</v>
      </c>
      <c r="AQ156" s="4" t="s">
        <v>850</v>
      </c>
      <c r="AR156" s="4"/>
      <c r="AS156" s="4"/>
      <c r="AT156" s="4" t="s">
        <v>846</v>
      </c>
      <c r="AU156" s="4">
        <v>240</v>
      </c>
      <c r="AV156" s="4">
        <f>IF(AR156="",AU156,AR156/AS156*AU156)</f>
        <v>240</v>
      </c>
      <c r="AW156" s="19">
        <v>4</v>
      </c>
      <c r="AX156" s="19">
        <v>8</v>
      </c>
      <c r="AY156" s="16">
        <v>5</v>
      </c>
      <c r="AZ156">
        <v>160</v>
      </c>
      <c r="BA156">
        <f t="shared" si="13"/>
        <v>184</v>
      </c>
      <c r="BB156" t="s">
        <v>462</v>
      </c>
      <c r="BC156" t="str">
        <f t="shared" si="14"/>
        <v>-</v>
      </c>
      <c r="BD156" t="s">
        <v>609</v>
      </c>
    </row>
    <row r="157" spans="1:56" x14ac:dyDescent="0.4">
      <c r="A157" s="3">
        <v>166</v>
      </c>
      <c r="B157" s="3">
        <v>166</v>
      </c>
      <c r="C157" s="4" t="s">
        <v>134</v>
      </c>
      <c r="D157" s="4" t="str">
        <f>TEXT(C157,"000000")</f>
        <v>J84574</v>
      </c>
      <c r="E157" s="4" t="s">
        <v>134</v>
      </c>
      <c r="F157" s="4" t="s">
        <v>368</v>
      </c>
      <c r="G157" s="5">
        <v>4901881185250</v>
      </c>
      <c r="H157" s="5"/>
      <c r="I157" s="5"/>
      <c r="J157" s="5">
        <v>1</v>
      </c>
      <c r="K157" s="5">
        <v>1</v>
      </c>
      <c r="L157" s="4">
        <v>200</v>
      </c>
      <c r="M157" s="4">
        <v>130</v>
      </c>
      <c r="N157" s="4">
        <v>100</v>
      </c>
      <c r="O157" s="6">
        <f>IFERROR(1-N157/M157,"-")</f>
        <v>0.23076923076923073</v>
      </c>
      <c r="P157" s="4" t="s">
        <v>462</v>
      </c>
      <c r="Q157" s="4" t="s">
        <v>462</v>
      </c>
      <c r="R157" s="4" t="s">
        <v>462</v>
      </c>
      <c r="S157" s="4">
        <v>230</v>
      </c>
      <c r="T157" s="4">
        <f>IF(W157="",S157,S157*W157)</f>
        <v>230</v>
      </c>
      <c r="U157" s="4">
        <v>115</v>
      </c>
      <c r="V157" s="4">
        <f>IF(W157="",U157,U157*W157)</f>
        <v>115</v>
      </c>
      <c r="W157" s="4"/>
      <c r="X157" s="21">
        <f>ROUND(M157*AL157,0)</f>
        <v>150</v>
      </c>
      <c r="Y157" s="6">
        <f>IFERROR(1-V157/X157,"-")</f>
        <v>0.23333333333333328</v>
      </c>
      <c r="Z157" s="33">
        <v>0</v>
      </c>
      <c r="AA157" s="4">
        <f>AV157</f>
        <v>175</v>
      </c>
      <c r="AB157" s="33">
        <f>IFERROR(AA157*AL157,"-")</f>
        <v>201.24999999999997</v>
      </c>
      <c r="AC157" s="6">
        <f>IFERROR(1-V157/AB157,"-")</f>
        <v>0.42857142857142849</v>
      </c>
      <c r="AD157" s="7">
        <v>185</v>
      </c>
      <c r="AE157" s="6">
        <f>1-V157/AD157</f>
        <v>0.3783783783783784</v>
      </c>
      <c r="AF157" s="4">
        <f>AD157-V157</f>
        <v>70</v>
      </c>
      <c r="AG157" s="28"/>
      <c r="AH157" s="6"/>
      <c r="AI157" s="6"/>
      <c r="AJ157" s="6">
        <f>IFERROR(T157/L157,"-")</f>
        <v>1.1499999999999999</v>
      </c>
      <c r="AK157" s="6">
        <f>IFERROR(AD157/M157,"-")</f>
        <v>1.4230769230769231</v>
      </c>
      <c r="AL157" s="6">
        <f>IFERROR(V157/N157,"-")</f>
        <v>1.1499999999999999</v>
      </c>
      <c r="AM157" s="4" t="str">
        <f t="shared" si="10"/>
        <v>-</v>
      </c>
      <c r="AN157" s="4" t="str">
        <f t="shared" si="11"/>
        <v>-</v>
      </c>
      <c r="AO157" s="4" t="str">
        <f t="shared" si="12"/>
        <v>-</v>
      </c>
      <c r="AP157" s="4">
        <v>0</v>
      </c>
      <c r="AQ157" s="4" t="s">
        <v>851</v>
      </c>
      <c r="AR157" s="4"/>
      <c r="AS157" s="4"/>
      <c r="AT157" s="4" t="s">
        <v>846</v>
      </c>
      <c r="AU157" s="4">
        <v>175</v>
      </c>
      <c r="AV157" s="4">
        <f>IF(AR157="",AU157,AR157/AS157*AU157)</f>
        <v>175</v>
      </c>
      <c r="AW157" s="19">
        <v>4</v>
      </c>
      <c r="AX157" s="19">
        <v>8</v>
      </c>
      <c r="AY157" s="16">
        <v>5</v>
      </c>
      <c r="AZ157">
        <v>160</v>
      </c>
      <c r="BA157">
        <f t="shared" si="13"/>
        <v>184</v>
      </c>
      <c r="BB157" t="s">
        <v>462</v>
      </c>
      <c r="BC157" t="str">
        <f t="shared" si="14"/>
        <v>-</v>
      </c>
      <c r="BD157" t="s">
        <v>610</v>
      </c>
    </row>
    <row r="158" spans="1:56" x14ac:dyDescent="0.4">
      <c r="A158" s="3">
        <v>167</v>
      </c>
      <c r="B158" s="3">
        <v>167</v>
      </c>
      <c r="C158" s="4" t="s">
        <v>135</v>
      </c>
      <c r="D158" s="4" t="str">
        <f>TEXT(C158,"000000")</f>
        <v>J84575</v>
      </c>
      <c r="E158" s="4" t="s">
        <v>135</v>
      </c>
      <c r="F158" s="4" t="s">
        <v>369</v>
      </c>
      <c r="G158" s="5">
        <v>4901881185229</v>
      </c>
      <c r="H158" s="5"/>
      <c r="I158" s="5"/>
      <c r="J158" s="5">
        <v>1</v>
      </c>
      <c r="K158" s="5">
        <v>1</v>
      </c>
      <c r="L158" s="4">
        <v>200</v>
      </c>
      <c r="M158" s="4">
        <v>136</v>
      </c>
      <c r="N158" s="4">
        <v>100</v>
      </c>
      <c r="O158" s="6">
        <f>IFERROR(1-N158/M158,"-")</f>
        <v>0.26470588235294112</v>
      </c>
      <c r="P158" s="4" t="s">
        <v>462</v>
      </c>
      <c r="Q158" s="4" t="s">
        <v>462</v>
      </c>
      <c r="R158" s="4" t="s">
        <v>462</v>
      </c>
      <c r="S158" s="4">
        <v>230</v>
      </c>
      <c r="T158" s="4">
        <f>IF(W158="",S158,S158*W158)</f>
        <v>230</v>
      </c>
      <c r="U158" s="4">
        <v>115</v>
      </c>
      <c r="V158" s="4">
        <f>IF(W158="",U158,U158*W158)</f>
        <v>115</v>
      </c>
      <c r="W158" s="4"/>
      <c r="X158" s="21">
        <f>ROUND(M158*AL158,0)</f>
        <v>156</v>
      </c>
      <c r="Y158" s="6">
        <f>IFERROR(1-V158/X158,"-")</f>
        <v>0.26282051282051277</v>
      </c>
      <c r="Z158" s="33">
        <v>0</v>
      </c>
      <c r="AA158" s="4">
        <f>AV158</f>
        <v>175</v>
      </c>
      <c r="AB158" s="33">
        <f>IFERROR(AA158*AL158,"-")</f>
        <v>201.24999999999997</v>
      </c>
      <c r="AC158" s="6">
        <f>IFERROR(1-V158/AB158,"-")</f>
        <v>0.42857142857142849</v>
      </c>
      <c r="AD158" s="7">
        <v>185</v>
      </c>
      <c r="AE158" s="6">
        <f>1-V158/AD158</f>
        <v>0.3783783783783784</v>
      </c>
      <c r="AF158" s="4">
        <f>AD158-V158</f>
        <v>70</v>
      </c>
      <c r="AG158" s="28"/>
      <c r="AH158" s="6"/>
      <c r="AI158" s="6"/>
      <c r="AJ158" s="6">
        <f>IFERROR(T158/L158,"-")</f>
        <v>1.1499999999999999</v>
      </c>
      <c r="AK158" s="6">
        <f>IFERROR(AD158/M158,"-")</f>
        <v>1.3602941176470589</v>
      </c>
      <c r="AL158" s="6">
        <f>IFERROR(V158/N158,"-")</f>
        <v>1.1499999999999999</v>
      </c>
      <c r="AM158" s="4" t="str">
        <f t="shared" si="10"/>
        <v>-</v>
      </c>
      <c r="AN158" s="4" t="str">
        <f t="shared" si="11"/>
        <v>-</v>
      </c>
      <c r="AO158" s="4" t="str">
        <f t="shared" si="12"/>
        <v>-</v>
      </c>
      <c r="AP158" s="4">
        <v>0</v>
      </c>
      <c r="AQ158" s="4" t="s">
        <v>852</v>
      </c>
      <c r="AR158" s="4"/>
      <c r="AS158" s="4"/>
      <c r="AT158" s="4" t="s">
        <v>846</v>
      </c>
      <c r="AU158" s="4">
        <v>175</v>
      </c>
      <c r="AV158" s="4">
        <f>IF(AR158="",AU158,AR158/AS158*AU158)</f>
        <v>175</v>
      </c>
      <c r="AW158" s="19">
        <v>4</v>
      </c>
      <c r="AX158" s="19">
        <v>8</v>
      </c>
      <c r="AY158" s="16">
        <v>5</v>
      </c>
      <c r="AZ158">
        <v>160</v>
      </c>
      <c r="BA158">
        <f t="shared" si="13"/>
        <v>184</v>
      </c>
      <c r="BB158" t="s">
        <v>462</v>
      </c>
      <c r="BC158" t="str">
        <f t="shared" si="14"/>
        <v>-</v>
      </c>
      <c r="BD158" t="s">
        <v>611</v>
      </c>
    </row>
    <row r="159" spans="1:56" x14ac:dyDescent="0.4">
      <c r="A159" s="3">
        <v>168</v>
      </c>
      <c r="B159" s="3">
        <v>168</v>
      </c>
      <c r="C159" s="4" t="s">
        <v>136</v>
      </c>
      <c r="D159" s="4" t="str">
        <f>TEXT(C159,"000000")</f>
        <v>J84576</v>
      </c>
      <c r="E159" s="4" t="s">
        <v>136</v>
      </c>
      <c r="F159" s="4" t="s">
        <v>370</v>
      </c>
      <c r="G159" s="5">
        <v>4901881185236</v>
      </c>
      <c r="H159" s="5"/>
      <c r="I159" s="5"/>
      <c r="J159" s="5">
        <v>1</v>
      </c>
      <c r="K159" s="5">
        <v>1</v>
      </c>
      <c r="L159" s="4">
        <v>200</v>
      </c>
      <c r="M159" s="4">
        <v>136</v>
      </c>
      <c r="N159" s="4">
        <v>100</v>
      </c>
      <c r="O159" s="6">
        <f>IFERROR(1-N159/M159,"-")</f>
        <v>0.26470588235294112</v>
      </c>
      <c r="P159" s="4" t="s">
        <v>462</v>
      </c>
      <c r="Q159" s="4" t="s">
        <v>462</v>
      </c>
      <c r="R159" s="4" t="s">
        <v>462</v>
      </c>
      <c r="S159" s="4">
        <v>230</v>
      </c>
      <c r="T159" s="4">
        <f>IF(W159="",S159,S159*W159)</f>
        <v>230</v>
      </c>
      <c r="U159" s="4">
        <v>115</v>
      </c>
      <c r="V159" s="4">
        <f>IF(W159="",U159,U159*W159)</f>
        <v>115</v>
      </c>
      <c r="W159" s="4"/>
      <c r="X159" s="21">
        <f>ROUND(M159*AL159,0)</f>
        <v>156</v>
      </c>
      <c r="Y159" s="6">
        <f>IFERROR(1-V159/X159,"-")</f>
        <v>0.26282051282051277</v>
      </c>
      <c r="Z159" s="33">
        <v>1.25</v>
      </c>
      <c r="AA159" s="4">
        <f>AV159</f>
        <v>220</v>
      </c>
      <c r="AB159" s="33">
        <f>IFERROR(AA159*AL159,"-")</f>
        <v>252.99999999999997</v>
      </c>
      <c r="AC159" s="6">
        <f>IFERROR(1-V159/AB159,"-")</f>
        <v>0.54545454545454541</v>
      </c>
      <c r="AD159" s="7">
        <v>185</v>
      </c>
      <c r="AE159" s="6">
        <f>1-V159/AD159</f>
        <v>0.3783783783783784</v>
      </c>
      <c r="AF159" s="4">
        <f>AD159-V159</f>
        <v>70</v>
      </c>
      <c r="AG159" s="28"/>
      <c r="AH159" s="6"/>
      <c r="AI159" s="6"/>
      <c r="AJ159" s="6">
        <f>IFERROR(T159/L159,"-")</f>
        <v>1.1499999999999999</v>
      </c>
      <c r="AK159" s="6">
        <f>IFERROR(AD159/M159,"-")</f>
        <v>1.3602941176470589</v>
      </c>
      <c r="AL159" s="6">
        <f>IFERROR(V159/N159,"-")</f>
        <v>1.1499999999999999</v>
      </c>
      <c r="AM159" s="4" t="str">
        <f t="shared" si="10"/>
        <v>-</v>
      </c>
      <c r="AN159" s="4" t="str">
        <f t="shared" si="11"/>
        <v>-</v>
      </c>
      <c r="AO159" s="4" t="str">
        <f t="shared" si="12"/>
        <v>-</v>
      </c>
      <c r="AP159" s="4">
        <v>0</v>
      </c>
      <c r="AQ159" s="4" t="s">
        <v>853</v>
      </c>
      <c r="AR159" s="4"/>
      <c r="AS159" s="4"/>
      <c r="AT159" s="4" t="s">
        <v>693</v>
      </c>
      <c r="AU159" s="4">
        <v>220</v>
      </c>
      <c r="AV159" s="4">
        <f>IF(AR159="",AU159,AR159/AS159*AU159)</f>
        <v>220</v>
      </c>
      <c r="AW159" s="19">
        <v>4</v>
      </c>
      <c r="AX159" s="19">
        <v>8</v>
      </c>
      <c r="AY159" s="16">
        <v>5</v>
      </c>
      <c r="AZ159">
        <v>160</v>
      </c>
      <c r="BA159">
        <f t="shared" si="13"/>
        <v>184</v>
      </c>
      <c r="BB159" t="s">
        <v>462</v>
      </c>
      <c r="BC159" t="str">
        <f t="shared" si="14"/>
        <v>-</v>
      </c>
      <c r="BD159" t="s">
        <v>612</v>
      </c>
    </row>
    <row r="160" spans="1:56" x14ac:dyDescent="0.4">
      <c r="A160" s="3">
        <v>169</v>
      </c>
      <c r="B160" s="3">
        <v>169</v>
      </c>
      <c r="C160" s="4" t="s">
        <v>137</v>
      </c>
      <c r="D160" s="4" t="str">
        <f>TEXT(C160,"000000")</f>
        <v>J84577</v>
      </c>
      <c r="E160" s="4" t="s">
        <v>137</v>
      </c>
      <c r="F160" s="4" t="s">
        <v>371</v>
      </c>
      <c r="G160" s="5">
        <v>4901881185304</v>
      </c>
      <c r="H160" s="5"/>
      <c r="I160" s="5"/>
      <c r="J160" s="5">
        <v>1</v>
      </c>
      <c r="K160" s="5">
        <v>1</v>
      </c>
      <c r="L160" s="4">
        <v>200</v>
      </c>
      <c r="M160" s="4">
        <v>132</v>
      </c>
      <c r="N160" s="4">
        <v>100</v>
      </c>
      <c r="O160" s="6">
        <f>IFERROR(1-N160/M160,"-")</f>
        <v>0.24242424242424243</v>
      </c>
      <c r="P160" s="4" t="s">
        <v>462</v>
      </c>
      <c r="Q160" s="4" t="s">
        <v>462</v>
      </c>
      <c r="R160" s="4" t="s">
        <v>462</v>
      </c>
      <c r="S160" s="4">
        <v>230</v>
      </c>
      <c r="T160" s="4">
        <f>IF(W160="",S160,S160*W160)</f>
        <v>230</v>
      </c>
      <c r="U160" s="4">
        <v>115</v>
      </c>
      <c r="V160" s="4">
        <f>IF(W160="",U160,U160*W160)</f>
        <v>115</v>
      </c>
      <c r="W160" s="4"/>
      <c r="X160" s="21">
        <f>ROUND(M160*AL160,0)</f>
        <v>152</v>
      </c>
      <c r="Y160" s="6">
        <f>IFERROR(1-V160/X160,"-")</f>
        <v>0.24342105263157898</v>
      </c>
      <c r="Z160" s="33">
        <v>0.25</v>
      </c>
      <c r="AA160" s="4">
        <f>AV160</f>
        <v>231</v>
      </c>
      <c r="AB160" s="33">
        <f>IFERROR(AA160*AL160,"-")</f>
        <v>265.64999999999998</v>
      </c>
      <c r="AC160" s="6">
        <f>IFERROR(1-V160/AB160,"-")</f>
        <v>0.5670995670995671</v>
      </c>
      <c r="AD160" s="7">
        <v>185</v>
      </c>
      <c r="AE160" s="6">
        <f>1-V160/AD160</f>
        <v>0.3783783783783784</v>
      </c>
      <c r="AF160" s="4">
        <f>AD160-V160</f>
        <v>70</v>
      </c>
      <c r="AG160" s="28"/>
      <c r="AH160" s="6"/>
      <c r="AI160" s="6"/>
      <c r="AJ160" s="6">
        <f>IFERROR(T160/L160,"-")</f>
        <v>1.1499999999999999</v>
      </c>
      <c r="AK160" s="6">
        <f>IFERROR(AD160/M160,"-")</f>
        <v>1.4015151515151516</v>
      </c>
      <c r="AL160" s="6">
        <f>IFERROR(V160/N160,"-")</f>
        <v>1.1499999999999999</v>
      </c>
      <c r="AM160" s="4" t="str">
        <f t="shared" si="10"/>
        <v>-</v>
      </c>
      <c r="AN160" s="4" t="str">
        <f t="shared" si="11"/>
        <v>-</v>
      </c>
      <c r="AO160" s="4" t="str">
        <f t="shared" si="12"/>
        <v>-</v>
      </c>
      <c r="AP160" s="4">
        <v>0</v>
      </c>
      <c r="AQ160" s="4" t="s">
        <v>854</v>
      </c>
      <c r="AR160" s="4"/>
      <c r="AS160" s="4"/>
      <c r="AT160" s="4" t="s">
        <v>693</v>
      </c>
      <c r="AU160" s="4">
        <v>231</v>
      </c>
      <c r="AV160" s="4">
        <f>IF(AR160="",AU160,AR160/AS160*AU160)</f>
        <v>231</v>
      </c>
      <c r="AW160" s="19">
        <v>4</v>
      </c>
      <c r="AX160" s="19">
        <v>8</v>
      </c>
      <c r="AY160" s="16">
        <v>5</v>
      </c>
      <c r="AZ160">
        <v>160</v>
      </c>
      <c r="BA160">
        <f t="shared" si="13"/>
        <v>184</v>
      </c>
      <c r="BB160" t="s">
        <v>462</v>
      </c>
      <c r="BC160" t="str">
        <f t="shared" si="14"/>
        <v>-</v>
      </c>
      <c r="BD160" t="s">
        <v>613</v>
      </c>
    </row>
    <row r="161" spans="1:56" x14ac:dyDescent="0.4">
      <c r="A161" s="3">
        <v>170</v>
      </c>
      <c r="B161" s="3">
        <v>170</v>
      </c>
      <c r="C161" s="4" t="s">
        <v>138</v>
      </c>
      <c r="D161" s="4" t="str">
        <f>TEXT(C161,"000000")</f>
        <v>J84578</v>
      </c>
      <c r="E161" s="4" t="s">
        <v>138</v>
      </c>
      <c r="F161" s="4" t="s">
        <v>372</v>
      </c>
      <c r="G161" s="5">
        <v>4901881185328</v>
      </c>
      <c r="H161" s="5"/>
      <c r="I161" s="5"/>
      <c r="J161" s="5">
        <v>1</v>
      </c>
      <c r="K161" s="5">
        <v>1</v>
      </c>
      <c r="L161" s="4">
        <v>200</v>
      </c>
      <c r="M161" s="4">
        <v>163</v>
      </c>
      <c r="N161" s="4">
        <v>100</v>
      </c>
      <c r="O161" s="6">
        <f>IFERROR(1-N161/M161,"-")</f>
        <v>0.38650306748466257</v>
      </c>
      <c r="P161" s="4" t="s">
        <v>462</v>
      </c>
      <c r="Q161" s="4" t="s">
        <v>462</v>
      </c>
      <c r="R161" s="4" t="s">
        <v>462</v>
      </c>
      <c r="S161" s="4">
        <v>230</v>
      </c>
      <c r="T161" s="4">
        <f>IF(W161="",S161,S161*W161)</f>
        <v>230</v>
      </c>
      <c r="U161" s="4">
        <v>115</v>
      </c>
      <c r="V161" s="4">
        <f>IF(W161="",U161,U161*W161)</f>
        <v>115</v>
      </c>
      <c r="W161" s="4"/>
      <c r="X161" s="21">
        <f>ROUND(M161*AL161,0)</f>
        <v>187</v>
      </c>
      <c r="Y161" s="6">
        <f>IFERROR(1-V161/X161,"-")</f>
        <v>0.38502673796791442</v>
      </c>
      <c r="Z161" s="33">
        <v>1.25</v>
      </c>
      <c r="AA161" s="4">
        <f>AV161</f>
        <v>220</v>
      </c>
      <c r="AB161" s="33">
        <f>IFERROR(AA161*AL161,"-")</f>
        <v>252.99999999999997</v>
      </c>
      <c r="AC161" s="6">
        <f>IFERROR(1-V161/AB161,"-")</f>
        <v>0.54545454545454541</v>
      </c>
      <c r="AD161" s="7">
        <v>185</v>
      </c>
      <c r="AE161" s="6">
        <f>1-V161/AD161</f>
        <v>0.3783783783783784</v>
      </c>
      <c r="AF161" s="4">
        <f>AD161-V161</f>
        <v>70</v>
      </c>
      <c r="AG161" s="28"/>
      <c r="AH161" s="6"/>
      <c r="AI161" s="6"/>
      <c r="AJ161" s="6">
        <f>IFERROR(T161/L161,"-")</f>
        <v>1.1499999999999999</v>
      </c>
      <c r="AK161" s="6">
        <f>IFERROR(AD161/M161,"-")</f>
        <v>1.1349693251533743</v>
      </c>
      <c r="AL161" s="6">
        <f>IFERROR(V161/N161,"-")</f>
        <v>1.1499999999999999</v>
      </c>
      <c r="AM161" s="4" t="str">
        <f t="shared" si="10"/>
        <v>-</v>
      </c>
      <c r="AN161" s="4" t="str">
        <f t="shared" si="11"/>
        <v>-</v>
      </c>
      <c r="AO161" s="4" t="str">
        <f t="shared" si="12"/>
        <v>-</v>
      </c>
      <c r="AP161" s="4">
        <v>0</v>
      </c>
      <c r="AQ161" s="4" t="s">
        <v>855</v>
      </c>
      <c r="AR161" s="4"/>
      <c r="AS161" s="4"/>
      <c r="AT161" s="4" t="s">
        <v>846</v>
      </c>
      <c r="AU161" s="4">
        <v>220</v>
      </c>
      <c r="AV161" s="4">
        <f>IF(AR161="",AU161,AR161/AS161*AU161)</f>
        <v>220</v>
      </c>
      <c r="AW161" s="19">
        <v>4</v>
      </c>
      <c r="AX161" s="19">
        <v>8</v>
      </c>
      <c r="AY161" s="16">
        <v>5</v>
      </c>
      <c r="AZ161">
        <v>160</v>
      </c>
      <c r="BA161">
        <f t="shared" si="13"/>
        <v>184</v>
      </c>
      <c r="BB161" t="s">
        <v>462</v>
      </c>
      <c r="BC161" t="str">
        <f t="shared" si="14"/>
        <v>-</v>
      </c>
      <c r="BD161" t="s">
        <v>614</v>
      </c>
    </row>
    <row r="162" spans="1:56" x14ac:dyDescent="0.4">
      <c r="A162" s="3">
        <v>162</v>
      </c>
      <c r="B162" s="3">
        <v>162</v>
      </c>
      <c r="C162" s="4" t="s">
        <v>130</v>
      </c>
      <c r="D162" s="4" t="str">
        <f>TEXT(C162,"000000")</f>
        <v>J84543</v>
      </c>
      <c r="E162" s="4" t="s">
        <v>130</v>
      </c>
      <c r="F162" s="4" t="s">
        <v>364</v>
      </c>
      <c r="G162" s="5">
        <v>4901881143540</v>
      </c>
      <c r="H162" s="5"/>
      <c r="I162" s="5"/>
      <c r="J162" s="5">
        <v>1</v>
      </c>
      <c r="K162" s="5">
        <v>1</v>
      </c>
      <c r="L162" s="4">
        <v>220</v>
      </c>
      <c r="M162" s="4">
        <v>170</v>
      </c>
      <c r="N162" s="4">
        <v>110</v>
      </c>
      <c r="O162" s="6">
        <f>IFERROR(1-N162/M162,"-")</f>
        <v>0.3529411764705882</v>
      </c>
      <c r="P162" s="4" t="s">
        <v>462</v>
      </c>
      <c r="Q162" s="4" t="s">
        <v>462</v>
      </c>
      <c r="R162" s="4" t="s">
        <v>462</v>
      </c>
      <c r="S162" s="4">
        <v>240</v>
      </c>
      <c r="T162" s="4">
        <f>IF(W162="",S162,S162*W162)</f>
        <v>240</v>
      </c>
      <c r="U162" s="4">
        <v>120</v>
      </c>
      <c r="V162" s="4">
        <f>IF(W162="",U162,U162*W162)</f>
        <v>120</v>
      </c>
      <c r="W162" s="4"/>
      <c r="X162" s="21">
        <f>ROUND(M162*AL162,0)</f>
        <v>185</v>
      </c>
      <c r="Y162" s="6">
        <f>IFERROR(1-V162/X162,"-")</f>
        <v>0.35135135135135132</v>
      </c>
      <c r="Z162" s="33">
        <v>0.25</v>
      </c>
      <c r="AA162" s="4">
        <f>AV162</f>
        <v>220</v>
      </c>
      <c r="AB162" s="33">
        <f>IFERROR(AA162*AL162,"-")</f>
        <v>239.99999999999997</v>
      </c>
      <c r="AC162" s="6">
        <f>IFERROR(1-V162/AB162,"-")</f>
        <v>0.49999999999999989</v>
      </c>
      <c r="AD162" s="7">
        <v>200</v>
      </c>
      <c r="AE162" s="6">
        <f>1-V162/AD162</f>
        <v>0.4</v>
      </c>
      <c r="AF162" s="4">
        <f>AD162-V162</f>
        <v>80</v>
      </c>
      <c r="AG162" s="28"/>
      <c r="AH162" s="6"/>
      <c r="AI162" s="6"/>
      <c r="AJ162" s="6">
        <f>IFERROR(T162/L162,"-")</f>
        <v>1.0909090909090908</v>
      </c>
      <c r="AK162" s="6">
        <f>IFERROR(AD162/M162,"-")</f>
        <v>1.1764705882352942</v>
      </c>
      <c r="AL162" s="6">
        <f>IFERROR(V162/N162,"-")</f>
        <v>1.0909090909090908</v>
      </c>
      <c r="AM162" s="4" t="str">
        <f t="shared" si="10"/>
        <v>-</v>
      </c>
      <c r="AN162" s="4" t="str">
        <f t="shared" si="11"/>
        <v>-</v>
      </c>
      <c r="AO162" s="4" t="str">
        <f t="shared" si="12"/>
        <v>-</v>
      </c>
      <c r="AP162" s="4">
        <v>0</v>
      </c>
      <c r="AQ162" s="4" t="s">
        <v>856</v>
      </c>
      <c r="AR162" s="4">
        <v>1</v>
      </c>
      <c r="AS162" s="4">
        <v>5</v>
      </c>
      <c r="AT162" s="4" t="s">
        <v>826</v>
      </c>
      <c r="AU162" s="4">
        <v>1100</v>
      </c>
      <c r="AV162" s="4">
        <f>IF(AR162="",AU162,AR162/AS162*AU162)</f>
        <v>220</v>
      </c>
      <c r="AW162" s="19">
        <v>4</v>
      </c>
      <c r="AX162" s="19">
        <v>8</v>
      </c>
      <c r="AY162" s="16">
        <v>5</v>
      </c>
      <c r="AZ162" t="s">
        <v>462</v>
      </c>
      <c r="BA162" t="str">
        <f t="shared" si="13"/>
        <v>-</v>
      </c>
      <c r="BB162" t="s">
        <v>462</v>
      </c>
      <c r="BC162" t="str">
        <f t="shared" si="14"/>
        <v>-</v>
      </c>
      <c r="BD162" t="s">
        <v>615</v>
      </c>
    </row>
    <row r="163" spans="1:56" x14ac:dyDescent="0.4">
      <c r="A163" s="3">
        <v>146</v>
      </c>
      <c r="B163" s="3">
        <v>146</v>
      </c>
      <c r="C163" s="4" t="s">
        <v>114</v>
      </c>
      <c r="D163" s="4" t="str">
        <f>TEXT(C163,"000000")</f>
        <v>J84657</v>
      </c>
      <c r="E163" s="4" t="s">
        <v>114</v>
      </c>
      <c r="F163" s="4" t="s">
        <v>348</v>
      </c>
      <c r="G163" s="5">
        <v>4901881113703</v>
      </c>
      <c r="H163" s="5"/>
      <c r="I163" s="5"/>
      <c r="J163" s="5">
        <v>1</v>
      </c>
      <c r="K163" s="5">
        <v>1</v>
      </c>
      <c r="L163" s="4">
        <v>300</v>
      </c>
      <c r="M163" s="4">
        <v>246</v>
      </c>
      <c r="N163" s="4">
        <v>150</v>
      </c>
      <c r="O163" s="6">
        <f>IFERROR(1-N163/M163,"-")</f>
        <v>0.3902439024390244</v>
      </c>
      <c r="P163" s="4" t="s">
        <v>462</v>
      </c>
      <c r="Q163" s="4" t="s">
        <v>462</v>
      </c>
      <c r="R163" s="4" t="s">
        <v>462</v>
      </c>
      <c r="S163" s="4">
        <v>330</v>
      </c>
      <c r="T163" s="4">
        <f>IF(W163="",S163,S163*W163)</f>
        <v>330</v>
      </c>
      <c r="U163" s="4">
        <v>165</v>
      </c>
      <c r="V163" s="4">
        <f>IF(W163="",U163,U163*W163)</f>
        <v>165</v>
      </c>
      <c r="W163" s="4"/>
      <c r="X163" s="21">
        <f>ROUND(M163*AL163,0)</f>
        <v>271</v>
      </c>
      <c r="Y163" s="6">
        <f>IFERROR(1-V163/X163,"-")</f>
        <v>0.39114391143911442</v>
      </c>
      <c r="Z163" s="33">
        <v>1</v>
      </c>
      <c r="AA163" s="4">
        <f>AV163</f>
        <v>300</v>
      </c>
      <c r="AB163" s="33">
        <f>IFERROR(AA163*AL163,"-")</f>
        <v>330</v>
      </c>
      <c r="AC163" s="6">
        <f>IFERROR(1-V163/AB163,"-")</f>
        <v>0.5</v>
      </c>
      <c r="AD163" s="7">
        <v>270</v>
      </c>
      <c r="AE163" s="6">
        <f>1-V163/AD163</f>
        <v>0.38888888888888884</v>
      </c>
      <c r="AF163" s="4">
        <f>AD163-V163</f>
        <v>105</v>
      </c>
      <c r="AG163" s="28"/>
      <c r="AH163" s="6"/>
      <c r="AI163" s="6"/>
      <c r="AJ163" s="6">
        <f>IFERROR(T163/L163,"-")</f>
        <v>1.1000000000000001</v>
      </c>
      <c r="AK163" s="6">
        <f>IFERROR(AD163/M163,"-")</f>
        <v>1.0975609756097562</v>
      </c>
      <c r="AL163" s="6">
        <f>IFERROR(V163/N163,"-")</f>
        <v>1.1000000000000001</v>
      </c>
      <c r="AM163" s="4" t="str">
        <f t="shared" si="10"/>
        <v>-</v>
      </c>
      <c r="AN163" s="4" t="str">
        <f t="shared" si="11"/>
        <v>-</v>
      </c>
      <c r="AO163" s="4" t="str">
        <f t="shared" si="12"/>
        <v>-</v>
      </c>
      <c r="AP163" s="4">
        <v>0</v>
      </c>
      <c r="AQ163" s="4" t="s">
        <v>857</v>
      </c>
      <c r="AR163" s="4">
        <v>1</v>
      </c>
      <c r="AS163" s="4">
        <v>5</v>
      </c>
      <c r="AT163" s="4" t="s">
        <v>826</v>
      </c>
      <c r="AU163" s="4">
        <v>1500</v>
      </c>
      <c r="AV163" s="4">
        <f>IF(AR163="",AU163,AR163/AS163*AU163)</f>
        <v>300</v>
      </c>
      <c r="AW163" s="19">
        <v>4</v>
      </c>
      <c r="AX163" s="19">
        <v>8</v>
      </c>
      <c r="AY163" s="16">
        <v>5</v>
      </c>
      <c r="AZ163" t="s">
        <v>462</v>
      </c>
      <c r="BA163" t="str">
        <f t="shared" si="13"/>
        <v>-</v>
      </c>
      <c r="BB163">
        <v>285</v>
      </c>
      <c r="BC163">
        <f t="shared" si="14"/>
        <v>313.5</v>
      </c>
      <c r="BD163" t="s">
        <v>616</v>
      </c>
    </row>
    <row r="164" spans="1:56" x14ac:dyDescent="0.4">
      <c r="A164" s="3">
        <v>147</v>
      </c>
      <c r="B164" s="3">
        <v>147</v>
      </c>
      <c r="C164" s="4" t="s">
        <v>115</v>
      </c>
      <c r="D164" s="4" t="str">
        <f>TEXT(C164,"000000")</f>
        <v>J84658</v>
      </c>
      <c r="E164" s="4" t="s">
        <v>115</v>
      </c>
      <c r="F164" s="4" t="s">
        <v>349</v>
      </c>
      <c r="G164" s="5">
        <v>4901881113710</v>
      </c>
      <c r="H164" s="5"/>
      <c r="I164" s="5"/>
      <c r="J164" s="5">
        <v>1</v>
      </c>
      <c r="K164" s="5">
        <v>1</v>
      </c>
      <c r="L164" s="4">
        <v>320</v>
      </c>
      <c r="M164" s="4">
        <v>215</v>
      </c>
      <c r="N164" s="4">
        <v>160</v>
      </c>
      <c r="O164" s="6">
        <f>IFERROR(1-N164/M164,"-")</f>
        <v>0.2558139534883721</v>
      </c>
      <c r="P164" s="4" t="s">
        <v>462</v>
      </c>
      <c r="Q164" s="4" t="s">
        <v>462</v>
      </c>
      <c r="R164" s="4" t="s">
        <v>462</v>
      </c>
      <c r="S164" s="4">
        <v>350</v>
      </c>
      <c r="T164" s="4">
        <f>IF(W164="",S164,S164*W164)</f>
        <v>350</v>
      </c>
      <c r="U164" s="4">
        <v>175</v>
      </c>
      <c r="V164" s="4">
        <f>IF(W164="",U164,U164*W164)</f>
        <v>175</v>
      </c>
      <c r="W164" s="4"/>
      <c r="X164" s="21">
        <f>ROUND(M164*AL164,0)</f>
        <v>235</v>
      </c>
      <c r="Y164" s="6">
        <f>IFERROR(1-V164/X164,"-")</f>
        <v>0.25531914893617025</v>
      </c>
      <c r="Z164" s="33">
        <v>5</v>
      </c>
      <c r="AA164" s="4">
        <f>AV164</f>
        <v>297</v>
      </c>
      <c r="AB164" s="33">
        <f>IFERROR(AA164*AL164,"-")</f>
        <v>324.84375</v>
      </c>
      <c r="AC164" s="6">
        <f>IFERROR(1-V164/AB164,"-")</f>
        <v>0.46127946127946129</v>
      </c>
      <c r="AD164" s="7">
        <v>290</v>
      </c>
      <c r="AE164" s="6">
        <f>1-V164/AD164</f>
        <v>0.39655172413793105</v>
      </c>
      <c r="AF164" s="4">
        <f>AD164-V164</f>
        <v>115</v>
      </c>
      <c r="AG164" s="28"/>
      <c r="AH164" s="6"/>
      <c r="AI164" s="6"/>
      <c r="AJ164" s="6">
        <f>IFERROR(T164/L164,"-")</f>
        <v>1.09375</v>
      </c>
      <c r="AK164" s="6">
        <f>IFERROR(AD164/M164,"-")</f>
        <v>1.3488372093023255</v>
      </c>
      <c r="AL164" s="6">
        <f>IFERROR(V164/N164,"-")</f>
        <v>1.09375</v>
      </c>
      <c r="AM164" s="4" t="str">
        <f t="shared" si="10"/>
        <v>-</v>
      </c>
      <c r="AN164" s="4" t="str">
        <f t="shared" si="11"/>
        <v>-</v>
      </c>
      <c r="AO164" s="4" t="str">
        <f t="shared" si="12"/>
        <v>-</v>
      </c>
      <c r="AP164" s="4">
        <v>0</v>
      </c>
      <c r="AQ164" s="4" t="s">
        <v>858</v>
      </c>
      <c r="AR164" s="4"/>
      <c r="AS164" s="4"/>
      <c r="AT164" s="4" t="s">
        <v>846</v>
      </c>
      <c r="AU164" s="4">
        <v>297</v>
      </c>
      <c r="AV164" s="4">
        <f>IF(AR164="",AU164,AR164/AS164*AU164)</f>
        <v>297</v>
      </c>
      <c r="AW164" s="19">
        <v>4</v>
      </c>
      <c r="AX164" s="19">
        <v>8</v>
      </c>
      <c r="AY164" s="16">
        <v>5</v>
      </c>
      <c r="AZ164" t="s">
        <v>462</v>
      </c>
      <c r="BA164" t="str">
        <f t="shared" si="13"/>
        <v>-</v>
      </c>
      <c r="BB164">
        <v>304</v>
      </c>
      <c r="BC164">
        <f t="shared" si="14"/>
        <v>332.5</v>
      </c>
      <c r="BD164" t="s">
        <v>617</v>
      </c>
    </row>
    <row r="165" spans="1:56" x14ac:dyDescent="0.4">
      <c r="A165" s="3">
        <v>148</v>
      </c>
      <c r="B165" s="3">
        <v>148</v>
      </c>
      <c r="C165" s="4" t="s">
        <v>116</v>
      </c>
      <c r="D165" s="4" t="str">
        <f>TEXT(C165,"000000")</f>
        <v>J84659</v>
      </c>
      <c r="E165" s="4" t="s">
        <v>116</v>
      </c>
      <c r="F165" s="4" t="s">
        <v>350</v>
      </c>
      <c r="G165" s="5">
        <v>4901881113727</v>
      </c>
      <c r="H165" s="5"/>
      <c r="I165" s="5"/>
      <c r="J165" s="5">
        <v>1</v>
      </c>
      <c r="K165" s="5">
        <v>1</v>
      </c>
      <c r="L165" s="4">
        <v>350</v>
      </c>
      <c r="M165" s="4">
        <v>222</v>
      </c>
      <c r="N165" s="4">
        <v>175</v>
      </c>
      <c r="O165" s="6">
        <f>IFERROR(1-N165/M165,"-")</f>
        <v>0.21171171171171166</v>
      </c>
      <c r="P165" s="4" t="s">
        <v>462</v>
      </c>
      <c r="Q165" s="4" t="s">
        <v>462</v>
      </c>
      <c r="R165" s="4" t="s">
        <v>462</v>
      </c>
      <c r="S165" s="4">
        <v>380</v>
      </c>
      <c r="T165" s="4">
        <f>IF(W165="",S165,S165*W165)</f>
        <v>380</v>
      </c>
      <c r="U165" s="4">
        <v>190</v>
      </c>
      <c r="V165" s="4">
        <f>IF(W165="",U165,U165*W165)</f>
        <v>190</v>
      </c>
      <c r="W165" s="4"/>
      <c r="X165" s="21">
        <f>ROUND(M165*AL165,0)</f>
        <v>241</v>
      </c>
      <c r="Y165" s="6">
        <f>IFERROR(1-V165/X165,"-")</f>
        <v>0.21161825726141081</v>
      </c>
      <c r="Z165" s="33">
        <v>0.75</v>
      </c>
      <c r="AA165" s="4">
        <f>AV165</f>
        <v>350</v>
      </c>
      <c r="AB165" s="33">
        <f>IFERROR(AA165*AL165,"-")</f>
        <v>379.99999999999994</v>
      </c>
      <c r="AC165" s="6">
        <f>IFERROR(1-V165/AB165,"-")</f>
        <v>0.49999999999999989</v>
      </c>
      <c r="AD165" s="7">
        <v>310</v>
      </c>
      <c r="AE165" s="6">
        <f>1-V165/AD165</f>
        <v>0.38709677419354838</v>
      </c>
      <c r="AF165" s="4">
        <f>AD165-V165</f>
        <v>120</v>
      </c>
      <c r="AG165" s="28"/>
      <c r="AH165" s="6"/>
      <c r="AI165" s="6"/>
      <c r="AJ165" s="6">
        <f>IFERROR(T165/L165,"-")</f>
        <v>1.0857142857142856</v>
      </c>
      <c r="AK165" s="6">
        <f>IFERROR(AD165/M165,"-")</f>
        <v>1.3963963963963963</v>
      </c>
      <c r="AL165" s="6">
        <f>IFERROR(V165/N165,"-")</f>
        <v>1.0857142857142856</v>
      </c>
      <c r="AM165" s="4" t="str">
        <f t="shared" si="10"/>
        <v>-</v>
      </c>
      <c r="AN165" s="4" t="str">
        <f t="shared" si="11"/>
        <v>-</v>
      </c>
      <c r="AO165" s="4" t="str">
        <f t="shared" si="12"/>
        <v>-</v>
      </c>
      <c r="AP165" s="4">
        <v>0</v>
      </c>
      <c r="AQ165" s="4" t="s">
        <v>859</v>
      </c>
      <c r="AR165" s="4">
        <v>1</v>
      </c>
      <c r="AS165" s="4">
        <v>5</v>
      </c>
      <c r="AT165" s="4" t="s">
        <v>826</v>
      </c>
      <c r="AU165" s="4">
        <v>1750</v>
      </c>
      <c r="AV165" s="4">
        <f>IF(AR165="",AU165,AR165/AS165*AU165)</f>
        <v>350</v>
      </c>
      <c r="AW165" s="19">
        <v>4</v>
      </c>
      <c r="AX165" s="19">
        <v>8</v>
      </c>
      <c r="AY165" s="16">
        <v>5</v>
      </c>
      <c r="AZ165" t="s">
        <v>462</v>
      </c>
      <c r="BA165" t="str">
        <f t="shared" si="13"/>
        <v>-</v>
      </c>
      <c r="BB165">
        <v>333</v>
      </c>
      <c r="BC165">
        <f t="shared" si="14"/>
        <v>361.54285714285709</v>
      </c>
      <c r="BD165" t="s">
        <v>618</v>
      </c>
    </row>
    <row r="166" spans="1:56" x14ac:dyDescent="0.4">
      <c r="A166" s="3">
        <v>152</v>
      </c>
      <c r="B166" s="3">
        <v>152</v>
      </c>
      <c r="C166" s="4" t="s">
        <v>120</v>
      </c>
      <c r="D166" s="4" t="str">
        <f>TEXT(C166,"000000")</f>
        <v>J84663</v>
      </c>
      <c r="E166" s="4" t="s">
        <v>120</v>
      </c>
      <c r="F166" s="4" t="s">
        <v>354</v>
      </c>
      <c r="G166" s="5">
        <v>4901881113765</v>
      </c>
      <c r="H166" s="5"/>
      <c r="I166" s="5"/>
      <c r="J166" s="5">
        <v>1</v>
      </c>
      <c r="K166" s="5">
        <v>1</v>
      </c>
      <c r="L166" s="4">
        <v>350</v>
      </c>
      <c r="M166" s="4">
        <v>288</v>
      </c>
      <c r="N166" s="4">
        <v>175</v>
      </c>
      <c r="O166" s="6">
        <f>IFERROR(1-N166/M166,"-")</f>
        <v>0.39236111111111116</v>
      </c>
      <c r="P166" s="4" t="s">
        <v>462</v>
      </c>
      <c r="Q166" s="4" t="s">
        <v>462</v>
      </c>
      <c r="R166" s="4" t="s">
        <v>462</v>
      </c>
      <c r="S166" s="4">
        <v>380</v>
      </c>
      <c r="T166" s="4">
        <f>IF(W166="",S166,S166*W166)</f>
        <v>380</v>
      </c>
      <c r="U166" s="4">
        <v>190</v>
      </c>
      <c r="V166" s="4">
        <f>IF(W166="",U166,U166*W166)</f>
        <v>190</v>
      </c>
      <c r="W166" s="4"/>
      <c r="X166" s="21">
        <f>ROUND(M166*AL166,0)</f>
        <v>313</v>
      </c>
      <c r="Y166" s="6">
        <f>IFERROR(1-V166/X166,"-")</f>
        <v>0.39297124600638977</v>
      </c>
      <c r="Z166" s="33">
        <v>0.25</v>
      </c>
      <c r="AA166" s="4">
        <f>AV166</f>
        <v>350</v>
      </c>
      <c r="AB166" s="33">
        <f>IFERROR(AA166*AL166,"-")</f>
        <v>379.99999999999994</v>
      </c>
      <c r="AC166" s="6">
        <f>IFERROR(1-V166/AB166,"-")</f>
        <v>0.49999999999999989</v>
      </c>
      <c r="AD166" s="7">
        <v>310</v>
      </c>
      <c r="AE166" s="6">
        <f>1-V166/AD166</f>
        <v>0.38709677419354838</v>
      </c>
      <c r="AF166" s="4">
        <f>AD166-V166</f>
        <v>120</v>
      </c>
      <c r="AG166" s="28"/>
      <c r="AH166" s="6"/>
      <c r="AI166" s="6"/>
      <c r="AJ166" s="6">
        <f>IFERROR(T166/L166,"-")</f>
        <v>1.0857142857142856</v>
      </c>
      <c r="AK166" s="6">
        <f>IFERROR(AD166/M166,"-")</f>
        <v>1.0763888888888888</v>
      </c>
      <c r="AL166" s="6">
        <f>IFERROR(V166/N166,"-")</f>
        <v>1.0857142857142856</v>
      </c>
      <c r="AM166" s="4" t="str">
        <f t="shared" si="10"/>
        <v>-</v>
      </c>
      <c r="AN166" s="4" t="str">
        <f t="shared" si="11"/>
        <v>-</v>
      </c>
      <c r="AO166" s="4" t="str">
        <f t="shared" si="12"/>
        <v>-</v>
      </c>
      <c r="AP166" s="4">
        <v>0</v>
      </c>
      <c r="AQ166" s="4" t="s">
        <v>860</v>
      </c>
      <c r="AR166" s="4">
        <v>1</v>
      </c>
      <c r="AS166" s="4">
        <v>5</v>
      </c>
      <c r="AT166" s="4" t="s">
        <v>826</v>
      </c>
      <c r="AU166" s="4">
        <v>1750</v>
      </c>
      <c r="AV166" s="4">
        <f>IF(AR166="",AU166,AR166/AS166*AU166)</f>
        <v>350</v>
      </c>
      <c r="AW166" s="19">
        <v>4</v>
      </c>
      <c r="AX166" s="19">
        <v>8</v>
      </c>
      <c r="AY166" s="16">
        <v>5</v>
      </c>
      <c r="AZ166" t="s">
        <v>462</v>
      </c>
      <c r="BA166" t="str">
        <f t="shared" si="13"/>
        <v>-</v>
      </c>
      <c r="BB166">
        <v>333</v>
      </c>
      <c r="BC166">
        <f t="shared" si="14"/>
        <v>361.54285714285709</v>
      </c>
      <c r="BD166" t="s">
        <v>619</v>
      </c>
    </row>
    <row r="167" spans="1:56" x14ac:dyDescent="0.4">
      <c r="A167" s="3">
        <v>149</v>
      </c>
      <c r="B167" s="3">
        <v>149</v>
      </c>
      <c r="C167" s="4" t="s">
        <v>117</v>
      </c>
      <c r="D167" s="4" t="str">
        <f>TEXT(C167,"000000")</f>
        <v>J84660</v>
      </c>
      <c r="E167" s="4" t="s">
        <v>117</v>
      </c>
      <c r="F167" s="4" t="s">
        <v>351</v>
      </c>
      <c r="G167" s="5">
        <v>4901881113734</v>
      </c>
      <c r="H167" s="5"/>
      <c r="I167" s="5"/>
      <c r="J167" s="5">
        <v>1</v>
      </c>
      <c r="K167" s="5">
        <v>1</v>
      </c>
      <c r="L167" s="4">
        <v>400</v>
      </c>
      <c r="M167" s="4">
        <v>254</v>
      </c>
      <c r="N167" s="4">
        <v>200</v>
      </c>
      <c r="O167" s="6">
        <f>IFERROR(1-N167/M167,"-")</f>
        <v>0.21259842519685035</v>
      </c>
      <c r="P167" s="4" t="s">
        <v>462</v>
      </c>
      <c r="Q167" s="4" t="s">
        <v>462</v>
      </c>
      <c r="R167" s="4" t="s">
        <v>462</v>
      </c>
      <c r="S167" s="4">
        <v>430</v>
      </c>
      <c r="T167" s="4">
        <f>IF(W167="",S167,S167*W167)</f>
        <v>430</v>
      </c>
      <c r="U167" s="4">
        <v>215</v>
      </c>
      <c r="V167" s="4">
        <f>IF(W167="",U167,U167*W167)</f>
        <v>215</v>
      </c>
      <c r="W167" s="4"/>
      <c r="X167" s="21">
        <f>ROUND(M167*AL167,0)</f>
        <v>273</v>
      </c>
      <c r="Y167" s="6">
        <f>IFERROR(1-V167/X167,"-")</f>
        <v>0.21245421245421248</v>
      </c>
      <c r="Z167" s="33">
        <v>0.25</v>
      </c>
      <c r="AA167" s="4">
        <f>AV167</f>
        <v>400</v>
      </c>
      <c r="AB167" s="33">
        <f>IFERROR(AA167*AL167,"-")</f>
        <v>430</v>
      </c>
      <c r="AC167" s="6">
        <f>IFERROR(1-V167/AB167,"-")</f>
        <v>0.5</v>
      </c>
      <c r="AD167" s="7">
        <v>350</v>
      </c>
      <c r="AE167" s="6">
        <f>1-V167/AD167</f>
        <v>0.38571428571428568</v>
      </c>
      <c r="AF167" s="4">
        <f>AD167-V167</f>
        <v>135</v>
      </c>
      <c r="AG167" s="28"/>
      <c r="AH167" s="6"/>
      <c r="AI167" s="6"/>
      <c r="AJ167" s="6">
        <f>IFERROR(T167/L167,"-")</f>
        <v>1.075</v>
      </c>
      <c r="AK167" s="6">
        <f>IFERROR(AD167/M167,"-")</f>
        <v>1.3779527559055118</v>
      </c>
      <c r="AL167" s="6">
        <f>IFERROR(V167/N167,"-")</f>
        <v>1.075</v>
      </c>
      <c r="AM167" s="4" t="str">
        <f t="shared" si="10"/>
        <v>-</v>
      </c>
      <c r="AN167" s="4" t="str">
        <f t="shared" si="11"/>
        <v>-</v>
      </c>
      <c r="AO167" s="4" t="str">
        <f t="shared" si="12"/>
        <v>-</v>
      </c>
      <c r="AP167" s="4">
        <v>0</v>
      </c>
      <c r="AQ167" s="4" t="s">
        <v>861</v>
      </c>
      <c r="AR167" s="4">
        <v>1</v>
      </c>
      <c r="AS167" s="4">
        <v>5</v>
      </c>
      <c r="AT167" s="4" t="s">
        <v>826</v>
      </c>
      <c r="AU167" s="4">
        <v>2000</v>
      </c>
      <c r="AV167" s="4">
        <f>IF(AR167="",AU167,AR167/AS167*AU167)</f>
        <v>400</v>
      </c>
      <c r="AW167" s="19">
        <v>4</v>
      </c>
      <c r="AX167" s="19">
        <v>8</v>
      </c>
      <c r="AY167" s="16">
        <v>5</v>
      </c>
      <c r="AZ167" t="s">
        <v>462</v>
      </c>
      <c r="BA167" t="str">
        <f t="shared" si="13"/>
        <v>-</v>
      </c>
      <c r="BB167">
        <v>380</v>
      </c>
      <c r="BC167">
        <f t="shared" si="14"/>
        <v>408.5</v>
      </c>
      <c r="BD167" t="s">
        <v>620</v>
      </c>
    </row>
    <row r="168" spans="1:56" x14ac:dyDescent="0.4">
      <c r="A168" s="3">
        <v>153</v>
      </c>
      <c r="B168" s="3">
        <v>153</v>
      </c>
      <c r="C168" s="4" t="s">
        <v>121</v>
      </c>
      <c r="D168" s="4" t="str">
        <f>TEXT(C168,"000000")</f>
        <v>J84664</v>
      </c>
      <c r="E168" s="4" t="s">
        <v>121</v>
      </c>
      <c r="F168" s="4" t="s">
        <v>355</v>
      </c>
      <c r="G168" s="5">
        <v>4901881113772</v>
      </c>
      <c r="H168" s="5"/>
      <c r="I168" s="5"/>
      <c r="J168" s="5">
        <v>1</v>
      </c>
      <c r="K168" s="5">
        <v>1</v>
      </c>
      <c r="L168" s="4">
        <v>400</v>
      </c>
      <c r="M168" s="4">
        <v>304</v>
      </c>
      <c r="N168" s="4">
        <v>200</v>
      </c>
      <c r="O168" s="6">
        <f>IFERROR(1-N168/M168,"-")</f>
        <v>0.34210526315789469</v>
      </c>
      <c r="P168" s="4" t="s">
        <v>462</v>
      </c>
      <c r="Q168" s="4" t="s">
        <v>462</v>
      </c>
      <c r="R168" s="4" t="s">
        <v>462</v>
      </c>
      <c r="S168" s="4">
        <v>430</v>
      </c>
      <c r="T168" s="4">
        <f>IF(W168="",S168,S168*W168)</f>
        <v>430</v>
      </c>
      <c r="U168" s="4">
        <v>215</v>
      </c>
      <c r="V168" s="4">
        <f>IF(W168="",U168,U168*W168)</f>
        <v>215</v>
      </c>
      <c r="W168" s="4"/>
      <c r="X168" s="21">
        <f>ROUND(M168*AL168,0)</f>
        <v>327</v>
      </c>
      <c r="Y168" s="6">
        <f>IFERROR(1-V168/X168,"-")</f>
        <v>0.34250764525993882</v>
      </c>
      <c r="Z168" s="33">
        <v>0.25</v>
      </c>
      <c r="AA168" s="4">
        <f>AV168</f>
        <v>390</v>
      </c>
      <c r="AB168" s="33">
        <f>IFERROR(AA168*AL168,"-")</f>
        <v>419.25</v>
      </c>
      <c r="AC168" s="6">
        <f>IFERROR(1-V168/AB168,"-")</f>
        <v>0.48717948717948723</v>
      </c>
      <c r="AD168" s="7">
        <v>350</v>
      </c>
      <c r="AE168" s="6">
        <f>1-V168/AD168</f>
        <v>0.38571428571428568</v>
      </c>
      <c r="AF168" s="4">
        <f>AD168-V168</f>
        <v>135</v>
      </c>
      <c r="AG168" s="28"/>
      <c r="AH168" s="6"/>
      <c r="AI168" s="6"/>
      <c r="AJ168" s="6">
        <f>IFERROR(T168/L168,"-")</f>
        <v>1.075</v>
      </c>
      <c r="AK168" s="6">
        <f>IFERROR(AD168/M168,"-")</f>
        <v>1.1513157894736843</v>
      </c>
      <c r="AL168" s="6">
        <f>IFERROR(V168/N168,"-")</f>
        <v>1.075</v>
      </c>
      <c r="AM168" s="4" t="str">
        <f t="shared" si="10"/>
        <v>-</v>
      </c>
      <c r="AN168" s="4" t="str">
        <f t="shared" si="11"/>
        <v>-</v>
      </c>
      <c r="AO168" s="4" t="str">
        <f t="shared" si="12"/>
        <v>-</v>
      </c>
      <c r="AP168" s="4">
        <v>0</v>
      </c>
      <c r="AQ168" s="4" t="s">
        <v>862</v>
      </c>
      <c r="AR168" s="4"/>
      <c r="AS168" s="4"/>
      <c r="AT168" s="4" t="s">
        <v>693</v>
      </c>
      <c r="AU168" s="4">
        <v>390</v>
      </c>
      <c r="AV168" s="4">
        <f>IF(AR168="",AU168,AR168/AS168*AU168)</f>
        <v>390</v>
      </c>
      <c r="AW168" s="19">
        <v>4</v>
      </c>
      <c r="AX168" s="19">
        <v>8</v>
      </c>
      <c r="AY168" s="16">
        <v>5</v>
      </c>
      <c r="AZ168" t="s">
        <v>462</v>
      </c>
      <c r="BA168" t="str">
        <f t="shared" si="13"/>
        <v>-</v>
      </c>
      <c r="BB168">
        <v>380</v>
      </c>
      <c r="BC168">
        <f t="shared" si="14"/>
        <v>408.5</v>
      </c>
      <c r="BD168" t="s">
        <v>621</v>
      </c>
    </row>
    <row r="169" spans="1:56" x14ac:dyDescent="0.4">
      <c r="A169" s="3">
        <v>109</v>
      </c>
      <c r="B169" s="3">
        <v>109</v>
      </c>
      <c r="C169" s="4" t="s">
        <v>77</v>
      </c>
      <c r="D169" s="4" t="str">
        <f>TEXT(C169,"000000")</f>
        <v>J74475</v>
      </c>
      <c r="E169" s="4" t="s">
        <v>77</v>
      </c>
      <c r="F169" s="4" t="s">
        <v>311</v>
      </c>
      <c r="G169" s="5">
        <v>4901881227615</v>
      </c>
      <c r="H169" s="5"/>
      <c r="I169" s="5"/>
      <c r="J169" s="5">
        <v>1</v>
      </c>
      <c r="K169" s="5">
        <v>1</v>
      </c>
      <c r="L169" s="4">
        <v>400</v>
      </c>
      <c r="M169" s="4">
        <v>277</v>
      </c>
      <c r="N169" s="4">
        <v>192</v>
      </c>
      <c r="O169" s="6">
        <f>IFERROR(1-N169/M169,"-")</f>
        <v>0.30685920577617332</v>
      </c>
      <c r="P169" s="4" t="s">
        <v>462</v>
      </c>
      <c r="Q169" s="4" t="s">
        <v>462</v>
      </c>
      <c r="R169" s="4" t="s">
        <v>462</v>
      </c>
      <c r="S169" s="4">
        <v>450</v>
      </c>
      <c r="T169" s="4">
        <f>IF(W169="",S169,S169*W169)</f>
        <v>450</v>
      </c>
      <c r="U169" s="4">
        <v>225</v>
      </c>
      <c r="V169" s="4">
        <f>IF(W169="",U169,U169*W169)</f>
        <v>225</v>
      </c>
      <c r="W169" s="4"/>
      <c r="X169" s="21">
        <f>ROUND(M169*AL169,0)</f>
        <v>325</v>
      </c>
      <c r="Y169" s="6">
        <f>IFERROR(1-V169/X169,"-")</f>
        <v>0.30769230769230771</v>
      </c>
      <c r="Z169" s="33">
        <v>0</v>
      </c>
      <c r="AA169" s="4">
        <f>AV169</f>
        <v>400</v>
      </c>
      <c r="AB169" s="33">
        <f>IFERROR(AA169*AL169,"-")</f>
        <v>468.75</v>
      </c>
      <c r="AC169" s="6">
        <f>IFERROR(1-V169/AB169,"-")</f>
        <v>0.52</v>
      </c>
      <c r="AD169" s="7">
        <v>370</v>
      </c>
      <c r="AE169" s="6">
        <f>1-V169/AD169</f>
        <v>0.39189189189189189</v>
      </c>
      <c r="AF169" s="4">
        <f>AD169-V169</f>
        <v>145</v>
      </c>
      <c r="AG169" s="28"/>
      <c r="AH169" s="6"/>
      <c r="AI169" s="6"/>
      <c r="AJ169" s="6">
        <f>IFERROR(T169/L169,"-")</f>
        <v>1.125</v>
      </c>
      <c r="AK169" s="6">
        <f>IFERROR(AD169/M169,"-")</f>
        <v>1.3357400722021662</v>
      </c>
      <c r="AL169" s="6">
        <f>IFERROR(V169/N169,"-")</f>
        <v>1.171875</v>
      </c>
      <c r="AM169" s="4" t="str">
        <f t="shared" si="10"/>
        <v>-</v>
      </c>
      <c r="AN169" s="4" t="str">
        <f t="shared" si="11"/>
        <v>-</v>
      </c>
      <c r="AO169" s="4" t="str">
        <f t="shared" si="12"/>
        <v>-</v>
      </c>
      <c r="AP169" s="4">
        <v>0</v>
      </c>
      <c r="AQ169" s="4" t="s">
        <v>863</v>
      </c>
      <c r="AR169" s="4"/>
      <c r="AS169" s="4"/>
      <c r="AT169" s="4" t="s">
        <v>693</v>
      </c>
      <c r="AU169" s="4">
        <v>400</v>
      </c>
      <c r="AV169" s="4">
        <f>IF(AR169="",AU169,AR169/AS169*AU169)</f>
        <v>400</v>
      </c>
      <c r="AW169" s="19">
        <v>4</v>
      </c>
      <c r="AX169" s="19">
        <v>8</v>
      </c>
      <c r="AY169" s="16">
        <v>5</v>
      </c>
      <c r="AZ169">
        <v>300</v>
      </c>
      <c r="BA169">
        <f t="shared" si="13"/>
        <v>351.5625</v>
      </c>
      <c r="BB169">
        <v>400</v>
      </c>
      <c r="BC169">
        <f t="shared" si="14"/>
        <v>468.75</v>
      </c>
      <c r="BD169" t="s">
        <v>622</v>
      </c>
    </row>
    <row r="170" spans="1:56" x14ac:dyDescent="0.4">
      <c r="A170" s="3">
        <v>110</v>
      </c>
      <c r="B170" s="3">
        <v>110</v>
      </c>
      <c r="C170" s="4" t="s">
        <v>78</v>
      </c>
      <c r="D170" s="4" t="str">
        <f>TEXT(C170,"000000")</f>
        <v>J74476</v>
      </c>
      <c r="E170" s="4" t="s">
        <v>78</v>
      </c>
      <c r="F170" s="4" t="s">
        <v>312</v>
      </c>
      <c r="G170" s="5">
        <v>4901881227622</v>
      </c>
      <c r="H170" s="5"/>
      <c r="I170" s="5"/>
      <c r="J170" s="5">
        <v>1</v>
      </c>
      <c r="K170" s="5">
        <v>1</v>
      </c>
      <c r="L170" s="4">
        <v>400</v>
      </c>
      <c r="M170" s="4">
        <v>247</v>
      </c>
      <c r="N170" s="4">
        <v>192</v>
      </c>
      <c r="O170" s="6">
        <f>IFERROR(1-N170/M170,"-")</f>
        <v>0.22267206477732793</v>
      </c>
      <c r="P170" s="4" t="s">
        <v>462</v>
      </c>
      <c r="Q170" s="4" t="s">
        <v>462</v>
      </c>
      <c r="R170" s="4" t="s">
        <v>462</v>
      </c>
      <c r="S170" s="4">
        <v>450</v>
      </c>
      <c r="T170" s="4">
        <f>IF(W170="",S170,S170*W170)</f>
        <v>450</v>
      </c>
      <c r="U170" s="4">
        <v>225</v>
      </c>
      <c r="V170" s="4">
        <f>IF(W170="",U170,U170*W170)</f>
        <v>225</v>
      </c>
      <c r="W170" s="4"/>
      <c r="X170" s="21">
        <f>ROUND(M170*AL170,0)</f>
        <v>289</v>
      </c>
      <c r="Y170" s="6">
        <f>IFERROR(1-V170/X170,"-")</f>
        <v>0.22145328719723179</v>
      </c>
      <c r="Z170" s="33">
        <v>1</v>
      </c>
      <c r="AA170" s="4">
        <f>AV170</f>
        <v>400</v>
      </c>
      <c r="AB170" s="33">
        <f>IFERROR(AA170*AL170,"-")</f>
        <v>468.75</v>
      </c>
      <c r="AC170" s="6">
        <f>IFERROR(1-V170/AB170,"-")</f>
        <v>0.52</v>
      </c>
      <c r="AD170" s="7">
        <v>370</v>
      </c>
      <c r="AE170" s="6">
        <f>1-V170/AD170</f>
        <v>0.39189189189189189</v>
      </c>
      <c r="AF170" s="4">
        <f>AD170-V170</f>
        <v>145</v>
      </c>
      <c r="AG170" s="28"/>
      <c r="AH170" s="6"/>
      <c r="AI170" s="6"/>
      <c r="AJ170" s="6">
        <f>IFERROR(T170/L170,"-")</f>
        <v>1.125</v>
      </c>
      <c r="AK170" s="6">
        <f>IFERROR(AD170/M170,"-")</f>
        <v>1.4979757085020242</v>
      </c>
      <c r="AL170" s="6">
        <f>IFERROR(V170/N170,"-")</f>
        <v>1.171875</v>
      </c>
      <c r="AM170" s="4" t="str">
        <f t="shared" si="10"/>
        <v>-</v>
      </c>
      <c r="AN170" s="4" t="str">
        <f t="shared" si="11"/>
        <v>-</v>
      </c>
      <c r="AO170" s="4" t="str">
        <f t="shared" si="12"/>
        <v>-</v>
      </c>
      <c r="AP170" s="4">
        <v>0</v>
      </c>
      <c r="AQ170" s="4" t="s">
        <v>864</v>
      </c>
      <c r="AR170" s="4"/>
      <c r="AS170" s="4"/>
      <c r="AT170" s="4" t="s">
        <v>846</v>
      </c>
      <c r="AU170" s="4">
        <v>400</v>
      </c>
      <c r="AV170" s="4">
        <f>IF(AR170="",AU170,AR170/AS170*AU170)</f>
        <v>400</v>
      </c>
      <c r="AW170" s="19">
        <v>4</v>
      </c>
      <c r="AX170" s="19">
        <v>8</v>
      </c>
      <c r="AY170" s="16">
        <v>5</v>
      </c>
      <c r="AZ170">
        <v>300</v>
      </c>
      <c r="BA170">
        <f t="shared" si="13"/>
        <v>351.5625</v>
      </c>
      <c r="BB170">
        <v>400</v>
      </c>
      <c r="BC170">
        <f t="shared" si="14"/>
        <v>468.75</v>
      </c>
      <c r="BD170" t="s">
        <v>623</v>
      </c>
    </row>
    <row r="171" spans="1:56" x14ac:dyDescent="0.4">
      <c r="A171" s="3">
        <v>111</v>
      </c>
      <c r="B171" s="3">
        <v>111</v>
      </c>
      <c r="C171" s="4" t="s">
        <v>79</v>
      </c>
      <c r="D171" s="4" t="str">
        <f>TEXT(C171,"000000")</f>
        <v>J74477</v>
      </c>
      <c r="E171" s="4" t="s">
        <v>79</v>
      </c>
      <c r="F171" s="4" t="s">
        <v>313</v>
      </c>
      <c r="G171" s="5">
        <v>4901881227639</v>
      </c>
      <c r="H171" s="5"/>
      <c r="I171" s="5"/>
      <c r="J171" s="5">
        <v>1</v>
      </c>
      <c r="K171" s="5">
        <v>1</v>
      </c>
      <c r="L171" s="4">
        <v>400</v>
      </c>
      <c r="M171" s="4">
        <v>277</v>
      </c>
      <c r="N171" s="4">
        <v>192</v>
      </c>
      <c r="O171" s="6">
        <f>IFERROR(1-N171/M171,"-")</f>
        <v>0.30685920577617332</v>
      </c>
      <c r="P171" s="4" t="s">
        <v>462</v>
      </c>
      <c r="Q171" s="4" t="s">
        <v>462</v>
      </c>
      <c r="R171" s="4" t="s">
        <v>462</v>
      </c>
      <c r="S171" s="4">
        <v>450</v>
      </c>
      <c r="T171" s="4">
        <f>IF(W171="",S171,S171*W171)</f>
        <v>450</v>
      </c>
      <c r="U171" s="4">
        <v>225</v>
      </c>
      <c r="V171" s="4">
        <f>IF(W171="",U171,U171*W171)</f>
        <v>225</v>
      </c>
      <c r="W171" s="4"/>
      <c r="X171" s="21">
        <f>ROUND(M171*AL171,0)</f>
        <v>325</v>
      </c>
      <c r="Y171" s="6">
        <f>IFERROR(1-V171/X171,"-")</f>
        <v>0.30769230769230771</v>
      </c>
      <c r="Z171" s="33">
        <v>0</v>
      </c>
      <c r="AA171" s="4">
        <f>AV171</f>
        <v>400</v>
      </c>
      <c r="AB171" s="33">
        <f>IFERROR(AA171*AL171,"-")</f>
        <v>468.75</v>
      </c>
      <c r="AC171" s="6">
        <f>IFERROR(1-V171/AB171,"-")</f>
        <v>0.52</v>
      </c>
      <c r="AD171" s="7">
        <v>370</v>
      </c>
      <c r="AE171" s="6">
        <f>1-V171/AD171</f>
        <v>0.39189189189189189</v>
      </c>
      <c r="AF171" s="4">
        <f>AD171-V171</f>
        <v>145</v>
      </c>
      <c r="AG171" s="28"/>
      <c r="AH171" s="6"/>
      <c r="AI171" s="6"/>
      <c r="AJ171" s="6">
        <f>IFERROR(T171/L171,"-")</f>
        <v>1.125</v>
      </c>
      <c r="AK171" s="6">
        <f>IFERROR(AD171/M171,"-")</f>
        <v>1.3357400722021662</v>
      </c>
      <c r="AL171" s="6">
        <f>IFERROR(V171/N171,"-")</f>
        <v>1.171875</v>
      </c>
      <c r="AM171" s="4" t="str">
        <f t="shared" si="10"/>
        <v>-</v>
      </c>
      <c r="AN171" s="4" t="str">
        <f t="shared" si="11"/>
        <v>-</v>
      </c>
      <c r="AO171" s="4" t="str">
        <f t="shared" si="12"/>
        <v>-</v>
      </c>
      <c r="AP171" s="4">
        <v>0</v>
      </c>
      <c r="AQ171" s="4" t="s">
        <v>865</v>
      </c>
      <c r="AR171" s="4"/>
      <c r="AS171" s="4"/>
      <c r="AT171" s="4" t="s">
        <v>693</v>
      </c>
      <c r="AU171" s="4">
        <v>400</v>
      </c>
      <c r="AV171" s="4">
        <f>IF(AR171="",AU171,AR171/AS171*AU171)</f>
        <v>400</v>
      </c>
      <c r="AW171" s="19">
        <v>4</v>
      </c>
      <c r="AX171" s="19">
        <v>8</v>
      </c>
      <c r="AY171" s="16">
        <v>5</v>
      </c>
      <c r="AZ171">
        <v>300</v>
      </c>
      <c r="BA171">
        <f t="shared" si="13"/>
        <v>351.5625</v>
      </c>
      <c r="BB171">
        <v>400</v>
      </c>
      <c r="BC171">
        <f t="shared" si="14"/>
        <v>468.75</v>
      </c>
      <c r="BD171" t="s">
        <v>624</v>
      </c>
    </row>
    <row r="172" spans="1:56" x14ac:dyDescent="0.4">
      <c r="A172" s="3">
        <v>150</v>
      </c>
      <c r="B172" s="3">
        <v>150</v>
      </c>
      <c r="C172" s="4" t="s">
        <v>118</v>
      </c>
      <c r="D172" s="4" t="str">
        <f>TEXT(C172,"000000")</f>
        <v>J84661</v>
      </c>
      <c r="E172" s="4" t="s">
        <v>118</v>
      </c>
      <c r="F172" s="4" t="s">
        <v>352</v>
      </c>
      <c r="G172" s="5">
        <v>4901881113741</v>
      </c>
      <c r="H172" s="5"/>
      <c r="I172" s="5"/>
      <c r="J172" s="5">
        <v>1</v>
      </c>
      <c r="K172" s="5">
        <v>1</v>
      </c>
      <c r="L172" s="4">
        <v>450</v>
      </c>
      <c r="M172" s="4">
        <v>349</v>
      </c>
      <c r="N172" s="4">
        <v>225</v>
      </c>
      <c r="O172" s="6">
        <f>IFERROR(1-N172/M172,"-")</f>
        <v>0.35530085959885382</v>
      </c>
      <c r="P172" s="4" t="s">
        <v>462</v>
      </c>
      <c r="Q172" s="4" t="s">
        <v>462</v>
      </c>
      <c r="R172" s="4" t="s">
        <v>462</v>
      </c>
      <c r="S172" s="4">
        <v>500</v>
      </c>
      <c r="T172" s="4">
        <f>IF(W172="",S172,S172*W172)</f>
        <v>500</v>
      </c>
      <c r="U172" s="4">
        <v>250</v>
      </c>
      <c r="V172" s="4">
        <f>IF(W172="",U172,U172*W172)</f>
        <v>250</v>
      </c>
      <c r="W172" s="4"/>
      <c r="X172" s="21">
        <f>ROUND(M172*AL172,0)</f>
        <v>388</v>
      </c>
      <c r="Y172" s="6">
        <f>IFERROR(1-V172/X172,"-")</f>
        <v>0.35567010309278346</v>
      </c>
      <c r="Z172" s="33">
        <v>6</v>
      </c>
      <c r="AA172" s="4">
        <f>AV172</f>
        <v>450</v>
      </c>
      <c r="AB172" s="33">
        <f>IFERROR(AA172*AL172,"-")</f>
        <v>500</v>
      </c>
      <c r="AC172" s="6">
        <f>IFERROR(1-V172/AB172,"-")</f>
        <v>0.5</v>
      </c>
      <c r="AD172" s="7">
        <v>410</v>
      </c>
      <c r="AE172" s="6">
        <f>1-V172/AD172</f>
        <v>0.3902439024390244</v>
      </c>
      <c r="AF172" s="4">
        <f>AD172-V172</f>
        <v>160</v>
      </c>
      <c r="AG172" s="28"/>
      <c r="AH172" s="6"/>
      <c r="AI172" s="6"/>
      <c r="AJ172" s="6">
        <f>IFERROR(T172/L172,"-")</f>
        <v>1.1111111111111112</v>
      </c>
      <c r="AK172" s="6">
        <f>IFERROR(AD172/M172,"-")</f>
        <v>1.174785100286533</v>
      </c>
      <c r="AL172" s="6">
        <f>IFERROR(V172/N172,"-")</f>
        <v>1.1111111111111112</v>
      </c>
      <c r="AM172" s="4" t="str">
        <f t="shared" si="10"/>
        <v>-</v>
      </c>
      <c r="AN172" s="4" t="str">
        <f t="shared" si="11"/>
        <v>-</v>
      </c>
      <c r="AO172" s="4" t="str">
        <f t="shared" si="12"/>
        <v>-</v>
      </c>
      <c r="AP172" s="4">
        <v>0</v>
      </c>
      <c r="AQ172" s="4" t="s">
        <v>866</v>
      </c>
      <c r="AR172" s="4">
        <v>1</v>
      </c>
      <c r="AS172" s="4">
        <v>5</v>
      </c>
      <c r="AT172" s="4" t="s">
        <v>826</v>
      </c>
      <c r="AU172" s="4">
        <v>2250</v>
      </c>
      <c r="AV172" s="4">
        <f>IF(AR172="",AU172,AR172/AS172*AU172)</f>
        <v>450</v>
      </c>
      <c r="AW172" s="19">
        <v>4</v>
      </c>
      <c r="AX172" s="19">
        <v>8</v>
      </c>
      <c r="AY172" s="16">
        <v>5</v>
      </c>
      <c r="AZ172" t="s">
        <v>462</v>
      </c>
      <c r="BA172" t="str">
        <f t="shared" si="13"/>
        <v>-</v>
      </c>
      <c r="BB172">
        <v>428</v>
      </c>
      <c r="BC172">
        <f t="shared" si="14"/>
        <v>475.5555555555556</v>
      </c>
      <c r="BD172" t="s">
        <v>625</v>
      </c>
    </row>
    <row r="173" spans="1:56" x14ac:dyDescent="0.4">
      <c r="A173" s="3">
        <v>154</v>
      </c>
      <c r="B173" s="3">
        <v>154</v>
      </c>
      <c r="C173" s="4" t="s">
        <v>122</v>
      </c>
      <c r="D173" s="4" t="str">
        <f>TEXT(C173,"000000")</f>
        <v>J84665</v>
      </c>
      <c r="E173" s="4" t="s">
        <v>122</v>
      </c>
      <c r="F173" s="4" t="s">
        <v>356</v>
      </c>
      <c r="G173" s="5">
        <v>4901881113789</v>
      </c>
      <c r="H173" s="5"/>
      <c r="I173" s="5"/>
      <c r="J173" s="5">
        <v>1</v>
      </c>
      <c r="K173" s="5">
        <v>1</v>
      </c>
      <c r="L173" s="4">
        <v>450</v>
      </c>
      <c r="M173" s="4">
        <v>342</v>
      </c>
      <c r="N173" s="4">
        <v>225</v>
      </c>
      <c r="O173" s="6">
        <f>IFERROR(1-N173/M173,"-")</f>
        <v>0.34210526315789469</v>
      </c>
      <c r="P173" s="4" t="s">
        <v>462</v>
      </c>
      <c r="Q173" s="4" t="s">
        <v>462</v>
      </c>
      <c r="R173" s="4" t="s">
        <v>462</v>
      </c>
      <c r="S173" s="4">
        <v>500</v>
      </c>
      <c r="T173" s="4">
        <f>IF(W173="",S173,S173*W173)</f>
        <v>500</v>
      </c>
      <c r="U173" s="4">
        <v>250</v>
      </c>
      <c r="V173" s="4">
        <f>IF(W173="",U173,U173*W173)</f>
        <v>250</v>
      </c>
      <c r="W173" s="4"/>
      <c r="X173" s="21">
        <f>ROUND(M173*AL173,0)</f>
        <v>380</v>
      </c>
      <c r="Y173" s="6">
        <f>IFERROR(1-V173/X173,"-")</f>
        <v>0.34210526315789469</v>
      </c>
      <c r="Z173" s="33">
        <v>0.25</v>
      </c>
      <c r="AA173" s="4">
        <f>AV173</f>
        <v>439</v>
      </c>
      <c r="AB173" s="33">
        <f>IFERROR(AA173*AL173,"-")</f>
        <v>487.77777777777777</v>
      </c>
      <c r="AC173" s="6">
        <f>IFERROR(1-V173/AB173,"-")</f>
        <v>0.48747152619589973</v>
      </c>
      <c r="AD173" s="7">
        <v>410</v>
      </c>
      <c r="AE173" s="6">
        <f>1-V173/AD173</f>
        <v>0.3902439024390244</v>
      </c>
      <c r="AF173" s="4">
        <f>AD173-V173</f>
        <v>160</v>
      </c>
      <c r="AG173" s="28"/>
      <c r="AH173" s="6"/>
      <c r="AI173" s="6"/>
      <c r="AJ173" s="6">
        <f>IFERROR(T173/L173,"-")</f>
        <v>1.1111111111111112</v>
      </c>
      <c r="AK173" s="6">
        <f>IFERROR(AD173/M173,"-")</f>
        <v>1.1988304093567252</v>
      </c>
      <c r="AL173" s="6">
        <f>IFERROR(V173/N173,"-")</f>
        <v>1.1111111111111112</v>
      </c>
      <c r="AM173" s="4" t="str">
        <f t="shared" si="10"/>
        <v>-</v>
      </c>
      <c r="AN173" s="4" t="str">
        <f t="shared" si="11"/>
        <v>-</v>
      </c>
      <c r="AO173" s="4" t="str">
        <f t="shared" si="12"/>
        <v>-</v>
      </c>
      <c r="AP173" s="4">
        <v>0</v>
      </c>
      <c r="AQ173" s="4" t="s">
        <v>867</v>
      </c>
      <c r="AR173" s="4"/>
      <c r="AS173" s="4"/>
      <c r="AT173" s="4" t="s">
        <v>693</v>
      </c>
      <c r="AU173" s="4">
        <v>439</v>
      </c>
      <c r="AV173" s="4">
        <f>IF(AR173="",AU173,AR173/AS173*AU173)</f>
        <v>439</v>
      </c>
      <c r="AW173" s="19">
        <v>4</v>
      </c>
      <c r="AX173" s="19">
        <v>8</v>
      </c>
      <c r="AY173" s="16">
        <v>5</v>
      </c>
      <c r="AZ173" t="s">
        <v>462</v>
      </c>
      <c r="BA173" t="str">
        <f t="shared" si="13"/>
        <v>-</v>
      </c>
      <c r="BB173">
        <v>428</v>
      </c>
      <c r="BC173">
        <f t="shared" si="14"/>
        <v>475.5555555555556</v>
      </c>
      <c r="BD173" t="s">
        <v>626</v>
      </c>
    </row>
    <row r="174" spans="1:56" x14ac:dyDescent="0.4">
      <c r="A174" s="3">
        <v>156</v>
      </c>
      <c r="B174" s="3">
        <v>156</v>
      </c>
      <c r="C174" s="4" t="s">
        <v>124</v>
      </c>
      <c r="D174" s="4" t="str">
        <f>TEXT(C174,"000000")</f>
        <v>J84667</v>
      </c>
      <c r="E174" s="4" t="s">
        <v>124</v>
      </c>
      <c r="F174" s="4" t="s">
        <v>358</v>
      </c>
      <c r="G174" s="5">
        <v>4901881854125</v>
      </c>
      <c r="H174" s="5"/>
      <c r="I174" s="5"/>
      <c r="J174" s="5">
        <v>1</v>
      </c>
      <c r="K174" s="5">
        <v>1</v>
      </c>
      <c r="L174" s="4">
        <v>400</v>
      </c>
      <c r="M174" s="4">
        <v>326</v>
      </c>
      <c r="N174" s="4">
        <v>200</v>
      </c>
      <c r="O174" s="6">
        <f>IFERROR(1-N174/M174,"-")</f>
        <v>0.38650306748466257</v>
      </c>
      <c r="P174" s="4" t="s">
        <v>462</v>
      </c>
      <c r="Q174" s="4" t="s">
        <v>462</v>
      </c>
      <c r="R174" s="4" t="s">
        <v>462</v>
      </c>
      <c r="S174" s="4">
        <v>500</v>
      </c>
      <c r="T174" s="4">
        <f>IF(W174="",S174,S174*W174)</f>
        <v>500</v>
      </c>
      <c r="U174" s="4">
        <v>250</v>
      </c>
      <c r="V174" s="4">
        <f>IF(W174="",U174,U174*W174)</f>
        <v>250</v>
      </c>
      <c r="W174" s="4"/>
      <c r="X174" s="21">
        <f>ROUND(M174*AL174,0)</f>
        <v>408</v>
      </c>
      <c r="Y174" s="6">
        <f>IFERROR(1-V174/X174,"-")</f>
        <v>0.38725490196078427</v>
      </c>
      <c r="Z174" s="33">
        <v>11</v>
      </c>
      <c r="AA174" s="4">
        <f>AV174</f>
        <v>400</v>
      </c>
      <c r="AB174" s="33">
        <f>IFERROR(AA174*AL174,"-")</f>
        <v>500</v>
      </c>
      <c r="AC174" s="6">
        <f>IFERROR(1-V174/AB174,"-")</f>
        <v>0.5</v>
      </c>
      <c r="AD174" s="7">
        <v>410</v>
      </c>
      <c r="AE174" s="6">
        <f>1-V174/AD174</f>
        <v>0.3902439024390244</v>
      </c>
      <c r="AF174" s="4">
        <f>AD174-V174</f>
        <v>160</v>
      </c>
      <c r="AG174" s="28"/>
      <c r="AH174" s="6"/>
      <c r="AI174" s="6"/>
      <c r="AJ174" s="6">
        <f>IFERROR(T174/L174,"-")</f>
        <v>1.25</v>
      </c>
      <c r="AK174" s="6">
        <f>IFERROR(AD174/M174,"-")</f>
        <v>1.2576687116564418</v>
      </c>
      <c r="AL174" s="6">
        <f>IFERROR(V174/N174,"-")</f>
        <v>1.25</v>
      </c>
      <c r="AM174" s="4" t="str">
        <f t="shared" si="10"/>
        <v>-</v>
      </c>
      <c r="AN174" s="4" t="str">
        <f t="shared" si="11"/>
        <v>-</v>
      </c>
      <c r="AO174" s="4" t="str">
        <f t="shared" si="12"/>
        <v>-</v>
      </c>
      <c r="AP174" s="4">
        <v>0</v>
      </c>
      <c r="AQ174" s="4" t="s">
        <v>868</v>
      </c>
      <c r="AR174" s="4">
        <v>1</v>
      </c>
      <c r="AS174" s="4">
        <v>5</v>
      </c>
      <c r="AT174" s="4" t="s">
        <v>826</v>
      </c>
      <c r="AU174" s="4">
        <v>2000</v>
      </c>
      <c r="AV174" s="4">
        <f>IF(AR174="",AU174,AR174/AS174*AU174)</f>
        <v>400</v>
      </c>
      <c r="AW174" s="19">
        <v>4</v>
      </c>
      <c r="AX174" s="19">
        <v>1</v>
      </c>
      <c r="AY174" s="16">
        <v>6</v>
      </c>
      <c r="AZ174">
        <v>320</v>
      </c>
      <c r="BA174">
        <f t="shared" si="13"/>
        <v>400</v>
      </c>
      <c r="BB174">
        <v>320</v>
      </c>
      <c r="BC174">
        <f t="shared" si="14"/>
        <v>400</v>
      </c>
      <c r="BD174" t="s">
        <v>627</v>
      </c>
    </row>
    <row r="175" spans="1:56" x14ac:dyDescent="0.4">
      <c r="A175" s="3">
        <v>157</v>
      </c>
      <c r="B175" s="3">
        <v>157</v>
      </c>
      <c r="C175" s="4" t="s">
        <v>125</v>
      </c>
      <c r="D175" s="4" t="str">
        <f>TEXT(C175,"000000")</f>
        <v>J84669</v>
      </c>
      <c r="E175" s="4" t="s">
        <v>125</v>
      </c>
      <c r="F175" s="4" t="s">
        <v>359</v>
      </c>
      <c r="G175" s="5">
        <v>4901881805301</v>
      </c>
      <c r="H175" s="5"/>
      <c r="I175" s="5"/>
      <c r="J175" s="5">
        <v>1</v>
      </c>
      <c r="K175" s="5">
        <v>1</v>
      </c>
      <c r="L175" s="4">
        <v>500</v>
      </c>
      <c r="M175" s="4">
        <v>336</v>
      </c>
      <c r="N175" s="4">
        <v>250</v>
      </c>
      <c r="O175" s="6">
        <f>IFERROR(1-N175/M175,"-")</f>
        <v>0.25595238095238093</v>
      </c>
      <c r="P175" s="4" t="s">
        <v>462</v>
      </c>
      <c r="Q175" s="4" t="s">
        <v>462</v>
      </c>
      <c r="R175" s="4" t="s">
        <v>462</v>
      </c>
      <c r="S175" s="4">
        <v>600</v>
      </c>
      <c r="T175" s="4">
        <f>IF(W175="",S175,S175*W175)</f>
        <v>600</v>
      </c>
      <c r="U175" s="4">
        <v>300</v>
      </c>
      <c r="V175" s="4">
        <f>IF(W175="",U175,U175*W175)</f>
        <v>300</v>
      </c>
      <c r="W175" s="4"/>
      <c r="X175" s="21">
        <f>ROUND(M175*AL175,0)</f>
        <v>403</v>
      </c>
      <c r="Y175" s="6">
        <f>IFERROR(1-V175/X175,"-")</f>
        <v>0.25558312655086846</v>
      </c>
      <c r="Z175" s="33">
        <v>1.5</v>
      </c>
      <c r="AA175" s="4">
        <f>AV175</f>
        <v>500</v>
      </c>
      <c r="AB175" s="33">
        <f>IFERROR(AA175*AL175,"-")</f>
        <v>600</v>
      </c>
      <c r="AC175" s="6">
        <f>IFERROR(1-V175/AB175,"-")</f>
        <v>0.5</v>
      </c>
      <c r="AD175" s="7">
        <v>495</v>
      </c>
      <c r="AE175" s="6">
        <f>1-V175/AD175</f>
        <v>0.39393939393939392</v>
      </c>
      <c r="AF175" s="4">
        <f>AD175-V175</f>
        <v>195</v>
      </c>
      <c r="AG175" s="28"/>
      <c r="AH175" s="6"/>
      <c r="AI175" s="6"/>
      <c r="AJ175" s="6">
        <f>IFERROR(T175/L175,"-")</f>
        <v>1.2</v>
      </c>
      <c r="AK175" s="6">
        <f>IFERROR(AD175/M175,"-")</f>
        <v>1.4732142857142858</v>
      </c>
      <c r="AL175" s="6">
        <f>IFERROR(V175/N175,"-")</f>
        <v>1.2</v>
      </c>
      <c r="AM175" s="4" t="str">
        <f t="shared" si="10"/>
        <v>-</v>
      </c>
      <c r="AN175" s="4" t="str">
        <f t="shared" si="11"/>
        <v>-</v>
      </c>
      <c r="AO175" s="4" t="str">
        <f t="shared" si="12"/>
        <v>-</v>
      </c>
      <c r="AP175" s="4">
        <v>0</v>
      </c>
      <c r="AQ175" s="4" t="s">
        <v>869</v>
      </c>
      <c r="AR175" s="4">
        <v>1</v>
      </c>
      <c r="AS175" s="4">
        <v>2</v>
      </c>
      <c r="AT175" s="4" t="s">
        <v>870</v>
      </c>
      <c r="AU175" s="4">
        <v>1000</v>
      </c>
      <c r="AV175" s="4">
        <f>IF(AR175="",AU175,AR175/AS175*AU175)</f>
        <v>500</v>
      </c>
      <c r="AW175" s="19">
        <v>4</v>
      </c>
      <c r="AX175" s="19">
        <v>1</v>
      </c>
      <c r="AY175" s="16">
        <v>6</v>
      </c>
      <c r="AZ175" t="s">
        <v>462</v>
      </c>
      <c r="BA175" t="str">
        <f t="shared" si="13"/>
        <v>-</v>
      </c>
      <c r="BB175" t="s">
        <v>462</v>
      </c>
      <c r="BC175" t="str">
        <f t="shared" si="14"/>
        <v>-</v>
      </c>
      <c r="BD175" t="s">
        <v>628</v>
      </c>
    </row>
    <row r="176" spans="1:56" x14ac:dyDescent="0.4">
      <c r="A176" s="3">
        <v>95</v>
      </c>
      <c r="B176" s="3">
        <v>95</v>
      </c>
      <c r="C176" s="4" t="s">
        <v>63</v>
      </c>
      <c r="D176" s="4" t="str">
        <f>TEXT(C176,"000000")</f>
        <v>J560LY</v>
      </c>
      <c r="E176" s="4" t="s">
        <v>63</v>
      </c>
      <c r="F176" s="4" t="s">
        <v>297</v>
      </c>
      <c r="G176" s="5">
        <v>4901881240584</v>
      </c>
      <c r="H176" s="5"/>
      <c r="I176" s="5"/>
      <c r="J176" s="5">
        <v>1</v>
      </c>
      <c r="K176" s="5">
        <v>1</v>
      </c>
      <c r="L176" s="4">
        <v>600</v>
      </c>
      <c r="M176" s="4">
        <v>395</v>
      </c>
      <c r="N176" s="4">
        <v>258</v>
      </c>
      <c r="O176" s="6">
        <f>IFERROR(1-N176/M176,"-")</f>
        <v>0.34683544303797464</v>
      </c>
      <c r="P176" s="4" t="s">
        <v>462</v>
      </c>
      <c r="Q176" s="4" t="s">
        <v>462</v>
      </c>
      <c r="R176" s="4" t="s">
        <v>462</v>
      </c>
      <c r="S176" s="4">
        <v>750</v>
      </c>
      <c r="T176" s="4">
        <f>IF(W176="",S176,S176*W176)</f>
        <v>750</v>
      </c>
      <c r="U176" s="4">
        <v>323</v>
      </c>
      <c r="V176" s="4">
        <f>IF(W176="",U176,U176*W176)</f>
        <v>323</v>
      </c>
      <c r="W176" s="4"/>
      <c r="X176" s="21">
        <f>ROUND(M176*AL176,0)</f>
        <v>495</v>
      </c>
      <c r="Y176" s="6">
        <f>IFERROR(1-V176/X176,"-")</f>
        <v>0.34747474747474749</v>
      </c>
      <c r="Z176" s="33">
        <v>143.5</v>
      </c>
      <c r="AA176" s="4">
        <f>AV176</f>
        <v>453</v>
      </c>
      <c r="AB176" s="33">
        <f>IFERROR(AA176*AL176,"-")</f>
        <v>567.12790697674416</v>
      </c>
      <c r="AC176" s="6">
        <f>IFERROR(1-V176/AB176,"-")</f>
        <v>0.43046357615894038</v>
      </c>
      <c r="AD176" s="7">
        <v>530</v>
      </c>
      <c r="AE176" s="6">
        <f>1-V176/AD176</f>
        <v>0.39056603773584908</v>
      </c>
      <c r="AF176" s="4">
        <f>AD176-V176</f>
        <v>207</v>
      </c>
      <c r="AG176" s="28"/>
      <c r="AH176" s="6"/>
      <c r="AI176" s="6"/>
      <c r="AJ176" s="6">
        <f>IFERROR(T176/L176,"-")</f>
        <v>1.25</v>
      </c>
      <c r="AK176" s="6">
        <f>IFERROR(AD176/M176,"-")</f>
        <v>1.3417721518987342</v>
      </c>
      <c r="AL176" s="6">
        <f>IFERROR(V176/N176,"-")</f>
        <v>1.251937984496124</v>
      </c>
      <c r="AM176" s="4" t="str">
        <f t="shared" si="10"/>
        <v>-</v>
      </c>
      <c r="AN176" s="4" t="str">
        <f t="shared" si="11"/>
        <v>-</v>
      </c>
      <c r="AO176" s="4" t="str">
        <f t="shared" si="12"/>
        <v>-</v>
      </c>
      <c r="AP176" s="4">
        <v>0</v>
      </c>
      <c r="AQ176" s="4" t="s">
        <v>871</v>
      </c>
      <c r="AR176" s="4"/>
      <c r="AS176" s="4"/>
      <c r="AT176" s="4" t="s">
        <v>872</v>
      </c>
      <c r="AU176" s="4">
        <v>453</v>
      </c>
      <c r="AV176" s="4">
        <f>IF(AR176="",AU176,AR176/AS176*AU176)</f>
        <v>453</v>
      </c>
      <c r="AW176" s="19">
        <v>4</v>
      </c>
      <c r="AX176" s="19">
        <v>1</v>
      </c>
      <c r="AY176" s="16">
        <v>5</v>
      </c>
      <c r="AZ176" t="s">
        <v>462</v>
      </c>
      <c r="BA176" t="str">
        <f t="shared" si="13"/>
        <v>-</v>
      </c>
      <c r="BB176">
        <v>600</v>
      </c>
      <c r="BC176">
        <f t="shared" si="14"/>
        <v>751.16279069767438</v>
      </c>
      <c r="BD176" t="s">
        <v>629</v>
      </c>
    </row>
    <row r="177" spans="1:56" x14ac:dyDescent="0.4">
      <c r="A177" s="3">
        <v>96</v>
      </c>
      <c r="B177" s="3">
        <v>96</v>
      </c>
      <c r="C177" s="4" t="s">
        <v>64</v>
      </c>
      <c r="D177" s="4" t="str">
        <f>TEXT(C177,"000000")</f>
        <v>J563LY</v>
      </c>
      <c r="E177" s="4" t="s">
        <v>64</v>
      </c>
      <c r="F177" s="4" t="s">
        <v>298</v>
      </c>
      <c r="G177" s="5">
        <v>4901881259739</v>
      </c>
      <c r="H177" s="5"/>
      <c r="I177" s="5"/>
      <c r="J177" s="5">
        <v>1</v>
      </c>
      <c r="K177" s="5">
        <v>1</v>
      </c>
      <c r="L177" s="4">
        <v>600</v>
      </c>
      <c r="M177" s="4">
        <v>395</v>
      </c>
      <c r="N177" s="4">
        <v>258</v>
      </c>
      <c r="O177" s="6">
        <f>IFERROR(1-N177/M177,"-")</f>
        <v>0.34683544303797464</v>
      </c>
      <c r="P177" s="4" t="s">
        <v>462</v>
      </c>
      <c r="Q177" s="4" t="s">
        <v>462</v>
      </c>
      <c r="R177" s="4" t="s">
        <v>462</v>
      </c>
      <c r="S177" s="4">
        <v>750</v>
      </c>
      <c r="T177" s="4">
        <f>IF(W177="",S177,S177*W177)</f>
        <v>750</v>
      </c>
      <c r="U177" s="4">
        <v>323</v>
      </c>
      <c r="V177" s="4">
        <f>IF(W177="",U177,U177*W177)</f>
        <v>323</v>
      </c>
      <c r="W177" s="4"/>
      <c r="X177" s="21">
        <f>ROUND(M177*AL177,0)</f>
        <v>495</v>
      </c>
      <c r="Y177" s="6">
        <f>IFERROR(1-V177/X177,"-")</f>
        <v>0.34747474747474749</v>
      </c>
      <c r="Z177" s="33">
        <v>1</v>
      </c>
      <c r="AA177" s="4">
        <f>AV177</f>
        <v>600</v>
      </c>
      <c r="AB177" s="33">
        <f>IFERROR(AA177*AL177,"-")</f>
        <v>751.16279069767438</v>
      </c>
      <c r="AC177" s="6">
        <f>IFERROR(1-V177/AB177,"-")</f>
        <v>0.56999999999999995</v>
      </c>
      <c r="AD177" s="7">
        <v>530</v>
      </c>
      <c r="AE177" s="6">
        <f>1-V177/AD177</f>
        <v>0.39056603773584908</v>
      </c>
      <c r="AF177" s="4">
        <f>AD177-V177</f>
        <v>207</v>
      </c>
      <c r="AG177" s="28"/>
      <c r="AH177" s="6"/>
      <c r="AI177" s="6"/>
      <c r="AJ177" s="6">
        <f>IFERROR(T177/L177,"-")</f>
        <v>1.25</v>
      </c>
      <c r="AK177" s="6">
        <f>IFERROR(AD177/M177,"-")</f>
        <v>1.3417721518987342</v>
      </c>
      <c r="AL177" s="6">
        <f>IFERROR(V177/N177,"-")</f>
        <v>1.251937984496124</v>
      </c>
      <c r="AM177" s="4" t="str">
        <f t="shared" si="10"/>
        <v>-</v>
      </c>
      <c r="AN177" s="4" t="str">
        <f t="shared" si="11"/>
        <v>-</v>
      </c>
      <c r="AO177" s="4" t="str">
        <f t="shared" si="12"/>
        <v>-</v>
      </c>
      <c r="AP177" s="4">
        <v>0</v>
      </c>
      <c r="AQ177" s="4" t="s">
        <v>873</v>
      </c>
      <c r="AR177" s="4">
        <v>1</v>
      </c>
      <c r="AS177" s="4">
        <v>10</v>
      </c>
      <c r="AT177" s="4" t="s">
        <v>749</v>
      </c>
      <c r="AU177" s="4">
        <v>6000</v>
      </c>
      <c r="AV177" s="4">
        <f>IF(AR177="",AU177,AR177/AS177*AU177)</f>
        <v>600</v>
      </c>
      <c r="AW177" s="19">
        <v>4</v>
      </c>
      <c r="AX177" s="19">
        <v>8</v>
      </c>
      <c r="AY177" s="16">
        <v>5</v>
      </c>
      <c r="AZ177" t="s">
        <v>462</v>
      </c>
      <c r="BA177" t="str">
        <f t="shared" si="13"/>
        <v>-</v>
      </c>
      <c r="BB177" t="s">
        <v>462</v>
      </c>
      <c r="BC177" t="str">
        <f t="shared" si="14"/>
        <v>-</v>
      </c>
      <c r="BD177" t="s">
        <v>630</v>
      </c>
    </row>
    <row r="178" spans="1:56" x14ac:dyDescent="0.4">
      <c r="A178" s="3">
        <v>151</v>
      </c>
      <c r="B178" s="3">
        <v>151</v>
      </c>
      <c r="C178" s="4" t="s">
        <v>119</v>
      </c>
      <c r="D178" s="4" t="str">
        <f>TEXT(C178,"000000")</f>
        <v>J84662</v>
      </c>
      <c r="E178" s="4" t="s">
        <v>119</v>
      </c>
      <c r="F178" s="4" t="s">
        <v>353</v>
      </c>
      <c r="G178" s="5">
        <v>4901881113758</v>
      </c>
      <c r="H178" s="5"/>
      <c r="I178" s="5"/>
      <c r="J178" s="5">
        <v>1</v>
      </c>
      <c r="K178" s="5">
        <v>1</v>
      </c>
      <c r="L178" s="4">
        <v>630</v>
      </c>
      <c r="M178" s="4">
        <v>401</v>
      </c>
      <c r="N178" s="4">
        <v>315</v>
      </c>
      <c r="O178" s="6">
        <f>IFERROR(1-N178/M178,"-")</f>
        <v>0.21446384039900246</v>
      </c>
      <c r="P178" s="4" t="s">
        <v>462</v>
      </c>
      <c r="Q178" s="4" t="s">
        <v>462</v>
      </c>
      <c r="R178" s="4" t="s">
        <v>462</v>
      </c>
      <c r="S178" s="4">
        <v>680</v>
      </c>
      <c r="T178" s="4">
        <f>IF(W178="",S178,S178*W178)</f>
        <v>680</v>
      </c>
      <c r="U178" s="4">
        <v>340</v>
      </c>
      <c r="V178" s="4">
        <f>IF(W178="",U178,U178*W178)</f>
        <v>340</v>
      </c>
      <c r="W178" s="4"/>
      <c r="X178" s="21">
        <f>ROUND(M178*AL178,0)</f>
        <v>433</v>
      </c>
      <c r="Y178" s="6">
        <f>IFERROR(1-V178/X178,"-")</f>
        <v>0.21478060046189373</v>
      </c>
      <c r="Z178" s="33">
        <v>0.5</v>
      </c>
      <c r="AA178" s="4">
        <f>AV178</f>
        <v>630</v>
      </c>
      <c r="AB178" s="33">
        <f>IFERROR(AA178*AL178,"-")</f>
        <v>680</v>
      </c>
      <c r="AC178" s="6">
        <f>IFERROR(1-V178/AB178,"-")</f>
        <v>0.5</v>
      </c>
      <c r="AD178" s="7">
        <v>560</v>
      </c>
      <c r="AE178" s="6">
        <f>1-V178/AD178</f>
        <v>0.3928571428571429</v>
      </c>
      <c r="AF178" s="4">
        <f>AD178-V178</f>
        <v>220</v>
      </c>
      <c r="AG178" s="28"/>
      <c r="AH178" s="6"/>
      <c r="AI178" s="6"/>
      <c r="AJ178" s="6">
        <f>IFERROR(T178/L178,"-")</f>
        <v>1.0793650793650793</v>
      </c>
      <c r="AK178" s="6">
        <f>IFERROR(AD178/M178,"-")</f>
        <v>1.3965087281795512</v>
      </c>
      <c r="AL178" s="6">
        <f>IFERROR(V178/N178,"-")</f>
        <v>1.0793650793650793</v>
      </c>
      <c r="AM178" s="4" t="str">
        <f t="shared" si="10"/>
        <v>-</v>
      </c>
      <c r="AN178" s="4" t="str">
        <f t="shared" si="11"/>
        <v>-</v>
      </c>
      <c r="AO178" s="4" t="str">
        <f t="shared" si="12"/>
        <v>-</v>
      </c>
      <c r="AP178" s="4">
        <v>0</v>
      </c>
      <c r="AQ178" s="4" t="s">
        <v>874</v>
      </c>
      <c r="AR178" s="4">
        <v>1</v>
      </c>
      <c r="AS178" s="4">
        <v>2</v>
      </c>
      <c r="AT178" s="4" t="s">
        <v>870</v>
      </c>
      <c r="AU178" s="4">
        <v>1260</v>
      </c>
      <c r="AV178" s="4">
        <f>IF(AR178="",AU178,AR178/AS178*AU178)</f>
        <v>630</v>
      </c>
      <c r="AW178" s="19">
        <v>4</v>
      </c>
      <c r="AX178" s="19">
        <v>8</v>
      </c>
      <c r="AY178" s="16">
        <v>5</v>
      </c>
      <c r="AZ178" t="s">
        <v>462</v>
      </c>
      <c r="BA178" t="str">
        <f t="shared" si="13"/>
        <v>-</v>
      </c>
      <c r="BB178">
        <v>599</v>
      </c>
      <c r="BC178">
        <f t="shared" si="14"/>
        <v>646.53968253968253</v>
      </c>
      <c r="BD178" t="s">
        <v>631</v>
      </c>
    </row>
    <row r="179" spans="1:56" x14ac:dyDescent="0.4">
      <c r="A179" s="3">
        <v>155</v>
      </c>
      <c r="B179" s="3">
        <v>155</v>
      </c>
      <c r="C179" s="4" t="s">
        <v>123</v>
      </c>
      <c r="D179" s="4" t="str">
        <f>TEXT(C179,"000000")</f>
        <v>J84666</v>
      </c>
      <c r="E179" s="4" t="s">
        <v>123</v>
      </c>
      <c r="F179" s="4" t="s">
        <v>357</v>
      </c>
      <c r="G179" s="5">
        <v>4901881113796</v>
      </c>
      <c r="H179" s="5"/>
      <c r="I179" s="5"/>
      <c r="J179" s="5">
        <v>1</v>
      </c>
      <c r="K179" s="5">
        <v>1</v>
      </c>
      <c r="L179" s="4">
        <v>630</v>
      </c>
      <c r="M179" s="4">
        <v>401</v>
      </c>
      <c r="N179" s="4">
        <v>315</v>
      </c>
      <c r="O179" s="6">
        <f>IFERROR(1-N179/M179,"-")</f>
        <v>0.21446384039900246</v>
      </c>
      <c r="P179" s="4" t="s">
        <v>462</v>
      </c>
      <c r="Q179" s="4" t="s">
        <v>462</v>
      </c>
      <c r="R179" s="4" t="s">
        <v>462</v>
      </c>
      <c r="S179" s="4">
        <v>680</v>
      </c>
      <c r="T179" s="4">
        <f>IF(W179="",S179,S179*W179)</f>
        <v>680</v>
      </c>
      <c r="U179" s="4">
        <v>340</v>
      </c>
      <c r="V179" s="4">
        <f>IF(W179="",U179,U179*W179)</f>
        <v>340</v>
      </c>
      <c r="W179" s="4"/>
      <c r="X179" s="21">
        <f>ROUND(M179*AL179,0)</f>
        <v>433</v>
      </c>
      <c r="Y179" s="6">
        <f>IFERROR(1-V179/X179,"-")</f>
        <v>0.21478060046189373</v>
      </c>
      <c r="Z179" s="33">
        <v>7.5</v>
      </c>
      <c r="AA179" s="4">
        <f>AV179</f>
        <v>630</v>
      </c>
      <c r="AB179" s="33">
        <f>IFERROR(AA179*AL179,"-")</f>
        <v>680</v>
      </c>
      <c r="AC179" s="6">
        <f>IFERROR(1-V179/AB179,"-")</f>
        <v>0.5</v>
      </c>
      <c r="AD179" s="7">
        <v>560</v>
      </c>
      <c r="AE179" s="6">
        <f>1-V179/AD179</f>
        <v>0.3928571428571429</v>
      </c>
      <c r="AF179" s="4">
        <f>AD179-V179</f>
        <v>220</v>
      </c>
      <c r="AG179" s="28"/>
      <c r="AH179" s="6"/>
      <c r="AI179" s="6"/>
      <c r="AJ179" s="6">
        <f>IFERROR(T179/L179,"-")</f>
        <v>1.0793650793650793</v>
      </c>
      <c r="AK179" s="6">
        <f>IFERROR(AD179/M179,"-")</f>
        <v>1.3965087281795512</v>
      </c>
      <c r="AL179" s="6">
        <f>IFERROR(V179/N179,"-")</f>
        <v>1.0793650793650793</v>
      </c>
      <c r="AM179" s="4" t="str">
        <f t="shared" si="10"/>
        <v>-</v>
      </c>
      <c r="AN179" s="4" t="str">
        <f t="shared" si="11"/>
        <v>-</v>
      </c>
      <c r="AO179" s="4" t="str">
        <f t="shared" si="12"/>
        <v>-</v>
      </c>
      <c r="AP179" s="4">
        <v>0</v>
      </c>
      <c r="AQ179" s="4" t="s">
        <v>875</v>
      </c>
      <c r="AR179" s="4">
        <v>1</v>
      </c>
      <c r="AS179" s="4">
        <v>2</v>
      </c>
      <c r="AT179" s="4" t="s">
        <v>870</v>
      </c>
      <c r="AU179" s="4">
        <v>1260</v>
      </c>
      <c r="AV179" s="4">
        <f>IF(AR179="",AU179,AR179/AS179*AU179)</f>
        <v>630</v>
      </c>
      <c r="AW179" s="19">
        <v>4</v>
      </c>
      <c r="AX179" s="19">
        <v>8</v>
      </c>
      <c r="AY179" s="16">
        <v>5</v>
      </c>
      <c r="AZ179" t="s">
        <v>462</v>
      </c>
      <c r="BA179" t="str">
        <f t="shared" si="13"/>
        <v>-</v>
      </c>
      <c r="BB179">
        <v>599</v>
      </c>
      <c r="BC179">
        <f t="shared" si="14"/>
        <v>646.53968253968253</v>
      </c>
      <c r="BD179" t="s">
        <v>632</v>
      </c>
    </row>
    <row r="180" spans="1:56" x14ac:dyDescent="0.4">
      <c r="A180" s="3">
        <v>5</v>
      </c>
      <c r="B180" s="3">
        <v>5</v>
      </c>
      <c r="C180" s="4">
        <v>165350</v>
      </c>
      <c r="D180" s="4" t="str">
        <f>TEXT(C180,"000000")</f>
        <v>165350</v>
      </c>
      <c r="E180" s="4">
        <v>165350</v>
      </c>
      <c r="F180" s="4" t="s">
        <v>207</v>
      </c>
      <c r="G180" s="5">
        <v>4901881185960</v>
      </c>
      <c r="H180" s="5"/>
      <c r="I180" s="5"/>
      <c r="J180" s="5">
        <v>1</v>
      </c>
      <c r="K180" s="5">
        <v>1</v>
      </c>
      <c r="L180" s="4">
        <v>600</v>
      </c>
      <c r="M180" s="4">
        <v>382</v>
      </c>
      <c r="N180" s="4">
        <v>300</v>
      </c>
      <c r="O180" s="6">
        <f>IFERROR(1-N180/M180,"-")</f>
        <v>0.21465968586387429</v>
      </c>
      <c r="P180" s="4" t="s">
        <v>462</v>
      </c>
      <c r="Q180" s="4" t="s">
        <v>462</v>
      </c>
      <c r="R180" s="4" t="s">
        <v>462</v>
      </c>
      <c r="S180" s="4">
        <v>700</v>
      </c>
      <c r="T180" s="4">
        <f>IF(W180="",S180,S180*W180)</f>
        <v>700</v>
      </c>
      <c r="U180" s="4">
        <v>350</v>
      </c>
      <c r="V180" s="4">
        <f>IF(W180="",U180,U180*W180)</f>
        <v>350</v>
      </c>
      <c r="W180" s="4"/>
      <c r="X180" s="21">
        <f>ROUND(M180*AL180,0)</f>
        <v>446</v>
      </c>
      <c r="Y180" s="6">
        <f>IFERROR(1-V180/X180,"-")</f>
        <v>0.2152466367713004</v>
      </c>
      <c r="Z180" s="33">
        <v>0.25</v>
      </c>
      <c r="AA180" s="4">
        <f>AV180</f>
        <v>600</v>
      </c>
      <c r="AB180" s="33">
        <f>IFERROR(AA180*AL180,"-")</f>
        <v>700</v>
      </c>
      <c r="AC180" s="6">
        <f>IFERROR(1-V180/AB180,"-")</f>
        <v>0.5</v>
      </c>
      <c r="AD180" s="7">
        <v>580</v>
      </c>
      <c r="AE180" s="6">
        <f>1-V180/AD180</f>
        <v>0.39655172413793105</v>
      </c>
      <c r="AF180" s="4">
        <f>AD180-V180</f>
        <v>230</v>
      </c>
      <c r="AG180" s="28"/>
      <c r="AH180" s="6"/>
      <c r="AI180" s="6"/>
      <c r="AJ180" s="6">
        <f>IFERROR(T180/L180,"-")</f>
        <v>1.1666666666666667</v>
      </c>
      <c r="AK180" s="6">
        <f>IFERROR(AD180/M180,"-")</f>
        <v>1.5183246073298429</v>
      </c>
      <c r="AL180" s="6">
        <f>IFERROR(V180/N180,"-")</f>
        <v>1.1666666666666667</v>
      </c>
      <c r="AM180" s="4" t="str">
        <f t="shared" si="10"/>
        <v>-</v>
      </c>
      <c r="AN180" s="4" t="str">
        <f t="shared" si="11"/>
        <v>-</v>
      </c>
      <c r="AO180" s="4" t="str">
        <f t="shared" si="12"/>
        <v>-</v>
      </c>
      <c r="AP180" s="4">
        <v>0</v>
      </c>
      <c r="AQ180" s="4" t="s">
        <v>876</v>
      </c>
      <c r="AR180" s="4"/>
      <c r="AS180" s="4"/>
      <c r="AT180" s="4" t="s">
        <v>846</v>
      </c>
      <c r="AU180" s="4">
        <v>600</v>
      </c>
      <c r="AV180" s="4">
        <f>IF(AR180="",AU180,AR180/AS180*AU180)</f>
        <v>600</v>
      </c>
      <c r="AW180" s="19">
        <v>4</v>
      </c>
      <c r="AX180" s="19">
        <v>8</v>
      </c>
      <c r="AY180" s="16">
        <v>5</v>
      </c>
      <c r="AZ180" t="s">
        <v>462</v>
      </c>
      <c r="BA180" t="str">
        <f t="shared" si="13"/>
        <v>-</v>
      </c>
      <c r="BB180">
        <v>570</v>
      </c>
      <c r="BC180">
        <f t="shared" si="14"/>
        <v>665</v>
      </c>
      <c r="BD180" t="s">
        <v>633</v>
      </c>
    </row>
    <row r="181" spans="1:56" x14ac:dyDescent="0.4">
      <c r="A181" s="3">
        <v>6</v>
      </c>
      <c r="B181" s="3">
        <v>6</v>
      </c>
      <c r="C181" s="4">
        <v>165351</v>
      </c>
      <c r="D181" s="4" t="str">
        <f>TEXT(C181,"000000")</f>
        <v>165351</v>
      </c>
      <c r="E181" s="4">
        <v>165351</v>
      </c>
      <c r="F181" s="4" t="s">
        <v>208</v>
      </c>
      <c r="G181" s="5">
        <v>4901881185953</v>
      </c>
      <c r="H181" s="5"/>
      <c r="I181" s="5"/>
      <c r="J181" s="5">
        <v>1</v>
      </c>
      <c r="K181" s="5">
        <v>1</v>
      </c>
      <c r="L181" s="4">
        <v>600</v>
      </c>
      <c r="M181" s="4">
        <v>382</v>
      </c>
      <c r="N181" s="4">
        <v>300</v>
      </c>
      <c r="O181" s="6">
        <f>IFERROR(1-N181/M181,"-")</f>
        <v>0.21465968586387429</v>
      </c>
      <c r="P181" s="4" t="s">
        <v>462</v>
      </c>
      <c r="Q181" s="4" t="s">
        <v>462</v>
      </c>
      <c r="R181" s="4" t="s">
        <v>462</v>
      </c>
      <c r="S181" s="4">
        <v>700</v>
      </c>
      <c r="T181" s="4">
        <f>IF(W181="",S181,S181*W181)</f>
        <v>700</v>
      </c>
      <c r="U181" s="4">
        <v>350</v>
      </c>
      <c r="V181" s="4">
        <f>IF(W181="",U181,U181*W181)</f>
        <v>350</v>
      </c>
      <c r="W181" s="4"/>
      <c r="X181" s="21">
        <f>ROUND(M181*AL181,0)</f>
        <v>446</v>
      </c>
      <c r="Y181" s="6">
        <f>IFERROR(1-V181/X181,"-")</f>
        <v>0.2152466367713004</v>
      </c>
      <c r="Z181" s="33">
        <v>0</v>
      </c>
      <c r="AA181" s="4">
        <f>AV181</f>
        <v>600</v>
      </c>
      <c r="AB181" s="33">
        <f>IFERROR(AA181*AL181,"-")</f>
        <v>700</v>
      </c>
      <c r="AC181" s="6">
        <f>IFERROR(1-V181/AB181,"-")</f>
        <v>0.5</v>
      </c>
      <c r="AD181" s="7">
        <v>580</v>
      </c>
      <c r="AE181" s="6">
        <f>1-V181/AD181</f>
        <v>0.39655172413793105</v>
      </c>
      <c r="AF181" s="4">
        <f>AD181-V181</f>
        <v>230</v>
      </c>
      <c r="AG181" s="28"/>
      <c r="AH181" s="6"/>
      <c r="AI181" s="6"/>
      <c r="AJ181" s="6">
        <f>IFERROR(T181/L181,"-")</f>
        <v>1.1666666666666667</v>
      </c>
      <c r="AK181" s="6">
        <f>IFERROR(AD181/M181,"-")</f>
        <v>1.5183246073298429</v>
      </c>
      <c r="AL181" s="6">
        <f>IFERROR(V181/N181,"-")</f>
        <v>1.1666666666666667</v>
      </c>
      <c r="AM181" s="4" t="str">
        <f t="shared" si="10"/>
        <v>-</v>
      </c>
      <c r="AN181" s="4" t="str">
        <f t="shared" si="11"/>
        <v>-</v>
      </c>
      <c r="AO181" s="4" t="str">
        <f t="shared" si="12"/>
        <v>-</v>
      </c>
      <c r="AP181" s="4">
        <v>0</v>
      </c>
      <c r="AQ181" s="4" t="s">
        <v>877</v>
      </c>
      <c r="AR181" s="4"/>
      <c r="AS181" s="4"/>
      <c r="AT181" s="4" t="s">
        <v>846</v>
      </c>
      <c r="AU181" s="4">
        <v>600</v>
      </c>
      <c r="AV181" s="4">
        <f>IF(AR181="",AU181,AR181/AS181*AU181)</f>
        <v>600</v>
      </c>
      <c r="AW181" s="19">
        <v>4</v>
      </c>
      <c r="AX181" s="19">
        <v>8</v>
      </c>
      <c r="AY181" s="16">
        <v>5</v>
      </c>
      <c r="AZ181" t="s">
        <v>462</v>
      </c>
      <c r="BA181" t="str">
        <f t="shared" si="13"/>
        <v>-</v>
      </c>
      <c r="BB181">
        <v>570</v>
      </c>
      <c r="BC181">
        <f t="shared" si="14"/>
        <v>665</v>
      </c>
      <c r="BD181" t="s">
        <v>634</v>
      </c>
    </row>
    <row r="182" spans="1:56" x14ac:dyDescent="0.4">
      <c r="A182" s="3">
        <v>7</v>
      </c>
      <c r="B182" s="3">
        <v>7</v>
      </c>
      <c r="C182" s="4">
        <v>165352</v>
      </c>
      <c r="D182" s="4" t="str">
        <f>TEXT(C182,"000000")</f>
        <v>165352</v>
      </c>
      <c r="E182" s="4">
        <v>165352</v>
      </c>
      <c r="F182" s="4" t="s">
        <v>209</v>
      </c>
      <c r="G182" s="5">
        <v>4901881185946</v>
      </c>
      <c r="H182" s="5"/>
      <c r="I182" s="5"/>
      <c r="J182" s="5">
        <v>1</v>
      </c>
      <c r="K182" s="5">
        <v>1</v>
      </c>
      <c r="L182" s="4">
        <v>600</v>
      </c>
      <c r="M182" s="4">
        <v>382</v>
      </c>
      <c r="N182" s="4">
        <v>300</v>
      </c>
      <c r="O182" s="6">
        <f>IFERROR(1-N182/M182,"-")</f>
        <v>0.21465968586387429</v>
      </c>
      <c r="P182" s="4" t="s">
        <v>462</v>
      </c>
      <c r="Q182" s="4" t="s">
        <v>462</v>
      </c>
      <c r="R182" s="4" t="s">
        <v>462</v>
      </c>
      <c r="S182" s="4">
        <v>700</v>
      </c>
      <c r="T182" s="4">
        <f>IF(W182="",S182,S182*W182)</f>
        <v>700</v>
      </c>
      <c r="U182" s="4">
        <v>350</v>
      </c>
      <c r="V182" s="4">
        <f>IF(W182="",U182,U182*W182)</f>
        <v>350</v>
      </c>
      <c r="W182" s="4"/>
      <c r="X182" s="21">
        <f>ROUND(M182*AL182,0)</f>
        <v>446</v>
      </c>
      <c r="Y182" s="6">
        <f>IFERROR(1-V182/X182,"-")</f>
        <v>0.2152466367713004</v>
      </c>
      <c r="Z182" s="33">
        <v>0</v>
      </c>
      <c r="AA182" s="4">
        <f>AV182</f>
        <v>600</v>
      </c>
      <c r="AB182" s="33">
        <f>IFERROR(AA182*AL182,"-")</f>
        <v>700</v>
      </c>
      <c r="AC182" s="6">
        <f>IFERROR(1-V182/AB182,"-")</f>
        <v>0.5</v>
      </c>
      <c r="AD182" s="7">
        <v>580</v>
      </c>
      <c r="AE182" s="6">
        <f>1-V182/AD182</f>
        <v>0.39655172413793105</v>
      </c>
      <c r="AF182" s="4">
        <f>AD182-V182</f>
        <v>230</v>
      </c>
      <c r="AG182" s="28"/>
      <c r="AH182" s="6"/>
      <c r="AI182" s="6"/>
      <c r="AJ182" s="6">
        <f>IFERROR(T182/L182,"-")</f>
        <v>1.1666666666666667</v>
      </c>
      <c r="AK182" s="6">
        <f>IFERROR(AD182/M182,"-")</f>
        <v>1.5183246073298429</v>
      </c>
      <c r="AL182" s="6">
        <f>IFERROR(V182/N182,"-")</f>
        <v>1.1666666666666667</v>
      </c>
      <c r="AM182" s="4" t="str">
        <f t="shared" si="10"/>
        <v>-</v>
      </c>
      <c r="AN182" s="4" t="str">
        <f t="shared" si="11"/>
        <v>-</v>
      </c>
      <c r="AO182" s="4" t="str">
        <f t="shared" si="12"/>
        <v>-</v>
      </c>
      <c r="AP182" s="4">
        <v>0</v>
      </c>
      <c r="AQ182" s="4" t="s">
        <v>878</v>
      </c>
      <c r="AR182" s="4">
        <v>1</v>
      </c>
      <c r="AS182" s="4">
        <v>2</v>
      </c>
      <c r="AT182" s="4" t="s">
        <v>879</v>
      </c>
      <c r="AU182" s="4">
        <v>1200</v>
      </c>
      <c r="AV182" s="4">
        <f>IF(AR182="",AU182,AR182/AS182*AU182)</f>
        <v>600</v>
      </c>
      <c r="AW182" s="19">
        <v>4</v>
      </c>
      <c r="AX182" s="19">
        <v>8</v>
      </c>
      <c r="AY182" s="16">
        <v>5</v>
      </c>
      <c r="AZ182" t="s">
        <v>462</v>
      </c>
      <c r="BA182" t="str">
        <f t="shared" si="13"/>
        <v>-</v>
      </c>
      <c r="BB182">
        <v>570</v>
      </c>
      <c r="BC182">
        <f t="shared" si="14"/>
        <v>665</v>
      </c>
      <c r="BD182" t="s">
        <v>635</v>
      </c>
    </row>
    <row r="183" spans="1:56" x14ac:dyDescent="0.4">
      <c r="A183" s="3">
        <v>8</v>
      </c>
      <c r="B183" s="3">
        <v>8</v>
      </c>
      <c r="C183" s="4">
        <v>165354</v>
      </c>
      <c r="D183" s="4" t="str">
        <f>TEXT(C183,"000000")</f>
        <v>165354</v>
      </c>
      <c r="E183" s="4">
        <v>165354</v>
      </c>
      <c r="F183" s="4" t="s">
        <v>210</v>
      </c>
      <c r="G183" s="5">
        <v>4901881185939</v>
      </c>
      <c r="H183" s="5"/>
      <c r="I183" s="5"/>
      <c r="J183" s="5">
        <v>1</v>
      </c>
      <c r="K183" s="5">
        <v>1</v>
      </c>
      <c r="L183" s="4">
        <v>600</v>
      </c>
      <c r="M183" s="4">
        <v>456</v>
      </c>
      <c r="N183" s="4">
        <v>300</v>
      </c>
      <c r="O183" s="6">
        <f>IFERROR(1-N183/M183,"-")</f>
        <v>0.34210526315789469</v>
      </c>
      <c r="P183" s="4" t="s">
        <v>462</v>
      </c>
      <c r="Q183" s="4" t="s">
        <v>462</v>
      </c>
      <c r="R183" s="4" t="s">
        <v>462</v>
      </c>
      <c r="S183" s="4">
        <v>700</v>
      </c>
      <c r="T183" s="4">
        <f>IF(W183="",S183,S183*W183)</f>
        <v>700</v>
      </c>
      <c r="U183" s="4">
        <v>350</v>
      </c>
      <c r="V183" s="4">
        <f>IF(W183="",U183,U183*W183)</f>
        <v>350</v>
      </c>
      <c r="W183" s="4"/>
      <c r="X183" s="21">
        <f>ROUND(M183*AL183,0)</f>
        <v>532</v>
      </c>
      <c r="Y183" s="6">
        <f>IFERROR(1-V183/X183,"-")</f>
        <v>0.34210526315789469</v>
      </c>
      <c r="Z183" s="33">
        <v>0</v>
      </c>
      <c r="AA183" s="4">
        <f>AV183</f>
        <v>600</v>
      </c>
      <c r="AB183" s="33">
        <f>IFERROR(AA183*AL183,"-")</f>
        <v>700</v>
      </c>
      <c r="AC183" s="6">
        <f>IFERROR(1-V183/AB183,"-")</f>
        <v>0.5</v>
      </c>
      <c r="AD183" s="7">
        <v>580</v>
      </c>
      <c r="AE183" s="6">
        <f>1-V183/AD183</f>
        <v>0.39655172413793105</v>
      </c>
      <c r="AF183" s="4">
        <f>AD183-V183</f>
        <v>230</v>
      </c>
      <c r="AG183" s="28"/>
      <c r="AH183" s="6"/>
      <c r="AI183" s="6"/>
      <c r="AJ183" s="6">
        <f>IFERROR(T183/L183,"-")</f>
        <v>1.1666666666666667</v>
      </c>
      <c r="AK183" s="6">
        <f>IFERROR(AD183/M183,"-")</f>
        <v>1.2719298245614035</v>
      </c>
      <c r="AL183" s="6">
        <f>IFERROR(V183/N183,"-")</f>
        <v>1.1666666666666667</v>
      </c>
      <c r="AM183" s="4" t="str">
        <f t="shared" si="10"/>
        <v>-</v>
      </c>
      <c r="AN183" s="4" t="str">
        <f t="shared" si="11"/>
        <v>-</v>
      </c>
      <c r="AO183" s="4" t="str">
        <f t="shared" si="12"/>
        <v>-</v>
      </c>
      <c r="AP183" s="4">
        <v>0</v>
      </c>
      <c r="AQ183" s="4" t="s">
        <v>880</v>
      </c>
      <c r="AR183" s="4"/>
      <c r="AS183" s="4"/>
      <c r="AT183" s="4" t="s">
        <v>846</v>
      </c>
      <c r="AU183" s="4">
        <v>600</v>
      </c>
      <c r="AV183" s="4">
        <f>IF(AR183="",AU183,AR183/AS183*AU183)</f>
        <v>600</v>
      </c>
      <c r="AW183" s="19">
        <v>4</v>
      </c>
      <c r="AX183" s="19">
        <v>8</v>
      </c>
      <c r="AY183" s="16">
        <v>5</v>
      </c>
      <c r="AZ183" t="s">
        <v>462</v>
      </c>
      <c r="BA183" t="str">
        <f t="shared" si="13"/>
        <v>-</v>
      </c>
      <c r="BB183">
        <v>570</v>
      </c>
      <c r="BC183">
        <f t="shared" si="14"/>
        <v>665</v>
      </c>
      <c r="BD183" t="s">
        <v>636</v>
      </c>
    </row>
    <row r="184" spans="1:56" x14ac:dyDescent="0.4">
      <c r="A184" s="3">
        <v>21</v>
      </c>
      <c r="B184" s="3">
        <v>21</v>
      </c>
      <c r="C184" s="4">
        <v>494043</v>
      </c>
      <c r="D184" s="4" t="str">
        <f>TEXT(C184,"000000")</f>
        <v>494043</v>
      </c>
      <c r="E184" s="4">
        <v>494043</v>
      </c>
      <c r="F184" s="4" t="s">
        <v>223</v>
      </c>
      <c r="G184" s="5">
        <v>4901881132223</v>
      </c>
      <c r="H184" s="5"/>
      <c r="I184" s="5"/>
      <c r="J184" s="5">
        <v>1</v>
      </c>
      <c r="K184" s="5">
        <v>1</v>
      </c>
      <c r="L184" s="4">
        <v>600</v>
      </c>
      <c r="M184" s="4">
        <v>382</v>
      </c>
      <c r="N184" s="4">
        <v>300</v>
      </c>
      <c r="O184" s="6">
        <f>IFERROR(1-N184/M184,"-")</f>
        <v>0.21465968586387429</v>
      </c>
      <c r="P184" s="4" t="s">
        <v>462</v>
      </c>
      <c r="Q184" s="4" t="s">
        <v>462</v>
      </c>
      <c r="R184" s="4" t="s">
        <v>462</v>
      </c>
      <c r="S184" s="4">
        <v>700</v>
      </c>
      <c r="T184" s="4">
        <f>IF(W184="",S184,S184*W184)</f>
        <v>700</v>
      </c>
      <c r="U184" s="4">
        <v>350</v>
      </c>
      <c r="V184" s="4">
        <f>IF(W184="",U184,U184*W184)</f>
        <v>350</v>
      </c>
      <c r="W184" s="4"/>
      <c r="X184" s="21">
        <f>ROUND(M184*AL184,0)</f>
        <v>446</v>
      </c>
      <c r="Y184" s="6">
        <f>IFERROR(1-V184/X184,"-")</f>
        <v>0.2152466367713004</v>
      </c>
      <c r="Z184" s="33">
        <v>0.5</v>
      </c>
      <c r="AA184" s="4">
        <f>AV184</f>
        <v>600</v>
      </c>
      <c r="AB184" s="33">
        <f>IFERROR(AA184*AL184,"-")</f>
        <v>700</v>
      </c>
      <c r="AC184" s="6">
        <f>IFERROR(1-V184/AB184,"-")</f>
        <v>0.5</v>
      </c>
      <c r="AD184" s="7">
        <v>580</v>
      </c>
      <c r="AE184" s="6">
        <f>1-V184/AD184</f>
        <v>0.39655172413793105</v>
      </c>
      <c r="AF184" s="4">
        <f>AD184-V184</f>
        <v>230</v>
      </c>
      <c r="AG184" s="28"/>
      <c r="AH184" s="6"/>
      <c r="AI184" s="6"/>
      <c r="AJ184" s="6">
        <f>IFERROR(T184/L184,"-")</f>
        <v>1.1666666666666667</v>
      </c>
      <c r="AK184" s="6">
        <f>IFERROR(AD184/M184,"-")</f>
        <v>1.5183246073298429</v>
      </c>
      <c r="AL184" s="6">
        <f>IFERROR(V184/N184,"-")</f>
        <v>1.1666666666666667</v>
      </c>
      <c r="AM184" s="4" t="str">
        <f t="shared" si="10"/>
        <v>-</v>
      </c>
      <c r="AN184" s="4" t="str">
        <f t="shared" si="11"/>
        <v>-</v>
      </c>
      <c r="AO184" s="4" t="str">
        <f t="shared" si="12"/>
        <v>-</v>
      </c>
      <c r="AP184" s="4">
        <v>0</v>
      </c>
      <c r="AQ184" s="4" t="s">
        <v>881</v>
      </c>
      <c r="AR184" s="4">
        <v>1</v>
      </c>
      <c r="AS184" s="4">
        <v>3</v>
      </c>
      <c r="AT184" s="4" t="s">
        <v>882</v>
      </c>
      <c r="AU184" s="4">
        <v>1800</v>
      </c>
      <c r="AV184" s="4">
        <f>IF(AR184="",AU184,AR184/AS184*AU184)</f>
        <v>600</v>
      </c>
      <c r="AW184" s="19">
        <v>4</v>
      </c>
      <c r="AX184" s="19">
        <v>8</v>
      </c>
      <c r="AY184" s="16">
        <v>5</v>
      </c>
      <c r="AZ184" t="s">
        <v>462</v>
      </c>
      <c r="BA184" t="str">
        <f t="shared" si="13"/>
        <v>-</v>
      </c>
      <c r="BB184" t="s">
        <v>462</v>
      </c>
      <c r="BC184" t="str">
        <f t="shared" si="14"/>
        <v>-</v>
      </c>
      <c r="BD184" t="s">
        <v>637</v>
      </c>
    </row>
    <row r="185" spans="1:56" x14ac:dyDescent="0.4">
      <c r="A185" s="3">
        <v>39</v>
      </c>
      <c r="B185" s="3">
        <v>39</v>
      </c>
      <c r="C185" s="4">
        <v>646159</v>
      </c>
      <c r="D185" s="4" t="str">
        <f>TEXT(C185,"000000")</f>
        <v>646159</v>
      </c>
      <c r="E185" s="4">
        <v>646159</v>
      </c>
      <c r="F185" s="4" t="s">
        <v>241</v>
      </c>
      <c r="G185" s="5">
        <v>4901881132209</v>
      </c>
      <c r="H185" s="5"/>
      <c r="I185" s="5"/>
      <c r="J185" s="5">
        <v>1</v>
      </c>
      <c r="K185" s="5">
        <v>1</v>
      </c>
      <c r="L185" s="4">
        <v>600</v>
      </c>
      <c r="M185" s="4">
        <v>494</v>
      </c>
      <c r="N185" s="4">
        <v>300</v>
      </c>
      <c r="O185" s="6">
        <f>IFERROR(1-N185/M185,"-")</f>
        <v>0.39271255060728749</v>
      </c>
      <c r="P185" s="4">
        <v>450</v>
      </c>
      <c r="Q185" s="4">
        <v>10</v>
      </c>
      <c r="R185" s="4">
        <v>99999</v>
      </c>
      <c r="S185" s="4">
        <v>700</v>
      </c>
      <c r="T185" s="4">
        <f>IF(W185="",S185,S185*W185)</f>
        <v>700</v>
      </c>
      <c r="U185" s="4">
        <v>350</v>
      </c>
      <c r="V185" s="4">
        <f>IF(W185="",U185,U185*W185)</f>
        <v>350</v>
      </c>
      <c r="W185" s="4"/>
      <c r="X185" s="21">
        <f>ROUND(M185*AL185,0)</f>
        <v>576</v>
      </c>
      <c r="Y185" s="6">
        <f>IFERROR(1-V185/X185,"-")</f>
        <v>0.39236111111111116</v>
      </c>
      <c r="Z185" s="33">
        <v>0.5</v>
      </c>
      <c r="AA185" s="4">
        <f>AV185</f>
        <v>517</v>
      </c>
      <c r="AB185" s="33">
        <f>IFERROR(AA185*AL185,"-")</f>
        <v>603.16666666666674</v>
      </c>
      <c r="AC185" s="6">
        <f>IFERROR(1-V185/AB185,"-")</f>
        <v>0.41972920696324956</v>
      </c>
      <c r="AD185" s="7">
        <v>580</v>
      </c>
      <c r="AE185" s="6">
        <f>1-V185/AD185</f>
        <v>0.39655172413793105</v>
      </c>
      <c r="AF185" s="4">
        <f>AD185-V185</f>
        <v>230</v>
      </c>
      <c r="AG185" s="28"/>
      <c r="AH185" s="6"/>
      <c r="AI185" s="6"/>
      <c r="AJ185" s="6">
        <f>IFERROR(T185/L185,"-")</f>
        <v>1.1666666666666667</v>
      </c>
      <c r="AK185" s="6">
        <f>IFERROR(AD185/M185,"-")</f>
        <v>1.1740890688259109</v>
      </c>
      <c r="AL185" s="6">
        <f>IFERROR(V185/N185,"-")</f>
        <v>1.1666666666666667</v>
      </c>
      <c r="AM185" s="4">
        <f t="shared" si="10"/>
        <v>528</v>
      </c>
      <c r="AN185" s="4">
        <f t="shared" si="11"/>
        <v>10</v>
      </c>
      <c r="AO185" s="4">
        <f t="shared" si="12"/>
        <v>99999</v>
      </c>
      <c r="AP185" s="49" t="s">
        <v>459</v>
      </c>
      <c r="AQ185" s="4" t="s">
        <v>883</v>
      </c>
      <c r="AR185" s="4"/>
      <c r="AS185" s="4"/>
      <c r="AT185" s="4" t="s">
        <v>846</v>
      </c>
      <c r="AU185" s="4">
        <v>517</v>
      </c>
      <c r="AV185" s="4">
        <f>IF(AR185="",AU185,AR185/AS185*AU185)</f>
        <v>517</v>
      </c>
      <c r="AW185" s="19">
        <v>4</v>
      </c>
      <c r="AX185" s="19">
        <v>1</v>
      </c>
      <c r="AY185" s="16">
        <v>5</v>
      </c>
      <c r="AZ185" t="s">
        <v>462</v>
      </c>
      <c r="BA185" t="str">
        <f t="shared" si="13"/>
        <v>-</v>
      </c>
      <c r="BB185" t="s">
        <v>462</v>
      </c>
      <c r="BC185" t="str">
        <f t="shared" si="14"/>
        <v>-</v>
      </c>
      <c r="BD185" t="s">
        <v>638</v>
      </c>
    </row>
    <row r="186" spans="1:56" x14ac:dyDescent="0.4">
      <c r="A186" s="3">
        <v>40</v>
      </c>
      <c r="B186" s="3">
        <v>40</v>
      </c>
      <c r="C186" s="4">
        <v>646186</v>
      </c>
      <c r="D186" s="4" t="str">
        <f>TEXT(C186,"000000")</f>
        <v>646186</v>
      </c>
      <c r="E186" s="4">
        <v>646186</v>
      </c>
      <c r="F186" s="4" t="s">
        <v>242</v>
      </c>
      <c r="G186" s="5">
        <v>4901881132216</v>
      </c>
      <c r="H186" s="5"/>
      <c r="I186" s="5"/>
      <c r="J186" s="5">
        <v>1</v>
      </c>
      <c r="K186" s="5">
        <v>1</v>
      </c>
      <c r="L186" s="4">
        <v>600</v>
      </c>
      <c r="M186" s="4">
        <v>494</v>
      </c>
      <c r="N186" s="4">
        <v>300</v>
      </c>
      <c r="O186" s="6">
        <f>IFERROR(1-N186/M186,"-")</f>
        <v>0.39271255060728749</v>
      </c>
      <c r="P186" s="4">
        <v>450</v>
      </c>
      <c r="Q186" s="4">
        <v>10</v>
      </c>
      <c r="R186" s="4">
        <v>99999</v>
      </c>
      <c r="S186" s="4">
        <v>700</v>
      </c>
      <c r="T186" s="4">
        <f>IF(W186="",S186,S186*W186)</f>
        <v>700</v>
      </c>
      <c r="U186" s="4">
        <v>350</v>
      </c>
      <c r="V186" s="4">
        <f>IF(W186="",U186,U186*W186)</f>
        <v>350</v>
      </c>
      <c r="W186" s="4"/>
      <c r="X186" s="21">
        <f>ROUND(M186*AL186,0)</f>
        <v>576</v>
      </c>
      <c r="Y186" s="6">
        <f>IFERROR(1-V186/X186,"-")</f>
        <v>0.39236111111111116</v>
      </c>
      <c r="Z186" s="33">
        <v>0.25</v>
      </c>
      <c r="AA186" s="4">
        <f>AV186</f>
        <v>517</v>
      </c>
      <c r="AB186" s="33">
        <f>IFERROR(AA186*AL186,"-")</f>
        <v>603.16666666666674</v>
      </c>
      <c r="AC186" s="6">
        <f>IFERROR(1-V186/AB186,"-")</f>
        <v>0.41972920696324956</v>
      </c>
      <c r="AD186" s="7">
        <v>580</v>
      </c>
      <c r="AE186" s="6">
        <f>1-V186/AD186</f>
        <v>0.39655172413793105</v>
      </c>
      <c r="AF186" s="4">
        <f>AD186-V186</f>
        <v>230</v>
      </c>
      <c r="AG186" s="28"/>
      <c r="AH186" s="6"/>
      <c r="AI186" s="6"/>
      <c r="AJ186" s="6">
        <f>IFERROR(T186/L186,"-")</f>
        <v>1.1666666666666667</v>
      </c>
      <c r="AK186" s="6">
        <f>IFERROR(AD186/M186,"-")</f>
        <v>1.1740890688259109</v>
      </c>
      <c r="AL186" s="6">
        <f>IFERROR(V186/N186,"-")</f>
        <v>1.1666666666666667</v>
      </c>
      <c r="AM186" s="4">
        <f t="shared" si="10"/>
        <v>528</v>
      </c>
      <c r="AN186" s="4">
        <f t="shared" si="11"/>
        <v>10</v>
      </c>
      <c r="AO186" s="4">
        <f t="shared" si="12"/>
        <v>99999</v>
      </c>
      <c r="AP186" s="49" t="s">
        <v>459</v>
      </c>
      <c r="AQ186" s="4" t="s">
        <v>884</v>
      </c>
      <c r="AR186" s="4"/>
      <c r="AS186" s="4"/>
      <c r="AT186" s="4" t="s">
        <v>846</v>
      </c>
      <c r="AU186" s="4">
        <v>517</v>
      </c>
      <c r="AV186" s="4">
        <f>IF(AR186="",AU186,AR186/AS186*AU186)</f>
        <v>517</v>
      </c>
      <c r="AW186" s="19">
        <v>4</v>
      </c>
      <c r="AX186" s="19">
        <v>1</v>
      </c>
      <c r="AY186" s="16">
        <v>5</v>
      </c>
      <c r="AZ186" t="s">
        <v>462</v>
      </c>
      <c r="BA186" t="str">
        <f t="shared" si="13"/>
        <v>-</v>
      </c>
      <c r="BB186" t="s">
        <v>462</v>
      </c>
      <c r="BC186" t="str">
        <f t="shared" si="14"/>
        <v>-</v>
      </c>
      <c r="BD186" t="s">
        <v>639</v>
      </c>
    </row>
    <row r="187" spans="1:56" x14ac:dyDescent="0.4">
      <c r="A187" s="3">
        <v>79</v>
      </c>
      <c r="B187" s="3">
        <v>79</v>
      </c>
      <c r="C187" s="4">
        <v>683827</v>
      </c>
      <c r="D187" s="4" t="str">
        <f>TEXT(C187,"000000")</f>
        <v>683827</v>
      </c>
      <c r="E187" s="4">
        <v>683827</v>
      </c>
      <c r="F187" s="4" t="s">
        <v>281</v>
      </c>
      <c r="G187" s="5">
        <v>4901881132193</v>
      </c>
      <c r="H187" s="5"/>
      <c r="I187" s="5"/>
      <c r="J187" s="5">
        <v>1</v>
      </c>
      <c r="K187" s="5">
        <v>1</v>
      </c>
      <c r="L187" s="4">
        <v>600</v>
      </c>
      <c r="M187" s="4">
        <v>494</v>
      </c>
      <c r="N187" s="4">
        <v>300</v>
      </c>
      <c r="O187" s="6">
        <f>IFERROR(1-N187/M187,"-")</f>
        <v>0.39271255060728749</v>
      </c>
      <c r="P187" s="4">
        <v>450</v>
      </c>
      <c r="Q187" s="4">
        <v>10</v>
      </c>
      <c r="R187" s="4">
        <v>99999</v>
      </c>
      <c r="S187" s="4">
        <v>700</v>
      </c>
      <c r="T187" s="4">
        <f>IF(W187="",S187,S187*W187)</f>
        <v>700</v>
      </c>
      <c r="U187" s="4">
        <v>350</v>
      </c>
      <c r="V187" s="4">
        <f>IF(W187="",U187,U187*W187)</f>
        <v>350</v>
      </c>
      <c r="W187" s="4"/>
      <c r="X187" s="21">
        <f>ROUND(M187*AL187,0)</f>
        <v>576</v>
      </c>
      <c r="Y187" s="6">
        <f>IFERROR(1-V187/X187,"-")</f>
        <v>0.39236111111111116</v>
      </c>
      <c r="Z187" s="33">
        <v>1.7500000000000002</v>
      </c>
      <c r="AA187" s="4">
        <f>AV187</f>
        <v>517</v>
      </c>
      <c r="AB187" s="33">
        <f>IFERROR(AA187*AL187,"-")</f>
        <v>603.16666666666674</v>
      </c>
      <c r="AC187" s="6">
        <f>IFERROR(1-V187/AB187,"-")</f>
        <v>0.41972920696324956</v>
      </c>
      <c r="AD187" s="7">
        <v>580</v>
      </c>
      <c r="AE187" s="6">
        <f>1-V187/AD187</f>
        <v>0.39655172413793105</v>
      </c>
      <c r="AF187" s="4">
        <f>AD187-V187</f>
        <v>230</v>
      </c>
      <c r="AG187" s="28"/>
      <c r="AH187" s="6"/>
      <c r="AI187" s="6"/>
      <c r="AJ187" s="6">
        <f>IFERROR(T187/L187,"-")</f>
        <v>1.1666666666666667</v>
      </c>
      <c r="AK187" s="6">
        <f>IFERROR(AD187/M187,"-")</f>
        <v>1.1740890688259109</v>
      </c>
      <c r="AL187" s="6">
        <f>IFERROR(V187/N187,"-")</f>
        <v>1.1666666666666667</v>
      </c>
      <c r="AM187" s="4">
        <f t="shared" si="10"/>
        <v>528</v>
      </c>
      <c r="AN187" s="4">
        <f t="shared" si="11"/>
        <v>10</v>
      </c>
      <c r="AO187" s="4">
        <f t="shared" si="12"/>
        <v>99999</v>
      </c>
      <c r="AP187" s="49" t="s">
        <v>459</v>
      </c>
      <c r="AQ187" s="4" t="s">
        <v>885</v>
      </c>
      <c r="AR187" s="4"/>
      <c r="AS187" s="4"/>
      <c r="AT187" s="4" t="s">
        <v>846</v>
      </c>
      <c r="AU187" s="4">
        <v>517</v>
      </c>
      <c r="AV187" s="4">
        <f>IF(AR187="",AU187,AR187/AS187*AU187)</f>
        <v>517</v>
      </c>
      <c r="AW187" s="19">
        <v>4</v>
      </c>
      <c r="AX187" s="19">
        <v>1</v>
      </c>
      <c r="AY187" s="16">
        <v>5</v>
      </c>
      <c r="AZ187" t="s">
        <v>462</v>
      </c>
      <c r="BA187" t="str">
        <f t="shared" si="13"/>
        <v>-</v>
      </c>
      <c r="BB187" t="s">
        <v>462</v>
      </c>
      <c r="BC187" t="str">
        <f t="shared" si="14"/>
        <v>-</v>
      </c>
      <c r="BD187" t="s">
        <v>640</v>
      </c>
    </row>
    <row r="188" spans="1:56" x14ac:dyDescent="0.4">
      <c r="A188" s="3">
        <v>112</v>
      </c>
      <c r="B188" s="3">
        <v>112</v>
      </c>
      <c r="C188" s="4" t="s">
        <v>80</v>
      </c>
      <c r="D188" s="4" t="str">
        <f>TEXT(C188,"000000")</f>
        <v>J74478</v>
      </c>
      <c r="E188" s="4" t="s">
        <v>80</v>
      </c>
      <c r="F188" s="4" t="s">
        <v>314</v>
      </c>
      <c r="G188" s="5">
        <v>4901881142840</v>
      </c>
      <c r="H188" s="5"/>
      <c r="I188" s="5"/>
      <c r="J188" s="5">
        <v>1</v>
      </c>
      <c r="K188" s="5">
        <v>1</v>
      </c>
      <c r="L188" s="4">
        <v>590</v>
      </c>
      <c r="M188" s="4">
        <v>466</v>
      </c>
      <c r="N188" s="4">
        <v>295</v>
      </c>
      <c r="O188" s="6">
        <f>IFERROR(1-N188/M188,"-")</f>
        <v>0.36695278969957079</v>
      </c>
      <c r="P188" s="4" t="s">
        <v>462</v>
      </c>
      <c r="Q188" s="4" t="s">
        <v>462</v>
      </c>
      <c r="R188" s="4" t="s">
        <v>462</v>
      </c>
      <c r="S188" s="4">
        <v>700</v>
      </c>
      <c r="T188" s="4">
        <f>IF(W188="",S188,S188*W188)</f>
        <v>700</v>
      </c>
      <c r="U188" s="4">
        <v>350</v>
      </c>
      <c r="V188" s="4">
        <f>IF(W188="",U188,U188*W188)</f>
        <v>350</v>
      </c>
      <c r="W188" s="4"/>
      <c r="X188" s="21">
        <f>ROUND(M188*AL188,0)</f>
        <v>553</v>
      </c>
      <c r="Y188" s="6">
        <f>IFERROR(1-V188/X188,"-")</f>
        <v>0.36708860759493667</v>
      </c>
      <c r="Z188" s="33">
        <v>1.5</v>
      </c>
      <c r="AA188" s="4">
        <f>AV188</f>
        <v>435</v>
      </c>
      <c r="AB188" s="33">
        <f>IFERROR(AA188*AL188,"-")</f>
        <v>516.10169491525426</v>
      </c>
      <c r="AC188" s="6">
        <f>IFERROR(1-V188/AB188,"-")</f>
        <v>0.32183908045977017</v>
      </c>
      <c r="AD188" s="7">
        <v>560</v>
      </c>
      <c r="AE188" s="6">
        <f>1-V188/AD188</f>
        <v>0.375</v>
      </c>
      <c r="AF188" s="4">
        <f>AD188-V188</f>
        <v>210</v>
      </c>
      <c r="AG188" s="28"/>
      <c r="AH188" s="6"/>
      <c r="AI188" s="6"/>
      <c r="AJ188" s="6">
        <f>IFERROR(T188/L188,"-")</f>
        <v>1.1864406779661016</v>
      </c>
      <c r="AK188" s="6">
        <f>IFERROR(AD188/M188,"-")</f>
        <v>1.201716738197425</v>
      </c>
      <c r="AL188" s="6">
        <f>IFERROR(V188/N188,"-")</f>
        <v>1.1864406779661016</v>
      </c>
      <c r="AM188" s="4" t="str">
        <f t="shared" si="10"/>
        <v>-</v>
      </c>
      <c r="AN188" s="4" t="str">
        <f t="shared" si="11"/>
        <v>-</v>
      </c>
      <c r="AO188" s="4" t="str">
        <f t="shared" si="12"/>
        <v>-</v>
      </c>
      <c r="AP188" s="4">
        <v>0</v>
      </c>
      <c r="AQ188" s="4" t="s">
        <v>886</v>
      </c>
      <c r="AR188" s="4"/>
      <c r="AS188" s="4"/>
      <c r="AT188" s="4" t="s">
        <v>887</v>
      </c>
      <c r="AU188" s="4">
        <v>435</v>
      </c>
      <c r="AV188" s="4">
        <f>IF(AR188="",AU188,AR188/AS188*AU188)</f>
        <v>435</v>
      </c>
      <c r="AW188" s="19">
        <v>4</v>
      </c>
      <c r="AX188" s="19">
        <v>1</v>
      </c>
      <c r="AY188" s="16">
        <v>5</v>
      </c>
      <c r="AZ188">
        <v>413</v>
      </c>
      <c r="BA188">
        <f t="shared" si="13"/>
        <v>490</v>
      </c>
      <c r="BB188">
        <v>517</v>
      </c>
      <c r="BC188">
        <f t="shared" si="14"/>
        <v>613.38983050847457</v>
      </c>
      <c r="BD188" t="s">
        <v>641</v>
      </c>
    </row>
    <row r="189" spans="1:56" x14ac:dyDescent="0.4">
      <c r="A189" s="3">
        <v>122</v>
      </c>
      <c r="B189" s="3">
        <v>122</v>
      </c>
      <c r="C189" s="4" t="s">
        <v>90</v>
      </c>
      <c r="D189" s="4" t="str">
        <f>TEXT(C189,"000000")</f>
        <v>J74490</v>
      </c>
      <c r="E189" s="4" t="s">
        <v>90</v>
      </c>
      <c r="F189" s="4" t="s">
        <v>324</v>
      </c>
      <c r="G189" s="5">
        <v>4901881142871</v>
      </c>
      <c r="H189" s="5"/>
      <c r="I189" s="5"/>
      <c r="J189" s="5">
        <v>1</v>
      </c>
      <c r="K189" s="5">
        <v>1</v>
      </c>
      <c r="L189" s="4">
        <v>590</v>
      </c>
      <c r="M189" s="4">
        <v>443</v>
      </c>
      <c r="N189" s="4">
        <v>295</v>
      </c>
      <c r="O189" s="6">
        <f>IFERROR(1-N189/M189,"-")</f>
        <v>0.3340857787810384</v>
      </c>
      <c r="P189" s="4" t="s">
        <v>462</v>
      </c>
      <c r="Q189" s="4" t="s">
        <v>462</v>
      </c>
      <c r="R189" s="4" t="s">
        <v>462</v>
      </c>
      <c r="S189" s="4">
        <v>700</v>
      </c>
      <c r="T189" s="4">
        <f>IF(W189="",S189,S189*W189)</f>
        <v>700</v>
      </c>
      <c r="U189" s="4">
        <v>350</v>
      </c>
      <c r="V189" s="4">
        <f>IF(W189="",U189,U189*W189)</f>
        <v>350</v>
      </c>
      <c r="W189" s="4"/>
      <c r="X189" s="21">
        <f>ROUND(M189*AL189,0)</f>
        <v>526</v>
      </c>
      <c r="Y189" s="6">
        <f>IFERROR(1-V189/X189,"-")</f>
        <v>0.33460076045627374</v>
      </c>
      <c r="Z189" s="33">
        <v>1</v>
      </c>
      <c r="AA189" s="4">
        <f>AV189</f>
        <v>479</v>
      </c>
      <c r="AB189" s="33">
        <f>IFERROR(AA189*AL189,"-")</f>
        <v>568.30508474576266</v>
      </c>
      <c r="AC189" s="6">
        <f>IFERROR(1-V189/AB189,"-")</f>
        <v>0.38413361169102289</v>
      </c>
      <c r="AD189" s="7">
        <v>560</v>
      </c>
      <c r="AE189" s="6">
        <f>1-V189/AD189</f>
        <v>0.375</v>
      </c>
      <c r="AF189" s="4">
        <f>AD189-V189</f>
        <v>210</v>
      </c>
      <c r="AG189" s="28"/>
      <c r="AH189" s="6"/>
      <c r="AI189" s="6"/>
      <c r="AJ189" s="6">
        <f>IFERROR(T189/L189,"-")</f>
        <v>1.1864406779661016</v>
      </c>
      <c r="AK189" s="6">
        <f>IFERROR(AD189/M189,"-")</f>
        <v>1.2641083521444696</v>
      </c>
      <c r="AL189" s="6">
        <f>IFERROR(V189/N189,"-")</f>
        <v>1.1864406779661016</v>
      </c>
      <c r="AM189" s="4" t="str">
        <f t="shared" si="10"/>
        <v>-</v>
      </c>
      <c r="AN189" s="4" t="str">
        <f t="shared" si="11"/>
        <v>-</v>
      </c>
      <c r="AO189" s="4" t="str">
        <f t="shared" si="12"/>
        <v>-</v>
      </c>
      <c r="AP189" s="4">
        <v>0</v>
      </c>
      <c r="AQ189" s="4" t="s">
        <v>888</v>
      </c>
      <c r="AR189" s="4"/>
      <c r="AS189" s="4"/>
      <c r="AT189" s="4" t="s">
        <v>887</v>
      </c>
      <c r="AU189" s="4">
        <v>479</v>
      </c>
      <c r="AV189" s="4">
        <f>IF(AR189="",AU189,AR189/AS189*AU189)</f>
        <v>479</v>
      </c>
      <c r="AW189" s="19">
        <v>4</v>
      </c>
      <c r="AX189" s="19">
        <v>8</v>
      </c>
      <c r="AY189" s="16">
        <v>5</v>
      </c>
      <c r="AZ189" t="s">
        <v>462</v>
      </c>
      <c r="BA189" t="str">
        <f t="shared" si="13"/>
        <v>-</v>
      </c>
      <c r="BB189">
        <v>5900</v>
      </c>
      <c r="BC189">
        <f t="shared" si="14"/>
        <v>7000</v>
      </c>
      <c r="BD189" t="s">
        <v>642</v>
      </c>
    </row>
    <row r="190" spans="1:56" x14ac:dyDescent="0.4">
      <c r="A190" s="3">
        <v>125</v>
      </c>
      <c r="B190" s="3">
        <v>125</v>
      </c>
      <c r="C190" s="4" t="s">
        <v>93</v>
      </c>
      <c r="D190" s="4" t="str">
        <f>TEXT(C190,"000000")</f>
        <v>J74493</v>
      </c>
      <c r="E190" s="4" t="s">
        <v>93</v>
      </c>
      <c r="F190" s="4" t="s">
        <v>327</v>
      </c>
      <c r="G190" s="5">
        <v>4901881180972</v>
      </c>
      <c r="H190" s="5"/>
      <c r="I190" s="5"/>
      <c r="J190" s="5">
        <v>1</v>
      </c>
      <c r="K190" s="5">
        <v>1</v>
      </c>
      <c r="L190" s="4">
        <v>590</v>
      </c>
      <c r="M190" s="4">
        <v>399</v>
      </c>
      <c r="N190" s="4">
        <v>295</v>
      </c>
      <c r="O190" s="6">
        <f>IFERROR(1-N190/M190,"-")</f>
        <v>0.26065162907268169</v>
      </c>
      <c r="P190" s="4" t="s">
        <v>462</v>
      </c>
      <c r="Q190" s="4" t="s">
        <v>462</v>
      </c>
      <c r="R190" s="4" t="s">
        <v>462</v>
      </c>
      <c r="S190" s="4">
        <v>700</v>
      </c>
      <c r="T190" s="4">
        <f>IF(W190="",S190,S190*W190)</f>
        <v>700</v>
      </c>
      <c r="U190" s="4">
        <v>350</v>
      </c>
      <c r="V190" s="4">
        <f>IF(W190="",U190,U190*W190)</f>
        <v>350</v>
      </c>
      <c r="W190" s="4"/>
      <c r="X190" s="21">
        <f>ROUND(M190*AL190,0)</f>
        <v>473</v>
      </c>
      <c r="Y190" s="6">
        <f>IFERROR(1-V190/X190,"-")</f>
        <v>0.2600422832980972</v>
      </c>
      <c r="Z190" s="33">
        <v>0.75</v>
      </c>
      <c r="AA190" s="4">
        <f>AV190</f>
        <v>590</v>
      </c>
      <c r="AB190" s="33">
        <f>IFERROR(AA190*AL190,"-")</f>
        <v>700</v>
      </c>
      <c r="AC190" s="6">
        <f>IFERROR(1-V190/AB190,"-")</f>
        <v>0.5</v>
      </c>
      <c r="AD190" s="7">
        <v>560</v>
      </c>
      <c r="AE190" s="6">
        <f>1-V190/AD190</f>
        <v>0.375</v>
      </c>
      <c r="AF190" s="4">
        <f>AD190-V190</f>
        <v>210</v>
      </c>
      <c r="AG190" s="28"/>
      <c r="AH190" s="6"/>
      <c r="AI190" s="6"/>
      <c r="AJ190" s="6">
        <f>IFERROR(T190/L190,"-")</f>
        <v>1.1864406779661016</v>
      </c>
      <c r="AK190" s="6">
        <f>IFERROR(AD190/M190,"-")</f>
        <v>1.4035087719298245</v>
      </c>
      <c r="AL190" s="6">
        <f>IFERROR(V190/N190,"-")</f>
        <v>1.1864406779661016</v>
      </c>
      <c r="AM190" s="4" t="str">
        <f t="shared" si="10"/>
        <v>-</v>
      </c>
      <c r="AN190" s="4" t="str">
        <f t="shared" si="11"/>
        <v>-</v>
      </c>
      <c r="AO190" s="4" t="str">
        <f t="shared" si="12"/>
        <v>-</v>
      </c>
      <c r="AP190" s="4">
        <v>0</v>
      </c>
      <c r="AQ190" s="4" t="s">
        <v>889</v>
      </c>
      <c r="AR190" s="4"/>
      <c r="AS190" s="4"/>
      <c r="AT190" s="4" t="s">
        <v>890</v>
      </c>
      <c r="AU190" s="4">
        <v>590</v>
      </c>
      <c r="AV190" s="4">
        <f>IF(AR190="",AU190,AR190/AS190*AU190)</f>
        <v>590</v>
      </c>
      <c r="AW190" s="19">
        <v>4</v>
      </c>
      <c r="AX190" s="19">
        <v>8</v>
      </c>
      <c r="AY190" s="16">
        <v>5</v>
      </c>
      <c r="AZ190" t="s">
        <v>462</v>
      </c>
      <c r="BA190" t="str">
        <f t="shared" si="13"/>
        <v>-</v>
      </c>
      <c r="BB190">
        <v>590</v>
      </c>
      <c r="BC190">
        <f t="shared" si="14"/>
        <v>700</v>
      </c>
      <c r="BD190" t="s">
        <v>643</v>
      </c>
    </row>
    <row r="191" spans="1:56" x14ac:dyDescent="0.4">
      <c r="A191" s="3">
        <v>213</v>
      </c>
      <c r="B191" s="3">
        <v>213</v>
      </c>
      <c r="C191" s="4" t="s">
        <v>181</v>
      </c>
      <c r="D191" s="4" t="str">
        <f>TEXT(C191,"000000")</f>
        <v>JA1532</v>
      </c>
      <c r="E191" s="4" t="s">
        <v>181</v>
      </c>
      <c r="F191" s="4" t="s">
        <v>415</v>
      </c>
      <c r="G191" s="5">
        <v>4901881818820</v>
      </c>
      <c r="H191" s="5"/>
      <c r="I191" s="5"/>
      <c r="J191" s="5">
        <v>1</v>
      </c>
      <c r="K191" s="5">
        <v>1</v>
      </c>
      <c r="L191" s="4">
        <v>600</v>
      </c>
      <c r="M191" s="4">
        <v>456</v>
      </c>
      <c r="N191" s="4">
        <v>300</v>
      </c>
      <c r="O191" s="6">
        <f>IFERROR(1-N191/M191,"-")</f>
        <v>0.34210526315789469</v>
      </c>
      <c r="P191" s="4" t="s">
        <v>462</v>
      </c>
      <c r="Q191" s="4" t="s">
        <v>462</v>
      </c>
      <c r="R191" s="4" t="s">
        <v>462</v>
      </c>
      <c r="S191" s="4">
        <v>700</v>
      </c>
      <c r="T191" s="4">
        <f>IF(W191="",S191,S191*W191)</f>
        <v>700</v>
      </c>
      <c r="U191" s="4">
        <v>350</v>
      </c>
      <c r="V191" s="4">
        <f>IF(W191="",U191,U191*W191)</f>
        <v>350</v>
      </c>
      <c r="W191" s="4"/>
      <c r="X191" s="21">
        <f>ROUND(M191*AL191,0)</f>
        <v>532</v>
      </c>
      <c r="Y191" s="6">
        <f>IFERROR(1-V191/X191,"-")</f>
        <v>0.34210526315789469</v>
      </c>
      <c r="Z191" s="33">
        <v>0.25</v>
      </c>
      <c r="AA191" s="4" t="str">
        <f>AV191</f>
        <v>-</v>
      </c>
      <c r="AB191" s="33" t="str">
        <f>IFERROR(AA191*AL191,"-")</f>
        <v>-</v>
      </c>
      <c r="AC191" s="6" t="str">
        <f>IFERROR(1-V191/AB191,"-")</f>
        <v>-</v>
      </c>
      <c r="AD191" s="7">
        <v>560</v>
      </c>
      <c r="AE191" s="6">
        <f>1-V191/AD191</f>
        <v>0.375</v>
      </c>
      <c r="AF191" s="4">
        <f>AD191-V191</f>
        <v>210</v>
      </c>
      <c r="AG191" s="28"/>
      <c r="AH191" s="6"/>
      <c r="AI191" s="6"/>
      <c r="AJ191" s="6">
        <f>IFERROR(T191/L191,"-")</f>
        <v>1.1666666666666667</v>
      </c>
      <c r="AK191" s="6">
        <f>IFERROR(AD191/M191,"-")</f>
        <v>1.2280701754385965</v>
      </c>
      <c r="AL191" s="6">
        <f>IFERROR(V191/N191,"-")</f>
        <v>1.1666666666666667</v>
      </c>
      <c r="AM191" s="4" t="str">
        <f t="shared" si="10"/>
        <v>-</v>
      </c>
      <c r="AN191" s="4" t="str">
        <f t="shared" si="11"/>
        <v>-</v>
      </c>
      <c r="AO191" s="4" t="str">
        <f t="shared" si="12"/>
        <v>-</v>
      </c>
      <c r="AP191" s="4">
        <v>0</v>
      </c>
      <c r="AQ191" s="4" t="s">
        <v>462</v>
      </c>
      <c r="AR191" s="4"/>
      <c r="AS191" s="4"/>
      <c r="AT191" s="4" t="s">
        <v>462</v>
      </c>
      <c r="AU191" s="4" t="s">
        <v>462</v>
      </c>
      <c r="AV191" s="4" t="str">
        <f>IF(AR191="",AU191,AR191/AS191*AU191)</f>
        <v>-</v>
      </c>
      <c r="AW191" s="19">
        <v>4</v>
      </c>
      <c r="AX191" s="19">
        <v>8</v>
      </c>
      <c r="AY191" s="16">
        <v>5</v>
      </c>
      <c r="AZ191">
        <v>481</v>
      </c>
      <c r="BA191">
        <f t="shared" si="13"/>
        <v>561.16666666666674</v>
      </c>
      <c r="BB191" t="s">
        <v>462</v>
      </c>
      <c r="BC191" t="str">
        <f t="shared" si="14"/>
        <v>-</v>
      </c>
      <c r="BD191" t="s">
        <v>462</v>
      </c>
    </row>
    <row r="192" spans="1:56" x14ac:dyDescent="0.4">
      <c r="A192" s="3">
        <v>216</v>
      </c>
      <c r="B192" s="3">
        <v>216</v>
      </c>
      <c r="C192" s="4" t="s">
        <v>184</v>
      </c>
      <c r="D192" s="4" t="str">
        <f>TEXT(C192,"000000")</f>
        <v>JA1533</v>
      </c>
      <c r="E192" s="4" t="s">
        <v>184</v>
      </c>
      <c r="F192" s="4" t="s">
        <v>418</v>
      </c>
      <c r="G192" s="5">
        <v>4901881818837</v>
      </c>
      <c r="H192" s="5"/>
      <c r="I192" s="5"/>
      <c r="J192" s="5">
        <v>1</v>
      </c>
      <c r="K192" s="5">
        <v>1</v>
      </c>
      <c r="L192" s="4">
        <v>600</v>
      </c>
      <c r="M192" s="4">
        <v>465</v>
      </c>
      <c r="N192" s="4">
        <v>300</v>
      </c>
      <c r="O192" s="6">
        <f>IFERROR(1-N192/M192,"-")</f>
        <v>0.35483870967741937</v>
      </c>
      <c r="P192" s="4" t="s">
        <v>462</v>
      </c>
      <c r="Q192" s="4" t="s">
        <v>462</v>
      </c>
      <c r="R192" s="4" t="s">
        <v>462</v>
      </c>
      <c r="S192" s="4">
        <v>700</v>
      </c>
      <c r="T192" s="4">
        <f>IF(W192="",S192,S192*W192)</f>
        <v>700</v>
      </c>
      <c r="U192" s="4">
        <v>350</v>
      </c>
      <c r="V192" s="4">
        <f>IF(W192="",U192,U192*W192)</f>
        <v>350</v>
      </c>
      <c r="W192" s="4"/>
      <c r="X192" s="21">
        <f>ROUND(M192*AL192,0)</f>
        <v>543</v>
      </c>
      <c r="Y192" s="6">
        <f>IFERROR(1-V192/X192,"-")</f>
        <v>0.35543278084714547</v>
      </c>
      <c r="Z192" s="33">
        <v>0</v>
      </c>
      <c r="AA192" s="4" t="str">
        <f>AV192</f>
        <v>-</v>
      </c>
      <c r="AB192" s="33" t="str">
        <f>IFERROR(AA192*AL192,"-")</f>
        <v>-</v>
      </c>
      <c r="AC192" s="6" t="str">
        <f>IFERROR(1-V192/AB192,"-")</f>
        <v>-</v>
      </c>
      <c r="AD192" s="7">
        <v>560</v>
      </c>
      <c r="AE192" s="6">
        <f>1-V192/AD192</f>
        <v>0.375</v>
      </c>
      <c r="AF192" s="4">
        <f>AD192-V192</f>
        <v>210</v>
      </c>
      <c r="AG192" s="28"/>
      <c r="AH192" s="6"/>
      <c r="AI192" s="6"/>
      <c r="AJ192" s="6">
        <f>IFERROR(T192/L192,"-")</f>
        <v>1.1666666666666667</v>
      </c>
      <c r="AK192" s="6">
        <f>IFERROR(AD192/M192,"-")</f>
        <v>1.2043010752688172</v>
      </c>
      <c r="AL192" s="6">
        <f>IFERROR(V192/N192,"-")</f>
        <v>1.1666666666666667</v>
      </c>
      <c r="AM192" s="4" t="str">
        <f t="shared" si="10"/>
        <v>-</v>
      </c>
      <c r="AN192" s="4" t="str">
        <f t="shared" si="11"/>
        <v>-</v>
      </c>
      <c r="AO192" s="4" t="str">
        <f t="shared" si="12"/>
        <v>-</v>
      </c>
      <c r="AP192" s="4">
        <v>0</v>
      </c>
      <c r="AQ192" s="4" t="s">
        <v>462</v>
      </c>
      <c r="AR192" s="4"/>
      <c r="AS192" s="4"/>
      <c r="AT192" s="4" t="s">
        <v>462</v>
      </c>
      <c r="AU192" s="4" t="s">
        <v>462</v>
      </c>
      <c r="AV192" s="4" t="str">
        <f>IF(AR192="",AU192,AR192/AS192*AU192)</f>
        <v>-</v>
      </c>
      <c r="AW192" s="19">
        <v>4</v>
      </c>
      <c r="AX192" s="19">
        <v>8</v>
      </c>
      <c r="AY192" s="16">
        <v>5</v>
      </c>
      <c r="AZ192">
        <v>481</v>
      </c>
      <c r="BA192">
        <f t="shared" si="13"/>
        <v>561.16666666666674</v>
      </c>
      <c r="BB192" t="s">
        <v>462</v>
      </c>
      <c r="BC192" t="str">
        <f t="shared" si="14"/>
        <v>-</v>
      </c>
      <c r="BD192" t="s">
        <v>462</v>
      </c>
    </row>
    <row r="193" spans="1:56" x14ac:dyDescent="0.4">
      <c r="A193" s="3">
        <v>217</v>
      </c>
      <c r="B193" s="3">
        <v>217</v>
      </c>
      <c r="C193" s="4" t="s">
        <v>185</v>
      </c>
      <c r="D193" s="4" t="str">
        <f>TEXT(C193,"000000")</f>
        <v>JA1534</v>
      </c>
      <c r="E193" s="4" t="s">
        <v>185</v>
      </c>
      <c r="F193" s="4" t="s">
        <v>419</v>
      </c>
      <c r="G193" s="5">
        <v>4901881818844</v>
      </c>
      <c r="H193" s="5"/>
      <c r="I193" s="5"/>
      <c r="J193" s="5">
        <v>1</v>
      </c>
      <c r="K193" s="5">
        <v>1</v>
      </c>
      <c r="L193" s="4">
        <v>600</v>
      </c>
      <c r="M193" s="4">
        <v>393</v>
      </c>
      <c r="N193" s="4">
        <v>300</v>
      </c>
      <c r="O193" s="6">
        <f>IFERROR(1-N193/M193,"-")</f>
        <v>0.23664122137404575</v>
      </c>
      <c r="P193" s="4" t="s">
        <v>462</v>
      </c>
      <c r="Q193" s="4" t="s">
        <v>462</v>
      </c>
      <c r="R193" s="4" t="s">
        <v>462</v>
      </c>
      <c r="S193" s="4">
        <v>700</v>
      </c>
      <c r="T193" s="4">
        <f>IF(W193="",S193,S193*W193)</f>
        <v>700</v>
      </c>
      <c r="U193" s="4">
        <v>350</v>
      </c>
      <c r="V193" s="4">
        <f>IF(W193="",U193,U193*W193)</f>
        <v>350</v>
      </c>
      <c r="W193" s="4"/>
      <c r="X193" s="21">
        <f>ROUND(M193*AL193,0)</f>
        <v>459</v>
      </c>
      <c r="Y193" s="6">
        <f>IFERROR(1-V193/X193,"-")</f>
        <v>0.23747276688453156</v>
      </c>
      <c r="Z193" s="33">
        <v>0</v>
      </c>
      <c r="AA193" s="4" t="str">
        <f>AV193</f>
        <v>-</v>
      </c>
      <c r="AB193" s="33" t="str">
        <f>IFERROR(AA193*AL193,"-")</f>
        <v>-</v>
      </c>
      <c r="AC193" s="6" t="str">
        <f>IFERROR(1-V193/AB193,"-")</f>
        <v>-</v>
      </c>
      <c r="AD193" s="7">
        <v>560</v>
      </c>
      <c r="AE193" s="6">
        <f>1-V193/AD193</f>
        <v>0.375</v>
      </c>
      <c r="AF193" s="4">
        <f>AD193-V193</f>
        <v>210</v>
      </c>
      <c r="AG193" s="28"/>
      <c r="AH193" s="6"/>
      <c r="AI193" s="6"/>
      <c r="AJ193" s="6">
        <f>IFERROR(T193/L193,"-")</f>
        <v>1.1666666666666667</v>
      </c>
      <c r="AK193" s="6">
        <f>IFERROR(AD193/M193,"-")</f>
        <v>1.4249363867684479</v>
      </c>
      <c r="AL193" s="6">
        <f>IFERROR(V193/N193,"-")</f>
        <v>1.1666666666666667</v>
      </c>
      <c r="AM193" s="4" t="str">
        <f t="shared" si="10"/>
        <v>-</v>
      </c>
      <c r="AN193" s="4" t="str">
        <f t="shared" si="11"/>
        <v>-</v>
      </c>
      <c r="AO193" s="4" t="str">
        <f t="shared" si="12"/>
        <v>-</v>
      </c>
      <c r="AP193" s="4">
        <v>0</v>
      </c>
      <c r="AQ193" s="4" t="s">
        <v>462</v>
      </c>
      <c r="AR193" s="4"/>
      <c r="AS193" s="4"/>
      <c r="AT193" s="4" t="s">
        <v>462</v>
      </c>
      <c r="AU193" s="4" t="s">
        <v>462</v>
      </c>
      <c r="AV193" s="4" t="str">
        <f>IF(AR193="",AU193,AR193/AS193*AU193)</f>
        <v>-</v>
      </c>
      <c r="AW193" s="19">
        <v>4</v>
      </c>
      <c r="AX193" s="19">
        <v>8</v>
      </c>
      <c r="AY193" s="16">
        <v>5</v>
      </c>
      <c r="AZ193">
        <v>481</v>
      </c>
      <c r="BA193">
        <f t="shared" si="13"/>
        <v>561.16666666666674</v>
      </c>
      <c r="BB193" t="s">
        <v>462</v>
      </c>
      <c r="BC193" t="str">
        <f t="shared" si="14"/>
        <v>-</v>
      </c>
      <c r="BD193" t="s">
        <v>462</v>
      </c>
    </row>
    <row r="194" spans="1:56" x14ac:dyDescent="0.4">
      <c r="A194" s="3">
        <v>218</v>
      </c>
      <c r="B194" s="3">
        <v>218</v>
      </c>
      <c r="C194" s="4" t="s">
        <v>186</v>
      </c>
      <c r="D194" s="4" t="str">
        <f>TEXT(C194,"000000")</f>
        <v>JA1535</v>
      </c>
      <c r="E194" s="4" t="s">
        <v>186</v>
      </c>
      <c r="F194" s="4" t="s">
        <v>420</v>
      </c>
      <c r="G194" s="5">
        <v>4901881818851</v>
      </c>
      <c r="H194" s="5"/>
      <c r="I194" s="5"/>
      <c r="J194" s="5">
        <v>1</v>
      </c>
      <c r="K194" s="5">
        <v>1</v>
      </c>
      <c r="L194" s="4">
        <v>600</v>
      </c>
      <c r="M194" s="4">
        <v>393</v>
      </c>
      <c r="N194" s="4">
        <v>300</v>
      </c>
      <c r="O194" s="6">
        <f>IFERROR(1-N194/M194,"-")</f>
        <v>0.23664122137404575</v>
      </c>
      <c r="P194" s="4" t="s">
        <v>462</v>
      </c>
      <c r="Q194" s="4" t="s">
        <v>462</v>
      </c>
      <c r="R194" s="4" t="s">
        <v>462</v>
      </c>
      <c r="S194" s="4">
        <v>700</v>
      </c>
      <c r="T194" s="4">
        <f>IF(W194="",S194,S194*W194)</f>
        <v>700</v>
      </c>
      <c r="U194" s="4">
        <v>350</v>
      </c>
      <c r="V194" s="4">
        <f>IF(W194="",U194,U194*W194)</f>
        <v>350</v>
      </c>
      <c r="W194" s="4"/>
      <c r="X194" s="21">
        <f>ROUND(M194*AL194,0)</f>
        <v>459</v>
      </c>
      <c r="Y194" s="6">
        <f>IFERROR(1-V194/X194,"-")</f>
        <v>0.23747276688453156</v>
      </c>
      <c r="Z194" s="33">
        <v>0</v>
      </c>
      <c r="AA194" s="4">
        <f>AV194</f>
        <v>320</v>
      </c>
      <c r="AB194" s="33">
        <f>IFERROR(AA194*AL194,"-")</f>
        <v>373.33333333333337</v>
      </c>
      <c r="AC194" s="6">
        <f>IFERROR(1-V194/AB194,"-")</f>
        <v>6.2500000000000111E-2</v>
      </c>
      <c r="AD194" s="7">
        <v>560</v>
      </c>
      <c r="AE194" s="6">
        <f>1-V194/AD194</f>
        <v>0.375</v>
      </c>
      <c r="AF194" s="4">
        <f>AD194-V194</f>
        <v>210</v>
      </c>
      <c r="AG194" s="28"/>
      <c r="AH194" s="6"/>
      <c r="AI194" s="6"/>
      <c r="AJ194" s="6">
        <f>IFERROR(T194/L194,"-")</f>
        <v>1.1666666666666667</v>
      </c>
      <c r="AK194" s="6">
        <f>IFERROR(AD194/M194,"-")</f>
        <v>1.4249363867684479</v>
      </c>
      <c r="AL194" s="6">
        <f>IFERROR(V194/N194,"-")</f>
        <v>1.1666666666666667</v>
      </c>
      <c r="AM194" s="4" t="str">
        <f t="shared" si="10"/>
        <v>-</v>
      </c>
      <c r="AN194" s="4" t="str">
        <f t="shared" si="11"/>
        <v>-</v>
      </c>
      <c r="AO194" s="4" t="str">
        <f t="shared" si="12"/>
        <v>-</v>
      </c>
      <c r="AP194" s="4">
        <v>0</v>
      </c>
      <c r="AQ194" s="4" t="s">
        <v>891</v>
      </c>
      <c r="AR194" s="4">
        <v>1</v>
      </c>
      <c r="AS194" s="4">
        <v>10</v>
      </c>
      <c r="AT194" s="4" t="s">
        <v>749</v>
      </c>
      <c r="AU194" s="4">
        <v>3200</v>
      </c>
      <c r="AV194" s="4">
        <f>IF(AR194="",AU194,AR194/AS194*AU194)</f>
        <v>320</v>
      </c>
      <c r="AW194" s="19">
        <v>4</v>
      </c>
      <c r="AX194" s="19">
        <v>8</v>
      </c>
      <c r="AY194" s="16">
        <v>5</v>
      </c>
      <c r="AZ194">
        <v>481</v>
      </c>
      <c r="BA194">
        <f t="shared" si="13"/>
        <v>561.16666666666674</v>
      </c>
      <c r="BB194" t="s">
        <v>462</v>
      </c>
      <c r="BC194" t="str">
        <f t="shared" si="14"/>
        <v>-</v>
      </c>
      <c r="BD194" t="s">
        <v>644</v>
      </c>
    </row>
    <row r="195" spans="1:56" x14ac:dyDescent="0.4">
      <c r="A195" s="3">
        <v>127</v>
      </c>
      <c r="B195" s="3">
        <v>127</v>
      </c>
      <c r="C195" s="4" t="s">
        <v>95</v>
      </c>
      <c r="D195" s="4" t="str">
        <f>TEXT(C195,"000000")</f>
        <v>J74495</v>
      </c>
      <c r="E195" s="4" t="s">
        <v>95</v>
      </c>
      <c r="F195" s="4" t="s">
        <v>329</v>
      </c>
      <c r="G195" s="5">
        <v>4901881871337</v>
      </c>
      <c r="H195" s="5"/>
      <c r="I195" s="5"/>
      <c r="J195" s="5">
        <v>1</v>
      </c>
      <c r="K195" s="5">
        <v>1</v>
      </c>
      <c r="L195" s="4">
        <v>620</v>
      </c>
      <c r="M195" s="4">
        <v>433</v>
      </c>
      <c r="N195" s="4">
        <v>310</v>
      </c>
      <c r="O195" s="6">
        <f>IFERROR(1-N195/M195,"-")</f>
        <v>0.28406466512702078</v>
      </c>
      <c r="P195" s="4" t="s">
        <v>462</v>
      </c>
      <c r="Q195" s="4" t="s">
        <v>462</v>
      </c>
      <c r="R195" s="4" t="s">
        <v>462</v>
      </c>
      <c r="S195" s="4">
        <v>730</v>
      </c>
      <c r="T195" s="4">
        <f>IF(W195="",S195,S195*W195)</f>
        <v>730</v>
      </c>
      <c r="U195" s="4">
        <v>365</v>
      </c>
      <c r="V195" s="4">
        <f>IF(W195="",U195,U195*W195)</f>
        <v>365</v>
      </c>
      <c r="W195" s="4"/>
      <c r="X195" s="21">
        <f>ROUND(M195*AL195,0)</f>
        <v>510</v>
      </c>
      <c r="Y195" s="6">
        <f>IFERROR(1-V195/X195,"-")</f>
        <v>0.28431372549019607</v>
      </c>
      <c r="Z195" s="33">
        <v>0</v>
      </c>
      <c r="AA195" s="4">
        <f>AV195</f>
        <v>620</v>
      </c>
      <c r="AB195" s="33">
        <f>IFERROR(AA195*AL195,"-")</f>
        <v>730</v>
      </c>
      <c r="AC195" s="6">
        <f>IFERROR(1-V195/AB195,"-")</f>
        <v>0.5</v>
      </c>
      <c r="AD195" s="7">
        <v>570</v>
      </c>
      <c r="AE195" s="6">
        <f>1-V195/AD195</f>
        <v>0.35964912280701755</v>
      </c>
      <c r="AF195" s="4">
        <f>AD195-V195</f>
        <v>205</v>
      </c>
      <c r="AG195" s="28"/>
      <c r="AH195" s="6"/>
      <c r="AI195" s="6"/>
      <c r="AJ195" s="6">
        <f>IFERROR(T195/L195,"-")</f>
        <v>1.1774193548387097</v>
      </c>
      <c r="AK195" s="6">
        <f>IFERROR(AD195/M195,"-")</f>
        <v>1.3163972286374135</v>
      </c>
      <c r="AL195" s="6">
        <f>IFERROR(V195/N195,"-")</f>
        <v>1.1774193548387097</v>
      </c>
      <c r="AM195" s="4" t="str">
        <f t="shared" si="10"/>
        <v>-</v>
      </c>
      <c r="AN195" s="4" t="str">
        <f t="shared" si="11"/>
        <v>-</v>
      </c>
      <c r="AO195" s="4" t="str">
        <f t="shared" si="12"/>
        <v>-</v>
      </c>
      <c r="AP195" s="4">
        <v>0</v>
      </c>
      <c r="AQ195" s="4" t="s">
        <v>892</v>
      </c>
      <c r="AR195" s="4"/>
      <c r="AS195" s="4"/>
      <c r="AT195" s="4" t="s">
        <v>693</v>
      </c>
      <c r="AU195" s="4">
        <v>620</v>
      </c>
      <c r="AV195" s="4">
        <f>IF(AR195="",AU195,AR195/AS195*AU195)</f>
        <v>620</v>
      </c>
      <c r="AW195" s="19">
        <v>4</v>
      </c>
      <c r="AX195" s="19">
        <v>8</v>
      </c>
      <c r="AY195" s="16">
        <v>5</v>
      </c>
      <c r="AZ195" t="s">
        <v>462</v>
      </c>
      <c r="BA195" t="str">
        <f t="shared" si="13"/>
        <v>-</v>
      </c>
      <c r="BB195">
        <v>453</v>
      </c>
      <c r="BC195">
        <f t="shared" si="14"/>
        <v>533.37096774193549</v>
      </c>
      <c r="BD195" t="s">
        <v>645</v>
      </c>
    </row>
    <row r="196" spans="1:56" x14ac:dyDescent="0.4">
      <c r="A196" s="3">
        <v>102</v>
      </c>
      <c r="B196" s="3">
        <v>102</v>
      </c>
      <c r="C196" s="4" t="s">
        <v>70</v>
      </c>
      <c r="D196" s="4" t="str">
        <f>TEXT(C196,"000000")</f>
        <v>J74463</v>
      </c>
      <c r="E196" s="4" t="s">
        <v>70</v>
      </c>
      <c r="F196" s="4" t="s">
        <v>304</v>
      </c>
      <c r="G196" s="5">
        <v>4901881167188</v>
      </c>
      <c r="H196" s="5"/>
      <c r="I196" s="5"/>
      <c r="J196" s="5">
        <v>1</v>
      </c>
      <c r="K196" s="5">
        <v>1</v>
      </c>
      <c r="L196" s="4">
        <v>720</v>
      </c>
      <c r="M196" s="4">
        <v>474</v>
      </c>
      <c r="N196" s="4">
        <v>330</v>
      </c>
      <c r="O196" s="6">
        <f>IFERROR(1-N196/M196,"-")</f>
        <v>0.30379746835443033</v>
      </c>
      <c r="P196" s="4" t="s">
        <v>462</v>
      </c>
      <c r="Q196" s="4" t="s">
        <v>462</v>
      </c>
      <c r="R196" s="4" t="s">
        <v>462</v>
      </c>
      <c r="S196" s="4">
        <v>800</v>
      </c>
      <c r="T196" s="4">
        <f>IF(W196="",S196,S196*W196)</f>
        <v>800</v>
      </c>
      <c r="U196" s="4">
        <v>400</v>
      </c>
      <c r="V196" s="4">
        <f>IF(W196="",U196,U196*W196)</f>
        <v>400</v>
      </c>
      <c r="W196" s="4"/>
      <c r="X196" s="21">
        <f>ROUND(M196*AL196,0)</f>
        <v>575</v>
      </c>
      <c r="Y196" s="6">
        <f>IFERROR(1-V196/X196,"-")</f>
        <v>0.30434782608695654</v>
      </c>
      <c r="Z196" s="33">
        <v>16.25</v>
      </c>
      <c r="AA196" s="4">
        <f>AV196</f>
        <v>555</v>
      </c>
      <c r="AB196" s="33">
        <f>IFERROR(AA196*AL196,"-")</f>
        <v>672.72727272727275</v>
      </c>
      <c r="AC196" s="6">
        <f>IFERROR(1-V196/AB196,"-")</f>
        <v>0.40540540540540537</v>
      </c>
      <c r="AD196" s="7">
        <v>660</v>
      </c>
      <c r="AE196" s="6">
        <f>1-V196/AD196</f>
        <v>0.39393939393939392</v>
      </c>
      <c r="AF196" s="4">
        <f>AD196-V196</f>
        <v>260</v>
      </c>
      <c r="AG196" s="28"/>
      <c r="AH196" s="6"/>
      <c r="AI196" s="6"/>
      <c r="AJ196" s="6">
        <f>IFERROR(T196/L196,"-")</f>
        <v>1.1111111111111112</v>
      </c>
      <c r="AK196" s="6">
        <f>IFERROR(AD196/M196,"-")</f>
        <v>1.3924050632911393</v>
      </c>
      <c r="AL196" s="6">
        <f>IFERROR(V196/N196,"-")</f>
        <v>1.2121212121212122</v>
      </c>
      <c r="AM196" s="4" t="str">
        <f t="shared" si="10"/>
        <v>-</v>
      </c>
      <c r="AN196" s="4" t="str">
        <f t="shared" si="11"/>
        <v>-</v>
      </c>
      <c r="AO196" s="4" t="str">
        <f t="shared" si="12"/>
        <v>-</v>
      </c>
      <c r="AP196" s="4">
        <v>0</v>
      </c>
      <c r="AQ196" s="4" t="s">
        <v>893</v>
      </c>
      <c r="AR196" s="4"/>
      <c r="AS196" s="4"/>
      <c r="AT196" s="4" t="s">
        <v>693</v>
      </c>
      <c r="AU196" s="4">
        <v>555</v>
      </c>
      <c r="AV196" s="4">
        <f>IF(AR196="",AU196,AR196/AS196*AU196)</f>
        <v>555</v>
      </c>
      <c r="AW196" s="19">
        <v>4</v>
      </c>
      <c r="AX196" s="19">
        <v>1</v>
      </c>
      <c r="AY196" s="16">
        <v>5</v>
      </c>
      <c r="AZ196" t="s">
        <v>462</v>
      </c>
      <c r="BA196" t="str">
        <f t="shared" si="13"/>
        <v>-</v>
      </c>
      <c r="BB196" t="s">
        <v>462</v>
      </c>
      <c r="BC196" t="str">
        <f t="shared" si="14"/>
        <v>-</v>
      </c>
      <c r="BD196" t="s">
        <v>646</v>
      </c>
    </row>
    <row r="197" spans="1:56" x14ac:dyDescent="0.4">
      <c r="A197" s="3">
        <v>69</v>
      </c>
      <c r="B197" s="3">
        <v>69</v>
      </c>
      <c r="C197" s="4">
        <v>679071</v>
      </c>
      <c r="D197" s="4" t="str">
        <f>TEXT(C197,"000000")</f>
        <v>679071</v>
      </c>
      <c r="E197" s="4">
        <v>679071</v>
      </c>
      <c r="F197" s="4" t="s">
        <v>271</v>
      </c>
      <c r="G197" s="5">
        <v>4901881834509</v>
      </c>
      <c r="H197" s="5"/>
      <c r="I197" s="5"/>
      <c r="J197" s="5">
        <v>1</v>
      </c>
      <c r="K197" s="5">
        <v>1</v>
      </c>
      <c r="L197" s="4">
        <v>800</v>
      </c>
      <c r="M197" s="4">
        <v>592</v>
      </c>
      <c r="N197" s="4">
        <v>400</v>
      </c>
      <c r="O197" s="6">
        <f>IFERROR(1-N197/M197,"-")</f>
        <v>0.32432432432432434</v>
      </c>
      <c r="P197" s="4" t="s">
        <v>462</v>
      </c>
      <c r="Q197" s="4" t="s">
        <v>462</v>
      </c>
      <c r="R197" s="4" t="s">
        <v>462</v>
      </c>
      <c r="S197" s="4">
        <v>900</v>
      </c>
      <c r="T197" s="4">
        <f>IF(W197="",S197,S197*W197)</f>
        <v>900</v>
      </c>
      <c r="U197" s="4">
        <v>450</v>
      </c>
      <c r="V197" s="4">
        <f>IF(W197="",U197,U197*W197)</f>
        <v>450</v>
      </c>
      <c r="W197" s="4"/>
      <c r="X197" s="21">
        <f>ROUND(M197*AL197,0)</f>
        <v>666</v>
      </c>
      <c r="Y197" s="6">
        <f>IFERROR(1-V197/X197,"-")</f>
        <v>0.32432432432432434</v>
      </c>
      <c r="Z197" s="33">
        <v>0.5</v>
      </c>
      <c r="AA197" s="4">
        <f>AV197</f>
        <v>933.5</v>
      </c>
      <c r="AB197" s="33">
        <f>IFERROR(AA197*AL197,"-")</f>
        <v>1050.1875</v>
      </c>
      <c r="AC197" s="6">
        <f>IFERROR(1-V197/AB197,"-")</f>
        <v>0.57150508837707559</v>
      </c>
      <c r="AD197" s="7">
        <v>750</v>
      </c>
      <c r="AE197" s="6">
        <f>1-V197/AD197</f>
        <v>0.4</v>
      </c>
      <c r="AF197" s="4">
        <f>AD197-V197</f>
        <v>300</v>
      </c>
      <c r="AG197" s="28"/>
      <c r="AH197" s="6"/>
      <c r="AI197" s="6"/>
      <c r="AJ197" s="6">
        <f>IFERROR(T197/L197,"-")</f>
        <v>1.125</v>
      </c>
      <c r="AK197" s="6">
        <f>IFERROR(AD197/M197,"-")</f>
        <v>1.2668918918918919</v>
      </c>
      <c r="AL197" s="6">
        <f>IFERROR(V197/N197,"-")</f>
        <v>1.125</v>
      </c>
      <c r="AM197" s="4" t="str">
        <f t="shared" ref="AM197:AM248" si="15">IFERROR(ROUND($AD197*P197/$M197,0),"-")</f>
        <v>-</v>
      </c>
      <c r="AN197" s="4" t="str">
        <f t="shared" ref="AN197:AN248" si="16">IF(Q197="","-",Q197)</f>
        <v>-</v>
      </c>
      <c r="AO197" s="4" t="str">
        <f t="shared" ref="AO197:AO248" si="17">IF(R197="","-",R197)</f>
        <v>-</v>
      </c>
      <c r="AP197" s="4">
        <v>0</v>
      </c>
      <c r="AQ197" s="4" t="s">
        <v>894</v>
      </c>
      <c r="AR197" s="4">
        <v>1</v>
      </c>
      <c r="AS197" s="4">
        <v>2</v>
      </c>
      <c r="AT197" s="4" t="s">
        <v>895</v>
      </c>
      <c r="AU197" s="4">
        <v>1867</v>
      </c>
      <c r="AV197" s="4">
        <f>IF(AR197="",AU197,AR197/AS197*AU197)</f>
        <v>933.5</v>
      </c>
      <c r="AW197" s="19">
        <v>4</v>
      </c>
      <c r="AX197" s="19">
        <v>1</v>
      </c>
      <c r="AY197" s="16">
        <v>5</v>
      </c>
      <c r="AZ197" t="s">
        <v>462</v>
      </c>
      <c r="BA197" t="str">
        <f t="shared" ref="BA197:BA248" si="18">IFERROR(AZ197*AL197,"-")</f>
        <v>-</v>
      </c>
      <c r="BB197">
        <v>4000</v>
      </c>
      <c r="BC197">
        <f t="shared" ref="BC197:BC248" si="19">IFERROR(BB197*AL197,"-")</f>
        <v>4500</v>
      </c>
      <c r="BD197" t="s">
        <v>647</v>
      </c>
    </row>
    <row r="198" spans="1:56" x14ac:dyDescent="0.4">
      <c r="A198" s="3">
        <v>38</v>
      </c>
      <c r="B198" s="3">
        <v>38</v>
      </c>
      <c r="C198" s="46">
        <v>636324</v>
      </c>
      <c r="D198" s="4" t="str">
        <f>TEXT(C198,"000000")</f>
        <v>636324</v>
      </c>
      <c r="E198" s="4">
        <v>636324</v>
      </c>
      <c r="F198" s="4" t="s">
        <v>240</v>
      </c>
      <c r="G198" s="5">
        <v>4901881142857</v>
      </c>
      <c r="H198" s="5"/>
      <c r="I198" s="5"/>
      <c r="J198" s="5">
        <v>2</v>
      </c>
      <c r="K198" s="5">
        <v>2</v>
      </c>
      <c r="L198" s="4">
        <v>800</v>
      </c>
      <c r="M198" s="4">
        <v>576</v>
      </c>
      <c r="N198" s="4">
        <v>400</v>
      </c>
      <c r="O198" s="6">
        <f>IFERROR(1-N198/M198,"-")</f>
        <v>0.30555555555555558</v>
      </c>
      <c r="P198" s="4" t="s">
        <v>462</v>
      </c>
      <c r="Q198" s="4" t="s">
        <v>462</v>
      </c>
      <c r="R198" s="4" t="s">
        <v>462</v>
      </c>
      <c r="S198" s="4">
        <v>950</v>
      </c>
      <c r="T198" s="4">
        <f>IF(W198="",S198,S198*W198)</f>
        <v>950</v>
      </c>
      <c r="U198" s="4">
        <v>475</v>
      </c>
      <c r="V198" s="4">
        <f>IF(W198="",U198,U198*W198)</f>
        <v>475</v>
      </c>
      <c r="W198" s="4"/>
      <c r="X198" s="21">
        <f>ROUND(M198*AL198,0)</f>
        <v>684</v>
      </c>
      <c r="Y198" s="6">
        <f>IFERROR(1-V198/X198,"-")</f>
        <v>0.30555555555555558</v>
      </c>
      <c r="Z198" s="33">
        <v>20</v>
      </c>
      <c r="AA198" s="4">
        <f>AV198</f>
        <v>593</v>
      </c>
      <c r="AB198" s="33">
        <f>IFERROR(AA198*AL198,"-")</f>
        <v>704.1875</v>
      </c>
      <c r="AC198" s="6">
        <f>IFERROR(1-V198/AB198,"-")</f>
        <v>0.32546374367622255</v>
      </c>
      <c r="AD198" s="7">
        <v>700</v>
      </c>
      <c r="AE198" s="6">
        <f>1-V198/AD198</f>
        <v>0.3214285714285714</v>
      </c>
      <c r="AF198" s="4">
        <f>AD198-V198</f>
        <v>225</v>
      </c>
      <c r="AG198" s="28"/>
      <c r="AH198" s="6"/>
      <c r="AI198" s="6"/>
      <c r="AJ198" s="6">
        <f>IFERROR(T198/L198,"-")</f>
        <v>1.1875</v>
      </c>
      <c r="AK198" s="6">
        <f>IFERROR(AD198/M198,"-")</f>
        <v>1.2152777777777777</v>
      </c>
      <c r="AL198" s="6">
        <f>IFERROR(V198/N198,"-")</f>
        <v>1.1875</v>
      </c>
      <c r="AM198" s="4" t="str">
        <f t="shared" si="15"/>
        <v>-</v>
      </c>
      <c r="AN198" s="4" t="str">
        <f t="shared" si="16"/>
        <v>-</v>
      </c>
      <c r="AO198" s="4" t="str">
        <f t="shared" si="17"/>
        <v>-</v>
      </c>
      <c r="AP198" s="4">
        <v>0</v>
      </c>
      <c r="AQ198" s="4" t="s">
        <v>896</v>
      </c>
      <c r="AR198" s="4"/>
      <c r="AS198" s="4"/>
      <c r="AT198" s="4" t="s">
        <v>887</v>
      </c>
      <c r="AU198" s="4">
        <v>593</v>
      </c>
      <c r="AV198" s="4">
        <f>IF(AR198="",AU198,AR198/AS198*AU198)</f>
        <v>593</v>
      </c>
      <c r="AW198" s="19">
        <v>4</v>
      </c>
      <c r="AX198" s="19">
        <v>1</v>
      </c>
      <c r="AY198" s="16">
        <v>5</v>
      </c>
      <c r="AZ198">
        <v>560</v>
      </c>
      <c r="BA198">
        <f t="shared" si="18"/>
        <v>665</v>
      </c>
      <c r="BB198">
        <v>699</v>
      </c>
      <c r="BC198">
        <f t="shared" si="19"/>
        <v>830.0625</v>
      </c>
      <c r="BD198" t="s">
        <v>648</v>
      </c>
    </row>
    <row r="199" spans="1:56" x14ac:dyDescent="0.4">
      <c r="A199" s="3">
        <v>240</v>
      </c>
      <c r="B199" s="3">
        <v>38</v>
      </c>
      <c r="C199" s="46">
        <v>636324</v>
      </c>
      <c r="D199" s="4" t="str">
        <f>TEXT(C199,"000000")</f>
        <v>636324</v>
      </c>
      <c r="E199" s="4" t="s">
        <v>440</v>
      </c>
      <c r="F199" s="33" t="s">
        <v>449</v>
      </c>
      <c r="G199" s="5">
        <v>4901881142857</v>
      </c>
      <c r="H199" s="5">
        <v>8</v>
      </c>
      <c r="I199" s="5" t="str">
        <f>C199&amp;H199</f>
        <v>6363248</v>
      </c>
      <c r="J199" s="5"/>
      <c r="K199" s="5"/>
      <c r="L199" s="4">
        <v>4000</v>
      </c>
      <c r="M199" s="4">
        <v>2682</v>
      </c>
      <c r="N199" s="4">
        <v>2000</v>
      </c>
      <c r="O199" s="6">
        <f>IFERROR(1-N199/M199,"-")</f>
        <v>0.25428784489187173</v>
      </c>
      <c r="P199" s="4" t="s">
        <v>462</v>
      </c>
      <c r="Q199" s="4" t="s">
        <v>462</v>
      </c>
      <c r="R199" s="4" t="s">
        <v>462</v>
      </c>
      <c r="S199" s="4">
        <v>950</v>
      </c>
      <c r="T199" s="4">
        <f>IF(W199="",S199,S199*W199)</f>
        <v>4750</v>
      </c>
      <c r="U199" s="4">
        <v>475</v>
      </c>
      <c r="V199" s="4">
        <f>IF(W199="",U199,U199*W199)</f>
        <v>2375</v>
      </c>
      <c r="W199" s="4">
        <v>5</v>
      </c>
      <c r="X199" s="21">
        <f>ROUND(M199*AL199,0)</f>
        <v>3185</v>
      </c>
      <c r="Y199" s="6">
        <f>IFERROR(1-V199/X199,"-")</f>
        <v>0.2543171114599686</v>
      </c>
      <c r="Z199" s="33">
        <v>20</v>
      </c>
      <c r="AA199" s="4">
        <f>AV199</f>
        <v>2900</v>
      </c>
      <c r="AB199" s="33">
        <f>IFERROR(AA199*AL199,"-")</f>
        <v>3443.75</v>
      </c>
      <c r="AC199" s="6">
        <f>IFERROR(1-V199/AB199,"-")</f>
        <v>0.31034482758620685</v>
      </c>
      <c r="AD199" s="7">
        <v>3300</v>
      </c>
      <c r="AE199" s="6">
        <f>1-V199/AD199</f>
        <v>0.28030303030303028</v>
      </c>
      <c r="AF199" s="4">
        <f>AD199-V199</f>
        <v>925</v>
      </c>
      <c r="AG199" s="28"/>
      <c r="AH199" s="6"/>
      <c r="AI199" s="6"/>
      <c r="AJ199" s="6">
        <f>IFERROR(T199/L199,"-")</f>
        <v>1.1875</v>
      </c>
      <c r="AK199" s="6">
        <f>IFERROR(AD199/M199,"-")</f>
        <v>1.2304250559284116</v>
      </c>
      <c r="AL199" s="6">
        <f>IFERROR(V199/N199,"-")</f>
        <v>1.1875</v>
      </c>
      <c r="AM199" s="4" t="str">
        <f t="shared" si="15"/>
        <v>-</v>
      </c>
      <c r="AN199" s="4" t="str">
        <f t="shared" si="16"/>
        <v>-</v>
      </c>
      <c r="AO199" s="4" t="str">
        <f t="shared" si="17"/>
        <v>-</v>
      </c>
      <c r="AP199" s="4">
        <v>0</v>
      </c>
      <c r="AQ199" s="4" t="s">
        <v>897</v>
      </c>
      <c r="AR199" s="4"/>
      <c r="AS199" s="4"/>
      <c r="AT199" s="4" t="s">
        <v>898</v>
      </c>
      <c r="AU199" s="4">
        <v>2900</v>
      </c>
      <c r="AV199" s="4">
        <f>IF(AR199="",AU199,AR199/AS199*AU199)</f>
        <v>2900</v>
      </c>
      <c r="AW199" s="19">
        <v>4</v>
      </c>
      <c r="AX199" s="19">
        <v>1</v>
      </c>
      <c r="AY199" s="16">
        <v>5</v>
      </c>
      <c r="AZ199">
        <v>560</v>
      </c>
      <c r="BA199">
        <f t="shared" si="18"/>
        <v>665</v>
      </c>
      <c r="BB199">
        <v>699</v>
      </c>
      <c r="BC199">
        <f t="shared" si="19"/>
        <v>830.0625</v>
      </c>
      <c r="BD199" t="s">
        <v>649</v>
      </c>
    </row>
    <row r="200" spans="1:56" x14ac:dyDescent="0.4">
      <c r="A200" s="3">
        <v>123</v>
      </c>
      <c r="B200" s="3">
        <v>123</v>
      </c>
      <c r="C200" s="4" t="s">
        <v>91</v>
      </c>
      <c r="D200" s="4" t="str">
        <f>TEXT(C200,"000000")</f>
        <v>J74491</v>
      </c>
      <c r="E200" s="4" t="s">
        <v>91</v>
      </c>
      <c r="F200" s="4" t="s">
        <v>325</v>
      </c>
      <c r="G200" s="5">
        <v>4901881142888</v>
      </c>
      <c r="H200" s="5"/>
      <c r="I200" s="5"/>
      <c r="J200" s="5">
        <v>1</v>
      </c>
      <c r="K200" s="5">
        <v>1</v>
      </c>
      <c r="L200" s="4">
        <v>800</v>
      </c>
      <c r="M200" s="4">
        <v>509</v>
      </c>
      <c r="N200" s="4">
        <v>400</v>
      </c>
      <c r="O200" s="6">
        <f>IFERROR(1-N200/M200,"-")</f>
        <v>0.21414538310412579</v>
      </c>
      <c r="P200" s="4" t="s">
        <v>462</v>
      </c>
      <c r="Q200" s="4" t="s">
        <v>462</v>
      </c>
      <c r="R200" s="4" t="s">
        <v>462</v>
      </c>
      <c r="S200" s="4">
        <v>950</v>
      </c>
      <c r="T200" s="4">
        <f>IF(W200="",S200,S200*W200)</f>
        <v>950</v>
      </c>
      <c r="U200" s="4">
        <v>475</v>
      </c>
      <c r="V200" s="4">
        <f>IF(W200="",U200,U200*W200)</f>
        <v>475</v>
      </c>
      <c r="W200" s="4"/>
      <c r="X200" s="21">
        <f>ROUND(M200*AL200,0)</f>
        <v>604</v>
      </c>
      <c r="Y200" s="6">
        <f>IFERROR(1-V200/X200,"-")</f>
        <v>0.21357615894039739</v>
      </c>
      <c r="Z200" s="33">
        <v>3</v>
      </c>
      <c r="AA200" s="4">
        <f>AV200</f>
        <v>666</v>
      </c>
      <c r="AB200" s="33">
        <f>IFERROR(AA200*AL200,"-")</f>
        <v>790.875</v>
      </c>
      <c r="AC200" s="6">
        <f>IFERROR(1-V200/AB200,"-")</f>
        <v>0.39939939939939939</v>
      </c>
      <c r="AD200" s="7">
        <v>750</v>
      </c>
      <c r="AE200" s="6">
        <f>1-V200/AD200</f>
        <v>0.3666666666666667</v>
      </c>
      <c r="AF200" s="4">
        <f>AD200-V200</f>
        <v>275</v>
      </c>
      <c r="AG200" s="28"/>
      <c r="AH200" s="6"/>
      <c r="AI200" s="6"/>
      <c r="AJ200" s="6">
        <f>IFERROR(T200/L200,"-")</f>
        <v>1.1875</v>
      </c>
      <c r="AK200" s="6">
        <f>IFERROR(AD200/M200,"-")</f>
        <v>1.4734774066797642</v>
      </c>
      <c r="AL200" s="6">
        <f>IFERROR(V200/N200,"-")</f>
        <v>1.1875</v>
      </c>
      <c r="AM200" s="4" t="str">
        <f t="shared" si="15"/>
        <v>-</v>
      </c>
      <c r="AN200" s="4" t="str">
        <f t="shared" si="16"/>
        <v>-</v>
      </c>
      <c r="AO200" s="4" t="str">
        <f t="shared" si="17"/>
        <v>-</v>
      </c>
      <c r="AP200" s="4">
        <v>0</v>
      </c>
      <c r="AQ200" s="4" t="s">
        <v>899</v>
      </c>
      <c r="AR200" s="4"/>
      <c r="AS200" s="4"/>
      <c r="AT200" s="4" t="s">
        <v>887</v>
      </c>
      <c r="AU200" s="4">
        <v>666</v>
      </c>
      <c r="AV200" s="4">
        <f>IF(AR200="",AU200,AR200/AS200*AU200)</f>
        <v>666</v>
      </c>
      <c r="AW200" s="19">
        <v>4</v>
      </c>
      <c r="AX200" s="19">
        <v>8</v>
      </c>
      <c r="AY200" s="16">
        <v>5</v>
      </c>
      <c r="AZ200" t="s">
        <v>462</v>
      </c>
      <c r="BA200" t="str">
        <f t="shared" si="18"/>
        <v>-</v>
      </c>
      <c r="BB200">
        <v>8000</v>
      </c>
      <c r="BC200">
        <f t="shared" si="19"/>
        <v>9500</v>
      </c>
      <c r="BD200" t="s">
        <v>650</v>
      </c>
    </row>
    <row r="201" spans="1:56" x14ac:dyDescent="0.4">
      <c r="A201" s="3">
        <v>126</v>
      </c>
      <c r="B201" s="3">
        <v>126</v>
      </c>
      <c r="C201" s="4" t="s">
        <v>94</v>
      </c>
      <c r="D201" s="4" t="str">
        <f>TEXT(C201,"000000")</f>
        <v>J74494</v>
      </c>
      <c r="E201" s="4" t="s">
        <v>94</v>
      </c>
      <c r="F201" s="4" t="s">
        <v>328</v>
      </c>
      <c r="G201" s="5">
        <v>4901881181023</v>
      </c>
      <c r="H201" s="5"/>
      <c r="I201" s="5"/>
      <c r="J201" s="5">
        <v>1</v>
      </c>
      <c r="K201" s="5">
        <v>1</v>
      </c>
      <c r="L201" s="4">
        <v>800</v>
      </c>
      <c r="M201" s="4">
        <v>478</v>
      </c>
      <c r="N201" s="4">
        <v>400</v>
      </c>
      <c r="O201" s="6">
        <f>IFERROR(1-N201/M201,"-")</f>
        <v>0.16317991631799167</v>
      </c>
      <c r="P201" s="4" t="s">
        <v>462</v>
      </c>
      <c r="Q201" s="4" t="s">
        <v>462</v>
      </c>
      <c r="R201" s="4" t="s">
        <v>462</v>
      </c>
      <c r="S201" s="4">
        <v>950</v>
      </c>
      <c r="T201" s="4">
        <f>IF(W201="",S201,S201*W201)</f>
        <v>950</v>
      </c>
      <c r="U201" s="4">
        <v>475</v>
      </c>
      <c r="V201" s="4">
        <f>IF(W201="",U201,U201*W201)</f>
        <v>475</v>
      </c>
      <c r="W201" s="4"/>
      <c r="X201" s="21">
        <f>ROUND(M201*AL201,0)</f>
        <v>568</v>
      </c>
      <c r="Y201" s="6">
        <f>IFERROR(1-V201/X201,"-")</f>
        <v>0.16373239436619713</v>
      </c>
      <c r="Z201" s="33">
        <v>1.25</v>
      </c>
      <c r="AA201" s="4" t="str">
        <f>AV201</f>
        <v>-</v>
      </c>
      <c r="AB201" s="33" t="str">
        <f>IFERROR(AA201*AL201,"-")</f>
        <v>-</v>
      </c>
      <c r="AC201" s="6" t="str">
        <f>IFERROR(1-V201/AB201,"-")</f>
        <v>-</v>
      </c>
      <c r="AD201" s="7">
        <v>750</v>
      </c>
      <c r="AE201" s="6">
        <f>1-V201/AD201</f>
        <v>0.3666666666666667</v>
      </c>
      <c r="AF201" s="4">
        <f>AD201-V201</f>
        <v>275</v>
      </c>
      <c r="AG201" s="28"/>
      <c r="AH201" s="6"/>
      <c r="AI201" s="6"/>
      <c r="AJ201" s="6">
        <f>IFERROR(T201/L201,"-")</f>
        <v>1.1875</v>
      </c>
      <c r="AK201" s="6">
        <f>IFERROR(AD201/M201,"-")</f>
        <v>1.5690376569037656</v>
      </c>
      <c r="AL201" s="6">
        <f>IFERROR(V201/N201,"-")</f>
        <v>1.1875</v>
      </c>
      <c r="AM201" s="4" t="str">
        <f t="shared" si="15"/>
        <v>-</v>
      </c>
      <c r="AN201" s="4" t="str">
        <f t="shared" si="16"/>
        <v>-</v>
      </c>
      <c r="AO201" s="4" t="str">
        <f t="shared" si="17"/>
        <v>-</v>
      </c>
      <c r="AP201" s="4">
        <v>0</v>
      </c>
      <c r="AQ201" s="4" t="s">
        <v>462</v>
      </c>
      <c r="AR201" s="4"/>
      <c r="AS201" s="4"/>
      <c r="AT201" s="4" t="s">
        <v>462</v>
      </c>
      <c r="AU201" s="4" t="s">
        <v>462</v>
      </c>
      <c r="AV201" s="4" t="str">
        <f>IF(AR201="",AU201,AR201/AS201*AU201)</f>
        <v>-</v>
      </c>
      <c r="AW201" s="19">
        <v>4</v>
      </c>
      <c r="AX201" s="19">
        <v>8</v>
      </c>
      <c r="AY201" s="16">
        <v>5</v>
      </c>
      <c r="AZ201" t="s">
        <v>462</v>
      </c>
      <c r="BA201" t="str">
        <f t="shared" si="18"/>
        <v>-</v>
      </c>
      <c r="BB201" t="s">
        <v>462</v>
      </c>
      <c r="BC201" t="str">
        <f t="shared" si="19"/>
        <v>-</v>
      </c>
      <c r="BD201" t="s">
        <v>462</v>
      </c>
    </row>
    <row r="202" spans="1:56" x14ac:dyDescent="0.4">
      <c r="A202" s="3">
        <v>93</v>
      </c>
      <c r="B202" s="3">
        <v>93</v>
      </c>
      <c r="C202" s="4" t="s">
        <v>61</v>
      </c>
      <c r="D202" s="4" t="str">
        <f>TEXT(C202,"000000")</f>
        <v>J2092Y</v>
      </c>
      <c r="E202" s="4" t="s">
        <v>61</v>
      </c>
      <c r="F202" s="4" t="s">
        <v>295</v>
      </c>
      <c r="G202" s="5">
        <v>4901881266669</v>
      </c>
      <c r="H202" s="5"/>
      <c r="I202" s="5"/>
      <c r="J202" s="5">
        <v>1</v>
      </c>
      <c r="K202" s="5">
        <v>1</v>
      </c>
      <c r="L202" s="4">
        <v>900</v>
      </c>
      <c r="M202" s="4">
        <v>684</v>
      </c>
      <c r="N202" s="4">
        <v>450</v>
      </c>
      <c r="O202" s="6">
        <f>IFERROR(1-N202/M202,"-")</f>
        <v>0.34210526315789469</v>
      </c>
      <c r="P202" s="4" t="s">
        <v>462</v>
      </c>
      <c r="Q202" s="4" t="s">
        <v>462</v>
      </c>
      <c r="R202" s="4" t="s">
        <v>462</v>
      </c>
      <c r="S202" s="4">
        <v>1000</v>
      </c>
      <c r="T202" s="4">
        <f>IF(W202="",S202,S202*W202)</f>
        <v>1000</v>
      </c>
      <c r="U202" s="4">
        <v>500</v>
      </c>
      <c r="V202" s="4">
        <f>IF(W202="",U202,U202*W202)</f>
        <v>500</v>
      </c>
      <c r="W202" s="4"/>
      <c r="X202" s="21">
        <f>ROUND(M202*AL202,0)</f>
        <v>760</v>
      </c>
      <c r="Y202" s="6">
        <f>IFERROR(1-V202/X202,"-")</f>
        <v>0.34210526315789469</v>
      </c>
      <c r="Z202" s="33">
        <v>4</v>
      </c>
      <c r="AA202" s="4">
        <f>AV202</f>
        <v>817</v>
      </c>
      <c r="AB202" s="33">
        <f>IFERROR(AA202*AL202,"-")</f>
        <v>907.77777777777783</v>
      </c>
      <c r="AC202" s="6">
        <f>IFERROR(1-V202/AB202,"-")</f>
        <v>0.44920440636474912</v>
      </c>
      <c r="AD202" s="7">
        <v>850</v>
      </c>
      <c r="AE202" s="6">
        <f>1-V202/AD202</f>
        <v>0.41176470588235292</v>
      </c>
      <c r="AF202" s="4">
        <f>AD202-V202</f>
        <v>350</v>
      </c>
      <c r="AG202" s="28"/>
      <c r="AH202" s="6"/>
      <c r="AI202" s="6"/>
      <c r="AJ202" s="6">
        <f>IFERROR(T202/L202,"-")</f>
        <v>1.1111111111111112</v>
      </c>
      <c r="AK202" s="6">
        <f>IFERROR(AD202/M202,"-")</f>
        <v>1.2426900584795322</v>
      </c>
      <c r="AL202" s="6">
        <f>IFERROR(V202/N202,"-")</f>
        <v>1.1111111111111112</v>
      </c>
      <c r="AM202" s="4" t="str">
        <f t="shared" si="15"/>
        <v>-</v>
      </c>
      <c r="AN202" s="4" t="str">
        <f t="shared" si="16"/>
        <v>-</v>
      </c>
      <c r="AO202" s="4" t="str">
        <f t="shared" si="17"/>
        <v>-</v>
      </c>
      <c r="AP202" s="4">
        <v>0</v>
      </c>
      <c r="AQ202" s="4" t="s">
        <v>900</v>
      </c>
      <c r="AR202" s="4"/>
      <c r="AS202" s="4"/>
      <c r="AT202" s="4" t="s">
        <v>693</v>
      </c>
      <c r="AU202" s="4">
        <v>817</v>
      </c>
      <c r="AV202" s="4">
        <f>IF(AR202="",AU202,AR202/AS202*AU202)</f>
        <v>817</v>
      </c>
      <c r="AW202" s="19">
        <v>4</v>
      </c>
      <c r="AX202" s="19">
        <v>8</v>
      </c>
      <c r="AY202" s="16">
        <v>5</v>
      </c>
      <c r="AZ202" t="s">
        <v>462</v>
      </c>
      <c r="BA202" t="str">
        <f t="shared" si="18"/>
        <v>-</v>
      </c>
      <c r="BB202">
        <v>900</v>
      </c>
      <c r="BC202">
        <f t="shared" si="19"/>
        <v>1000</v>
      </c>
      <c r="BD202" t="s">
        <v>651</v>
      </c>
    </row>
    <row r="203" spans="1:56" x14ac:dyDescent="0.4">
      <c r="A203" s="3">
        <v>99</v>
      </c>
      <c r="B203" s="3">
        <v>99</v>
      </c>
      <c r="C203" s="4" t="s">
        <v>67</v>
      </c>
      <c r="D203" s="4" t="str">
        <f>TEXT(C203,"000000")</f>
        <v>J74460</v>
      </c>
      <c r="E203" s="4" t="s">
        <v>67</v>
      </c>
      <c r="F203" s="4" t="s">
        <v>301</v>
      </c>
      <c r="G203" s="5">
        <v>4901881167171</v>
      </c>
      <c r="H203" s="5"/>
      <c r="I203" s="5"/>
      <c r="J203" s="5">
        <v>1</v>
      </c>
      <c r="K203" s="5">
        <v>1</v>
      </c>
      <c r="L203" s="4">
        <v>960</v>
      </c>
      <c r="M203" s="4">
        <v>683</v>
      </c>
      <c r="N203" s="4">
        <v>480</v>
      </c>
      <c r="O203" s="6">
        <f>IFERROR(1-N203/M203,"-")</f>
        <v>0.29721815519765737</v>
      </c>
      <c r="P203" s="4" t="s">
        <v>462</v>
      </c>
      <c r="Q203" s="4" t="s">
        <v>462</v>
      </c>
      <c r="R203" s="4" t="s">
        <v>462</v>
      </c>
      <c r="S203" s="4">
        <v>1000</v>
      </c>
      <c r="T203" s="4">
        <f>IF(W203="",S203,S203*W203)</f>
        <v>1000</v>
      </c>
      <c r="U203" s="4">
        <v>500</v>
      </c>
      <c r="V203" s="4">
        <f>IF(W203="",U203,U203*W203)</f>
        <v>500</v>
      </c>
      <c r="W203" s="4"/>
      <c r="X203" s="21">
        <f>ROUND(M203*AL203,0)</f>
        <v>711</v>
      </c>
      <c r="Y203" s="6">
        <f>IFERROR(1-V203/X203,"-")</f>
        <v>0.29676511954992968</v>
      </c>
      <c r="Z203" s="33">
        <v>10.25</v>
      </c>
      <c r="AA203" s="4">
        <f>AV203</f>
        <v>993</v>
      </c>
      <c r="AB203" s="33">
        <f>IFERROR(AA203*AL203,"-")</f>
        <v>1034.375</v>
      </c>
      <c r="AC203" s="6">
        <f>IFERROR(1-V203/AB203,"-")</f>
        <v>0.5166163141993958</v>
      </c>
      <c r="AD203" s="7">
        <v>850</v>
      </c>
      <c r="AE203" s="6">
        <f>1-V203/AD203</f>
        <v>0.41176470588235292</v>
      </c>
      <c r="AF203" s="4">
        <f>AD203-V203</f>
        <v>350</v>
      </c>
      <c r="AG203" s="28"/>
      <c r="AH203" s="6"/>
      <c r="AI203" s="6"/>
      <c r="AJ203" s="6">
        <f>IFERROR(T203/L203,"-")</f>
        <v>1.0416666666666667</v>
      </c>
      <c r="AK203" s="6">
        <f>IFERROR(AD203/M203,"-")</f>
        <v>1.2445095168374818</v>
      </c>
      <c r="AL203" s="6">
        <f>IFERROR(V203/N203,"-")</f>
        <v>1.0416666666666667</v>
      </c>
      <c r="AM203" s="4" t="str">
        <f t="shared" si="15"/>
        <v>-</v>
      </c>
      <c r="AN203" s="4" t="str">
        <f t="shared" si="16"/>
        <v>-</v>
      </c>
      <c r="AO203" s="4" t="str">
        <f t="shared" si="17"/>
        <v>-</v>
      </c>
      <c r="AP203" s="4">
        <v>0</v>
      </c>
      <c r="AQ203" s="4" t="s">
        <v>901</v>
      </c>
      <c r="AR203" s="4">
        <v>1</v>
      </c>
      <c r="AS203" s="4">
        <v>2</v>
      </c>
      <c r="AT203" s="4" t="s">
        <v>902</v>
      </c>
      <c r="AU203" s="4">
        <v>1986</v>
      </c>
      <c r="AV203" s="4">
        <f>IF(AR203="",AU203,AR203/AS203*AU203)</f>
        <v>993</v>
      </c>
      <c r="AW203" s="19">
        <v>4</v>
      </c>
      <c r="AX203" s="19">
        <v>1</v>
      </c>
      <c r="AY203" s="16">
        <v>5</v>
      </c>
      <c r="AZ203">
        <v>860</v>
      </c>
      <c r="BA203">
        <f t="shared" si="18"/>
        <v>895.83333333333337</v>
      </c>
      <c r="BB203">
        <v>918</v>
      </c>
      <c r="BC203">
        <f t="shared" si="19"/>
        <v>956.25000000000011</v>
      </c>
      <c r="BD203" t="s">
        <v>652</v>
      </c>
    </row>
    <row r="204" spans="1:56" x14ac:dyDescent="0.4">
      <c r="A204" s="3">
        <v>101</v>
      </c>
      <c r="B204" s="3">
        <v>101</v>
      </c>
      <c r="C204" s="4" t="s">
        <v>69</v>
      </c>
      <c r="D204" s="4" t="str">
        <f>TEXT(C204,"000000")</f>
        <v>J74462</v>
      </c>
      <c r="E204" s="4" t="s">
        <v>69</v>
      </c>
      <c r="F204" s="4" t="s">
        <v>303</v>
      </c>
      <c r="G204" s="5">
        <v>4901881293238</v>
      </c>
      <c r="H204" s="5"/>
      <c r="I204" s="5"/>
      <c r="J204" s="5">
        <v>1</v>
      </c>
      <c r="K204" s="5">
        <v>1</v>
      </c>
      <c r="L204" s="4">
        <v>1020</v>
      </c>
      <c r="M204" s="4">
        <v>724</v>
      </c>
      <c r="N204" s="4">
        <v>510</v>
      </c>
      <c r="O204" s="6">
        <f>IFERROR(1-N204/M204,"-")</f>
        <v>0.29558011049723754</v>
      </c>
      <c r="P204" s="4" t="s">
        <v>462</v>
      </c>
      <c r="Q204" s="4" t="s">
        <v>462</v>
      </c>
      <c r="R204" s="4" t="s">
        <v>462</v>
      </c>
      <c r="S204" s="4">
        <v>1100</v>
      </c>
      <c r="T204" s="4">
        <f>IF(W204="",S204,S204*W204)</f>
        <v>1100</v>
      </c>
      <c r="U204" s="4">
        <v>550</v>
      </c>
      <c r="V204" s="4">
        <f>IF(W204="",U204,U204*W204)</f>
        <v>550</v>
      </c>
      <c r="W204" s="4"/>
      <c r="X204" s="21">
        <f>ROUND(M204*AL204,0)</f>
        <v>781</v>
      </c>
      <c r="Y204" s="6">
        <f>IFERROR(1-V204/X204,"-")</f>
        <v>0.29577464788732399</v>
      </c>
      <c r="Z204" s="33">
        <v>0.25</v>
      </c>
      <c r="AA204" s="4">
        <f>AV204</f>
        <v>1020</v>
      </c>
      <c r="AB204" s="33">
        <f>IFERROR(AA204*AL204,"-")</f>
        <v>1100</v>
      </c>
      <c r="AC204" s="6">
        <f>IFERROR(1-V204/AB204,"-")</f>
        <v>0.5</v>
      </c>
      <c r="AD204" s="7">
        <v>880</v>
      </c>
      <c r="AE204" s="6">
        <f>1-V204/AD204</f>
        <v>0.375</v>
      </c>
      <c r="AF204" s="4">
        <f>AD204-V204</f>
        <v>330</v>
      </c>
      <c r="AG204" s="28"/>
      <c r="AH204" s="6"/>
      <c r="AI204" s="6"/>
      <c r="AJ204" s="6">
        <f>IFERROR(T204/L204,"-")</f>
        <v>1.0784313725490196</v>
      </c>
      <c r="AK204" s="6">
        <f>IFERROR(AD204/M204,"-")</f>
        <v>1.2154696132596685</v>
      </c>
      <c r="AL204" s="6">
        <f>IFERROR(V204/N204,"-")</f>
        <v>1.0784313725490196</v>
      </c>
      <c r="AM204" s="4" t="str">
        <f t="shared" si="15"/>
        <v>-</v>
      </c>
      <c r="AN204" s="4" t="str">
        <f t="shared" si="16"/>
        <v>-</v>
      </c>
      <c r="AO204" s="4" t="str">
        <f t="shared" si="17"/>
        <v>-</v>
      </c>
      <c r="AP204" s="4">
        <v>0</v>
      </c>
      <c r="AQ204" s="4" t="s">
        <v>903</v>
      </c>
      <c r="AR204" s="4">
        <v>1</v>
      </c>
      <c r="AS204" s="4">
        <v>2</v>
      </c>
      <c r="AT204" s="4" t="s">
        <v>904</v>
      </c>
      <c r="AU204" s="4">
        <v>2040</v>
      </c>
      <c r="AV204" s="4">
        <f>IF(AR204="",AU204,AR204/AS204*AU204)</f>
        <v>1020</v>
      </c>
      <c r="AW204" s="19">
        <v>4</v>
      </c>
      <c r="AX204" s="19">
        <v>8</v>
      </c>
      <c r="AY204" s="16">
        <v>5</v>
      </c>
      <c r="AZ204">
        <v>816</v>
      </c>
      <c r="BA204">
        <f t="shared" si="18"/>
        <v>880</v>
      </c>
      <c r="BB204">
        <v>3900</v>
      </c>
      <c r="BC204">
        <f t="shared" si="19"/>
        <v>4205.8823529411766</v>
      </c>
      <c r="BD204" t="s">
        <v>653</v>
      </c>
    </row>
    <row r="205" spans="1:56" x14ac:dyDescent="0.4">
      <c r="A205" s="3">
        <v>114</v>
      </c>
      <c r="B205" s="3">
        <v>114</v>
      </c>
      <c r="C205" s="4" t="s">
        <v>82</v>
      </c>
      <c r="D205" s="4" t="str">
        <f>TEXT(C205,"000000")</f>
        <v>J74480</v>
      </c>
      <c r="E205" s="4" t="s">
        <v>82</v>
      </c>
      <c r="F205" s="4" t="s">
        <v>316</v>
      </c>
      <c r="G205" s="5">
        <v>4901881182914</v>
      </c>
      <c r="H205" s="5"/>
      <c r="I205" s="5"/>
      <c r="J205" s="5">
        <v>1</v>
      </c>
      <c r="K205" s="5">
        <v>1</v>
      </c>
      <c r="L205" s="4">
        <v>960</v>
      </c>
      <c r="M205" s="4">
        <v>824</v>
      </c>
      <c r="N205" s="4">
        <v>480</v>
      </c>
      <c r="O205" s="6">
        <f>IFERROR(1-N205/M205,"-")</f>
        <v>0.41747572815533984</v>
      </c>
      <c r="P205" s="4" t="s">
        <v>462</v>
      </c>
      <c r="Q205" s="4" t="s">
        <v>462</v>
      </c>
      <c r="R205" s="4" t="s">
        <v>462</v>
      </c>
      <c r="S205" s="4">
        <v>1100</v>
      </c>
      <c r="T205" s="4">
        <f>IF(W205="",S205,S205*W205)</f>
        <v>1100</v>
      </c>
      <c r="U205" s="4">
        <v>550</v>
      </c>
      <c r="V205" s="4">
        <f>IF(W205="",U205,U205*W205)</f>
        <v>550</v>
      </c>
      <c r="W205" s="4"/>
      <c r="X205" s="21">
        <f>ROUND(M205*AL205,0)</f>
        <v>944</v>
      </c>
      <c r="Y205" s="6">
        <f>IFERROR(1-V205/X205,"-")</f>
        <v>0.4173728813559322</v>
      </c>
      <c r="Z205" s="33">
        <v>5.5</v>
      </c>
      <c r="AA205" s="4">
        <f>AV205</f>
        <v>960</v>
      </c>
      <c r="AB205" s="33">
        <f>IFERROR(AA205*AL205,"-")</f>
        <v>1100</v>
      </c>
      <c r="AC205" s="6">
        <f>IFERROR(1-V205/AB205,"-")</f>
        <v>0.5</v>
      </c>
      <c r="AD205" s="7">
        <v>880</v>
      </c>
      <c r="AE205" s="6">
        <f>1-V205/AD205</f>
        <v>0.375</v>
      </c>
      <c r="AF205" s="4">
        <f>AD205-V205</f>
        <v>330</v>
      </c>
      <c r="AG205" s="28"/>
      <c r="AH205" s="6"/>
      <c r="AI205" s="6"/>
      <c r="AJ205" s="6">
        <f>IFERROR(T205/L205,"-")</f>
        <v>1.1458333333333333</v>
      </c>
      <c r="AK205" s="6">
        <f>IFERROR(AD205/M205,"-")</f>
        <v>1.0679611650485437</v>
      </c>
      <c r="AL205" s="6">
        <f>IFERROR(V205/N205,"-")</f>
        <v>1.1458333333333333</v>
      </c>
      <c r="AM205" s="4" t="str">
        <f t="shared" si="15"/>
        <v>-</v>
      </c>
      <c r="AN205" s="4" t="str">
        <f t="shared" si="16"/>
        <v>-</v>
      </c>
      <c r="AO205" s="4" t="str">
        <f t="shared" si="17"/>
        <v>-</v>
      </c>
      <c r="AP205" s="4">
        <v>0</v>
      </c>
      <c r="AQ205" s="4" t="s">
        <v>905</v>
      </c>
      <c r="AR205" s="4">
        <v>1</v>
      </c>
      <c r="AS205" s="4">
        <v>2</v>
      </c>
      <c r="AT205" s="4" t="s">
        <v>870</v>
      </c>
      <c r="AU205" s="4">
        <v>1920</v>
      </c>
      <c r="AV205" s="4">
        <f>IF(AR205="",AU205,AR205/AS205*AU205)</f>
        <v>960</v>
      </c>
      <c r="AW205" s="19">
        <v>4</v>
      </c>
      <c r="AX205" s="19">
        <v>1</v>
      </c>
      <c r="AY205" s="16">
        <v>5</v>
      </c>
      <c r="AZ205">
        <v>720</v>
      </c>
      <c r="BA205">
        <f t="shared" si="18"/>
        <v>825</v>
      </c>
      <c r="BB205">
        <v>889</v>
      </c>
      <c r="BC205">
        <f t="shared" si="19"/>
        <v>1018.6458333333333</v>
      </c>
      <c r="BD205" t="s">
        <v>654</v>
      </c>
    </row>
    <row r="206" spans="1:56" x14ac:dyDescent="0.4">
      <c r="A206" s="3">
        <v>78</v>
      </c>
      <c r="B206" s="3">
        <v>78</v>
      </c>
      <c r="C206" s="4">
        <v>679838</v>
      </c>
      <c r="D206" s="4" t="str">
        <f>TEXT(C206,"000000")</f>
        <v>679838</v>
      </c>
      <c r="E206" s="4">
        <v>679838</v>
      </c>
      <c r="F206" s="4" t="s">
        <v>280</v>
      </c>
      <c r="G206" s="5">
        <v>4901881187834</v>
      </c>
      <c r="H206" s="5"/>
      <c r="I206" s="5"/>
      <c r="J206" s="5">
        <v>1</v>
      </c>
      <c r="K206" s="5">
        <v>1</v>
      </c>
      <c r="L206" s="4">
        <v>970</v>
      </c>
      <c r="M206" s="4">
        <v>692</v>
      </c>
      <c r="N206" s="4">
        <v>485</v>
      </c>
      <c r="O206" s="6">
        <f>IFERROR(1-N206/M206,"-")</f>
        <v>0.29913294797687862</v>
      </c>
      <c r="P206" s="4" t="s">
        <v>462</v>
      </c>
      <c r="Q206" s="4" t="s">
        <v>462</v>
      </c>
      <c r="R206" s="4" t="s">
        <v>462</v>
      </c>
      <c r="S206" s="4">
        <v>1150</v>
      </c>
      <c r="T206" s="4">
        <f>IF(W206="",S206,S206*W206)</f>
        <v>1150</v>
      </c>
      <c r="U206" s="4">
        <v>575</v>
      </c>
      <c r="V206" s="4">
        <f>IF(W206="",U206,U206*W206)</f>
        <v>575</v>
      </c>
      <c r="W206" s="4"/>
      <c r="X206" s="21">
        <f>ROUND(M206*AL206,0)</f>
        <v>820</v>
      </c>
      <c r="Y206" s="6">
        <f>IFERROR(1-V206/X206,"-")</f>
        <v>0.29878048780487809</v>
      </c>
      <c r="Z206" s="33">
        <v>12</v>
      </c>
      <c r="AA206" s="4">
        <f>AV206</f>
        <v>762</v>
      </c>
      <c r="AB206" s="33">
        <f>IFERROR(AA206*AL206,"-")</f>
        <v>903.40206185567013</v>
      </c>
      <c r="AC206" s="6">
        <f>IFERROR(1-V206/AB206,"-")</f>
        <v>0.36351706036745413</v>
      </c>
      <c r="AD206" s="7">
        <v>900</v>
      </c>
      <c r="AE206" s="6">
        <f>1-V206/AD206</f>
        <v>0.36111111111111116</v>
      </c>
      <c r="AF206" s="4">
        <f>AD206-V206</f>
        <v>325</v>
      </c>
      <c r="AG206" s="28"/>
      <c r="AH206" s="6"/>
      <c r="AI206" s="6"/>
      <c r="AJ206" s="6">
        <f>IFERROR(T206/L206,"-")</f>
        <v>1.1855670103092784</v>
      </c>
      <c r="AK206" s="6">
        <f>IFERROR(AD206/M206,"-")</f>
        <v>1.300578034682081</v>
      </c>
      <c r="AL206" s="6">
        <f>IFERROR(V206/N206,"-")</f>
        <v>1.1855670103092784</v>
      </c>
      <c r="AM206" s="4" t="str">
        <f t="shared" si="15"/>
        <v>-</v>
      </c>
      <c r="AN206" s="4" t="str">
        <f t="shared" si="16"/>
        <v>-</v>
      </c>
      <c r="AO206" s="4" t="str">
        <f t="shared" si="17"/>
        <v>-</v>
      </c>
      <c r="AP206" s="4">
        <v>0</v>
      </c>
      <c r="AQ206" s="4" t="s">
        <v>906</v>
      </c>
      <c r="AR206" s="4"/>
      <c r="AS206" s="4"/>
      <c r="AT206" s="4" t="s">
        <v>887</v>
      </c>
      <c r="AU206" s="4">
        <v>762</v>
      </c>
      <c r="AV206" s="4">
        <f>IF(AR206="",AU206,AR206/AS206*AU206)</f>
        <v>762</v>
      </c>
      <c r="AW206" s="19">
        <v>4</v>
      </c>
      <c r="AX206" s="19">
        <v>1</v>
      </c>
      <c r="AY206" s="16">
        <v>5</v>
      </c>
      <c r="AZ206">
        <v>660</v>
      </c>
      <c r="BA206">
        <f t="shared" si="18"/>
        <v>782.47422680412376</v>
      </c>
      <c r="BB206">
        <v>960</v>
      </c>
      <c r="BC206">
        <f t="shared" si="19"/>
        <v>1138.1443298969073</v>
      </c>
      <c r="BD206" t="s">
        <v>655</v>
      </c>
    </row>
    <row r="207" spans="1:56" x14ac:dyDescent="0.4">
      <c r="A207" s="3">
        <v>128</v>
      </c>
      <c r="B207" s="3">
        <v>128</v>
      </c>
      <c r="C207" s="4" t="s">
        <v>96</v>
      </c>
      <c r="D207" s="4" t="str">
        <f>TEXT(C207,"000000")</f>
        <v>J74496</v>
      </c>
      <c r="E207" s="4" t="s">
        <v>96</v>
      </c>
      <c r="F207" s="4" t="s">
        <v>330</v>
      </c>
      <c r="G207" s="5">
        <v>4901881823947</v>
      </c>
      <c r="H207" s="5"/>
      <c r="I207" s="5"/>
      <c r="J207" s="5">
        <v>1</v>
      </c>
      <c r="K207" s="5">
        <v>1</v>
      </c>
      <c r="L207" s="4">
        <v>1000</v>
      </c>
      <c r="M207" s="4">
        <v>649</v>
      </c>
      <c r="N207" s="4">
        <v>510</v>
      </c>
      <c r="O207" s="6">
        <f>IFERROR(1-N207/M207,"-")</f>
        <v>0.214175654853621</v>
      </c>
      <c r="P207" s="4" t="s">
        <v>462</v>
      </c>
      <c r="Q207" s="4" t="s">
        <v>462</v>
      </c>
      <c r="R207" s="4" t="s">
        <v>462</v>
      </c>
      <c r="S207" s="4">
        <v>1100</v>
      </c>
      <c r="T207" s="4">
        <f>IF(W207="",S207,S207*W207)</f>
        <v>1100</v>
      </c>
      <c r="U207" s="4">
        <v>587</v>
      </c>
      <c r="V207" s="4">
        <f>IF(W207="",U207,U207*W207)</f>
        <v>587</v>
      </c>
      <c r="W207" s="4"/>
      <c r="X207" s="21">
        <f>ROUND(M207*AL207,0)</f>
        <v>747</v>
      </c>
      <c r="Y207" s="6">
        <f>IFERROR(1-V207/X207,"-")</f>
        <v>0.214190093708166</v>
      </c>
      <c r="Z207" s="33">
        <v>0</v>
      </c>
      <c r="AA207" s="4">
        <f>AV207</f>
        <v>455</v>
      </c>
      <c r="AB207" s="33">
        <f>IFERROR(AA207*AL207,"-")</f>
        <v>523.69607843137248</v>
      </c>
      <c r="AC207" s="6">
        <f>IFERROR(1-V207/AB207,"-")</f>
        <v>-0.12087912087912112</v>
      </c>
      <c r="AD207" s="7">
        <v>900</v>
      </c>
      <c r="AE207" s="6">
        <f>1-V207/AD207</f>
        <v>0.34777777777777774</v>
      </c>
      <c r="AF207" s="4">
        <f>AD207-V207</f>
        <v>313</v>
      </c>
      <c r="AG207" s="28"/>
      <c r="AH207" s="6"/>
      <c r="AI207" s="6"/>
      <c r="AJ207" s="6">
        <f>IFERROR(T207/L207,"-")</f>
        <v>1.1000000000000001</v>
      </c>
      <c r="AK207" s="6">
        <f>IFERROR(AD207/M207,"-")</f>
        <v>1.386748844375963</v>
      </c>
      <c r="AL207" s="6">
        <f>IFERROR(V207/N207,"-")</f>
        <v>1.1509803921568627</v>
      </c>
      <c r="AM207" s="4" t="str">
        <f t="shared" si="15"/>
        <v>-</v>
      </c>
      <c r="AN207" s="4" t="str">
        <f t="shared" si="16"/>
        <v>-</v>
      </c>
      <c r="AO207" s="4" t="str">
        <f t="shared" si="17"/>
        <v>-</v>
      </c>
      <c r="AP207" s="4">
        <v>0</v>
      </c>
      <c r="AQ207" s="4" t="s">
        <v>907</v>
      </c>
      <c r="AR207" s="4"/>
      <c r="AS207" s="4"/>
      <c r="AT207" s="4" t="s">
        <v>693</v>
      </c>
      <c r="AU207" s="4">
        <v>455</v>
      </c>
      <c r="AV207" s="4">
        <f>IF(AR207="",AU207,AR207/AS207*AU207)</f>
        <v>455</v>
      </c>
      <c r="AW207" s="19">
        <v>4</v>
      </c>
      <c r="AX207" s="19">
        <v>8</v>
      </c>
      <c r="AY207" s="16">
        <v>5</v>
      </c>
      <c r="AZ207" t="s">
        <v>462</v>
      </c>
      <c r="BA207" t="str">
        <f t="shared" si="18"/>
        <v>-</v>
      </c>
      <c r="BB207" t="s">
        <v>462</v>
      </c>
      <c r="BC207" t="str">
        <f t="shared" si="19"/>
        <v>-</v>
      </c>
      <c r="BD207" t="s">
        <v>656</v>
      </c>
    </row>
    <row r="208" spans="1:56" x14ac:dyDescent="0.4">
      <c r="A208" s="3">
        <v>17</v>
      </c>
      <c r="B208" s="3">
        <v>17</v>
      </c>
      <c r="C208" s="48">
        <v>411749</v>
      </c>
      <c r="D208" s="4" t="str">
        <f>TEXT(C208,"000000")</f>
        <v>411749</v>
      </c>
      <c r="E208" s="4">
        <v>411749</v>
      </c>
      <c r="F208" s="4" t="s">
        <v>219</v>
      </c>
      <c r="G208" s="5">
        <v>4901881142864</v>
      </c>
      <c r="H208" s="5"/>
      <c r="I208" s="5"/>
      <c r="J208" s="5">
        <v>2</v>
      </c>
      <c r="K208" s="5">
        <v>2</v>
      </c>
      <c r="L208" s="4">
        <v>10200</v>
      </c>
      <c r="M208" s="4">
        <v>8160</v>
      </c>
      <c r="N208" s="4">
        <v>5100</v>
      </c>
      <c r="O208" s="6">
        <f>IFERROR(1-N208/M208,"-")</f>
        <v>0.375</v>
      </c>
      <c r="P208" s="4" t="s">
        <v>462</v>
      </c>
      <c r="Q208" s="4" t="s">
        <v>462</v>
      </c>
      <c r="R208" s="4" t="s">
        <v>462</v>
      </c>
      <c r="S208" s="4">
        <v>1200</v>
      </c>
      <c r="T208" s="4">
        <f>IF(W208="",S208,S208*W208)</f>
        <v>12000</v>
      </c>
      <c r="U208" s="4">
        <v>600</v>
      </c>
      <c r="V208" s="4">
        <f>IF(W208="",U208,U208*W208)</f>
        <v>6000</v>
      </c>
      <c r="W208" s="4">
        <v>10</v>
      </c>
      <c r="X208" s="21">
        <f>ROUND(M208*AL208,0)</f>
        <v>9600</v>
      </c>
      <c r="Y208" s="6">
        <f>IFERROR(1-V208/X208,"-")</f>
        <v>0.375</v>
      </c>
      <c r="Z208" s="33">
        <v>0</v>
      </c>
      <c r="AA208" s="4">
        <f>AV208</f>
        <v>8250</v>
      </c>
      <c r="AB208" s="33">
        <f>IFERROR(AA208*AL208,"-")</f>
        <v>9705.8823529411766</v>
      </c>
      <c r="AC208" s="6">
        <f>IFERROR(1-V208/AB208,"-")</f>
        <v>0.38181818181818183</v>
      </c>
      <c r="AD208" s="7">
        <v>9600</v>
      </c>
      <c r="AE208" s="6">
        <f>1-V208/AD208</f>
        <v>0.375</v>
      </c>
      <c r="AF208" s="4">
        <f>AD208-V208</f>
        <v>3600</v>
      </c>
      <c r="AG208" s="28"/>
      <c r="AH208" s="6"/>
      <c r="AI208" s="6"/>
      <c r="AJ208" s="6">
        <f>IFERROR(T208/L208,"-")</f>
        <v>1.1764705882352942</v>
      </c>
      <c r="AK208" s="6">
        <f>IFERROR(AD208/M208,"-")</f>
        <v>1.1764705882352942</v>
      </c>
      <c r="AL208" s="6">
        <f>IFERROR(V208/N208,"-")</f>
        <v>1.1764705882352942</v>
      </c>
      <c r="AM208" s="4" t="str">
        <f t="shared" si="15"/>
        <v>-</v>
      </c>
      <c r="AN208" s="4" t="str">
        <f t="shared" si="16"/>
        <v>-</v>
      </c>
      <c r="AO208" s="4" t="str">
        <f t="shared" si="17"/>
        <v>-</v>
      </c>
      <c r="AP208" s="4">
        <v>0</v>
      </c>
      <c r="AQ208" s="4" t="s">
        <v>908</v>
      </c>
      <c r="AR208" s="4">
        <v>10</v>
      </c>
      <c r="AS208" s="4">
        <v>1</v>
      </c>
      <c r="AT208" s="4" t="s">
        <v>887</v>
      </c>
      <c r="AU208" s="4">
        <v>825</v>
      </c>
      <c r="AV208" s="4">
        <f>IF(AR208="",AU208,AR208/AS208*AU208)</f>
        <v>8250</v>
      </c>
      <c r="AW208" s="19">
        <v>8</v>
      </c>
      <c r="AX208" s="19">
        <v>8</v>
      </c>
      <c r="AY208" s="16">
        <v>5</v>
      </c>
      <c r="AZ208">
        <v>714</v>
      </c>
      <c r="BA208">
        <f t="shared" si="18"/>
        <v>840</v>
      </c>
      <c r="BB208" t="s">
        <v>462</v>
      </c>
      <c r="BC208" t="str">
        <f t="shared" si="19"/>
        <v>-</v>
      </c>
      <c r="BD208" t="s">
        <v>657</v>
      </c>
    </row>
    <row r="209" spans="1:56" x14ac:dyDescent="0.4">
      <c r="A209" s="3">
        <v>20</v>
      </c>
      <c r="B209" s="3">
        <v>20</v>
      </c>
      <c r="C209" s="4">
        <v>411750</v>
      </c>
      <c r="D209" s="4" t="str">
        <f>TEXT(C209,"000000")</f>
        <v>411750</v>
      </c>
      <c r="E209" s="4">
        <v>411750</v>
      </c>
      <c r="F209" s="4" t="s">
        <v>222</v>
      </c>
      <c r="G209" s="5">
        <v>4901881152368</v>
      </c>
      <c r="H209" s="5"/>
      <c r="I209" s="5"/>
      <c r="J209" s="5">
        <v>1</v>
      </c>
      <c r="K209" s="5">
        <v>1</v>
      </c>
      <c r="L209" s="4">
        <v>10200</v>
      </c>
      <c r="M209" s="4">
        <v>8160</v>
      </c>
      <c r="N209" s="4">
        <v>5100</v>
      </c>
      <c r="O209" s="6">
        <f>IFERROR(1-N209/M209,"-")</f>
        <v>0.375</v>
      </c>
      <c r="P209" s="4" t="s">
        <v>462</v>
      </c>
      <c r="Q209" s="4" t="s">
        <v>462</v>
      </c>
      <c r="R209" s="4" t="s">
        <v>462</v>
      </c>
      <c r="S209" s="4">
        <v>1200</v>
      </c>
      <c r="T209" s="4">
        <f>IF(W209="",S209,S209*W209)</f>
        <v>12000</v>
      </c>
      <c r="U209" s="4">
        <v>600</v>
      </c>
      <c r="V209" s="4">
        <f>IF(W209="",U209,U209*W209)</f>
        <v>6000</v>
      </c>
      <c r="W209" s="4">
        <v>10</v>
      </c>
      <c r="X209" s="21">
        <f>ROUND(M209*AL209,0)</f>
        <v>9600</v>
      </c>
      <c r="Y209" s="6">
        <f>IFERROR(1-V209/X209,"-")</f>
        <v>0.375</v>
      </c>
      <c r="Z209" s="33">
        <v>0</v>
      </c>
      <c r="AA209" s="4" t="str">
        <f>AV209</f>
        <v>-</v>
      </c>
      <c r="AB209" s="33" t="str">
        <f>IFERROR(AA209*AL209,"-")</f>
        <v>-</v>
      </c>
      <c r="AC209" s="6" t="str">
        <f>IFERROR(1-V209/AB209,"-")</f>
        <v>-</v>
      </c>
      <c r="AD209" s="7">
        <v>9600</v>
      </c>
      <c r="AE209" s="6">
        <f>1-V209/AD209</f>
        <v>0.375</v>
      </c>
      <c r="AF209" s="4">
        <f>AD209-V209</f>
        <v>3600</v>
      </c>
      <c r="AG209" s="28"/>
      <c r="AH209" s="6"/>
      <c r="AI209" s="6"/>
      <c r="AJ209" s="6">
        <f>IFERROR(T209/L209,"-")</f>
        <v>1.1764705882352942</v>
      </c>
      <c r="AK209" s="6">
        <f>IFERROR(AD209/M209,"-")</f>
        <v>1.1764705882352942</v>
      </c>
      <c r="AL209" s="6">
        <f>IFERROR(V209/N209,"-")</f>
        <v>1.1764705882352942</v>
      </c>
      <c r="AM209" s="4" t="str">
        <f t="shared" si="15"/>
        <v>-</v>
      </c>
      <c r="AN209" s="4" t="str">
        <f t="shared" si="16"/>
        <v>-</v>
      </c>
      <c r="AO209" s="4" t="str">
        <f t="shared" si="17"/>
        <v>-</v>
      </c>
      <c r="AP209" s="4">
        <v>0</v>
      </c>
      <c r="AQ209" s="4" t="s">
        <v>462</v>
      </c>
      <c r="AR209" s="4"/>
      <c r="AS209" s="4"/>
      <c r="AT209" s="4" t="s">
        <v>462</v>
      </c>
      <c r="AU209" s="4" t="s">
        <v>462</v>
      </c>
      <c r="AV209" s="4" t="str">
        <f>IF(AR209="",AU209,AR209/AS209*AU209)</f>
        <v>-</v>
      </c>
      <c r="AW209" s="19">
        <v>8</v>
      </c>
      <c r="AX209" s="19">
        <v>8</v>
      </c>
      <c r="AY209" s="16">
        <v>5</v>
      </c>
      <c r="AZ209" t="s">
        <v>462</v>
      </c>
      <c r="BA209" t="str">
        <f t="shared" si="18"/>
        <v>-</v>
      </c>
      <c r="BB209">
        <v>7800</v>
      </c>
      <c r="BC209">
        <f t="shared" si="19"/>
        <v>9176.4705882352937</v>
      </c>
      <c r="BD209" t="s">
        <v>462</v>
      </c>
    </row>
    <row r="210" spans="1:56" x14ac:dyDescent="0.4">
      <c r="A210" s="3">
        <v>35</v>
      </c>
      <c r="B210" s="3">
        <v>35</v>
      </c>
      <c r="C210" s="4">
        <v>609610</v>
      </c>
      <c r="D210" s="4" t="str">
        <f>TEXT(C210,"000000")</f>
        <v>609610</v>
      </c>
      <c r="E210" s="4">
        <v>609610</v>
      </c>
      <c r="F210" s="4" t="s">
        <v>237</v>
      </c>
      <c r="G210" s="5">
        <v>4901881155734</v>
      </c>
      <c r="H210" s="5"/>
      <c r="I210" s="5"/>
      <c r="J210" s="5">
        <v>1</v>
      </c>
      <c r="K210" s="5">
        <v>1</v>
      </c>
      <c r="L210" s="4">
        <v>1020</v>
      </c>
      <c r="M210" s="4">
        <v>838</v>
      </c>
      <c r="N210" s="4">
        <v>510</v>
      </c>
      <c r="O210" s="6">
        <f>IFERROR(1-N210/M210,"-")</f>
        <v>0.39140811455847258</v>
      </c>
      <c r="P210" s="4" t="s">
        <v>462</v>
      </c>
      <c r="Q210" s="4" t="s">
        <v>462</v>
      </c>
      <c r="R210" s="4" t="s">
        <v>462</v>
      </c>
      <c r="S210" s="4">
        <v>1200</v>
      </c>
      <c r="T210" s="4">
        <f>IF(W210="",S210,S210*W210)</f>
        <v>1200</v>
      </c>
      <c r="U210" s="4">
        <v>600</v>
      </c>
      <c r="V210" s="4">
        <f>IF(W210="",U210,U210*W210)</f>
        <v>600</v>
      </c>
      <c r="W210" s="4"/>
      <c r="X210" s="21">
        <f>ROUND(M210*AL210,0)</f>
        <v>986</v>
      </c>
      <c r="Y210" s="6">
        <f>IFERROR(1-V210/X210,"-")</f>
        <v>0.39148073022312369</v>
      </c>
      <c r="Z210" s="33">
        <v>5.25</v>
      </c>
      <c r="AA210" s="4">
        <f>AV210</f>
        <v>680</v>
      </c>
      <c r="AB210" s="33">
        <f>IFERROR(AA210*AL210,"-")</f>
        <v>800</v>
      </c>
      <c r="AC210" s="6">
        <f>IFERROR(1-V210/AB210,"-")</f>
        <v>0.25</v>
      </c>
      <c r="AD210" s="7">
        <v>950</v>
      </c>
      <c r="AE210" s="6">
        <f>1-V210/AD210</f>
        <v>0.36842105263157898</v>
      </c>
      <c r="AF210" s="4">
        <f>AD210-V210</f>
        <v>350</v>
      </c>
      <c r="AG210" s="28"/>
      <c r="AH210" s="6"/>
      <c r="AI210" s="6"/>
      <c r="AJ210" s="6">
        <f>IFERROR(T210/L210,"-")</f>
        <v>1.1764705882352942</v>
      </c>
      <c r="AK210" s="6">
        <f>IFERROR(AD210/M210,"-")</f>
        <v>1.1336515513126493</v>
      </c>
      <c r="AL210" s="6">
        <f>IFERROR(V210/N210,"-")</f>
        <v>1.1764705882352942</v>
      </c>
      <c r="AM210" s="4" t="str">
        <f t="shared" si="15"/>
        <v>-</v>
      </c>
      <c r="AN210" s="4" t="str">
        <f t="shared" si="16"/>
        <v>-</v>
      </c>
      <c r="AO210" s="4" t="str">
        <f t="shared" si="17"/>
        <v>-</v>
      </c>
      <c r="AP210" s="49" t="s">
        <v>456</v>
      </c>
      <c r="AQ210" s="4" t="s">
        <v>909</v>
      </c>
      <c r="AR210" s="4"/>
      <c r="AS210" s="4"/>
      <c r="AT210" s="4" t="s">
        <v>910</v>
      </c>
      <c r="AU210" s="4">
        <v>680</v>
      </c>
      <c r="AV210" s="4">
        <f>IF(AR210="",AU210,AR210/AS210*AU210)</f>
        <v>680</v>
      </c>
      <c r="AW210" s="19">
        <v>4</v>
      </c>
      <c r="AX210" s="19">
        <v>1</v>
      </c>
      <c r="AY210" s="16">
        <v>5</v>
      </c>
      <c r="AZ210">
        <v>765</v>
      </c>
      <c r="BA210">
        <f t="shared" si="18"/>
        <v>900</v>
      </c>
      <c r="BB210">
        <v>817</v>
      </c>
      <c r="BC210">
        <f t="shared" si="19"/>
        <v>961.17647058823536</v>
      </c>
      <c r="BD210" t="s">
        <v>658</v>
      </c>
    </row>
    <row r="211" spans="1:56" x14ac:dyDescent="0.4">
      <c r="A211" s="3">
        <v>82</v>
      </c>
      <c r="B211" s="3">
        <v>82</v>
      </c>
      <c r="C211" s="4">
        <v>690789</v>
      </c>
      <c r="D211" s="4" t="str">
        <f>TEXT(C211,"000000")</f>
        <v>690789</v>
      </c>
      <c r="E211" s="4">
        <v>690789</v>
      </c>
      <c r="F211" s="4" t="s">
        <v>284</v>
      </c>
      <c r="G211" s="5">
        <v>4901881834523</v>
      </c>
      <c r="H211" s="5"/>
      <c r="I211" s="5"/>
      <c r="J211" s="5">
        <v>1</v>
      </c>
      <c r="K211" s="5">
        <v>1</v>
      </c>
      <c r="L211" s="4">
        <v>1110</v>
      </c>
      <c r="M211" s="4">
        <v>707</v>
      </c>
      <c r="N211" s="4">
        <v>555</v>
      </c>
      <c r="O211" s="6">
        <f>IFERROR(1-N211/M211,"-")</f>
        <v>0.21499292786421498</v>
      </c>
      <c r="P211" s="4" t="s">
        <v>462</v>
      </c>
      <c r="Q211" s="4" t="s">
        <v>462</v>
      </c>
      <c r="R211" s="4" t="s">
        <v>462</v>
      </c>
      <c r="S211" s="4">
        <v>1200</v>
      </c>
      <c r="T211" s="4">
        <f>IF(W211="",S211,S211*W211)</f>
        <v>1200</v>
      </c>
      <c r="U211" s="4">
        <v>600</v>
      </c>
      <c r="V211" s="4">
        <f>IF(W211="",U211,U211*W211)</f>
        <v>600</v>
      </c>
      <c r="W211" s="4"/>
      <c r="X211" s="21">
        <f>ROUND(M211*AL211,0)</f>
        <v>764</v>
      </c>
      <c r="Y211" s="6">
        <f>IFERROR(1-V211/X211,"-")</f>
        <v>0.21465968586387429</v>
      </c>
      <c r="Z211" s="33">
        <v>0.5</v>
      </c>
      <c r="AA211" s="4">
        <f>AV211</f>
        <v>1110</v>
      </c>
      <c r="AB211" s="33">
        <f>IFERROR(AA211*AL211,"-")</f>
        <v>1200</v>
      </c>
      <c r="AC211" s="6">
        <f>IFERROR(1-V211/AB211,"-")</f>
        <v>0.5</v>
      </c>
      <c r="AD211" s="7">
        <v>1000</v>
      </c>
      <c r="AE211" s="6">
        <f>1-V211/AD211</f>
        <v>0.4</v>
      </c>
      <c r="AF211" s="4">
        <f>AD211-V211</f>
        <v>400</v>
      </c>
      <c r="AG211" s="28"/>
      <c r="AH211" s="6"/>
      <c r="AI211" s="6"/>
      <c r="AJ211" s="6">
        <f>IFERROR(T211/L211,"-")</f>
        <v>1.0810810810810811</v>
      </c>
      <c r="AK211" s="6">
        <f>IFERROR(AD211/M211,"-")</f>
        <v>1.4144271570014144</v>
      </c>
      <c r="AL211" s="6">
        <f>IFERROR(V211/N211,"-")</f>
        <v>1.0810810810810811</v>
      </c>
      <c r="AM211" s="4" t="str">
        <f t="shared" si="15"/>
        <v>-</v>
      </c>
      <c r="AN211" s="4" t="str">
        <f t="shared" si="16"/>
        <v>-</v>
      </c>
      <c r="AO211" s="4" t="str">
        <f t="shared" si="17"/>
        <v>-</v>
      </c>
      <c r="AP211" s="4">
        <v>0</v>
      </c>
      <c r="AQ211" s="4" t="s">
        <v>911</v>
      </c>
      <c r="AR211" s="4">
        <v>1</v>
      </c>
      <c r="AS211" s="4">
        <v>2</v>
      </c>
      <c r="AT211" s="4" t="s">
        <v>870</v>
      </c>
      <c r="AU211" s="4">
        <v>2220</v>
      </c>
      <c r="AV211" s="4">
        <f>IF(AR211="",AU211,AR211/AS211*AU211)</f>
        <v>1110</v>
      </c>
      <c r="AW211" s="19">
        <v>4</v>
      </c>
      <c r="AX211" s="19">
        <v>8</v>
      </c>
      <c r="AY211" s="16">
        <v>5</v>
      </c>
      <c r="AZ211" t="s">
        <v>462</v>
      </c>
      <c r="BA211" t="str">
        <f t="shared" si="18"/>
        <v>-</v>
      </c>
      <c r="BB211">
        <v>1055</v>
      </c>
      <c r="BC211">
        <f t="shared" si="19"/>
        <v>1140.5405405405406</v>
      </c>
      <c r="BD211" t="s">
        <v>659</v>
      </c>
    </row>
    <row r="212" spans="1:56" x14ac:dyDescent="0.4">
      <c r="A212" s="3">
        <v>107</v>
      </c>
      <c r="B212" s="3">
        <v>107</v>
      </c>
      <c r="C212" s="4" t="s">
        <v>75</v>
      </c>
      <c r="D212" s="4" t="str">
        <f>TEXT(C212,"000000")</f>
        <v>J74473</v>
      </c>
      <c r="E212" s="4" t="s">
        <v>75</v>
      </c>
      <c r="F212" s="4" t="s">
        <v>309</v>
      </c>
      <c r="G212" s="5">
        <v>4901881288029</v>
      </c>
      <c r="H212" s="5"/>
      <c r="I212" s="5"/>
      <c r="J212" s="5">
        <v>1</v>
      </c>
      <c r="K212" s="5">
        <v>1</v>
      </c>
      <c r="L212" s="4">
        <v>1080</v>
      </c>
      <c r="M212" s="4">
        <v>826</v>
      </c>
      <c r="N212" s="4">
        <v>540</v>
      </c>
      <c r="O212" s="6">
        <f>IFERROR(1-N212/M212,"-")</f>
        <v>0.34624697336561738</v>
      </c>
      <c r="P212" s="4" t="s">
        <v>462</v>
      </c>
      <c r="Q212" s="4" t="s">
        <v>462</v>
      </c>
      <c r="R212" s="4" t="s">
        <v>462</v>
      </c>
      <c r="S212" s="4">
        <v>1200</v>
      </c>
      <c r="T212" s="4">
        <f>IF(W212="",S212,S212*W212)</f>
        <v>1200</v>
      </c>
      <c r="U212" s="4">
        <v>600</v>
      </c>
      <c r="V212" s="4">
        <f>IF(W212="",U212,U212*W212)</f>
        <v>600</v>
      </c>
      <c r="W212" s="4"/>
      <c r="X212" s="21">
        <f>ROUND(M212*AL212,0)</f>
        <v>918</v>
      </c>
      <c r="Y212" s="6">
        <f>IFERROR(1-V212/X212,"-")</f>
        <v>0.34640522875816993</v>
      </c>
      <c r="Z212" s="33">
        <v>2.25</v>
      </c>
      <c r="AA212" s="4">
        <f>AV212</f>
        <v>1080</v>
      </c>
      <c r="AB212" s="33">
        <f>IFERROR(AA212*AL212,"-")</f>
        <v>1200</v>
      </c>
      <c r="AC212" s="6">
        <f>IFERROR(1-V212/AB212,"-")</f>
        <v>0.5</v>
      </c>
      <c r="AD212" s="7">
        <v>1000</v>
      </c>
      <c r="AE212" s="6">
        <f>1-V212/AD212</f>
        <v>0.4</v>
      </c>
      <c r="AF212" s="4">
        <f>AD212-V212</f>
        <v>400</v>
      </c>
      <c r="AG212" s="28"/>
      <c r="AH212" s="6"/>
      <c r="AI212" s="6"/>
      <c r="AJ212" s="6">
        <f>IFERROR(T212/L212,"-")</f>
        <v>1.1111111111111112</v>
      </c>
      <c r="AK212" s="6">
        <f>IFERROR(AD212/M212,"-")</f>
        <v>1.2106537530266344</v>
      </c>
      <c r="AL212" s="6">
        <f>IFERROR(V212/N212,"-")</f>
        <v>1.1111111111111112</v>
      </c>
      <c r="AM212" s="4" t="str">
        <f t="shared" si="15"/>
        <v>-</v>
      </c>
      <c r="AN212" s="4" t="str">
        <f t="shared" si="16"/>
        <v>-</v>
      </c>
      <c r="AO212" s="4" t="str">
        <f t="shared" si="17"/>
        <v>-</v>
      </c>
      <c r="AP212" s="4">
        <v>0</v>
      </c>
      <c r="AQ212" s="4" t="s">
        <v>912</v>
      </c>
      <c r="AR212" s="4"/>
      <c r="AS212" s="4"/>
      <c r="AT212" s="4" t="s">
        <v>913</v>
      </c>
      <c r="AU212" s="4">
        <v>1080</v>
      </c>
      <c r="AV212" s="4">
        <f>IF(AR212="",AU212,AR212/AS212*AU212)</f>
        <v>1080</v>
      </c>
      <c r="AW212" s="19">
        <v>4</v>
      </c>
      <c r="AX212" s="19">
        <v>8</v>
      </c>
      <c r="AY212" s="16">
        <v>5</v>
      </c>
      <c r="AZ212" t="s">
        <v>462</v>
      </c>
      <c r="BA212" t="str">
        <f t="shared" si="18"/>
        <v>-</v>
      </c>
      <c r="BB212">
        <v>1080</v>
      </c>
      <c r="BC212">
        <f t="shared" si="19"/>
        <v>1200</v>
      </c>
      <c r="BD212" t="s">
        <v>660</v>
      </c>
    </row>
    <row r="213" spans="1:56" x14ac:dyDescent="0.4">
      <c r="A213" s="3">
        <v>37</v>
      </c>
      <c r="B213" s="3">
        <v>37</v>
      </c>
      <c r="C213" s="46">
        <v>623015</v>
      </c>
      <c r="D213" s="4" t="str">
        <f>TEXT(C213,"000000")</f>
        <v>623015</v>
      </c>
      <c r="E213" s="4">
        <v>623015</v>
      </c>
      <c r="F213" s="4" t="s">
        <v>239</v>
      </c>
      <c r="G213" s="5">
        <v>4901881810077</v>
      </c>
      <c r="H213" s="5"/>
      <c r="I213" s="5"/>
      <c r="J213" s="5">
        <v>2</v>
      </c>
      <c r="K213" s="5">
        <v>2</v>
      </c>
      <c r="L213" s="4">
        <v>1120</v>
      </c>
      <c r="M213" s="4">
        <v>864</v>
      </c>
      <c r="N213" s="4">
        <v>560</v>
      </c>
      <c r="O213" s="6">
        <f>IFERROR(1-N213/M213,"-")</f>
        <v>0.35185185185185186</v>
      </c>
      <c r="P213" s="4" t="s">
        <v>462</v>
      </c>
      <c r="Q213" s="4" t="s">
        <v>462</v>
      </c>
      <c r="R213" s="4" t="s">
        <v>462</v>
      </c>
      <c r="S213" s="4">
        <v>1300</v>
      </c>
      <c r="T213" s="4">
        <f>IF(W213="",S213,S213*W213)</f>
        <v>1300</v>
      </c>
      <c r="U213" s="4">
        <v>650</v>
      </c>
      <c r="V213" s="4">
        <f>IF(W213="",U213,U213*W213)</f>
        <v>650</v>
      </c>
      <c r="W213" s="4"/>
      <c r="X213" s="21">
        <f>ROUND(M213*AL213,0)</f>
        <v>1003</v>
      </c>
      <c r="Y213" s="6">
        <f>IFERROR(1-V213/X213,"-")</f>
        <v>0.35194416749750745</v>
      </c>
      <c r="Z213" s="33">
        <v>14.249999999999998</v>
      </c>
      <c r="AA213" s="4">
        <f>AV213</f>
        <v>711</v>
      </c>
      <c r="AB213" s="33">
        <f>IFERROR(AA213*AL213,"-")</f>
        <v>825.26785714285722</v>
      </c>
      <c r="AC213" s="6">
        <f>IFERROR(1-V213/AB213,"-")</f>
        <v>0.21237693389592127</v>
      </c>
      <c r="AD213" s="7">
        <v>1000</v>
      </c>
      <c r="AE213" s="6">
        <f>1-V213/AD213</f>
        <v>0.35</v>
      </c>
      <c r="AF213" s="4">
        <f>AD213-V213</f>
        <v>350</v>
      </c>
      <c r="AG213" s="28"/>
      <c r="AH213" s="6"/>
      <c r="AI213" s="6"/>
      <c r="AJ213" s="6">
        <f>IFERROR(T213/L213,"-")</f>
        <v>1.1607142857142858</v>
      </c>
      <c r="AK213" s="6">
        <f>IFERROR(AD213/M213,"-")</f>
        <v>1.1574074074074074</v>
      </c>
      <c r="AL213" s="6">
        <f>IFERROR(V213/N213,"-")</f>
        <v>1.1607142857142858</v>
      </c>
      <c r="AM213" s="4" t="str">
        <f t="shared" si="15"/>
        <v>-</v>
      </c>
      <c r="AN213" s="4" t="str">
        <f t="shared" si="16"/>
        <v>-</v>
      </c>
      <c r="AO213" s="4" t="str">
        <f t="shared" si="17"/>
        <v>-</v>
      </c>
      <c r="AP213" s="49" t="s">
        <v>458</v>
      </c>
      <c r="AQ213" s="4" t="s">
        <v>914</v>
      </c>
      <c r="AR213" s="4"/>
      <c r="AS213" s="4"/>
      <c r="AT213" s="4" t="s">
        <v>910</v>
      </c>
      <c r="AU213" s="4">
        <v>711</v>
      </c>
      <c r="AV213" s="4">
        <f>IF(AR213="",AU213,AR213/AS213*AU213)</f>
        <v>711</v>
      </c>
      <c r="AW213" s="19">
        <v>4</v>
      </c>
      <c r="AX213" s="19">
        <v>1</v>
      </c>
      <c r="AY213" s="16">
        <v>5</v>
      </c>
      <c r="AZ213">
        <v>840</v>
      </c>
      <c r="BA213">
        <f t="shared" si="18"/>
        <v>975.00000000000011</v>
      </c>
      <c r="BB213">
        <v>1067</v>
      </c>
      <c r="BC213">
        <f t="shared" si="19"/>
        <v>1238.4821428571429</v>
      </c>
      <c r="BD213" t="s">
        <v>661</v>
      </c>
    </row>
    <row r="214" spans="1:56" x14ac:dyDescent="0.4">
      <c r="A214" s="3">
        <v>239</v>
      </c>
      <c r="B214" s="3">
        <v>37</v>
      </c>
      <c r="C214" s="46">
        <v>623015</v>
      </c>
      <c r="D214" s="4" t="str">
        <f>TEXT(C214,"000000")</f>
        <v>623015</v>
      </c>
      <c r="E214" s="4" t="s">
        <v>439</v>
      </c>
      <c r="F214" s="33" t="s">
        <v>448</v>
      </c>
      <c r="G214" s="5">
        <v>4901881810077</v>
      </c>
      <c r="H214" s="5">
        <v>8</v>
      </c>
      <c r="I214" s="5" t="str">
        <f>C214&amp;H214</f>
        <v>6230158</v>
      </c>
      <c r="J214" s="5"/>
      <c r="K214" s="5"/>
      <c r="L214" s="4">
        <v>5600</v>
      </c>
      <c r="M214" s="4">
        <v>4030</v>
      </c>
      <c r="N214" s="4">
        <v>2800</v>
      </c>
      <c r="O214" s="6">
        <f>IFERROR(1-N214/M214,"-")</f>
        <v>0.30521091811414391</v>
      </c>
      <c r="P214" s="4" t="s">
        <v>462</v>
      </c>
      <c r="Q214" s="4" t="s">
        <v>462</v>
      </c>
      <c r="R214" s="4" t="s">
        <v>462</v>
      </c>
      <c r="S214" s="4">
        <v>1300</v>
      </c>
      <c r="T214" s="4">
        <f>IF(W214="",S214,S214*W214)</f>
        <v>6500</v>
      </c>
      <c r="U214" s="4">
        <v>650</v>
      </c>
      <c r="V214" s="4">
        <f>IF(W214="",U214,U214*W214)</f>
        <v>3250</v>
      </c>
      <c r="W214" s="4">
        <v>5</v>
      </c>
      <c r="X214" s="21">
        <f>ROUND(M214*AL214,0)</f>
        <v>4678</v>
      </c>
      <c r="Y214" s="6">
        <f>IFERROR(1-V214/X214,"-")</f>
        <v>0.30525865754595982</v>
      </c>
      <c r="Z214" s="33">
        <v>14.249999999999998</v>
      </c>
      <c r="AA214" s="4">
        <f>AV214</f>
        <v>3473</v>
      </c>
      <c r="AB214" s="33">
        <f>IFERROR(AA214*AL214,"-")</f>
        <v>4031.1607142857147</v>
      </c>
      <c r="AC214" s="6">
        <f>IFERROR(1-V214/AB214,"-")</f>
        <v>0.19378059314713514</v>
      </c>
      <c r="AD214" s="7">
        <v>4700</v>
      </c>
      <c r="AE214" s="6">
        <f>1-V214/AD214</f>
        <v>0.30851063829787229</v>
      </c>
      <c r="AF214" s="4">
        <f>AD214-V214</f>
        <v>1450</v>
      </c>
      <c r="AG214" s="28"/>
      <c r="AH214" s="6"/>
      <c r="AI214" s="6"/>
      <c r="AJ214" s="6">
        <f>IFERROR(T214/L214,"-")</f>
        <v>1.1607142857142858</v>
      </c>
      <c r="AK214" s="6">
        <f>IFERROR(AD214/M214,"-")</f>
        <v>1.1662531017369726</v>
      </c>
      <c r="AL214" s="6">
        <f>IFERROR(V214/N214,"-")</f>
        <v>1.1607142857142858</v>
      </c>
      <c r="AM214" s="4" t="str">
        <f t="shared" si="15"/>
        <v>-</v>
      </c>
      <c r="AN214" s="4" t="str">
        <f t="shared" si="16"/>
        <v>-</v>
      </c>
      <c r="AO214" s="4" t="str">
        <f t="shared" si="17"/>
        <v>-</v>
      </c>
      <c r="AP214" s="4">
        <v>0</v>
      </c>
      <c r="AQ214" s="4" t="s">
        <v>915</v>
      </c>
      <c r="AR214" s="4"/>
      <c r="AS214" s="4"/>
      <c r="AT214" s="4" t="s">
        <v>916</v>
      </c>
      <c r="AU214" s="4">
        <v>3473</v>
      </c>
      <c r="AV214" s="4">
        <f>IF(AR214="",AU214,AR214/AS214*AU214)</f>
        <v>3473</v>
      </c>
      <c r="AW214" s="19">
        <v>4</v>
      </c>
      <c r="AX214" s="19">
        <v>1</v>
      </c>
      <c r="AY214" s="16">
        <v>5</v>
      </c>
      <c r="AZ214">
        <v>840</v>
      </c>
      <c r="BA214">
        <f t="shared" si="18"/>
        <v>975.00000000000011</v>
      </c>
      <c r="BB214">
        <v>1067</v>
      </c>
      <c r="BC214">
        <f t="shared" si="19"/>
        <v>1238.4821428571429</v>
      </c>
      <c r="BD214" t="s">
        <v>662</v>
      </c>
    </row>
    <row r="215" spans="1:56" x14ac:dyDescent="0.4">
      <c r="A215" s="3">
        <v>100</v>
      </c>
      <c r="B215" s="3">
        <v>100</v>
      </c>
      <c r="C215" s="4" t="s">
        <v>68</v>
      </c>
      <c r="D215" s="4" t="str">
        <f>TEXT(C215,"000000")</f>
        <v>J74461</v>
      </c>
      <c r="E215" s="4" t="s">
        <v>68</v>
      </c>
      <c r="F215" s="4" t="s">
        <v>302</v>
      </c>
      <c r="G215" s="5">
        <v>4901881291586</v>
      </c>
      <c r="H215" s="5"/>
      <c r="I215" s="5"/>
      <c r="J215" s="5">
        <v>1</v>
      </c>
      <c r="K215" s="5">
        <v>1</v>
      </c>
      <c r="L215" s="4">
        <v>1220</v>
      </c>
      <c r="M215" s="4">
        <v>1035</v>
      </c>
      <c r="N215" s="4">
        <v>610</v>
      </c>
      <c r="O215" s="6">
        <f>IFERROR(1-N215/M215,"-")</f>
        <v>0.41062801932367154</v>
      </c>
      <c r="P215" s="4" t="s">
        <v>462</v>
      </c>
      <c r="Q215" s="4" t="s">
        <v>462</v>
      </c>
      <c r="R215" s="4" t="s">
        <v>462</v>
      </c>
      <c r="S215" s="4">
        <v>1300</v>
      </c>
      <c r="T215" s="4">
        <f>IF(W215="",S215,S215*W215)</f>
        <v>1300</v>
      </c>
      <c r="U215" s="4">
        <v>650</v>
      </c>
      <c r="V215" s="4">
        <f>IF(W215="",U215,U215*W215)</f>
        <v>650</v>
      </c>
      <c r="W215" s="4"/>
      <c r="X215" s="21">
        <f>ROUND(M215*AL215,0)</f>
        <v>1103</v>
      </c>
      <c r="Y215" s="6">
        <f>IFERROR(1-V215/X215,"-")</f>
        <v>0.41069809610154129</v>
      </c>
      <c r="Z215" s="33">
        <v>0.5</v>
      </c>
      <c r="AA215" s="4">
        <f>AV215</f>
        <v>1220</v>
      </c>
      <c r="AB215" s="33">
        <f>IFERROR(AA215*AL215,"-")</f>
        <v>1300</v>
      </c>
      <c r="AC215" s="6">
        <f>IFERROR(1-V215/AB215,"-")</f>
        <v>0.5</v>
      </c>
      <c r="AD215" s="7">
        <v>1100</v>
      </c>
      <c r="AE215" s="6">
        <f>1-V215/AD215</f>
        <v>0.40909090909090906</v>
      </c>
      <c r="AF215" s="4">
        <f>AD215-V215</f>
        <v>450</v>
      </c>
      <c r="AG215" s="28"/>
      <c r="AH215" s="6"/>
      <c r="AI215" s="6"/>
      <c r="AJ215" s="6">
        <f>IFERROR(T215/L215,"-")</f>
        <v>1.0655737704918034</v>
      </c>
      <c r="AK215" s="6">
        <f>IFERROR(AD215/M215,"-")</f>
        <v>1.0628019323671498</v>
      </c>
      <c r="AL215" s="6">
        <f>IFERROR(V215/N215,"-")</f>
        <v>1.0655737704918034</v>
      </c>
      <c r="AM215" s="4" t="str">
        <f t="shared" si="15"/>
        <v>-</v>
      </c>
      <c r="AN215" s="4" t="str">
        <f t="shared" si="16"/>
        <v>-</v>
      </c>
      <c r="AO215" s="4" t="str">
        <f t="shared" si="17"/>
        <v>-</v>
      </c>
      <c r="AP215" s="4">
        <v>0</v>
      </c>
      <c r="AQ215" s="4" t="s">
        <v>917</v>
      </c>
      <c r="AR215" s="4"/>
      <c r="AS215" s="4"/>
      <c r="AT215" s="4" t="s">
        <v>913</v>
      </c>
      <c r="AU215" s="4">
        <v>1220</v>
      </c>
      <c r="AV215" s="4">
        <f>IF(AR215="",AU215,AR215/AS215*AU215)</f>
        <v>1220</v>
      </c>
      <c r="AW215" s="19">
        <v>4</v>
      </c>
      <c r="AX215" s="19">
        <v>1</v>
      </c>
      <c r="AY215" s="16">
        <v>5</v>
      </c>
      <c r="AZ215">
        <v>1040</v>
      </c>
      <c r="BA215">
        <f t="shared" si="18"/>
        <v>1108.1967213114756</v>
      </c>
      <c r="BB215">
        <v>1168</v>
      </c>
      <c r="BC215">
        <f t="shared" si="19"/>
        <v>1244.5901639344263</v>
      </c>
      <c r="BD215" t="s">
        <v>663</v>
      </c>
    </row>
    <row r="216" spans="1:56" x14ac:dyDescent="0.4">
      <c r="A216" s="3">
        <v>113</v>
      </c>
      <c r="B216" s="3">
        <v>113</v>
      </c>
      <c r="C216" s="4" t="s">
        <v>81</v>
      </c>
      <c r="D216" s="4" t="str">
        <f>TEXT(C216,"000000")</f>
        <v>J74479</v>
      </c>
      <c r="E216" s="4" t="s">
        <v>81</v>
      </c>
      <c r="F216" s="4" t="s">
        <v>315</v>
      </c>
      <c r="G216" s="5">
        <v>4901881152351</v>
      </c>
      <c r="H216" s="5"/>
      <c r="I216" s="5"/>
      <c r="J216" s="5">
        <v>1</v>
      </c>
      <c r="K216" s="5">
        <v>1</v>
      </c>
      <c r="L216" s="4">
        <v>1240</v>
      </c>
      <c r="M216" s="4">
        <v>981</v>
      </c>
      <c r="N216" s="4">
        <v>620</v>
      </c>
      <c r="O216" s="6">
        <f>IFERROR(1-N216/M216,"-")</f>
        <v>0.36799184505606519</v>
      </c>
      <c r="P216" s="4" t="s">
        <v>462</v>
      </c>
      <c r="Q216" s="4" t="s">
        <v>462</v>
      </c>
      <c r="R216" s="4" t="s">
        <v>462</v>
      </c>
      <c r="S216" s="4">
        <v>1400</v>
      </c>
      <c r="T216" s="4">
        <f>IF(W216="",S216,S216*W216)</f>
        <v>1400</v>
      </c>
      <c r="U216" s="4">
        <v>700</v>
      </c>
      <c r="V216" s="4">
        <f>IF(W216="",U216,U216*W216)</f>
        <v>700</v>
      </c>
      <c r="W216" s="4"/>
      <c r="X216" s="21">
        <f>ROUND(M216*AL216,0)</f>
        <v>1108</v>
      </c>
      <c r="Y216" s="6">
        <f>IFERROR(1-V216/X216,"-")</f>
        <v>0.36823104693140796</v>
      </c>
      <c r="Z216" s="33">
        <v>4</v>
      </c>
      <c r="AA216" s="4">
        <f>AV216</f>
        <v>1046</v>
      </c>
      <c r="AB216" s="33">
        <f>IFERROR(AA216*AL216,"-")</f>
        <v>1180.9677419354839</v>
      </c>
      <c r="AC216" s="6">
        <f>IFERROR(1-V216/AB216,"-")</f>
        <v>0.40726577437858513</v>
      </c>
      <c r="AD216" s="7">
        <v>1150</v>
      </c>
      <c r="AE216" s="6">
        <f>1-V216/AD216</f>
        <v>0.39130434782608692</v>
      </c>
      <c r="AF216" s="4">
        <f>AD216-V216</f>
        <v>450</v>
      </c>
      <c r="AG216" s="28"/>
      <c r="AH216" s="6"/>
      <c r="AI216" s="6"/>
      <c r="AJ216" s="6">
        <f>IFERROR(T216/L216,"-")</f>
        <v>1.1290322580645162</v>
      </c>
      <c r="AK216" s="6">
        <f>IFERROR(AD216/M216,"-")</f>
        <v>1.1722731906218145</v>
      </c>
      <c r="AL216" s="6">
        <f>IFERROR(V216/N216,"-")</f>
        <v>1.1290322580645162</v>
      </c>
      <c r="AM216" s="4" t="str">
        <f t="shared" si="15"/>
        <v>-</v>
      </c>
      <c r="AN216" s="4" t="str">
        <f t="shared" si="16"/>
        <v>-</v>
      </c>
      <c r="AO216" s="4" t="str">
        <f t="shared" si="17"/>
        <v>-</v>
      </c>
      <c r="AP216" s="4">
        <v>0</v>
      </c>
      <c r="AQ216" s="4" t="s">
        <v>918</v>
      </c>
      <c r="AR216" s="4"/>
      <c r="AS216" s="4"/>
      <c r="AT216" s="4" t="s">
        <v>887</v>
      </c>
      <c r="AU216" s="4">
        <v>1046</v>
      </c>
      <c r="AV216" s="4">
        <f>IF(AR216="",AU216,AR216/AS216*AU216)</f>
        <v>1046</v>
      </c>
      <c r="AW216" s="19">
        <v>4</v>
      </c>
      <c r="AX216" s="19">
        <v>1</v>
      </c>
      <c r="AY216" s="16">
        <v>5</v>
      </c>
      <c r="AZ216" t="s">
        <v>462</v>
      </c>
      <c r="BA216" t="str">
        <f t="shared" si="18"/>
        <v>-</v>
      </c>
      <c r="BB216" t="s">
        <v>462</v>
      </c>
      <c r="BC216" t="str">
        <f t="shared" si="19"/>
        <v>-</v>
      </c>
      <c r="BD216" t="s">
        <v>664</v>
      </c>
    </row>
    <row r="217" spans="1:56" x14ac:dyDescent="0.4">
      <c r="A217" s="3">
        <v>115</v>
      </c>
      <c r="B217" s="3">
        <v>115</v>
      </c>
      <c r="C217" s="4" t="s">
        <v>83</v>
      </c>
      <c r="D217" s="4" t="str">
        <f>TEXT(C217,"000000")</f>
        <v>J74482</v>
      </c>
      <c r="E217" s="4" t="s">
        <v>83</v>
      </c>
      <c r="F217" s="4" t="s">
        <v>317</v>
      </c>
      <c r="G217" s="5">
        <v>4901881180545</v>
      </c>
      <c r="H217" s="5"/>
      <c r="I217" s="5"/>
      <c r="J217" s="5">
        <v>1</v>
      </c>
      <c r="K217" s="5">
        <v>1</v>
      </c>
      <c r="L217" s="4">
        <v>1200</v>
      </c>
      <c r="M217" s="4">
        <v>773</v>
      </c>
      <c r="N217" s="4">
        <v>600</v>
      </c>
      <c r="O217" s="6">
        <f>IFERROR(1-N217/M217,"-")</f>
        <v>0.22380336351875807</v>
      </c>
      <c r="P217" s="4" t="s">
        <v>462</v>
      </c>
      <c r="Q217" s="4" t="s">
        <v>462</v>
      </c>
      <c r="R217" s="4" t="s">
        <v>462</v>
      </c>
      <c r="S217" s="4">
        <v>1400</v>
      </c>
      <c r="T217" s="4">
        <f>IF(W217="",S217,S217*W217)</f>
        <v>1400</v>
      </c>
      <c r="U217" s="4">
        <v>700</v>
      </c>
      <c r="V217" s="4">
        <f>IF(W217="",U217,U217*W217)</f>
        <v>700</v>
      </c>
      <c r="W217" s="4"/>
      <c r="X217" s="21">
        <f>ROUND(M217*AL217,0)</f>
        <v>902</v>
      </c>
      <c r="Y217" s="6">
        <f>IFERROR(1-V217/X217,"-")</f>
        <v>0.22394678492239473</v>
      </c>
      <c r="Z217" s="33">
        <v>15.5</v>
      </c>
      <c r="AA217" s="4">
        <f>AV217</f>
        <v>1200</v>
      </c>
      <c r="AB217" s="33">
        <f>IFERROR(AA217*AL217,"-")</f>
        <v>1400</v>
      </c>
      <c r="AC217" s="6">
        <f>IFERROR(1-V217/AB217,"-")</f>
        <v>0.5</v>
      </c>
      <c r="AD217" s="7">
        <v>1150</v>
      </c>
      <c r="AE217" s="6">
        <f>1-V217/AD217</f>
        <v>0.39130434782608692</v>
      </c>
      <c r="AF217" s="4">
        <f>AD217-V217</f>
        <v>450</v>
      </c>
      <c r="AG217" s="28"/>
      <c r="AH217" s="6"/>
      <c r="AI217" s="6"/>
      <c r="AJ217" s="6">
        <f>IFERROR(T217/L217,"-")</f>
        <v>1.1666666666666667</v>
      </c>
      <c r="AK217" s="6">
        <f>IFERROR(AD217/M217,"-")</f>
        <v>1.4877102199223804</v>
      </c>
      <c r="AL217" s="6">
        <f>IFERROR(V217/N217,"-")</f>
        <v>1.1666666666666667</v>
      </c>
      <c r="AM217" s="4" t="str">
        <f t="shared" si="15"/>
        <v>-</v>
      </c>
      <c r="AN217" s="4" t="str">
        <f t="shared" si="16"/>
        <v>-</v>
      </c>
      <c r="AO217" s="4" t="str">
        <f t="shared" si="17"/>
        <v>-</v>
      </c>
      <c r="AP217" s="4">
        <v>0</v>
      </c>
      <c r="AQ217" s="4" t="s">
        <v>919</v>
      </c>
      <c r="AR217" s="4"/>
      <c r="AS217" s="4"/>
      <c r="AT217" s="4" t="s">
        <v>693</v>
      </c>
      <c r="AU217" s="4">
        <v>1200</v>
      </c>
      <c r="AV217" s="4">
        <f>IF(AR217="",AU217,AR217/AS217*AU217)</f>
        <v>1200</v>
      </c>
      <c r="AW217" s="19">
        <v>4</v>
      </c>
      <c r="AX217" s="19">
        <v>1</v>
      </c>
      <c r="AY217" s="16">
        <v>5</v>
      </c>
      <c r="AZ217" t="s">
        <v>462</v>
      </c>
      <c r="BA217" t="str">
        <f t="shared" si="18"/>
        <v>-</v>
      </c>
      <c r="BB217">
        <v>1200</v>
      </c>
      <c r="BC217">
        <f t="shared" si="19"/>
        <v>1400</v>
      </c>
      <c r="BD217" t="s">
        <v>665</v>
      </c>
    </row>
    <row r="218" spans="1:56" x14ac:dyDescent="0.4">
      <c r="A218" s="3">
        <v>124</v>
      </c>
      <c r="B218" s="3">
        <v>124</v>
      </c>
      <c r="C218" s="4" t="s">
        <v>92</v>
      </c>
      <c r="D218" s="4" t="str">
        <f>TEXT(C218,"000000")</f>
        <v>J74492</v>
      </c>
      <c r="E218" s="4" t="s">
        <v>92</v>
      </c>
      <c r="F218" s="4" t="s">
        <v>326</v>
      </c>
      <c r="G218" s="5">
        <v>4901881152375</v>
      </c>
      <c r="H218" s="5"/>
      <c r="I218" s="5"/>
      <c r="J218" s="5">
        <v>1</v>
      </c>
      <c r="K218" s="5">
        <v>1</v>
      </c>
      <c r="L218" s="4">
        <v>1240</v>
      </c>
      <c r="M218" s="4">
        <v>784</v>
      </c>
      <c r="N218" s="4">
        <v>620</v>
      </c>
      <c r="O218" s="6">
        <f>IFERROR(1-N218/M218,"-")</f>
        <v>0.20918367346938771</v>
      </c>
      <c r="P218" s="4" t="s">
        <v>462</v>
      </c>
      <c r="Q218" s="4" t="s">
        <v>462</v>
      </c>
      <c r="R218" s="4" t="s">
        <v>462</v>
      </c>
      <c r="S218" s="4">
        <v>1400</v>
      </c>
      <c r="T218" s="4">
        <f>IF(W218="",S218,S218*W218)</f>
        <v>1400</v>
      </c>
      <c r="U218" s="4">
        <v>700</v>
      </c>
      <c r="V218" s="4">
        <f>IF(W218="",U218,U218*W218)</f>
        <v>700</v>
      </c>
      <c r="W218" s="4"/>
      <c r="X218" s="21">
        <f>ROUND(M218*AL218,0)</f>
        <v>885</v>
      </c>
      <c r="Y218" s="6">
        <f>IFERROR(1-V218/X218,"-")</f>
        <v>0.20903954802259883</v>
      </c>
      <c r="Z218" s="33">
        <v>1</v>
      </c>
      <c r="AA218" s="4">
        <f>AV218</f>
        <v>1035</v>
      </c>
      <c r="AB218" s="33">
        <f>IFERROR(AA218*AL218,"-")</f>
        <v>1168.5483870967744</v>
      </c>
      <c r="AC218" s="6">
        <f>IFERROR(1-V218/AB218,"-")</f>
        <v>0.40096618357487934</v>
      </c>
      <c r="AD218" s="7">
        <v>1150</v>
      </c>
      <c r="AE218" s="6">
        <f>1-V218/AD218</f>
        <v>0.39130434782608692</v>
      </c>
      <c r="AF218" s="4">
        <f>AD218-V218</f>
        <v>450</v>
      </c>
      <c r="AG218" s="28"/>
      <c r="AH218" s="6"/>
      <c r="AI218" s="6"/>
      <c r="AJ218" s="6">
        <f>IFERROR(T218/L218,"-")</f>
        <v>1.1290322580645162</v>
      </c>
      <c r="AK218" s="6">
        <f>IFERROR(AD218/M218,"-")</f>
        <v>1.4668367346938775</v>
      </c>
      <c r="AL218" s="6">
        <f>IFERROR(V218/N218,"-")</f>
        <v>1.1290322580645162</v>
      </c>
      <c r="AM218" s="4" t="str">
        <f t="shared" si="15"/>
        <v>-</v>
      </c>
      <c r="AN218" s="4" t="str">
        <f t="shared" si="16"/>
        <v>-</v>
      </c>
      <c r="AO218" s="4" t="str">
        <f t="shared" si="17"/>
        <v>-</v>
      </c>
      <c r="AP218" s="4">
        <v>0</v>
      </c>
      <c r="AQ218" s="4" t="s">
        <v>920</v>
      </c>
      <c r="AR218" s="4">
        <v>1</v>
      </c>
      <c r="AS218" s="4">
        <v>10</v>
      </c>
      <c r="AT218" s="4" t="s">
        <v>921</v>
      </c>
      <c r="AU218" s="4">
        <v>10350</v>
      </c>
      <c r="AV218" s="4">
        <f>IF(AR218="",AU218,AR218/AS218*AU218)</f>
        <v>1035</v>
      </c>
      <c r="AW218" s="19">
        <v>4</v>
      </c>
      <c r="AX218" s="19">
        <v>8</v>
      </c>
      <c r="AY218" s="16">
        <v>5</v>
      </c>
      <c r="AZ218" t="s">
        <v>462</v>
      </c>
      <c r="BA218" t="str">
        <f t="shared" si="18"/>
        <v>-</v>
      </c>
      <c r="BB218">
        <v>1240</v>
      </c>
      <c r="BC218">
        <f t="shared" si="19"/>
        <v>1400.0000000000002</v>
      </c>
      <c r="BD218" t="s">
        <v>666</v>
      </c>
    </row>
    <row r="219" spans="1:56" x14ac:dyDescent="0.4">
      <c r="A219" s="3">
        <v>85</v>
      </c>
      <c r="B219" s="3">
        <v>85</v>
      </c>
      <c r="C219" s="4">
        <v>690790</v>
      </c>
      <c r="D219" s="4" t="str">
        <f>TEXT(C219,"000000")</f>
        <v>690790</v>
      </c>
      <c r="E219" s="4">
        <v>690790</v>
      </c>
      <c r="F219" s="4" t="s">
        <v>287</v>
      </c>
      <c r="G219" s="5">
        <v>4901881834547</v>
      </c>
      <c r="H219" s="5"/>
      <c r="I219" s="5"/>
      <c r="J219" s="5">
        <v>1</v>
      </c>
      <c r="K219" s="5">
        <v>1</v>
      </c>
      <c r="L219" s="4">
        <v>1320</v>
      </c>
      <c r="M219" s="4">
        <v>835</v>
      </c>
      <c r="N219" s="4">
        <v>660</v>
      </c>
      <c r="O219" s="6">
        <f>IFERROR(1-N219/M219,"-")</f>
        <v>0.20958083832335328</v>
      </c>
      <c r="P219" s="4" t="s">
        <v>462</v>
      </c>
      <c r="Q219" s="4" t="s">
        <v>462</v>
      </c>
      <c r="R219" s="4" t="s">
        <v>462</v>
      </c>
      <c r="S219" s="4">
        <v>1500</v>
      </c>
      <c r="T219" s="4">
        <f>IF(W219="",S219,S219*W219)</f>
        <v>1500</v>
      </c>
      <c r="U219" s="4">
        <v>750</v>
      </c>
      <c r="V219" s="4">
        <f>IF(W219="",U219,U219*W219)</f>
        <v>750</v>
      </c>
      <c r="W219" s="4"/>
      <c r="X219" s="21">
        <f>ROUND(M219*AL219,0)</f>
        <v>949</v>
      </c>
      <c r="Y219" s="6">
        <f>IFERROR(1-V219/X219,"-")</f>
        <v>0.20969441517386722</v>
      </c>
      <c r="Z219" s="33">
        <v>4.25</v>
      </c>
      <c r="AA219" s="4">
        <f>AV219</f>
        <v>1320</v>
      </c>
      <c r="AB219" s="33">
        <f>IFERROR(AA219*AL219,"-")</f>
        <v>1500.0000000000002</v>
      </c>
      <c r="AC219" s="6">
        <f>IFERROR(1-V219/AB219,"-")</f>
        <v>0.5</v>
      </c>
      <c r="AD219" s="7">
        <v>1200</v>
      </c>
      <c r="AE219" s="6">
        <f>1-V219/AD219</f>
        <v>0.375</v>
      </c>
      <c r="AF219" s="4">
        <f>AD219-V219</f>
        <v>450</v>
      </c>
      <c r="AG219" s="28"/>
      <c r="AH219" s="6"/>
      <c r="AI219" s="6"/>
      <c r="AJ219" s="6">
        <f>IFERROR(T219/L219,"-")</f>
        <v>1.1363636363636365</v>
      </c>
      <c r="AK219" s="6">
        <f>IFERROR(AD219/M219,"-")</f>
        <v>1.437125748502994</v>
      </c>
      <c r="AL219" s="6">
        <f>IFERROR(V219/N219,"-")</f>
        <v>1.1363636363636365</v>
      </c>
      <c r="AM219" s="4" t="str">
        <f t="shared" si="15"/>
        <v>-</v>
      </c>
      <c r="AN219" s="4" t="str">
        <f t="shared" si="16"/>
        <v>-</v>
      </c>
      <c r="AO219" s="4" t="str">
        <f t="shared" si="17"/>
        <v>-</v>
      </c>
      <c r="AP219" s="4">
        <v>0</v>
      </c>
      <c r="AQ219" s="4" t="s">
        <v>922</v>
      </c>
      <c r="AR219" s="4">
        <v>1</v>
      </c>
      <c r="AS219" s="4">
        <v>3</v>
      </c>
      <c r="AT219" s="4" t="s">
        <v>882</v>
      </c>
      <c r="AU219" s="4">
        <v>3960</v>
      </c>
      <c r="AV219" s="4">
        <f>IF(AR219="",AU219,AR219/AS219*AU219)</f>
        <v>1320</v>
      </c>
      <c r="AW219" s="19">
        <v>4</v>
      </c>
      <c r="AX219" s="19">
        <v>8</v>
      </c>
      <c r="AY219" s="16">
        <v>5</v>
      </c>
      <c r="AZ219" t="s">
        <v>462</v>
      </c>
      <c r="BA219" t="str">
        <f t="shared" si="18"/>
        <v>-</v>
      </c>
      <c r="BB219">
        <v>1254</v>
      </c>
      <c r="BC219">
        <f t="shared" si="19"/>
        <v>1425.0000000000002</v>
      </c>
      <c r="BD219" t="s">
        <v>667</v>
      </c>
    </row>
    <row r="220" spans="1:56" x14ac:dyDescent="0.4">
      <c r="A220" s="3">
        <v>18</v>
      </c>
      <c r="B220" s="3">
        <v>18</v>
      </c>
      <c r="C220" s="4">
        <v>415719</v>
      </c>
      <c r="D220" s="4" t="str">
        <f>TEXT(C220,"000000")</f>
        <v>415719</v>
      </c>
      <c r="E220" s="4">
        <v>415719</v>
      </c>
      <c r="F220" s="4" t="s">
        <v>220</v>
      </c>
      <c r="G220" s="5">
        <v>4901881146220</v>
      </c>
      <c r="H220" s="5"/>
      <c r="I220" s="5"/>
      <c r="J220" s="5">
        <v>1</v>
      </c>
      <c r="K220" s="5">
        <v>1</v>
      </c>
      <c r="L220" s="4">
        <v>1420</v>
      </c>
      <c r="M220" s="4">
        <v>1052</v>
      </c>
      <c r="N220" s="4">
        <v>710</v>
      </c>
      <c r="O220" s="6">
        <f>IFERROR(1-N220/M220,"-")</f>
        <v>0.32509505703422048</v>
      </c>
      <c r="P220" s="4" t="s">
        <v>462</v>
      </c>
      <c r="Q220" s="4" t="s">
        <v>462</v>
      </c>
      <c r="R220" s="4" t="s">
        <v>462</v>
      </c>
      <c r="S220" s="4">
        <v>1600</v>
      </c>
      <c r="T220" s="4">
        <f>IF(W220="",S220,S220*W220)</f>
        <v>1600</v>
      </c>
      <c r="U220" s="4">
        <v>800</v>
      </c>
      <c r="V220" s="4">
        <f>IF(W220="",U220,U220*W220)</f>
        <v>800</v>
      </c>
      <c r="W220" s="4"/>
      <c r="X220" s="21">
        <f>ROUND(M220*AL220,0)</f>
        <v>1185</v>
      </c>
      <c r="Y220" s="6">
        <f>IFERROR(1-V220/X220,"-")</f>
        <v>0.32489451476793252</v>
      </c>
      <c r="Z220" s="33">
        <v>1.5</v>
      </c>
      <c r="AA220" s="4">
        <f>AV220</f>
        <v>1239</v>
      </c>
      <c r="AB220" s="33">
        <f>IFERROR(AA220*AL220,"-")</f>
        <v>1396.0563380281692</v>
      </c>
      <c r="AC220" s="6">
        <f>IFERROR(1-V220/AB220,"-")</f>
        <v>0.42695722356739318</v>
      </c>
      <c r="AD220" s="7">
        <v>1250</v>
      </c>
      <c r="AE220" s="6">
        <f>1-V220/AD220</f>
        <v>0.36</v>
      </c>
      <c r="AF220" s="4">
        <f>AD220-V220</f>
        <v>450</v>
      </c>
      <c r="AG220" s="28"/>
      <c r="AH220" s="6"/>
      <c r="AI220" s="6"/>
      <c r="AJ220" s="6">
        <f>IFERROR(T220/L220,"-")</f>
        <v>1.1267605633802817</v>
      </c>
      <c r="AK220" s="6">
        <f>IFERROR(AD220/M220,"-")</f>
        <v>1.188212927756654</v>
      </c>
      <c r="AL220" s="6">
        <f>IFERROR(V220/N220,"-")</f>
        <v>1.1267605633802817</v>
      </c>
      <c r="AM220" s="4" t="str">
        <f t="shared" si="15"/>
        <v>-</v>
      </c>
      <c r="AN220" s="4" t="str">
        <f t="shared" si="16"/>
        <v>-</v>
      </c>
      <c r="AO220" s="4" t="str">
        <f t="shared" si="17"/>
        <v>-</v>
      </c>
      <c r="AP220" s="4">
        <v>0</v>
      </c>
      <c r="AQ220" s="4" t="s">
        <v>923</v>
      </c>
      <c r="AR220" s="4"/>
      <c r="AS220" s="4"/>
      <c r="AT220" s="4" t="s">
        <v>693</v>
      </c>
      <c r="AU220" s="4">
        <v>1239</v>
      </c>
      <c r="AV220" s="4">
        <f>IF(AR220="",AU220,AR220/AS220*AU220)</f>
        <v>1239</v>
      </c>
      <c r="AW220" s="19">
        <v>4</v>
      </c>
      <c r="AX220" s="19">
        <v>1</v>
      </c>
      <c r="AY220" s="16">
        <v>5</v>
      </c>
      <c r="AZ220" t="s">
        <v>462</v>
      </c>
      <c r="BA220" t="str">
        <f t="shared" si="18"/>
        <v>-</v>
      </c>
      <c r="BB220">
        <v>1416</v>
      </c>
      <c r="BC220">
        <f t="shared" si="19"/>
        <v>1595.4929577464789</v>
      </c>
      <c r="BD220" t="s">
        <v>668</v>
      </c>
    </row>
    <row r="221" spans="1:56" x14ac:dyDescent="0.4">
      <c r="A221" s="3">
        <v>87</v>
      </c>
      <c r="B221" s="3">
        <v>87</v>
      </c>
      <c r="C221" s="4">
        <v>690792</v>
      </c>
      <c r="D221" s="4" t="str">
        <f>TEXT(C221,"000000")</f>
        <v>690792</v>
      </c>
      <c r="E221" s="4">
        <v>690792</v>
      </c>
      <c r="F221" s="4" t="s">
        <v>289</v>
      </c>
      <c r="G221" s="5">
        <v>4901881146169</v>
      </c>
      <c r="H221" s="5"/>
      <c r="I221" s="5"/>
      <c r="J221" s="5">
        <v>1</v>
      </c>
      <c r="K221" s="5">
        <v>1</v>
      </c>
      <c r="L221" s="4">
        <v>1420</v>
      </c>
      <c r="M221" s="4">
        <v>1062</v>
      </c>
      <c r="N221" s="4">
        <v>710</v>
      </c>
      <c r="O221" s="6">
        <f>IFERROR(1-N221/M221,"-")</f>
        <v>0.33145009416195859</v>
      </c>
      <c r="P221" s="4" t="s">
        <v>462</v>
      </c>
      <c r="Q221" s="4" t="s">
        <v>462</v>
      </c>
      <c r="R221" s="4" t="s">
        <v>462</v>
      </c>
      <c r="S221" s="4">
        <v>1600</v>
      </c>
      <c r="T221" s="4">
        <f>IF(W221="",S221,S221*W221)</f>
        <v>1600</v>
      </c>
      <c r="U221" s="4">
        <v>800</v>
      </c>
      <c r="V221" s="4">
        <f>IF(W221="",U221,U221*W221)</f>
        <v>800</v>
      </c>
      <c r="W221" s="4"/>
      <c r="X221" s="21">
        <f>ROUND(M221*AL221,0)</f>
        <v>1197</v>
      </c>
      <c r="Y221" s="6">
        <f>IFERROR(1-V221/X221,"-")</f>
        <v>0.33166248955722644</v>
      </c>
      <c r="Z221" s="33">
        <v>6.75</v>
      </c>
      <c r="AA221" s="4">
        <f>AV221</f>
        <v>1112</v>
      </c>
      <c r="AB221" s="33">
        <f>IFERROR(AA221*AL221,"-")</f>
        <v>1252.9577464788733</v>
      </c>
      <c r="AC221" s="6">
        <f>IFERROR(1-V221/AB221,"-")</f>
        <v>0.36151079136690656</v>
      </c>
      <c r="AD221" s="7">
        <v>1250</v>
      </c>
      <c r="AE221" s="6">
        <f>1-V221/AD221</f>
        <v>0.36</v>
      </c>
      <c r="AF221" s="4">
        <f>AD221-V221</f>
        <v>450</v>
      </c>
      <c r="AG221" s="28"/>
      <c r="AH221" s="6"/>
      <c r="AI221" s="6"/>
      <c r="AJ221" s="6">
        <f>IFERROR(T221/L221,"-")</f>
        <v>1.1267605633802817</v>
      </c>
      <c r="AK221" s="6">
        <f>IFERROR(AD221/M221,"-")</f>
        <v>1.1770244821092279</v>
      </c>
      <c r="AL221" s="6">
        <f>IFERROR(V221/N221,"-")</f>
        <v>1.1267605633802817</v>
      </c>
      <c r="AM221" s="4" t="str">
        <f t="shared" si="15"/>
        <v>-</v>
      </c>
      <c r="AN221" s="4" t="str">
        <f t="shared" si="16"/>
        <v>-</v>
      </c>
      <c r="AO221" s="4" t="str">
        <f t="shared" si="17"/>
        <v>-</v>
      </c>
      <c r="AP221" s="4">
        <v>0</v>
      </c>
      <c r="AQ221" s="4" t="s">
        <v>924</v>
      </c>
      <c r="AR221" s="4"/>
      <c r="AS221" s="4"/>
      <c r="AT221" s="4" t="s">
        <v>890</v>
      </c>
      <c r="AU221" s="4">
        <v>1112</v>
      </c>
      <c r="AV221" s="4">
        <f>IF(AR221="",AU221,AR221/AS221*AU221)</f>
        <v>1112</v>
      </c>
      <c r="AW221" s="19">
        <v>4</v>
      </c>
      <c r="AX221" s="19">
        <v>1</v>
      </c>
      <c r="AY221" s="16">
        <v>5</v>
      </c>
      <c r="AZ221">
        <v>1125</v>
      </c>
      <c r="BA221">
        <f t="shared" si="18"/>
        <v>1267.605633802817</v>
      </c>
      <c r="BB221">
        <v>7100</v>
      </c>
      <c r="BC221">
        <f t="shared" si="19"/>
        <v>8000</v>
      </c>
      <c r="BD221" t="s">
        <v>669</v>
      </c>
    </row>
    <row r="222" spans="1:56" x14ac:dyDescent="0.4">
      <c r="A222" s="3">
        <v>108</v>
      </c>
      <c r="B222" s="3">
        <v>108</v>
      </c>
      <c r="C222" s="4" t="s">
        <v>76</v>
      </c>
      <c r="D222" s="4" t="str">
        <f>TEXT(C222,"000000")</f>
        <v>J74474</v>
      </c>
      <c r="E222" s="4" t="s">
        <v>76</v>
      </c>
      <c r="F222" s="4" t="s">
        <v>310</v>
      </c>
      <c r="G222" s="5">
        <v>4901881288036</v>
      </c>
      <c r="H222" s="5"/>
      <c r="I222" s="5"/>
      <c r="J222" s="5">
        <v>1</v>
      </c>
      <c r="K222" s="5">
        <v>1</v>
      </c>
      <c r="L222" s="4">
        <v>1420</v>
      </c>
      <c r="M222" s="4">
        <v>915</v>
      </c>
      <c r="N222" s="4">
        <v>710</v>
      </c>
      <c r="O222" s="6">
        <f>IFERROR(1-N222/M222,"-")</f>
        <v>0.22404371584699456</v>
      </c>
      <c r="P222" s="4" t="s">
        <v>462</v>
      </c>
      <c r="Q222" s="4" t="s">
        <v>462</v>
      </c>
      <c r="R222" s="4" t="s">
        <v>462</v>
      </c>
      <c r="S222" s="4">
        <v>1600</v>
      </c>
      <c r="T222" s="4">
        <f>IF(W222="",S222,S222*W222)</f>
        <v>1600</v>
      </c>
      <c r="U222" s="4">
        <v>800</v>
      </c>
      <c r="V222" s="4">
        <f>IF(W222="",U222,U222*W222)</f>
        <v>800</v>
      </c>
      <c r="W222" s="4"/>
      <c r="X222" s="21">
        <f>ROUND(M222*AL222,0)</f>
        <v>1031</v>
      </c>
      <c r="Y222" s="6">
        <f>IFERROR(1-V222/X222,"-")</f>
        <v>0.2240543161978662</v>
      </c>
      <c r="Z222" s="33">
        <v>2.25</v>
      </c>
      <c r="AA222" s="4">
        <f>AV222</f>
        <v>1164</v>
      </c>
      <c r="AB222" s="33">
        <f>IFERROR(AA222*AL222,"-")</f>
        <v>1311.549295774648</v>
      </c>
      <c r="AC222" s="6">
        <f>IFERROR(1-V222/AB222,"-")</f>
        <v>0.39003436426116844</v>
      </c>
      <c r="AD222" s="7">
        <v>1250</v>
      </c>
      <c r="AE222" s="6">
        <f>1-V222/AD222</f>
        <v>0.36</v>
      </c>
      <c r="AF222" s="4">
        <f>AD222-V222</f>
        <v>450</v>
      </c>
      <c r="AG222" s="28"/>
      <c r="AH222" s="6"/>
      <c r="AI222" s="6"/>
      <c r="AJ222" s="6">
        <f>IFERROR(T222/L222,"-")</f>
        <v>1.1267605633802817</v>
      </c>
      <c r="AK222" s="6">
        <f>IFERROR(AD222/M222,"-")</f>
        <v>1.3661202185792349</v>
      </c>
      <c r="AL222" s="6">
        <f>IFERROR(V222/N222,"-")</f>
        <v>1.1267605633802817</v>
      </c>
      <c r="AM222" s="4" t="str">
        <f t="shared" si="15"/>
        <v>-</v>
      </c>
      <c r="AN222" s="4" t="str">
        <f t="shared" si="16"/>
        <v>-</v>
      </c>
      <c r="AO222" s="4" t="str">
        <f t="shared" si="17"/>
        <v>-</v>
      </c>
      <c r="AP222" s="4">
        <v>0</v>
      </c>
      <c r="AQ222" s="4" t="s">
        <v>925</v>
      </c>
      <c r="AR222" s="4"/>
      <c r="AS222" s="4"/>
      <c r="AT222" s="4" t="s">
        <v>926</v>
      </c>
      <c r="AU222" s="4">
        <v>1164</v>
      </c>
      <c r="AV222" s="4">
        <f>IF(AR222="",AU222,AR222/AS222*AU222)</f>
        <v>1164</v>
      </c>
      <c r="AW222" s="19">
        <v>4</v>
      </c>
      <c r="AX222" s="19">
        <v>1</v>
      </c>
      <c r="AY222" s="16">
        <v>5</v>
      </c>
      <c r="AZ222">
        <v>1310</v>
      </c>
      <c r="BA222">
        <f t="shared" si="18"/>
        <v>1476.0563380281692</v>
      </c>
      <c r="BB222">
        <v>1420</v>
      </c>
      <c r="BC222">
        <f t="shared" si="19"/>
        <v>1600</v>
      </c>
      <c r="BD222" t="s">
        <v>670</v>
      </c>
    </row>
    <row r="223" spans="1:56" x14ac:dyDescent="0.4">
      <c r="A223" s="3">
        <v>22</v>
      </c>
      <c r="B223" s="3">
        <v>22</v>
      </c>
      <c r="C223" s="4" t="s">
        <v>58</v>
      </c>
      <c r="D223" s="4" t="str">
        <f>TEXT(C223,"000000")</f>
        <v>5741AY</v>
      </c>
      <c r="E223" s="4" t="s">
        <v>58</v>
      </c>
      <c r="F223" s="4" t="s">
        <v>224</v>
      </c>
      <c r="G223" s="5">
        <v>4901881155741</v>
      </c>
      <c r="H223" s="5"/>
      <c r="I223" s="5"/>
      <c r="J223" s="5">
        <v>1</v>
      </c>
      <c r="K223" s="5">
        <v>1</v>
      </c>
      <c r="L223" s="4">
        <v>1580</v>
      </c>
      <c r="M223" s="4">
        <v>1280</v>
      </c>
      <c r="N223" s="4">
        <v>790</v>
      </c>
      <c r="O223" s="6">
        <f>IFERROR(1-N223/M223,"-")</f>
        <v>0.3828125</v>
      </c>
      <c r="P223" s="4" t="s">
        <v>462</v>
      </c>
      <c r="Q223" s="4" t="s">
        <v>462</v>
      </c>
      <c r="R223" s="4" t="s">
        <v>462</v>
      </c>
      <c r="S223" s="4">
        <v>1800</v>
      </c>
      <c r="T223" s="4">
        <f>IF(W223="",S223,S223*W223)</f>
        <v>1800</v>
      </c>
      <c r="U223" s="4">
        <v>900</v>
      </c>
      <c r="V223" s="4">
        <f>IF(W223="",U223,U223*W223)</f>
        <v>900</v>
      </c>
      <c r="W223" s="4"/>
      <c r="X223" s="21">
        <f>ROUND(M223*AL223,0)</f>
        <v>1458</v>
      </c>
      <c r="Y223" s="6">
        <f>IFERROR(1-V223/X223,"-")</f>
        <v>0.38271604938271608</v>
      </c>
      <c r="Z223" s="33">
        <v>3.5000000000000004</v>
      </c>
      <c r="AA223" s="4">
        <f>AV223</f>
        <v>1580</v>
      </c>
      <c r="AB223" s="33">
        <f>IFERROR(AA223*AL223,"-")</f>
        <v>1800.0000000000002</v>
      </c>
      <c r="AC223" s="6">
        <f>IFERROR(1-V223/AB223,"-")</f>
        <v>0.5</v>
      </c>
      <c r="AD223" s="7">
        <v>1500</v>
      </c>
      <c r="AE223" s="6">
        <f>1-V223/AD223</f>
        <v>0.4</v>
      </c>
      <c r="AF223" s="4">
        <f>AD223-V223</f>
        <v>600</v>
      </c>
      <c r="AG223" s="28"/>
      <c r="AH223" s="6"/>
      <c r="AI223" s="6"/>
      <c r="AJ223" s="6">
        <f>IFERROR(T223/L223,"-")</f>
        <v>1.139240506329114</v>
      </c>
      <c r="AK223" s="6">
        <f>IFERROR(AD223/M223,"-")</f>
        <v>1.171875</v>
      </c>
      <c r="AL223" s="6">
        <f>IFERROR(V223/N223,"-")</f>
        <v>1.139240506329114</v>
      </c>
      <c r="AM223" s="4" t="str">
        <f t="shared" si="15"/>
        <v>-</v>
      </c>
      <c r="AN223" s="4" t="str">
        <f t="shared" si="16"/>
        <v>-</v>
      </c>
      <c r="AO223" s="4" t="str">
        <f t="shared" si="17"/>
        <v>-</v>
      </c>
      <c r="AP223" s="4">
        <v>0</v>
      </c>
      <c r="AQ223" s="4" t="s">
        <v>927</v>
      </c>
      <c r="AR223" s="4"/>
      <c r="AS223" s="4"/>
      <c r="AT223" s="4" t="s">
        <v>693</v>
      </c>
      <c r="AU223" s="4">
        <v>1580</v>
      </c>
      <c r="AV223" s="4">
        <f>IF(AR223="",AU223,AR223/AS223*AU223)</f>
        <v>1580</v>
      </c>
      <c r="AW223" s="19">
        <v>4</v>
      </c>
      <c r="AX223" s="19">
        <v>1</v>
      </c>
      <c r="AY223" s="16">
        <v>5</v>
      </c>
      <c r="AZ223">
        <v>1185</v>
      </c>
      <c r="BA223">
        <f t="shared" si="18"/>
        <v>1350</v>
      </c>
      <c r="BB223">
        <v>1451</v>
      </c>
      <c r="BC223">
        <f t="shared" si="19"/>
        <v>1653.0379746835445</v>
      </c>
      <c r="BD223" t="s">
        <v>671</v>
      </c>
    </row>
    <row r="224" spans="1:56" x14ac:dyDescent="0.4">
      <c r="A224" s="3">
        <v>129</v>
      </c>
      <c r="B224" s="3">
        <v>129</v>
      </c>
      <c r="C224" s="4" t="s">
        <v>97</v>
      </c>
      <c r="D224" s="4" t="str">
        <f>TEXT(C224,"000000")</f>
        <v>J74497</v>
      </c>
      <c r="E224" s="4" t="s">
        <v>97</v>
      </c>
      <c r="F224" s="4" t="s">
        <v>331</v>
      </c>
      <c r="G224" s="5">
        <v>4901881822827</v>
      </c>
      <c r="H224" s="5"/>
      <c r="I224" s="5"/>
      <c r="J224" s="5">
        <v>1</v>
      </c>
      <c r="K224" s="5">
        <v>1</v>
      </c>
      <c r="L224" s="4">
        <v>1500</v>
      </c>
      <c r="M224" s="4">
        <v>1236</v>
      </c>
      <c r="N224" s="4">
        <v>765</v>
      </c>
      <c r="O224" s="6">
        <f>IFERROR(1-N224/M224,"-")</f>
        <v>0.3810679611650486</v>
      </c>
      <c r="P224" s="4" t="s">
        <v>462</v>
      </c>
      <c r="Q224" s="4" t="s">
        <v>462</v>
      </c>
      <c r="R224" s="4" t="s">
        <v>462</v>
      </c>
      <c r="S224" s="4">
        <v>1700</v>
      </c>
      <c r="T224" s="4">
        <f>IF(W224="",S224,S224*W224)</f>
        <v>1700</v>
      </c>
      <c r="U224" s="4">
        <v>907</v>
      </c>
      <c r="V224" s="4">
        <f>IF(W224="",U224,U224*W224)</f>
        <v>907</v>
      </c>
      <c r="W224" s="4"/>
      <c r="X224" s="21">
        <f>ROUND(M224*AL224,0)</f>
        <v>1465</v>
      </c>
      <c r="Y224" s="6">
        <f>IFERROR(1-V224/X224,"-")</f>
        <v>0.38088737201365186</v>
      </c>
      <c r="Z224" s="33">
        <v>2</v>
      </c>
      <c r="AA224" s="4">
        <f>AV224</f>
        <v>1500</v>
      </c>
      <c r="AB224" s="33">
        <f>IFERROR(AA224*AL224,"-")</f>
        <v>1778.4313725490197</v>
      </c>
      <c r="AC224" s="6">
        <f>IFERROR(1-V224/AB224,"-")</f>
        <v>0.49</v>
      </c>
      <c r="AD224" s="7">
        <v>1500</v>
      </c>
      <c r="AE224" s="6">
        <f>1-V224/AD224</f>
        <v>0.39533333333333331</v>
      </c>
      <c r="AF224" s="4">
        <f>AD224-V224</f>
        <v>593</v>
      </c>
      <c r="AG224" s="28"/>
      <c r="AH224" s="6"/>
      <c r="AI224" s="6"/>
      <c r="AJ224" s="6">
        <f>IFERROR(T224/L224,"-")</f>
        <v>1.1333333333333333</v>
      </c>
      <c r="AK224" s="6">
        <f>IFERROR(AD224/M224,"-")</f>
        <v>1.2135922330097086</v>
      </c>
      <c r="AL224" s="6">
        <f>IFERROR(V224/N224,"-")</f>
        <v>1.1856209150326797</v>
      </c>
      <c r="AM224" s="4" t="str">
        <f t="shared" si="15"/>
        <v>-</v>
      </c>
      <c r="AN224" s="4" t="str">
        <f t="shared" si="16"/>
        <v>-</v>
      </c>
      <c r="AO224" s="4" t="str">
        <f t="shared" si="17"/>
        <v>-</v>
      </c>
      <c r="AP224" s="4">
        <v>0</v>
      </c>
      <c r="AQ224" s="4" t="s">
        <v>928</v>
      </c>
      <c r="AR224" s="4"/>
      <c r="AS224" s="4"/>
      <c r="AT224" s="4" t="s">
        <v>693</v>
      </c>
      <c r="AU224" s="4">
        <v>1500</v>
      </c>
      <c r="AV224" s="4">
        <f>IF(AR224="",AU224,AR224/AS224*AU224)</f>
        <v>1500</v>
      </c>
      <c r="AW224" s="19">
        <v>4</v>
      </c>
      <c r="AX224" s="19">
        <v>1</v>
      </c>
      <c r="AY224" s="16">
        <v>5</v>
      </c>
      <c r="AZ224" t="s">
        <v>462</v>
      </c>
      <c r="BA224" t="str">
        <f t="shared" si="18"/>
        <v>-</v>
      </c>
      <c r="BB224">
        <v>4500</v>
      </c>
      <c r="BC224">
        <f t="shared" si="19"/>
        <v>5335.2941176470586</v>
      </c>
      <c r="BD224" t="s">
        <v>672</v>
      </c>
    </row>
    <row r="225" spans="1:56" x14ac:dyDescent="0.4">
      <c r="A225" s="3">
        <v>131</v>
      </c>
      <c r="B225" s="3">
        <v>131</v>
      </c>
      <c r="C225" s="4" t="s">
        <v>99</v>
      </c>
      <c r="D225" s="4" t="str">
        <f>TEXT(C225,"000000")</f>
        <v>J84524</v>
      </c>
      <c r="E225" s="4" t="s">
        <v>99</v>
      </c>
      <c r="F225" s="4" t="s">
        <v>333</v>
      </c>
      <c r="G225" s="5">
        <v>4901881142659</v>
      </c>
      <c r="H225" s="5"/>
      <c r="I225" s="5"/>
      <c r="J225" s="5">
        <v>1</v>
      </c>
      <c r="K225" s="5">
        <v>1</v>
      </c>
      <c r="L225" s="4">
        <v>1700</v>
      </c>
      <c r="M225" s="4">
        <v>1075</v>
      </c>
      <c r="N225" s="4">
        <v>850</v>
      </c>
      <c r="O225" s="6">
        <f>IFERROR(1-N225/M225,"-")</f>
        <v>0.20930232558139539</v>
      </c>
      <c r="P225" s="4" t="s">
        <v>462</v>
      </c>
      <c r="Q225" s="4" t="s">
        <v>462</v>
      </c>
      <c r="R225" s="4" t="s">
        <v>462</v>
      </c>
      <c r="S225" s="4">
        <v>1900</v>
      </c>
      <c r="T225" s="4">
        <f>IF(W225="",S225,S225*W225)</f>
        <v>1900</v>
      </c>
      <c r="U225" s="4">
        <v>950</v>
      </c>
      <c r="V225" s="4">
        <f>IF(W225="",U225,U225*W225)</f>
        <v>950</v>
      </c>
      <c r="W225" s="4"/>
      <c r="X225" s="21">
        <f>ROUND(M225*AL225,0)</f>
        <v>1201</v>
      </c>
      <c r="Y225" s="6">
        <f>IFERROR(1-V225/X225,"-")</f>
        <v>0.20899250624479604</v>
      </c>
      <c r="Z225" s="33">
        <v>0.5</v>
      </c>
      <c r="AA225" s="4">
        <f>AV225</f>
        <v>1700</v>
      </c>
      <c r="AB225" s="33">
        <f>IFERROR(AA225*AL225,"-")</f>
        <v>1900</v>
      </c>
      <c r="AC225" s="6">
        <f>IFERROR(1-V225/AB225,"-")</f>
        <v>0.5</v>
      </c>
      <c r="AD225" s="7">
        <v>1550</v>
      </c>
      <c r="AE225" s="6">
        <f>1-V225/AD225</f>
        <v>0.38709677419354838</v>
      </c>
      <c r="AF225" s="4">
        <f>AD225-V225</f>
        <v>600</v>
      </c>
      <c r="AG225" s="28"/>
      <c r="AH225" s="6"/>
      <c r="AI225" s="6"/>
      <c r="AJ225" s="6">
        <f>IFERROR(T225/L225,"-")</f>
        <v>1.1176470588235294</v>
      </c>
      <c r="AK225" s="6">
        <f>IFERROR(AD225/M225,"-")</f>
        <v>1.441860465116279</v>
      </c>
      <c r="AL225" s="6">
        <f>IFERROR(V225/N225,"-")</f>
        <v>1.1176470588235294</v>
      </c>
      <c r="AM225" s="4" t="str">
        <f t="shared" si="15"/>
        <v>-</v>
      </c>
      <c r="AN225" s="4" t="str">
        <f t="shared" si="16"/>
        <v>-</v>
      </c>
      <c r="AO225" s="4" t="str">
        <f t="shared" si="17"/>
        <v>-</v>
      </c>
      <c r="AP225" s="4">
        <v>0</v>
      </c>
      <c r="AQ225" s="4" t="s">
        <v>929</v>
      </c>
      <c r="AR225" s="4"/>
      <c r="AS225" s="4"/>
      <c r="AT225" s="4" t="s">
        <v>693</v>
      </c>
      <c r="AU225" s="4">
        <v>1700</v>
      </c>
      <c r="AV225" s="4">
        <f>IF(AR225="",AU225,AR225/AS225*AU225)</f>
        <v>1700</v>
      </c>
      <c r="AW225" s="19">
        <v>4</v>
      </c>
      <c r="AX225" s="19">
        <v>1</v>
      </c>
      <c r="AY225" s="16">
        <v>5</v>
      </c>
      <c r="AZ225" t="s">
        <v>462</v>
      </c>
      <c r="BA225" t="str">
        <f t="shared" si="18"/>
        <v>-</v>
      </c>
      <c r="BB225">
        <v>1435</v>
      </c>
      <c r="BC225">
        <f t="shared" si="19"/>
        <v>1603.8235294117646</v>
      </c>
      <c r="BD225" t="s">
        <v>673</v>
      </c>
    </row>
    <row r="226" spans="1:56" x14ac:dyDescent="0.4">
      <c r="A226" s="3">
        <v>130</v>
      </c>
      <c r="B226" s="3">
        <v>130</v>
      </c>
      <c r="C226" s="4" t="s">
        <v>98</v>
      </c>
      <c r="D226" s="4" t="str">
        <f>TEXT(C226,"000000")</f>
        <v>J74498</v>
      </c>
      <c r="E226" s="4" t="s">
        <v>98</v>
      </c>
      <c r="F226" s="4" t="s">
        <v>332</v>
      </c>
      <c r="G226" s="5">
        <v>4901881823251</v>
      </c>
      <c r="H226" s="5"/>
      <c r="I226" s="5"/>
      <c r="J226" s="5">
        <v>1</v>
      </c>
      <c r="K226" s="5">
        <v>1</v>
      </c>
      <c r="L226" s="4">
        <v>1600</v>
      </c>
      <c r="M226" s="4">
        <v>1318</v>
      </c>
      <c r="N226" s="4">
        <v>816</v>
      </c>
      <c r="O226" s="6">
        <f>IFERROR(1-N226/M226,"-")</f>
        <v>0.38088012139605465</v>
      </c>
      <c r="P226" s="4" t="s">
        <v>462</v>
      </c>
      <c r="Q226" s="4" t="s">
        <v>462</v>
      </c>
      <c r="R226" s="4" t="s">
        <v>462</v>
      </c>
      <c r="S226" s="4">
        <v>1800</v>
      </c>
      <c r="T226" s="4">
        <f>IF(W226="",S226,S226*W226)</f>
        <v>1800</v>
      </c>
      <c r="U226" s="4">
        <v>960</v>
      </c>
      <c r="V226" s="4">
        <f>IF(W226="",U226,U226*W226)</f>
        <v>960</v>
      </c>
      <c r="W226" s="4"/>
      <c r="X226" s="21">
        <f>ROUND(M226*AL226,0)</f>
        <v>1551</v>
      </c>
      <c r="Y226" s="6">
        <f>IFERROR(1-V226/X226,"-")</f>
        <v>0.38104448742746611</v>
      </c>
      <c r="Z226" s="33">
        <v>4.25</v>
      </c>
      <c r="AA226" s="4">
        <f>AV226</f>
        <v>1437</v>
      </c>
      <c r="AB226" s="33">
        <f>IFERROR(AA226*AL226,"-")</f>
        <v>1690.5882352941178</v>
      </c>
      <c r="AC226" s="6">
        <f>IFERROR(1-V226/AB226,"-")</f>
        <v>0.43215031315240093</v>
      </c>
      <c r="AD226" s="7">
        <v>1550</v>
      </c>
      <c r="AE226" s="6">
        <f>1-V226/AD226</f>
        <v>0.38064516129032255</v>
      </c>
      <c r="AF226" s="4">
        <f>AD226-V226</f>
        <v>590</v>
      </c>
      <c r="AG226" s="28"/>
      <c r="AH226" s="6"/>
      <c r="AI226" s="6"/>
      <c r="AJ226" s="6">
        <f>IFERROR(T226/L226,"-")</f>
        <v>1.125</v>
      </c>
      <c r="AK226" s="6">
        <f>IFERROR(AD226/M226,"-")</f>
        <v>1.1760242792109257</v>
      </c>
      <c r="AL226" s="6">
        <f>IFERROR(V226/N226,"-")</f>
        <v>1.1764705882352942</v>
      </c>
      <c r="AM226" s="4" t="str">
        <f t="shared" si="15"/>
        <v>-</v>
      </c>
      <c r="AN226" s="4" t="str">
        <f t="shared" si="16"/>
        <v>-</v>
      </c>
      <c r="AO226" s="4" t="str">
        <f t="shared" si="17"/>
        <v>-</v>
      </c>
      <c r="AP226" s="4">
        <v>0</v>
      </c>
      <c r="AQ226" s="4" t="s">
        <v>930</v>
      </c>
      <c r="AR226" s="4"/>
      <c r="AS226" s="4"/>
      <c r="AT226" s="4" t="s">
        <v>693</v>
      </c>
      <c r="AU226" s="4">
        <v>1437</v>
      </c>
      <c r="AV226" s="4">
        <f>IF(AR226="",AU226,AR226/AS226*AU226)</f>
        <v>1437</v>
      </c>
      <c r="AW226" s="19">
        <v>4</v>
      </c>
      <c r="AX226" s="19">
        <v>1</v>
      </c>
      <c r="AY226" s="16">
        <v>5</v>
      </c>
      <c r="AZ226" t="s">
        <v>462</v>
      </c>
      <c r="BA226" t="str">
        <f t="shared" si="18"/>
        <v>-</v>
      </c>
      <c r="BB226">
        <v>8000</v>
      </c>
      <c r="BC226">
        <f t="shared" si="19"/>
        <v>9411.7647058823532</v>
      </c>
      <c r="BD226" t="s">
        <v>674</v>
      </c>
    </row>
    <row r="227" spans="1:56" x14ac:dyDescent="0.4">
      <c r="A227" s="3">
        <v>86</v>
      </c>
      <c r="B227" s="3">
        <v>86</v>
      </c>
      <c r="C227" s="4">
        <v>690791</v>
      </c>
      <c r="D227" s="4" t="str">
        <f>TEXT(C227,"000000")</f>
        <v>690791</v>
      </c>
      <c r="E227" s="4">
        <v>690791</v>
      </c>
      <c r="F227" s="4" t="s">
        <v>288</v>
      </c>
      <c r="G227" s="5">
        <v>4901881834554</v>
      </c>
      <c r="H227" s="5"/>
      <c r="I227" s="5"/>
      <c r="J227" s="5">
        <v>1</v>
      </c>
      <c r="K227" s="5">
        <v>1</v>
      </c>
      <c r="L227" s="4">
        <v>1800</v>
      </c>
      <c r="M227" s="4">
        <v>1232</v>
      </c>
      <c r="N227" s="4">
        <v>900</v>
      </c>
      <c r="O227" s="6">
        <f>IFERROR(1-N227/M227,"-")</f>
        <v>0.26948051948051943</v>
      </c>
      <c r="P227" s="4" t="s">
        <v>462</v>
      </c>
      <c r="Q227" s="4" t="s">
        <v>462</v>
      </c>
      <c r="R227" s="4" t="s">
        <v>462</v>
      </c>
      <c r="S227" s="4">
        <v>2000</v>
      </c>
      <c r="T227" s="4">
        <f>IF(W227="",S227,S227*W227)</f>
        <v>2000</v>
      </c>
      <c r="U227" s="4">
        <v>1000</v>
      </c>
      <c r="V227" s="4">
        <f>IF(W227="",U227,U227*W227)</f>
        <v>1000</v>
      </c>
      <c r="W227" s="4"/>
      <c r="X227" s="21">
        <f>ROUND(M227*AL227,0)</f>
        <v>1369</v>
      </c>
      <c r="Y227" s="6">
        <f>IFERROR(1-V227/X227,"-")</f>
        <v>0.26953981008035066</v>
      </c>
      <c r="Z227" s="33">
        <v>1</v>
      </c>
      <c r="AA227" s="4">
        <f>AV227</f>
        <v>1800</v>
      </c>
      <c r="AB227" s="33">
        <f>IFERROR(AA227*AL227,"-")</f>
        <v>2000</v>
      </c>
      <c r="AC227" s="6">
        <f>IFERROR(1-V227/AB227,"-")</f>
        <v>0.5</v>
      </c>
      <c r="AD227" s="7">
        <v>1600</v>
      </c>
      <c r="AE227" s="6">
        <f>1-V227/AD227</f>
        <v>0.375</v>
      </c>
      <c r="AF227" s="4">
        <f>AD227-V227</f>
        <v>600</v>
      </c>
      <c r="AG227" s="28"/>
      <c r="AH227" s="6"/>
      <c r="AI227" s="6"/>
      <c r="AJ227" s="6">
        <f>IFERROR(T227/L227,"-")</f>
        <v>1.1111111111111112</v>
      </c>
      <c r="AK227" s="6">
        <f>IFERROR(AD227/M227,"-")</f>
        <v>1.2987012987012987</v>
      </c>
      <c r="AL227" s="6">
        <f>IFERROR(V227/N227,"-")</f>
        <v>1.1111111111111112</v>
      </c>
      <c r="AM227" s="4" t="str">
        <f t="shared" si="15"/>
        <v>-</v>
      </c>
      <c r="AN227" s="4" t="str">
        <f t="shared" si="16"/>
        <v>-</v>
      </c>
      <c r="AO227" s="4" t="str">
        <f t="shared" si="17"/>
        <v>-</v>
      </c>
      <c r="AP227" s="4">
        <v>0</v>
      </c>
      <c r="AQ227" s="4" t="s">
        <v>931</v>
      </c>
      <c r="AR227" s="4"/>
      <c r="AS227" s="4"/>
      <c r="AT227" s="4" t="s">
        <v>693</v>
      </c>
      <c r="AU227" s="4">
        <v>1800</v>
      </c>
      <c r="AV227" s="4">
        <f>IF(AR227="",AU227,AR227/AS227*AU227)</f>
        <v>1800</v>
      </c>
      <c r="AW227" s="19">
        <v>4</v>
      </c>
      <c r="AX227" s="19">
        <v>1</v>
      </c>
      <c r="AY227" s="16">
        <v>5</v>
      </c>
      <c r="AZ227" t="s">
        <v>462</v>
      </c>
      <c r="BA227" t="str">
        <f t="shared" si="18"/>
        <v>-</v>
      </c>
      <c r="BB227">
        <v>1710</v>
      </c>
      <c r="BC227">
        <f t="shared" si="19"/>
        <v>1900</v>
      </c>
      <c r="BD227" t="s">
        <v>675</v>
      </c>
    </row>
    <row r="228" spans="1:56" x14ac:dyDescent="0.4">
      <c r="A228" s="3">
        <v>19</v>
      </c>
      <c r="B228" s="3">
        <v>19</v>
      </c>
      <c r="C228" s="4">
        <v>415720</v>
      </c>
      <c r="D228" s="4" t="str">
        <f>TEXT(C228,"000000")</f>
        <v>415720</v>
      </c>
      <c r="E228" s="4">
        <v>415720</v>
      </c>
      <c r="F228" s="4" t="s">
        <v>221</v>
      </c>
      <c r="G228" s="5">
        <v>4901881146237</v>
      </c>
      <c r="H228" s="5"/>
      <c r="I228" s="5"/>
      <c r="J228" s="5">
        <v>1</v>
      </c>
      <c r="K228" s="5">
        <v>1</v>
      </c>
      <c r="L228" s="4">
        <v>1800</v>
      </c>
      <c r="M228" s="4">
        <v>1228</v>
      </c>
      <c r="N228" s="4">
        <v>900</v>
      </c>
      <c r="O228" s="6">
        <f>IFERROR(1-N228/M228,"-")</f>
        <v>0.26710097719869708</v>
      </c>
      <c r="P228" s="4" t="s">
        <v>462</v>
      </c>
      <c r="Q228" s="4" t="s">
        <v>462</v>
      </c>
      <c r="R228" s="4" t="s">
        <v>462</v>
      </c>
      <c r="S228" s="4">
        <v>2100</v>
      </c>
      <c r="T228" s="4">
        <f>IF(W228="",S228,S228*W228)</f>
        <v>2100</v>
      </c>
      <c r="U228" s="4">
        <v>1050</v>
      </c>
      <c r="V228" s="4">
        <f>IF(W228="",U228,U228*W228)</f>
        <v>1050</v>
      </c>
      <c r="W228" s="4"/>
      <c r="X228" s="21">
        <f>ROUND(M228*AL228,0)</f>
        <v>1433</v>
      </c>
      <c r="Y228" s="6">
        <f>IFERROR(1-V228/X228,"-")</f>
        <v>0.26727145847871603</v>
      </c>
      <c r="Z228" s="33">
        <v>1.25</v>
      </c>
      <c r="AA228" s="4">
        <f>AV228</f>
        <v>1618</v>
      </c>
      <c r="AB228" s="33">
        <f>IFERROR(AA228*AL228,"-")</f>
        <v>1887.6666666666667</v>
      </c>
      <c r="AC228" s="6">
        <f>IFERROR(1-V228/AB228,"-")</f>
        <v>0.44375772558714466</v>
      </c>
      <c r="AD228" s="7">
        <v>1700</v>
      </c>
      <c r="AE228" s="6">
        <f>1-V228/AD228</f>
        <v>0.38235294117647056</v>
      </c>
      <c r="AF228" s="4">
        <f>AD228-V228</f>
        <v>650</v>
      </c>
      <c r="AG228" s="28"/>
      <c r="AH228" s="6"/>
      <c r="AI228" s="6"/>
      <c r="AJ228" s="6">
        <f>IFERROR(T228/L228,"-")</f>
        <v>1.1666666666666667</v>
      </c>
      <c r="AK228" s="6">
        <f>IFERROR(AD228/M228,"-")</f>
        <v>1.3843648208469055</v>
      </c>
      <c r="AL228" s="6">
        <f>IFERROR(V228/N228,"-")</f>
        <v>1.1666666666666667</v>
      </c>
      <c r="AM228" s="4" t="str">
        <f t="shared" si="15"/>
        <v>-</v>
      </c>
      <c r="AN228" s="4" t="str">
        <f t="shared" si="16"/>
        <v>-</v>
      </c>
      <c r="AO228" s="4" t="str">
        <f t="shared" si="17"/>
        <v>-</v>
      </c>
      <c r="AP228" s="4">
        <v>0</v>
      </c>
      <c r="AQ228" s="4" t="s">
        <v>932</v>
      </c>
      <c r="AR228" s="4"/>
      <c r="AS228" s="4"/>
      <c r="AT228" s="4" t="s">
        <v>693</v>
      </c>
      <c r="AU228" s="4">
        <v>1618</v>
      </c>
      <c r="AV228" s="4">
        <f>IF(AR228="",AU228,AR228/AS228*AU228)</f>
        <v>1618</v>
      </c>
      <c r="AW228" s="19">
        <v>4</v>
      </c>
      <c r="AX228" s="19">
        <v>1</v>
      </c>
      <c r="AY228" s="16">
        <v>5</v>
      </c>
      <c r="AZ228" t="s">
        <v>462</v>
      </c>
      <c r="BA228" t="str">
        <f t="shared" si="18"/>
        <v>-</v>
      </c>
      <c r="BB228">
        <v>1800</v>
      </c>
      <c r="BC228">
        <f t="shared" si="19"/>
        <v>2100</v>
      </c>
      <c r="BD228" t="s">
        <v>676</v>
      </c>
    </row>
    <row r="229" spans="1:56" x14ac:dyDescent="0.4">
      <c r="A229" s="3">
        <v>88</v>
      </c>
      <c r="B229" s="3">
        <v>88</v>
      </c>
      <c r="C229" s="4">
        <v>690793</v>
      </c>
      <c r="D229" s="4" t="str">
        <f>TEXT(C229,"000000")</f>
        <v>690793</v>
      </c>
      <c r="E229" s="4">
        <v>690793</v>
      </c>
      <c r="F229" s="4" t="s">
        <v>290</v>
      </c>
      <c r="G229" s="5">
        <v>4901881146176</v>
      </c>
      <c r="H229" s="5"/>
      <c r="I229" s="5"/>
      <c r="J229" s="5">
        <v>1</v>
      </c>
      <c r="K229" s="5">
        <v>1</v>
      </c>
      <c r="L229" s="4">
        <v>1800</v>
      </c>
      <c r="M229" s="4">
        <v>1105</v>
      </c>
      <c r="N229" s="4">
        <v>900</v>
      </c>
      <c r="O229" s="6">
        <f>IFERROR(1-N229/M229,"-")</f>
        <v>0.18552036199095023</v>
      </c>
      <c r="P229" s="4" t="s">
        <v>462</v>
      </c>
      <c r="Q229" s="4" t="s">
        <v>462</v>
      </c>
      <c r="R229" s="4" t="s">
        <v>462</v>
      </c>
      <c r="S229" s="4">
        <v>2100</v>
      </c>
      <c r="T229" s="4">
        <f>IF(W229="",S229,S229*W229)</f>
        <v>2100</v>
      </c>
      <c r="U229" s="4">
        <v>1050</v>
      </c>
      <c r="V229" s="4">
        <f>IF(W229="",U229,U229*W229)</f>
        <v>1050</v>
      </c>
      <c r="W229" s="4"/>
      <c r="X229" s="21">
        <f>ROUND(M229*AL229,0)</f>
        <v>1289</v>
      </c>
      <c r="Y229" s="6">
        <f>IFERROR(1-V229/X229,"-")</f>
        <v>0.18541505042668738</v>
      </c>
      <c r="Z229" s="33">
        <v>1.25</v>
      </c>
      <c r="AA229" s="4">
        <f>AV229</f>
        <v>1800</v>
      </c>
      <c r="AB229" s="33">
        <f>IFERROR(AA229*AL229,"-")</f>
        <v>2100</v>
      </c>
      <c r="AC229" s="6">
        <f>IFERROR(1-V229/AB229,"-")</f>
        <v>0.5</v>
      </c>
      <c r="AD229" s="7">
        <v>1700</v>
      </c>
      <c r="AE229" s="6">
        <f>1-V229/AD229</f>
        <v>0.38235294117647056</v>
      </c>
      <c r="AF229" s="4">
        <f>AD229-V229</f>
        <v>650</v>
      </c>
      <c r="AG229" s="28"/>
      <c r="AH229" s="6"/>
      <c r="AI229" s="6"/>
      <c r="AJ229" s="6">
        <f>IFERROR(T229/L229,"-")</f>
        <v>1.1666666666666667</v>
      </c>
      <c r="AK229" s="6">
        <f>IFERROR(AD229/M229,"-")</f>
        <v>1.5384615384615385</v>
      </c>
      <c r="AL229" s="6">
        <f>IFERROR(V229/N229,"-")</f>
        <v>1.1666666666666667</v>
      </c>
      <c r="AM229" s="4" t="str">
        <f t="shared" si="15"/>
        <v>-</v>
      </c>
      <c r="AN229" s="4" t="str">
        <f t="shared" si="16"/>
        <v>-</v>
      </c>
      <c r="AO229" s="4" t="str">
        <f t="shared" si="17"/>
        <v>-</v>
      </c>
      <c r="AP229" s="4">
        <v>0</v>
      </c>
      <c r="AQ229" s="4" t="s">
        <v>933</v>
      </c>
      <c r="AR229" s="4">
        <v>1</v>
      </c>
      <c r="AS229" s="4">
        <v>2</v>
      </c>
      <c r="AT229" s="4" t="s">
        <v>870</v>
      </c>
      <c r="AU229" s="4">
        <v>3600</v>
      </c>
      <c r="AV229" s="4">
        <f>IF(AR229="",AU229,AR229/AS229*AU229)</f>
        <v>1800</v>
      </c>
      <c r="AW229" s="19">
        <v>4</v>
      </c>
      <c r="AX229" s="19">
        <v>1</v>
      </c>
      <c r="AY229" s="16">
        <v>5</v>
      </c>
      <c r="AZ229" t="s">
        <v>462</v>
      </c>
      <c r="BA229" t="str">
        <f t="shared" si="18"/>
        <v>-</v>
      </c>
      <c r="BB229">
        <v>9000</v>
      </c>
      <c r="BC229">
        <f t="shared" si="19"/>
        <v>10500</v>
      </c>
      <c r="BD229" t="s">
        <v>677</v>
      </c>
    </row>
    <row r="230" spans="1:56" x14ac:dyDescent="0.4">
      <c r="A230" s="3">
        <v>106</v>
      </c>
      <c r="B230" s="3">
        <v>106</v>
      </c>
      <c r="C230" s="4" t="s">
        <v>74</v>
      </c>
      <c r="D230" s="4" t="str">
        <f>TEXT(C230,"000000")</f>
        <v>J74500</v>
      </c>
      <c r="E230" s="4" t="s">
        <v>74</v>
      </c>
      <c r="F230" s="4" t="s">
        <v>308</v>
      </c>
      <c r="G230" s="5">
        <v>4901881872730</v>
      </c>
      <c r="H230" s="5"/>
      <c r="I230" s="5"/>
      <c r="J230" s="5">
        <v>1</v>
      </c>
      <c r="K230" s="5">
        <v>1</v>
      </c>
      <c r="L230" s="4">
        <v>1900</v>
      </c>
      <c r="M230" s="4">
        <v>1125</v>
      </c>
      <c r="N230" s="4">
        <v>950</v>
      </c>
      <c r="O230" s="6">
        <f>IFERROR(1-N230/M230,"-")</f>
        <v>0.15555555555555556</v>
      </c>
      <c r="P230" s="4" t="s">
        <v>462</v>
      </c>
      <c r="Q230" s="4" t="s">
        <v>462</v>
      </c>
      <c r="R230" s="4" t="s">
        <v>462</v>
      </c>
      <c r="S230" s="4">
        <v>2100</v>
      </c>
      <c r="T230" s="4">
        <f>IF(W230="",S230,S230*W230)</f>
        <v>2100</v>
      </c>
      <c r="U230" s="4">
        <v>1050</v>
      </c>
      <c r="V230" s="4">
        <f>IF(W230="",U230,U230*W230)</f>
        <v>1050</v>
      </c>
      <c r="W230" s="4"/>
      <c r="X230" s="21">
        <f>ROUND(M230*AL230,0)</f>
        <v>1243</v>
      </c>
      <c r="Y230" s="6">
        <f>IFERROR(1-V230/X230,"-")</f>
        <v>0.15526950925181016</v>
      </c>
      <c r="Z230" s="33">
        <v>9</v>
      </c>
      <c r="AA230" s="4">
        <f>AV230</f>
        <v>1520</v>
      </c>
      <c r="AB230" s="33">
        <f>IFERROR(AA230*AL230,"-")</f>
        <v>1680.0000000000002</v>
      </c>
      <c r="AC230" s="6">
        <f>IFERROR(1-V230/AB230,"-")</f>
        <v>0.37500000000000011</v>
      </c>
      <c r="AD230" s="7">
        <v>1640</v>
      </c>
      <c r="AE230" s="6">
        <f>1-V230/AD230</f>
        <v>0.3597560975609756</v>
      </c>
      <c r="AF230" s="4">
        <f>AD230-V230</f>
        <v>590</v>
      </c>
      <c r="AG230" s="28"/>
      <c r="AH230" s="6"/>
      <c r="AI230" s="6"/>
      <c r="AJ230" s="6">
        <f>IFERROR(T230/L230,"-")</f>
        <v>1.1052631578947369</v>
      </c>
      <c r="AK230" s="6">
        <f>IFERROR(AD230/M230,"-")</f>
        <v>1.4577777777777778</v>
      </c>
      <c r="AL230" s="6">
        <f>IFERROR(V230/N230,"-")</f>
        <v>1.1052631578947369</v>
      </c>
      <c r="AM230" s="4" t="str">
        <f t="shared" si="15"/>
        <v>-</v>
      </c>
      <c r="AN230" s="4" t="str">
        <f t="shared" si="16"/>
        <v>-</v>
      </c>
      <c r="AO230" s="4" t="str">
        <f t="shared" si="17"/>
        <v>-</v>
      </c>
      <c r="AP230" s="4">
        <v>0</v>
      </c>
      <c r="AQ230" s="4" t="s">
        <v>934</v>
      </c>
      <c r="AR230" s="4"/>
      <c r="AS230" s="4"/>
      <c r="AT230" s="4" t="s">
        <v>693</v>
      </c>
      <c r="AU230" s="4">
        <v>1520</v>
      </c>
      <c r="AV230" s="4">
        <f>IF(AR230="",AU230,AR230/AS230*AU230)</f>
        <v>1520</v>
      </c>
      <c r="AW230" s="19">
        <v>4</v>
      </c>
      <c r="AX230" s="19">
        <v>1</v>
      </c>
      <c r="AY230" s="16">
        <v>5</v>
      </c>
      <c r="AZ230" t="s">
        <v>462</v>
      </c>
      <c r="BA230" t="str">
        <f t="shared" si="18"/>
        <v>-</v>
      </c>
      <c r="BB230">
        <v>1484</v>
      </c>
      <c r="BC230">
        <f t="shared" si="19"/>
        <v>1640.2105263157896</v>
      </c>
      <c r="BD230" t="s">
        <v>678</v>
      </c>
    </row>
    <row r="231" spans="1:56" x14ac:dyDescent="0.4">
      <c r="A231" s="3">
        <v>10</v>
      </c>
      <c r="B231" s="3">
        <v>10</v>
      </c>
      <c r="C231" s="4">
        <v>198034</v>
      </c>
      <c r="D231" s="4" t="str">
        <f>TEXT(C231,"000000")</f>
        <v>198034</v>
      </c>
      <c r="E231" s="4">
        <v>198034</v>
      </c>
      <c r="F231" s="4" t="s">
        <v>212</v>
      </c>
      <c r="G231" s="5">
        <v>4901881182938</v>
      </c>
      <c r="H231" s="5"/>
      <c r="I231" s="5"/>
      <c r="J231" s="5">
        <v>1</v>
      </c>
      <c r="K231" s="5">
        <v>1</v>
      </c>
      <c r="L231" s="4">
        <v>2040</v>
      </c>
      <c r="M231" s="4">
        <v>1581</v>
      </c>
      <c r="N231" s="4">
        <v>1020</v>
      </c>
      <c r="O231" s="6">
        <f>IFERROR(1-N231/M231,"-")</f>
        <v>0.35483870967741937</v>
      </c>
      <c r="P231" s="4" t="s">
        <v>462</v>
      </c>
      <c r="Q231" s="4" t="s">
        <v>462</v>
      </c>
      <c r="R231" s="4" t="s">
        <v>462</v>
      </c>
      <c r="S231" s="4">
        <v>2400</v>
      </c>
      <c r="T231" s="4">
        <f>IF(W231="",S231,S231*W231)</f>
        <v>2400</v>
      </c>
      <c r="U231" s="4">
        <v>1200</v>
      </c>
      <c r="V231" s="4">
        <f>IF(W231="",U231,U231*W231)</f>
        <v>1200</v>
      </c>
      <c r="W231" s="4"/>
      <c r="X231" s="21">
        <f>ROUND(M231*AL231,0)</f>
        <v>1860</v>
      </c>
      <c r="Y231" s="6">
        <f>IFERROR(1-V231/X231,"-")</f>
        <v>0.35483870967741937</v>
      </c>
      <c r="Z231" s="33">
        <v>2</v>
      </c>
      <c r="AA231" s="4">
        <f>AV231</f>
        <v>2040</v>
      </c>
      <c r="AB231" s="33">
        <f>IFERROR(AA231*AL231,"-")</f>
        <v>2400</v>
      </c>
      <c r="AC231" s="6">
        <f>IFERROR(1-V231/AB231,"-")</f>
        <v>0.5</v>
      </c>
      <c r="AD231" s="7">
        <v>1900</v>
      </c>
      <c r="AE231" s="6">
        <f>1-V231/AD231</f>
        <v>0.36842105263157898</v>
      </c>
      <c r="AF231" s="4">
        <f>AD231-V231</f>
        <v>700</v>
      </c>
      <c r="AG231" s="28"/>
      <c r="AH231" s="6"/>
      <c r="AI231" s="6"/>
      <c r="AJ231" s="6">
        <f>IFERROR(T231/L231,"-")</f>
        <v>1.1764705882352942</v>
      </c>
      <c r="AK231" s="6">
        <f>IFERROR(AD231/M231,"-")</f>
        <v>1.2017710309930423</v>
      </c>
      <c r="AL231" s="6">
        <f>IFERROR(V231/N231,"-")</f>
        <v>1.1764705882352942</v>
      </c>
      <c r="AM231" s="4" t="str">
        <f t="shared" si="15"/>
        <v>-</v>
      </c>
      <c r="AN231" s="4" t="str">
        <f t="shared" si="16"/>
        <v>-</v>
      </c>
      <c r="AO231" s="4" t="str">
        <f t="shared" si="17"/>
        <v>-</v>
      </c>
      <c r="AP231" s="4">
        <v>0</v>
      </c>
      <c r="AQ231" s="4" t="s">
        <v>935</v>
      </c>
      <c r="AR231" s="4"/>
      <c r="AS231" s="4"/>
      <c r="AT231" s="4" t="s">
        <v>693</v>
      </c>
      <c r="AU231" s="4">
        <v>2040</v>
      </c>
      <c r="AV231" s="4">
        <f>IF(AR231="",AU231,AR231/AS231*AU231)</f>
        <v>2040</v>
      </c>
      <c r="AW231" s="19">
        <v>4</v>
      </c>
      <c r="AX231" s="19">
        <v>1</v>
      </c>
      <c r="AY231" s="16">
        <v>5</v>
      </c>
      <c r="AZ231" t="s">
        <v>462</v>
      </c>
      <c r="BA231" t="str">
        <f t="shared" si="18"/>
        <v>-</v>
      </c>
      <c r="BB231">
        <v>1632</v>
      </c>
      <c r="BC231">
        <f t="shared" si="19"/>
        <v>1920</v>
      </c>
      <c r="BD231" t="s">
        <v>679</v>
      </c>
    </row>
    <row r="232" spans="1:56" x14ac:dyDescent="0.4">
      <c r="A232" s="3">
        <v>132</v>
      </c>
      <c r="B232" s="3">
        <v>132</v>
      </c>
      <c r="C232" s="4" t="s">
        <v>100</v>
      </c>
      <c r="D232" s="4" t="str">
        <f>TEXT(C232,"000000")</f>
        <v>J84525</v>
      </c>
      <c r="E232" s="4" t="s">
        <v>100</v>
      </c>
      <c r="F232" s="4" t="s">
        <v>334</v>
      </c>
      <c r="G232" s="5">
        <v>4901881142666</v>
      </c>
      <c r="H232" s="5"/>
      <c r="I232" s="5"/>
      <c r="J232" s="5">
        <v>1</v>
      </c>
      <c r="K232" s="5">
        <v>1</v>
      </c>
      <c r="L232" s="4">
        <v>2150</v>
      </c>
      <c r="M232" s="4">
        <v>1343</v>
      </c>
      <c r="N232" s="4">
        <v>1075</v>
      </c>
      <c r="O232" s="6">
        <f>IFERROR(1-N232/M232,"-")</f>
        <v>0.19955323901712585</v>
      </c>
      <c r="P232" s="4" t="s">
        <v>462</v>
      </c>
      <c r="Q232" s="4" t="s">
        <v>462</v>
      </c>
      <c r="R232" s="4" t="s">
        <v>462</v>
      </c>
      <c r="S232" s="4">
        <v>2400</v>
      </c>
      <c r="T232" s="4">
        <f>IF(W232="",S232,S232*W232)</f>
        <v>2400</v>
      </c>
      <c r="U232" s="4">
        <v>1200</v>
      </c>
      <c r="V232" s="4">
        <f>IF(W232="",U232,U232*W232)</f>
        <v>1200</v>
      </c>
      <c r="W232" s="4"/>
      <c r="X232" s="21">
        <f>ROUND(M232*AL232,0)</f>
        <v>1499</v>
      </c>
      <c r="Y232" s="6">
        <f>IFERROR(1-V232/X232,"-")</f>
        <v>0.19946631087391598</v>
      </c>
      <c r="Z232" s="33">
        <v>0.25</v>
      </c>
      <c r="AA232" s="4" t="str">
        <f>AV232</f>
        <v>-</v>
      </c>
      <c r="AB232" s="33" t="str">
        <f>IFERROR(AA232*AL232,"-")</f>
        <v>-</v>
      </c>
      <c r="AC232" s="6" t="str">
        <f>IFERROR(1-V232/AB232,"-")</f>
        <v>-</v>
      </c>
      <c r="AD232" s="7">
        <v>1980</v>
      </c>
      <c r="AE232" s="6">
        <f>1-V232/AD232</f>
        <v>0.39393939393939392</v>
      </c>
      <c r="AF232" s="4">
        <f>AD232-V232</f>
        <v>780</v>
      </c>
      <c r="AG232" s="28"/>
      <c r="AH232" s="6"/>
      <c r="AI232" s="6"/>
      <c r="AJ232" s="6">
        <f>IFERROR(T232/L232,"-")</f>
        <v>1.1162790697674418</v>
      </c>
      <c r="AK232" s="6">
        <f>IFERROR(AD232/M232,"-")</f>
        <v>1.4743112434847356</v>
      </c>
      <c r="AL232" s="6">
        <f>IFERROR(V232/N232,"-")</f>
        <v>1.1162790697674418</v>
      </c>
      <c r="AM232" s="4" t="str">
        <f t="shared" si="15"/>
        <v>-</v>
      </c>
      <c r="AN232" s="4" t="str">
        <f t="shared" si="16"/>
        <v>-</v>
      </c>
      <c r="AO232" s="4" t="str">
        <f t="shared" si="17"/>
        <v>-</v>
      </c>
      <c r="AP232" s="4">
        <v>0</v>
      </c>
      <c r="AQ232" s="4" t="s">
        <v>462</v>
      </c>
      <c r="AR232" s="4"/>
      <c r="AS232" s="4"/>
      <c r="AT232" s="4" t="s">
        <v>462</v>
      </c>
      <c r="AU232" s="4" t="s">
        <v>462</v>
      </c>
      <c r="AV232" s="4" t="str">
        <f>IF(AR232="",AU232,AR232/AS232*AU232)</f>
        <v>-</v>
      </c>
      <c r="AW232" s="19">
        <v>4</v>
      </c>
      <c r="AX232" s="19">
        <v>8</v>
      </c>
      <c r="AY232" s="16">
        <v>5</v>
      </c>
      <c r="AZ232" t="s">
        <v>462</v>
      </c>
      <c r="BA232" t="str">
        <f t="shared" si="18"/>
        <v>-</v>
      </c>
      <c r="BB232">
        <v>4300</v>
      </c>
      <c r="BC232">
        <f t="shared" si="19"/>
        <v>4800</v>
      </c>
      <c r="BD232" t="s">
        <v>462</v>
      </c>
    </row>
    <row r="233" spans="1:56" x14ac:dyDescent="0.4">
      <c r="A233" s="3">
        <v>116</v>
      </c>
      <c r="B233" s="3">
        <v>116</v>
      </c>
      <c r="C233" s="4" t="s">
        <v>84</v>
      </c>
      <c r="D233" s="4" t="str">
        <f>TEXT(C233,"000000")</f>
        <v>J74483</v>
      </c>
      <c r="E233" s="4" t="s">
        <v>84</v>
      </c>
      <c r="F233" s="4" t="s">
        <v>318</v>
      </c>
      <c r="G233" s="5">
        <v>4901881180552</v>
      </c>
      <c r="H233" s="5"/>
      <c r="I233" s="5"/>
      <c r="J233" s="5">
        <v>1</v>
      </c>
      <c r="K233" s="5">
        <v>1</v>
      </c>
      <c r="L233" s="4">
        <v>2100</v>
      </c>
      <c r="M233" s="4">
        <v>1338</v>
      </c>
      <c r="N233" s="4">
        <v>1050</v>
      </c>
      <c r="O233" s="6">
        <f>IFERROR(1-N233/M233,"-")</f>
        <v>0.2152466367713004</v>
      </c>
      <c r="P233" s="4" t="s">
        <v>462</v>
      </c>
      <c r="Q233" s="4" t="s">
        <v>462</v>
      </c>
      <c r="R233" s="4" t="s">
        <v>462</v>
      </c>
      <c r="S233" s="4">
        <v>2500</v>
      </c>
      <c r="T233" s="4">
        <f>IF(W233="",S233,S233*W233)</f>
        <v>2500</v>
      </c>
      <c r="U233" s="4">
        <v>1250</v>
      </c>
      <c r="V233" s="4">
        <f>IF(W233="",U233,U233*W233)</f>
        <v>1250</v>
      </c>
      <c r="W233" s="4"/>
      <c r="X233" s="21">
        <f>ROUND(M233*AL233,0)</f>
        <v>1593</v>
      </c>
      <c r="Y233" s="6">
        <f>IFERROR(1-V233/X233,"-")</f>
        <v>0.21531701192718145</v>
      </c>
      <c r="Z233" s="33">
        <v>0.75</v>
      </c>
      <c r="AA233" s="4">
        <f>AV233</f>
        <v>2100</v>
      </c>
      <c r="AB233" s="33">
        <f>IFERROR(AA233*AL233,"-")</f>
        <v>2500</v>
      </c>
      <c r="AC233" s="6">
        <f>IFERROR(1-V233/AB233,"-")</f>
        <v>0.5</v>
      </c>
      <c r="AD233" s="7">
        <v>2000</v>
      </c>
      <c r="AE233" s="6">
        <f>1-V233/AD233</f>
        <v>0.375</v>
      </c>
      <c r="AF233" s="4">
        <f>AD233-V233</f>
        <v>750</v>
      </c>
      <c r="AG233" s="28"/>
      <c r="AH233" s="6"/>
      <c r="AI233" s="6"/>
      <c r="AJ233" s="6">
        <f>IFERROR(T233/L233,"-")</f>
        <v>1.1904761904761905</v>
      </c>
      <c r="AK233" s="6">
        <f>IFERROR(AD233/M233,"-")</f>
        <v>1.4947683109118086</v>
      </c>
      <c r="AL233" s="6">
        <f>IFERROR(V233/N233,"-")</f>
        <v>1.1904761904761905</v>
      </c>
      <c r="AM233" s="4" t="str">
        <f t="shared" si="15"/>
        <v>-</v>
      </c>
      <c r="AN233" s="4" t="str">
        <f t="shared" si="16"/>
        <v>-</v>
      </c>
      <c r="AO233" s="4" t="str">
        <f t="shared" si="17"/>
        <v>-</v>
      </c>
      <c r="AP233" s="4">
        <v>0</v>
      </c>
      <c r="AQ233" s="4" t="s">
        <v>936</v>
      </c>
      <c r="AR233" s="4"/>
      <c r="AS233" s="4"/>
      <c r="AT233" s="4" t="s">
        <v>693</v>
      </c>
      <c r="AU233" s="4">
        <v>2100</v>
      </c>
      <c r="AV233" s="4">
        <f>IF(AR233="",AU233,AR233/AS233*AU233)</f>
        <v>2100</v>
      </c>
      <c r="AW233" s="19">
        <v>4</v>
      </c>
      <c r="AX233" s="19">
        <v>8</v>
      </c>
      <c r="AY233" s="16">
        <v>5</v>
      </c>
      <c r="AZ233" t="s">
        <v>462</v>
      </c>
      <c r="BA233" t="str">
        <f t="shared" si="18"/>
        <v>-</v>
      </c>
      <c r="BB233">
        <v>2100</v>
      </c>
      <c r="BC233">
        <f t="shared" si="19"/>
        <v>2500</v>
      </c>
      <c r="BD233" t="s">
        <v>680</v>
      </c>
    </row>
    <row r="234" spans="1:56" x14ac:dyDescent="0.4">
      <c r="A234" s="3">
        <v>117</v>
      </c>
      <c r="B234" s="3">
        <v>117</v>
      </c>
      <c r="C234" s="4" t="s">
        <v>85</v>
      </c>
      <c r="D234" s="4" t="str">
        <f>TEXT(C234,"000000")</f>
        <v>J74484</v>
      </c>
      <c r="E234" s="4" t="s">
        <v>85</v>
      </c>
      <c r="F234" s="4" t="s">
        <v>319</v>
      </c>
      <c r="G234" s="5">
        <v>84511371569</v>
      </c>
      <c r="H234" s="5"/>
      <c r="I234" s="5"/>
      <c r="J234" s="5">
        <v>1</v>
      </c>
      <c r="K234" s="5">
        <v>1</v>
      </c>
      <c r="L234" s="4">
        <v>1900</v>
      </c>
      <c r="M234" s="4">
        <v>1285</v>
      </c>
      <c r="N234" s="4">
        <v>1013</v>
      </c>
      <c r="O234" s="6">
        <f>IFERROR(1-N234/M234,"-")</f>
        <v>0.21167315175097279</v>
      </c>
      <c r="P234" s="4" t="s">
        <v>462</v>
      </c>
      <c r="Q234" s="4" t="s">
        <v>462</v>
      </c>
      <c r="R234" s="4" t="s">
        <v>462</v>
      </c>
      <c r="S234" s="4">
        <v>2400</v>
      </c>
      <c r="T234" s="4">
        <f>IF(W234="",S234,S234*W234)</f>
        <v>2400</v>
      </c>
      <c r="U234" s="4">
        <v>1280</v>
      </c>
      <c r="V234" s="4">
        <f>IF(W234="",U234,U234*W234)</f>
        <v>1280</v>
      </c>
      <c r="W234" s="4"/>
      <c r="X234" s="21">
        <f>ROUND(M234*AL234,0)</f>
        <v>1624</v>
      </c>
      <c r="Y234" s="6">
        <f>IFERROR(1-V234/X234,"-")</f>
        <v>0.21182266009852213</v>
      </c>
      <c r="Z234" s="33">
        <v>0.25</v>
      </c>
      <c r="AA234" s="4" t="str">
        <f>AV234</f>
        <v>-</v>
      </c>
      <c r="AB234" s="33" t="str">
        <f>IFERROR(AA234*AL234,"-")</f>
        <v>-</v>
      </c>
      <c r="AC234" s="6" t="str">
        <f>IFERROR(1-V234/AB234,"-")</f>
        <v>-</v>
      </c>
      <c r="AD234" s="7">
        <v>2000</v>
      </c>
      <c r="AE234" s="6">
        <f>1-V234/AD234</f>
        <v>0.36</v>
      </c>
      <c r="AF234" s="4">
        <f>AD234-V234</f>
        <v>720</v>
      </c>
      <c r="AG234" s="28"/>
      <c r="AH234" s="6"/>
      <c r="AI234" s="6"/>
      <c r="AJ234" s="6">
        <f>IFERROR(T234/L234,"-")</f>
        <v>1.263157894736842</v>
      </c>
      <c r="AK234" s="6">
        <f>IFERROR(AD234/M234,"-")</f>
        <v>1.556420233463035</v>
      </c>
      <c r="AL234" s="6">
        <f>IFERROR(V234/N234,"-")</f>
        <v>1.263573543928924</v>
      </c>
      <c r="AM234" s="4" t="str">
        <f t="shared" si="15"/>
        <v>-</v>
      </c>
      <c r="AN234" s="4" t="str">
        <f t="shared" si="16"/>
        <v>-</v>
      </c>
      <c r="AO234" s="4" t="str">
        <f t="shared" si="17"/>
        <v>-</v>
      </c>
      <c r="AP234" s="4">
        <v>0</v>
      </c>
      <c r="AQ234" s="4" t="s">
        <v>462</v>
      </c>
      <c r="AR234" s="4"/>
      <c r="AS234" s="4"/>
      <c r="AT234" s="4" t="s">
        <v>462</v>
      </c>
      <c r="AU234" s="4" t="s">
        <v>462</v>
      </c>
      <c r="AV234" s="4" t="str">
        <f>IF(AR234="",AU234,AR234/AS234*AU234)</f>
        <v>-</v>
      </c>
      <c r="AW234" s="19">
        <v>4</v>
      </c>
      <c r="AX234" s="19">
        <v>8</v>
      </c>
      <c r="AY234" s="16">
        <v>5</v>
      </c>
      <c r="AZ234" t="s">
        <v>462</v>
      </c>
      <c r="BA234" t="str">
        <f t="shared" si="18"/>
        <v>-</v>
      </c>
      <c r="BB234" t="s">
        <v>462</v>
      </c>
      <c r="BC234" t="str">
        <f t="shared" si="19"/>
        <v>-</v>
      </c>
      <c r="BD234" t="s">
        <v>462</v>
      </c>
    </row>
    <row r="235" spans="1:56" x14ac:dyDescent="0.4">
      <c r="A235" s="3">
        <v>11</v>
      </c>
      <c r="B235" s="3">
        <v>11</v>
      </c>
      <c r="C235" s="46">
        <v>198035</v>
      </c>
      <c r="D235" s="4" t="str">
        <f>TEXT(C235,"000000")</f>
        <v>198035</v>
      </c>
      <c r="E235" s="4">
        <v>198035</v>
      </c>
      <c r="F235" s="4" t="s">
        <v>213</v>
      </c>
      <c r="G235" s="5">
        <v>4901881817120</v>
      </c>
      <c r="H235" s="5"/>
      <c r="I235" s="5"/>
      <c r="J235" s="5">
        <v>2</v>
      </c>
      <c r="K235" s="5">
        <v>2</v>
      </c>
      <c r="L235" s="4">
        <v>2240</v>
      </c>
      <c r="M235" s="4">
        <v>1846</v>
      </c>
      <c r="N235" s="4">
        <v>1120</v>
      </c>
      <c r="O235" s="6">
        <f>IFERROR(1-N235/M235,"-")</f>
        <v>0.39328277356446373</v>
      </c>
      <c r="P235" s="4" t="s">
        <v>462</v>
      </c>
      <c r="Q235" s="4" t="s">
        <v>462</v>
      </c>
      <c r="R235" s="4" t="s">
        <v>462</v>
      </c>
      <c r="S235" s="4">
        <v>2600</v>
      </c>
      <c r="T235" s="4">
        <f>IF(W235="",S235,S235*W235)</f>
        <v>2600</v>
      </c>
      <c r="U235" s="4">
        <v>1300</v>
      </c>
      <c r="V235" s="4">
        <f>IF(W235="",U235,U235*W235)</f>
        <v>1300</v>
      </c>
      <c r="W235" s="4"/>
      <c r="X235" s="21">
        <f>ROUND(M235*AL235,0)</f>
        <v>2143</v>
      </c>
      <c r="Y235" s="6">
        <f>IFERROR(1-V235/X235,"-")</f>
        <v>0.39337377508166127</v>
      </c>
      <c r="Z235" s="33">
        <v>2.75</v>
      </c>
      <c r="AA235" s="4">
        <f>AV235</f>
        <v>1772</v>
      </c>
      <c r="AB235" s="33">
        <f>IFERROR(AA235*AL235,"-")</f>
        <v>2056.7857142857147</v>
      </c>
      <c r="AC235" s="6">
        <f>IFERROR(1-V235/AB235,"-")</f>
        <v>0.36794582392776531</v>
      </c>
      <c r="AD235" s="7">
        <v>2050</v>
      </c>
      <c r="AE235" s="6">
        <f>1-V235/AD235</f>
        <v>0.36585365853658536</v>
      </c>
      <c r="AF235" s="4">
        <f>AD235-V235</f>
        <v>750</v>
      </c>
      <c r="AG235" s="28"/>
      <c r="AH235" s="6"/>
      <c r="AI235" s="6"/>
      <c r="AJ235" s="6">
        <f>IFERROR(T235/L235,"-")</f>
        <v>1.1607142857142858</v>
      </c>
      <c r="AK235" s="6">
        <f>IFERROR(AD235/M235,"-")</f>
        <v>1.1105092091007585</v>
      </c>
      <c r="AL235" s="6">
        <f>IFERROR(V235/N235,"-")</f>
        <v>1.1607142857142858</v>
      </c>
      <c r="AM235" s="4" t="str">
        <f t="shared" si="15"/>
        <v>-</v>
      </c>
      <c r="AN235" s="4" t="str">
        <f t="shared" si="16"/>
        <v>-</v>
      </c>
      <c r="AO235" s="4" t="str">
        <f t="shared" si="17"/>
        <v>-</v>
      </c>
      <c r="AP235" s="4">
        <v>0</v>
      </c>
      <c r="AQ235" s="4" t="s">
        <v>937</v>
      </c>
      <c r="AR235" s="4"/>
      <c r="AS235" s="4"/>
      <c r="AT235" s="4" t="s">
        <v>890</v>
      </c>
      <c r="AU235" s="4">
        <v>1772</v>
      </c>
      <c r="AV235" s="4">
        <f>IF(AR235="",AU235,AR235/AS235*AU235)</f>
        <v>1772</v>
      </c>
      <c r="AW235" s="19">
        <v>4</v>
      </c>
      <c r="AX235" s="19">
        <v>1</v>
      </c>
      <c r="AY235" s="16">
        <v>5</v>
      </c>
      <c r="AZ235">
        <v>1680</v>
      </c>
      <c r="BA235">
        <f t="shared" si="18"/>
        <v>1950.0000000000002</v>
      </c>
      <c r="BB235">
        <v>1956</v>
      </c>
      <c r="BC235">
        <f t="shared" si="19"/>
        <v>2270.3571428571431</v>
      </c>
      <c r="BD235" t="s">
        <v>681</v>
      </c>
    </row>
    <row r="236" spans="1:56" x14ac:dyDescent="0.4">
      <c r="A236" s="3">
        <v>237</v>
      </c>
      <c r="B236" s="3">
        <v>11</v>
      </c>
      <c r="C236" s="46">
        <v>198035</v>
      </c>
      <c r="D236" s="4" t="str">
        <f>TEXT(C236,"000000")</f>
        <v>198035</v>
      </c>
      <c r="E236" s="4" t="s">
        <v>438</v>
      </c>
      <c r="F236" s="33" t="s">
        <v>447</v>
      </c>
      <c r="G236" s="5">
        <v>4901881817120</v>
      </c>
      <c r="H236" s="5">
        <v>8</v>
      </c>
      <c r="I236" s="5" t="str">
        <f>C236&amp;H236</f>
        <v>1980358</v>
      </c>
      <c r="J236" s="5"/>
      <c r="K236" s="5"/>
      <c r="L236" s="4">
        <v>44800</v>
      </c>
      <c r="M236" s="4">
        <v>34388</v>
      </c>
      <c r="N236" s="4">
        <v>22400</v>
      </c>
      <c r="O236" s="6">
        <f>IFERROR(1-N236/M236,"-")</f>
        <v>0.34860998022566014</v>
      </c>
      <c r="P236" s="4" t="s">
        <v>462</v>
      </c>
      <c r="Q236" s="4" t="s">
        <v>462</v>
      </c>
      <c r="R236" s="4" t="s">
        <v>462</v>
      </c>
      <c r="S236" s="4">
        <v>2600</v>
      </c>
      <c r="T236" s="4">
        <f>IF(W236="",S236,S236*W236)</f>
        <v>52000</v>
      </c>
      <c r="U236" s="4">
        <v>1300</v>
      </c>
      <c r="V236" s="4">
        <f>IF(W236="",U236,U236*W236)</f>
        <v>26000</v>
      </c>
      <c r="W236" s="4">
        <v>20</v>
      </c>
      <c r="X236" s="21">
        <f>ROUND(M236*AL236,0)</f>
        <v>39915</v>
      </c>
      <c r="Y236" s="6">
        <f>IFERROR(1-V236/X236,"-")</f>
        <v>0.34861580859326069</v>
      </c>
      <c r="Z236" s="33">
        <v>2.75</v>
      </c>
      <c r="AA236" s="4">
        <f>AV236</f>
        <v>35440</v>
      </c>
      <c r="AB236" s="33">
        <f>IFERROR(AA236*AL236,"-")</f>
        <v>41135.71428571429</v>
      </c>
      <c r="AC236" s="6">
        <f>IFERROR(1-V236/AB236,"-")</f>
        <v>0.36794582392776531</v>
      </c>
      <c r="AD236" s="7">
        <v>38500</v>
      </c>
      <c r="AE236" s="6">
        <f>1-V236/AD236</f>
        <v>0.32467532467532467</v>
      </c>
      <c r="AF236" s="4">
        <f>AD236-V236</f>
        <v>12500</v>
      </c>
      <c r="AG236" s="28"/>
      <c r="AH236" s="6"/>
      <c r="AI236" s="6"/>
      <c r="AJ236" s="6">
        <f>IFERROR(T236/L236,"-")</f>
        <v>1.1607142857142858</v>
      </c>
      <c r="AK236" s="6">
        <f>IFERROR(AD236/M236,"-")</f>
        <v>1.1195765964871467</v>
      </c>
      <c r="AL236" s="6">
        <f>IFERROR(V236/N236,"-")</f>
        <v>1.1607142857142858</v>
      </c>
      <c r="AM236" s="4" t="str">
        <f t="shared" si="15"/>
        <v>-</v>
      </c>
      <c r="AN236" s="4" t="str">
        <f t="shared" si="16"/>
        <v>-</v>
      </c>
      <c r="AO236" s="4" t="str">
        <f t="shared" si="17"/>
        <v>-</v>
      </c>
      <c r="AP236" s="4">
        <v>0</v>
      </c>
      <c r="AQ236" s="4" t="s">
        <v>937</v>
      </c>
      <c r="AR236" s="4">
        <v>20</v>
      </c>
      <c r="AS236" s="4">
        <v>1</v>
      </c>
      <c r="AT236" s="4" t="s">
        <v>890</v>
      </c>
      <c r="AU236" s="4">
        <v>1772</v>
      </c>
      <c r="AV236" s="4">
        <f>IF(AR236="",AU236,AR236/AS236*AU236)</f>
        <v>35440</v>
      </c>
      <c r="AW236" s="19">
        <v>4</v>
      </c>
      <c r="AX236" s="19">
        <v>1</v>
      </c>
      <c r="AY236" s="16">
        <v>5</v>
      </c>
      <c r="AZ236">
        <v>1680</v>
      </c>
      <c r="BA236">
        <f t="shared" si="18"/>
        <v>1950.0000000000002</v>
      </c>
      <c r="BB236">
        <v>1956</v>
      </c>
      <c r="BC236">
        <f t="shared" si="19"/>
        <v>2270.3571428571431</v>
      </c>
      <c r="BD236" t="s">
        <v>681</v>
      </c>
    </row>
    <row r="237" spans="1:56" x14ac:dyDescent="0.4">
      <c r="A237" s="3">
        <v>89</v>
      </c>
      <c r="B237" s="3">
        <v>89</v>
      </c>
      <c r="C237" s="4">
        <v>690794</v>
      </c>
      <c r="D237" s="4" t="str">
        <f>TEXT(C237,"000000")</f>
        <v>690794</v>
      </c>
      <c r="E237" s="4">
        <v>690794</v>
      </c>
      <c r="F237" s="4" t="s">
        <v>291</v>
      </c>
      <c r="G237" s="5">
        <v>4901881146183</v>
      </c>
      <c r="H237" s="5"/>
      <c r="I237" s="5"/>
      <c r="J237" s="5">
        <v>1</v>
      </c>
      <c r="K237" s="5">
        <v>1</v>
      </c>
      <c r="L237" s="4">
        <v>2360</v>
      </c>
      <c r="M237" s="4">
        <v>1619</v>
      </c>
      <c r="N237" s="4">
        <v>1180</v>
      </c>
      <c r="O237" s="6">
        <f>IFERROR(1-N237/M237,"-")</f>
        <v>0.27115503397158736</v>
      </c>
      <c r="P237" s="4" t="s">
        <v>462</v>
      </c>
      <c r="Q237" s="4" t="s">
        <v>462</v>
      </c>
      <c r="R237" s="4" t="s">
        <v>462</v>
      </c>
      <c r="S237" s="4">
        <v>2700</v>
      </c>
      <c r="T237" s="4">
        <f>IF(W237="",S237,S237*W237)</f>
        <v>2700</v>
      </c>
      <c r="U237" s="4">
        <v>1350</v>
      </c>
      <c r="V237" s="4">
        <f>IF(W237="",U237,U237*W237)</f>
        <v>1350</v>
      </c>
      <c r="W237" s="4"/>
      <c r="X237" s="21">
        <f>ROUND(M237*AL237,0)</f>
        <v>1852</v>
      </c>
      <c r="Y237" s="6">
        <f>IFERROR(1-V237/X237,"-")</f>
        <v>0.2710583153347732</v>
      </c>
      <c r="Z237" s="33">
        <v>2.25</v>
      </c>
      <c r="AA237" s="4">
        <f>AV237</f>
        <v>2360</v>
      </c>
      <c r="AB237" s="33">
        <f>IFERROR(AA237*AL237,"-")</f>
        <v>2700</v>
      </c>
      <c r="AC237" s="6">
        <f>IFERROR(1-V237/AB237,"-")</f>
        <v>0.5</v>
      </c>
      <c r="AD237" s="7">
        <v>2100</v>
      </c>
      <c r="AE237" s="6">
        <f>1-V237/AD237</f>
        <v>0.3571428571428571</v>
      </c>
      <c r="AF237" s="4">
        <f>AD237-V237</f>
        <v>750</v>
      </c>
      <c r="AG237" s="28"/>
      <c r="AH237" s="6"/>
      <c r="AI237" s="6"/>
      <c r="AJ237" s="6">
        <f>IFERROR(T237/L237,"-")</f>
        <v>1.1440677966101696</v>
      </c>
      <c r="AK237" s="6">
        <f>IFERROR(AD237/M237,"-")</f>
        <v>1.2970969734403952</v>
      </c>
      <c r="AL237" s="6">
        <f>IFERROR(V237/N237,"-")</f>
        <v>1.1440677966101696</v>
      </c>
      <c r="AM237" s="4" t="str">
        <f t="shared" si="15"/>
        <v>-</v>
      </c>
      <c r="AN237" s="4" t="str">
        <f t="shared" si="16"/>
        <v>-</v>
      </c>
      <c r="AO237" s="4" t="str">
        <f t="shared" si="17"/>
        <v>-</v>
      </c>
      <c r="AP237" s="4">
        <v>0</v>
      </c>
      <c r="AQ237" s="4" t="s">
        <v>938</v>
      </c>
      <c r="AR237" s="4">
        <v>1</v>
      </c>
      <c r="AS237" s="4">
        <v>3</v>
      </c>
      <c r="AT237" s="4" t="s">
        <v>939</v>
      </c>
      <c r="AU237" s="4">
        <v>7080</v>
      </c>
      <c r="AV237" s="4">
        <f>IF(AR237="",AU237,AR237/AS237*AU237)</f>
        <v>2360</v>
      </c>
      <c r="AW237" s="19">
        <v>4</v>
      </c>
      <c r="AX237" s="19">
        <v>1</v>
      </c>
      <c r="AY237" s="16">
        <v>5</v>
      </c>
      <c r="AZ237" t="s">
        <v>462</v>
      </c>
      <c r="BA237" t="str">
        <f t="shared" si="18"/>
        <v>-</v>
      </c>
      <c r="BB237">
        <v>9000</v>
      </c>
      <c r="BC237">
        <f t="shared" si="19"/>
        <v>10296.610169491525</v>
      </c>
      <c r="BD237" t="s">
        <v>682</v>
      </c>
    </row>
    <row r="238" spans="1:56" x14ac:dyDescent="0.4">
      <c r="A238" s="3">
        <v>103</v>
      </c>
      <c r="B238" s="3">
        <v>103</v>
      </c>
      <c r="C238" s="4" t="s">
        <v>71</v>
      </c>
      <c r="D238" s="4" t="str">
        <f>TEXT(C238,"000000")</f>
        <v>J74470</v>
      </c>
      <c r="E238" s="4" t="s">
        <v>71</v>
      </c>
      <c r="F238" s="4" t="s">
        <v>305</v>
      </c>
      <c r="G238" s="5">
        <v>4901881182945</v>
      </c>
      <c r="H238" s="5"/>
      <c r="I238" s="5"/>
      <c r="J238" s="5">
        <v>1</v>
      </c>
      <c r="K238" s="5">
        <v>1</v>
      </c>
      <c r="L238" s="4">
        <v>2600</v>
      </c>
      <c r="M238" s="4">
        <v>1856</v>
      </c>
      <c r="N238" s="4">
        <v>1300</v>
      </c>
      <c r="O238" s="6">
        <f>IFERROR(1-N238/M238,"-")</f>
        <v>0.29956896551724133</v>
      </c>
      <c r="P238" s="4" t="s">
        <v>462</v>
      </c>
      <c r="Q238" s="4" t="s">
        <v>462</v>
      </c>
      <c r="R238" s="4" t="s">
        <v>462</v>
      </c>
      <c r="S238" s="4">
        <v>3000</v>
      </c>
      <c r="T238" s="4">
        <f>IF(W238="",S238,S238*W238)</f>
        <v>3000</v>
      </c>
      <c r="U238" s="4">
        <v>1500</v>
      </c>
      <c r="V238" s="4">
        <f>IF(W238="",U238,U238*W238)</f>
        <v>1500</v>
      </c>
      <c r="W238" s="4"/>
      <c r="X238" s="21">
        <f>ROUND(M238*AL238,0)</f>
        <v>2142</v>
      </c>
      <c r="Y238" s="6">
        <f>IFERROR(1-V238/X238,"-")</f>
        <v>0.29971988795518212</v>
      </c>
      <c r="Z238" s="33">
        <v>1</v>
      </c>
      <c r="AA238" s="4">
        <f>AV238</f>
        <v>2082</v>
      </c>
      <c r="AB238" s="33">
        <f>IFERROR(AA238*AL238,"-")</f>
        <v>2402.3076923076919</v>
      </c>
      <c r="AC238" s="6">
        <f>IFERROR(1-V238/AB238,"-")</f>
        <v>0.37560038424591724</v>
      </c>
      <c r="AD238" s="7">
        <v>2300</v>
      </c>
      <c r="AE238" s="6">
        <f>1-V238/AD238</f>
        <v>0.34782608695652173</v>
      </c>
      <c r="AF238" s="4">
        <f>AD238-V238</f>
        <v>800</v>
      </c>
      <c r="AG238" s="28"/>
      <c r="AH238" s="6"/>
      <c r="AI238" s="6"/>
      <c r="AJ238" s="6">
        <f>IFERROR(T238/L238,"-")</f>
        <v>1.1538461538461537</v>
      </c>
      <c r="AK238" s="6">
        <f>IFERROR(AD238/M238,"-")</f>
        <v>1.2392241379310345</v>
      </c>
      <c r="AL238" s="6">
        <f>IFERROR(V238/N238,"-")</f>
        <v>1.1538461538461537</v>
      </c>
      <c r="AM238" s="4" t="str">
        <f t="shared" si="15"/>
        <v>-</v>
      </c>
      <c r="AN238" s="4" t="str">
        <f t="shared" si="16"/>
        <v>-</v>
      </c>
      <c r="AO238" s="4" t="str">
        <f t="shared" si="17"/>
        <v>-</v>
      </c>
      <c r="AP238" s="4">
        <v>0</v>
      </c>
      <c r="AQ238" s="4" t="s">
        <v>940</v>
      </c>
      <c r="AR238" s="4"/>
      <c r="AS238" s="4"/>
      <c r="AT238" s="4" t="s">
        <v>890</v>
      </c>
      <c r="AU238" s="4">
        <v>2082</v>
      </c>
      <c r="AV238" s="4">
        <f>IF(AR238="",AU238,AR238/AS238*AU238)</f>
        <v>2082</v>
      </c>
      <c r="AW238" s="19">
        <v>4</v>
      </c>
      <c r="AX238" s="19">
        <v>8</v>
      </c>
      <c r="AY238" s="16">
        <v>5</v>
      </c>
      <c r="AZ238">
        <v>1950</v>
      </c>
      <c r="BA238">
        <f t="shared" si="18"/>
        <v>2250</v>
      </c>
      <c r="BB238">
        <v>2470</v>
      </c>
      <c r="BC238">
        <f t="shared" si="19"/>
        <v>2849.9999999999995</v>
      </c>
      <c r="BD238" t="s">
        <v>683</v>
      </c>
    </row>
    <row r="239" spans="1:56" x14ac:dyDescent="0.4">
      <c r="A239" s="3">
        <v>133</v>
      </c>
      <c r="B239" s="3">
        <v>133</v>
      </c>
      <c r="C239" s="17" t="s">
        <v>101</v>
      </c>
      <c r="D239" s="4" t="str">
        <f>TEXT(C239,"000000")</f>
        <v>J84526</v>
      </c>
      <c r="E239" s="4" t="s">
        <v>101</v>
      </c>
      <c r="F239" s="4" t="s">
        <v>335</v>
      </c>
      <c r="G239" s="5">
        <v>4901881142673</v>
      </c>
      <c r="H239" s="5"/>
      <c r="I239" s="5"/>
      <c r="J239" s="5">
        <v>1</v>
      </c>
      <c r="K239" s="5">
        <v>1</v>
      </c>
      <c r="L239" s="4">
        <v>2740</v>
      </c>
      <c r="M239" s="4">
        <v>1712</v>
      </c>
      <c r="N239" s="4">
        <v>1370</v>
      </c>
      <c r="O239" s="6">
        <f>IFERROR(1-N239/M239,"-")</f>
        <v>0.19976635514018692</v>
      </c>
      <c r="P239" s="4" t="s">
        <v>462</v>
      </c>
      <c r="Q239" s="4" t="s">
        <v>462</v>
      </c>
      <c r="R239" s="4" t="s">
        <v>462</v>
      </c>
      <c r="S239" s="4">
        <v>3000</v>
      </c>
      <c r="T239" s="4">
        <f>IF(W239="",S239,S239*W239)</f>
        <v>3000</v>
      </c>
      <c r="U239" s="4">
        <v>1500</v>
      </c>
      <c r="V239" s="4">
        <f>IF(W239="",U239,U239*W239)</f>
        <v>1500</v>
      </c>
      <c r="W239" s="4"/>
      <c r="X239" s="21">
        <f>ROUND(M239*AL239,0)</f>
        <v>1874</v>
      </c>
      <c r="Y239" s="6">
        <f>IFERROR(1-V239/X239,"-")</f>
        <v>0.19957310565635</v>
      </c>
      <c r="Z239" s="33">
        <v>0.25</v>
      </c>
      <c r="AA239" s="4">
        <f>AV239</f>
        <v>2740</v>
      </c>
      <c r="AB239" s="33">
        <f>IFERROR(AA239*AL239,"-")</f>
        <v>3000</v>
      </c>
      <c r="AC239" s="6">
        <f>IFERROR(1-V239/AB239,"-")</f>
        <v>0.5</v>
      </c>
      <c r="AD239" s="7">
        <v>2400</v>
      </c>
      <c r="AE239" s="6">
        <f>1-V239/AD239</f>
        <v>0.375</v>
      </c>
      <c r="AF239" s="4">
        <f>AD239-V239</f>
        <v>900</v>
      </c>
      <c r="AG239" s="28"/>
      <c r="AH239" s="6"/>
      <c r="AI239" s="6"/>
      <c r="AJ239" s="6">
        <f>IFERROR(T239/L239,"-")</f>
        <v>1.0948905109489051</v>
      </c>
      <c r="AK239" s="6">
        <f>IFERROR(AD239/M239,"-")</f>
        <v>1.4018691588785046</v>
      </c>
      <c r="AL239" s="6">
        <f>IFERROR(V239/N239,"-")</f>
        <v>1.0948905109489051</v>
      </c>
      <c r="AM239" s="4" t="str">
        <f t="shared" si="15"/>
        <v>-</v>
      </c>
      <c r="AN239" s="4" t="str">
        <f t="shared" si="16"/>
        <v>-</v>
      </c>
      <c r="AO239" s="4" t="str">
        <f t="shared" si="17"/>
        <v>-</v>
      </c>
      <c r="AP239" s="4">
        <v>0</v>
      </c>
      <c r="AQ239" s="4" t="s">
        <v>941</v>
      </c>
      <c r="AR239" s="4"/>
      <c r="AS239" s="4"/>
      <c r="AT239" s="4" t="s">
        <v>693</v>
      </c>
      <c r="AU239" s="4">
        <v>2740</v>
      </c>
      <c r="AV239" s="4">
        <f>IF(AR239="",AU239,AR239/AS239*AU239)</f>
        <v>2740</v>
      </c>
      <c r="AW239" s="19">
        <v>4</v>
      </c>
      <c r="AX239" s="19">
        <v>8</v>
      </c>
      <c r="AY239" s="16">
        <v>5</v>
      </c>
      <c r="AZ239" t="s">
        <v>462</v>
      </c>
      <c r="BA239" t="str">
        <f t="shared" si="18"/>
        <v>-</v>
      </c>
      <c r="BB239" t="s">
        <v>462</v>
      </c>
      <c r="BC239" t="str">
        <f t="shared" si="19"/>
        <v>-</v>
      </c>
      <c r="BD239" t="s">
        <v>684</v>
      </c>
    </row>
    <row r="240" spans="1:56" x14ac:dyDescent="0.4">
      <c r="A240" s="3">
        <v>105</v>
      </c>
      <c r="B240" s="3">
        <v>105</v>
      </c>
      <c r="C240" s="4" t="s">
        <v>73</v>
      </c>
      <c r="D240" s="4" t="str">
        <f>TEXT(C240,"000000")</f>
        <v>J74472</v>
      </c>
      <c r="E240" s="4" t="s">
        <v>73</v>
      </c>
      <c r="F240" s="4" t="s">
        <v>307</v>
      </c>
      <c r="G240" s="5">
        <v>4901881142802</v>
      </c>
      <c r="H240" s="5"/>
      <c r="I240" s="5"/>
      <c r="J240" s="5">
        <v>1</v>
      </c>
      <c r="K240" s="5">
        <v>1</v>
      </c>
      <c r="L240" s="4">
        <v>2800</v>
      </c>
      <c r="M240" s="4">
        <v>1772</v>
      </c>
      <c r="N240" s="4">
        <v>1400</v>
      </c>
      <c r="O240" s="6">
        <f>IFERROR(1-N240/M240,"-")</f>
        <v>0.20993227990970653</v>
      </c>
      <c r="P240" s="4" t="s">
        <v>462</v>
      </c>
      <c r="Q240" s="4" t="s">
        <v>462</v>
      </c>
      <c r="R240" s="4" t="s">
        <v>462</v>
      </c>
      <c r="S240" s="4">
        <v>3100</v>
      </c>
      <c r="T240" s="4">
        <f>IF(W240="",S240,S240*W240)</f>
        <v>3100</v>
      </c>
      <c r="U240" s="4">
        <v>1550</v>
      </c>
      <c r="V240" s="4">
        <f>IF(W240="",U240,U240*W240)</f>
        <v>1550</v>
      </c>
      <c r="W240" s="4"/>
      <c r="X240" s="21">
        <f>ROUND(M240*AL240,0)</f>
        <v>1962</v>
      </c>
      <c r="Y240" s="6">
        <f>IFERROR(1-V240/X240,"-")</f>
        <v>0.20998980632008157</v>
      </c>
      <c r="Z240" s="33">
        <v>0</v>
      </c>
      <c r="AA240" s="4">
        <f>AV240</f>
        <v>2800</v>
      </c>
      <c r="AB240" s="33">
        <f>IFERROR(AA240*AL240,"-")</f>
        <v>3100</v>
      </c>
      <c r="AC240" s="6">
        <f>IFERROR(1-V240/AB240,"-")</f>
        <v>0.5</v>
      </c>
      <c r="AD240" s="7">
        <v>2500</v>
      </c>
      <c r="AE240" s="6">
        <f>1-V240/AD240</f>
        <v>0.38</v>
      </c>
      <c r="AF240" s="4">
        <f>AD240-V240</f>
        <v>950</v>
      </c>
      <c r="AG240" s="28"/>
      <c r="AH240" s="6"/>
      <c r="AI240" s="6"/>
      <c r="AJ240" s="6">
        <f>IFERROR(T240/L240,"-")</f>
        <v>1.1071428571428572</v>
      </c>
      <c r="AK240" s="6">
        <f>IFERROR(AD240/M240,"-")</f>
        <v>1.4108352144469527</v>
      </c>
      <c r="AL240" s="6">
        <f>IFERROR(V240/N240,"-")</f>
        <v>1.1071428571428572</v>
      </c>
      <c r="AM240" s="4" t="str">
        <f t="shared" si="15"/>
        <v>-</v>
      </c>
      <c r="AN240" s="4" t="str">
        <f t="shared" si="16"/>
        <v>-</v>
      </c>
      <c r="AO240" s="4" t="str">
        <f t="shared" si="17"/>
        <v>-</v>
      </c>
      <c r="AP240" s="4">
        <v>0</v>
      </c>
      <c r="AQ240" s="4" t="s">
        <v>942</v>
      </c>
      <c r="AR240" s="4"/>
      <c r="AS240" s="4"/>
      <c r="AT240" s="4" t="s">
        <v>693</v>
      </c>
      <c r="AU240" s="4">
        <v>2800</v>
      </c>
      <c r="AV240" s="4">
        <f>IF(AR240="",AU240,AR240/AS240*AU240)</f>
        <v>2800</v>
      </c>
      <c r="AW240" s="19">
        <v>4</v>
      </c>
      <c r="AX240" s="19">
        <v>8</v>
      </c>
      <c r="AY240" s="16">
        <v>5</v>
      </c>
      <c r="AZ240" t="s">
        <v>462</v>
      </c>
      <c r="BA240" t="str">
        <f t="shared" si="18"/>
        <v>-</v>
      </c>
      <c r="BB240">
        <v>2800</v>
      </c>
      <c r="BC240">
        <f t="shared" si="19"/>
        <v>3100</v>
      </c>
      <c r="BD240" t="s">
        <v>685</v>
      </c>
    </row>
    <row r="241" spans="1:56" x14ac:dyDescent="0.4">
      <c r="A241" s="3">
        <v>90</v>
      </c>
      <c r="B241" s="3">
        <v>90</v>
      </c>
      <c r="C241" s="4">
        <v>690796</v>
      </c>
      <c r="D241" s="4" t="str">
        <f>TEXT(C241,"000000")</f>
        <v>690796</v>
      </c>
      <c r="E241" s="4">
        <v>690796</v>
      </c>
      <c r="F241" s="4" t="s">
        <v>292</v>
      </c>
      <c r="G241" s="5">
        <v>4901881146190</v>
      </c>
      <c r="H241" s="5"/>
      <c r="I241" s="5"/>
      <c r="J241" s="5">
        <v>1</v>
      </c>
      <c r="K241" s="5">
        <v>1</v>
      </c>
      <c r="L241" s="4">
        <v>2800</v>
      </c>
      <c r="M241" s="4">
        <v>2097</v>
      </c>
      <c r="N241" s="4">
        <v>1400</v>
      </c>
      <c r="O241" s="6">
        <f>IFERROR(1-N241/M241,"-")</f>
        <v>0.33237958989031946</v>
      </c>
      <c r="P241" s="4" t="s">
        <v>462</v>
      </c>
      <c r="Q241" s="4" t="s">
        <v>462</v>
      </c>
      <c r="R241" s="4" t="s">
        <v>462</v>
      </c>
      <c r="S241" s="4">
        <v>3200</v>
      </c>
      <c r="T241" s="4">
        <f>IF(W241="",S241,S241*W241)</f>
        <v>3200</v>
      </c>
      <c r="U241" s="4">
        <v>1600</v>
      </c>
      <c r="V241" s="4">
        <f>IF(W241="",U241,U241*W241)</f>
        <v>1600</v>
      </c>
      <c r="W241" s="4"/>
      <c r="X241" s="21">
        <f>ROUND(M241*AL241,0)</f>
        <v>2397</v>
      </c>
      <c r="Y241" s="6">
        <f>IFERROR(1-V241/X241,"-")</f>
        <v>0.3324989570296204</v>
      </c>
      <c r="Z241" s="33">
        <v>1.5</v>
      </c>
      <c r="AA241" s="4">
        <f>AV241</f>
        <v>2800</v>
      </c>
      <c r="AB241" s="33">
        <f>IFERROR(AA241*AL241,"-")</f>
        <v>3200</v>
      </c>
      <c r="AC241" s="6">
        <f>IFERROR(1-V241/AB241,"-")</f>
        <v>0.5</v>
      </c>
      <c r="AD241" s="7">
        <v>2600</v>
      </c>
      <c r="AE241" s="6">
        <f>1-V241/AD241</f>
        <v>0.38461538461538458</v>
      </c>
      <c r="AF241" s="4">
        <f>AD241-V241</f>
        <v>1000</v>
      </c>
      <c r="AG241" s="28"/>
      <c r="AH241" s="6"/>
      <c r="AI241" s="6"/>
      <c r="AJ241" s="6">
        <f>IFERROR(T241/L241,"-")</f>
        <v>1.1428571428571428</v>
      </c>
      <c r="AK241" s="6">
        <f>IFERROR(AD241/M241,"-")</f>
        <v>1.2398664759179781</v>
      </c>
      <c r="AL241" s="6">
        <f>IFERROR(V241/N241,"-")</f>
        <v>1.1428571428571428</v>
      </c>
      <c r="AM241" s="4" t="str">
        <f t="shared" si="15"/>
        <v>-</v>
      </c>
      <c r="AN241" s="4" t="str">
        <f t="shared" si="16"/>
        <v>-</v>
      </c>
      <c r="AO241" s="4" t="str">
        <f t="shared" si="17"/>
        <v>-</v>
      </c>
      <c r="AP241" s="4">
        <v>0</v>
      </c>
      <c r="AQ241" s="4" t="s">
        <v>943</v>
      </c>
      <c r="AR241" s="4"/>
      <c r="AS241" s="4"/>
      <c r="AT241" s="4" t="s">
        <v>890</v>
      </c>
      <c r="AU241" s="4">
        <v>2800</v>
      </c>
      <c r="AV241" s="4">
        <f>IF(AR241="",AU241,AR241/AS241*AU241)</f>
        <v>2800</v>
      </c>
      <c r="AW241" s="19">
        <v>4</v>
      </c>
      <c r="AX241" s="19">
        <v>1</v>
      </c>
      <c r="AY241" s="16">
        <v>5</v>
      </c>
      <c r="AZ241" t="s">
        <v>462</v>
      </c>
      <c r="BA241" t="str">
        <f t="shared" si="18"/>
        <v>-</v>
      </c>
      <c r="BB241">
        <v>2797</v>
      </c>
      <c r="BC241">
        <f t="shared" si="19"/>
        <v>3196.5714285714284</v>
      </c>
      <c r="BD241" t="s">
        <v>686</v>
      </c>
    </row>
    <row r="242" spans="1:56" x14ac:dyDescent="0.4">
      <c r="A242" s="3">
        <v>118</v>
      </c>
      <c r="B242" s="3">
        <v>118</v>
      </c>
      <c r="C242" s="4" t="s">
        <v>86</v>
      </c>
      <c r="D242" s="4" t="str">
        <f>TEXT(C242,"000000")</f>
        <v>J74485</v>
      </c>
      <c r="E242" s="4" t="s">
        <v>86</v>
      </c>
      <c r="F242" s="4" t="s">
        <v>320</v>
      </c>
      <c r="G242" s="5">
        <v>84511371552</v>
      </c>
      <c r="H242" s="5"/>
      <c r="I242" s="5"/>
      <c r="J242" s="5">
        <v>1</v>
      </c>
      <c r="K242" s="5">
        <v>1</v>
      </c>
      <c r="L242" s="4">
        <v>3800</v>
      </c>
      <c r="M242" s="4">
        <v>2638</v>
      </c>
      <c r="N242" s="4">
        <v>2026</v>
      </c>
      <c r="O242" s="6">
        <f>IFERROR(1-N242/M242,"-")</f>
        <v>0.23199393479909025</v>
      </c>
      <c r="P242" s="4" t="s">
        <v>462</v>
      </c>
      <c r="Q242" s="4" t="s">
        <v>462</v>
      </c>
      <c r="R242" s="4" t="s">
        <v>462</v>
      </c>
      <c r="S242" s="4">
        <v>4800</v>
      </c>
      <c r="T242" s="4">
        <f>IF(W242="",S242,S242*W242)</f>
        <v>4800</v>
      </c>
      <c r="U242" s="4">
        <v>2560</v>
      </c>
      <c r="V242" s="4">
        <f>IF(W242="",U242,U242*W242)</f>
        <v>2560</v>
      </c>
      <c r="W242" s="4"/>
      <c r="X242" s="21">
        <f>ROUND(M242*AL242,0)</f>
        <v>3333</v>
      </c>
      <c r="Y242" s="6">
        <f>IFERROR(1-V242/X242,"-")</f>
        <v>0.23192319231923197</v>
      </c>
      <c r="Z242" s="33">
        <v>1.5</v>
      </c>
      <c r="AA242" s="4" t="str">
        <f>AV242</f>
        <v>-</v>
      </c>
      <c r="AB242" s="33" t="str">
        <f>IFERROR(AA242*AL242,"-")</f>
        <v>-</v>
      </c>
      <c r="AC242" s="6" t="str">
        <f>IFERROR(1-V242/AB242,"-")</f>
        <v>-</v>
      </c>
      <c r="AD242" s="7">
        <v>4000</v>
      </c>
      <c r="AE242" s="6">
        <f>1-V242/AD242</f>
        <v>0.36</v>
      </c>
      <c r="AF242" s="4">
        <f>AD242-V242</f>
        <v>1440</v>
      </c>
      <c r="AG242" s="28"/>
      <c r="AH242" s="6"/>
      <c r="AI242" s="6"/>
      <c r="AJ242" s="6">
        <f>IFERROR(T242/L242,"-")</f>
        <v>1.263157894736842</v>
      </c>
      <c r="AK242" s="6">
        <f>IFERROR(AD242/M242,"-")</f>
        <v>1.5163002274450341</v>
      </c>
      <c r="AL242" s="6">
        <f>IFERROR(V242/N242,"-")</f>
        <v>1.263573543928924</v>
      </c>
      <c r="AM242" s="4" t="str">
        <f t="shared" si="15"/>
        <v>-</v>
      </c>
      <c r="AN242" s="4" t="str">
        <f t="shared" si="16"/>
        <v>-</v>
      </c>
      <c r="AO242" s="4" t="str">
        <f t="shared" si="17"/>
        <v>-</v>
      </c>
      <c r="AP242" s="4">
        <v>0</v>
      </c>
      <c r="AQ242" s="4" t="s">
        <v>462</v>
      </c>
      <c r="AR242" s="4"/>
      <c r="AS242" s="4"/>
      <c r="AT242" s="4" t="s">
        <v>462</v>
      </c>
      <c r="AU242" s="4" t="s">
        <v>462</v>
      </c>
      <c r="AV242" s="4" t="str">
        <f>IF(AR242="",AU242,AR242/AS242*AU242)</f>
        <v>-</v>
      </c>
      <c r="AW242" s="19">
        <v>4</v>
      </c>
      <c r="AX242" s="19">
        <v>8</v>
      </c>
      <c r="AY242" s="16">
        <v>5</v>
      </c>
      <c r="AZ242" t="s">
        <v>462</v>
      </c>
      <c r="BA242" t="str">
        <f t="shared" si="18"/>
        <v>-</v>
      </c>
      <c r="BB242" t="s">
        <v>462</v>
      </c>
      <c r="BC242" t="str">
        <f t="shared" si="19"/>
        <v>-</v>
      </c>
      <c r="BD242" t="s">
        <v>462</v>
      </c>
    </row>
    <row r="243" spans="1:56" x14ac:dyDescent="0.4">
      <c r="A243" s="3">
        <v>97</v>
      </c>
      <c r="B243" s="3">
        <v>97</v>
      </c>
      <c r="C243" s="4" t="s">
        <v>65</v>
      </c>
      <c r="D243" s="4" t="str">
        <f>TEXT(C243,"000000")</f>
        <v>J72147</v>
      </c>
      <c r="E243" s="4" t="s">
        <v>65</v>
      </c>
      <c r="F243" s="4" t="s">
        <v>299</v>
      </c>
      <c r="G243" s="5">
        <v>4901881216879</v>
      </c>
      <c r="H243" s="5"/>
      <c r="I243" s="5"/>
      <c r="J243" s="5">
        <v>1</v>
      </c>
      <c r="K243" s="5">
        <v>1</v>
      </c>
      <c r="L243" s="4">
        <v>4900</v>
      </c>
      <c r="M243" s="4">
        <v>3634</v>
      </c>
      <c r="N243" s="4">
        <v>2352</v>
      </c>
      <c r="O243" s="6">
        <f>IFERROR(1-N243/M243,"-")</f>
        <v>0.35277930654925704</v>
      </c>
      <c r="P243" s="4" t="s">
        <v>462</v>
      </c>
      <c r="Q243" s="4" t="s">
        <v>462</v>
      </c>
      <c r="R243" s="4" t="s">
        <v>462</v>
      </c>
      <c r="S243" s="4">
        <v>5200</v>
      </c>
      <c r="T243" s="4">
        <f>IF(W243="",S243,S243*W243)</f>
        <v>5200</v>
      </c>
      <c r="U243" s="4">
        <v>2600</v>
      </c>
      <c r="V243" s="4">
        <f>IF(W243="",U243,U243*W243)</f>
        <v>2600</v>
      </c>
      <c r="W243" s="4"/>
      <c r="X243" s="21">
        <f>ROUND(M243*AL243,0)</f>
        <v>4017</v>
      </c>
      <c r="Y243" s="6">
        <f>IFERROR(1-V243/X243,"-")</f>
        <v>0.3527508090614887</v>
      </c>
      <c r="Z243" s="33">
        <v>0.25</v>
      </c>
      <c r="AA243" s="4">
        <f>AV243</f>
        <v>4900</v>
      </c>
      <c r="AB243" s="33">
        <f>IFERROR(AA243*AL243,"-")</f>
        <v>5416.666666666667</v>
      </c>
      <c r="AC243" s="6">
        <f>IFERROR(1-V243/AB243,"-")</f>
        <v>0.52</v>
      </c>
      <c r="AD243" s="7">
        <v>4300</v>
      </c>
      <c r="AE243" s="6">
        <f>1-V243/AD243</f>
        <v>0.39534883720930236</v>
      </c>
      <c r="AF243" s="4">
        <f>AD243-V243</f>
        <v>1700</v>
      </c>
      <c r="AG243" s="28"/>
      <c r="AH243" s="6"/>
      <c r="AI243" s="6"/>
      <c r="AJ243" s="6">
        <f>IFERROR(T243/L243,"-")</f>
        <v>1.0612244897959184</v>
      </c>
      <c r="AK243" s="6">
        <f>IFERROR(AD243/M243,"-")</f>
        <v>1.1832691249312053</v>
      </c>
      <c r="AL243" s="6">
        <f>IFERROR(V243/N243,"-")</f>
        <v>1.1054421768707483</v>
      </c>
      <c r="AM243" s="4" t="str">
        <f t="shared" si="15"/>
        <v>-</v>
      </c>
      <c r="AN243" s="4" t="str">
        <f t="shared" si="16"/>
        <v>-</v>
      </c>
      <c r="AO243" s="4" t="str">
        <f t="shared" si="17"/>
        <v>-</v>
      </c>
      <c r="AP243" s="4">
        <v>0</v>
      </c>
      <c r="AQ243" s="4" t="s">
        <v>944</v>
      </c>
      <c r="AR243" s="4"/>
      <c r="AS243" s="4"/>
      <c r="AT243" s="4" t="s">
        <v>693</v>
      </c>
      <c r="AU243" s="4">
        <v>4900</v>
      </c>
      <c r="AV243" s="4">
        <f>IF(AR243="",AU243,AR243/AS243*AU243)</f>
        <v>4900</v>
      </c>
      <c r="AW243" s="19">
        <v>4</v>
      </c>
      <c r="AX243" s="19">
        <v>8</v>
      </c>
      <c r="AY243" s="16">
        <v>5</v>
      </c>
      <c r="AZ243" t="s">
        <v>462</v>
      </c>
      <c r="BA243" t="str">
        <f t="shared" si="18"/>
        <v>-</v>
      </c>
      <c r="BB243">
        <v>4900</v>
      </c>
      <c r="BC243">
        <f t="shared" si="19"/>
        <v>5416.666666666667</v>
      </c>
      <c r="BD243" t="s">
        <v>687</v>
      </c>
    </row>
    <row r="244" spans="1:56" x14ac:dyDescent="0.4">
      <c r="A244" s="3">
        <v>98</v>
      </c>
      <c r="B244" s="3">
        <v>98</v>
      </c>
      <c r="C244" s="4" t="s">
        <v>66</v>
      </c>
      <c r="D244" s="4" t="str">
        <f>TEXT(C244,"000000")</f>
        <v>J72148</v>
      </c>
      <c r="E244" s="4" t="s">
        <v>66</v>
      </c>
      <c r="F244" s="4" t="s">
        <v>300</v>
      </c>
      <c r="G244" s="5">
        <v>4901881216886</v>
      </c>
      <c r="H244" s="5"/>
      <c r="I244" s="5"/>
      <c r="J244" s="5">
        <v>1</v>
      </c>
      <c r="K244" s="5">
        <v>1</v>
      </c>
      <c r="L244" s="4">
        <v>4900</v>
      </c>
      <c r="M244" s="4">
        <v>3094</v>
      </c>
      <c r="N244" s="4">
        <v>2352</v>
      </c>
      <c r="O244" s="6">
        <f>IFERROR(1-N244/M244,"-")</f>
        <v>0.23981900452488691</v>
      </c>
      <c r="P244" s="4" t="s">
        <v>462</v>
      </c>
      <c r="Q244" s="4" t="s">
        <v>462</v>
      </c>
      <c r="R244" s="4" t="s">
        <v>462</v>
      </c>
      <c r="S244" s="4">
        <v>5200</v>
      </c>
      <c r="T244" s="4">
        <f>IF(W244="",S244,S244*W244)</f>
        <v>5200</v>
      </c>
      <c r="U244" s="4">
        <v>2600</v>
      </c>
      <c r="V244" s="4">
        <f>IF(W244="",U244,U244*W244)</f>
        <v>2600</v>
      </c>
      <c r="W244" s="4"/>
      <c r="X244" s="21">
        <f>ROUND(M244*AL244,0)</f>
        <v>3420</v>
      </c>
      <c r="Y244" s="6">
        <f>IFERROR(1-V244/X244,"-")</f>
        <v>0.23976608187134507</v>
      </c>
      <c r="Z244" s="33">
        <v>0</v>
      </c>
      <c r="AA244" s="4">
        <f>AV244</f>
        <v>4900</v>
      </c>
      <c r="AB244" s="33">
        <f>IFERROR(AA244*AL244,"-")</f>
        <v>5416.666666666667</v>
      </c>
      <c r="AC244" s="6">
        <f>IFERROR(1-V244/AB244,"-")</f>
        <v>0.52</v>
      </c>
      <c r="AD244" s="7">
        <v>4300</v>
      </c>
      <c r="AE244" s="6">
        <f>1-V244/AD244</f>
        <v>0.39534883720930236</v>
      </c>
      <c r="AF244" s="4">
        <f>AD244-V244</f>
        <v>1700</v>
      </c>
      <c r="AG244" s="28"/>
      <c r="AH244" s="6"/>
      <c r="AI244" s="6"/>
      <c r="AJ244" s="6">
        <f>IFERROR(T244/L244,"-")</f>
        <v>1.0612244897959184</v>
      </c>
      <c r="AK244" s="6">
        <f>IFERROR(AD244/M244,"-")</f>
        <v>1.3897866839043309</v>
      </c>
      <c r="AL244" s="6">
        <f>IFERROR(V244/N244,"-")</f>
        <v>1.1054421768707483</v>
      </c>
      <c r="AM244" s="4" t="str">
        <f t="shared" si="15"/>
        <v>-</v>
      </c>
      <c r="AN244" s="4" t="str">
        <f t="shared" si="16"/>
        <v>-</v>
      </c>
      <c r="AO244" s="4" t="str">
        <f t="shared" si="17"/>
        <v>-</v>
      </c>
      <c r="AP244" s="4">
        <v>0</v>
      </c>
      <c r="AQ244" s="4" t="s">
        <v>945</v>
      </c>
      <c r="AR244" s="4"/>
      <c r="AS244" s="4"/>
      <c r="AT244" s="4" t="s">
        <v>693</v>
      </c>
      <c r="AU244" s="4">
        <v>4900</v>
      </c>
      <c r="AV244" s="4">
        <f>IF(AR244="",AU244,AR244/AS244*AU244)</f>
        <v>4900</v>
      </c>
      <c r="AW244" s="19">
        <v>4</v>
      </c>
      <c r="AX244" s="19">
        <v>8</v>
      </c>
      <c r="AY244" s="16">
        <v>5</v>
      </c>
      <c r="AZ244" t="s">
        <v>462</v>
      </c>
      <c r="BA244" t="str">
        <f t="shared" si="18"/>
        <v>-</v>
      </c>
      <c r="BB244">
        <v>4900</v>
      </c>
      <c r="BC244">
        <f t="shared" si="19"/>
        <v>5416.666666666667</v>
      </c>
      <c r="BD244" t="s">
        <v>688</v>
      </c>
    </row>
    <row r="245" spans="1:56" x14ac:dyDescent="0.4">
      <c r="A245" s="3">
        <v>104</v>
      </c>
      <c r="B245" s="3">
        <v>104</v>
      </c>
      <c r="C245" s="4" t="s">
        <v>72</v>
      </c>
      <c r="D245" s="4" t="str">
        <f>TEXT(C245,"000000")</f>
        <v>J74471</v>
      </c>
      <c r="E245" s="4" t="s">
        <v>72</v>
      </c>
      <c r="F245" s="4" t="s">
        <v>306</v>
      </c>
      <c r="G245" s="5">
        <v>4901881115721</v>
      </c>
      <c r="H245" s="5"/>
      <c r="I245" s="5"/>
      <c r="J245" s="5">
        <v>1</v>
      </c>
      <c r="K245" s="5">
        <v>1</v>
      </c>
      <c r="L245" s="4">
        <v>5600</v>
      </c>
      <c r="M245" s="4">
        <v>3636</v>
      </c>
      <c r="N245" s="4">
        <v>2800</v>
      </c>
      <c r="O245" s="6">
        <f>IFERROR(1-N245/M245,"-")</f>
        <v>0.22992299229922997</v>
      </c>
      <c r="P245" s="4" t="s">
        <v>462</v>
      </c>
      <c r="Q245" s="4" t="s">
        <v>462</v>
      </c>
      <c r="R245" s="4" t="s">
        <v>462</v>
      </c>
      <c r="S245" s="4">
        <v>6000</v>
      </c>
      <c r="T245" s="4">
        <f>IF(W245="",S245,S245*W245)</f>
        <v>6000</v>
      </c>
      <c r="U245" s="4">
        <v>3000</v>
      </c>
      <c r="V245" s="4">
        <f>IF(W245="",U245,U245*W245)</f>
        <v>3000</v>
      </c>
      <c r="W245" s="4"/>
      <c r="X245" s="21">
        <f>ROUND(M245*AL245,0)</f>
        <v>3896</v>
      </c>
      <c r="Y245" s="6">
        <f>IFERROR(1-V245/X245,"-")</f>
        <v>0.22997946611909648</v>
      </c>
      <c r="Z245" s="33">
        <v>0.5</v>
      </c>
      <c r="AA245" s="4">
        <f>AV245</f>
        <v>5000</v>
      </c>
      <c r="AB245" s="33">
        <f>IFERROR(AA245*AL245,"-")</f>
        <v>5357.1428571428569</v>
      </c>
      <c r="AC245" s="6">
        <f>IFERROR(1-V245/AB245,"-")</f>
        <v>0.43999999999999995</v>
      </c>
      <c r="AD245" s="7">
        <v>4700</v>
      </c>
      <c r="AE245" s="6">
        <f>1-V245/AD245</f>
        <v>0.36170212765957444</v>
      </c>
      <c r="AF245" s="4">
        <f>AD245-V245</f>
        <v>1700</v>
      </c>
      <c r="AG245" s="28"/>
      <c r="AH245" s="6"/>
      <c r="AI245" s="6"/>
      <c r="AJ245" s="6">
        <f>IFERROR(T245/L245,"-")</f>
        <v>1.0714285714285714</v>
      </c>
      <c r="AK245" s="6">
        <f>IFERROR(AD245/M245,"-")</f>
        <v>1.2926292629262925</v>
      </c>
      <c r="AL245" s="6">
        <f>IFERROR(V245/N245,"-")</f>
        <v>1.0714285714285714</v>
      </c>
      <c r="AM245" s="4" t="str">
        <f t="shared" si="15"/>
        <v>-</v>
      </c>
      <c r="AN245" s="4" t="str">
        <f t="shared" si="16"/>
        <v>-</v>
      </c>
      <c r="AO245" s="4" t="str">
        <f t="shared" si="17"/>
        <v>-</v>
      </c>
      <c r="AP245" s="4">
        <v>0</v>
      </c>
      <c r="AQ245" s="4" t="s">
        <v>946</v>
      </c>
      <c r="AR245" s="4"/>
      <c r="AS245" s="4"/>
      <c r="AT245" s="4" t="s">
        <v>890</v>
      </c>
      <c r="AU245" s="4">
        <v>5000</v>
      </c>
      <c r="AV245" s="4">
        <f>IF(AR245="",AU245,AR245/AS245*AU245)</f>
        <v>5000</v>
      </c>
      <c r="AW245" s="19">
        <v>4</v>
      </c>
      <c r="AX245" s="19">
        <v>1</v>
      </c>
      <c r="AY245" s="16">
        <v>5</v>
      </c>
      <c r="AZ245">
        <v>4200</v>
      </c>
      <c r="BA245">
        <f t="shared" si="18"/>
        <v>4500</v>
      </c>
      <c r="BB245">
        <v>2593</v>
      </c>
      <c r="BC245">
        <f t="shared" si="19"/>
        <v>2778.2142857142858</v>
      </c>
      <c r="BD245" t="s">
        <v>689</v>
      </c>
    </row>
    <row r="246" spans="1:56" x14ac:dyDescent="0.4">
      <c r="A246" s="3">
        <v>119</v>
      </c>
      <c r="B246" s="3">
        <v>119</v>
      </c>
      <c r="C246" s="4" t="s">
        <v>87</v>
      </c>
      <c r="D246" s="4" t="str">
        <f>TEXT(C246,"000000")</f>
        <v>J74486</v>
      </c>
      <c r="E246" s="4" t="s">
        <v>87</v>
      </c>
      <c r="F246" s="4" t="s">
        <v>321</v>
      </c>
      <c r="G246" s="5">
        <v>84511372313</v>
      </c>
      <c r="H246" s="5"/>
      <c r="I246" s="5"/>
      <c r="J246" s="5">
        <v>1</v>
      </c>
      <c r="K246" s="5">
        <v>1</v>
      </c>
      <c r="L246" s="4">
        <v>5500</v>
      </c>
      <c r="M246" s="4">
        <v>3809</v>
      </c>
      <c r="N246" s="4">
        <v>2933</v>
      </c>
      <c r="O246" s="6">
        <f>IFERROR(1-N246/M246,"-")</f>
        <v>0.22998162247309006</v>
      </c>
      <c r="P246" s="4" t="s">
        <v>462</v>
      </c>
      <c r="Q246" s="4" t="s">
        <v>462</v>
      </c>
      <c r="R246" s="4" t="s">
        <v>462</v>
      </c>
      <c r="S246" s="4">
        <v>6800</v>
      </c>
      <c r="T246" s="4">
        <f>IF(W246="",S246,S246*W246)</f>
        <v>6800</v>
      </c>
      <c r="U246" s="4">
        <v>3627</v>
      </c>
      <c r="V246" s="4">
        <f>IF(W246="",U246,U246*W246)</f>
        <v>3627</v>
      </c>
      <c r="W246" s="4"/>
      <c r="X246" s="21">
        <f>ROUND(M246*AL246,0)</f>
        <v>4710</v>
      </c>
      <c r="Y246" s="6">
        <f>IFERROR(1-V246/X246,"-")</f>
        <v>0.22993630573248403</v>
      </c>
      <c r="Z246" s="33">
        <v>1.25</v>
      </c>
      <c r="AA246" s="4" t="str">
        <f>AV246</f>
        <v>-</v>
      </c>
      <c r="AB246" s="33" t="str">
        <f>IFERROR(AA246*AL246,"-")</f>
        <v>-</v>
      </c>
      <c r="AC246" s="6" t="str">
        <f>IFERROR(1-V246/AB246,"-")</f>
        <v>-</v>
      </c>
      <c r="AD246" s="7">
        <v>5600</v>
      </c>
      <c r="AE246" s="6">
        <f>1-V246/AD246</f>
        <v>0.35232142857142856</v>
      </c>
      <c r="AF246" s="4">
        <f>AD246-V246</f>
        <v>1973</v>
      </c>
      <c r="AG246" s="28"/>
      <c r="AH246" s="6"/>
      <c r="AI246" s="6"/>
      <c r="AJ246" s="6">
        <f>IFERROR(T246/L246,"-")</f>
        <v>1.2363636363636363</v>
      </c>
      <c r="AK246" s="6">
        <f>IFERROR(AD246/M246,"-")</f>
        <v>1.4702021527960094</v>
      </c>
      <c r="AL246" s="6">
        <f>IFERROR(V246/N246,"-")</f>
        <v>1.2366177974769861</v>
      </c>
      <c r="AM246" s="4" t="str">
        <f t="shared" si="15"/>
        <v>-</v>
      </c>
      <c r="AN246" s="4" t="str">
        <f t="shared" si="16"/>
        <v>-</v>
      </c>
      <c r="AO246" s="4" t="str">
        <f t="shared" si="17"/>
        <v>-</v>
      </c>
      <c r="AP246" s="4">
        <v>0</v>
      </c>
      <c r="AQ246" s="4" t="s">
        <v>462</v>
      </c>
      <c r="AR246" s="4"/>
      <c r="AS246" s="4"/>
      <c r="AT246" s="4" t="s">
        <v>462</v>
      </c>
      <c r="AU246" s="4" t="s">
        <v>462</v>
      </c>
      <c r="AV246" s="4" t="str">
        <f>IF(AR246="",AU246,AR246/AS246*AU246)</f>
        <v>-</v>
      </c>
      <c r="AW246" s="19">
        <v>4</v>
      </c>
      <c r="AX246" s="19">
        <v>8</v>
      </c>
      <c r="AY246" s="16">
        <v>5</v>
      </c>
      <c r="AZ246" t="s">
        <v>462</v>
      </c>
      <c r="BA246" t="str">
        <f t="shared" si="18"/>
        <v>-</v>
      </c>
      <c r="BB246" t="s">
        <v>462</v>
      </c>
      <c r="BC246" t="str">
        <f t="shared" si="19"/>
        <v>-</v>
      </c>
      <c r="BD246" t="s">
        <v>462</v>
      </c>
    </row>
    <row r="247" spans="1:56" x14ac:dyDescent="0.4">
      <c r="A247" s="3">
        <v>120</v>
      </c>
      <c r="B247" s="3">
        <v>120</v>
      </c>
      <c r="C247" s="4" t="s">
        <v>88</v>
      </c>
      <c r="D247" s="4" t="str">
        <f>TEXT(C247,"000000")</f>
        <v>J74487</v>
      </c>
      <c r="E247" s="4" t="s">
        <v>88</v>
      </c>
      <c r="F247" s="4" t="s">
        <v>322</v>
      </c>
      <c r="G247" s="5">
        <v>84511371576</v>
      </c>
      <c r="H247" s="5"/>
      <c r="I247" s="5"/>
      <c r="J247" s="5">
        <v>1</v>
      </c>
      <c r="K247" s="5">
        <v>1</v>
      </c>
      <c r="L247" s="4">
        <v>7800</v>
      </c>
      <c r="M247" s="4">
        <v>5286</v>
      </c>
      <c r="N247" s="4">
        <v>4160</v>
      </c>
      <c r="O247" s="6">
        <f>IFERROR(1-N247/M247,"-")</f>
        <v>0.21301551267499053</v>
      </c>
      <c r="P247" s="4" t="s">
        <v>462</v>
      </c>
      <c r="Q247" s="4" t="s">
        <v>462</v>
      </c>
      <c r="R247" s="4" t="s">
        <v>462</v>
      </c>
      <c r="S247" s="4">
        <v>9400</v>
      </c>
      <c r="T247" s="4">
        <f>IF(W247="",S247,S247*W247)</f>
        <v>9400</v>
      </c>
      <c r="U247" s="4">
        <v>5013</v>
      </c>
      <c r="V247" s="4">
        <f>IF(W247="",U247,U247*W247)</f>
        <v>5013</v>
      </c>
      <c r="W247" s="4"/>
      <c r="X247" s="21">
        <f>ROUND(M247*AL247,0)</f>
        <v>6370</v>
      </c>
      <c r="Y247" s="6">
        <f>IFERROR(1-V247/X247,"-")</f>
        <v>0.21302982731554165</v>
      </c>
      <c r="Z247" s="33">
        <v>0.75</v>
      </c>
      <c r="AA247" s="4" t="str">
        <f>AV247</f>
        <v>-</v>
      </c>
      <c r="AB247" s="33" t="str">
        <f>IFERROR(AA247*AL247,"-")</f>
        <v>-</v>
      </c>
      <c r="AC247" s="6" t="str">
        <f>IFERROR(1-V247/AB247,"-")</f>
        <v>-</v>
      </c>
      <c r="AD247" s="7">
        <v>7800</v>
      </c>
      <c r="AE247" s="6">
        <f>1-V247/AD247</f>
        <v>0.35730769230769233</v>
      </c>
      <c r="AF247" s="4">
        <f>AD247-V247</f>
        <v>2787</v>
      </c>
      <c r="AG247" s="28"/>
      <c r="AH247" s="6"/>
      <c r="AI247" s="6"/>
      <c r="AJ247" s="6">
        <f>IFERROR(T247/L247,"-")</f>
        <v>1.2051282051282051</v>
      </c>
      <c r="AK247" s="6">
        <f>IFERROR(AD247/M247,"-")</f>
        <v>1.4755959137343928</v>
      </c>
      <c r="AL247" s="6">
        <f>IFERROR(V247/N247,"-")</f>
        <v>1.2050480769230769</v>
      </c>
      <c r="AM247" s="4" t="str">
        <f t="shared" si="15"/>
        <v>-</v>
      </c>
      <c r="AN247" s="4" t="str">
        <f t="shared" si="16"/>
        <v>-</v>
      </c>
      <c r="AO247" s="4" t="str">
        <f t="shared" si="17"/>
        <v>-</v>
      </c>
      <c r="AP247" s="4">
        <v>0</v>
      </c>
      <c r="AQ247" s="4" t="s">
        <v>462</v>
      </c>
      <c r="AR247" s="4"/>
      <c r="AS247" s="4"/>
      <c r="AT247" s="4" t="s">
        <v>462</v>
      </c>
      <c r="AU247" s="4" t="s">
        <v>462</v>
      </c>
      <c r="AV247" s="4" t="str">
        <f>IF(AR247="",AU247,AR247/AS247*AU247)</f>
        <v>-</v>
      </c>
      <c r="AW247" s="19">
        <v>4</v>
      </c>
      <c r="AX247" s="19">
        <v>8</v>
      </c>
      <c r="AY247" s="16">
        <v>5</v>
      </c>
      <c r="AZ247" t="s">
        <v>462</v>
      </c>
      <c r="BA247" t="str">
        <f t="shared" si="18"/>
        <v>-</v>
      </c>
      <c r="BB247" t="s">
        <v>462</v>
      </c>
      <c r="BC247" t="str">
        <f t="shared" si="19"/>
        <v>-</v>
      </c>
      <c r="BD247" t="s">
        <v>462</v>
      </c>
    </row>
    <row r="248" spans="1:56" x14ac:dyDescent="0.4">
      <c r="A248" s="3">
        <v>121</v>
      </c>
      <c r="B248" s="3">
        <v>121</v>
      </c>
      <c r="C248" s="4" t="s">
        <v>89</v>
      </c>
      <c r="D248" s="4" t="str">
        <f>TEXT(C248,"000000")</f>
        <v>J74488</v>
      </c>
      <c r="E248" s="4" t="s">
        <v>89</v>
      </c>
      <c r="F248" s="4" t="s">
        <v>323</v>
      </c>
      <c r="G248" s="5">
        <v>84511371583</v>
      </c>
      <c r="H248" s="5"/>
      <c r="I248" s="5"/>
      <c r="J248" s="5">
        <v>1</v>
      </c>
      <c r="K248" s="5">
        <v>1</v>
      </c>
      <c r="L248" s="4">
        <v>20000</v>
      </c>
      <c r="M248" s="4">
        <v>13232</v>
      </c>
      <c r="N248" s="4">
        <v>10667</v>
      </c>
      <c r="O248" s="6">
        <f>IFERROR(1-N248/M248,"-")</f>
        <v>0.19384824667472789</v>
      </c>
      <c r="P248" s="4" t="s">
        <v>462</v>
      </c>
      <c r="Q248" s="4" t="s">
        <v>462</v>
      </c>
      <c r="R248" s="4" t="s">
        <v>462</v>
      </c>
      <c r="S248" s="4">
        <v>24000</v>
      </c>
      <c r="T248" s="4">
        <f>IF(W248="",S248,S248*W248)</f>
        <v>24000</v>
      </c>
      <c r="U248" s="4">
        <v>12800</v>
      </c>
      <c r="V248" s="4">
        <f>IF(W248="",U248,U248*W248)</f>
        <v>12800</v>
      </c>
      <c r="W248" s="4"/>
      <c r="X248" s="21">
        <f>ROUND(M248*AL248,0)</f>
        <v>15878</v>
      </c>
      <c r="Y248" s="6">
        <f>IFERROR(1-V248/X248,"-")</f>
        <v>0.19385313011714322</v>
      </c>
      <c r="Z248" s="33">
        <v>0.75</v>
      </c>
      <c r="AA248" s="4" t="str">
        <f>AV248</f>
        <v>-</v>
      </c>
      <c r="AB248" s="33" t="str">
        <f>IFERROR(AA248*AL248,"-")</f>
        <v>-</v>
      </c>
      <c r="AC248" s="6" t="str">
        <f>IFERROR(1-V248/AB248,"-")</f>
        <v>-</v>
      </c>
      <c r="AD248" s="7">
        <v>20000</v>
      </c>
      <c r="AE248" s="6">
        <f>1-V248/AD248</f>
        <v>0.36</v>
      </c>
      <c r="AF248" s="4">
        <f>AD248-V248</f>
        <v>7200</v>
      </c>
      <c r="AG248" s="28"/>
      <c r="AH248" s="6"/>
      <c r="AI248" s="6"/>
      <c r="AJ248" s="6">
        <f>IFERROR(T248/L248,"-")</f>
        <v>1.2</v>
      </c>
      <c r="AK248" s="6">
        <f>IFERROR(AD248/M248,"-")</f>
        <v>1.5114873035066505</v>
      </c>
      <c r="AL248" s="6">
        <f>IFERROR(V248/N248,"-")</f>
        <v>1.1999625011718384</v>
      </c>
      <c r="AM248" s="4" t="str">
        <f t="shared" si="15"/>
        <v>-</v>
      </c>
      <c r="AN248" s="4" t="str">
        <f t="shared" si="16"/>
        <v>-</v>
      </c>
      <c r="AO248" s="4" t="str">
        <f t="shared" si="17"/>
        <v>-</v>
      </c>
      <c r="AP248" s="4">
        <v>0</v>
      </c>
      <c r="AQ248" s="4" t="s">
        <v>462</v>
      </c>
      <c r="AR248" s="4"/>
      <c r="AS248" s="4"/>
      <c r="AT248" s="4" t="s">
        <v>462</v>
      </c>
      <c r="AU248" s="4" t="s">
        <v>462</v>
      </c>
      <c r="AV248" s="4" t="str">
        <f>IF(AR248="",AU248,AR248/AS248*AU248)</f>
        <v>-</v>
      </c>
      <c r="AW248" s="19">
        <v>4</v>
      </c>
      <c r="AX248" s="19">
        <v>8</v>
      </c>
      <c r="AY248" s="16">
        <v>5</v>
      </c>
      <c r="AZ248" t="s">
        <v>462</v>
      </c>
      <c r="BA248" t="str">
        <f t="shared" si="18"/>
        <v>-</v>
      </c>
      <c r="BB248" t="s">
        <v>462</v>
      </c>
      <c r="BC248" t="str">
        <f t="shared" si="19"/>
        <v>-</v>
      </c>
      <c r="BD248" t="s">
        <v>462</v>
      </c>
    </row>
  </sheetData>
  <autoFilter ref="A3:BD248" xr:uid="{7A1660CF-9003-4B2D-B659-7F339ED5B476}">
    <sortState xmlns:xlrd2="http://schemas.microsoft.com/office/spreadsheetml/2017/richdata2" ref="A4:BD248">
      <sortCondition ref="U4:U248"/>
      <sortCondition ref="C4:C248"/>
    </sortState>
  </autoFilter>
  <mergeCells count="3">
    <mergeCell ref="L2:O2"/>
    <mergeCell ref="J2:K2"/>
    <mergeCell ref="S1:V1"/>
  </mergeCells>
  <phoneticPr fontId="2"/>
  <conditionalFormatting sqref="AD4:AD248">
    <cfRule type="cellIs" dxfId="2" priority="4" operator="greaterThan">
      <formula>$T4</formula>
    </cfRule>
  </conditionalFormatting>
  <conditionalFormatting sqref="AB4:AB248">
    <cfRule type="cellIs" dxfId="1" priority="2" operator="lessThan">
      <formula>$AD4</formula>
    </cfRule>
  </conditionalFormatting>
  <conditionalFormatting sqref="AE4:AE248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2026-06-12T09:10:21Z</dcterms:modified>
</cp:coreProperties>
</file>