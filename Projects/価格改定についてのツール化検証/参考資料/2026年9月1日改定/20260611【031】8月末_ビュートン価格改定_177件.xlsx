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ﾋﾞｭ_ビュートン_031\価格改定\20260611_8月末\"/>
    </mc:Choice>
  </mc:AlternateContent>
  <xr:revisionPtr revIDLastSave="0" documentId="13_ncr:1_{4F04586C-59FD-4F22-B78B-34833F1625E2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Sheet1!$A$3:$BQ$264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5" i="1" l="1"/>
  <c r="AU5" i="1"/>
  <c r="AV5" i="1"/>
  <c r="AW5" i="1"/>
  <c r="AX5" i="1"/>
  <c r="AY5" i="1"/>
  <c r="AZ5" i="1"/>
  <c r="BA5" i="1"/>
  <c r="BB5" i="1"/>
  <c r="AS6" i="1"/>
  <c r="AU6" i="1"/>
  <c r="AV6" i="1"/>
  <c r="AW6" i="1"/>
  <c r="AX6" i="1"/>
  <c r="AY6" i="1"/>
  <c r="AZ6" i="1"/>
  <c r="BA6" i="1"/>
  <c r="BB6" i="1"/>
  <c r="AS7" i="1"/>
  <c r="AU7" i="1"/>
  <c r="AV7" i="1"/>
  <c r="AW7" i="1"/>
  <c r="AX7" i="1"/>
  <c r="AY7" i="1"/>
  <c r="AZ7" i="1"/>
  <c r="BA7" i="1"/>
  <c r="BB7" i="1"/>
  <c r="AS8" i="1"/>
  <c r="AU8" i="1"/>
  <c r="AV8" i="1"/>
  <c r="AW8" i="1"/>
  <c r="AX8" i="1"/>
  <c r="AY8" i="1"/>
  <c r="AZ8" i="1"/>
  <c r="BA8" i="1"/>
  <c r="BB8" i="1"/>
  <c r="AS9" i="1"/>
  <c r="AU9" i="1"/>
  <c r="AV9" i="1"/>
  <c r="AW9" i="1"/>
  <c r="AX9" i="1"/>
  <c r="AY9" i="1"/>
  <c r="AZ9" i="1"/>
  <c r="BA9" i="1"/>
  <c r="BB9" i="1"/>
  <c r="AS10" i="1"/>
  <c r="AU10" i="1"/>
  <c r="AV10" i="1"/>
  <c r="AW10" i="1"/>
  <c r="AX10" i="1"/>
  <c r="AY10" i="1"/>
  <c r="AZ10" i="1"/>
  <c r="BA10" i="1"/>
  <c r="BB10" i="1"/>
  <c r="AS11" i="1"/>
  <c r="AU11" i="1"/>
  <c r="AV11" i="1"/>
  <c r="AW11" i="1"/>
  <c r="AX11" i="1"/>
  <c r="AY11" i="1"/>
  <c r="AZ11" i="1"/>
  <c r="BA11" i="1"/>
  <c r="BB11" i="1"/>
  <c r="AS12" i="1"/>
  <c r="AU12" i="1"/>
  <c r="AV12" i="1"/>
  <c r="AW12" i="1"/>
  <c r="AX12" i="1"/>
  <c r="AY12" i="1"/>
  <c r="AZ12" i="1"/>
  <c r="BA12" i="1"/>
  <c r="BB12" i="1"/>
  <c r="AS13" i="1"/>
  <c r="AU13" i="1"/>
  <c r="AV13" i="1"/>
  <c r="AW13" i="1"/>
  <c r="AX13" i="1"/>
  <c r="AY13" i="1"/>
  <c r="AZ13" i="1"/>
  <c r="BA13" i="1"/>
  <c r="BB13" i="1"/>
  <c r="AS14" i="1"/>
  <c r="AU14" i="1"/>
  <c r="AV14" i="1"/>
  <c r="AW14" i="1"/>
  <c r="AX14" i="1"/>
  <c r="AY14" i="1"/>
  <c r="AZ14" i="1"/>
  <c r="BA14" i="1"/>
  <c r="BB14" i="1"/>
  <c r="AS15" i="1"/>
  <c r="AU15" i="1"/>
  <c r="AV15" i="1"/>
  <c r="AW15" i="1"/>
  <c r="AX15" i="1"/>
  <c r="AY15" i="1"/>
  <c r="AZ15" i="1"/>
  <c r="BA15" i="1"/>
  <c r="BB15" i="1"/>
  <c r="AS16" i="1"/>
  <c r="AU16" i="1"/>
  <c r="AV16" i="1"/>
  <c r="AW16" i="1"/>
  <c r="AX16" i="1"/>
  <c r="AY16" i="1"/>
  <c r="AZ16" i="1"/>
  <c r="BA16" i="1"/>
  <c r="BB16" i="1"/>
  <c r="AS17" i="1"/>
  <c r="AU17" i="1"/>
  <c r="AV17" i="1"/>
  <c r="AW17" i="1"/>
  <c r="AX17" i="1"/>
  <c r="AY17" i="1"/>
  <c r="AZ17" i="1"/>
  <c r="BA17" i="1"/>
  <c r="BB17" i="1"/>
  <c r="AS18" i="1"/>
  <c r="AU18" i="1"/>
  <c r="AV18" i="1"/>
  <c r="AW18" i="1"/>
  <c r="AX18" i="1"/>
  <c r="AY18" i="1"/>
  <c r="AZ18" i="1"/>
  <c r="BA18" i="1"/>
  <c r="BB18" i="1"/>
  <c r="AS19" i="1"/>
  <c r="AU19" i="1"/>
  <c r="AV19" i="1"/>
  <c r="AW19" i="1"/>
  <c r="AX19" i="1"/>
  <c r="AY19" i="1"/>
  <c r="AZ19" i="1"/>
  <c r="BA19" i="1"/>
  <c r="BB19" i="1"/>
  <c r="AS20" i="1"/>
  <c r="AU20" i="1"/>
  <c r="AV20" i="1"/>
  <c r="AW20" i="1"/>
  <c r="AX20" i="1"/>
  <c r="AY20" i="1"/>
  <c r="AZ20" i="1"/>
  <c r="BA20" i="1"/>
  <c r="BB20" i="1"/>
  <c r="AS21" i="1"/>
  <c r="AU21" i="1"/>
  <c r="AV21" i="1"/>
  <c r="AW21" i="1"/>
  <c r="AX21" i="1"/>
  <c r="AY21" i="1"/>
  <c r="AZ21" i="1"/>
  <c r="BA21" i="1"/>
  <c r="BB21" i="1"/>
  <c r="AS22" i="1"/>
  <c r="AU22" i="1"/>
  <c r="AV22" i="1"/>
  <c r="AW22" i="1"/>
  <c r="AX22" i="1"/>
  <c r="AY22" i="1"/>
  <c r="AZ22" i="1"/>
  <c r="BA22" i="1"/>
  <c r="BB22" i="1"/>
  <c r="AS23" i="1"/>
  <c r="AU23" i="1"/>
  <c r="AV23" i="1"/>
  <c r="AW23" i="1"/>
  <c r="AX23" i="1"/>
  <c r="AY23" i="1"/>
  <c r="AZ23" i="1"/>
  <c r="BA23" i="1"/>
  <c r="BB23" i="1"/>
  <c r="AS24" i="1"/>
  <c r="AU24" i="1"/>
  <c r="AV24" i="1"/>
  <c r="AW24" i="1"/>
  <c r="AX24" i="1"/>
  <c r="AY24" i="1"/>
  <c r="AZ24" i="1"/>
  <c r="BA24" i="1"/>
  <c r="BB24" i="1"/>
  <c r="AS25" i="1"/>
  <c r="AU25" i="1"/>
  <c r="AV25" i="1"/>
  <c r="AW25" i="1"/>
  <c r="AX25" i="1"/>
  <c r="AY25" i="1"/>
  <c r="AZ25" i="1"/>
  <c r="BA25" i="1"/>
  <c r="BB25" i="1"/>
  <c r="AS26" i="1"/>
  <c r="AU26" i="1"/>
  <c r="AV26" i="1"/>
  <c r="AW26" i="1"/>
  <c r="AX26" i="1"/>
  <c r="AY26" i="1"/>
  <c r="AZ26" i="1"/>
  <c r="BA26" i="1"/>
  <c r="BB26" i="1"/>
  <c r="AS27" i="1"/>
  <c r="AU27" i="1"/>
  <c r="AV27" i="1"/>
  <c r="AW27" i="1"/>
  <c r="AX27" i="1"/>
  <c r="AY27" i="1"/>
  <c r="AZ27" i="1"/>
  <c r="BA27" i="1"/>
  <c r="BB27" i="1"/>
  <c r="AS28" i="1"/>
  <c r="AU28" i="1"/>
  <c r="AV28" i="1"/>
  <c r="AW28" i="1"/>
  <c r="AX28" i="1"/>
  <c r="AY28" i="1"/>
  <c r="AZ28" i="1"/>
  <c r="BA28" i="1"/>
  <c r="BB28" i="1"/>
  <c r="AS29" i="1"/>
  <c r="AU29" i="1"/>
  <c r="AV29" i="1"/>
  <c r="AW29" i="1"/>
  <c r="AX29" i="1"/>
  <c r="AY29" i="1"/>
  <c r="AZ29" i="1"/>
  <c r="BA29" i="1"/>
  <c r="BB29" i="1"/>
  <c r="AS30" i="1"/>
  <c r="AU30" i="1"/>
  <c r="AV30" i="1"/>
  <c r="AW30" i="1"/>
  <c r="AX30" i="1"/>
  <c r="AY30" i="1"/>
  <c r="AZ30" i="1"/>
  <c r="BA30" i="1"/>
  <c r="BB30" i="1"/>
  <c r="AS31" i="1"/>
  <c r="AU31" i="1"/>
  <c r="AV31" i="1"/>
  <c r="AW31" i="1"/>
  <c r="AX31" i="1"/>
  <c r="AY31" i="1"/>
  <c r="AZ31" i="1"/>
  <c r="BA31" i="1"/>
  <c r="BB31" i="1"/>
  <c r="AS32" i="1"/>
  <c r="AU32" i="1"/>
  <c r="AV32" i="1"/>
  <c r="AW32" i="1"/>
  <c r="AX32" i="1"/>
  <c r="AY32" i="1"/>
  <c r="AZ32" i="1"/>
  <c r="BA32" i="1"/>
  <c r="BB32" i="1"/>
  <c r="AS33" i="1"/>
  <c r="AU33" i="1"/>
  <c r="AV33" i="1"/>
  <c r="AW33" i="1"/>
  <c r="AX33" i="1"/>
  <c r="AY33" i="1"/>
  <c r="AZ33" i="1"/>
  <c r="BA33" i="1"/>
  <c r="BB33" i="1"/>
  <c r="AS34" i="1"/>
  <c r="AU34" i="1"/>
  <c r="AV34" i="1"/>
  <c r="AW34" i="1"/>
  <c r="AX34" i="1"/>
  <c r="AY34" i="1"/>
  <c r="AZ34" i="1"/>
  <c r="BA34" i="1"/>
  <c r="BB34" i="1"/>
  <c r="AS35" i="1"/>
  <c r="AU35" i="1"/>
  <c r="AV35" i="1"/>
  <c r="AW35" i="1"/>
  <c r="AX35" i="1"/>
  <c r="AY35" i="1"/>
  <c r="AZ35" i="1"/>
  <c r="BA35" i="1"/>
  <c r="BB35" i="1"/>
  <c r="AS36" i="1"/>
  <c r="AU36" i="1"/>
  <c r="AV36" i="1"/>
  <c r="AW36" i="1"/>
  <c r="AX36" i="1"/>
  <c r="AY36" i="1"/>
  <c r="AZ36" i="1"/>
  <c r="BA36" i="1"/>
  <c r="BB36" i="1"/>
  <c r="AS37" i="1"/>
  <c r="AU37" i="1"/>
  <c r="AV37" i="1"/>
  <c r="AW37" i="1"/>
  <c r="AX37" i="1"/>
  <c r="AY37" i="1"/>
  <c r="AZ37" i="1"/>
  <c r="BA37" i="1"/>
  <c r="BB37" i="1"/>
  <c r="AS38" i="1"/>
  <c r="AU38" i="1"/>
  <c r="AV38" i="1"/>
  <c r="AW38" i="1"/>
  <c r="AX38" i="1"/>
  <c r="AY38" i="1"/>
  <c r="AZ38" i="1"/>
  <c r="BA38" i="1"/>
  <c r="BB38" i="1"/>
  <c r="AS39" i="1"/>
  <c r="AU39" i="1"/>
  <c r="AV39" i="1"/>
  <c r="AW39" i="1"/>
  <c r="AX39" i="1"/>
  <c r="AY39" i="1"/>
  <c r="AZ39" i="1"/>
  <c r="BA39" i="1"/>
  <c r="BB39" i="1"/>
  <c r="AS40" i="1"/>
  <c r="AU40" i="1"/>
  <c r="AV40" i="1"/>
  <c r="AW40" i="1"/>
  <c r="AX40" i="1"/>
  <c r="AY40" i="1"/>
  <c r="AZ40" i="1"/>
  <c r="BA40" i="1"/>
  <c r="BB40" i="1"/>
  <c r="AS41" i="1"/>
  <c r="AU41" i="1"/>
  <c r="AV41" i="1"/>
  <c r="AW41" i="1"/>
  <c r="AX41" i="1"/>
  <c r="AY41" i="1"/>
  <c r="AZ41" i="1"/>
  <c r="BA41" i="1"/>
  <c r="BB41" i="1"/>
  <c r="AS42" i="1"/>
  <c r="AU42" i="1"/>
  <c r="AV42" i="1"/>
  <c r="AW42" i="1"/>
  <c r="AX42" i="1"/>
  <c r="AY42" i="1"/>
  <c r="AZ42" i="1"/>
  <c r="BA42" i="1"/>
  <c r="BB42" i="1"/>
  <c r="AS43" i="1"/>
  <c r="AU43" i="1"/>
  <c r="AV43" i="1"/>
  <c r="AW43" i="1"/>
  <c r="AX43" i="1"/>
  <c r="AY43" i="1"/>
  <c r="AZ43" i="1"/>
  <c r="BA43" i="1"/>
  <c r="BB43" i="1"/>
  <c r="AS44" i="1"/>
  <c r="AU44" i="1"/>
  <c r="AV44" i="1"/>
  <c r="AW44" i="1"/>
  <c r="AX44" i="1"/>
  <c r="AY44" i="1"/>
  <c r="AZ44" i="1"/>
  <c r="BA44" i="1"/>
  <c r="BB44" i="1"/>
  <c r="AS45" i="1"/>
  <c r="AU45" i="1"/>
  <c r="AV45" i="1"/>
  <c r="AW45" i="1"/>
  <c r="AX45" i="1"/>
  <c r="AY45" i="1"/>
  <c r="AZ45" i="1"/>
  <c r="BA45" i="1"/>
  <c r="BB45" i="1"/>
  <c r="AS46" i="1"/>
  <c r="AU46" i="1"/>
  <c r="AV46" i="1"/>
  <c r="AW46" i="1"/>
  <c r="AX46" i="1"/>
  <c r="AY46" i="1"/>
  <c r="AZ46" i="1"/>
  <c r="BA46" i="1"/>
  <c r="BB46" i="1"/>
  <c r="AS47" i="1"/>
  <c r="AU47" i="1"/>
  <c r="AV47" i="1"/>
  <c r="AW47" i="1"/>
  <c r="AX47" i="1"/>
  <c r="AY47" i="1"/>
  <c r="AZ47" i="1"/>
  <c r="BA47" i="1"/>
  <c r="BB47" i="1"/>
  <c r="AS48" i="1"/>
  <c r="AU48" i="1"/>
  <c r="AV48" i="1"/>
  <c r="AW48" i="1"/>
  <c r="AX48" i="1"/>
  <c r="AY48" i="1"/>
  <c r="AZ48" i="1"/>
  <c r="BA48" i="1"/>
  <c r="BB48" i="1"/>
  <c r="AS49" i="1"/>
  <c r="AU49" i="1"/>
  <c r="AV49" i="1"/>
  <c r="AW49" i="1"/>
  <c r="AX49" i="1"/>
  <c r="AY49" i="1"/>
  <c r="AZ49" i="1"/>
  <c r="BA49" i="1"/>
  <c r="BB49" i="1"/>
  <c r="AS50" i="1"/>
  <c r="AU50" i="1"/>
  <c r="AV50" i="1"/>
  <c r="AW50" i="1"/>
  <c r="AX50" i="1"/>
  <c r="AY50" i="1"/>
  <c r="AZ50" i="1"/>
  <c r="BA50" i="1"/>
  <c r="BB50" i="1"/>
  <c r="AS51" i="1"/>
  <c r="AU51" i="1"/>
  <c r="AV51" i="1"/>
  <c r="AW51" i="1"/>
  <c r="AX51" i="1"/>
  <c r="AY51" i="1"/>
  <c r="AZ51" i="1"/>
  <c r="BA51" i="1"/>
  <c r="BB51" i="1"/>
  <c r="AS52" i="1"/>
  <c r="AU52" i="1"/>
  <c r="AV52" i="1"/>
  <c r="AW52" i="1"/>
  <c r="AX52" i="1"/>
  <c r="AY52" i="1"/>
  <c r="AZ52" i="1"/>
  <c r="BA52" i="1"/>
  <c r="BB52" i="1"/>
  <c r="AS53" i="1"/>
  <c r="AU53" i="1"/>
  <c r="AV53" i="1"/>
  <c r="AW53" i="1"/>
  <c r="AX53" i="1"/>
  <c r="AY53" i="1"/>
  <c r="AZ53" i="1"/>
  <c r="BA53" i="1"/>
  <c r="BB53" i="1"/>
  <c r="AS54" i="1"/>
  <c r="AU54" i="1"/>
  <c r="AV54" i="1"/>
  <c r="AW54" i="1"/>
  <c r="AX54" i="1"/>
  <c r="AY54" i="1"/>
  <c r="AZ54" i="1"/>
  <c r="BA54" i="1"/>
  <c r="BB54" i="1"/>
  <c r="AS55" i="1"/>
  <c r="AU55" i="1"/>
  <c r="AV55" i="1"/>
  <c r="AW55" i="1"/>
  <c r="AX55" i="1"/>
  <c r="AY55" i="1"/>
  <c r="AZ55" i="1"/>
  <c r="BA55" i="1"/>
  <c r="BB55" i="1"/>
  <c r="AS56" i="1"/>
  <c r="AU56" i="1"/>
  <c r="AV56" i="1"/>
  <c r="AW56" i="1"/>
  <c r="AX56" i="1"/>
  <c r="AY56" i="1"/>
  <c r="AZ56" i="1"/>
  <c r="BA56" i="1"/>
  <c r="BB56" i="1"/>
  <c r="AS57" i="1"/>
  <c r="AU57" i="1"/>
  <c r="AV57" i="1"/>
  <c r="AW57" i="1"/>
  <c r="AX57" i="1"/>
  <c r="AY57" i="1"/>
  <c r="AZ57" i="1"/>
  <c r="BA57" i="1"/>
  <c r="BB57" i="1"/>
  <c r="AS58" i="1"/>
  <c r="AU58" i="1"/>
  <c r="AV58" i="1"/>
  <c r="AW58" i="1"/>
  <c r="AX58" i="1"/>
  <c r="AY58" i="1"/>
  <c r="AZ58" i="1"/>
  <c r="BA58" i="1"/>
  <c r="BB58" i="1"/>
  <c r="AS59" i="1"/>
  <c r="AU59" i="1"/>
  <c r="AV59" i="1"/>
  <c r="AW59" i="1"/>
  <c r="AX59" i="1"/>
  <c r="AY59" i="1"/>
  <c r="AZ59" i="1"/>
  <c r="BA59" i="1"/>
  <c r="BB59" i="1"/>
  <c r="AS60" i="1"/>
  <c r="AU60" i="1"/>
  <c r="AV60" i="1"/>
  <c r="AW60" i="1"/>
  <c r="AX60" i="1"/>
  <c r="AY60" i="1"/>
  <c r="AZ60" i="1"/>
  <c r="BA60" i="1"/>
  <c r="BB60" i="1"/>
  <c r="AS61" i="1"/>
  <c r="AU61" i="1"/>
  <c r="AV61" i="1"/>
  <c r="AW61" i="1"/>
  <c r="AX61" i="1"/>
  <c r="AY61" i="1"/>
  <c r="AZ61" i="1"/>
  <c r="BA61" i="1"/>
  <c r="BB61" i="1"/>
  <c r="AS62" i="1"/>
  <c r="AU62" i="1"/>
  <c r="AV62" i="1"/>
  <c r="AW62" i="1"/>
  <c r="AX62" i="1"/>
  <c r="AY62" i="1"/>
  <c r="AZ62" i="1"/>
  <c r="BA62" i="1"/>
  <c r="BB62" i="1"/>
  <c r="AS63" i="1"/>
  <c r="AU63" i="1"/>
  <c r="AV63" i="1"/>
  <c r="AW63" i="1"/>
  <c r="AX63" i="1"/>
  <c r="AY63" i="1"/>
  <c r="AZ63" i="1"/>
  <c r="BA63" i="1"/>
  <c r="BB63" i="1"/>
  <c r="AS64" i="1"/>
  <c r="AU64" i="1"/>
  <c r="AV64" i="1"/>
  <c r="AW64" i="1"/>
  <c r="AX64" i="1"/>
  <c r="AY64" i="1"/>
  <c r="AZ64" i="1"/>
  <c r="BA64" i="1"/>
  <c r="BB64" i="1"/>
  <c r="AS65" i="1"/>
  <c r="AU65" i="1"/>
  <c r="AV65" i="1"/>
  <c r="AW65" i="1"/>
  <c r="AX65" i="1"/>
  <c r="AY65" i="1"/>
  <c r="AZ65" i="1"/>
  <c r="BA65" i="1"/>
  <c r="BB65" i="1"/>
  <c r="AS66" i="1"/>
  <c r="AU66" i="1"/>
  <c r="AV66" i="1"/>
  <c r="AW66" i="1"/>
  <c r="AX66" i="1"/>
  <c r="AY66" i="1"/>
  <c r="AZ66" i="1"/>
  <c r="BA66" i="1"/>
  <c r="BB66" i="1"/>
  <c r="AS67" i="1"/>
  <c r="AU67" i="1"/>
  <c r="AV67" i="1"/>
  <c r="AW67" i="1"/>
  <c r="AX67" i="1"/>
  <c r="AY67" i="1"/>
  <c r="AZ67" i="1"/>
  <c r="BA67" i="1"/>
  <c r="BB67" i="1"/>
  <c r="AS68" i="1"/>
  <c r="AU68" i="1"/>
  <c r="AV68" i="1"/>
  <c r="AW68" i="1"/>
  <c r="AX68" i="1"/>
  <c r="AY68" i="1"/>
  <c r="AZ68" i="1"/>
  <c r="BA68" i="1"/>
  <c r="BB68" i="1"/>
  <c r="AS69" i="1"/>
  <c r="AU69" i="1"/>
  <c r="AV69" i="1"/>
  <c r="AW69" i="1"/>
  <c r="AX69" i="1"/>
  <c r="AY69" i="1"/>
  <c r="AZ69" i="1"/>
  <c r="BA69" i="1"/>
  <c r="BB69" i="1"/>
  <c r="AS70" i="1"/>
  <c r="AU70" i="1"/>
  <c r="AV70" i="1"/>
  <c r="AW70" i="1"/>
  <c r="AX70" i="1"/>
  <c r="AY70" i="1"/>
  <c r="AZ70" i="1"/>
  <c r="BA70" i="1"/>
  <c r="BB70" i="1"/>
  <c r="AS71" i="1"/>
  <c r="AU71" i="1"/>
  <c r="AV71" i="1"/>
  <c r="AW71" i="1"/>
  <c r="AX71" i="1"/>
  <c r="AY71" i="1"/>
  <c r="AZ71" i="1"/>
  <c r="BA71" i="1"/>
  <c r="BB71" i="1"/>
  <c r="AS72" i="1"/>
  <c r="AU72" i="1"/>
  <c r="AV72" i="1"/>
  <c r="AW72" i="1"/>
  <c r="AX72" i="1"/>
  <c r="AY72" i="1"/>
  <c r="AZ72" i="1"/>
  <c r="BA72" i="1"/>
  <c r="BB72" i="1"/>
  <c r="AS73" i="1"/>
  <c r="AU73" i="1"/>
  <c r="AV73" i="1"/>
  <c r="AW73" i="1"/>
  <c r="AX73" i="1"/>
  <c r="AY73" i="1"/>
  <c r="AZ73" i="1"/>
  <c r="BA73" i="1"/>
  <c r="BB73" i="1"/>
  <c r="AS74" i="1"/>
  <c r="AU74" i="1"/>
  <c r="AV74" i="1"/>
  <c r="AW74" i="1"/>
  <c r="AX74" i="1"/>
  <c r="AY74" i="1"/>
  <c r="AZ74" i="1"/>
  <c r="BA74" i="1"/>
  <c r="BB74" i="1"/>
  <c r="AS75" i="1"/>
  <c r="AU75" i="1"/>
  <c r="AV75" i="1"/>
  <c r="AW75" i="1"/>
  <c r="AX75" i="1"/>
  <c r="AY75" i="1"/>
  <c r="AZ75" i="1"/>
  <c r="BA75" i="1"/>
  <c r="BB75" i="1"/>
  <c r="AS76" i="1"/>
  <c r="AU76" i="1"/>
  <c r="AV76" i="1"/>
  <c r="AW76" i="1"/>
  <c r="AX76" i="1"/>
  <c r="AY76" i="1"/>
  <c r="AZ76" i="1"/>
  <c r="BA76" i="1"/>
  <c r="BB76" i="1"/>
  <c r="AS77" i="1"/>
  <c r="AU77" i="1"/>
  <c r="AV77" i="1"/>
  <c r="AW77" i="1"/>
  <c r="AX77" i="1"/>
  <c r="AY77" i="1"/>
  <c r="AZ77" i="1"/>
  <c r="BA77" i="1"/>
  <c r="BB77" i="1"/>
  <c r="AS78" i="1"/>
  <c r="AU78" i="1"/>
  <c r="AV78" i="1"/>
  <c r="AW78" i="1"/>
  <c r="AX78" i="1"/>
  <c r="AY78" i="1"/>
  <c r="AZ78" i="1"/>
  <c r="BA78" i="1"/>
  <c r="BB78" i="1"/>
  <c r="AS79" i="1"/>
  <c r="AU79" i="1"/>
  <c r="AV79" i="1"/>
  <c r="AW79" i="1"/>
  <c r="AX79" i="1"/>
  <c r="AY79" i="1"/>
  <c r="AZ79" i="1"/>
  <c r="BA79" i="1"/>
  <c r="BB79" i="1"/>
  <c r="AS80" i="1"/>
  <c r="AU80" i="1"/>
  <c r="AV80" i="1"/>
  <c r="AW80" i="1"/>
  <c r="AX80" i="1"/>
  <c r="AY80" i="1"/>
  <c r="AZ80" i="1"/>
  <c r="BA80" i="1"/>
  <c r="BB80" i="1"/>
  <c r="AS81" i="1"/>
  <c r="AU81" i="1"/>
  <c r="AV81" i="1"/>
  <c r="AW81" i="1"/>
  <c r="AX81" i="1"/>
  <c r="AY81" i="1"/>
  <c r="AZ81" i="1"/>
  <c r="BA81" i="1"/>
  <c r="BB81" i="1"/>
  <c r="AS82" i="1"/>
  <c r="AU82" i="1"/>
  <c r="AV82" i="1"/>
  <c r="AW82" i="1"/>
  <c r="AX82" i="1"/>
  <c r="AY82" i="1"/>
  <c r="AZ82" i="1"/>
  <c r="BA82" i="1"/>
  <c r="BB82" i="1"/>
  <c r="AS83" i="1"/>
  <c r="AU83" i="1"/>
  <c r="AV83" i="1"/>
  <c r="AW83" i="1"/>
  <c r="AX83" i="1"/>
  <c r="AY83" i="1"/>
  <c r="AZ83" i="1"/>
  <c r="BA83" i="1"/>
  <c r="BB83" i="1"/>
  <c r="AS84" i="1"/>
  <c r="AU84" i="1"/>
  <c r="AV84" i="1"/>
  <c r="AW84" i="1"/>
  <c r="AX84" i="1"/>
  <c r="AY84" i="1"/>
  <c r="AZ84" i="1"/>
  <c r="BA84" i="1"/>
  <c r="BB84" i="1"/>
  <c r="AS85" i="1"/>
  <c r="AU85" i="1"/>
  <c r="AV85" i="1"/>
  <c r="AW85" i="1"/>
  <c r="AX85" i="1"/>
  <c r="AY85" i="1"/>
  <c r="AZ85" i="1"/>
  <c r="BA85" i="1"/>
  <c r="BB85" i="1"/>
  <c r="AS86" i="1"/>
  <c r="AU86" i="1"/>
  <c r="AV86" i="1"/>
  <c r="AW86" i="1"/>
  <c r="AX86" i="1"/>
  <c r="AY86" i="1"/>
  <c r="AZ86" i="1"/>
  <c r="BA86" i="1"/>
  <c r="BB86" i="1"/>
  <c r="AS87" i="1"/>
  <c r="AU87" i="1"/>
  <c r="AV87" i="1"/>
  <c r="AW87" i="1"/>
  <c r="AX87" i="1"/>
  <c r="AY87" i="1"/>
  <c r="AZ87" i="1"/>
  <c r="BA87" i="1"/>
  <c r="BB87" i="1"/>
  <c r="AS88" i="1"/>
  <c r="AU88" i="1"/>
  <c r="AV88" i="1"/>
  <c r="AW88" i="1"/>
  <c r="AX88" i="1"/>
  <c r="AY88" i="1"/>
  <c r="AZ88" i="1"/>
  <c r="BA88" i="1"/>
  <c r="BB88" i="1"/>
  <c r="AS89" i="1"/>
  <c r="AU89" i="1"/>
  <c r="AV89" i="1"/>
  <c r="AW89" i="1"/>
  <c r="AX89" i="1"/>
  <c r="AY89" i="1"/>
  <c r="AZ89" i="1"/>
  <c r="BA89" i="1"/>
  <c r="BB89" i="1"/>
  <c r="AS90" i="1"/>
  <c r="AU90" i="1"/>
  <c r="AV90" i="1"/>
  <c r="AW90" i="1"/>
  <c r="AX90" i="1"/>
  <c r="AY90" i="1"/>
  <c r="AZ90" i="1"/>
  <c r="BA90" i="1"/>
  <c r="BB90" i="1"/>
  <c r="AS91" i="1"/>
  <c r="AU91" i="1"/>
  <c r="AV91" i="1"/>
  <c r="AW91" i="1"/>
  <c r="AX91" i="1"/>
  <c r="AY91" i="1"/>
  <c r="AZ91" i="1"/>
  <c r="BA91" i="1"/>
  <c r="BB91" i="1"/>
  <c r="AS92" i="1"/>
  <c r="AU92" i="1"/>
  <c r="AV92" i="1"/>
  <c r="AW92" i="1"/>
  <c r="AX92" i="1"/>
  <c r="AY92" i="1"/>
  <c r="AZ92" i="1"/>
  <c r="BA92" i="1"/>
  <c r="BB92" i="1"/>
  <c r="AS93" i="1"/>
  <c r="AU93" i="1"/>
  <c r="AV93" i="1"/>
  <c r="AW93" i="1"/>
  <c r="AX93" i="1"/>
  <c r="AY93" i="1"/>
  <c r="AZ93" i="1"/>
  <c r="BA93" i="1"/>
  <c r="BB93" i="1"/>
  <c r="AS94" i="1"/>
  <c r="AU94" i="1"/>
  <c r="AV94" i="1"/>
  <c r="AW94" i="1"/>
  <c r="AX94" i="1"/>
  <c r="AY94" i="1"/>
  <c r="AZ94" i="1"/>
  <c r="BA94" i="1"/>
  <c r="BB94" i="1"/>
  <c r="AS95" i="1"/>
  <c r="AU95" i="1"/>
  <c r="AV95" i="1"/>
  <c r="AW95" i="1"/>
  <c r="AX95" i="1"/>
  <c r="AY95" i="1"/>
  <c r="AZ95" i="1"/>
  <c r="BA95" i="1"/>
  <c r="BB95" i="1"/>
  <c r="AS96" i="1"/>
  <c r="AU96" i="1"/>
  <c r="AV96" i="1"/>
  <c r="AW96" i="1"/>
  <c r="AX96" i="1"/>
  <c r="AY96" i="1"/>
  <c r="AZ96" i="1"/>
  <c r="BA96" i="1"/>
  <c r="BB96" i="1"/>
  <c r="AS97" i="1"/>
  <c r="AU97" i="1"/>
  <c r="AV97" i="1"/>
  <c r="AW97" i="1"/>
  <c r="AX97" i="1"/>
  <c r="AY97" i="1"/>
  <c r="AZ97" i="1"/>
  <c r="BA97" i="1"/>
  <c r="BB97" i="1"/>
  <c r="AS98" i="1"/>
  <c r="AU98" i="1"/>
  <c r="AV98" i="1"/>
  <c r="AW98" i="1"/>
  <c r="AX98" i="1"/>
  <c r="AY98" i="1"/>
  <c r="AZ98" i="1"/>
  <c r="BA98" i="1"/>
  <c r="BB98" i="1"/>
  <c r="AS99" i="1"/>
  <c r="AU99" i="1"/>
  <c r="AV99" i="1"/>
  <c r="AW99" i="1"/>
  <c r="AX99" i="1"/>
  <c r="AY99" i="1"/>
  <c r="AZ99" i="1"/>
  <c r="BA99" i="1"/>
  <c r="BB99" i="1"/>
  <c r="AS100" i="1"/>
  <c r="AU100" i="1"/>
  <c r="AV100" i="1"/>
  <c r="AW100" i="1"/>
  <c r="AX100" i="1"/>
  <c r="AY100" i="1"/>
  <c r="AZ100" i="1"/>
  <c r="BA100" i="1"/>
  <c r="BB100" i="1"/>
  <c r="AS101" i="1"/>
  <c r="AU101" i="1"/>
  <c r="AV101" i="1"/>
  <c r="AW101" i="1"/>
  <c r="AX101" i="1"/>
  <c r="AY101" i="1"/>
  <c r="AZ101" i="1"/>
  <c r="BA101" i="1"/>
  <c r="BB101" i="1"/>
  <c r="AS102" i="1"/>
  <c r="AU102" i="1"/>
  <c r="AV102" i="1"/>
  <c r="AW102" i="1"/>
  <c r="AX102" i="1"/>
  <c r="AY102" i="1"/>
  <c r="AZ102" i="1"/>
  <c r="BA102" i="1"/>
  <c r="BB102" i="1"/>
  <c r="AS103" i="1"/>
  <c r="AU103" i="1"/>
  <c r="AV103" i="1"/>
  <c r="AW103" i="1"/>
  <c r="AX103" i="1"/>
  <c r="AY103" i="1"/>
  <c r="AZ103" i="1"/>
  <c r="BA103" i="1"/>
  <c r="BB103" i="1"/>
  <c r="AS104" i="1"/>
  <c r="AU104" i="1"/>
  <c r="AV104" i="1"/>
  <c r="AW104" i="1"/>
  <c r="AX104" i="1"/>
  <c r="AY104" i="1"/>
  <c r="AZ104" i="1"/>
  <c r="BA104" i="1"/>
  <c r="BB104" i="1"/>
  <c r="AS105" i="1"/>
  <c r="AU105" i="1"/>
  <c r="AV105" i="1"/>
  <c r="AW105" i="1"/>
  <c r="AX105" i="1"/>
  <c r="AY105" i="1"/>
  <c r="AZ105" i="1"/>
  <c r="BA105" i="1"/>
  <c r="BB105" i="1"/>
  <c r="AS106" i="1"/>
  <c r="AU106" i="1"/>
  <c r="AV106" i="1"/>
  <c r="AW106" i="1"/>
  <c r="AX106" i="1"/>
  <c r="AY106" i="1"/>
  <c r="AZ106" i="1"/>
  <c r="BA106" i="1"/>
  <c r="BB106" i="1"/>
  <c r="AS107" i="1"/>
  <c r="AU107" i="1"/>
  <c r="AV107" i="1"/>
  <c r="AW107" i="1"/>
  <c r="AX107" i="1"/>
  <c r="AY107" i="1"/>
  <c r="AZ107" i="1"/>
  <c r="BA107" i="1"/>
  <c r="BB107" i="1"/>
  <c r="AS108" i="1"/>
  <c r="AU108" i="1"/>
  <c r="AV108" i="1"/>
  <c r="AW108" i="1"/>
  <c r="AX108" i="1"/>
  <c r="AY108" i="1"/>
  <c r="AZ108" i="1"/>
  <c r="BA108" i="1"/>
  <c r="BB108" i="1"/>
  <c r="AS109" i="1"/>
  <c r="AU109" i="1"/>
  <c r="AV109" i="1"/>
  <c r="AW109" i="1"/>
  <c r="AX109" i="1"/>
  <c r="AY109" i="1"/>
  <c r="AZ109" i="1"/>
  <c r="BA109" i="1"/>
  <c r="BB109" i="1"/>
  <c r="AS110" i="1"/>
  <c r="AU110" i="1"/>
  <c r="AV110" i="1"/>
  <c r="AW110" i="1"/>
  <c r="AX110" i="1"/>
  <c r="AY110" i="1"/>
  <c r="AZ110" i="1"/>
  <c r="BA110" i="1"/>
  <c r="BB110" i="1"/>
  <c r="AS111" i="1"/>
  <c r="AU111" i="1"/>
  <c r="AV111" i="1"/>
  <c r="AW111" i="1"/>
  <c r="AX111" i="1"/>
  <c r="AY111" i="1"/>
  <c r="AZ111" i="1"/>
  <c r="BA111" i="1"/>
  <c r="BB111" i="1"/>
  <c r="AS112" i="1"/>
  <c r="AU112" i="1"/>
  <c r="AV112" i="1"/>
  <c r="AW112" i="1"/>
  <c r="AX112" i="1"/>
  <c r="AY112" i="1"/>
  <c r="AZ112" i="1"/>
  <c r="BA112" i="1"/>
  <c r="BB112" i="1"/>
  <c r="AS113" i="1"/>
  <c r="AU113" i="1"/>
  <c r="AV113" i="1"/>
  <c r="AW113" i="1"/>
  <c r="AX113" i="1"/>
  <c r="AY113" i="1"/>
  <c r="AZ113" i="1"/>
  <c r="BA113" i="1"/>
  <c r="BB113" i="1"/>
  <c r="AS114" i="1"/>
  <c r="AU114" i="1"/>
  <c r="AV114" i="1"/>
  <c r="AW114" i="1"/>
  <c r="AX114" i="1"/>
  <c r="AY114" i="1"/>
  <c r="AZ114" i="1"/>
  <c r="BA114" i="1"/>
  <c r="BB114" i="1"/>
  <c r="AS115" i="1"/>
  <c r="AU115" i="1"/>
  <c r="AV115" i="1"/>
  <c r="AW115" i="1"/>
  <c r="AX115" i="1"/>
  <c r="AY115" i="1"/>
  <c r="AZ115" i="1"/>
  <c r="BA115" i="1"/>
  <c r="BB115" i="1"/>
  <c r="AS116" i="1"/>
  <c r="AU116" i="1"/>
  <c r="AV116" i="1"/>
  <c r="AW116" i="1"/>
  <c r="AX116" i="1"/>
  <c r="AY116" i="1"/>
  <c r="AZ116" i="1"/>
  <c r="BA116" i="1"/>
  <c r="BB116" i="1"/>
  <c r="AS117" i="1"/>
  <c r="AU117" i="1"/>
  <c r="AV117" i="1"/>
  <c r="AW117" i="1"/>
  <c r="AX117" i="1"/>
  <c r="AY117" i="1"/>
  <c r="AZ117" i="1"/>
  <c r="BA117" i="1"/>
  <c r="BB117" i="1"/>
  <c r="AS118" i="1"/>
  <c r="AU118" i="1"/>
  <c r="AV118" i="1"/>
  <c r="AW118" i="1"/>
  <c r="AX118" i="1"/>
  <c r="AY118" i="1"/>
  <c r="AZ118" i="1"/>
  <c r="BA118" i="1"/>
  <c r="BB118" i="1"/>
  <c r="AS119" i="1"/>
  <c r="AU119" i="1"/>
  <c r="AV119" i="1"/>
  <c r="AW119" i="1"/>
  <c r="AX119" i="1"/>
  <c r="AY119" i="1"/>
  <c r="AZ119" i="1"/>
  <c r="BA119" i="1"/>
  <c r="BB119" i="1"/>
  <c r="AS120" i="1"/>
  <c r="AU120" i="1"/>
  <c r="AV120" i="1"/>
  <c r="AW120" i="1"/>
  <c r="AX120" i="1"/>
  <c r="AY120" i="1"/>
  <c r="AZ120" i="1"/>
  <c r="BA120" i="1"/>
  <c r="BB120" i="1"/>
  <c r="AS121" i="1"/>
  <c r="AU121" i="1"/>
  <c r="AV121" i="1"/>
  <c r="AW121" i="1"/>
  <c r="AX121" i="1"/>
  <c r="AY121" i="1"/>
  <c r="AZ121" i="1"/>
  <c r="BA121" i="1"/>
  <c r="BB121" i="1"/>
  <c r="AS122" i="1"/>
  <c r="AU122" i="1"/>
  <c r="AV122" i="1"/>
  <c r="AW122" i="1"/>
  <c r="AX122" i="1"/>
  <c r="AY122" i="1"/>
  <c r="AZ122" i="1"/>
  <c r="BA122" i="1"/>
  <c r="BB122" i="1"/>
  <c r="AS123" i="1"/>
  <c r="AU123" i="1"/>
  <c r="AV123" i="1"/>
  <c r="AW123" i="1"/>
  <c r="AX123" i="1"/>
  <c r="AY123" i="1"/>
  <c r="AZ123" i="1"/>
  <c r="BA123" i="1"/>
  <c r="BB123" i="1"/>
  <c r="AS124" i="1"/>
  <c r="AU124" i="1"/>
  <c r="AV124" i="1"/>
  <c r="AW124" i="1"/>
  <c r="AX124" i="1"/>
  <c r="AY124" i="1"/>
  <c r="AZ124" i="1"/>
  <c r="BA124" i="1"/>
  <c r="BB124" i="1"/>
  <c r="AS125" i="1"/>
  <c r="AU125" i="1"/>
  <c r="AV125" i="1"/>
  <c r="AW125" i="1"/>
  <c r="AX125" i="1"/>
  <c r="AY125" i="1"/>
  <c r="AZ125" i="1"/>
  <c r="BA125" i="1"/>
  <c r="BB125" i="1"/>
  <c r="AS126" i="1"/>
  <c r="AU126" i="1"/>
  <c r="AV126" i="1"/>
  <c r="AW126" i="1"/>
  <c r="AX126" i="1"/>
  <c r="AY126" i="1"/>
  <c r="AZ126" i="1"/>
  <c r="BA126" i="1"/>
  <c r="BB126" i="1"/>
  <c r="AS127" i="1"/>
  <c r="AU127" i="1"/>
  <c r="AV127" i="1"/>
  <c r="AW127" i="1"/>
  <c r="AX127" i="1"/>
  <c r="AY127" i="1"/>
  <c r="AZ127" i="1"/>
  <c r="BA127" i="1"/>
  <c r="BB127" i="1"/>
  <c r="AS128" i="1"/>
  <c r="AU128" i="1"/>
  <c r="AV128" i="1"/>
  <c r="AW128" i="1"/>
  <c r="AX128" i="1"/>
  <c r="AY128" i="1"/>
  <c r="AZ128" i="1"/>
  <c r="BA128" i="1"/>
  <c r="BB128" i="1"/>
  <c r="AS129" i="1"/>
  <c r="AU129" i="1"/>
  <c r="AV129" i="1"/>
  <c r="AW129" i="1"/>
  <c r="AX129" i="1"/>
  <c r="AY129" i="1"/>
  <c r="AZ129" i="1"/>
  <c r="BA129" i="1"/>
  <c r="BB129" i="1"/>
  <c r="AS130" i="1"/>
  <c r="AU130" i="1"/>
  <c r="AV130" i="1"/>
  <c r="AW130" i="1"/>
  <c r="AX130" i="1"/>
  <c r="AY130" i="1"/>
  <c r="AZ130" i="1"/>
  <c r="BA130" i="1"/>
  <c r="BB130" i="1"/>
  <c r="AS131" i="1"/>
  <c r="AU131" i="1"/>
  <c r="AV131" i="1"/>
  <c r="AW131" i="1"/>
  <c r="AX131" i="1"/>
  <c r="AY131" i="1"/>
  <c r="AZ131" i="1"/>
  <c r="BA131" i="1"/>
  <c r="BB131" i="1"/>
  <c r="AS132" i="1"/>
  <c r="AU132" i="1"/>
  <c r="AV132" i="1"/>
  <c r="AW132" i="1"/>
  <c r="AX132" i="1"/>
  <c r="AY132" i="1"/>
  <c r="AZ132" i="1"/>
  <c r="BA132" i="1"/>
  <c r="BB132" i="1"/>
  <c r="AS133" i="1"/>
  <c r="AU133" i="1"/>
  <c r="AV133" i="1"/>
  <c r="AW133" i="1"/>
  <c r="AX133" i="1"/>
  <c r="AY133" i="1"/>
  <c r="AZ133" i="1"/>
  <c r="BA133" i="1"/>
  <c r="BB133" i="1"/>
  <c r="AS134" i="1"/>
  <c r="AU134" i="1"/>
  <c r="AV134" i="1"/>
  <c r="AW134" i="1"/>
  <c r="AX134" i="1"/>
  <c r="AY134" i="1"/>
  <c r="AZ134" i="1"/>
  <c r="BA134" i="1"/>
  <c r="BB134" i="1"/>
  <c r="AS135" i="1"/>
  <c r="AU135" i="1"/>
  <c r="AV135" i="1"/>
  <c r="AW135" i="1"/>
  <c r="AX135" i="1"/>
  <c r="AY135" i="1"/>
  <c r="AZ135" i="1"/>
  <c r="BA135" i="1"/>
  <c r="BB135" i="1"/>
  <c r="AS136" i="1"/>
  <c r="AU136" i="1"/>
  <c r="AV136" i="1"/>
  <c r="AW136" i="1"/>
  <c r="AX136" i="1"/>
  <c r="AY136" i="1"/>
  <c r="AZ136" i="1"/>
  <c r="BA136" i="1"/>
  <c r="BB136" i="1"/>
  <c r="AS137" i="1"/>
  <c r="AU137" i="1"/>
  <c r="AV137" i="1"/>
  <c r="AW137" i="1"/>
  <c r="AX137" i="1"/>
  <c r="AY137" i="1"/>
  <c r="AZ137" i="1"/>
  <c r="BA137" i="1"/>
  <c r="BB137" i="1"/>
  <c r="AS138" i="1"/>
  <c r="AU138" i="1"/>
  <c r="AV138" i="1"/>
  <c r="AW138" i="1"/>
  <c r="AX138" i="1"/>
  <c r="AY138" i="1"/>
  <c r="AZ138" i="1"/>
  <c r="BA138" i="1"/>
  <c r="BB138" i="1"/>
  <c r="AS139" i="1"/>
  <c r="AU139" i="1"/>
  <c r="AV139" i="1"/>
  <c r="AW139" i="1"/>
  <c r="AX139" i="1"/>
  <c r="AY139" i="1"/>
  <c r="AZ139" i="1"/>
  <c r="BA139" i="1"/>
  <c r="BB139" i="1"/>
  <c r="AS140" i="1"/>
  <c r="AU140" i="1"/>
  <c r="AV140" i="1"/>
  <c r="AW140" i="1"/>
  <c r="AX140" i="1"/>
  <c r="AY140" i="1"/>
  <c r="AZ140" i="1"/>
  <c r="BA140" i="1"/>
  <c r="BB140" i="1"/>
  <c r="AS141" i="1"/>
  <c r="AU141" i="1"/>
  <c r="AV141" i="1"/>
  <c r="AW141" i="1"/>
  <c r="AX141" i="1"/>
  <c r="AY141" i="1"/>
  <c r="AZ141" i="1"/>
  <c r="BA141" i="1"/>
  <c r="BB141" i="1"/>
  <c r="AS142" i="1"/>
  <c r="AU142" i="1"/>
  <c r="AV142" i="1"/>
  <c r="AW142" i="1"/>
  <c r="AX142" i="1"/>
  <c r="AY142" i="1"/>
  <c r="AZ142" i="1"/>
  <c r="BA142" i="1"/>
  <c r="BB142" i="1"/>
  <c r="AS143" i="1"/>
  <c r="AU143" i="1"/>
  <c r="AV143" i="1"/>
  <c r="AW143" i="1"/>
  <c r="AX143" i="1"/>
  <c r="AY143" i="1"/>
  <c r="AZ143" i="1"/>
  <c r="BA143" i="1"/>
  <c r="BB143" i="1"/>
  <c r="AS144" i="1"/>
  <c r="AU144" i="1"/>
  <c r="AV144" i="1"/>
  <c r="AW144" i="1"/>
  <c r="AX144" i="1"/>
  <c r="AY144" i="1"/>
  <c r="AZ144" i="1"/>
  <c r="BA144" i="1"/>
  <c r="BB144" i="1"/>
  <c r="AS145" i="1"/>
  <c r="AU145" i="1"/>
  <c r="AV145" i="1"/>
  <c r="AW145" i="1"/>
  <c r="AX145" i="1"/>
  <c r="AY145" i="1"/>
  <c r="AZ145" i="1"/>
  <c r="BA145" i="1"/>
  <c r="BB145" i="1"/>
  <c r="AS146" i="1"/>
  <c r="AU146" i="1"/>
  <c r="AV146" i="1"/>
  <c r="AW146" i="1"/>
  <c r="AX146" i="1"/>
  <c r="AY146" i="1"/>
  <c r="AZ146" i="1"/>
  <c r="BA146" i="1"/>
  <c r="BB146" i="1"/>
  <c r="AS147" i="1"/>
  <c r="AU147" i="1"/>
  <c r="AV147" i="1"/>
  <c r="AW147" i="1"/>
  <c r="AX147" i="1"/>
  <c r="AY147" i="1"/>
  <c r="AZ147" i="1"/>
  <c r="BA147" i="1"/>
  <c r="BB147" i="1"/>
  <c r="AS148" i="1"/>
  <c r="AU148" i="1"/>
  <c r="AV148" i="1"/>
  <c r="AW148" i="1"/>
  <c r="AX148" i="1"/>
  <c r="AY148" i="1"/>
  <c r="AZ148" i="1"/>
  <c r="BA148" i="1"/>
  <c r="BB148" i="1"/>
  <c r="AS149" i="1"/>
  <c r="AU149" i="1"/>
  <c r="AV149" i="1"/>
  <c r="AW149" i="1"/>
  <c r="AX149" i="1"/>
  <c r="AY149" i="1"/>
  <c r="AZ149" i="1"/>
  <c r="BA149" i="1"/>
  <c r="BB149" i="1"/>
  <c r="AS150" i="1"/>
  <c r="AU150" i="1"/>
  <c r="AV150" i="1"/>
  <c r="AW150" i="1"/>
  <c r="AX150" i="1"/>
  <c r="AY150" i="1"/>
  <c r="AZ150" i="1"/>
  <c r="BA150" i="1"/>
  <c r="BB150" i="1"/>
  <c r="AS151" i="1"/>
  <c r="AU151" i="1"/>
  <c r="AV151" i="1"/>
  <c r="AW151" i="1"/>
  <c r="AX151" i="1"/>
  <c r="AY151" i="1"/>
  <c r="AZ151" i="1"/>
  <c r="BA151" i="1"/>
  <c r="BB151" i="1"/>
  <c r="AS152" i="1"/>
  <c r="AU152" i="1"/>
  <c r="AV152" i="1"/>
  <c r="AW152" i="1"/>
  <c r="AX152" i="1"/>
  <c r="AY152" i="1"/>
  <c r="AZ152" i="1"/>
  <c r="BA152" i="1"/>
  <c r="BB152" i="1"/>
  <c r="AS153" i="1"/>
  <c r="AU153" i="1"/>
  <c r="AV153" i="1"/>
  <c r="AW153" i="1"/>
  <c r="AX153" i="1"/>
  <c r="AY153" i="1"/>
  <c r="AZ153" i="1"/>
  <c r="BA153" i="1"/>
  <c r="BB153" i="1"/>
  <c r="AS154" i="1"/>
  <c r="AU154" i="1"/>
  <c r="AV154" i="1"/>
  <c r="AW154" i="1"/>
  <c r="AX154" i="1"/>
  <c r="AY154" i="1"/>
  <c r="AZ154" i="1"/>
  <c r="BA154" i="1"/>
  <c r="BB154" i="1"/>
  <c r="AS155" i="1"/>
  <c r="AU155" i="1"/>
  <c r="AV155" i="1"/>
  <c r="AW155" i="1"/>
  <c r="AX155" i="1"/>
  <c r="AY155" i="1"/>
  <c r="AZ155" i="1"/>
  <c r="BA155" i="1"/>
  <c r="BB155" i="1"/>
  <c r="AS156" i="1"/>
  <c r="AU156" i="1"/>
  <c r="AV156" i="1"/>
  <c r="AW156" i="1"/>
  <c r="AX156" i="1"/>
  <c r="AY156" i="1"/>
  <c r="AZ156" i="1"/>
  <c r="BA156" i="1"/>
  <c r="BB156" i="1"/>
  <c r="AS157" i="1"/>
  <c r="AU157" i="1"/>
  <c r="AV157" i="1"/>
  <c r="AW157" i="1"/>
  <c r="AX157" i="1"/>
  <c r="AY157" i="1"/>
  <c r="AZ157" i="1"/>
  <c r="BA157" i="1"/>
  <c r="BB157" i="1"/>
  <c r="AS158" i="1"/>
  <c r="AU158" i="1"/>
  <c r="AV158" i="1"/>
  <c r="AW158" i="1"/>
  <c r="AX158" i="1"/>
  <c r="AY158" i="1"/>
  <c r="AZ158" i="1"/>
  <c r="BA158" i="1"/>
  <c r="BB158" i="1"/>
  <c r="AS159" i="1"/>
  <c r="AU159" i="1"/>
  <c r="AV159" i="1"/>
  <c r="AW159" i="1"/>
  <c r="AX159" i="1"/>
  <c r="AY159" i="1"/>
  <c r="AZ159" i="1"/>
  <c r="BA159" i="1"/>
  <c r="BB159" i="1"/>
  <c r="AS160" i="1"/>
  <c r="AU160" i="1"/>
  <c r="AV160" i="1"/>
  <c r="AW160" i="1"/>
  <c r="AX160" i="1"/>
  <c r="AY160" i="1"/>
  <c r="AZ160" i="1"/>
  <c r="BA160" i="1"/>
  <c r="BB160" i="1"/>
  <c r="AS161" i="1"/>
  <c r="AU161" i="1"/>
  <c r="AV161" i="1"/>
  <c r="AW161" i="1"/>
  <c r="AX161" i="1"/>
  <c r="AY161" i="1"/>
  <c r="AZ161" i="1"/>
  <c r="BA161" i="1"/>
  <c r="BB161" i="1"/>
  <c r="AS162" i="1"/>
  <c r="AU162" i="1"/>
  <c r="AV162" i="1"/>
  <c r="AW162" i="1"/>
  <c r="AX162" i="1"/>
  <c r="AY162" i="1"/>
  <c r="AZ162" i="1"/>
  <c r="BA162" i="1"/>
  <c r="BB162" i="1"/>
  <c r="AS163" i="1"/>
  <c r="AU163" i="1"/>
  <c r="AV163" i="1"/>
  <c r="AW163" i="1"/>
  <c r="AX163" i="1"/>
  <c r="AY163" i="1"/>
  <c r="AZ163" i="1"/>
  <c r="BA163" i="1"/>
  <c r="BB163" i="1"/>
  <c r="AS164" i="1"/>
  <c r="AU164" i="1"/>
  <c r="AV164" i="1"/>
  <c r="AW164" i="1"/>
  <c r="AX164" i="1"/>
  <c r="AY164" i="1"/>
  <c r="AZ164" i="1"/>
  <c r="BA164" i="1"/>
  <c r="BB164" i="1"/>
  <c r="AS165" i="1"/>
  <c r="AU165" i="1"/>
  <c r="AV165" i="1"/>
  <c r="AW165" i="1"/>
  <c r="AX165" i="1"/>
  <c r="AY165" i="1"/>
  <c r="AZ165" i="1"/>
  <c r="BA165" i="1"/>
  <c r="BB165" i="1"/>
  <c r="AS166" i="1"/>
  <c r="AU166" i="1"/>
  <c r="AV166" i="1"/>
  <c r="AW166" i="1"/>
  <c r="AX166" i="1"/>
  <c r="AY166" i="1"/>
  <c r="AZ166" i="1"/>
  <c r="BA166" i="1"/>
  <c r="BB166" i="1"/>
  <c r="AS167" i="1"/>
  <c r="AU167" i="1"/>
  <c r="AV167" i="1"/>
  <c r="AW167" i="1"/>
  <c r="AX167" i="1"/>
  <c r="AY167" i="1"/>
  <c r="AZ167" i="1"/>
  <c r="BA167" i="1"/>
  <c r="BB167" i="1"/>
  <c r="AS168" i="1"/>
  <c r="AU168" i="1"/>
  <c r="AV168" i="1"/>
  <c r="AW168" i="1"/>
  <c r="AX168" i="1"/>
  <c r="AY168" i="1"/>
  <c r="AZ168" i="1"/>
  <c r="BA168" i="1"/>
  <c r="BB168" i="1"/>
  <c r="AS169" i="1"/>
  <c r="AU169" i="1"/>
  <c r="AV169" i="1"/>
  <c r="AW169" i="1"/>
  <c r="AX169" i="1"/>
  <c r="AY169" i="1"/>
  <c r="AZ169" i="1"/>
  <c r="BA169" i="1"/>
  <c r="BB169" i="1"/>
  <c r="AS170" i="1"/>
  <c r="AU170" i="1"/>
  <c r="AV170" i="1"/>
  <c r="AW170" i="1"/>
  <c r="AX170" i="1"/>
  <c r="AY170" i="1"/>
  <c r="AZ170" i="1"/>
  <c r="BA170" i="1"/>
  <c r="BB170" i="1"/>
  <c r="AS171" i="1"/>
  <c r="AU171" i="1"/>
  <c r="AV171" i="1"/>
  <c r="AW171" i="1"/>
  <c r="AX171" i="1"/>
  <c r="AY171" i="1"/>
  <c r="AZ171" i="1"/>
  <c r="BA171" i="1"/>
  <c r="BB171" i="1"/>
  <c r="AS172" i="1"/>
  <c r="AU172" i="1"/>
  <c r="AV172" i="1"/>
  <c r="AW172" i="1"/>
  <c r="AX172" i="1"/>
  <c r="AY172" i="1"/>
  <c r="AZ172" i="1"/>
  <c r="BA172" i="1"/>
  <c r="BB172" i="1"/>
  <c r="AS173" i="1"/>
  <c r="AU173" i="1"/>
  <c r="AV173" i="1"/>
  <c r="AW173" i="1"/>
  <c r="AX173" i="1"/>
  <c r="AY173" i="1"/>
  <c r="AZ173" i="1"/>
  <c r="BA173" i="1"/>
  <c r="BB173" i="1"/>
  <c r="AS174" i="1"/>
  <c r="AU174" i="1"/>
  <c r="AV174" i="1"/>
  <c r="AW174" i="1"/>
  <c r="AX174" i="1"/>
  <c r="AY174" i="1"/>
  <c r="AZ174" i="1"/>
  <c r="BA174" i="1"/>
  <c r="BB174" i="1"/>
  <c r="AS175" i="1"/>
  <c r="AU175" i="1"/>
  <c r="AV175" i="1"/>
  <c r="AW175" i="1"/>
  <c r="AX175" i="1"/>
  <c r="AY175" i="1"/>
  <c r="AZ175" i="1"/>
  <c r="BA175" i="1"/>
  <c r="BB175" i="1"/>
  <c r="AS176" i="1"/>
  <c r="AU176" i="1"/>
  <c r="AV176" i="1"/>
  <c r="AW176" i="1"/>
  <c r="AX176" i="1"/>
  <c r="AY176" i="1"/>
  <c r="AZ176" i="1"/>
  <c r="BA176" i="1"/>
  <c r="BB176" i="1"/>
  <c r="AS177" i="1"/>
  <c r="AU177" i="1"/>
  <c r="AV177" i="1"/>
  <c r="AW177" i="1"/>
  <c r="AX177" i="1"/>
  <c r="AY177" i="1"/>
  <c r="AZ177" i="1"/>
  <c r="BA177" i="1"/>
  <c r="BB177" i="1"/>
  <c r="AS178" i="1"/>
  <c r="AU178" i="1"/>
  <c r="AV178" i="1"/>
  <c r="AW178" i="1"/>
  <c r="AX178" i="1"/>
  <c r="AY178" i="1"/>
  <c r="AZ178" i="1"/>
  <c r="BA178" i="1"/>
  <c r="BB178" i="1"/>
  <c r="AS179" i="1"/>
  <c r="AU179" i="1"/>
  <c r="AV179" i="1"/>
  <c r="AW179" i="1"/>
  <c r="AX179" i="1"/>
  <c r="AY179" i="1"/>
  <c r="AZ179" i="1"/>
  <c r="BA179" i="1"/>
  <c r="BB179" i="1"/>
  <c r="AS180" i="1"/>
  <c r="AU180" i="1"/>
  <c r="AV180" i="1"/>
  <c r="AW180" i="1"/>
  <c r="AX180" i="1"/>
  <c r="AY180" i="1"/>
  <c r="AZ180" i="1"/>
  <c r="BA180" i="1"/>
  <c r="BB180" i="1"/>
  <c r="AS181" i="1"/>
  <c r="AU181" i="1"/>
  <c r="AV181" i="1"/>
  <c r="AW181" i="1"/>
  <c r="AX181" i="1"/>
  <c r="AY181" i="1"/>
  <c r="AZ181" i="1"/>
  <c r="BA181" i="1"/>
  <c r="BB181" i="1"/>
  <c r="AS182" i="1"/>
  <c r="AU182" i="1"/>
  <c r="AV182" i="1"/>
  <c r="AW182" i="1"/>
  <c r="AX182" i="1"/>
  <c r="AY182" i="1"/>
  <c r="AZ182" i="1"/>
  <c r="BA182" i="1"/>
  <c r="BB182" i="1"/>
  <c r="AS183" i="1"/>
  <c r="AU183" i="1"/>
  <c r="AV183" i="1"/>
  <c r="AW183" i="1"/>
  <c r="AX183" i="1"/>
  <c r="AY183" i="1"/>
  <c r="AZ183" i="1"/>
  <c r="BA183" i="1"/>
  <c r="BB183" i="1"/>
  <c r="AS184" i="1"/>
  <c r="AU184" i="1"/>
  <c r="AV184" i="1"/>
  <c r="AW184" i="1"/>
  <c r="AX184" i="1"/>
  <c r="AY184" i="1"/>
  <c r="AZ184" i="1"/>
  <c r="BA184" i="1"/>
  <c r="BB184" i="1"/>
  <c r="AS185" i="1"/>
  <c r="AU185" i="1"/>
  <c r="AV185" i="1"/>
  <c r="AW185" i="1"/>
  <c r="AX185" i="1"/>
  <c r="AY185" i="1"/>
  <c r="AZ185" i="1"/>
  <c r="BA185" i="1"/>
  <c r="BB185" i="1"/>
  <c r="AU186" i="1"/>
  <c r="AV186" i="1"/>
  <c r="AW186" i="1"/>
  <c r="AX186" i="1"/>
  <c r="AY186" i="1"/>
  <c r="AZ186" i="1"/>
  <c r="BA186" i="1"/>
  <c r="BB186" i="1"/>
  <c r="AS187" i="1"/>
  <c r="AU187" i="1"/>
  <c r="AV187" i="1"/>
  <c r="AW187" i="1"/>
  <c r="AX187" i="1"/>
  <c r="AY187" i="1"/>
  <c r="AZ187" i="1"/>
  <c r="BA187" i="1"/>
  <c r="BB187" i="1"/>
  <c r="AU188" i="1"/>
  <c r="AV188" i="1"/>
  <c r="AW188" i="1"/>
  <c r="AX188" i="1"/>
  <c r="AY188" i="1"/>
  <c r="AZ188" i="1"/>
  <c r="BA188" i="1"/>
  <c r="BB188" i="1"/>
  <c r="AS189" i="1"/>
  <c r="AU189" i="1"/>
  <c r="AV189" i="1"/>
  <c r="AW189" i="1"/>
  <c r="AX189" i="1"/>
  <c r="AY189" i="1"/>
  <c r="AZ189" i="1"/>
  <c r="BA189" i="1"/>
  <c r="BB189" i="1"/>
  <c r="AS190" i="1"/>
  <c r="AU190" i="1"/>
  <c r="AV190" i="1"/>
  <c r="AW190" i="1"/>
  <c r="AX190" i="1"/>
  <c r="AY190" i="1"/>
  <c r="AZ190" i="1"/>
  <c r="BA190" i="1"/>
  <c r="BB190" i="1"/>
  <c r="AS191" i="1"/>
  <c r="AU191" i="1"/>
  <c r="AV191" i="1"/>
  <c r="AW191" i="1"/>
  <c r="AX191" i="1"/>
  <c r="AY191" i="1"/>
  <c r="AZ191" i="1"/>
  <c r="BA191" i="1"/>
  <c r="BB191" i="1"/>
  <c r="AS192" i="1"/>
  <c r="AU192" i="1"/>
  <c r="AV192" i="1"/>
  <c r="AW192" i="1"/>
  <c r="AX192" i="1"/>
  <c r="AY192" i="1"/>
  <c r="AZ192" i="1"/>
  <c r="BA192" i="1"/>
  <c r="BB192" i="1"/>
  <c r="AS193" i="1"/>
  <c r="AU193" i="1"/>
  <c r="AV193" i="1"/>
  <c r="AW193" i="1"/>
  <c r="AX193" i="1"/>
  <c r="AY193" i="1"/>
  <c r="AZ193" i="1"/>
  <c r="BA193" i="1"/>
  <c r="BB193" i="1"/>
  <c r="AS194" i="1"/>
  <c r="AU194" i="1"/>
  <c r="AV194" i="1"/>
  <c r="AW194" i="1"/>
  <c r="AX194" i="1"/>
  <c r="AY194" i="1"/>
  <c r="AZ194" i="1"/>
  <c r="BA194" i="1"/>
  <c r="BB194" i="1"/>
  <c r="AS195" i="1"/>
  <c r="AU195" i="1"/>
  <c r="AV195" i="1"/>
  <c r="AW195" i="1"/>
  <c r="AX195" i="1"/>
  <c r="AY195" i="1"/>
  <c r="AZ195" i="1"/>
  <c r="BA195" i="1"/>
  <c r="BB195" i="1"/>
  <c r="AU196" i="1"/>
  <c r="AV196" i="1"/>
  <c r="AW196" i="1"/>
  <c r="AX196" i="1"/>
  <c r="AY196" i="1"/>
  <c r="AZ196" i="1"/>
  <c r="BA196" i="1"/>
  <c r="BB196" i="1"/>
  <c r="AS197" i="1"/>
  <c r="AU197" i="1"/>
  <c r="AV197" i="1"/>
  <c r="AW197" i="1"/>
  <c r="AX197" i="1"/>
  <c r="AY197" i="1"/>
  <c r="AZ197" i="1"/>
  <c r="BA197" i="1"/>
  <c r="BB197" i="1"/>
  <c r="AU198" i="1"/>
  <c r="AV198" i="1"/>
  <c r="AW198" i="1"/>
  <c r="AX198" i="1"/>
  <c r="AY198" i="1"/>
  <c r="AZ198" i="1"/>
  <c r="BA198" i="1"/>
  <c r="BB198" i="1"/>
  <c r="AS199" i="1"/>
  <c r="AU199" i="1"/>
  <c r="AV199" i="1"/>
  <c r="AW199" i="1"/>
  <c r="AX199" i="1"/>
  <c r="AY199" i="1"/>
  <c r="AZ199" i="1"/>
  <c r="BA199" i="1"/>
  <c r="BB199" i="1"/>
  <c r="AS200" i="1"/>
  <c r="AU200" i="1"/>
  <c r="AV200" i="1"/>
  <c r="AW200" i="1"/>
  <c r="AX200" i="1"/>
  <c r="AY200" i="1"/>
  <c r="AZ200" i="1"/>
  <c r="BA200" i="1"/>
  <c r="BB200" i="1"/>
  <c r="AS201" i="1"/>
  <c r="AU201" i="1"/>
  <c r="AV201" i="1"/>
  <c r="AW201" i="1"/>
  <c r="AX201" i="1"/>
  <c r="AY201" i="1"/>
  <c r="AZ201" i="1"/>
  <c r="BA201" i="1"/>
  <c r="BB201" i="1"/>
  <c r="AU202" i="1"/>
  <c r="AV202" i="1"/>
  <c r="AW202" i="1"/>
  <c r="AX202" i="1"/>
  <c r="AY202" i="1"/>
  <c r="AZ202" i="1"/>
  <c r="BA202" i="1"/>
  <c r="BB202" i="1"/>
  <c r="AS203" i="1"/>
  <c r="AU203" i="1"/>
  <c r="AV203" i="1"/>
  <c r="AW203" i="1"/>
  <c r="AX203" i="1"/>
  <c r="AY203" i="1"/>
  <c r="AZ203" i="1"/>
  <c r="BA203" i="1"/>
  <c r="BB203" i="1"/>
  <c r="AU204" i="1"/>
  <c r="AV204" i="1"/>
  <c r="AW204" i="1"/>
  <c r="AX204" i="1"/>
  <c r="AY204" i="1"/>
  <c r="AZ204" i="1"/>
  <c r="BA204" i="1"/>
  <c r="BB204" i="1"/>
  <c r="AS205" i="1"/>
  <c r="AU205" i="1"/>
  <c r="AV205" i="1"/>
  <c r="AW205" i="1"/>
  <c r="AX205" i="1"/>
  <c r="AY205" i="1"/>
  <c r="AZ205" i="1"/>
  <c r="BA205" i="1"/>
  <c r="BB205" i="1"/>
  <c r="AS206" i="1"/>
  <c r="AU206" i="1"/>
  <c r="AV206" i="1"/>
  <c r="AW206" i="1"/>
  <c r="AX206" i="1"/>
  <c r="AY206" i="1"/>
  <c r="AZ206" i="1"/>
  <c r="BA206" i="1"/>
  <c r="BB206" i="1"/>
  <c r="AS207" i="1"/>
  <c r="AU207" i="1"/>
  <c r="AV207" i="1"/>
  <c r="AW207" i="1"/>
  <c r="AX207" i="1"/>
  <c r="AY207" i="1"/>
  <c r="AZ207" i="1"/>
  <c r="BA207" i="1"/>
  <c r="BB207" i="1"/>
  <c r="AS208" i="1"/>
  <c r="AU208" i="1"/>
  <c r="AV208" i="1"/>
  <c r="AW208" i="1"/>
  <c r="AX208" i="1"/>
  <c r="AY208" i="1"/>
  <c r="AZ208" i="1"/>
  <c r="BA208" i="1"/>
  <c r="BB208" i="1"/>
  <c r="AS209" i="1"/>
  <c r="AU209" i="1"/>
  <c r="AV209" i="1"/>
  <c r="AW209" i="1"/>
  <c r="AX209" i="1"/>
  <c r="AY209" i="1"/>
  <c r="AZ209" i="1"/>
  <c r="BA209" i="1"/>
  <c r="BB209" i="1"/>
  <c r="AS210" i="1"/>
  <c r="AU210" i="1"/>
  <c r="AV210" i="1"/>
  <c r="AW210" i="1"/>
  <c r="AX210" i="1"/>
  <c r="AY210" i="1"/>
  <c r="AZ210" i="1"/>
  <c r="BA210" i="1"/>
  <c r="BB210" i="1"/>
  <c r="AS211" i="1"/>
  <c r="AU211" i="1"/>
  <c r="AV211" i="1"/>
  <c r="AW211" i="1"/>
  <c r="AX211" i="1"/>
  <c r="AY211" i="1"/>
  <c r="AZ211" i="1"/>
  <c r="BA211" i="1"/>
  <c r="BB211" i="1"/>
  <c r="AS212" i="1"/>
  <c r="AU212" i="1"/>
  <c r="AV212" i="1"/>
  <c r="AW212" i="1"/>
  <c r="AX212" i="1"/>
  <c r="AY212" i="1"/>
  <c r="AZ212" i="1"/>
  <c r="BA212" i="1"/>
  <c r="BB212" i="1"/>
  <c r="AS213" i="1"/>
  <c r="AU213" i="1"/>
  <c r="AV213" i="1"/>
  <c r="AW213" i="1"/>
  <c r="AX213" i="1"/>
  <c r="AY213" i="1"/>
  <c r="AZ213" i="1"/>
  <c r="BA213" i="1"/>
  <c r="BB213" i="1"/>
  <c r="AS214" i="1"/>
  <c r="AU214" i="1"/>
  <c r="AV214" i="1"/>
  <c r="AW214" i="1"/>
  <c r="AX214" i="1"/>
  <c r="AY214" i="1"/>
  <c r="AZ214" i="1"/>
  <c r="BA214" i="1"/>
  <c r="BB214" i="1"/>
  <c r="AS215" i="1"/>
  <c r="AU215" i="1"/>
  <c r="AV215" i="1"/>
  <c r="AW215" i="1"/>
  <c r="AX215" i="1"/>
  <c r="AY215" i="1"/>
  <c r="AZ215" i="1"/>
  <c r="BA215" i="1"/>
  <c r="BB215" i="1"/>
  <c r="AS216" i="1"/>
  <c r="AU216" i="1"/>
  <c r="AV216" i="1"/>
  <c r="AW216" i="1"/>
  <c r="AX216" i="1"/>
  <c r="AY216" i="1"/>
  <c r="AZ216" i="1"/>
  <c r="BA216" i="1"/>
  <c r="BB216" i="1"/>
  <c r="AS217" i="1"/>
  <c r="AU217" i="1"/>
  <c r="AV217" i="1"/>
  <c r="AW217" i="1"/>
  <c r="AX217" i="1"/>
  <c r="AY217" i="1"/>
  <c r="AZ217" i="1"/>
  <c r="BA217" i="1"/>
  <c r="BB217" i="1"/>
  <c r="AS218" i="1"/>
  <c r="AU218" i="1"/>
  <c r="AV218" i="1"/>
  <c r="AW218" i="1"/>
  <c r="AX218" i="1"/>
  <c r="AY218" i="1"/>
  <c r="AZ218" i="1"/>
  <c r="BA218" i="1"/>
  <c r="BB218" i="1"/>
  <c r="AS219" i="1"/>
  <c r="AU219" i="1"/>
  <c r="AV219" i="1"/>
  <c r="AW219" i="1"/>
  <c r="AX219" i="1"/>
  <c r="AY219" i="1"/>
  <c r="AZ219" i="1"/>
  <c r="BA219" i="1"/>
  <c r="BB219" i="1"/>
  <c r="AS220" i="1"/>
  <c r="AU220" i="1"/>
  <c r="AV220" i="1"/>
  <c r="AW220" i="1"/>
  <c r="AX220" i="1"/>
  <c r="AY220" i="1"/>
  <c r="AZ220" i="1"/>
  <c r="BA220" i="1"/>
  <c r="BB220" i="1"/>
  <c r="AS221" i="1"/>
  <c r="AU221" i="1"/>
  <c r="AV221" i="1"/>
  <c r="AW221" i="1"/>
  <c r="AX221" i="1"/>
  <c r="AY221" i="1"/>
  <c r="AZ221" i="1"/>
  <c r="BA221" i="1"/>
  <c r="BB221" i="1"/>
  <c r="AS222" i="1"/>
  <c r="AU222" i="1"/>
  <c r="AV222" i="1"/>
  <c r="AW222" i="1"/>
  <c r="AX222" i="1"/>
  <c r="AY222" i="1"/>
  <c r="AZ222" i="1"/>
  <c r="BA222" i="1"/>
  <c r="BB222" i="1"/>
  <c r="AU223" i="1"/>
  <c r="AV223" i="1"/>
  <c r="AW223" i="1"/>
  <c r="AX223" i="1"/>
  <c r="AY223" i="1"/>
  <c r="AZ223" i="1"/>
  <c r="BA223" i="1"/>
  <c r="BB223" i="1"/>
  <c r="AS224" i="1"/>
  <c r="AU224" i="1"/>
  <c r="AV224" i="1"/>
  <c r="AW224" i="1"/>
  <c r="AX224" i="1"/>
  <c r="AY224" i="1"/>
  <c r="AZ224" i="1"/>
  <c r="BA224" i="1"/>
  <c r="BB224" i="1"/>
  <c r="AU225" i="1"/>
  <c r="AV225" i="1"/>
  <c r="AW225" i="1"/>
  <c r="AX225" i="1"/>
  <c r="AY225" i="1"/>
  <c r="AZ225" i="1"/>
  <c r="BA225" i="1"/>
  <c r="BB225" i="1"/>
  <c r="AS226" i="1"/>
  <c r="AU226" i="1"/>
  <c r="AV226" i="1"/>
  <c r="AW226" i="1"/>
  <c r="AX226" i="1"/>
  <c r="AY226" i="1"/>
  <c r="AZ226" i="1"/>
  <c r="BA226" i="1"/>
  <c r="BB226" i="1"/>
  <c r="AS227" i="1"/>
  <c r="AU227" i="1"/>
  <c r="AV227" i="1"/>
  <c r="AW227" i="1"/>
  <c r="AX227" i="1"/>
  <c r="AY227" i="1"/>
  <c r="AZ227" i="1"/>
  <c r="BA227" i="1"/>
  <c r="BB227" i="1"/>
  <c r="AS228" i="1"/>
  <c r="AU228" i="1"/>
  <c r="AV228" i="1"/>
  <c r="AW228" i="1"/>
  <c r="AX228" i="1"/>
  <c r="AY228" i="1"/>
  <c r="AZ228" i="1"/>
  <c r="BA228" i="1"/>
  <c r="BB228" i="1"/>
  <c r="AS229" i="1"/>
  <c r="AU229" i="1"/>
  <c r="AV229" i="1"/>
  <c r="AW229" i="1"/>
  <c r="AX229" i="1"/>
  <c r="AY229" i="1"/>
  <c r="AZ229" i="1"/>
  <c r="BA229" i="1"/>
  <c r="BB229" i="1"/>
  <c r="AS230" i="1"/>
  <c r="AU230" i="1"/>
  <c r="AV230" i="1"/>
  <c r="AW230" i="1"/>
  <c r="AX230" i="1"/>
  <c r="AY230" i="1"/>
  <c r="AZ230" i="1"/>
  <c r="BA230" i="1"/>
  <c r="BB230" i="1"/>
  <c r="AS231" i="1"/>
  <c r="AU231" i="1"/>
  <c r="AV231" i="1"/>
  <c r="AW231" i="1"/>
  <c r="AX231" i="1"/>
  <c r="AY231" i="1"/>
  <c r="AZ231" i="1"/>
  <c r="BA231" i="1"/>
  <c r="BB231" i="1"/>
  <c r="AS232" i="1"/>
  <c r="AU232" i="1"/>
  <c r="AV232" i="1"/>
  <c r="AW232" i="1"/>
  <c r="AX232" i="1"/>
  <c r="AY232" i="1"/>
  <c r="AZ232" i="1"/>
  <c r="BA232" i="1"/>
  <c r="BB232" i="1"/>
  <c r="AS233" i="1"/>
  <c r="AU233" i="1"/>
  <c r="AV233" i="1"/>
  <c r="AW233" i="1"/>
  <c r="AX233" i="1"/>
  <c r="AY233" i="1"/>
  <c r="AZ233" i="1"/>
  <c r="BA233" i="1"/>
  <c r="BB233" i="1"/>
  <c r="AS234" i="1"/>
  <c r="AU234" i="1"/>
  <c r="AV234" i="1"/>
  <c r="AW234" i="1"/>
  <c r="AX234" i="1"/>
  <c r="AY234" i="1"/>
  <c r="AZ234" i="1"/>
  <c r="BA234" i="1"/>
  <c r="BB234" i="1"/>
  <c r="AS235" i="1"/>
  <c r="AU235" i="1"/>
  <c r="AV235" i="1"/>
  <c r="AW235" i="1"/>
  <c r="AX235" i="1"/>
  <c r="AY235" i="1"/>
  <c r="AZ235" i="1"/>
  <c r="BA235" i="1"/>
  <c r="BB235" i="1"/>
  <c r="AS236" i="1"/>
  <c r="AU236" i="1"/>
  <c r="AV236" i="1"/>
  <c r="AW236" i="1"/>
  <c r="AX236" i="1"/>
  <c r="AY236" i="1"/>
  <c r="AZ236" i="1"/>
  <c r="BA236" i="1"/>
  <c r="BB236" i="1"/>
  <c r="AS237" i="1"/>
  <c r="AU237" i="1"/>
  <c r="AV237" i="1"/>
  <c r="AW237" i="1"/>
  <c r="AX237" i="1"/>
  <c r="AY237" i="1"/>
  <c r="AZ237" i="1"/>
  <c r="BA237" i="1"/>
  <c r="BB237" i="1"/>
  <c r="AS238" i="1"/>
  <c r="AU238" i="1"/>
  <c r="AV238" i="1"/>
  <c r="AW238" i="1"/>
  <c r="AX238" i="1"/>
  <c r="AY238" i="1"/>
  <c r="AZ238" i="1"/>
  <c r="BA238" i="1"/>
  <c r="BB238" i="1"/>
  <c r="AS239" i="1"/>
  <c r="AU239" i="1"/>
  <c r="AV239" i="1"/>
  <c r="AW239" i="1"/>
  <c r="AX239" i="1"/>
  <c r="AY239" i="1"/>
  <c r="AZ239" i="1"/>
  <c r="BA239" i="1"/>
  <c r="BB239" i="1"/>
  <c r="AS240" i="1"/>
  <c r="AU240" i="1"/>
  <c r="AV240" i="1"/>
  <c r="AW240" i="1"/>
  <c r="AX240" i="1"/>
  <c r="AY240" i="1"/>
  <c r="AZ240" i="1"/>
  <c r="BA240" i="1"/>
  <c r="BB240" i="1"/>
  <c r="AS241" i="1"/>
  <c r="AU241" i="1"/>
  <c r="AV241" i="1"/>
  <c r="AW241" i="1"/>
  <c r="AX241" i="1"/>
  <c r="AY241" i="1"/>
  <c r="AZ241" i="1"/>
  <c r="BA241" i="1"/>
  <c r="BB241" i="1"/>
  <c r="AS242" i="1"/>
  <c r="AU242" i="1"/>
  <c r="AV242" i="1"/>
  <c r="AW242" i="1"/>
  <c r="AX242" i="1"/>
  <c r="AY242" i="1"/>
  <c r="AZ242" i="1"/>
  <c r="BA242" i="1"/>
  <c r="BB242" i="1"/>
  <c r="AS243" i="1"/>
  <c r="AU243" i="1"/>
  <c r="AV243" i="1"/>
  <c r="AW243" i="1"/>
  <c r="AX243" i="1"/>
  <c r="AY243" i="1"/>
  <c r="AZ243" i="1"/>
  <c r="BA243" i="1"/>
  <c r="BB243" i="1"/>
  <c r="AS244" i="1"/>
  <c r="AU244" i="1"/>
  <c r="AV244" i="1"/>
  <c r="AW244" i="1"/>
  <c r="AX244" i="1"/>
  <c r="AY244" i="1"/>
  <c r="AZ244" i="1"/>
  <c r="BA244" i="1"/>
  <c r="BB244" i="1"/>
  <c r="AS245" i="1"/>
  <c r="AU245" i="1"/>
  <c r="AV245" i="1"/>
  <c r="AW245" i="1"/>
  <c r="AX245" i="1"/>
  <c r="AY245" i="1"/>
  <c r="AZ245" i="1"/>
  <c r="BA245" i="1"/>
  <c r="BB245" i="1"/>
  <c r="AS246" i="1"/>
  <c r="AU246" i="1"/>
  <c r="AV246" i="1"/>
  <c r="AW246" i="1"/>
  <c r="AX246" i="1"/>
  <c r="AY246" i="1"/>
  <c r="AZ246" i="1"/>
  <c r="BA246" i="1"/>
  <c r="BB246" i="1"/>
  <c r="AS247" i="1"/>
  <c r="AU247" i="1"/>
  <c r="AV247" i="1"/>
  <c r="AW247" i="1"/>
  <c r="AX247" i="1"/>
  <c r="AY247" i="1"/>
  <c r="AZ247" i="1"/>
  <c r="BA247" i="1"/>
  <c r="BB247" i="1"/>
  <c r="AS248" i="1"/>
  <c r="AU248" i="1"/>
  <c r="AV248" i="1"/>
  <c r="AW248" i="1"/>
  <c r="AX248" i="1"/>
  <c r="AY248" i="1"/>
  <c r="AZ248" i="1"/>
  <c r="BA248" i="1"/>
  <c r="BB248" i="1"/>
  <c r="AS249" i="1"/>
  <c r="AU249" i="1"/>
  <c r="AV249" i="1"/>
  <c r="AW249" i="1"/>
  <c r="AX249" i="1"/>
  <c r="AY249" i="1"/>
  <c r="AZ249" i="1"/>
  <c r="BA249" i="1"/>
  <c r="BB249" i="1"/>
  <c r="AS250" i="1"/>
  <c r="AU250" i="1"/>
  <c r="AV250" i="1"/>
  <c r="AW250" i="1"/>
  <c r="AX250" i="1"/>
  <c r="AY250" i="1"/>
  <c r="AZ250" i="1"/>
  <c r="BA250" i="1"/>
  <c r="BB250" i="1"/>
  <c r="AS251" i="1"/>
  <c r="AU251" i="1"/>
  <c r="AV251" i="1"/>
  <c r="AW251" i="1"/>
  <c r="AX251" i="1"/>
  <c r="AY251" i="1"/>
  <c r="AZ251" i="1"/>
  <c r="BA251" i="1"/>
  <c r="BB251" i="1"/>
  <c r="AS252" i="1"/>
  <c r="AU252" i="1"/>
  <c r="AV252" i="1"/>
  <c r="AW252" i="1"/>
  <c r="AX252" i="1"/>
  <c r="AY252" i="1"/>
  <c r="AZ252" i="1"/>
  <c r="BA252" i="1"/>
  <c r="BB252" i="1"/>
  <c r="AS253" i="1"/>
  <c r="AU253" i="1"/>
  <c r="AV253" i="1"/>
  <c r="AW253" i="1"/>
  <c r="AX253" i="1"/>
  <c r="AY253" i="1"/>
  <c r="AZ253" i="1"/>
  <c r="BA253" i="1"/>
  <c r="BB253" i="1"/>
  <c r="AS254" i="1"/>
  <c r="AU254" i="1"/>
  <c r="AV254" i="1"/>
  <c r="AW254" i="1"/>
  <c r="AX254" i="1"/>
  <c r="AY254" i="1"/>
  <c r="AZ254" i="1"/>
  <c r="BA254" i="1"/>
  <c r="BB254" i="1"/>
  <c r="AS255" i="1"/>
  <c r="AU255" i="1"/>
  <c r="AV255" i="1"/>
  <c r="AW255" i="1"/>
  <c r="AX255" i="1"/>
  <c r="AY255" i="1"/>
  <c r="AZ255" i="1"/>
  <c r="BA255" i="1"/>
  <c r="BB255" i="1"/>
  <c r="AS256" i="1"/>
  <c r="AU256" i="1"/>
  <c r="AV256" i="1"/>
  <c r="AW256" i="1"/>
  <c r="AX256" i="1"/>
  <c r="AY256" i="1"/>
  <c r="AZ256" i="1"/>
  <c r="BA256" i="1"/>
  <c r="BB256" i="1"/>
  <c r="AS257" i="1"/>
  <c r="AU257" i="1"/>
  <c r="AV257" i="1"/>
  <c r="AW257" i="1"/>
  <c r="AX257" i="1"/>
  <c r="AY257" i="1"/>
  <c r="AZ257" i="1"/>
  <c r="BA257" i="1"/>
  <c r="BB257" i="1"/>
  <c r="AS258" i="1"/>
  <c r="AU258" i="1"/>
  <c r="AV258" i="1"/>
  <c r="AW258" i="1"/>
  <c r="AX258" i="1"/>
  <c r="AY258" i="1"/>
  <c r="AZ258" i="1"/>
  <c r="BA258" i="1"/>
  <c r="BB258" i="1"/>
  <c r="AS259" i="1"/>
  <c r="AU259" i="1"/>
  <c r="AV259" i="1"/>
  <c r="AW259" i="1"/>
  <c r="AX259" i="1"/>
  <c r="AY259" i="1"/>
  <c r="AZ259" i="1"/>
  <c r="BA259" i="1"/>
  <c r="BB259" i="1"/>
  <c r="AS260" i="1"/>
  <c r="AU260" i="1"/>
  <c r="AV260" i="1"/>
  <c r="AW260" i="1"/>
  <c r="AX260" i="1"/>
  <c r="AY260" i="1"/>
  <c r="AZ260" i="1"/>
  <c r="BA260" i="1"/>
  <c r="BB260" i="1"/>
  <c r="AS261" i="1"/>
  <c r="AU261" i="1"/>
  <c r="AV261" i="1"/>
  <c r="AW261" i="1"/>
  <c r="AX261" i="1"/>
  <c r="AY261" i="1"/>
  <c r="AZ261" i="1"/>
  <c r="BA261" i="1"/>
  <c r="BB261" i="1"/>
  <c r="AS262" i="1"/>
  <c r="AU262" i="1"/>
  <c r="AV262" i="1"/>
  <c r="AW262" i="1"/>
  <c r="AX262" i="1"/>
  <c r="AY262" i="1"/>
  <c r="AZ262" i="1"/>
  <c r="BA262" i="1"/>
  <c r="BB262" i="1"/>
  <c r="AS263" i="1"/>
  <c r="AU263" i="1"/>
  <c r="AV263" i="1"/>
  <c r="AW263" i="1"/>
  <c r="AX263" i="1"/>
  <c r="AY263" i="1"/>
  <c r="AZ263" i="1"/>
  <c r="BA263" i="1"/>
  <c r="BB263" i="1"/>
  <c r="AS264" i="1"/>
  <c r="AU264" i="1"/>
  <c r="AV264" i="1"/>
  <c r="AW264" i="1"/>
  <c r="AX264" i="1"/>
  <c r="AY264" i="1"/>
  <c r="AZ264" i="1"/>
  <c r="BA264" i="1"/>
  <c r="BB264" i="1"/>
  <c r="BB4" i="1"/>
  <c r="BA4" i="1"/>
  <c r="AZ4" i="1"/>
  <c r="AY4" i="1"/>
  <c r="AX4" i="1"/>
  <c r="AW4" i="1"/>
  <c r="AV4" i="1"/>
  <c r="AU4" i="1"/>
  <c r="AS4" i="1"/>
  <c r="BI45" i="1" l="1"/>
  <c r="AG45" i="1" s="1"/>
  <c r="BI46" i="1"/>
  <c r="AG46" i="1" s="1"/>
  <c r="BI54" i="1"/>
  <c r="AG54" i="1" s="1"/>
  <c r="BI62" i="1"/>
  <c r="AG62" i="1" s="1"/>
  <c r="BI67" i="1"/>
  <c r="AG67" i="1" s="1"/>
  <c r="BI70" i="1"/>
  <c r="AG70" i="1" s="1"/>
  <c r="BI78" i="1"/>
  <c r="AG78" i="1" s="1"/>
  <c r="BI82" i="1"/>
  <c r="AG82" i="1" s="1"/>
  <c r="BI86" i="1"/>
  <c r="AG86" i="1" s="1"/>
  <c r="BI90" i="1"/>
  <c r="AG90" i="1" s="1"/>
  <c r="BI102" i="1"/>
  <c r="AG102" i="1" s="1"/>
  <c r="BI106" i="1"/>
  <c r="AG106" i="1" s="1"/>
  <c r="BI113" i="1"/>
  <c r="AG113" i="1" s="1"/>
  <c r="BI126" i="1"/>
  <c r="AG126" i="1" s="1"/>
  <c r="BI130" i="1"/>
  <c r="AG130" i="1" s="1"/>
  <c r="BI138" i="1"/>
  <c r="AG138" i="1" s="1"/>
  <c r="BI139" i="1"/>
  <c r="AG139" i="1" s="1"/>
  <c r="BI143" i="1"/>
  <c r="AG143" i="1" s="1"/>
  <c r="BI146" i="1"/>
  <c r="AG146" i="1" s="1"/>
  <c r="BI147" i="1"/>
  <c r="AG147" i="1" s="1"/>
  <c r="BI161" i="1"/>
  <c r="AG161" i="1" s="1"/>
  <c r="BI162" i="1"/>
  <c r="AG162" i="1" s="1"/>
  <c r="BI166" i="1"/>
  <c r="AG166" i="1" s="1"/>
  <c r="BI171" i="1"/>
  <c r="AG171" i="1" s="1"/>
  <c r="BI174" i="1"/>
  <c r="AG174" i="1" s="1"/>
  <c r="BI178" i="1"/>
  <c r="AG178" i="1" s="1"/>
  <c r="BI186" i="1"/>
  <c r="AG186" i="1" s="1"/>
  <c r="BI195" i="1"/>
  <c r="AG195" i="1" s="1"/>
  <c r="BI198" i="1"/>
  <c r="AG198" i="1" s="1"/>
  <c r="BI202" i="1"/>
  <c r="AG202" i="1" s="1"/>
  <c r="BI206" i="1"/>
  <c r="AG206" i="1" s="1"/>
  <c r="BI209" i="1"/>
  <c r="AG209" i="1" s="1"/>
  <c r="BI210" i="1"/>
  <c r="AG210" i="1" s="1"/>
  <c r="BI214" i="1"/>
  <c r="AG214" i="1" s="1"/>
  <c r="BI218" i="1"/>
  <c r="AG218" i="1" s="1"/>
  <c r="BI221" i="1"/>
  <c r="AG221" i="1" s="1"/>
  <c r="BI222" i="1"/>
  <c r="AG222" i="1" s="1"/>
  <c r="BI225" i="1"/>
  <c r="AG225" i="1" s="1"/>
  <c r="BI226" i="1"/>
  <c r="AG226" i="1" s="1"/>
  <c r="BI227" i="1"/>
  <c r="AG227" i="1" s="1"/>
  <c r="BI230" i="1"/>
  <c r="AG230" i="1" s="1"/>
  <c r="BI233" i="1"/>
  <c r="AG233" i="1" s="1"/>
  <c r="BI238" i="1"/>
  <c r="AG238" i="1" s="1"/>
  <c r="BI242" i="1"/>
  <c r="AG242" i="1" s="1"/>
  <c r="BI246" i="1"/>
  <c r="AG246" i="1" s="1"/>
  <c r="BI254" i="1"/>
  <c r="AG254" i="1" s="1"/>
  <c r="BI258" i="1"/>
  <c r="AG258" i="1" s="1"/>
  <c r="BI261" i="1"/>
  <c r="AG261" i="1" s="1"/>
  <c r="BI262" i="1"/>
  <c r="AG262" i="1" s="1"/>
  <c r="BI263" i="1"/>
  <c r="AG263" i="1" s="1"/>
  <c r="BI4" i="1"/>
  <c r="AG4" i="1" s="1"/>
  <c r="AQ54" i="1"/>
  <c r="O54" i="1"/>
  <c r="O56" i="1"/>
  <c r="AQ58" i="1"/>
  <c r="AQ60" i="1"/>
  <c r="O62" i="1"/>
  <c r="O64" i="1"/>
  <c r="AQ66" i="1"/>
  <c r="AQ71" i="1"/>
  <c r="O71" i="1"/>
  <c r="AQ75" i="1"/>
  <c r="O75" i="1"/>
  <c r="AQ73" i="1"/>
  <c r="O73" i="1"/>
  <c r="AQ121" i="1"/>
  <c r="O119" i="1"/>
  <c r="O162" i="1"/>
  <c r="AQ158" i="1"/>
  <c r="AQ183" i="1"/>
  <c r="O183" i="1"/>
  <c r="O186" i="1"/>
  <c r="O188" i="1"/>
  <c r="AQ221" i="1"/>
  <c r="AQ196" i="1"/>
  <c r="O196" i="1"/>
  <c r="O42" i="1"/>
  <c r="O40" i="1"/>
  <c r="AQ38" i="1"/>
  <c r="AQ44" i="1"/>
  <c r="O79" i="1"/>
  <c r="AQ77" i="1"/>
  <c r="O77" i="1"/>
  <c r="O18" i="1"/>
  <c r="O20" i="1"/>
  <c r="AQ24" i="1"/>
  <c r="AQ10" i="1"/>
  <c r="O12" i="1"/>
  <c r="AQ14" i="1"/>
  <c r="O14" i="1"/>
  <c r="O165" i="1"/>
  <c r="O193" i="1"/>
  <c r="AQ171" i="1"/>
  <c r="O227" i="1"/>
  <c r="AQ260" i="1"/>
  <c r="I150" i="1"/>
  <c r="I26" i="1"/>
  <c r="I86" i="1"/>
  <c r="I88" i="1"/>
  <c r="I92" i="1"/>
  <c r="I90" i="1"/>
  <c r="I94" i="1"/>
  <c r="I125" i="1"/>
  <c r="I127" i="1"/>
  <c r="I131" i="1"/>
  <c r="I129" i="1"/>
  <c r="I133" i="1"/>
  <c r="I96" i="1"/>
  <c r="I148" i="1"/>
  <c r="I146" i="1"/>
  <c r="I140" i="1"/>
  <c r="I142" i="1"/>
  <c r="I144" i="1"/>
  <c r="I137" i="1"/>
  <c r="I200" i="1"/>
  <c r="I104" i="1"/>
  <c r="I169" i="1"/>
  <c r="I154" i="1"/>
  <c r="I156" i="1"/>
  <c r="I152" i="1"/>
  <c r="I36" i="1"/>
  <c r="I34" i="1"/>
  <c r="I30" i="1"/>
  <c r="I32" i="1"/>
  <c r="I106" i="1"/>
  <c r="I110" i="1"/>
  <c r="I123" i="1"/>
  <c r="I202" i="1"/>
  <c r="I204" i="1"/>
  <c r="I223" i="1"/>
  <c r="I225" i="1"/>
  <c r="I135" i="1"/>
  <c r="I48" i="1"/>
  <c r="I50" i="1"/>
  <c r="I52" i="1"/>
  <c r="I54" i="1"/>
  <c r="I56" i="1"/>
  <c r="I58" i="1"/>
  <c r="I60" i="1"/>
  <c r="I62" i="1"/>
  <c r="I64" i="1"/>
  <c r="I66" i="1"/>
  <c r="I71" i="1"/>
  <c r="I75" i="1"/>
  <c r="I69" i="1"/>
  <c r="I73" i="1"/>
  <c r="I121" i="1"/>
  <c r="I119" i="1"/>
  <c r="I162" i="1"/>
  <c r="I160" i="1"/>
  <c r="I158" i="1"/>
  <c r="I183" i="1"/>
  <c r="I175" i="1"/>
  <c r="I186" i="1"/>
  <c r="I188" i="1"/>
  <c r="I221" i="1"/>
  <c r="I196" i="1"/>
  <c r="I198" i="1"/>
  <c r="I42" i="1"/>
  <c r="I40" i="1"/>
  <c r="I46" i="1"/>
  <c r="I38" i="1"/>
  <c r="I44" i="1"/>
  <c r="I79" i="1"/>
  <c r="I77" i="1"/>
  <c r="I102" i="1"/>
  <c r="I18" i="1"/>
  <c r="I20" i="1"/>
  <c r="I22" i="1"/>
  <c r="I24" i="1"/>
  <c r="I10" i="1"/>
  <c r="I12" i="1"/>
  <c r="I14" i="1"/>
  <c r="I16" i="1"/>
  <c r="I165" i="1"/>
  <c r="I193" i="1"/>
  <c r="I209" i="1"/>
  <c r="I171" i="1"/>
  <c r="I227" i="1"/>
  <c r="I260" i="1"/>
  <c r="Z227" i="1"/>
  <c r="AP227" i="1" s="1"/>
  <c r="Z171" i="1"/>
  <c r="AP171" i="1" s="1"/>
  <c r="Z209" i="1"/>
  <c r="AP209" i="1" s="1"/>
  <c r="Z193" i="1"/>
  <c r="AP193" i="1" s="1"/>
  <c r="Z165" i="1"/>
  <c r="AP165" i="1" s="1"/>
  <c r="Z16" i="1"/>
  <c r="AP16" i="1" s="1"/>
  <c r="Z14" i="1"/>
  <c r="AP14" i="1" s="1"/>
  <c r="Z12" i="1"/>
  <c r="AP12" i="1" s="1"/>
  <c r="Z10" i="1"/>
  <c r="AP10" i="1" s="1"/>
  <c r="Z24" i="1"/>
  <c r="AP24" i="1" s="1"/>
  <c r="Z22" i="1"/>
  <c r="AP22" i="1" s="1"/>
  <c r="Z20" i="1"/>
  <c r="AP20" i="1" s="1"/>
  <c r="Z18" i="1"/>
  <c r="AP18" i="1" s="1"/>
  <c r="Z102" i="1"/>
  <c r="AP102" i="1" s="1"/>
  <c r="Z77" i="1"/>
  <c r="AP77" i="1" s="1"/>
  <c r="Z79" i="1"/>
  <c r="AP79" i="1" s="1"/>
  <c r="Z44" i="1"/>
  <c r="AP44" i="1" s="1"/>
  <c r="Z38" i="1"/>
  <c r="AP38" i="1" s="1"/>
  <c r="Z46" i="1"/>
  <c r="AP46" i="1" s="1"/>
  <c r="Z40" i="1"/>
  <c r="AP40" i="1" s="1"/>
  <c r="Z42" i="1"/>
  <c r="AP42" i="1" s="1"/>
  <c r="Z198" i="1"/>
  <c r="AP198" i="1" s="1"/>
  <c r="Z196" i="1"/>
  <c r="AP196" i="1" s="1"/>
  <c r="Z221" i="1"/>
  <c r="AP221" i="1" s="1"/>
  <c r="Z188" i="1"/>
  <c r="AP188" i="1" s="1"/>
  <c r="Z186" i="1"/>
  <c r="AP186" i="1" s="1"/>
  <c r="Z175" i="1"/>
  <c r="AP175" i="1" s="1"/>
  <c r="Z183" i="1"/>
  <c r="AP183" i="1" s="1"/>
  <c r="Z158" i="1"/>
  <c r="AP158" i="1" s="1"/>
  <c r="Z160" i="1"/>
  <c r="AP160" i="1" s="1"/>
  <c r="Z162" i="1"/>
  <c r="AP162" i="1" s="1"/>
  <c r="Z119" i="1"/>
  <c r="AP119" i="1" s="1"/>
  <c r="Z121" i="1"/>
  <c r="AP121" i="1" s="1"/>
  <c r="Z73" i="1"/>
  <c r="AP73" i="1" s="1"/>
  <c r="Z69" i="1"/>
  <c r="AP69" i="1" s="1"/>
  <c r="Z75" i="1"/>
  <c r="AP75" i="1" s="1"/>
  <c r="Z71" i="1"/>
  <c r="AP71" i="1" s="1"/>
  <c r="Z66" i="1"/>
  <c r="AP66" i="1" s="1"/>
  <c r="Z64" i="1"/>
  <c r="AP64" i="1" s="1"/>
  <c r="Z62" i="1"/>
  <c r="AP62" i="1" s="1"/>
  <c r="Z60" i="1"/>
  <c r="AP60" i="1" s="1"/>
  <c r="Z58" i="1"/>
  <c r="AP58" i="1" s="1"/>
  <c r="Z56" i="1"/>
  <c r="AP56" i="1" s="1"/>
  <c r="Z54" i="1"/>
  <c r="AP54" i="1" s="1"/>
  <c r="Z52" i="1"/>
  <c r="AP52" i="1" s="1"/>
  <c r="Z50" i="1"/>
  <c r="AP50" i="1" s="1"/>
  <c r="Z48" i="1"/>
  <c r="AP48" i="1" s="1"/>
  <c r="Z135" i="1"/>
  <c r="AP135" i="1" s="1"/>
  <c r="Z225" i="1"/>
  <c r="AP225" i="1" s="1"/>
  <c r="Z223" i="1"/>
  <c r="AP223" i="1" s="1"/>
  <c r="Z204" i="1"/>
  <c r="AP204" i="1" s="1"/>
  <c r="Z202" i="1"/>
  <c r="AP202" i="1" s="1"/>
  <c r="Z123" i="1"/>
  <c r="AP123" i="1" s="1"/>
  <c r="Z110" i="1"/>
  <c r="AP110" i="1" s="1"/>
  <c r="Z106" i="1"/>
  <c r="AP106" i="1" s="1"/>
  <c r="Z32" i="1"/>
  <c r="AP32" i="1" s="1"/>
  <c r="Z30" i="1"/>
  <c r="AP30" i="1" s="1"/>
  <c r="Z34" i="1"/>
  <c r="AP34" i="1" s="1"/>
  <c r="Z36" i="1"/>
  <c r="AP36" i="1" s="1"/>
  <c r="Z152" i="1"/>
  <c r="AP152" i="1" s="1"/>
  <c r="Z156" i="1"/>
  <c r="AP156" i="1" s="1"/>
  <c r="Z154" i="1"/>
  <c r="AP154" i="1" s="1"/>
  <c r="Z169" i="1"/>
  <c r="AP169" i="1" s="1"/>
  <c r="Z104" i="1"/>
  <c r="AP104" i="1" s="1"/>
  <c r="Z200" i="1"/>
  <c r="AP200" i="1" s="1"/>
  <c r="Z137" i="1"/>
  <c r="AP137" i="1" s="1"/>
  <c r="Z144" i="1"/>
  <c r="AP144" i="1" s="1"/>
  <c r="Z142" i="1"/>
  <c r="AP142" i="1" s="1"/>
  <c r="Z140" i="1"/>
  <c r="AP140" i="1" s="1"/>
  <c r="Z146" i="1"/>
  <c r="AP146" i="1" s="1"/>
  <c r="Z148" i="1"/>
  <c r="AP148" i="1" s="1"/>
  <c r="Z96" i="1"/>
  <c r="AP96" i="1" s="1"/>
  <c r="Z133" i="1"/>
  <c r="AP133" i="1" s="1"/>
  <c r="Z129" i="1"/>
  <c r="AP129" i="1" s="1"/>
  <c r="Z131" i="1"/>
  <c r="AP131" i="1" s="1"/>
  <c r="Z127" i="1"/>
  <c r="AP127" i="1" s="1"/>
  <c r="Z125" i="1"/>
  <c r="AP125" i="1" s="1"/>
  <c r="Z94" i="1"/>
  <c r="AP94" i="1" s="1"/>
  <c r="Z90" i="1"/>
  <c r="AP90" i="1" s="1"/>
  <c r="Z92" i="1"/>
  <c r="AP92" i="1" s="1"/>
  <c r="Z88" i="1"/>
  <c r="AP88" i="1" s="1"/>
  <c r="Z86" i="1"/>
  <c r="AP86" i="1" s="1"/>
  <c r="Z26" i="1"/>
  <c r="AP26" i="1" s="1"/>
  <c r="Z150" i="1"/>
  <c r="AP150" i="1" s="1"/>
  <c r="Z260" i="1"/>
  <c r="AP260" i="1" s="1"/>
  <c r="AB227" i="1"/>
  <c r="AR227" i="1" s="1"/>
  <c r="BN227" i="1" s="1"/>
  <c r="D227" i="1"/>
  <c r="AB171" i="1"/>
  <c r="O171" i="1"/>
  <c r="D171" i="1"/>
  <c r="AQ209" i="1"/>
  <c r="AB209" i="1"/>
  <c r="AR209" i="1" s="1"/>
  <c r="AD209" i="1" s="1"/>
  <c r="O209" i="1"/>
  <c r="D209" i="1"/>
  <c r="BI193" i="1"/>
  <c r="AG193" i="1" s="1"/>
  <c r="AQ193" i="1"/>
  <c r="AB193" i="1"/>
  <c r="D193" i="1"/>
  <c r="BI165" i="1"/>
  <c r="AG165" i="1" s="1"/>
  <c r="AQ165" i="1"/>
  <c r="AB165" i="1"/>
  <c r="AR165" i="1" s="1"/>
  <c r="D165" i="1"/>
  <c r="BI16" i="1"/>
  <c r="AG16" i="1" s="1"/>
  <c r="AQ16" i="1"/>
  <c r="AB16" i="1"/>
  <c r="AR16" i="1" s="1"/>
  <c r="AD16" i="1" s="1"/>
  <c r="O16" i="1"/>
  <c r="D16" i="1"/>
  <c r="BI14" i="1"/>
  <c r="AG14" i="1" s="1"/>
  <c r="AB14" i="1"/>
  <c r="D14" i="1"/>
  <c r="BI12" i="1"/>
  <c r="AG12" i="1" s="1"/>
  <c r="AQ12" i="1"/>
  <c r="AB12" i="1"/>
  <c r="D12" i="1"/>
  <c r="BI10" i="1"/>
  <c r="AG10" i="1" s="1"/>
  <c r="AB10" i="1"/>
  <c r="AR10" i="1" s="1"/>
  <c r="BN10" i="1" s="1"/>
  <c r="O10" i="1"/>
  <c r="D10" i="1"/>
  <c r="BI24" i="1"/>
  <c r="AG24" i="1" s="1"/>
  <c r="AB24" i="1"/>
  <c r="O24" i="1"/>
  <c r="D24" i="1"/>
  <c r="BI22" i="1"/>
  <c r="AG22" i="1" s="1"/>
  <c r="AQ22" i="1"/>
  <c r="AB22" i="1"/>
  <c r="O22" i="1"/>
  <c r="D22" i="1"/>
  <c r="BI20" i="1"/>
  <c r="AG20" i="1" s="1"/>
  <c r="AQ20" i="1"/>
  <c r="AB20" i="1"/>
  <c r="AR20" i="1" s="1"/>
  <c r="AD20" i="1" s="1"/>
  <c r="D20" i="1"/>
  <c r="BI18" i="1"/>
  <c r="AG18" i="1" s="1"/>
  <c r="AQ18" i="1"/>
  <c r="AB18" i="1"/>
  <c r="AR18" i="1" s="1"/>
  <c r="BP18" i="1" s="1"/>
  <c r="D18" i="1"/>
  <c r="AQ102" i="1"/>
  <c r="AB102" i="1"/>
  <c r="AR102" i="1" s="1"/>
  <c r="AD102" i="1" s="1"/>
  <c r="O102" i="1"/>
  <c r="D102" i="1"/>
  <c r="BI77" i="1"/>
  <c r="AG77" i="1" s="1"/>
  <c r="AB77" i="1"/>
  <c r="D77" i="1"/>
  <c r="BI79" i="1"/>
  <c r="AG79" i="1" s="1"/>
  <c r="AQ79" i="1"/>
  <c r="AB79" i="1"/>
  <c r="AR79" i="1" s="1"/>
  <c r="AD79" i="1" s="1"/>
  <c r="D79" i="1"/>
  <c r="BI44" i="1"/>
  <c r="AG44" i="1" s="1"/>
  <c r="AB44" i="1"/>
  <c r="AR44" i="1" s="1"/>
  <c r="BN44" i="1" s="1"/>
  <c r="O44" i="1"/>
  <c r="D44" i="1"/>
  <c r="BI38" i="1"/>
  <c r="AG38" i="1" s="1"/>
  <c r="AB38" i="1"/>
  <c r="O38" i="1"/>
  <c r="D38" i="1"/>
  <c r="AQ46" i="1"/>
  <c r="AB46" i="1"/>
  <c r="O46" i="1"/>
  <c r="D46" i="1"/>
  <c r="BI40" i="1"/>
  <c r="AG40" i="1" s="1"/>
  <c r="AQ40" i="1"/>
  <c r="AB40" i="1"/>
  <c r="AR40" i="1" s="1"/>
  <c r="D40" i="1"/>
  <c r="BI42" i="1"/>
  <c r="AG42" i="1" s="1"/>
  <c r="AQ42" i="1"/>
  <c r="AB42" i="1"/>
  <c r="AK42" i="1" s="1"/>
  <c r="D42" i="1"/>
  <c r="AQ198" i="1"/>
  <c r="AB198" i="1"/>
  <c r="O198" i="1"/>
  <c r="D198" i="1"/>
  <c r="BI196" i="1"/>
  <c r="AG196" i="1" s="1"/>
  <c r="AB196" i="1"/>
  <c r="AT196" i="1" s="1"/>
  <c r="D196" i="1"/>
  <c r="AB221" i="1"/>
  <c r="O221" i="1"/>
  <c r="D221" i="1"/>
  <c r="BI188" i="1"/>
  <c r="AG188" i="1" s="1"/>
  <c r="AQ188" i="1"/>
  <c r="AB188" i="1"/>
  <c r="D188" i="1"/>
  <c r="AQ186" i="1"/>
  <c r="AB186" i="1"/>
  <c r="AT186" i="1" s="1"/>
  <c r="D186" i="1"/>
  <c r="BI175" i="1"/>
  <c r="AG175" i="1" s="1"/>
  <c r="AQ175" i="1"/>
  <c r="AB175" i="1"/>
  <c r="AK175" i="1" s="1"/>
  <c r="O175" i="1"/>
  <c r="D175" i="1"/>
  <c r="BI183" i="1"/>
  <c r="AG183" i="1" s="1"/>
  <c r="AB183" i="1"/>
  <c r="AK183" i="1" s="1"/>
  <c r="D183" i="1"/>
  <c r="BI158" i="1"/>
  <c r="AG158" i="1" s="1"/>
  <c r="AB158" i="1"/>
  <c r="AK158" i="1" s="1"/>
  <c r="O158" i="1"/>
  <c r="D158" i="1"/>
  <c r="BI160" i="1"/>
  <c r="AG160" i="1" s="1"/>
  <c r="AQ160" i="1"/>
  <c r="AB160" i="1"/>
  <c r="O160" i="1"/>
  <c r="D160" i="1"/>
  <c r="AQ162" i="1"/>
  <c r="AB162" i="1"/>
  <c r="AK162" i="1" s="1"/>
  <c r="D162" i="1"/>
  <c r="BI119" i="1"/>
  <c r="AG119" i="1" s="1"/>
  <c r="AQ119" i="1"/>
  <c r="AB119" i="1"/>
  <c r="AK119" i="1" s="1"/>
  <c r="D119" i="1"/>
  <c r="BI121" i="1"/>
  <c r="AG121" i="1" s="1"/>
  <c r="AB121" i="1"/>
  <c r="D121" i="1"/>
  <c r="BI73" i="1"/>
  <c r="AG73" i="1" s="1"/>
  <c r="AB73" i="1"/>
  <c r="AK73" i="1" s="1"/>
  <c r="D73" i="1"/>
  <c r="BI69" i="1"/>
  <c r="AG69" i="1" s="1"/>
  <c r="AQ69" i="1"/>
  <c r="AB69" i="1"/>
  <c r="AK69" i="1" s="1"/>
  <c r="O69" i="1"/>
  <c r="D69" i="1"/>
  <c r="BI75" i="1"/>
  <c r="AG75" i="1" s="1"/>
  <c r="AB75" i="1"/>
  <c r="AK75" i="1" s="1"/>
  <c r="D75" i="1"/>
  <c r="BI71" i="1"/>
  <c r="AG71" i="1" s="1"/>
  <c r="AB71" i="1"/>
  <c r="AK71" i="1" s="1"/>
  <c r="D71" i="1"/>
  <c r="BI66" i="1"/>
  <c r="AG66" i="1" s="1"/>
  <c r="AB66" i="1"/>
  <c r="O66" i="1"/>
  <c r="D66" i="1"/>
  <c r="BI64" i="1"/>
  <c r="AG64" i="1" s="1"/>
  <c r="AQ64" i="1"/>
  <c r="AB64" i="1"/>
  <c r="AK64" i="1" s="1"/>
  <c r="D64" i="1"/>
  <c r="AQ62" i="1"/>
  <c r="AB62" i="1"/>
  <c r="AK62" i="1" s="1"/>
  <c r="D62" i="1"/>
  <c r="BI60" i="1"/>
  <c r="AG60" i="1" s="1"/>
  <c r="AB60" i="1"/>
  <c r="D60" i="1"/>
  <c r="BI58" i="1"/>
  <c r="AG58" i="1" s="1"/>
  <c r="AB58" i="1"/>
  <c r="AK58" i="1" s="1"/>
  <c r="O58" i="1"/>
  <c r="D58" i="1"/>
  <c r="BI56" i="1"/>
  <c r="AG56" i="1" s="1"/>
  <c r="AQ56" i="1"/>
  <c r="AB56" i="1"/>
  <c r="D56" i="1"/>
  <c r="AB54" i="1"/>
  <c r="D54" i="1"/>
  <c r="BI52" i="1"/>
  <c r="AG52" i="1" s="1"/>
  <c r="AQ52" i="1"/>
  <c r="AB52" i="1"/>
  <c r="AR52" i="1" s="1"/>
  <c r="AD52" i="1" s="1"/>
  <c r="O52" i="1"/>
  <c r="D52" i="1"/>
  <c r="BI50" i="1"/>
  <c r="AG50" i="1" s="1"/>
  <c r="AQ50" i="1"/>
  <c r="AB50" i="1"/>
  <c r="AR50" i="1" s="1"/>
  <c r="O50" i="1"/>
  <c r="D50" i="1"/>
  <c r="BI48" i="1"/>
  <c r="AG48" i="1" s="1"/>
  <c r="AQ48" i="1"/>
  <c r="AB48" i="1"/>
  <c r="AR48" i="1" s="1"/>
  <c r="O48" i="1"/>
  <c r="D48" i="1"/>
  <c r="BI135" i="1"/>
  <c r="AG135" i="1" s="1"/>
  <c r="AQ135" i="1"/>
  <c r="AB135" i="1"/>
  <c r="AR135" i="1" s="1"/>
  <c r="AD135" i="1" s="1"/>
  <c r="O135" i="1"/>
  <c r="D135" i="1"/>
  <c r="AQ225" i="1"/>
  <c r="AB225" i="1"/>
  <c r="O225" i="1"/>
  <c r="D225" i="1"/>
  <c r="BI223" i="1"/>
  <c r="AG223" i="1" s="1"/>
  <c r="AQ223" i="1"/>
  <c r="AB223" i="1"/>
  <c r="O223" i="1"/>
  <c r="D223" i="1"/>
  <c r="BI204" i="1"/>
  <c r="AG204" i="1" s="1"/>
  <c r="AQ204" i="1"/>
  <c r="AB204" i="1"/>
  <c r="O204" i="1"/>
  <c r="D204" i="1"/>
  <c r="AQ202" i="1"/>
  <c r="AB202" i="1"/>
  <c r="O202" i="1"/>
  <c r="D202" i="1"/>
  <c r="BI123" i="1"/>
  <c r="AG123" i="1" s="1"/>
  <c r="AQ123" i="1"/>
  <c r="AB123" i="1"/>
  <c r="AR123" i="1" s="1"/>
  <c r="AD123" i="1" s="1"/>
  <c r="O123" i="1"/>
  <c r="D123" i="1"/>
  <c r="BI110" i="1"/>
  <c r="AG110" i="1" s="1"/>
  <c r="AQ110" i="1"/>
  <c r="AB110" i="1"/>
  <c r="AR110" i="1" s="1"/>
  <c r="O110" i="1"/>
  <c r="D110" i="1"/>
  <c r="AQ106" i="1"/>
  <c r="AB106" i="1"/>
  <c r="AR106" i="1" s="1"/>
  <c r="AD106" i="1" s="1"/>
  <c r="O106" i="1"/>
  <c r="D106" i="1"/>
  <c r="BI32" i="1"/>
  <c r="AG32" i="1" s="1"/>
  <c r="AQ32" i="1"/>
  <c r="AB32" i="1"/>
  <c r="AR32" i="1" s="1"/>
  <c r="AD32" i="1" s="1"/>
  <c r="O32" i="1"/>
  <c r="D32" i="1"/>
  <c r="BI30" i="1"/>
  <c r="AG30" i="1" s="1"/>
  <c r="AQ30" i="1"/>
  <c r="AB30" i="1"/>
  <c r="AR30" i="1" s="1"/>
  <c r="O30" i="1"/>
  <c r="D30" i="1"/>
  <c r="BI34" i="1"/>
  <c r="AG34" i="1" s="1"/>
  <c r="AQ34" i="1"/>
  <c r="AB34" i="1"/>
  <c r="AR34" i="1" s="1"/>
  <c r="AD34" i="1" s="1"/>
  <c r="O34" i="1"/>
  <c r="D34" i="1"/>
  <c r="BI36" i="1"/>
  <c r="AG36" i="1" s="1"/>
  <c r="AQ36" i="1"/>
  <c r="AB36" i="1"/>
  <c r="AR36" i="1" s="1"/>
  <c r="AD36" i="1" s="1"/>
  <c r="O36" i="1"/>
  <c r="D36" i="1"/>
  <c r="BI152" i="1"/>
  <c r="AG152" i="1" s="1"/>
  <c r="AQ152" i="1"/>
  <c r="AB152" i="1"/>
  <c r="AR152" i="1" s="1"/>
  <c r="O152" i="1"/>
  <c r="D152" i="1"/>
  <c r="BI156" i="1"/>
  <c r="AG156" i="1" s="1"/>
  <c r="AQ156" i="1"/>
  <c r="AB156" i="1"/>
  <c r="AR156" i="1" s="1"/>
  <c r="O156" i="1"/>
  <c r="D156" i="1"/>
  <c r="BI154" i="1"/>
  <c r="AG154" i="1" s="1"/>
  <c r="AQ154" i="1"/>
  <c r="AB154" i="1"/>
  <c r="AR154" i="1" s="1"/>
  <c r="AD154" i="1" s="1"/>
  <c r="O154" i="1"/>
  <c r="D154" i="1"/>
  <c r="BI169" i="1"/>
  <c r="AG169" i="1" s="1"/>
  <c r="AQ169" i="1"/>
  <c r="AB169" i="1"/>
  <c r="AR169" i="1" s="1"/>
  <c r="O169" i="1"/>
  <c r="D169" i="1"/>
  <c r="BI104" i="1"/>
  <c r="AG104" i="1" s="1"/>
  <c r="AQ104" i="1"/>
  <c r="AB104" i="1"/>
  <c r="AR104" i="1" s="1"/>
  <c r="AD104" i="1" s="1"/>
  <c r="O104" i="1"/>
  <c r="D104" i="1"/>
  <c r="BI200" i="1"/>
  <c r="AG200" i="1" s="1"/>
  <c r="AQ200" i="1"/>
  <c r="AB200" i="1"/>
  <c r="AR200" i="1" s="1"/>
  <c r="AD200" i="1" s="1"/>
  <c r="O200" i="1"/>
  <c r="D200" i="1"/>
  <c r="BI137" i="1"/>
  <c r="AG137" i="1" s="1"/>
  <c r="AQ137" i="1"/>
  <c r="AB137" i="1"/>
  <c r="AR137" i="1" s="1"/>
  <c r="O137" i="1"/>
  <c r="D137" i="1"/>
  <c r="AQ195" i="1"/>
  <c r="O195" i="1"/>
  <c r="O197" i="1"/>
  <c r="O190" i="1"/>
  <c r="AQ112" i="1"/>
  <c r="O116" i="1"/>
  <c r="AQ115" i="1"/>
  <c r="AQ39" i="1"/>
  <c r="AQ37" i="1"/>
  <c r="O37" i="1"/>
  <c r="O101" i="1"/>
  <c r="AQ205" i="1"/>
  <c r="AQ235" i="1"/>
  <c r="O235" i="1"/>
  <c r="AQ239" i="1"/>
  <c r="O239" i="1"/>
  <c r="AQ21" i="1"/>
  <c r="O21" i="1"/>
  <c r="AQ23" i="1"/>
  <c r="O23" i="1"/>
  <c r="AQ11" i="1"/>
  <c r="O15" i="1"/>
  <c r="AQ164" i="1"/>
  <c r="O164" i="1"/>
  <c r="AQ208" i="1"/>
  <c r="O208" i="1"/>
  <c r="O170" i="1"/>
  <c r="AQ206" i="1"/>
  <c r="O206" i="1"/>
  <c r="O232" i="1"/>
  <c r="O28" i="1"/>
  <c r="BI144" i="1"/>
  <c r="AG144" i="1" s="1"/>
  <c r="AQ144" i="1"/>
  <c r="AB144" i="1"/>
  <c r="AR144" i="1" s="1"/>
  <c r="AD144" i="1" s="1"/>
  <c r="O144" i="1"/>
  <c r="D144" i="1"/>
  <c r="BI142" i="1"/>
  <c r="AG142" i="1" s="1"/>
  <c r="AQ142" i="1"/>
  <c r="AB142" i="1"/>
  <c r="AR142" i="1" s="1"/>
  <c r="AD142" i="1" s="1"/>
  <c r="O142" i="1"/>
  <c r="D142" i="1"/>
  <c r="BI140" i="1"/>
  <c r="AG140" i="1" s="1"/>
  <c r="AQ140" i="1"/>
  <c r="AB140" i="1"/>
  <c r="AR140" i="1" s="1"/>
  <c r="O140" i="1"/>
  <c r="D140" i="1"/>
  <c r="AQ146" i="1"/>
  <c r="AB146" i="1"/>
  <c r="AR146" i="1" s="1"/>
  <c r="AD146" i="1" s="1"/>
  <c r="O146" i="1"/>
  <c r="D146" i="1"/>
  <c r="BI148" i="1"/>
  <c r="AG148" i="1" s="1"/>
  <c r="AQ148" i="1"/>
  <c r="AB148" i="1"/>
  <c r="AR148" i="1" s="1"/>
  <c r="AD148" i="1" s="1"/>
  <c r="O148" i="1"/>
  <c r="D148" i="1"/>
  <c r="BI96" i="1"/>
  <c r="AG96" i="1" s="1"/>
  <c r="AQ96" i="1"/>
  <c r="AB96" i="1"/>
  <c r="AR96" i="1" s="1"/>
  <c r="AD96" i="1" s="1"/>
  <c r="O96" i="1"/>
  <c r="D96" i="1"/>
  <c r="BI133" i="1"/>
  <c r="AG133" i="1" s="1"/>
  <c r="AQ133" i="1"/>
  <c r="AB133" i="1"/>
  <c r="AR133" i="1" s="1"/>
  <c r="AD133" i="1" s="1"/>
  <c r="O133" i="1"/>
  <c r="D133" i="1"/>
  <c r="BI129" i="1"/>
  <c r="AG129" i="1" s="1"/>
  <c r="AQ129" i="1"/>
  <c r="AB129" i="1"/>
  <c r="AR129" i="1" s="1"/>
  <c r="AD129" i="1" s="1"/>
  <c r="O129" i="1"/>
  <c r="D129" i="1"/>
  <c r="BI131" i="1"/>
  <c r="AG131" i="1" s="1"/>
  <c r="AQ131" i="1"/>
  <c r="AB131" i="1"/>
  <c r="AR131" i="1" s="1"/>
  <c r="AD131" i="1" s="1"/>
  <c r="O131" i="1"/>
  <c r="D131" i="1"/>
  <c r="BI127" i="1"/>
  <c r="AG127" i="1" s="1"/>
  <c r="AQ127" i="1"/>
  <c r="AB127" i="1"/>
  <c r="AR127" i="1" s="1"/>
  <c r="AD127" i="1" s="1"/>
  <c r="O127" i="1"/>
  <c r="D127" i="1"/>
  <c r="BI125" i="1"/>
  <c r="AG125" i="1" s="1"/>
  <c r="AQ125" i="1"/>
  <c r="AB125" i="1"/>
  <c r="AR125" i="1" s="1"/>
  <c r="AD125" i="1" s="1"/>
  <c r="O125" i="1"/>
  <c r="D125" i="1"/>
  <c r="BI94" i="1"/>
  <c r="AG94" i="1" s="1"/>
  <c r="AQ94" i="1"/>
  <c r="AB94" i="1"/>
  <c r="AR94" i="1" s="1"/>
  <c r="AD94" i="1" s="1"/>
  <c r="O94" i="1"/>
  <c r="D94" i="1"/>
  <c r="AQ90" i="1"/>
  <c r="AB90" i="1"/>
  <c r="AR90" i="1" s="1"/>
  <c r="AD90" i="1" s="1"/>
  <c r="O90" i="1"/>
  <c r="D90" i="1"/>
  <c r="BI92" i="1"/>
  <c r="AG92" i="1" s="1"/>
  <c r="AQ92" i="1"/>
  <c r="AB92" i="1"/>
  <c r="AR92" i="1" s="1"/>
  <c r="O92" i="1"/>
  <c r="D92" i="1"/>
  <c r="BI88" i="1"/>
  <c r="AG88" i="1" s="1"/>
  <c r="AQ88" i="1"/>
  <c r="AB88" i="1"/>
  <c r="AR88" i="1" s="1"/>
  <c r="O88" i="1"/>
  <c r="D88" i="1"/>
  <c r="AQ86" i="1"/>
  <c r="AB86" i="1"/>
  <c r="AR86" i="1" s="1"/>
  <c r="AD86" i="1" s="1"/>
  <c r="O86" i="1"/>
  <c r="D86" i="1"/>
  <c r="BI26" i="1"/>
  <c r="AG26" i="1" s="1"/>
  <c r="AQ26" i="1"/>
  <c r="AB26" i="1"/>
  <c r="O26" i="1"/>
  <c r="D26" i="1"/>
  <c r="BI150" i="1"/>
  <c r="AG150" i="1" s="1"/>
  <c r="AQ150" i="1"/>
  <c r="AB150" i="1"/>
  <c r="AR150" i="1" s="1"/>
  <c r="AD150" i="1" s="1"/>
  <c r="O150" i="1"/>
  <c r="D150" i="1"/>
  <c r="BI260" i="1"/>
  <c r="AG260" i="1" s="1"/>
  <c r="AB260" i="1"/>
  <c r="D260" i="1"/>
  <c r="BI28" i="1"/>
  <c r="AG28" i="1" s="1"/>
  <c r="AB28" i="1"/>
  <c r="AR28" i="1" s="1"/>
  <c r="BN28" i="1" s="1"/>
  <c r="Z28" i="1"/>
  <c r="D28" i="1"/>
  <c r="BI232" i="1"/>
  <c r="AG232" i="1" s="1"/>
  <c r="AQ232" i="1"/>
  <c r="AB232" i="1"/>
  <c r="AK232" i="1" s="1"/>
  <c r="Z232" i="1"/>
  <c r="AP232" i="1" s="1"/>
  <c r="D232" i="1"/>
  <c r="AB206" i="1"/>
  <c r="AL206" i="1" s="1"/>
  <c r="Z206" i="1"/>
  <c r="D206" i="1"/>
  <c r="AQ226" i="1"/>
  <c r="AB226" i="1"/>
  <c r="AR226" i="1" s="1"/>
  <c r="BP226" i="1" s="1"/>
  <c r="Z226" i="1"/>
  <c r="O226" i="1"/>
  <c r="D226" i="1"/>
  <c r="BI170" i="1"/>
  <c r="AG170" i="1" s="1"/>
  <c r="AQ170" i="1"/>
  <c r="AB170" i="1"/>
  <c r="AL170" i="1" s="1"/>
  <c r="Z170" i="1"/>
  <c r="AP170" i="1" s="1"/>
  <c r="D170" i="1"/>
  <c r="BI208" i="1"/>
  <c r="AG208" i="1" s="1"/>
  <c r="AB208" i="1"/>
  <c r="AK208" i="1" s="1"/>
  <c r="Z208" i="1"/>
  <c r="D208" i="1"/>
  <c r="BI192" i="1"/>
  <c r="AG192" i="1" s="1"/>
  <c r="AQ192" i="1"/>
  <c r="AB192" i="1"/>
  <c r="AR192" i="1" s="1"/>
  <c r="AD192" i="1" s="1"/>
  <c r="Z192" i="1"/>
  <c r="AP192" i="1" s="1"/>
  <c r="O192" i="1"/>
  <c r="D192" i="1"/>
  <c r="BI164" i="1"/>
  <c r="AG164" i="1" s="1"/>
  <c r="AB164" i="1"/>
  <c r="AL164" i="1" s="1"/>
  <c r="Z164" i="1"/>
  <c r="D164" i="1"/>
  <c r="BI15" i="1"/>
  <c r="AG15" i="1" s="1"/>
  <c r="AQ15" i="1"/>
  <c r="AB15" i="1"/>
  <c r="AR15" i="1" s="1"/>
  <c r="Z15" i="1"/>
  <c r="D15" i="1"/>
  <c r="BI13" i="1"/>
  <c r="AG13" i="1" s="1"/>
  <c r="AQ13" i="1"/>
  <c r="AB13" i="1"/>
  <c r="AK13" i="1" s="1"/>
  <c r="Z13" i="1"/>
  <c r="AP13" i="1" s="1"/>
  <c r="O13" i="1"/>
  <c r="D13" i="1"/>
  <c r="BI11" i="1"/>
  <c r="AG11" i="1" s="1"/>
  <c r="AB11" i="1"/>
  <c r="AL11" i="1" s="1"/>
  <c r="Z11" i="1"/>
  <c r="O11" i="1"/>
  <c r="D11" i="1"/>
  <c r="BI9" i="1"/>
  <c r="AG9" i="1" s="1"/>
  <c r="AQ9" i="1"/>
  <c r="AB9" i="1"/>
  <c r="AR9" i="1" s="1"/>
  <c r="BN9" i="1" s="1"/>
  <c r="Z9" i="1"/>
  <c r="O9" i="1"/>
  <c r="D9" i="1"/>
  <c r="BI23" i="1"/>
  <c r="AG23" i="1" s="1"/>
  <c r="AB23" i="1"/>
  <c r="AL23" i="1" s="1"/>
  <c r="Z23" i="1"/>
  <c r="AP23" i="1" s="1"/>
  <c r="D23" i="1"/>
  <c r="BI21" i="1"/>
  <c r="AG21" i="1" s="1"/>
  <c r="AB21" i="1"/>
  <c r="AR21" i="1" s="1"/>
  <c r="BN21" i="1" s="1"/>
  <c r="Z21" i="1"/>
  <c r="AP21" i="1" s="1"/>
  <c r="D21" i="1"/>
  <c r="BI19" i="1"/>
  <c r="AG19" i="1" s="1"/>
  <c r="AQ19" i="1"/>
  <c r="AB19" i="1"/>
  <c r="AR19" i="1" s="1"/>
  <c r="AD19" i="1" s="1"/>
  <c r="Z19" i="1"/>
  <c r="AP19" i="1" s="1"/>
  <c r="O19" i="1"/>
  <c r="D19" i="1"/>
  <c r="BI17" i="1"/>
  <c r="AG17" i="1" s="1"/>
  <c r="AQ17" i="1"/>
  <c r="AB17" i="1"/>
  <c r="AL17" i="1" s="1"/>
  <c r="Z17" i="1"/>
  <c r="D17" i="1"/>
  <c r="BI237" i="1"/>
  <c r="AG237" i="1" s="1"/>
  <c r="AQ237" i="1"/>
  <c r="AB237" i="1"/>
  <c r="AR237" i="1" s="1"/>
  <c r="AD237" i="1" s="1"/>
  <c r="Z237" i="1"/>
  <c r="D237" i="1"/>
  <c r="AQ238" i="1"/>
  <c r="AB238" i="1"/>
  <c r="AL238" i="1" s="1"/>
  <c r="Z238" i="1"/>
  <c r="AP238" i="1" s="1"/>
  <c r="O238" i="1"/>
  <c r="D238" i="1"/>
  <c r="BI239" i="1"/>
  <c r="AG239" i="1" s="1"/>
  <c r="AB239" i="1"/>
  <c r="AL239" i="1" s="1"/>
  <c r="Z239" i="1"/>
  <c r="D239" i="1"/>
  <c r="BI236" i="1"/>
  <c r="AG236" i="1" s="1"/>
  <c r="AQ236" i="1"/>
  <c r="AB236" i="1"/>
  <c r="AR236" i="1" s="1"/>
  <c r="Z236" i="1"/>
  <c r="O236" i="1"/>
  <c r="D236" i="1"/>
  <c r="BI235" i="1"/>
  <c r="AG235" i="1" s="1"/>
  <c r="AB235" i="1"/>
  <c r="AR235" i="1" s="1"/>
  <c r="AD235" i="1" s="1"/>
  <c r="Z235" i="1"/>
  <c r="AP235" i="1" s="1"/>
  <c r="D235" i="1"/>
  <c r="BI205" i="1"/>
  <c r="AG205" i="1" s="1"/>
  <c r="AB205" i="1"/>
  <c r="AR205" i="1" s="1"/>
  <c r="BN205" i="1" s="1"/>
  <c r="Z205" i="1"/>
  <c r="D205" i="1"/>
  <c r="BI101" i="1"/>
  <c r="AG101" i="1" s="1"/>
  <c r="AQ101" i="1"/>
  <c r="AB101" i="1"/>
  <c r="AR101" i="1" s="1"/>
  <c r="BP101" i="1" s="1"/>
  <c r="Z101" i="1"/>
  <c r="AP101" i="1" s="1"/>
  <c r="D101" i="1"/>
  <c r="BI76" i="1"/>
  <c r="AG76" i="1" s="1"/>
  <c r="AQ76" i="1"/>
  <c r="AB76" i="1"/>
  <c r="AK76" i="1" s="1"/>
  <c r="Z76" i="1"/>
  <c r="D76" i="1"/>
  <c r="AQ78" i="1"/>
  <c r="AB78" i="1"/>
  <c r="AL78" i="1" s="1"/>
  <c r="Z78" i="1"/>
  <c r="AP78" i="1" s="1"/>
  <c r="O78" i="1"/>
  <c r="D78" i="1"/>
  <c r="BI43" i="1"/>
  <c r="AG43" i="1" s="1"/>
  <c r="AQ43" i="1"/>
  <c r="AB43" i="1"/>
  <c r="AL43" i="1" s="1"/>
  <c r="Z43" i="1"/>
  <c r="AP43" i="1" s="1"/>
  <c r="D43" i="1"/>
  <c r="BI37" i="1"/>
  <c r="AG37" i="1" s="1"/>
  <c r="AB37" i="1"/>
  <c r="AL37" i="1" s="1"/>
  <c r="Z37" i="1"/>
  <c r="AP37" i="1" s="1"/>
  <c r="D37" i="1"/>
  <c r="AQ45" i="1"/>
  <c r="AB45" i="1"/>
  <c r="AL45" i="1" s="1"/>
  <c r="Z45" i="1"/>
  <c r="AP45" i="1" s="1"/>
  <c r="O45" i="1"/>
  <c r="D45" i="1"/>
  <c r="BI39" i="1"/>
  <c r="AG39" i="1" s="1"/>
  <c r="AB39" i="1"/>
  <c r="AL39" i="1" s="1"/>
  <c r="Z39" i="1"/>
  <c r="AP39" i="1" s="1"/>
  <c r="O39" i="1"/>
  <c r="D39" i="1"/>
  <c r="BI41" i="1"/>
  <c r="AG41" i="1" s="1"/>
  <c r="AQ41" i="1"/>
  <c r="AB41" i="1"/>
  <c r="AL41" i="1" s="1"/>
  <c r="Z41" i="1"/>
  <c r="AP41" i="1" s="1"/>
  <c r="D41" i="1"/>
  <c r="AQ113" i="1"/>
  <c r="AB113" i="1"/>
  <c r="AL113" i="1" s="1"/>
  <c r="Z113" i="1"/>
  <c r="AP113" i="1" s="1"/>
  <c r="O113" i="1"/>
  <c r="D113" i="1"/>
  <c r="BI115" i="1"/>
  <c r="AG115" i="1" s="1"/>
  <c r="AB115" i="1"/>
  <c r="AL115" i="1" s="1"/>
  <c r="Z115" i="1"/>
  <c r="AP115" i="1" s="1"/>
  <c r="O115" i="1"/>
  <c r="D115" i="1"/>
  <c r="BI116" i="1"/>
  <c r="AG116" i="1" s="1"/>
  <c r="AB116" i="1"/>
  <c r="Z116" i="1"/>
  <c r="AP116" i="1" s="1"/>
  <c r="D116" i="1"/>
  <c r="BI114" i="1"/>
  <c r="AG114" i="1" s="1"/>
  <c r="AQ114" i="1"/>
  <c r="AB114" i="1"/>
  <c r="AL114" i="1" s="1"/>
  <c r="Z114" i="1"/>
  <c r="AP114" i="1" s="1"/>
  <c r="O114" i="1"/>
  <c r="D114" i="1"/>
  <c r="BI112" i="1"/>
  <c r="AG112" i="1" s="1"/>
  <c r="AB112" i="1"/>
  <c r="AL112" i="1" s="1"/>
  <c r="Z112" i="1"/>
  <c r="AP112" i="1" s="1"/>
  <c r="O112" i="1"/>
  <c r="D112" i="1"/>
  <c r="BI190" i="1"/>
  <c r="AG190" i="1" s="1"/>
  <c r="AQ190" i="1"/>
  <c r="AB190" i="1"/>
  <c r="AL190" i="1" s="1"/>
  <c r="Z190" i="1"/>
  <c r="AP190" i="1" s="1"/>
  <c r="D190" i="1"/>
  <c r="BI197" i="1"/>
  <c r="AG197" i="1" s="1"/>
  <c r="AQ197" i="1"/>
  <c r="AB197" i="1"/>
  <c r="AL197" i="1" s="1"/>
  <c r="Z197" i="1"/>
  <c r="AP197" i="1" s="1"/>
  <c r="D197" i="1"/>
  <c r="AB195" i="1"/>
  <c r="AL195" i="1" s="1"/>
  <c r="Z195" i="1"/>
  <c r="AP195" i="1" s="1"/>
  <c r="D195" i="1"/>
  <c r="BI240" i="1"/>
  <c r="AG240" i="1" s="1"/>
  <c r="AQ240" i="1"/>
  <c r="AB240" i="1"/>
  <c r="AL240" i="1" s="1"/>
  <c r="Z240" i="1"/>
  <c r="AP240" i="1" s="1"/>
  <c r="O240" i="1"/>
  <c r="D240" i="1"/>
  <c r="BI241" i="1"/>
  <c r="AG241" i="1" s="1"/>
  <c r="AQ241" i="1"/>
  <c r="AB241" i="1"/>
  <c r="AL241" i="1" s="1"/>
  <c r="Z241" i="1"/>
  <c r="AP241" i="1" s="1"/>
  <c r="O241" i="1"/>
  <c r="D241" i="1"/>
  <c r="BI220" i="1"/>
  <c r="AG220" i="1" s="1"/>
  <c r="AQ220" i="1"/>
  <c r="AB220" i="1"/>
  <c r="AL220" i="1" s="1"/>
  <c r="Z220" i="1"/>
  <c r="AP220" i="1" s="1"/>
  <c r="O220" i="1"/>
  <c r="D220" i="1"/>
  <c r="BI212" i="1"/>
  <c r="AG212" i="1" s="1"/>
  <c r="AQ212" i="1"/>
  <c r="AB212" i="1"/>
  <c r="AL212" i="1" s="1"/>
  <c r="Z212" i="1"/>
  <c r="AP212" i="1" s="1"/>
  <c r="D212" i="1"/>
  <c r="BI213" i="1"/>
  <c r="AG213" i="1" s="1"/>
  <c r="AQ213" i="1"/>
  <c r="AB213" i="1"/>
  <c r="AL213" i="1" s="1"/>
  <c r="Z213" i="1"/>
  <c r="AP213" i="1" s="1"/>
  <c r="O213" i="1"/>
  <c r="D213" i="1"/>
  <c r="AQ214" i="1"/>
  <c r="AB214" i="1"/>
  <c r="AL214" i="1" s="1"/>
  <c r="Z214" i="1"/>
  <c r="AP214" i="1" s="1"/>
  <c r="O214" i="1"/>
  <c r="D214" i="1"/>
  <c r="BI167" i="1"/>
  <c r="AG167" i="1" s="1"/>
  <c r="AQ167" i="1"/>
  <c r="AB167" i="1"/>
  <c r="AL167" i="1" s="1"/>
  <c r="Z167" i="1"/>
  <c r="AP167" i="1" s="1"/>
  <c r="O167" i="1"/>
  <c r="D167" i="1"/>
  <c r="AQ166" i="1"/>
  <c r="AB166" i="1"/>
  <c r="AL166" i="1" s="1"/>
  <c r="Z166" i="1"/>
  <c r="AP166" i="1" s="1"/>
  <c r="O166" i="1"/>
  <c r="D166" i="1"/>
  <c r="BI228" i="1"/>
  <c r="AG228" i="1" s="1"/>
  <c r="AQ228" i="1"/>
  <c r="AB228" i="1"/>
  <c r="AL228" i="1" s="1"/>
  <c r="Z228" i="1"/>
  <c r="AP228" i="1" s="1"/>
  <c r="O228" i="1"/>
  <c r="D228" i="1"/>
  <c r="AQ230" i="1"/>
  <c r="AB230" i="1"/>
  <c r="AL230" i="1" s="1"/>
  <c r="Z230" i="1"/>
  <c r="AP230" i="1" s="1"/>
  <c r="O230" i="1"/>
  <c r="D230" i="1"/>
  <c r="BI229" i="1"/>
  <c r="AG229" i="1" s="1"/>
  <c r="AQ229" i="1"/>
  <c r="AB229" i="1"/>
  <c r="AL229" i="1" s="1"/>
  <c r="Z229" i="1"/>
  <c r="AP229" i="1" s="1"/>
  <c r="O229" i="1"/>
  <c r="D229" i="1"/>
  <c r="BI211" i="1"/>
  <c r="AG211" i="1" s="1"/>
  <c r="AQ211" i="1"/>
  <c r="AB211" i="1"/>
  <c r="AL211" i="1" s="1"/>
  <c r="Z211" i="1"/>
  <c r="AP211" i="1" s="1"/>
  <c r="O211" i="1"/>
  <c r="D211" i="1"/>
  <c r="AQ210" i="1"/>
  <c r="AB210" i="1"/>
  <c r="AL210" i="1" s="1"/>
  <c r="Z210" i="1"/>
  <c r="AP210" i="1" s="1"/>
  <c r="O210" i="1"/>
  <c r="D210" i="1"/>
  <c r="BI189" i="1"/>
  <c r="AG189" i="1" s="1"/>
  <c r="AQ189" i="1"/>
  <c r="AB189" i="1"/>
  <c r="AL189" i="1" s="1"/>
  <c r="Z189" i="1"/>
  <c r="AP189" i="1" s="1"/>
  <c r="O189" i="1"/>
  <c r="D189" i="1"/>
  <c r="BI250" i="1"/>
  <c r="AG250" i="1" s="1"/>
  <c r="AQ250" i="1"/>
  <c r="AB250" i="1"/>
  <c r="AL250" i="1" s="1"/>
  <c r="Z250" i="1"/>
  <c r="AP250" i="1" s="1"/>
  <c r="O250" i="1"/>
  <c r="D250" i="1"/>
  <c r="BI187" i="1"/>
  <c r="AG187" i="1" s="1"/>
  <c r="AQ187" i="1"/>
  <c r="AB187" i="1"/>
  <c r="AL187" i="1" s="1"/>
  <c r="Z187" i="1"/>
  <c r="AP187" i="1" s="1"/>
  <c r="O187" i="1"/>
  <c r="D187" i="1"/>
  <c r="BI185" i="1"/>
  <c r="AG185" i="1" s="1"/>
  <c r="AQ185" i="1"/>
  <c r="AB185" i="1"/>
  <c r="AL185" i="1" s="1"/>
  <c r="Z185" i="1"/>
  <c r="AP185" i="1" s="1"/>
  <c r="O185" i="1"/>
  <c r="D185" i="1"/>
  <c r="AQ174" i="1"/>
  <c r="AB174" i="1"/>
  <c r="AL174" i="1" s="1"/>
  <c r="Z174" i="1"/>
  <c r="AP174" i="1" s="1"/>
  <c r="O174" i="1"/>
  <c r="D174" i="1"/>
  <c r="BI182" i="1"/>
  <c r="AG182" i="1" s="1"/>
  <c r="AQ182" i="1"/>
  <c r="AB182" i="1"/>
  <c r="AL182" i="1" s="1"/>
  <c r="Z182" i="1"/>
  <c r="AP182" i="1" s="1"/>
  <c r="O182" i="1"/>
  <c r="D182" i="1"/>
  <c r="BI157" i="1"/>
  <c r="AG157" i="1" s="1"/>
  <c r="AQ157" i="1"/>
  <c r="AB157" i="1"/>
  <c r="AL157" i="1" s="1"/>
  <c r="Z157" i="1"/>
  <c r="AP157" i="1" s="1"/>
  <c r="O157" i="1"/>
  <c r="D157" i="1"/>
  <c r="BI159" i="1"/>
  <c r="AG159" i="1" s="1"/>
  <c r="AQ159" i="1"/>
  <c r="AB159" i="1"/>
  <c r="AL159" i="1" s="1"/>
  <c r="Z159" i="1"/>
  <c r="AP159" i="1" s="1"/>
  <c r="O159" i="1"/>
  <c r="D159" i="1"/>
  <c r="AQ161" i="1"/>
  <c r="AB161" i="1"/>
  <c r="AL161" i="1" s="1"/>
  <c r="Z161" i="1"/>
  <c r="AP161" i="1" s="1"/>
  <c r="O161" i="1"/>
  <c r="D161" i="1"/>
  <c r="BI118" i="1"/>
  <c r="AG118" i="1" s="1"/>
  <c r="AQ118" i="1"/>
  <c r="AB118" i="1"/>
  <c r="Z118" i="1"/>
  <c r="AP118" i="1" s="1"/>
  <c r="O118" i="1"/>
  <c r="D118" i="1"/>
  <c r="BI120" i="1"/>
  <c r="AG120" i="1" s="1"/>
  <c r="AQ120" i="1"/>
  <c r="AB120" i="1"/>
  <c r="AL120" i="1" s="1"/>
  <c r="Z120" i="1"/>
  <c r="AP120" i="1" s="1"/>
  <c r="O120" i="1"/>
  <c r="D120" i="1"/>
  <c r="AQ246" i="1"/>
  <c r="AB246" i="1"/>
  <c r="Z246" i="1"/>
  <c r="AP246" i="1" s="1"/>
  <c r="O246" i="1"/>
  <c r="D246" i="1"/>
  <c r="BI244" i="1"/>
  <c r="AG244" i="1" s="1"/>
  <c r="AQ244" i="1"/>
  <c r="AB244" i="1"/>
  <c r="AL244" i="1" s="1"/>
  <c r="Z244" i="1"/>
  <c r="AP244" i="1" s="1"/>
  <c r="O244" i="1"/>
  <c r="D244" i="1"/>
  <c r="BI245" i="1"/>
  <c r="AG245" i="1" s="1"/>
  <c r="AQ245" i="1"/>
  <c r="AB245" i="1"/>
  <c r="Z245" i="1"/>
  <c r="AP245" i="1" s="1"/>
  <c r="O245" i="1"/>
  <c r="D245" i="1"/>
  <c r="BI243" i="1"/>
  <c r="AG243" i="1" s="1"/>
  <c r="AQ243" i="1"/>
  <c r="AB243" i="1"/>
  <c r="AL243" i="1" s="1"/>
  <c r="Z243" i="1"/>
  <c r="AP243" i="1" s="1"/>
  <c r="O243" i="1"/>
  <c r="D243" i="1"/>
  <c r="AQ242" i="1"/>
  <c r="AB242" i="1"/>
  <c r="Z242" i="1"/>
  <c r="AP242" i="1" s="1"/>
  <c r="O242" i="1"/>
  <c r="D242" i="1"/>
  <c r="BI207" i="1"/>
  <c r="AG207" i="1" s="1"/>
  <c r="AQ207" i="1"/>
  <c r="AB207" i="1"/>
  <c r="AL207" i="1" s="1"/>
  <c r="Z207" i="1"/>
  <c r="AP207" i="1" s="1"/>
  <c r="O207" i="1"/>
  <c r="D207" i="1"/>
  <c r="BI194" i="1"/>
  <c r="AG194" i="1" s="1"/>
  <c r="AQ194" i="1"/>
  <c r="AB194" i="1"/>
  <c r="Z194" i="1"/>
  <c r="AP194" i="1" s="1"/>
  <c r="O194" i="1"/>
  <c r="D194" i="1"/>
  <c r="AQ138" i="1"/>
  <c r="AB138" i="1"/>
  <c r="AL138" i="1" s="1"/>
  <c r="Z138" i="1"/>
  <c r="AP138" i="1" s="1"/>
  <c r="O138" i="1"/>
  <c r="D138" i="1"/>
  <c r="BI72" i="1"/>
  <c r="AG72" i="1" s="1"/>
  <c r="AQ72" i="1"/>
  <c r="AB72" i="1"/>
  <c r="Z72" i="1"/>
  <c r="AP72" i="1" s="1"/>
  <c r="O72" i="1"/>
  <c r="D72" i="1"/>
  <c r="BI68" i="1"/>
  <c r="AG68" i="1" s="1"/>
  <c r="AQ68" i="1"/>
  <c r="AB68" i="1"/>
  <c r="AL68" i="1" s="1"/>
  <c r="Z68" i="1"/>
  <c r="AP68" i="1" s="1"/>
  <c r="O68" i="1"/>
  <c r="D68" i="1"/>
  <c r="BI74" i="1"/>
  <c r="AG74" i="1" s="1"/>
  <c r="AQ74" i="1"/>
  <c r="AB74" i="1"/>
  <c r="Z74" i="1"/>
  <c r="AP74" i="1" s="1"/>
  <c r="O74" i="1"/>
  <c r="D74" i="1"/>
  <c r="AQ70" i="1"/>
  <c r="AB70" i="1"/>
  <c r="AL70" i="1" s="1"/>
  <c r="Z70" i="1"/>
  <c r="AP70" i="1" s="1"/>
  <c r="O70" i="1"/>
  <c r="D70" i="1"/>
  <c r="BI65" i="1"/>
  <c r="AG65" i="1" s="1"/>
  <c r="AQ65" i="1"/>
  <c r="AB65" i="1"/>
  <c r="Z65" i="1"/>
  <c r="AP65" i="1" s="1"/>
  <c r="O65" i="1"/>
  <c r="D65" i="1"/>
  <c r="BI63" i="1"/>
  <c r="AG63" i="1" s="1"/>
  <c r="AQ63" i="1"/>
  <c r="AB63" i="1"/>
  <c r="AL63" i="1" s="1"/>
  <c r="Z63" i="1"/>
  <c r="AP63" i="1" s="1"/>
  <c r="O63" i="1"/>
  <c r="D63" i="1"/>
  <c r="BI61" i="1"/>
  <c r="AG61" i="1" s="1"/>
  <c r="AQ61" i="1"/>
  <c r="AB61" i="1"/>
  <c r="AL61" i="1" s="1"/>
  <c r="Z61" i="1"/>
  <c r="AP61" i="1" s="1"/>
  <c r="O61" i="1"/>
  <c r="D61" i="1"/>
  <c r="BI59" i="1"/>
  <c r="AG59" i="1" s="1"/>
  <c r="AQ59" i="1"/>
  <c r="AB59" i="1"/>
  <c r="AL59" i="1" s="1"/>
  <c r="Z59" i="1"/>
  <c r="AP59" i="1" s="1"/>
  <c r="O59" i="1"/>
  <c r="D59" i="1"/>
  <c r="BI57" i="1"/>
  <c r="AG57" i="1" s="1"/>
  <c r="AQ57" i="1"/>
  <c r="AB57" i="1"/>
  <c r="AL57" i="1" s="1"/>
  <c r="Z57" i="1"/>
  <c r="AP57" i="1" s="1"/>
  <c r="O57" i="1"/>
  <c r="D57" i="1"/>
  <c r="BI55" i="1"/>
  <c r="AG55" i="1" s="1"/>
  <c r="AQ55" i="1"/>
  <c r="AB55" i="1"/>
  <c r="Z55" i="1"/>
  <c r="AP55" i="1" s="1"/>
  <c r="O55" i="1"/>
  <c r="D55" i="1"/>
  <c r="BI53" i="1"/>
  <c r="AG53" i="1" s="1"/>
  <c r="AQ53" i="1"/>
  <c r="AB53" i="1"/>
  <c r="AL53" i="1" s="1"/>
  <c r="Z53" i="1"/>
  <c r="AP53" i="1" s="1"/>
  <c r="O53" i="1"/>
  <c r="D53" i="1"/>
  <c r="BI51" i="1"/>
  <c r="AG51" i="1" s="1"/>
  <c r="AQ51" i="1"/>
  <c r="AB51" i="1"/>
  <c r="AL51" i="1" s="1"/>
  <c r="Z51" i="1"/>
  <c r="AP51" i="1" s="1"/>
  <c r="O51" i="1"/>
  <c r="D51" i="1"/>
  <c r="BI49" i="1"/>
  <c r="AG49" i="1" s="1"/>
  <c r="AQ49" i="1"/>
  <c r="AB49" i="1"/>
  <c r="AR49" i="1" s="1"/>
  <c r="Z49" i="1"/>
  <c r="AP49" i="1" s="1"/>
  <c r="O49" i="1"/>
  <c r="D49" i="1"/>
  <c r="BI47" i="1"/>
  <c r="AG47" i="1" s="1"/>
  <c r="AQ47" i="1"/>
  <c r="AB47" i="1"/>
  <c r="AL47" i="1" s="1"/>
  <c r="Z47" i="1"/>
  <c r="AP47" i="1" s="1"/>
  <c r="O47" i="1"/>
  <c r="D47" i="1"/>
  <c r="BI217" i="1"/>
  <c r="AG217" i="1" s="1"/>
  <c r="AQ217" i="1"/>
  <c r="AB217" i="1"/>
  <c r="AL217" i="1" s="1"/>
  <c r="Z217" i="1"/>
  <c r="AP217" i="1" s="1"/>
  <c r="O217" i="1"/>
  <c r="D217" i="1"/>
  <c r="BI216" i="1"/>
  <c r="AG216" i="1" s="1"/>
  <c r="AQ216" i="1"/>
  <c r="AB216" i="1"/>
  <c r="AL216" i="1" s="1"/>
  <c r="Z216" i="1"/>
  <c r="AP216" i="1" s="1"/>
  <c r="O216" i="1"/>
  <c r="D216" i="1"/>
  <c r="BI219" i="1"/>
  <c r="AG219" i="1" s="1"/>
  <c r="AQ219" i="1"/>
  <c r="AB219" i="1"/>
  <c r="AL219" i="1" s="1"/>
  <c r="Z219" i="1"/>
  <c r="AP219" i="1" s="1"/>
  <c r="O219" i="1"/>
  <c r="D219" i="1"/>
  <c r="AQ218" i="1"/>
  <c r="AB218" i="1"/>
  <c r="Z218" i="1"/>
  <c r="AP218" i="1" s="1"/>
  <c r="O218" i="1"/>
  <c r="D218" i="1"/>
  <c r="BI8" i="1"/>
  <c r="AG8" i="1" s="1"/>
  <c r="AQ8" i="1"/>
  <c r="AB8" i="1"/>
  <c r="AL8" i="1" s="1"/>
  <c r="Z8" i="1"/>
  <c r="AP8" i="1" s="1"/>
  <c r="O8" i="1"/>
  <c r="D8" i="1"/>
  <c r="BI7" i="1"/>
  <c r="AG7" i="1" s="1"/>
  <c r="AQ7" i="1"/>
  <c r="AB7" i="1"/>
  <c r="AL7" i="1" s="1"/>
  <c r="Z7" i="1"/>
  <c r="AP7" i="1" s="1"/>
  <c r="O7" i="1"/>
  <c r="D7" i="1"/>
  <c r="BI6" i="1"/>
  <c r="AG6" i="1" s="1"/>
  <c r="AQ6" i="1"/>
  <c r="AB6" i="1"/>
  <c r="Z6" i="1"/>
  <c r="AP6" i="1" s="1"/>
  <c r="O6" i="1"/>
  <c r="D6" i="1"/>
  <c r="BI5" i="1"/>
  <c r="AG5" i="1" s="1"/>
  <c r="AQ5" i="1"/>
  <c r="AB5" i="1"/>
  <c r="AR5" i="1" s="1"/>
  <c r="Z5" i="1"/>
  <c r="AP5" i="1" s="1"/>
  <c r="O5" i="1"/>
  <c r="D5" i="1"/>
  <c r="BI134" i="1"/>
  <c r="AG134" i="1" s="1"/>
  <c r="AQ134" i="1"/>
  <c r="AB134" i="1"/>
  <c r="AR134" i="1" s="1"/>
  <c r="AD134" i="1" s="1"/>
  <c r="AE134" i="1" s="1"/>
  <c r="Z134" i="1"/>
  <c r="AP134" i="1" s="1"/>
  <c r="O134" i="1"/>
  <c r="D134" i="1"/>
  <c r="BI224" i="1"/>
  <c r="AG224" i="1" s="1"/>
  <c r="AQ224" i="1"/>
  <c r="AB224" i="1"/>
  <c r="AR224" i="1" s="1"/>
  <c r="BN224" i="1" s="1"/>
  <c r="Z224" i="1"/>
  <c r="AP224" i="1" s="1"/>
  <c r="O224" i="1"/>
  <c r="D224" i="1"/>
  <c r="AQ222" i="1"/>
  <c r="AB222" i="1"/>
  <c r="AR222" i="1" s="1"/>
  <c r="Z222" i="1"/>
  <c r="AP222" i="1" s="1"/>
  <c r="O222" i="1"/>
  <c r="D222" i="1"/>
  <c r="BI203" i="1"/>
  <c r="AG203" i="1" s="1"/>
  <c r="AQ203" i="1"/>
  <c r="AB203" i="1"/>
  <c r="AR203" i="1" s="1"/>
  <c r="Z203" i="1"/>
  <c r="AP203" i="1" s="1"/>
  <c r="O203" i="1"/>
  <c r="D203" i="1"/>
  <c r="BI201" i="1"/>
  <c r="AG201" i="1" s="1"/>
  <c r="AQ201" i="1"/>
  <c r="AB201" i="1"/>
  <c r="AR201" i="1" s="1"/>
  <c r="AD201" i="1" s="1"/>
  <c r="AE201" i="1" s="1"/>
  <c r="Z201" i="1"/>
  <c r="AP201" i="1" s="1"/>
  <c r="O201" i="1"/>
  <c r="D201" i="1"/>
  <c r="BI248" i="1"/>
  <c r="AG248" i="1" s="1"/>
  <c r="AQ248" i="1"/>
  <c r="AB248" i="1"/>
  <c r="AR248" i="1" s="1"/>
  <c r="BN248" i="1" s="1"/>
  <c r="Z248" i="1"/>
  <c r="AP248" i="1" s="1"/>
  <c r="O248" i="1"/>
  <c r="D248" i="1"/>
  <c r="BI249" i="1"/>
  <c r="AG249" i="1" s="1"/>
  <c r="AQ249" i="1"/>
  <c r="AB249" i="1"/>
  <c r="AL249" i="1" s="1"/>
  <c r="Z249" i="1"/>
  <c r="AP249" i="1" s="1"/>
  <c r="O249" i="1"/>
  <c r="D249" i="1"/>
  <c r="AQ233" i="1"/>
  <c r="AB233" i="1"/>
  <c r="Z233" i="1"/>
  <c r="AP233" i="1" s="1"/>
  <c r="O233" i="1"/>
  <c r="D233" i="1"/>
  <c r="BI234" i="1"/>
  <c r="AG234" i="1" s="1"/>
  <c r="AQ234" i="1"/>
  <c r="AB234" i="1"/>
  <c r="AL234" i="1" s="1"/>
  <c r="Z234" i="1"/>
  <c r="AP234" i="1" s="1"/>
  <c r="O234" i="1"/>
  <c r="D234" i="1"/>
  <c r="BI181" i="1"/>
  <c r="AG181" i="1" s="1"/>
  <c r="AQ181" i="1"/>
  <c r="AB181" i="1"/>
  <c r="AL181" i="1" s="1"/>
  <c r="Z181" i="1"/>
  <c r="AP181" i="1" s="1"/>
  <c r="O181" i="1"/>
  <c r="D181" i="1"/>
  <c r="BI122" i="1"/>
  <c r="AG122" i="1" s="1"/>
  <c r="AQ122" i="1"/>
  <c r="AB122" i="1"/>
  <c r="AL122" i="1" s="1"/>
  <c r="Z122" i="1"/>
  <c r="AP122" i="1" s="1"/>
  <c r="O122" i="1"/>
  <c r="D122" i="1"/>
  <c r="BI191" i="1"/>
  <c r="AG191" i="1" s="1"/>
  <c r="AQ191" i="1"/>
  <c r="AB191" i="1"/>
  <c r="AL191" i="1" s="1"/>
  <c r="Z191" i="1"/>
  <c r="AP191" i="1" s="1"/>
  <c r="O191" i="1"/>
  <c r="D191" i="1"/>
  <c r="BI163" i="1"/>
  <c r="AG163" i="1" s="1"/>
  <c r="AQ163" i="1"/>
  <c r="AB163" i="1"/>
  <c r="AR163" i="1" s="1"/>
  <c r="Z163" i="1"/>
  <c r="AP163" i="1" s="1"/>
  <c r="O163" i="1"/>
  <c r="D163" i="1"/>
  <c r="BI215" i="1"/>
  <c r="AG215" i="1" s="1"/>
  <c r="AQ215" i="1"/>
  <c r="AB215" i="1"/>
  <c r="AL215" i="1" s="1"/>
  <c r="Z215" i="1"/>
  <c r="AP215" i="1" s="1"/>
  <c r="O215" i="1"/>
  <c r="D215" i="1"/>
  <c r="BI109" i="1"/>
  <c r="AG109" i="1" s="1"/>
  <c r="AQ109" i="1"/>
  <c r="AB109" i="1"/>
  <c r="AL109" i="1" s="1"/>
  <c r="Z109" i="1"/>
  <c r="AP109" i="1" s="1"/>
  <c r="O109" i="1"/>
  <c r="D109" i="1"/>
  <c r="BI108" i="1"/>
  <c r="AG108" i="1" s="1"/>
  <c r="AQ108" i="1"/>
  <c r="AB108" i="1"/>
  <c r="Z108" i="1"/>
  <c r="AP108" i="1" s="1"/>
  <c r="O108" i="1"/>
  <c r="D108" i="1"/>
  <c r="BI105" i="1"/>
  <c r="AG105" i="1" s="1"/>
  <c r="AQ105" i="1"/>
  <c r="AB105" i="1"/>
  <c r="AL105" i="1" s="1"/>
  <c r="Z105" i="1"/>
  <c r="AP105" i="1" s="1"/>
  <c r="O105" i="1"/>
  <c r="D105" i="1"/>
  <c r="BI107" i="1"/>
  <c r="AG107" i="1" s="1"/>
  <c r="AQ107" i="1"/>
  <c r="AB107" i="1"/>
  <c r="AL107" i="1" s="1"/>
  <c r="Z107" i="1"/>
  <c r="AP107" i="1" s="1"/>
  <c r="O107" i="1"/>
  <c r="D107" i="1"/>
  <c r="BI31" i="1"/>
  <c r="AG31" i="1" s="1"/>
  <c r="AQ31" i="1"/>
  <c r="AB31" i="1"/>
  <c r="AL31" i="1" s="1"/>
  <c r="Z31" i="1"/>
  <c r="AP31" i="1" s="1"/>
  <c r="O31" i="1"/>
  <c r="D31" i="1"/>
  <c r="BI29" i="1"/>
  <c r="AG29" i="1" s="1"/>
  <c r="AQ29" i="1"/>
  <c r="AB29" i="1"/>
  <c r="AL29" i="1" s="1"/>
  <c r="Z29" i="1"/>
  <c r="AP29" i="1" s="1"/>
  <c r="O29" i="1"/>
  <c r="D29" i="1"/>
  <c r="BI33" i="1"/>
  <c r="AG33" i="1" s="1"/>
  <c r="AQ33" i="1"/>
  <c r="AB33" i="1"/>
  <c r="AR33" i="1" s="1"/>
  <c r="BN33" i="1" s="1"/>
  <c r="Z33" i="1"/>
  <c r="AP33" i="1" s="1"/>
  <c r="O33" i="1"/>
  <c r="D33" i="1"/>
  <c r="BI35" i="1"/>
  <c r="AG35" i="1" s="1"/>
  <c r="AQ35" i="1"/>
  <c r="AB35" i="1"/>
  <c r="AL35" i="1" s="1"/>
  <c r="Z35" i="1"/>
  <c r="AP35" i="1" s="1"/>
  <c r="O35" i="1"/>
  <c r="D35" i="1"/>
  <c r="BI117" i="1"/>
  <c r="AG117" i="1" s="1"/>
  <c r="AQ117" i="1"/>
  <c r="AB117" i="1"/>
  <c r="AL117" i="1" s="1"/>
  <c r="Z117" i="1"/>
  <c r="AP117" i="1" s="1"/>
  <c r="O117" i="1"/>
  <c r="D117" i="1"/>
  <c r="BI97" i="1"/>
  <c r="AG97" i="1" s="1"/>
  <c r="AQ97" i="1"/>
  <c r="AB97" i="1"/>
  <c r="AR97" i="1" s="1"/>
  <c r="AD97" i="1" s="1"/>
  <c r="Z97" i="1"/>
  <c r="AP97" i="1" s="1"/>
  <c r="O97" i="1"/>
  <c r="D97" i="1"/>
  <c r="BI98" i="1"/>
  <c r="AG98" i="1" s="1"/>
  <c r="AQ98" i="1"/>
  <c r="AB98" i="1"/>
  <c r="AL98" i="1" s="1"/>
  <c r="Z98" i="1"/>
  <c r="AP98" i="1" s="1"/>
  <c r="O98" i="1"/>
  <c r="D98" i="1"/>
  <c r="BI99" i="1"/>
  <c r="AG99" i="1" s="1"/>
  <c r="AQ99" i="1"/>
  <c r="AB99" i="1"/>
  <c r="AL99" i="1" s="1"/>
  <c r="Z99" i="1"/>
  <c r="AP99" i="1" s="1"/>
  <c r="O99" i="1"/>
  <c r="D99" i="1"/>
  <c r="BI100" i="1"/>
  <c r="AG100" i="1" s="1"/>
  <c r="AQ100" i="1"/>
  <c r="AB100" i="1"/>
  <c r="AL100" i="1" s="1"/>
  <c r="Z100" i="1"/>
  <c r="AP100" i="1" s="1"/>
  <c r="O100" i="1"/>
  <c r="D100" i="1"/>
  <c r="BI173" i="1"/>
  <c r="AG173" i="1" s="1"/>
  <c r="AQ173" i="1"/>
  <c r="AB173" i="1"/>
  <c r="AL173" i="1" s="1"/>
  <c r="Z173" i="1"/>
  <c r="AP173" i="1" s="1"/>
  <c r="O173" i="1"/>
  <c r="D173" i="1"/>
  <c r="BI151" i="1"/>
  <c r="AG151" i="1" s="1"/>
  <c r="AQ151" i="1"/>
  <c r="AB151" i="1"/>
  <c r="AL151" i="1" s="1"/>
  <c r="Z151" i="1"/>
  <c r="AP151" i="1" s="1"/>
  <c r="O151" i="1"/>
  <c r="D151" i="1"/>
  <c r="BI155" i="1"/>
  <c r="AG155" i="1" s="1"/>
  <c r="AQ155" i="1"/>
  <c r="AB155" i="1"/>
  <c r="Z155" i="1"/>
  <c r="AP155" i="1" s="1"/>
  <c r="O155" i="1"/>
  <c r="D155" i="1"/>
  <c r="BI153" i="1"/>
  <c r="AG153" i="1" s="1"/>
  <c r="AQ153" i="1"/>
  <c r="AB153" i="1"/>
  <c r="AL153" i="1" s="1"/>
  <c r="Z153" i="1"/>
  <c r="AP153" i="1" s="1"/>
  <c r="O153" i="1"/>
  <c r="D153" i="1"/>
  <c r="BI168" i="1"/>
  <c r="AG168" i="1" s="1"/>
  <c r="AQ168" i="1"/>
  <c r="AB168" i="1"/>
  <c r="AL168" i="1" s="1"/>
  <c r="Z168" i="1"/>
  <c r="AP168" i="1" s="1"/>
  <c r="O168" i="1"/>
  <c r="D168" i="1"/>
  <c r="BI103" i="1"/>
  <c r="AG103" i="1" s="1"/>
  <c r="AQ103" i="1"/>
  <c r="AB103" i="1"/>
  <c r="AL103" i="1" s="1"/>
  <c r="Z103" i="1"/>
  <c r="AP103" i="1" s="1"/>
  <c r="O103" i="1"/>
  <c r="D103" i="1"/>
  <c r="BI199" i="1"/>
  <c r="AG199" i="1" s="1"/>
  <c r="AQ199" i="1"/>
  <c r="AB199" i="1"/>
  <c r="AL199" i="1" s="1"/>
  <c r="Z199" i="1"/>
  <c r="AP199" i="1" s="1"/>
  <c r="O199" i="1"/>
  <c r="D199" i="1"/>
  <c r="BI172" i="1"/>
  <c r="AG172" i="1" s="1"/>
  <c r="AQ172" i="1"/>
  <c r="AB172" i="1"/>
  <c r="AL172" i="1" s="1"/>
  <c r="Z172" i="1"/>
  <c r="AP172" i="1" s="1"/>
  <c r="O172" i="1"/>
  <c r="D172" i="1"/>
  <c r="BI111" i="1"/>
  <c r="AG111" i="1" s="1"/>
  <c r="AQ111" i="1"/>
  <c r="AB111" i="1"/>
  <c r="Z111" i="1"/>
  <c r="AP111" i="1" s="1"/>
  <c r="O111" i="1"/>
  <c r="D111" i="1"/>
  <c r="BI184" i="1"/>
  <c r="AG184" i="1" s="1"/>
  <c r="AQ184" i="1"/>
  <c r="AB184" i="1"/>
  <c r="AR184" i="1" s="1"/>
  <c r="Z184" i="1"/>
  <c r="AP184" i="1" s="1"/>
  <c r="O184" i="1"/>
  <c r="D184" i="1"/>
  <c r="BI247" i="1"/>
  <c r="AG247" i="1" s="1"/>
  <c r="AQ247" i="1"/>
  <c r="AB247" i="1"/>
  <c r="Z247" i="1"/>
  <c r="AP247" i="1" s="1"/>
  <c r="O247" i="1"/>
  <c r="D247" i="1"/>
  <c r="BI231" i="1"/>
  <c r="AG231" i="1" s="1"/>
  <c r="AQ231" i="1"/>
  <c r="AB231" i="1"/>
  <c r="AL231" i="1" s="1"/>
  <c r="Z231" i="1"/>
  <c r="AP231" i="1" s="1"/>
  <c r="O231" i="1"/>
  <c r="D231" i="1"/>
  <c r="AQ4" i="1"/>
  <c r="AB4" i="1"/>
  <c r="Z4" i="1"/>
  <c r="AP4" i="1" s="1"/>
  <c r="O4" i="1"/>
  <c r="D4" i="1"/>
  <c r="BI27" i="1"/>
  <c r="AG27" i="1" s="1"/>
  <c r="AQ27" i="1"/>
  <c r="AB27" i="1"/>
  <c r="AL27" i="1" s="1"/>
  <c r="Z27" i="1"/>
  <c r="AP27" i="1" s="1"/>
  <c r="O27" i="1"/>
  <c r="D27" i="1"/>
  <c r="AQ67" i="1"/>
  <c r="AB67" i="1"/>
  <c r="AL67" i="1" s="1"/>
  <c r="Z67" i="1"/>
  <c r="AP67" i="1" s="1"/>
  <c r="O67" i="1"/>
  <c r="D67" i="1"/>
  <c r="BI81" i="1"/>
  <c r="AG81" i="1" s="1"/>
  <c r="AQ81" i="1"/>
  <c r="AB81" i="1"/>
  <c r="AL81" i="1" s="1"/>
  <c r="Z81" i="1"/>
  <c r="AP81" i="1" s="1"/>
  <c r="O81" i="1"/>
  <c r="D81" i="1"/>
  <c r="AQ82" i="1"/>
  <c r="AB82" i="1"/>
  <c r="AL82" i="1" s="1"/>
  <c r="Z82" i="1"/>
  <c r="AP82" i="1" s="1"/>
  <c r="O82" i="1"/>
  <c r="D82" i="1"/>
  <c r="BI84" i="1"/>
  <c r="AG84" i="1" s="1"/>
  <c r="AQ84" i="1"/>
  <c r="AB84" i="1"/>
  <c r="AR84" i="1" s="1"/>
  <c r="Z84" i="1"/>
  <c r="AP84" i="1" s="1"/>
  <c r="O84" i="1"/>
  <c r="D84" i="1"/>
  <c r="BI80" i="1"/>
  <c r="AG80" i="1" s="1"/>
  <c r="AQ80" i="1"/>
  <c r="AB80" i="1"/>
  <c r="Z80" i="1"/>
  <c r="AP80" i="1" s="1"/>
  <c r="O80" i="1"/>
  <c r="D80" i="1"/>
  <c r="BI83" i="1"/>
  <c r="AG83" i="1" s="1"/>
  <c r="AQ83" i="1"/>
  <c r="AB83" i="1"/>
  <c r="AL83" i="1" s="1"/>
  <c r="Z83" i="1"/>
  <c r="AP83" i="1" s="1"/>
  <c r="O83" i="1"/>
  <c r="D83" i="1"/>
  <c r="AQ178" i="1"/>
  <c r="AB178" i="1"/>
  <c r="AL178" i="1" s="1"/>
  <c r="Z178" i="1"/>
  <c r="AP178" i="1" s="1"/>
  <c r="O178" i="1"/>
  <c r="D178" i="1"/>
  <c r="BI177" i="1"/>
  <c r="AG177" i="1" s="1"/>
  <c r="AQ177" i="1"/>
  <c r="AB177" i="1"/>
  <c r="AL177" i="1" s="1"/>
  <c r="Z177" i="1"/>
  <c r="AP177" i="1" s="1"/>
  <c r="O177" i="1"/>
  <c r="D177" i="1"/>
  <c r="BI176" i="1"/>
  <c r="AG176" i="1" s="1"/>
  <c r="AQ176" i="1"/>
  <c r="AB176" i="1"/>
  <c r="AL176" i="1" s="1"/>
  <c r="Z176" i="1"/>
  <c r="AP176" i="1" s="1"/>
  <c r="O176" i="1"/>
  <c r="D176" i="1"/>
  <c r="BI179" i="1"/>
  <c r="AG179" i="1" s="1"/>
  <c r="AQ179" i="1"/>
  <c r="AB179" i="1"/>
  <c r="AL179" i="1" s="1"/>
  <c r="Z179" i="1"/>
  <c r="AP179" i="1" s="1"/>
  <c r="O179" i="1"/>
  <c r="D179" i="1"/>
  <c r="BI180" i="1"/>
  <c r="AG180" i="1" s="1"/>
  <c r="AQ180" i="1"/>
  <c r="AB180" i="1"/>
  <c r="AL180" i="1" s="1"/>
  <c r="Z180" i="1"/>
  <c r="AP180" i="1" s="1"/>
  <c r="O180" i="1"/>
  <c r="D180" i="1"/>
  <c r="BI136" i="1"/>
  <c r="AG136" i="1" s="1"/>
  <c r="AQ136" i="1"/>
  <c r="AB136" i="1"/>
  <c r="AR136" i="1" s="1"/>
  <c r="Z136" i="1"/>
  <c r="AP136" i="1" s="1"/>
  <c r="O136" i="1"/>
  <c r="D136" i="1"/>
  <c r="AQ143" i="1"/>
  <c r="AB143" i="1"/>
  <c r="Z143" i="1"/>
  <c r="AP143" i="1" s="1"/>
  <c r="O143" i="1"/>
  <c r="D143" i="1"/>
  <c r="BI141" i="1"/>
  <c r="AG141" i="1" s="1"/>
  <c r="AQ141" i="1"/>
  <c r="AB141" i="1"/>
  <c r="AL141" i="1" s="1"/>
  <c r="Z141" i="1"/>
  <c r="AP141" i="1" s="1"/>
  <c r="O141" i="1"/>
  <c r="D141" i="1"/>
  <c r="AQ139" i="1"/>
  <c r="AB139" i="1"/>
  <c r="AL139" i="1" s="1"/>
  <c r="Z139" i="1"/>
  <c r="AP139" i="1" s="1"/>
  <c r="O139" i="1"/>
  <c r="D139" i="1"/>
  <c r="BI145" i="1"/>
  <c r="AG145" i="1" s="1"/>
  <c r="AQ145" i="1"/>
  <c r="AB145" i="1"/>
  <c r="AL145" i="1" s="1"/>
  <c r="Z145" i="1"/>
  <c r="AP145" i="1" s="1"/>
  <c r="O145" i="1"/>
  <c r="D145" i="1"/>
  <c r="AQ147" i="1"/>
  <c r="AB147" i="1"/>
  <c r="AL147" i="1" s="1"/>
  <c r="Z147" i="1"/>
  <c r="AP147" i="1" s="1"/>
  <c r="O147" i="1"/>
  <c r="D147" i="1"/>
  <c r="BI95" i="1"/>
  <c r="AG95" i="1" s="1"/>
  <c r="AQ95" i="1"/>
  <c r="AB95" i="1"/>
  <c r="AL95" i="1" s="1"/>
  <c r="Z95" i="1"/>
  <c r="AP95" i="1" s="1"/>
  <c r="O95" i="1"/>
  <c r="D95" i="1"/>
  <c r="AQ258" i="1"/>
  <c r="AB258" i="1"/>
  <c r="AL258" i="1" s="1"/>
  <c r="Z258" i="1"/>
  <c r="AP258" i="1" s="1"/>
  <c r="O258" i="1"/>
  <c r="D258" i="1"/>
  <c r="BI257" i="1"/>
  <c r="AG257" i="1" s="1"/>
  <c r="AQ257" i="1"/>
  <c r="AB257" i="1"/>
  <c r="AR257" i="1" s="1"/>
  <c r="BN257" i="1" s="1"/>
  <c r="Z257" i="1"/>
  <c r="AP257" i="1" s="1"/>
  <c r="O257" i="1"/>
  <c r="D257" i="1"/>
  <c r="BI256" i="1"/>
  <c r="AG256" i="1" s="1"/>
  <c r="AQ256" i="1"/>
  <c r="AB256" i="1"/>
  <c r="Z256" i="1"/>
  <c r="AP256" i="1" s="1"/>
  <c r="O256" i="1"/>
  <c r="D256" i="1"/>
  <c r="BI255" i="1"/>
  <c r="AG255" i="1" s="1"/>
  <c r="AQ255" i="1"/>
  <c r="AB255" i="1"/>
  <c r="AL255" i="1" s="1"/>
  <c r="Z255" i="1"/>
  <c r="AP255" i="1" s="1"/>
  <c r="O255" i="1"/>
  <c r="D255" i="1"/>
  <c r="AQ254" i="1"/>
  <c r="AB254" i="1"/>
  <c r="AL254" i="1" s="1"/>
  <c r="Z254" i="1"/>
  <c r="AP254" i="1" s="1"/>
  <c r="O254" i="1"/>
  <c r="D254" i="1"/>
  <c r="BI253" i="1"/>
  <c r="AG253" i="1" s="1"/>
  <c r="AQ253" i="1"/>
  <c r="AB253" i="1"/>
  <c r="AL253" i="1" s="1"/>
  <c r="Z253" i="1"/>
  <c r="AP253" i="1" s="1"/>
  <c r="O253" i="1"/>
  <c r="D253" i="1"/>
  <c r="O259" i="1"/>
  <c r="O149" i="1"/>
  <c r="O251" i="1"/>
  <c r="O25" i="1"/>
  <c r="O85" i="1"/>
  <c r="O87" i="1"/>
  <c r="O91" i="1"/>
  <c r="O89" i="1"/>
  <c r="O93" i="1"/>
  <c r="O124" i="1"/>
  <c r="O126" i="1"/>
  <c r="O130" i="1"/>
  <c r="O128" i="1"/>
  <c r="O132" i="1"/>
  <c r="O263" i="1"/>
  <c r="O264" i="1"/>
  <c r="O261" i="1"/>
  <c r="O262" i="1"/>
  <c r="AQ259" i="1"/>
  <c r="AQ149" i="1"/>
  <c r="AQ251" i="1"/>
  <c r="AQ25" i="1"/>
  <c r="AQ85" i="1"/>
  <c r="AQ87" i="1"/>
  <c r="AQ91" i="1"/>
  <c r="AQ89" i="1"/>
  <c r="AQ93" i="1"/>
  <c r="AQ124" i="1"/>
  <c r="AQ126" i="1"/>
  <c r="AQ130" i="1"/>
  <c r="AQ128" i="1"/>
  <c r="AQ132" i="1"/>
  <c r="AQ263" i="1"/>
  <c r="AQ264" i="1"/>
  <c r="AQ261" i="1"/>
  <c r="AQ262" i="1"/>
  <c r="AB262" i="1"/>
  <c r="Z262" i="1"/>
  <c r="AP262" i="1" s="1"/>
  <c r="D262" i="1"/>
  <c r="AB261" i="1"/>
  <c r="AL261" i="1" s="1"/>
  <c r="Z261" i="1"/>
  <c r="AP261" i="1" s="1"/>
  <c r="D261" i="1"/>
  <c r="BI264" i="1"/>
  <c r="AG264" i="1" s="1"/>
  <c r="AB264" i="1"/>
  <c r="AR264" i="1" s="1"/>
  <c r="BP264" i="1" s="1"/>
  <c r="Z264" i="1"/>
  <c r="AP264" i="1" s="1"/>
  <c r="D264" i="1"/>
  <c r="AB263" i="1"/>
  <c r="AL263" i="1" s="1"/>
  <c r="Z263" i="1"/>
  <c r="AP263" i="1" s="1"/>
  <c r="D263" i="1"/>
  <c r="BI132" i="1"/>
  <c r="AG132" i="1" s="1"/>
  <c r="AB132" i="1"/>
  <c r="Z132" i="1"/>
  <c r="AP132" i="1" s="1"/>
  <c r="D132" i="1"/>
  <c r="BI128" i="1"/>
  <c r="AG128" i="1" s="1"/>
  <c r="AB128" i="1"/>
  <c r="AK128" i="1" s="1"/>
  <c r="Z128" i="1"/>
  <c r="AP128" i="1" s="1"/>
  <c r="D128" i="1"/>
  <c r="AB130" i="1"/>
  <c r="Z130" i="1"/>
  <c r="AP130" i="1" s="1"/>
  <c r="D130" i="1"/>
  <c r="AB126" i="1"/>
  <c r="AL126" i="1" s="1"/>
  <c r="Z126" i="1"/>
  <c r="AP126" i="1" s="1"/>
  <c r="D126" i="1"/>
  <c r="BI124" i="1"/>
  <c r="AG124" i="1" s="1"/>
  <c r="AB124" i="1"/>
  <c r="Z124" i="1"/>
  <c r="AP124" i="1" s="1"/>
  <c r="D124" i="1"/>
  <c r="AR202" i="1" l="1"/>
  <c r="AD202" i="1" s="1"/>
  <c r="AT202" i="1"/>
  <c r="AR223" i="1"/>
  <c r="AD223" i="1" s="1"/>
  <c r="AT223" i="1"/>
  <c r="AK188" i="1"/>
  <c r="AT188" i="1"/>
  <c r="AL4" i="1"/>
  <c r="AT4" i="1"/>
  <c r="AR26" i="1"/>
  <c r="AT26" i="1"/>
  <c r="AR198" i="1"/>
  <c r="AD198" i="1" s="1"/>
  <c r="AT198" i="1"/>
  <c r="AR225" i="1"/>
  <c r="AD225" i="1" s="1"/>
  <c r="AE225" i="1" s="1"/>
  <c r="AT225" i="1"/>
  <c r="AR204" i="1"/>
  <c r="AD204" i="1" s="1"/>
  <c r="AE204" i="1" s="1"/>
  <c r="AT204" i="1"/>
  <c r="BP236" i="1"/>
  <c r="BP165" i="1"/>
  <c r="BP156" i="1"/>
  <c r="BN264" i="1"/>
  <c r="BN201" i="1"/>
  <c r="BN144" i="1"/>
  <c r="BN129" i="1"/>
  <c r="BP146" i="1"/>
  <c r="BN16" i="1"/>
  <c r="BP52" i="1"/>
  <c r="BP34" i="1"/>
  <c r="BP10" i="1"/>
  <c r="BP202" i="1"/>
  <c r="BN94" i="1"/>
  <c r="BP154" i="1"/>
  <c r="BP44" i="1"/>
  <c r="BN142" i="1"/>
  <c r="BN86" i="1"/>
  <c r="BP148" i="1"/>
  <c r="BP36" i="1"/>
  <c r="BN209" i="1"/>
  <c r="BN134" i="1"/>
  <c r="BN32" i="1"/>
  <c r="BP237" i="1"/>
  <c r="BP133" i="1"/>
  <c r="BP28" i="1"/>
  <c r="BN200" i="1"/>
  <c r="BN104" i="1"/>
  <c r="BP125" i="1"/>
  <c r="BP21" i="1"/>
  <c r="BN198" i="1"/>
  <c r="BN102" i="1"/>
  <c r="BP205" i="1"/>
  <c r="BP106" i="1"/>
  <c r="BP20" i="1"/>
  <c r="BN192" i="1"/>
  <c r="BN97" i="1"/>
  <c r="BP90" i="1"/>
  <c r="BN150" i="1"/>
  <c r="BN96" i="1"/>
  <c r="AD84" i="1"/>
  <c r="BN84" i="1"/>
  <c r="AD5" i="1"/>
  <c r="AE5" i="1" s="1"/>
  <c r="BN5" i="1"/>
  <c r="AD203" i="1"/>
  <c r="AE203" i="1" s="1"/>
  <c r="BN203" i="1"/>
  <c r="BP203" i="1"/>
  <c r="AD136" i="1"/>
  <c r="AE136" i="1" s="1"/>
  <c r="BP136" i="1"/>
  <c r="BN136" i="1"/>
  <c r="BP84" i="1"/>
  <c r="AD18" i="1"/>
  <c r="BN18" i="1"/>
  <c r="AD140" i="1"/>
  <c r="AE140" i="1" s="1"/>
  <c r="BN140" i="1"/>
  <c r="AD152" i="1"/>
  <c r="AE152" i="1" s="1"/>
  <c r="BP152" i="1"/>
  <c r="BN152" i="1"/>
  <c r="AD110" i="1"/>
  <c r="AE110" i="1" s="1"/>
  <c r="BP110" i="1"/>
  <c r="AD50" i="1"/>
  <c r="AE50" i="1" s="1"/>
  <c r="BN50" i="1"/>
  <c r="BP140" i="1"/>
  <c r="AD9" i="1"/>
  <c r="AE9" i="1" s="1"/>
  <c r="BP9" i="1"/>
  <c r="BP15" i="1"/>
  <c r="BN15" i="1"/>
  <c r="AD92" i="1"/>
  <c r="AE92" i="1" s="1"/>
  <c r="BN92" i="1"/>
  <c r="AD137" i="1"/>
  <c r="AE137" i="1" s="1"/>
  <c r="BP137" i="1"/>
  <c r="AD169" i="1"/>
  <c r="AE169" i="1" s="1"/>
  <c r="BP169" i="1"/>
  <c r="AD30" i="1"/>
  <c r="AE30" i="1" s="1"/>
  <c r="BP30" i="1"/>
  <c r="AD165" i="1"/>
  <c r="AE165" i="1" s="1"/>
  <c r="BN165" i="1"/>
  <c r="BN30" i="1"/>
  <c r="AD222" i="1"/>
  <c r="AE222" i="1" s="1"/>
  <c r="BP222" i="1"/>
  <c r="AD101" i="1"/>
  <c r="AE101" i="1" s="1"/>
  <c r="BN101" i="1"/>
  <c r="AD33" i="1"/>
  <c r="AE33" i="1" s="1"/>
  <c r="BP33" i="1"/>
  <c r="AD236" i="1"/>
  <c r="AE236" i="1" s="1"/>
  <c r="BN236" i="1"/>
  <c r="AD226" i="1"/>
  <c r="AE226" i="1" s="1"/>
  <c r="BN226" i="1"/>
  <c r="AD26" i="1"/>
  <c r="AE26" i="1" s="1"/>
  <c r="BN26" i="1"/>
  <c r="BP92" i="1"/>
  <c r="BP50" i="1"/>
  <c r="BP5" i="1"/>
  <c r="BN169" i="1"/>
  <c r="BN110" i="1"/>
  <c r="AD257" i="1"/>
  <c r="AE257" i="1" s="1"/>
  <c r="BP257" i="1"/>
  <c r="AD184" i="1"/>
  <c r="AE184" i="1" s="1"/>
  <c r="BP184" i="1"/>
  <c r="BN184" i="1"/>
  <c r="AD163" i="1"/>
  <c r="AE163" i="1" s="1"/>
  <c r="BN163" i="1"/>
  <c r="BP163" i="1"/>
  <c r="AD224" i="1"/>
  <c r="AE224" i="1" s="1"/>
  <c r="BP224" i="1"/>
  <c r="AD248" i="1"/>
  <c r="AE248" i="1" s="1"/>
  <c r="BP248" i="1"/>
  <c r="AD49" i="1"/>
  <c r="BP49" i="1"/>
  <c r="AD88" i="1"/>
  <c r="AE88" i="1" s="1"/>
  <c r="BP88" i="1"/>
  <c r="BN88" i="1"/>
  <c r="AD156" i="1"/>
  <c r="AE156" i="1" s="1"/>
  <c r="BN156" i="1"/>
  <c r="AD48" i="1"/>
  <c r="AE48" i="1" s="1"/>
  <c r="BP48" i="1"/>
  <c r="BN48" i="1"/>
  <c r="AD40" i="1"/>
  <c r="AE40" i="1" s="1"/>
  <c r="BP40" i="1"/>
  <c r="BN40" i="1"/>
  <c r="BP26" i="1"/>
  <c r="BN222" i="1"/>
  <c r="BN137" i="1"/>
  <c r="BN49" i="1"/>
  <c r="BP235" i="1"/>
  <c r="BP227" i="1"/>
  <c r="BP131" i="1"/>
  <c r="BP123" i="1"/>
  <c r="BP19" i="1"/>
  <c r="BN135" i="1"/>
  <c r="BN127" i="1"/>
  <c r="BN79" i="1"/>
  <c r="BP225" i="1"/>
  <c r="BP209" i="1"/>
  <c r="BP201" i="1"/>
  <c r="BP129" i="1"/>
  <c r="BP97" i="1"/>
  <c r="BN237" i="1"/>
  <c r="BN133" i="1"/>
  <c r="BN125" i="1"/>
  <c r="BP200" i="1"/>
  <c r="BP192" i="1"/>
  <c r="BP144" i="1"/>
  <c r="BP104" i="1"/>
  <c r="BP96" i="1"/>
  <c r="BP32" i="1"/>
  <c r="BP16" i="1"/>
  <c r="BN204" i="1"/>
  <c r="BN148" i="1"/>
  <c r="BN52" i="1"/>
  <c r="BN36" i="1"/>
  <c r="BN20" i="1"/>
  <c r="BP135" i="1"/>
  <c r="BP127" i="1"/>
  <c r="BP79" i="1"/>
  <c r="BN235" i="1"/>
  <c r="BN131" i="1"/>
  <c r="BN123" i="1"/>
  <c r="BN19" i="1"/>
  <c r="BP150" i="1"/>
  <c r="BP142" i="1"/>
  <c r="BP134" i="1"/>
  <c r="BP102" i="1"/>
  <c r="BP94" i="1"/>
  <c r="BP86" i="1"/>
  <c r="BN202" i="1"/>
  <c r="BN154" i="1"/>
  <c r="BN146" i="1"/>
  <c r="BN106" i="1"/>
  <c r="BN90" i="1"/>
  <c r="BN34" i="1"/>
  <c r="AK16" i="1"/>
  <c r="AK225" i="1"/>
  <c r="AK50" i="1"/>
  <c r="AR54" i="1"/>
  <c r="O60" i="1"/>
  <c r="O121" i="1"/>
  <c r="AD227" i="1"/>
  <c r="AE227" i="1" s="1"/>
  <c r="AD44" i="1"/>
  <c r="AE44" i="1" s="1"/>
  <c r="AD10" i="1"/>
  <c r="AE10" i="1" s="1"/>
  <c r="AQ227" i="1"/>
  <c r="AR196" i="1"/>
  <c r="AR38" i="1"/>
  <c r="AR171" i="1"/>
  <c r="AH227" i="1"/>
  <c r="AI227" i="1" s="1"/>
  <c r="AR24" i="1"/>
  <c r="AR14" i="1"/>
  <c r="AR221" i="1"/>
  <c r="AR46" i="1"/>
  <c r="AR22" i="1"/>
  <c r="AR193" i="1"/>
  <c r="AH30" i="1"/>
  <c r="AI30" i="1" s="1"/>
  <c r="AR77" i="1"/>
  <c r="AH102" i="1"/>
  <c r="AI102" i="1" s="1"/>
  <c r="AH16" i="1"/>
  <c r="AI16" i="1" s="1"/>
  <c r="AR56" i="1"/>
  <c r="AR42" i="1"/>
  <c r="AR12" i="1"/>
  <c r="O260" i="1"/>
  <c r="AR260" i="1"/>
  <c r="AK152" i="1"/>
  <c r="AK52" i="1"/>
  <c r="AH165" i="1"/>
  <c r="AI165" i="1" s="1"/>
  <c r="AK154" i="1"/>
  <c r="AH156" i="1"/>
  <c r="AI156" i="1" s="1"/>
  <c r="AH32" i="1"/>
  <c r="AI32" i="1" s="1"/>
  <c r="AK202" i="1"/>
  <c r="AK18" i="1"/>
  <c r="AK200" i="1"/>
  <c r="AK34" i="1"/>
  <c r="AH44" i="1"/>
  <c r="AI44" i="1" s="1"/>
  <c r="AK110" i="1"/>
  <c r="AH135" i="1"/>
  <c r="AI135" i="1" s="1"/>
  <c r="AH18" i="1"/>
  <c r="AI18" i="1" s="1"/>
  <c r="AK227" i="1"/>
  <c r="AK137" i="1"/>
  <c r="AH137" i="1"/>
  <c r="AI137" i="1" s="1"/>
  <c r="AK223" i="1"/>
  <c r="AH209" i="1"/>
  <c r="AI209" i="1" s="1"/>
  <c r="AH198" i="1"/>
  <c r="AI198" i="1" s="1"/>
  <c r="AK30" i="1"/>
  <c r="AK20" i="1"/>
  <c r="AK193" i="1"/>
  <c r="AK209" i="1"/>
  <c r="AK171" i="1"/>
  <c r="AK169" i="1"/>
  <c r="AK156" i="1"/>
  <c r="AK106" i="1"/>
  <c r="AK123" i="1"/>
  <c r="AK48" i="1"/>
  <c r="AK54" i="1"/>
  <c r="AK44" i="1"/>
  <c r="AK79" i="1"/>
  <c r="AH20" i="1"/>
  <c r="AI20" i="1" s="1"/>
  <c r="AH106" i="1"/>
  <c r="AI106" i="1" s="1"/>
  <c r="AH48" i="1"/>
  <c r="AI48" i="1" s="1"/>
  <c r="AH50" i="1"/>
  <c r="AI50" i="1" s="1"/>
  <c r="AK40" i="1"/>
  <c r="AH79" i="1"/>
  <c r="AI79" i="1" s="1"/>
  <c r="AK10" i="1"/>
  <c r="AL88" i="1"/>
  <c r="AH200" i="1"/>
  <c r="AI200" i="1" s="1"/>
  <c r="AK221" i="1"/>
  <c r="AK24" i="1"/>
  <c r="AH40" i="1"/>
  <c r="AI40" i="1" s="1"/>
  <c r="AH10" i="1"/>
  <c r="AI10" i="1" s="1"/>
  <c r="AK198" i="1"/>
  <c r="AK38" i="1"/>
  <c r="AK102" i="1"/>
  <c r="AK36" i="1"/>
  <c r="AK204" i="1"/>
  <c r="AK56" i="1"/>
  <c r="AK12" i="1"/>
  <c r="AR168" i="1"/>
  <c r="AR189" i="1"/>
  <c r="AK238" i="1"/>
  <c r="AK131" i="1"/>
  <c r="AH154" i="1"/>
  <c r="AI154" i="1" s="1"/>
  <c r="AH110" i="1"/>
  <c r="AI110" i="1" s="1"/>
  <c r="AK14" i="1"/>
  <c r="AK104" i="1"/>
  <c r="AK32" i="1"/>
  <c r="AK135" i="1"/>
  <c r="AK196" i="1"/>
  <c r="AK46" i="1"/>
  <c r="AK77" i="1"/>
  <c r="AK22" i="1"/>
  <c r="AK165" i="1"/>
  <c r="AR199" i="1"/>
  <c r="AL76" i="1"/>
  <c r="AK235" i="1"/>
  <c r="AK15" i="1"/>
  <c r="AL28" i="1"/>
  <c r="AK114" i="1"/>
  <c r="AK113" i="1"/>
  <c r="AK205" i="1"/>
  <c r="AK239" i="1"/>
  <c r="AK168" i="1"/>
  <c r="AH104" i="1"/>
  <c r="AI104" i="1" s="1"/>
  <c r="AH152" i="1"/>
  <c r="AI152" i="1" s="1"/>
  <c r="AH123" i="1"/>
  <c r="AI123" i="1" s="1"/>
  <c r="AH52" i="1"/>
  <c r="AI52" i="1" s="1"/>
  <c r="AL111" i="1"/>
  <c r="AR111" i="1"/>
  <c r="AL116" i="1"/>
  <c r="AK116" i="1"/>
  <c r="AH169" i="1"/>
  <c r="AI169" i="1" s="1"/>
  <c r="AH36" i="1"/>
  <c r="AI36" i="1" s="1"/>
  <c r="AH204" i="1"/>
  <c r="AI204" i="1" s="1"/>
  <c r="AL226" i="1"/>
  <c r="AH202" i="1"/>
  <c r="AI202" i="1" s="1"/>
  <c r="AH34" i="1"/>
  <c r="AI34" i="1" s="1"/>
  <c r="AH223" i="1"/>
  <c r="AI223" i="1" s="1"/>
  <c r="AR60" i="1"/>
  <c r="AL60" i="1"/>
  <c r="AR121" i="1"/>
  <c r="AL121" i="1"/>
  <c r="AL129" i="1"/>
  <c r="AH133" i="1"/>
  <c r="AI133" i="1" s="1"/>
  <c r="AL137" i="1"/>
  <c r="AL200" i="1"/>
  <c r="AL104" i="1"/>
  <c r="AL169" i="1"/>
  <c r="AL154" i="1"/>
  <c r="AL156" i="1"/>
  <c r="AL152" i="1"/>
  <c r="AL36" i="1"/>
  <c r="AL34" i="1"/>
  <c r="AL30" i="1"/>
  <c r="AL32" i="1"/>
  <c r="AL106" i="1"/>
  <c r="AL110" i="1"/>
  <c r="AL123" i="1"/>
  <c r="AL202" i="1"/>
  <c r="AL204" i="1"/>
  <c r="AL223" i="1"/>
  <c r="AL225" i="1"/>
  <c r="AL135" i="1"/>
  <c r="AL48" i="1"/>
  <c r="AL50" i="1"/>
  <c r="AL52" i="1"/>
  <c r="AL54" i="1"/>
  <c r="AL56" i="1"/>
  <c r="AR75" i="1"/>
  <c r="AL75" i="1"/>
  <c r="AR183" i="1"/>
  <c r="AL183" i="1"/>
  <c r="AR58" i="1"/>
  <c r="AL58" i="1"/>
  <c r="AR64" i="1"/>
  <c r="AL64" i="1"/>
  <c r="AR162" i="1"/>
  <c r="AL162" i="1"/>
  <c r="AR186" i="1"/>
  <c r="AL186" i="1"/>
  <c r="AR73" i="1"/>
  <c r="AL73" i="1"/>
  <c r="AR66" i="1"/>
  <c r="AL66" i="1"/>
  <c r="AR160" i="1"/>
  <c r="AL160" i="1"/>
  <c r="AK207" i="1"/>
  <c r="AR195" i="1"/>
  <c r="AL15" i="1"/>
  <c r="AL208" i="1"/>
  <c r="AL260" i="1"/>
  <c r="AE200" i="1"/>
  <c r="AE104" i="1"/>
  <c r="AE154" i="1"/>
  <c r="AE36" i="1"/>
  <c r="AE34" i="1"/>
  <c r="AE32" i="1"/>
  <c r="AE106" i="1"/>
  <c r="AE123" i="1"/>
  <c r="AE202" i="1"/>
  <c r="AE223" i="1"/>
  <c r="AE135" i="1"/>
  <c r="AE52" i="1"/>
  <c r="AK66" i="1"/>
  <c r="AR71" i="1"/>
  <c r="AL71" i="1"/>
  <c r="AK160" i="1"/>
  <c r="AR158" i="1"/>
  <c r="AL158" i="1"/>
  <c r="AR113" i="1"/>
  <c r="AK60" i="1"/>
  <c r="AR62" i="1"/>
  <c r="AL62" i="1"/>
  <c r="AK121" i="1"/>
  <c r="AR119" i="1"/>
  <c r="AL119" i="1"/>
  <c r="AR69" i="1"/>
  <c r="AL69" i="1"/>
  <c r="AR175" i="1"/>
  <c r="AL175" i="1"/>
  <c r="AK186" i="1"/>
  <c r="AR188" i="1"/>
  <c r="AL188" i="1"/>
  <c r="AL221" i="1"/>
  <c r="AL196" i="1"/>
  <c r="AL198" i="1"/>
  <c r="AL42" i="1"/>
  <c r="AL40" i="1"/>
  <c r="AL46" i="1"/>
  <c r="AL38" i="1"/>
  <c r="AL44" i="1"/>
  <c r="AL79" i="1"/>
  <c r="AL77" i="1"/>
  <c r="AL102" i="1"/>
  <c r="AL18" i="1"/>
  <c r="AL20" i="1"/>
  <c r="AL22" i="1"/>
  <c r="AL24" i="1"/>
  <c r="AL10" i="1"/>
  <c r="AL12" i="1"/>
  <c r="AL14" i="1"/>
  <c r="AL16" i="1"/>
  <c r="AL165" i="1"/>
  <c r="AL193" i="1"/>
  <c r="AL209" i="1"/>
  <c r="AL171" i="1"/>
  <c r="AL227" i="1"/>
  <c r="AE198" i="1"/>
  <c r="AE79" i="1"/>
  <c r="AE102" i="1"/>
  <c r="AE18" i="1"/>
  <c r="AE20" i="1"/>
  <c r="AE16" i="1"/>
  <c r="AE209" i="1"/>
  <c r="AH203" i="1"/>
  <c r="AI203" i="1" s="1"/>
  <c r="AR217" i="1"/>
  <c r="AR120" i="1"/>
  <c r="AH120" i="1" s="1"/>
  <c r="AI120" i="1" s="1"/>
  <c r="AR182" i="1"/>
  <c r="AK190" i="1"/>
  <c r="AK19" i="1"/>
  <c r="AL86" i="1"/>
  <c r="AR207" i="1"/>
  <c r="AR167" i="1"/>
  <c r="AK17" i="1"/>
  <c r="AK255" i="1"/>
  <c r="AK139" i="1"/>
  <c r="AK220" i="1"/>
  <c r="AK78" i="1"/>
  <c r="AL237" i="1"/>
  <c r="AL13" i="1"/>
  <c r="AH237" i="1"/>
  <c r="AI237" i="1" s="1"/>
  <c r="AK7" i="1"/>
  <c r="AR59" i="1"/>
  <c r="AH59" i="1" s="1"/>
  <c r="AI59" i="1" s="1"/>
  <c r="AK120" i="1"/>
  <c r="AK182" i="1"/>
  <c r="AK174" i="1"/>
  <c r="AK167" i="1"/>
  <c r="AR41" i="1"/>
  <c r="AH205" i="1"/>
  <c r="AI205" i="1" s="1"/>
  <c r="AL21" i="1"/>
  <c r="AK226" i="1"/>
  <c r="AK28" i="1"/>
  <c r="AL92" i="1"/>
  <c r="AL131" i="1"/>
  <c r="AK129" i="1"/>
  <c r="AL26" i="1"/>
  <c r="AR147" i="1"/>
  <c r="AK161" i="1"/>
  <c r="AR174" i="1"/>
  <c r="AK230" i="1"/>
  <c r="AK214" i="1"/>
  <c r="AR190" i="1"/>
  <c r="AR78" i="1"/>
  <c r="AL236" i="1"/>
  <c r="AK23" i="1"/>
  <c r="AK164" i="1"/>
  <c r="AL150" i="1"/>
  <c r="AK148" i="1"/>
  <c r="AR82" i="1"/>
  <c r="AR67" i="1"/>
  <c r="AR61" i="1"/>
  <c r="AR229" i="1"/>
  <c r="AL148" i="1"/>
  <c r="AK115" i="1"/>
  <c r="AK138" i="1"/>
  <c r="AK250" i="1"/>
  <c r="AK189" i="1"/>
  <c r="AR214" i="1"/>
  <c r="AK195" i="1"/>
  <c r="AL235" i="1"/>
  <c r="AH236" i="1"/>
  <c r="AI236" i="1" s="1"/>
  <c r="AK21" i="1"/>
  <c r="AK94" i="1"/>
  <c r="AK125" i="1"/>
  <c r="AK127" i="1"/>
  <c r="AK229" i="1"/>
  <c r="AR161" i="1"/>
  <c r="AR230" i="1"/>
  <c r="AL90" i="1"/>
  <c r="AL94" i="1"/>
  <c r="AL125" i="1"/>
  <c r="AL127" i="1"/>
  <c r="AK144" i="1"/>
  <c r="AK63" i="1"/>
  <c r="AR254" i="1"/>
  <c r="AR138" i="1"/>
  <c r="AR250" i="1"/>
  <c r="AK240" i="1"/>
  <c r="AK101" i="1"/>
  <c r="AL205" i="1"/>
  <c r="AK237" i="1"/>
  <c r="AL19" i="1"/>
  <c r="AH264" i="1"/>
  <c r="AI264" i="1" s="1"/>
  <c r="AL101" i="1"/>
  <c r="AK153" i="1"/>
  <c r="AK4" i="1"/>
  <c r="AK219" i="1"/>
  <c r="AK243" i="1"/>
  <c r="AK159" i="1"/>
  <c r="AK185" i="1"/>
  <c r="AK210" i="1"/>
  <c r="AK228" i="1"/>
  <c r="AK212" i="1"/>
  <c r="AK170" i="1"/>
  <c r="AL232" i="1"/>
  <c r="AH260" i="1"/>
  <c r="AI260" i="1" s="1"/>
  <c r="AH26" i="1"/>
  <c r="AI26" i="1" s="1"/>
  <c r="AH94" i="1"/>
  <c r="AI94" i="1" s="1"/>
  <c r="AH125" i="1"/>
  <c r="AI125" i="1" s="1"/>
  <c r="AL133" i="1"/>
  <c r="AK96" i="1"/>
  <c r="AK70" i="1"/>
  <c r="AK213" i="1"/>
  <c r="AK39" i="1"/>
  <c r="AR139" i="1"/>
  <c r="AK177" i="1"/>
  <c r="AK178" i="1"/>
  <c r="AK173" i="1"/>
  <c r="AK98" i="1"/>
  <c r="AK57" i="1"/>
  <c r="AR45" i="1"/>
  <c r="AK192" i="1"/>
  <c r="AK206" i="1"/>
  <c r="AL96" i="1"/>
  <c r="AR114" i="1"/>
  <c r="AK27" i="1"/>
  <c r="AK8" i="1"/>
  <c r="AK37" i="1"/>
  <c r="AR176" i="1"/>
  <c r="AK231" i="1"/>
  <c r="AR151" i="1"/>
  <c r="AK35" i="1"/>
  <c r="AK29" i="1"/>
  <c r="AK105" i="1"/>
  <c r="AK215" i="1"/>
  <c r="AK191" i="1"/>
  <c r="AK234" i="1"/>
  <c r="AK216" i="1"/>
  <c r="AR53" i="1"/>
  <c r="AR70" i="1"/>
  <c r="AK68" i="1"/>
  <c r="AK244" i="1"/>
  <c r="AK157" i="1"/>
  <c r="AK187" i="1"/>
  <c r="AK211" i="1"/>
  <c r="AK166" i="1"/>
  <c r="AR213" i="1"/>
  <c r="AK241" i="1"/>
  <c r="AK197" i="1"/>
  <c r="AH21" i="1"/>
  <c r="AI21" i="1" s="1"/>
  <c r="AK9" i="1"/>
  <c r="AK11" i="1"/>
  <c r="AL192" i="1"/>
  <c r="AK146" i="1"/>
  <c r="AK140" i="1"/>
  <c r="AK142" i="1"/>
  <c r="AR112" i="1"/>
  <c r="AR240" i="1"/>
  <c r="AR126" i="1"/>
  <c r="AK53" i="1"/>
  <c r="AK45" i="1"/>
  <c r="AK133" i="1"/>
  <c r="AR258" i="1"/>
  <c r="AK141" i="1"/>
  <c r="AR128" i="1"/>
  <c r="AK254" i="1"/>
  <c r="AR180" i="1"/>
  <c r="AK83" i="1"/>
  <c r="AR4" i="1"/>
  <c r="AK103" i="1"/>
  <c r="AR219" i="1"/>
  <c r="AK59" i="1"/>
  <c r="AR243" i="1"/>
  <c r="AH243" i="1" s="1"/>
  <c r="AI243" i="1" s="1"/>
  <c r="AR159" i="1"/>
  <c r="AR185" i="1"/>
  <c r="AR210" i="1"/>
  <c r="AR228" i="1"/>
  <c r="AR220" i="1"/>
  <c r="AL9" i="1"/>
  <c r="AL146" i="1"/>
  <c r="AL140" i="1"/>
  <c r="AL142" i="1"/>
  <c r="AL144" i="1"/>
  <c r="AR39" i="1"/>
  <c r="AR178" i="1"/>
  <c r="AR57" i="1"/>
  <c r="AR241" i="1"/>
  <c r="AH96" i="1"/>
  <c r="AI96" i="1" s="1"/>
  <c r="AR216" i="1"/>
  <c r="AK47" i="1"/>
  <c r="AR68" i="1"/>
  <c r="AR244" i="1"/>
  <c r="AR157" i="1"/>
  <c r="AR187" i="1"/>
  <c r="AR211" i="1"/>
  <c r="AR166" i="1"/>
  <c r="AR197" i="1"/>
  <c r="AK112" i="1"/>
  <c r="AR116" i="1"/>
  <c r="AR115" i="1"/>
  <c r="AK41" i="1"/>
  <c r="AK43" i="1"/>
  <c r="AK236" i="1"/>
  <c r="AK260" i="1"/>
  <c r="AK150" i="1"/>
  <c r="AK26" i="1"/>
  <c r="AK86" i="1"/>
  <c r="AK88" i="1"/>
  <c r="AK92" i="1"/>
  <c r="AK90" i="1"/>
  <c r="AH28" i="1"/>
  <c r="AI28" i="1" s="1"/>
  <c r="AH248" i="1"/>
  <c r="AI248" i="1" s="1"/>
  <c r="AH226" i="1"/>
  <c r="AI226" i="1" s="1"/>
  <c r="AH9" i="1"/>
  <c r="AI9" i="1" s="1"/>
  <c r="AH224" i="1"/>
  <c r="AI224" i="1" s="1"/>
  <c r="AH97" i="1"/>
  <c r="AI97" i="1" s="1"/>
  <c r="AQ116" i="1"/>
  <c r="AR37" i="1"/>
  <c r="AR239" i="1"/>
  <c r="AR17" i="1"/>
  <c r="AR208" i="1"/>
  <c r="O205" i="1"/>
  <c r="O41" i="1"/>
  <c r="AD21" i="1"/>
  <c r="AE21" i="1" s="1"/>
  <c r="AQ28" i="1"/>
  <c r="O17" i="1"/>
  <c r="O76" i="1"/>
  <c r="O43" i="1"/>
  <c r="AR43" i="1"/>
  <c r="O212" i="1"/>
  <c r="AR212" i="1"/>
  <c r="AH235" i="1"/>
  <c r="AI235" i="1" s="1"/>
  <c r="O237" i="1"/>
  <c r="AD15" i="1"/>
  <c r="AE15" i="1" s="1"/>
  <c r="AP164" i="1"/>
  <c r="AD205" i="1"/>
  <c r="AE205" i="1" s="1"/>
  <c r="AP236" i="1"/>
  <c r="AP239" i="1"/>
  <c r="AR238" i="1"/>
  <c r="AR164" i="1"/>
  <c r="AH192" i="1"/>
  <c r="AI192" i="1" s="1"/>
  <c r="AP208" i="1"/>
  <c r="AR170" i="1"/>
  <c r="AP237" i="1"/>
  <c r="AP9" i="1"/>
  <c r="AP11" i="1"/>
  <c r="AP226" i="1"/>
  <c r="AP206" i="1"/>
  <c r="AP76" i="1"/>
  <c r="AR23" i="1"/>
  <c r="AR11" i="1"/>
  <c r="AR13" i="1"/>
  <c r="AH15" i="1"/>
  <c r="AI15" i="1" s="1"/>
  <c r="AR206" i="1"/>
  <c r="AP28" i="1"/>
  <c r="AR76" i="1"/>
  <c r="AP205" i="1"/>
  <c r="AP17" i="1"/>
  <c r="AP15" i="1"/>
  <c r="AR232" i="1"/>
  <c r="AD28" i="1"/>
  <c r="AE28" i="1" s="1"/>
  <c r="O252" i="1"/>
  <c r="AQ252" i="1"/>
  <c r="AL80" i="1"/>
  <c r="AK80" i="1"/>
  <c r="AR80" i="1"/>
  <c r="AH184" i="1"/>
  <c r="AI184" i="1" s="1"/>
  <c r="AL256" i="1"/>
  <c r="AK256" i="1"/>
  <c r="AR256" i="1"/>
  <c r="AL143" i="1"/>
  <c r="AK143" i="1"/>
  <c r="AR143" i="1"/>
  <c r="AL84" i="1"/>
  <c r="AK84" i="1"/>
  <c r="AE84" i="1"/>
  <c r="AL247" i="1"/>
  <c r="AK247" i="1"/>
  <c r="AR247" i="1"/>
  <c r="AL246" i="1"/>
  <c r="AR246" i="1"/>
  <c r="AK246" i="1"/>
  <c r="AH84" i="1"/>
  <c r="AI84" i="1" s="1"/>
  <c r="AL136" i="1"/>
  <c r="AK136" i="1"/>
  <c r="AL155" i="1"/>
  <c r="AK155" i="1"/>
  <c r="AR155" i="1"/>
  <c r="AH33" i="1"/>
  <c r="AI33" i="1" s="1"/>
  <c r="AH163" i="1"/>
  <c r="AI163" i="1" s="1"/>
  <c r="AR124" i="1"/>
  <c r="AL130" i="1"/>
  <c r="AR130" i="1"/>
  <c r="AK132" i="1"/>
  <c r="AR132" i="1"/>
  <c r="AR262" i="1"/>
  <c r="AL97" i="1"/>
  <c r="AK97" i="1"/>
  <c r="AE97" i="1"/>
  <c r="AL108" i="1"/>
  <c r="AK108" i="1"/>
  <c r="AL233" i="1"/>
  <c r="AK233" i="1"/>
  <c r="AR233" i="1"/>
  <c r="AH257" i="1"/>
  <c r="AI257" i="1" s="1"/>
  <c r="AH136" i="1"/>
  <c r="AI136" i="1" s="1"/>
  <c r="AL257" i="1"/>
  <c r="AK257" i="1"/>
  <c r="AL184" i="1"/>
  <c r="AK184" i="1"/>
  <c r="AL33" i="1"/>
  <c r="AK33" i="1"/>
  <c r="AL163" i="1"/>
  <c r="AK163" i="1"/>
  <c r="AR108" i="1"/>
  <c r="AH5" i="1"/>
  <c r="AI5" i="1" s="1"/>
  <c r="AL6" i="1"/>
  <c r="AK6" i="1"/>
  <c r="AK253" i="1"/>
  <c r="AR100" i="1"/>
  <c r="AR31" i="1"/>
  <c r="AR122" i="1"/>
  <c r="AH201" i="1"/>
  <c r="AI201" i="1" s="1"/>
  <c r="AH222" i="1"/>
  <c r="AI222" i="1" s="1"/>
  <c r="AL242" i="1"/>
  <c r="AR242" i="1"/>
  <c r="AK242" i="1"/>
  <c r="AR263" i="1"/>
  <c r="AK145" i="1"/>
  <c r="AR255" i="1"/>
  <c r="AK147" i="1"/>
  <c r="AR141" i="1"/>
  <c r="AK176" i="1"/>
  <c r="AR83" i="1"/>
  <c r="AK67" i="1"/>
  <c r="AR231" i="1"/>
  <c r="AK199" i="1"/>
  <c r="AR153" i="1"/>
  <c r="AK117" i="1"/>
  <c r="AR35" i="1"/>
  <c r="AK109" i="1"/>
  <c r="AR215" i="1"/>
  <c r="AK249" i="1"/>
  <c r="AL248" i="1"/>
  <c r="AK248" i="1"/>
  <c r="AL203" i="1"/>
  <c r="AK203" i="1"/>
  <c r="AL224" i="1"/>
  <c r="AK224" i="1"/>
  <c r="AL55" i="1"/>
  <c r="AR55" i="1"/>
  <c r="AK55" i="1"/>
  <c r="AL118" i="1"/>
  <c r="AR118" i="1"/>
  <c r="AK118" i="1"/>
  <c r="AL218" i="1"/>
  <c r="AR218" i="1"/>
  <c r="AK218" i="1"/>
  <c r="AK95" i="1"/>
  <c r="AK179" i="1"/>
  <c r="AK81" i="1"/>
  <c r="AK172" i="1"/>
  <c r="AK99" i="1"/>
  <c r="AR98" i="1"/>
  <c r="AK107" i="1"/>
  <c r="AR105" i="1"/>
  <c r="AK181" i="1"/>
  <c r="AR234" i="1"/>
  <c r="AL49" i="1"/>
  <c r="AK49" i="1"/>
  <c r="AE49" i="1"/>
  <c r="AL72" i="1"/>
  <c r="AR72" i="1"/>
  <c r="AK72" i="1"/>
  <c r="AL74" i="1"/>
  <c r="AR74" i="1"/>
  <c r="AK74" i="1"/>
  <c r="AR261" i="1"/>
  <c r="AR253" i="1"/>
  <c r="AK258" i="1"/>
  <c r="AR145" i="1"/>
  <c r="AK180" i="1"/>
  <c r="AR177" i="1"/>
  <c r="AK82" i="1"/>
  <c r="AR27" i="1"/>
  <c r="AK111" i="1"/>
  <c r="AR103" i="1"/>
  <c r="AK151" i="1"/>
  <c r="AR173" i="1"/>
  <c r="AR29" i="1"/>
  <c r="AR191" i="1"/>
  <c r="AL134" i="1"/>
  <c r="AK134" i="1"/>
  <c r="AL245" i="1"/>
  <c r="AR245" i="1"/>
  <c r="AK245" i="1"/>
  <c r="AR117" i="1"/>
  <c r="AR109" i="1"/>
  <c r="AR249" i="1"/>
  <c r="AR6" i="1"/>
  <c r="AL65" i="1"/>
  <c r="AR65" i="1"/>
  <c r="AK65" i="1"/>
  <c r="AR95" i="1"/>
  <c r="AR179" i="1"/>
  <c r="AR81" i="1"/>
  <c r="AR172" i="1"/>
  <c r="AK100" i="1"/>
  <c r="AR99" i="1"/>
  <c r="AK31" i="1"/>
  <c r="AR107" i="1"/>
  <c r="AK122" i="1"/>
  <c r="AR181" i="1"/>
  <c r="AL201" i="1"/>
  <c r="AK201" i="1"/>
  <c r="AL222" i="1"/>
  <c r="AK222" i="1"/>
  <c r="AH134" i="1"/>
  <c r="AI134" i="1" s="1"/>
  <c r="AL5" i="1"/>
  <c r="AK5" i="1"/>
  <c r="AL194" i="1"/>
  <c r="AR194" i="1"/>
  <c r="AK194" i="1"/>
  <c r="AR8" i="1"/>
  <c r="AH49" i="1"/>
  <c r="AI49" i="1" s="1"/>
  <c r="AK51" i="1"/>
  <c r="AK217" i="1"/>
  <c r="AR47" i="1"/>
  <c r="AK61" i="1"/>
  <c r="AR63" i="1"/>
  <c r="AR7" i="1"/>
  <c r="AH101" i="1"/>
  <c r="AI101" i="1" s="1"/>
  <c r="AH19" i="1"/>
  <c r="AI19" i="1" s="1"/>
  <c r="AR51" i="1"/>
  <c r="AH150" i="1"/>
  <c r="AI150" i="1" s="1"/>
  <c r="AH127" i="1"/>
  <c r="AI127" i="1" s="1"/>
  <c r="AH86" i="1"/>
  <c r="AI86" i="1" s="1"/>
  <c r="AH131" i="1"/>
  <c r="AI131" i="1" s="1"/>
  <c r="AH148" i="1"/>
  <c r="AI148" i="1" s="1"/>
  <c r="AH88" i="1"/>
  <c r="AI88" i="1" s="1"/>
  <c r="AH146" i="1"/>
  <c r="AI146" i="1" s="1"/>
  <c r="AH92" i="1"/>
  <c r="AI92" i="1" s="1"/>
  <c r="AH129" i="1"/>
  <c r="AI129" i="1" s="1"/>
  <c r="AH140" i="1"/>
  <c r="AI140" i="1" s="1"/>
  <c r="AH90" i="1"/>
  <c r="AI90" i="1" s="1"/>
  <c r="AH142" i="1"/>
  <c r="AI142" i="1" s="1"/>
  <c r="AH144" i="1"/>
  <c r="AI144" i="1" s="1"/>
  <c r="AE235" i="1"/>
  <c r="AE237" i="1"/>
  <c r="AE19" i="1"/>
  <c r="AE192" i="1"/>
  <c r="AE150" i="1"/>
  <c r="AE86" i="1"/>
  <c r="AE90" i="1"/>
  <c r="AE94" i="1"/>
  <c r="AE125" i="1"/>
  <c r="AE127" i="1"/>
  <c r="AE131" i="1"/>
  <c r="AE129" i="1"/>
  <c r="AE133" i="1"/>
  <c r="AE96" i="1"/>
  <c r="AE148" i="1"/>
  <c r="AE146" i="1"/>
  <c r="AE142" i="1"/>
  <c r="AE144" i="1"/>
  <c r="AK261" i="1"/>
  <c r="AK124" i="1"/>
  <c r="AK126" i="1"/>
  <c r="AL124" i="1"/>
  <c r="AK262" i="1"/>
  <c r="AL262" i="1"/>
  <c r="AL132" i="1"/>
  <c r="AK130" i="1"/>
  <c r="AL128" i="1"/>
  <c r="AD264" i="1"/>
  <c r="AE264" i="1" s="1"/>
  <c r="AK264" i="1"/>
  <c r="AK263" i="1"/>
  <c r="AL264" i="1"/>
  <c r="BP204" i="1" l="1"/>
  <c r="BP198" i="1"/>
  <c r="BP223" i="1"/>
  <c r="BN223" i="1"/>
  <c r="AH225" i="1"/>
  <c r="AI225" i="1" s="1"/>
  <c r="BN225" i="1"/>
  <c r="AD194" i="1"/>
  <c r="AE194" i="1" s="1"/>
  <c r="BN194" i="1"/>
  <c r="BP194" i="1"/>
  <c r="AD162" i="1"/>
  <c r="AE162" i="1" s="1"/>
  <c r="BN162" i="1"/>
  <c r="BP162" i="1"/>
  <c r="AD46" i="1"/>
  <c r="AE46" i="1" s="1"/>
  <c r="BP46" i="1"/>
  <c r="BN46" i="1"/>
  <c r="AD143" i="1"/>
  <c r="AE143" i="1" s="1"/>
  <c r="BP143" i="1"/>
  <c r="BN143" i="1"/>
  <c r="AD51" i="1"/>
  <c r="AE51" i="1" s="1"/>
  <c r="BN51" i="1"/>
  <c r="BP51" i="1"/>
  <c r="AD107" i="1"/>
  <c r="AE107" i="1" s="1"/>
  <c r="BN107" i="1"/>
  <c r="BP107" i="1"/>
  <c r="AD245" i="1"/>
  <c r="AE245" i="1" s="1"/>
  <c r="BN245" i="1"/>
  <c r="BP245" i="1"/>
  <c r="AD103" i="1"/>
  <c r="AE103" i="1" s="1"/>
  <c r="BP103" i="1"/>
  <c r="BN103" i="1"/>
  <c r="AD253" i="1"/>
  <c r="AE253" i="1" s="1"/>
  <c r="BN253" i="1"/>
  <c r="BP253" i="1"/>
  <c r="AD108" i="1"/>
  <c r="AE108" i="1" s="1"/>
  <c r="BN108" i="1"/>
  <c r="BP108" i="1"/>
  <c r="AH132" i="1"/>
  <c r="AI132" i="1" s="1"/>
  <c r="BN132" i="1"/>
  <c r="BP132" i="1"/>
  <c r="AD76" i="1"/>
  <c r="AE76" i="1" s="1"/>
  <c r="BN76" i="1"/>
  <c r="BP76" i="1"/>
  <c r="AD164" i="1"/>
  <c r="AE164" i="1" s="1"/>
  <c r="BN164" i="1"/>
  <c r="BP164" i="1"/>
  <c r="AD115" i="1"/>
  <c r="AE115" i="1" s="1"/>
  <c r="BN115" i="1"/>
  <c r="BP115" i="1"/>
  <c r="AD244" i="1"/>
  <c r="AE244" i="1" s="1"/>
  <c r="BN244" i="1"/>
  <c r="BP244" i="1"/>
  <c r="AD39" i="1"/>
  <c r="AE39" i="1" s="1"/>
  <c r="BP39" i="1"/>
  <c r="BN39" i="1"/>
  <c r="AD210" i="1"/>
  <c r="AE210" i="1" s="1"/>
  <c r="BN210" i="1"/>
  <c r="BP210" i="1"/>
  <c r="AD217" i="1"/>
  <c r="AE217" i="1" s="1"/>
  <c r="BP217" i="1"/>
  <c r="BN217" i="1"/>
  <c r="AD62" i="1"/>
  <c r="AE62" i="1" s="1"/>
  <c r="BP62" i="1"/>
  <c r="BN62" i="1"/>
  <c r="AD24" i="1"/>
  <c r="AE24" i="1" s="1"/>
  <c r="BP24" i="1"/>
  <c r="BN24" i="1"/>
  <c r="AD81" i="1"/>
  <c r="AE81" i="1" s="1"/>
  <c r="BP81" i="1"/>
  <c r="BN81" i="1"/>
  <c r="AD29" i="1"/>
  <c r="AE29" i="1" s="1"/>
  <c r="BN29" i="1"/>
  <c r="BP29" i="1"/>
  <c r="AD105" i="1"/>
  <c r="AE105" i="1" s="1"/>
  <c r="BP105" i="1"/>
  <c r="BN105" i="1"/>
  <c r="AD215" i="1"/>
  <c r="AE215" i="1" s="1"/>
  <c r="BP215" i="1"/>
  <c r="BN215" i="1"/>
  <c r="AD83" i="1"/>
  <c r="AE83" i="1" s="1"/>
  <c r="BN83" i="1"/>
  <c r="BP83" i="1"/>
  <c r="AD242" i="1"/>
  <c r="AE242" i="1" s="1"/>
  <c r="BN242" i="1"/>
  <c r="BP242" i="1"/>
  <c r="AD11" i="1"/>
  <c r="AE11" i="1" s="1"/>
  <c r="BN11" i="1"/>
  <c r="BP11" i="1"/>
  <c r="AD239" i="1"/>
  <c r="AE239" i="1" s="1"/>
  <c r="BP239" i="1"/>
  <c r="BN239" i="1"/>
  <c r="AD219" i="1"/>
  <c r="AE219" i="1" s="1"/>
  <c r="BN219" i="1"/>
  <c r="BP219" i="1"/>
  <c r="AD53" i="1"/>
  <c r="AE53" i="1" s="1"/>
  <c r="BN53" i="1"/>
  <c r="BP53" i="1"/>
  <c r="AD139" i="1"/>
  <c r="AE139" i="1" s="1"/>
  <c r="BN139" i="1"/>
  <c r="BP139" i="1"/>
  <c r="AD160" i="1"/>
  <c r="AE160" i="1" s="1"/>
  <c r="BP160" i="1"/>
  <c r="BN160" i="1"/>
  <c r="AD179" i="1"/>
  <c r="AE179" i="1" s="1"/>
  <c r="BN179" i="1"/>
  <c r="BP179" i="1"/>
  <c r="AD80" i="1"/>
  <c r="AE80" i="1" s="1"/>
  <c r="BP80" i="1"/>
  <c r="BN80" i="1"/>
  <c r="AD57" i="1"/>
  <c r="AE57" i="1" s="1"/>
  <c r="BP57" i="1"/>
  <c r="BN57" i="1"/>
  <c r="AD56" i="1"/>
  <c r="AE56" i="1" s="1"/>
  <c r="BP56" i="1"/>
  <c r="BN56" i="1"/>
  <c r="AD98" i="1"/>
  <c r="AE98" i="1" s="1"/>
  <c r="BN98" i="1"/>
  <c r="BP98" i="1"/>
  <c r="AD262" i="1"/>
  <c r="AE262" i="1" s="1"/>
  <c r="BP262" i="1"/>
  <c r="BN262" i="1"/>
  <c r="AD157" i="1"/>
  <c r="AE157" i="1" s="1"/>
  <c r="BN157" i="1"/>
  <c r="BP157" i="1"/>
  <c r="AD66" i="1"/>
  <c r="AE66" i="1" s="1"/>
  <c r="BN66" i="1"/>
  <c r="BP66" i="1"/>
  <c r="AD14" i="1"/>
  <c r="AE14" i="1" s="1"/>
  <c r="BP14" i="1"/>
  <c r="BN14" i="1"/>
  <c r="AD65" i="1"/>
  <c r="AE65" i="1" s="1"/>
  <c r="BP65" i="1"/>
  <c r="BN65" i="1"/>
  <c r="AH261" i="1"/>
  <c r="AI261" i="1" s="1"/>
  <c r="BN261" i="1"/>
  <c r="BP261" i="1"/>
  <c r="AD118" i="1"/>
  <c r="AE118" i="1" s="1"/>
  <c r="BP118" i="1"/>
  <c r="BN118" i="1"/>
  <c r="AD153" i="1"/>
  <c r="AE153" i="1" s="1"/>
  <c r="BP153" i="1"/>
  <c r="BN153" i="1"/>
  <c r="AD255" i="1"/>
  <c r="AE255" i="1" s="1"/>
  <c r="BP255" i="1"/>
  <c r="BN255" i="1"/>
  <c r="AD122" i="1"/>
  <c r="AE122" i="1" s="1"/>
  <c r="BN122" i="1"/>
  <c r="BP122" i="1"/>
  <c r="AD247" i="1"/>
  <c r="AE247" i="1" s="1"/>
  <c r="BP247" i="1"/>
  <c r="BN247" i="1"/>
  <c r="AD238" i="1"/>
  <c r="AE238" i="1" s="1"/>
  <c r="BP238" i="1"/>
  <c r="BN238" i="1"/>
  <c r="AD212" i="1"/>
  <c r="AE212" i="1" s="1"/>
  <c r="BN212" i="1"/>
  <c r="BP212" i="1"/>
  <c r="AD116" i="1"/>
  <c r="AE116" i="1" s="1"/>
  <c r="BN116" i="1"/>
  <c r="BP116" i="1"/>
  <c r="AD68" i="1"/>
  <c r="AE68" i="1" s="1"/>
  <c r="BN68" i="1"/>
  <c r="BP68" i="1"/>
  <c r="AD185" i="1"/>
  <c r="AE185" i="1" s="1"/>
  <c r="BP185" i="1"/>
  <c r="BN185" i="1"/>
  <c r="AD180" i="1"/>
  <c r="AE180" i="1" s="1"/>
  <c r="BN180" i="1"/>
  <c r="BP180" i="1"/>
  <c r="AH126" i="1"/>
  <c r="AI126" i="1" s="1"/>
  <c r="BP126" i="1"/>
  <c r="BN126" i="1"/>
  <c r="AD250" i="1"/>
  <c r="AE250" i="1" s="1"/>
  <c r="BN250" i="1"/>
  <c r="BP250" i="1"/>
  <c r="AD147" i="1"/>
  <c r="AE147" i="1" s="1"/>
  <c r="BN147" i="1"/>
  <c r="BP147" i="1"/>
  <c r="AD167" i="1"/>
  <c r="AE167" i="1" s="1"/>
  <c r="BP167" i="1"/>
  <c r="BN167" i="1"/>
  <c r="AD175" i="1"/>
  <c r="AE175" i="1" s="1"/>
  <c r="BP175" i="1"/>
  <c r="BN175" i="1"/>
  <c r="AD73" i="1"/>
  <c r="AE73" i="1" s="1"/>
  <c r="BP73" i="1"/>
  <c r="BN73" i="1"/>
  <c r="AD58" i="1"/>
  <c r="AE58" i="1" s="1"/>
  <c r="BN58" i="1"/>
  <c r="BP58" i="1"/>
  <c r="AD121" i="1"/>
  <c r="AE121" i="1" s="1"/>
  <c r="BP121" i="1"/>
  <c r="BN121" i="1"/>
  <c r="AD77" i="1"/>
  <c r="AE77" i="1" s="1"/>
  <c r="BN77" i="1"/>
  <c r="BP77" i="1"/>
  <c r="AD241" i="1"/>
  <c r="AE241" i="1" s="1"/>
  <c r="BP241" i="1"/>
  <c r="BN241" i="1"/>
  <c r="AD213" i="1"/>
  <c r="AE213" i="1" s="1"/>
  <c r="BN213" i="1"/>
  <c r="BP213" i="1"/>
  <c r="AD75" i="1"/>
  <c r="AE75" i="1" s="1"/>
  <c r="BN75" i="1"/>
  <c r="BP75" i="1"/>
  <c r="AD111" i="1"/>
  <c r="AE111" i="1" s="1"/>
  <c r="BP111" i="1"/>
  <c r="BN111" i="1"/>
  <c r="AD181" i="1"/>
  <c r="AE181" i="1" s="1"/>
  <c r="BN181" i="1"/>
  <c r="BP181" i="1"/>
  <c r="AD173" i="1"/>
  <c r="AE173" i="1" s="1"/>
  <c r="BN173" i="1"/>
  <c r="BP173" i="1"/>
  <c r="AD72" i="1"/>
  <c r="AE72" i="1" s="1"/>
  <c r="BP72" i="1"/>
  <c r="BN72" i="1"/>
  <c r="AH220" i="1"/>
  <c r="AI220" i="1" s="1"/>
  <c r="BN220" i="1"/>
  <c r="BP220" i="1"/>
  <c r="AD221" i="1"/>
  <c r="AE221" i="1" s="1"/>
  <c r="BN221" i="1"/>
  <c r="BP221" i="1"/>
  <c r="AD155" i="1"/>
  <c r="AE155" i="1" s="1"/>
  <c r="BN155" i="1"/>
  <c r="BP155" i="1"/>
  <c r="AD178" i="1"/>
  <c r="AE178" i="1" s="1"/>
  <c r="BN178" i="1"/>
  <c r="BP178" i="1"/>
  <c r="AD59" i="1"/>
  <c r="AE59" i="1" s="1"/>
  <c r="BN59" i="1"/>
  <c r="BP59" i="1"/>
  <c r="BP71" i="1"/>
  <c r="BN71" i="1"/>
  <c r="AD99" i="1"/>
  <c r="AE99" i="1" s="1"/>
  <c r="BN99" i="1"/>
  <c r="BP99" i="1"/>
  <c r="AD27" i="1"/>
  <c r="AE27" i="1" s="1"/>
  <c r="BN27" i="1"/>
  <c r="BP27" i="1"/>
  <c r="AD31" i="1"/>
  <c r="AE31" i="1" s="1"/>
  <c r="BP31" i="1"/>
  <c r="BN31" i="1"/>
  <c r="AH130" i="1"/>
  <c r="AI130" i="1" s="1"/>
  <c r="BN130" i="1"/>
  <c r="BP130" i="1"/>
  <c r="AD256" i="1"/>
  <c r="AE256" i="1" s="1"/>
  <c r="BP256" i="1"/>
  <c r="BN256" i="1"/>
  <c r="AD206" i="1"/>
  <c r="AE206" i="1" s="1"/>
  <c r="BP206" i="1"/>
  <c r="BN206" i="1"/>
  <c r="AD159" i="1"/>
  <c r="AE159" i="1" s="1"/>
  <c r="BP159" i="1"/>
  <c r="BN159" i="1"/>
  <c r="AD240" i="1"/>
  <c r="AE240" i="1" s="1"/>
  <c r="BP240" i="1"/>
  <c r="BN240" i="1"/>
  <c r="AD138" i="1"/>
  <c r="AE138" i="1" s="1"/>
  <c r="BN138" i="1"/>
  <c r="BP138" i="1"/>
  <c r="AD230" i="1"/>
  <c r="AE230" i="1" s="1"/>
  <c r="BP230" i="1"/>
  <c r="BN230" i="1"/>
  <c r="AD229" i="1"/>
  <c r="AE229" i="1" s="1"/>
  <c r="BN229" i="1"/>
  <c r="BP229" i="1"/>
  <c r="AD41" i="1"/>
  <c r="AE41" i="1" s="1"/>
  <c r="BP41" i="1"/>
  <c r="BN41" i="1"/>
  <c r="AD207" i="1"/>
  <c r="AE207" i="1" s="1"/>
  <c r="BP207" i="1"/>
  <c r="BN207" i="1"/>
  <c r="AD113" i="1"/>
  <c r="AE113" i="1" s="1"/>
  <c r="BP113" i="1"/>
  <c r="BN113" i="1"/>
  <c r="AD195" i="1"/>
  <c r="AE195" i="1" s="1"/>
  <c r="BN195" i="1"/>
  <c r="BP195" i="1"/>
  <c r="AD189" i="1"/>
  <c r="AE189" i="1" s="1"/>
  <c r="BN189" i="1"/>
  <c r="BP189" i="1"/>
  <c r="AD260" i="1"/>
  <c r="AE260" i="1" s="1"/>
  <c r="BN260" i="1"/>
  <c r="BP260" i="1"/>
  <c r="AD171" i="1"/>
  <c r="AE171" i="1" s="1"/>
  <c r="BN171" i="1"/>
  <c r="BP171" i="1"/>
  <c r="AD109" i="1"/>
  <c r="AE109" i="1" s="1"/>
  <c r="BN109" i="1"/>
  <c r="BP109" i="1"/>
  <c r="AD211" i="1"/>
  <c r="AE211" i="1" s="1"/>
  <c r="BN211" i="1"/>
  <c r="BP211" i="1"/>
  <c r="AD151" i="1"/>
  <c r="AE151" i="1" s="1"/>
  <c r="BP151" i="1"/>
  <c r="BN151" i="1"/>
  <c r="AD82" i="1"/>
  <c r="AE82" i="1" s="1"/>
  <c r="BN82" i="1"/>
  <c r="BP82" i="1"/>
  <c r="AD119" i="1"/>
  <c r="AE119" i="1" s="1"/>
  <c r="BP119" i="1"/>
  <c r="BN119" i="1"/>
  <c r="AD42" i="1"/>
  <c r="AE42" i="1" s="1"/>
  <c r="BN42" i="1"/>
  <c r="BP42" i="1"/>
  <c r="AD117" i="1"/>
  <c r="AE117" i="1" s="1"/>
  <c r="BN117" i="1"/>
  <c r="BP117" i="1"/>
  <c r="AD145" i="1"/>
  <c r="AE145" i="1" s="1"/>
  <c r="BP145" i="1"/>
  <c r="BN145" i="1"/>
  <c r="AD218" i="1"/>
  <c r="AE218" i="1" s="1"/>
  <c r="BN218" i="1"/>
  <c r="BP218" i="1"/>
  <c r="AD23" i="1"/>
  <c r="AE23" i="1" s="1"/>
  <c r="BP23" i="1"/>
  <c r="BN23" i="1"/>
  <c r="AD37" i="1"/>
  <c r="AE37" i="1" s="1"/>
  <c r="BN37" i="1"/>
  <c r="BP37" i="1"/>
  <c r="AD187" i="1"/>
  <c r="AE187" i="1" s="1"/>
  <c r="BN187" i="1"/>
  <c r="BP187" i="1"/>
  <c r="AD47" i="1"/>
  <c r="AE47" i="1" s="1"/>
  <c r="BP47" i="1"/>
  <c r="BN47" i="1"/>
  <c r="AD141" i="1"/>
  <c r="AE141" i="1" s="1"/>
  <c r="BN141" i="1"/>
  <c r="BP141" i="1"/>
  <c r="AD246" i="1"/>
  <c r="AE246" i="1" s="1"/>
  <c r="BP246" i="1"/>
  <c r="BN246" i="1"/>
  <c r="AD228" i="1"/>
  <c r="AE228" i="1" s="1"/>
  <c r="BN228" i="1"/>
  <c r="BP228" i="1"/>
  <c r="AD176" i="1"/>
  <c r="AE176" i="1" s="1"/>
  <c r="BP176" i="1"/>
  <c r="BN176" i="1"/>
  <c r="AD174" i="1"/>
  <c r="AE174" i="1" s="1"/>
  <c r="BP174" i="1"/>
  <c r="BN174" i="1"/>
  <c r="AD120" i="1"/>
  <c r="AE120" i="1" s="1"/>
  <c r="BP120" i="1"/>
  <c r="BN120" i="1"/>
  <c r="AD64" i="1"/>
  <c r="AE64" i="1" s="1"/>
  <c r="BP64" i="1"/>
  <c r="BN64" i="1"/>
  <c r="AD7" i="1"/>
  <c r="AE7" i="1" s="1"/>
  <c r="BP7" i="1"/>
  <c r="BN7" i="1"/>
  <c r="AD8" i="1"/>
  <c r="AE8" i="1" s="1"/>
  <c r="BP8" i="1"/>
  <c r="BN8" i="1"/>
  <c r="AD6" i="1"/>
  <c r="AE6" i="1" s="1"/>
  <c r="BP6" i="1"/>
  <c r="BN6" i="1"/>
  <c r="AD74" i="1"/>
  <c r="AE74" i="1" s="1"/>
  <c r="BN74" i="1"/>
  <c r="BP74" i="1"/>
  <c r="AD234" i="1"/>
  <c r="AE234" i="1" s="1"/>
  <c r="BN234" i="1"/>
  <c r="BP234" i="1"/>
  <c r="AD231" i="1"/>
  <c r="AE231" i="1" s="1"/>
  <c r="BP231" i="1"/>
  <c r="BN231" i="1"/>
  <c r="AH263" i="1"/>
  <c r="AI263" i="1" s="1"/>
  <c r="BP263" i="1"/>
  <c r="BN263" i="1"/>
  <c r="AD100" i="1"/>
  <c r="AE100" i="1" s="1"/>
  <c r="BN100" i="1"/>
  <c r="BP100" i="1"/>
  <c r="AD43" i="1"/>
  <c r="AE43" i="1" s="1"/>
  <c r="BN43" i="1"/>
  <c r="BP43" i="1"/>
  <c r="AD208" i="1"/>
  <c r="AE208" i="1" s="1"/>
  <c r="BP208" i="1"/>
  <c r="BN208" i="1"/>
  <c r="AD197" i="1"/>
  <c r="AE197" i="1" s="1"/>
  <c r="BN197" i="1"/>
  <c r="BP197" i="1"/>
  <c r="AD216" i="1"/>
  <c r="AE216" i="1" s="1"/>
  <c r="BP216" i="1"/>
  <c r="BN216" i="1"/>
  <c r="AD243" i="1"/>
  <c r="AE243" i="1" s="1"/>
  <c r="BN243" i="1"/>
  <c r="BP243" i="1"/>
  <c r="AH128" i="1"/>
  <c r="AI128" i="1" s="1"/>
  <c r="BP128" i="1"/>
  <c r="BN128" i="1"/>
  <c r="AD112" i="1"/>
  <c r="AE112" i="1" s="1"/>
  <c r="BP112" i="1"/>
  <c r="BN112" i="1"/>
  <c r="AD114" i="1"/>
  <c r="AE114" i="1" s="1"/>
  <c r="BN114" i="1"/>
  <c r="BP114" i="1"/>
  <c r="AD254" i="1"/>
  <c r="AE254" i="1" s="1"/>
  <c r="BP254" i="1"/>
  <c r="BN254" i="1"/>
  <c r="AD161" i="1"/>
  <c r="AE161" i="1" s="1"/>
  <c r="BP161" i="1"/>
  <c r="BN161" i="1"/>
  <c r="AD61" i="1"/>
  <c r="AE61" i="1" s="1"/>
  <c r="BN61" i="1"/>
  <c r="BP61" i="1"/>
  <c r="AD78" i="1"/>
  <c r="AE78" i="1" s="1"/>
  <c r="BP78" i="1"/>
  <c r="BN78" i="1"/>
  <c r="AD69" i="1"/>
  <c r="AE69" i="1" s="1"/>
  <c r="BN69" i="1"/>
  <c r="BP69" i="1"/>
  <c r="AD186" i="1"/>
  <c r="AE186" i="1" s="1"/>
  <c r="BN186" i="1"/>
  <c r="BP186" i="1"/>
  <c r="AD183" i="1"/>
  <c r="AE183" i="1" s="1"/>
  <c r="BP183" i="1"/>
  <c r="BN183" i="1"/>
  <c r="AD60" i="1"/>
  <c r="AE60" i="1" s="1"/>
  <c r="BN60" i="1"/>
  <c r="BP60" i="1"/>
  <c r="AD168" i="1"/>
  <c r="AE168" i="1" s="1"/>
  <c r="BP168" i="1"/>
  <c r="BN168" i="1"/>
  <c r="AD193" i="1"/>
  <c r="AE193" i="1" s="1"/>
  <c r="BP193" i="1"/>
  <c r="BN193" i="1"/>
  <c r="AD38" i="1"/>
  <c r="AE38" i="1" s="1"/>
  <c r="BP38" i="1"/>
  <c r="BN38" i="1"/>
  <c r="AD54" i="1"/>
  <c r="AE54" i="1" s="1"/>
  <c r="BP54" i="1"/>
  <c r="BN54" i="1"/>
  <c r="AD170" i="1"/>
  <c r="AE170" i="1" s="1"/>
  <c r="BN170" i="1"/>
  <c r="BP170" i="1"/>
  <c r="AD258" i="1"/>
  <c r="AE258" i="1" s="1"/>
  <c r="BN258" i="1"/>
  <c r="BP258" i="1"/>
  <c r="AD182" i="1"/>
  <c r="AE182" i="1" s="1"/>
  <c r="BP182" i="1"/>
  <c r="BN182" i="1"/>
  <c r="AD188" i="1"/>
  <c r="AE188" i="1" s="1"/>
  <c r="BN188" i="1"/>
  <c r="BP188" i="1"/>
  <c r="AD95" i="1"/>
  <c r="AE95" i="1" s="1"/>
  <c r="BP95" i="1"/>
  <c r="BN95" i="1"/>
  <c r="AD35" i="1"/>
  <c r="AE35" i="1" s="1"/>
  <c r="BN35" i="1"/>
  <c r="BP35" i="1"/>
  <c r="AD233" i="1"/>
  <c r="AE233" i="1" s="1"/>
  <c r="BP233" i="1"/>
  <c r="BN233" i="1"/>
  <c r="AD4" i="1"/>
  <c r="AE4" i="1" s="1"/>
  <c r="BP4" i="1"/>
  <c r="BN4" i="1"/>
  <c r="AD45" i="1"/>
  <c r="AE45" i="1" s="1"/>
  <c r="BN45" i="1"/>
  <c r="BP45" i="1"/>
  <c r="AD63" i="1"/>
  <c r="AE63" i="1" s="1"/>
  <c r="BP63" i="1"/>
  <c r="BN63" i="1"/>
  <c r="AD172" i="1"/>
  <c r="AE172" i="1" s="1"/>
  <c r="BN172" i="1"/>
  <c r="BP172" i="1"/>
  <c r="AD249" i="1"/>
  <c r="AE249" i="1" s="1"/>
  <c r="BP249" i="1"/>
  <c r="BN249" i="1"/>
  <c r="AD191" i="1"/>
  <c r="AE191" i="1" s="1"/>
  <c r="BP191" i="1"/>
  <c r="BN191" i="1"/>
  <c r="AD177" i="1"/>
  <c r="AE177" i="1" s="1"/>
  <c r="BP177" i="1"/>
  <c r="BN177" i="1"/>
  <c r="AD55" i="1"/>
  <c r="AE55" i="1" s="1"/>
  <c r="BP55" i="1"/>
  <c r="BN55" i="1"/>
  <c r="AD124" i="1"/>
  <c r="AE124" i="1" s="1"/>
  <c r="BN124" i="1"/>
  <c r="BP124" i="1"/>
  <c r="AD232" i="1"/>
  <c r="AE232" i="1" s="1"/>
  <c r="BP232" i="1"/>
  <c r="BN232" i="1"/>
  <c r="AD13" i="1"/>
  <c r="AE13" i="1" s="1"/>
  <c r="BN13" i="1"/>
  <c r="BP13" i="1"/>
  <c r="AD17" i="1"/>
  <c r="AE17" i="1" s="1"/>
  <c r="BP17" i="1"/>
  <c r="BN17" i="1"/>
  <c r="AD166" i="1"/>
  <c r="AE166" i="1" s="1"/>
  <c r="BP166" i="1"/>
  <c r="BN166" i="1"/>
  <c r="AD70" i="1"/>
  <c r="AE70" i="1" s="1"/>
  <c r="BP70" i="1"/>
  <c r="BN70" i="1"/>
  <c r="AD214" i="1"/>
  <c r="AE214" i="1" s="1"/>
  <c r="BP214" i="1"/>
  <c r="BN214" i="1"/>
  <c r="AD67" i="1"/>
  <c r="AE67" i="1" s="1"/>
  <c r="BN67" i="1"/>
  <c r="BP67" i="1"/>
  <c r="AD190" i="1"/>
  <c r="AE190" i="1" s="1"/>
  <c r="BP190" i="1"/>
  <c r="BN190" i="1"/>
  <c r="BP158" i="1"/>
  <c r="BN158" i="1"/>
  <c r="AD199" i="1"/>
  <c r="AE199" i="1" s="1"/>
  <c r="BP199" i="1"/>
  <c r="BN199" i="1"/>
  <c r="AD12" i="1"/>
  <c r="AE12" i="1" s="1"/>
  <c r="BN12" i="1"/>
  <c r="BP12" i="1"/>
  <c r="AD22" i="1"/>
  <c r="AE22" i="1" s="1"/>
  <c r="BP22" i="1"/>
  <c r="BN22" i="1"/>
  <c r="AD196" i="1"/>
  <c r="AE196" i="1" s="1"/>
  <c r="BN196" i="1"/>
  <c r="BP196" i="1"/>
  <c r="AH171" i="1"/>
  <c r="AI171" i="1" s="1"/>
  <c r="AH190" i="1"/>
  <c r="AI190" i="1" s="1"/>
  <c r="AH57" i="1"/>
  <c r="AI57" i="1" s="1"/>
  <c r="AH77" i="1"/>
  <c r="AI77" i="1" s="1"/>
  <c r="AH46" i="1"/>
  <c r="AI46" i="1" s="1"/>
  <c r="AH161" i="1"/>
  <c r="AI161" i="1" s="1"/>
  <c r="AH196" i="1"/>
  <c r="AI196" i="1" s="1"/>
  <c r="AH193" i="1"/>
  <c r="AI193" i="1" s="1"/>
  <c r="AH38" i="1"/>
  <c r="AI38" i="1" s="1"/>
  <c r="AH54" i="1"/>
  <c r="AI54" i="1" s="1"/>
  <c r="AH221" i="1"/>
  <c r="AI221" i="1" s="1"/>
  <c r="AH14" i="1"/>
  <c r="AI14" i="1" s="1"/>
  <c r="AH12" i="1"/>
  <c r="AI12" i="1" s="1"/>
  <c r="AH22" i="1"/>
  <c r="AI22" i="1" s="1"/>
  <c r="AH56" i="1"/>
  <c r="AI56" i="1" s="1"/>
  <c r="AH24" i="1"/>
  <c r="AI24" i="1" s="1"/>
  <c r="AH42" i="1"/>
  <c r="AI42" i="1" s="1"/>
  <c r="AH229" i="1"/>
  <c r="AI229" i="1" s="1"/>
  <c r="AH216" i="1"/>
  <c r="AI216" i="1" s="1"/>
  <c r="AH189" i="1"/>
  <c r="AI189" i="1" s="1"/>
  <c r="AH214" i="1"/>
  <c r="AI214" i="1" s="1"/>
  <c r="AH230" i="1"/>
  <c r="AI230" i="1" s="1"/>
  <c r="AH168" i="1"/>
  <c r="AI168" i="1" s="1"/>
  <c r="AH113" i="1"/>
  <c r="AI113" i="1" s="1"/>
  <c r="AH58" i="1"/>
  <c r="AI58" i="1" s="1"/>
  <c r="AH213" i="1"/>
  <c r="AI213" i="1" s="1"/>
  <c r="AH61" i="1"/>
  <c r="AI61" i="1" s="1"/>
  <c r="AH147" i="1"/>
  <c r="AI147" i="1" s="1"/>
  <c r="AH174" i="1"/>
  <c r="AI174" i="1" s="1"/>
  <c r="AH82" i="1"/>
  <c r="AI82" i="1" s="1"/>
  <c r="AH195" i="1"/>
  <c r="AI195" i="1" s="1"/>
  <c r="AH217" i="1"/>
  <c r="AI217" i="1" s="1"/>
  <c r="AH199" i="1"/>
  <c r="AI199" i="1" s="1"/>
  <c r="AH70" i="1"/>
  <c r="AI70" i="1" s="1"/>
  <c r="AH232" i="1"/>
  <c r="AI232" i="1" s="1"/>
  <c r="AH111" i="1"/>
  <c r="AI111" i="1" s="1"/>
  <c r="AH167" i="1"/>
  <c r="AI167" i="1" s="1"/>
  <c r="AH53" i="1"/>
  <c r="AI53" i="1" s="1"/>
  <c r="AH258" i="1"/>
  <c r="AI258" i="1" s="1"/>
  <c r="AH162" i="1"/>
  <c r="AI162" i="1" s="1"/>
  <c r="AD158" i="1"/>
  <c r="AE158" i="1" s="1"/>
  <c r="AH158" i="1"/>
  <c r="AI158" i="1" s="1"/>
  <c r="AH175" i="1"/>
  <c r="AI175" i="1" s="1"/>
  <c r="AD128" i="1"/>
  <c r="AE128" i="1" s="1"/>
  <c r="AH244" i="1"/>
  <c r="AI244" i="1" s="1"/>
  <c r="AH211" i="1"/>
  <c r="AI211" i="1" s="1"/>
  <c r="AH151" i="1"/>
  <c r="AI151" i="1" s="1"/>
  <c r="AH254" i="1"/>
  <c r="AI254" i="1" s="1"/>
  <c r="AH219" i="1"/>
  <c r="AI219" i="1" s="1"/>
  <c r="AH66" i="1"/>
  <c r="AI66" i="1" s="1"/>
  <c r="AH188" i="1"/>
  <c r="AI188" i="1" s="1"/>
  <c r="AH75" i="1"/>
  <c r="AI75" i="1" s="1"/>
  <c r="AH138" i="1"/>
  <c r="AI138" i="1" s="1"/>
  <c r="AH112" i="1"/>
  <c r="AI112" i="1" s="1"/>
  <c r="AH114" i="1"/>
  <c r="AI114" i="1" s="1"/>
  <c r="AD71" i="1"/>
  <c r="AE71" i="1" s="1"/>
  <c r="AH71" i="1"/>
  <c r="AI71" i="1" s="1"/>
  <c r="AH186" i="1"/>
  <c r="AI186" i="1" s="1"/>
  <c r="AH183" i="1"/>
  <c r="AI183" i="1" s="1"/>
  <c r="AH121" i="1"/>
  <c r="AI121" i="1" s="1"/>
  <c r="AH241" i="1"/>
  <c r="AI241" i="1" s="1"/>
  <c r="AH182" i="1"/>
  <c r="AI182" i="1" s="1"/>
  <c r="AH160" i="1"/>
  <c r="AI160" i="1" s="1"/>
  <c r="AH119" i="1"/>
  <c r="AI119" i="1" s="1"/>
  <c r="AH73" i="1"/>
  <c r="AI73" i="1" s="1"/>
  <c r="AH60" i="1"/>
  <c r="AI60" i="1" s="1"/>
  <c r="AH64" i="1"/>
  <c r="AI64" i="1" s="1"/>
  <c r="AH69" i="1"/>
  <c r="AI69" i="1" s="1"/>
  <c r="AH62" i="1"/>
  <c r="AI62" i="1" s="1"/>
  <c r="AH166" i="1"/>
  <c r="AI166" i="1" s="1"/>
  <c r="AD220" i="1"/>
  <c r="AE220" i="1" s="1"/>
  <c r="AH187" i="1"/>
  <c r="AI187" i="1" s="1"/>
  <c r="AH67" i="1"/>
  <c r="AI67" i="1" s="1"/>
  <c r="AH207" i="1"/>
  <c r="AI207" i="1" s="1"/>
  <c r="AH78" i="1"/>
  <c r="AI78" i="1" s="1"/>
  <c r="AH176" i="1"/>
  <c r="AI176" i="1" s="1"/>
  <c r="AH4" i="1"/>
  <c r="AI4" i="1" s="1"/>
  <c r="AH159" i="1"/>
  <c r="AI159" i="1" s="1"/>
  <c r="AH41" i="1"/>
  <c r="AI41" i="1" s="1"/>
  <c r="AH63" i="1"/>
  <c r="AI63" i="1" s="1"/>
  <c r="AH43" i="1"/>
  <c r="AI43" i="1" s="1"/>
  <c r="AD126" i="1"/>
  <c r="AE126" i="1" s="1"/>
  <c r="AH212" i="1"/>
  <c r="AI212" i="1" s="1"/>
  <c r="AH242" i="1"/>
  <c r="AI242" i="1" s="1"/>
  <c r="AH250" i="1"/>
  <c r="AI250" i="1" s="1"/>
  <c r="AH47" i="1"/>
  <c r="AI47" i="1" s="1"/>
  <c r="AH108" i="1"/>
  <c r="AI108" i="1" s="1"/>
  <c r="AH116" i="1"/>
  <c r="AI116" i="1" s="1"/>
  <c r="AH37" i="1"/>
  <c r="AI37" i="1" s="1"/>
  <c r="AH39" i="1"/>
  <c r="AI39" i="1" s="1"/>
  <c r="AD130" i="1"/>
  <c r="AE130" i="1" s="1"/>
  <c r="AH31" i="1"/>
  <c r="AI31" i="1" s="1"/>
  <c r="AH185" i="1"/>
  <c r="AI185" i="1" s="1"/>
  <c r="AH164" i="1"/>
  <c r="AI164" i="1" s="1"/>
  <c r="AH115" i="1"/>
  <c r="AI115" i="1" s="1"/>
  <c r="AH68" i="1"/>
  <c r="AI68" i="1" s="1"/>
  <c r="AH139" i="1"/>
  <c r="AI139" i="1" s="1"/>
  <c r="AH197" i="1"/>
  <c r="AI197" i="1" s="1"/>
  <c r="AH228" i="1"/>
  <c r="AI228" i="1" s="1"/>
  <c r="AH178" i="1"/>
  <c r="AI178" i="1" s="1"/>
  <c r="AH240" i="1"/>
  <c r="AI240" i="1" s="1"/>
  <c r="AH122" i="1"/>
  <c r="AI122" i="1" s="1"/>
  <c r="AH157" i="1"/>
  <c r="AI157" i="1" s="1"/>
  <c r="AH100" i="1"/>
  <c r="AI100" i="1" s="1"/>
  <c r="AH45" i="1"/>
  <c r="AI45" i="1" s="1"/>
  <c r="AH210" i="1"/>
  <c r="AI210" i="1" s="1"/>
  <c r="AH239" i="1"/>
  <c r="AI239" i="1" s="1"/>
  <c r="AH180" i="1"/>
  <c r="AI180" i="1" s="1"/>
  <c r="AH194" i="1"/>
  <c r="AI194" i="1" s="1"/>
  <c r="AH117" i="1"/>
  <c r="AI117" i="1" s="1"/>
  <c r="AH238" i="1"/>
  <c r="AI238" i="1" s="1"/>
  <c r="AD132" i="1"/>
  <c r="AE132" i="1" s="1"/>
  <c r="AH74" i="1"/>
  <c r="AI74" i="1" s="1"/>
  <c r="AH17" i="1"/>
  <c r="AI17" i="1" s="1"/>
  <c r="AH206" i="1"/>
  <c r="AI206" i="1" s="1"/>
  <c r="AH65" i="1"/>
  <c r="AI65" i="1" s="1"/>
  <c r="AH256" i="1"/>
  <c r="AI256" i="1" s="1"/>
  <c r="AH170" i="1"/>
  <c r="AI170" i="1" s="1"/>
  <c r="AH23" i="1"/>
  <c r="AI23" i="1" s="1"/>
  <c r="AD263" i="1"/>
  <c r="AE263" i="1" s="1"/>
  <c r="AH246" i="1"/>
  <c r="AI246" i="1" s="1"/>
  <c r="AH124" i="1"/>
  <c r="AI124" i="1" s="1"/>
  <c r="AH179" i="1"/>
  <c r="AI179" i="1" s="1"/>
  <c r="AH177" i="1"/>
  <c r="AI177" i="1" s="1"/>
  <c r="AH13" i="1"/>
  <c r="AI13" i="1" s="1"/>
  <c r="AH141" i="1"/>
  <c r="AI141" i="1" s="1"/>
  <c r="AH80" i="1"/>
  <c r="AI80" i="1" s="1"/>
  <c r="AH208" i="1"/>
  <c r="AI208" i="1" s="1"/>
  <c r="AH76" i="1"/>
  <c r="AI76" i="1" s="1"/>
  <c r="AH11" i="1"/>
  <c r="AI11" i="1" s="1"/>
  <c r="AH109" i="1"/>
  <c r="AI109" i="1" s="1"/>
  <c r="AH29" i="1"/>
  <c r="AI29" i="1" s="1"/>
  <c r="AH27" i="1"/>
  <c r="AI27" i="1" s="1"/>
  <c r="AH155" i="1"/>
  <c r="AI155" i="1" s="1"/>
  <c r="AH51" i="1"/>
  <c r="AI51" i="1" s="1"/>
  <c r="AH118" i="1"/>
  <c r="AI118" i="1" s="1"/>
  <c r="AH105" i="1"/>
  <c r="AI105" i="1" s="1"/>
  <c r="AH35" i="1"/>
  <c r="AI35" i="1" s="1"/>
  <c r="AH8" i="1"/>
  <c r="AI8" i="1" s="1"/>
  <c r="AH233" i="1"/>
  <c r="AI233" i="1" s="1"/>
  <c r="AH107" i="1"/>
  <c r="AI107" i="1" s="1"/>
  <c r="AH83" i="1"/>
  <c r="AI83" i="1" s="1"/>
  <c r="AH247" i="1"/>
  <c r="AI247" i="1" s="1"/>
  <c r="AH81" i="1"/>
  <c r="AI81" i="1" s="1"/>
  <c r="AH72" i="1"/>
  <c r="AI72" i="1" s="1"/>
  <c r="AH255" i="1"/>
  <c r="AI255" i="1" s="1"/>
  <c r="AH234" i="1"/>
  <c r="AI234" i="1" s="1"/>
  <c r="AH215" i="1"/>
  <c r="AI215" i="1" s="1"/>
  <c r="AH99" i="1"/>
  <c r="AI99" i="1" s="1"/>
  <c r="AH191" i="1"/>
  <c r="AI191" i="1" s="1"/>
  <c r="AH95" i="1"/>
  <c r="AI95" i="1" s="1"/>
  <c r="AH249" i="1"/>
  <c r="AI249" i="1" s="1"/>
  <c r="AH262" i="1"/>
  <c r="AI262" i="1" s="1"/>
  <c r="AH143" i="1"/>
  <c r="AI143" i="1" s="1"/>
  <c r="AH55" i="1"/>
  <c r="AI55" i="1" s="1"/>
  <c r="AH6" i="1"/>
  <c r="AI6" i="1" s="1"/>
  <c r="AH103" i="1"/>
  <c r="AI103" i="1" s="1"/>
  <c r="AD261" i="1"/>
  <c r="AE261" i="1" s="1"/>
  <c r="AH7" i="1"/>
  <c r="AI7" i="1" s="1"/>
  <c r="AH181" i="1"/>
  <c r="AI181" i="1" s="1"/>
  <c r="AH231" i="1"/>
  <c r="AI231" i="1" s="1"/>
  <c r="AH173" i="1"/>
  <c r="AI173" i="1" s="1"/>
  <c r="AH253" i="1"/>
  <c r="AI253" i="1" s="1"/>
  <c r="AH98" i="1"/>
  <c r="AI98" i="1" s="1"/>
  <c r="AH218" i="1"/>
  <c r="AI218" i="1" s="1"/>
  <c r="AH245" i="1"/>
  <c r="AI245" i="1" s="1"/>
  <c r="AH153" i="1"/>
  <c r="AI153" i="1" s="1"/>
  <c r="AH145" i="1"/>
  <c r="AI145" i="1" s="1"/>
  <c r="AH172" i="1"/>
  <c r="AI172" i="1" s="1"/>
  <c r="BI259" i="1"/>
  <c r="AG259" i="1" s="1"/>
  <c r="BI149" i="1"/>
  <c r="AG149" i="1" s="1"/>
  <c r="BI251" i="1"/>
  <c r="AG251" i="1" s="1"/>
  <c r="BI25" i="1"/>
  <c r="AG25" i="1" s="1"/>
  <c r="BI85" i="1"/>
  <c r="AG85" i="1" s="1"/>
  <c r="BI87" i="1"/>
  <c r="AG87" i="1" s="1"/>
  <c r="BI91" i="1"/>
  <c r="AG91" i="1" s="1"/>
  <c r="BI89" i="1"/>
  <c r="AG89" i="1" s="1"/>
  <c r="BI93" i="1"/>
  <c r="AG93" i="1" s="1"/>
  <c r="BI252" i="1"/>
  <c r="AG252" i="1" s="1"/>
  <c r="AB259" i="1"/>
  <c r="AT259" i="1" s="1"/>
  <c r="AB149" i="1"/>
  <c r="AB251" i="1"/>
  <c r="AB25" i="1"/>
  <c r="AB85" i="1"/>
  <c r="AB87" i="1"/>
  <c r="AB91" i="1"/>
  <c r="AB89" i="1"/>
  <c r="AB93" i="1"/>
  <c r="Z259" i="1"/>
  <c r="AP259" i="1" s="1"/>
  <c r="Z149" i="1"/>
  <c r="AP149" i="1" s="1"/>
  <c r="Z251" i="1"/>
  <c r="AP251" i="1" s="1"/>
  <c r="Z25" i="1"/>
  <c r="AP25" i="1" s="1"/>
  <c r="Z85" i="1"/>
  <c r="AP85" i="1" s="1"/>
  <c r="Z87" i="1"/>
  <c r="AP87" i="1" s="1"/>
  <c r="Z91" i="1"/>
  <c r="AP91" i="1" s="1"/>
  <c r="Z89" i="1"/>
  <c r="AP89" i="1" s="1"/>
  <c r="Z93" i="1"/>
  <c r="AP93" i="1" s="1"/>
  <c r="D259" i="1"/>
  <c r="D149" i="1"/>
  <c r="D251" i="1"/>
  <c r="D25" i="1"/>
  <c r="D85" i="1"/>
  <c r="D87" i="1"/>
  <c r="D91" i="1"/>
  <c r="D89" i="1"/>
  <c r="D93" i="1"/>
  <c r="D252" i="1"/>
  <c r="AB252" i="1"/>
  <c r="Z252" i="1"/>
  <c r="AP252" i="1" s="1"/>
  <c r="AR91" i="1" l="1"/>
  <c r="AR85" i="1"/>
  <c r="AR25" i="1"/>
  <c r="AR87" i="1"/>
  <c r="AR251" i="1"/>
  <c r="AR149" i="1"/>
  <c r="AR252" i="1"/>
  <c r="AR93" i="1"/>
  <c r="AR259" i="1"/>
  <c r="AR89" i="1"/>
  <c r="AK93" i="1"/>
  <c r="AK259" i="1"/>
  <c r="AK89" i="1"/>
  <c r="AL87" i="1"/>
  <c r="AK252" i="1"/>
  <c r="AK85" i="1"/>
  <c r="AL25" i="1"/>
  <c r="AL91" i="1"/>
  <c r="AL251" i="1"/>
  <c r="AL149" i="1"/>
  <c r="AK91" i="1"/>
  <c r="AK87" i="1"/>
  <c r="AK25" i="1"/>
  <c r="AL85" i="1"/>
  <c r="AK251" i="1"/>
  <c r="AL93" i="1"/>
  <c r="AL259" i="1"/>
  <c r="AK149" i="1"/>
  <c r="AL89" i="1"/>
  <c r="AN252" i="1"/>
  <c r="AO252" i="1"/>
  <c r="AL252" i="1"/>
  <c r="AH93" i="1" l="1"/>
  <c r="AI93" i="1" s="1"/>
  <c r="BN93" i="1"/>
  <c r="BP93" i="1"/>
  <c r="BN252" i="1"/>
  <c r="BP252" i="1"/>
  <c r="AH251" i="1"/>
  <c r="AI251" i="1" s="1"/>
  <c r="BN251" i="1"/>
  <c r="BP251" i="1"/>
  <c r="AH87" i="1"/>
  <c r="AI87" i="1" s="1"/>
  <c r="BP87" i="1"/>
  <c r="BN87" i="1"/>
  <c r="AH89" i="1"/>
  <c r="AI89" i="1" s="1"/>
  <c r="BP89" i="1"/>
  <c r="BN89" i="1"/>
  <c r="AH85" i="1"/>
  <c r="AI85" i="1" s="1"/>
  <c r="BN85" i="1"/>
  <c r="BP85" i="1"/>
  <c r="AH149" i="1"/>
  <c r="AI149" i="1" s="1"/>
  <c r="BN149" i="1"/>
  <c r="BP149" i="1"/>
  <c r="AD25" i="1"/>
  <c r="AE25" i="1" s="1"/>
  <c r="BP25" i="1"/>
  <c r="BN25" i="1"/>
  <c r="BN259" i="1"/>
  <c r="BP259" i="1"/>
  <c r="AH91" i="1"/>
  <c r="AI91" i="1" s="1"/>
  <c r="BN91" i="1"/>
  <c r="BP91" i="1"/>
  <c r="AD91" i="1"/>
  <c r="AE91" i="1" s="1"/>
  <c r="AD251" i="1"/>
  <c r="AE251" i="1" s="1"/>
  <c r="AD149" i="1"/>
  <c r="AE149" i="1" s="1"/>
  <c r="AD87" i="1"/>
  <c r="AE87" i="1" s="1"/>
  <c r="AH252" i="1"/>
  <c r="AI252" i="1" s="1"/>
  <c r="AD252" i="1"/>
  <c r="AE252" i="1" s="1"/>
  <c r="AD93" i="1"/>
  <c r="AE93" i="1" s="1"/>
  <c r="AH25" i="1"/>
  <c r="AI25" i="1" s="1"/>
  <c r="AD85" i="1"/>
  <c r="AE85" i="1" s="1"/>
  <c r="AH259" i="1"/>
  <c r="AI259" i="1" s="1"/>
  <c r="AD259" i="1"/>
  <c r="AE259" i="1" s="1"/>
  <c r="AD89" i="1"/>
  <c r="AE89" i="1" s="1"/>
</calcChain>
</file>

<file path=xl/sharedStrings.xml><?xml version="1.0" encoding="utf-8"?>
<sst xmlns="http://schemas.openxmlformats.org/spreadsheetml/2006/main" count="3991" uniqueCount="725">
  <si>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</si>
  <si>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</si>
  <si>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</si>
  <si>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</si>
  <si>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</si>
  <si>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</si>
  <si>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</si>
  <si>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</si>
  <si>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</si>
  <si>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</si>
  <si>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</si>
  <si>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</si>
  <si>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</si>
  <si>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</si>
  <si>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</si>
  <si>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</si>
  <si>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</si>
  <si>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</si>
  <si>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</si>
  <si>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</si>
  <si>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</si>
  <si>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</si>
  <si>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</si>
  <si>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</si>
  <si>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</si>
  <si>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</si>
  <si>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</si>
  <si>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</si>
  <si>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</si>
  <si>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</si>
  <si>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</si>
  <si>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</si>
  <si>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</si>
  <si>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</si>
  <si>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</si>
  <si>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</si>
  <si>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</si>
  <si>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</si>
  <si>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</si>
  <si>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</si>
  <si>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</si>
  <si>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</si>
  <si>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</si>
  <si>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</si>
  <si>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</si>
  <si>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</si>
  <si>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</si>
  <si>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</si>
  <si>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</si>
  <si>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</si>
  <si>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</si>
  <si>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</si>
  <si>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</si>
  <si>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</si>
  <si>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</si>
  <si>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</si>
  <si>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</si>
  <si>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</si>
  <si>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</si>
  <si>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</si>
  <si>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</si>
  <si>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</si>
  <si>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</si>
  <si>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</si>
  <si>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</si>
  <si>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</si>
  <si>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J1117X</t>
  </si>
  <si>
    <t>J1118X</t>
  </si>
  <si>
    <t>J1115X</t>
  </si>
  <si>
    <t>J1116X</t>
  </si>
  <si>
    <t>9941AJ</t>
  </si>
  <si>
    <t>9942AJ</t>
  </si>
  <si>
    <t>9943AJ</t>
  </si>
  <si>
    <t>9944AJ</t>
  </si>
  <si>
    <t>9945AJ</t>
  </si>
  <si>
    <t>9946AJ</t>
  </si>
  <si>
    <t>J087PW</t>
  </si>
  <si>
    <t>J086PW</t>
  </si>
  <si>
    <t>J085PW</t>
  </si>
  <si>
    <t>J084PW</t>
  </si>
  <si>
    <t>J1082X</t>
  </si>
  <si>
    <t>J1066X</t>
  </si>
  <si>
    <t>J1067X</t>
  </si>
  <si>
    <t>J1068X</t>
  </si>
  <si>
    <t>J1069X</t>
  </si>
  <si>
    <t>J1070X</t>
  </si>
  <si>
    <t>J1071X</t>
  </si>
  <si>
    <t>J1072X</t>
  </si>
  <si>
    <t>J1073X</t>
  </si>
  <si>
    <t>J1074X</t>
  </si>
  <si>
    <t>J1075X</t>
  </si>
  <si>
    <t>J1076X</t>
  </si>
  <si>
    <t>J1077X</t>
  </si>
  <si>
    <t>J1078X</t>
  </si>
  <si>
    <t>J1079X</t>
  </si>
  <si>
    <t>J193SE</t>
  </si>
  <si>
    <t>J260MS</t>
  </si>
  <si>
    <t>J194SE</t>
  </si>
  <si>
    <t>5975AR</t>
  </si>
  <si>
    <t>J1080X</t>
  </si>
  <si>
    <t>J971WY</t>
  </si>
  <si>
    <t>J970WY</t>
  </si>
  <si>
    <t>J969WY</t>
  </si>
  <si>
    <t>J707PW</t>
  </si>
  <si>
    <t>J708PW</t>
  </si>
  <si>
    <t>J711PW</t>
  </si>
  <si>
    <t>J710PW</t>
  </si>
  <si>
    <t>J709PW</t>
  </si>
  <si>
    <t>J1146X</t>
  </si>
  <si>
    <t>J1147X</t>
  </si>
  <si>
    <t>J1148X</t>
  </si>
  <si>
    <t>J1149X</t>
  </si>
  <si>
    <t>J1083X</t>
  </si>
  <si>
    <t>J1084X</t>
  </si>
  <si>
    <t>J1085X</t>
  </si>
  <si>
    <t>J1086X</t>
  </si>
  <si>
    <t>ﾊﾟﾝﾁﾗﾍﾞﾙ(白) 245片 PP製/FRW-314908</t>
  </si>
  <si>
    <t>ﾊﾟﾝﾁﾗﾍﾞﾙ(白) 2800片 PP製/FRW-314910</t>
  </si>
  <si>
    <t>ﾋﾞｭｰﾄﾝ/ｸﾘﾔｰﾎﾙﾀﾞｰ A4ﾀﾃ ｸﾘﾔｰ 10枚/UCRS</t>
  </si>
  <si>
    <t>●ﾋﾞｭｰﾄﾝ/ｸﾘﾔｰﾎﾙﾀﾞｰ ｱｿｰﾄ5色 10枚*60ﾊﾟｯｸ/CHA4C10</t>
  </si>
  <si>
    <t>ﾋﾞｭｰﾄﾝ/ｸﾘｯﾌﾟﾌｧｲﾙ A4ﾀﾃ 25枚収容 ﾌﾞﾙｰ/BCF-A4-B</t>
  </si>
  <si>
    <t>G)ﾋﾞｭｰﾄﾝ/ｸﾗﾝﾌﾟﾌｧｲﾙ 紙 A4ﾀﾃ とじ厚10mm ﾚｯﾄﾞ</t>
  </si>
  <si>
    <t>G)ﾋﾞｭｰﾄﾝ/ｸﾗﾝﾌﾟﾌｧｲﾙ 紙 A4ﾀﾃ とじ厚10mm ｲｴﾛｰ</t>
  </si>
  <si>
    <t>G)ﾋﾞｭｰﾄﾝ/ｸﾗﾝﾌﾟﾌｧｲﾙ 紙 A4ﾀﾃ とじ厚10mm ﾌﾞﾙｰ</t>
  </si>
  <si>
    <t>G)ﾋﾞｭｰﾄﾝ/ｸﾗﾝﾌﾟﾌｧｲﾙ 紙 A4ﾀﾃ とじ厚10mm ｸﾞﾘｰﾝ</t>
  </si>
  <si>
    <t>G)ﾋﾞｭｰﾄﾝ/ｸﾗﾝﾌﾟﾌｧｲﾙ 紙 A4ﾀﾃ とじ厚10mm ﾀﾞｰｸｸﾞﾚｰ</t>
  </si>
  <si>
    <t>G)ﾋﾞｭｰﾄﾝ/2穴ﾘﾝｸﾞﾌｧｲﾙ 紙製 A4ﾀﾃ 背幅36mm ﾚｯﾄﾞ</t>
  </si>
  <si>
    <t>G)ﾋﾞｭｰﾄﾝ/2穴ﾘﾝｸﾞﾌｧｲﾙ 紙製 A4ﾀﾃ 背幅36mm ｲｴﾛｰ</t>
  </si>
  <si>
    <t>G)ﾋﾞｭｰﾄﾝ/2穴ﾘﾝｸﾞﾌｧｲﾙ 紙製 A4ﾀﾃ 背幅36mm ﾌﾞﾙｰ</t>
  </si>
  <si>
    <t>G)ﾋﾞｭｰﾄﾝ/2穴ﾘﾝｸﾞﾌｧｲﾙ 紙製 A4ﾀﾃ 背幅36mm ｸﾞﾘｰﾝ</t>
  </si>
  <si>
    <t>G)ﾋﾞｭｰﾄﾝ/2穴ﾘﾝｸﾞﾌｧｲﾙ 紙製 A4ﾀﾃ 背幅36mm ﾀﾞｰｸｸﾞﾚｰ</t>
  </si>
  <si>
    <t>ﾋﾞｭｰﾄﾝ/袋とじ製本ﾃｰﾌﾟ 25mm幅 100枚/FS25-A4-W100</t>
  </si>
  <si>
    <t>ﾋﾞｭｰﾄﾝ/袋とじ製本ﾃｰﾌﾟ 35mm幅 100枚/FS35-A4-W100</t>
  </si>
  <si>
    <t>ﾋﾞｭｰﾄﾝ/契約書割印用製本ﾃｰﾌﾟ ｶｯﾄﾀｲﾌﾟ 25mm幅 100枚</t>
  </si>
  <si>
    <t>ﾋﾞｭｰﾄﾝ/契約書割印用製本ﾃｰﾌﾟ ｶｯﾄﾀｲﾌﾟ 35mm幅 100枚</t>
  </si>
  <si>
    <t>ﾋﾞｭｰﾄﾝ/ｲﾝﾃﾞｯｸｽﾗﾍﾞﾙ 小 青 15シート入/IDL-101B</t>
  </si>
  <si>
    <t>ﾋﾞｭｰﾄﾝ/ｲﾝﾃﾞｯｸｽﾗﾍﾞﾙ 小 赤 15シート入/IDL-101R</t>
  </si>
  <si>
    <t>ﾋﾞｭｰﾄﾝ/ｲﾝﾃﾞｯｸｽﾗﾍﾞﾙ 中 青 15シート入/IDL-102B</t>
  </si>
  <si>
    <t>ﾋﾞｭｰﾄﾝ/ｲﾝﾃﾞｯｸｽﾗﾍﾞﾙ 中 赤 15シート入/IDL-102R</t>
  </si>
  <si>
    <t>ﾋﾞｭｰﾄﾝ/ｲﾝﾃﾞｯｸｽﾗﾍﾞﾙ 大 青 15シート入/IDL-103B</t>
  </si>
  <si>
    <t>ﾋﾞｭｰﾄﾝ/ｲﾝﾃﾞｯｸｽﾗﾍﾞﾙ 大 赤 15シート入/IDL-103R</t>
  </si>
  <si>
    <t>ﾋﾞｭｰﾄﾝ/ｽﾘﾑｸﾘﾔｰﾌﾞｯｸ A4 10ﾎﾟｹｯﾄ ｸﾘﾔｰ/FCB-A4-10C</t>
  </si>
  <si>
    <t>ﾋﾞｭｰﾄﾝ/ｽﾘﾑｸﾘﾔｰﾌﾞｯｸ A4 20ﾎﾟｹｯﾄ ﾚｯﾄﾞ/FCB-A4-20CR</t>
  </si>
  <si>
    <t>ﾋﾞｭｰﾄﾝ/ｽﾘﾑｸﾘﾔｰﾌﾞｯｸ A4 20ﾎﾟｹｯﾄ ｲｴﾛｰ/FCB-A4-20CY</t>
  </si>
  <si>
    <t>ﾋﾞｭｰﾄﾝ/ｽﾘﾑｸﾘﾔｰﾌﾞｯｸ A4 20ﾎﾟｹｯﾄ ﾌﾞﾙｰ/FCB-A4-20CB</t>
  </si>
  <si>
    <t>ﾋﾞｭｰﾄﾝ/ｽﾘﾑｸﾘﾔｰﾌﾞｯｸ A4 20ﾎﾟｹｯﾄ ﾗｲﾄｸﾞﾘｰﾝ</t>
  </si>
  <si>
    <t>ﾋﾞｭｰﾄﾝ/ｽﾘﾑｸﾘﾔｰﾌﾞｯｸ A4 20ﾎﾟｹｯﾄ ｸﾘﾔｰ/FCB-A4-20C</t>
  </si>
  <si>
    <t>ﾋﾞｭｰﾄﾝ/ｽﾘﾑｸﾘﾔｰﾌﾞｯｸ A4 20ﾎﾟｹｯﾄ ｵﾚﾝｼﾞ</t>
  </si>
  <si>
    <t>ﾋﾞｭｰﾄﾝ/ｽﾘﾑｸﾘﾔｰﾌﾞｯｸ A4 40ﾎﾟｹｯﾄ ﾚｯﾄﾞ/FCB-A4-40CR</t>
  </si>
  <si>
    <t>ﾋﾞｭｰﾄﾝ/ｽﾘﾑｸﾘﾔｰﾌﾞｯｸ A4 40ﾎﾟｹｯﾄ ｲｴﾛｰ/FCB-A4-40CY</t>
  </si>
  <si>
    <t>ﾋﾞｭｰﾄﾝ/ｽﾘﾑｸﾘﾔｰﾌﾞｯｸ A4 40ﾎﾟｹｯﾄ ﾌﾞﾙｰ/FCB-A4-40CB</t>
  </si>
  <si>
    <t>ﾋﾞｭｰﾄﾝ/ｽﾘﾑｸﾘﾔｰﾌﾞｯｸ A4 40ﾎﾟｹｯﾄ ﾗｲﾄｸﾞﾘｰﾝ</t>
  </si>
  <si>
    <t>ﾋﾞｭｰﾄﾝ/ｽﾘﾑｸﾘﾔｰﾌﾞｯｸ A4 40ﾎﾟｹｯﾄ ｸﾘﾔｰ/FCB-A4-40C</t>
  </si>
  <si>
    <t>ﾋﾞｭｰﾄﾝ/ｽｰﾊﾟｰｽﾘﾑｸﾘﾔｰﾌﾞｯｸ A4 10ﾎﾟｹｯﾄ ﾋﾟﾝｸ</t>
  </si>
  <si>
    <t>ﾋﾞｭｰﾄﾝ/ｽｰﾊﾟｰｽﾘﾑｸﾘﾔｰﾌﾞｯｸ A4 10ﾎﾟｹｯﾄ ｲｴﾛｰ</t>
  </si>
  <si>
    <t>ﾋﾞｭｰﾄﾝ/ｽｰﾊﾟｰｽﾘﾑｸﾘﾔｰﾌﾞｯｸ A4 10ﾎﾟｹｯﾄ ﾌﾞﾙｰ</t>
  </si>
  <si>
    <t>ﾋﾞｭｰﾄﾝ/ｽｰﾊﾟｰｽﾘﾑｸﾘﾔｰﾌﾞｯｸ A4 10ﾎﾟｹｯﾄ ｸﾞﾘｰﾝ</t>
  </si>
  <si>
    <t>ﾋﾞｭｰﾄﾝ/ｽｰﾊﾟｰｽﾘﾑｸﾘﾔｰﾌﾞｯｸ A4 10ﾎﾟｹｯﾄ ｸﾘﾔｰ</t>
  </si>
  <si>
    <t>ﾋﾞｭｰﾄﾝ/ｽｰﾊﾟｰｽﾘﾑｸﾘﾔｰﾌﾞｯｸ B5 10ﾎﾟｹｯﾄ ｸﾘﾔｰ</t>
  </si>
  <si>
    <t>ﾋﾞｭｰﾄﾝ/ｽｰﾊﾟｰｽﾘﾑｸﾘﾔｰﾌﾞｯｸ A5 10ﾎﾟｹｯﾄ ｸﾘﾔｰ</t>
  </si>
  <si>
    <t>ﾋﾞｭｰﾄﾝ/ｽｰﾊﾟｰｽﾘﾑｸﾘﾔｰﾌﾞｯｸ A6 10ﾎﾟｹｯﾄ ｸﾘﾔｰ</t>
  </si>
  <si>
    <t>ﾋﾞｭｰﾄﾝ/ﾈｰﾑｶｰﾄﾞﾎﾙﾀﾞｰ 300名用 ﾌﾞﾙｰ/NCH-A4-300-B</t>
  </si>
  <si>
    <t>ﾋﾞｭｰﾄﾝ/ﾈｰﾑｶｰﾄﾞﾎﾙﾀﾞｰ 500名用 ﾌﾞﾙｰ/NCH-A4-500-B</t>
  </si>
  <si>
    <t>G)ﾋﾞｭｰﾄﾝ/名刺ﾎﾙﾀﾞｰ溶着式 A4 200名用/INC-A4-200DB</t>
  </si>
  <si>
    <t>G)ﾋﾞｭｰﾄﾝ/名刺ﾎﾙﾀﾞｰ溶着式 120名用/INC-120-DB</t>
  </si>
  <si>
    <t>G)ﾋﾞｭｰﾄﾝ/名刺ﾎﾙﾀﾞｰ溶着式 240名用/INC-240-DB</t>
  </si>
  <si>
    <t>ﾋﾞｭｰﾄﾝ/ｸﾘﾔｰﾎﾙﾀﾞｰ B4 ｸﾘﾔｰ 10枚/CHB4W10</t>
  </si>
  <si>
    <t>ﾋﾞｭｰﾄﾝ/ｸﾘﾔｰﾎﾙﾀﾞｰ B5 ｸﾘﾔｰ 10枚/CHB5W10</t>
  </si>
  <si>
    <t>ﾋﾞｭｰﾄﾝ/ｸﾘﾔｰﾎﾙﾀﾞｰ A3 ｸﾘﾔｰ 5枚/CHA3W5</t>
  </si>
  <si>
    <t>ﾋﾞｭｰﾄﾝ/ｸﾘﾔｰﾎﾙﾀﾞｰ A4ﾀﾃ 赤 10枚/UCRCR</t>
  </si>
  <si>
    <t>ﾋﾞｭｰﾄﾝ/ｸﾘﾔｰﾎﾙﾀﾞｰ A4ﾀﾃ 黄 10枚/UCRCY</t>
  </si>
  <si>
    <t>ﾋﾞｭｰﾄﾝ/ｸﾘﾔｰﾎﾙﾀﾞｰ A4ﾀﾃ 緑 10枚/UCRCG</t>
  </si>
  <si>
    <t>ﾋﾞｭｰﾄﾝ/ｽｸﾘｰﾝﾎﾙﾀﾞｰ A4ﾀﾃ ﾌﾞﾗｯｸ 10枚/SCH-A4BK10</t>
  </si>
  <si>
    <t>ﾋﾞｭｰﾄﾝ/ﾌﾗｯﾄﾎﾙﾀﾞｰ A4 ﾊﾞﾝﾄﾞ付 ﾋﾟﾝｸ/NFH-A4-CP</t>
  </si>
  <si>
    <t>ﾋﾞｭｰﾄﾝ/ﾌﾗｯﾄﾎﾙﾀﾞｰ A4 ﾊﾞﾝﾄﾞ付 ﾌﾞﾙｰ/NFH-A4-CB</t>
  </si>
  <si>
    <t>ﾋﾞｭｰﾄﾝ/ﾌﾗｯﾄﾎﾙﾀﾞｰ A4 ﾊﾞﾝﾄﾞ付 ｸﾘﾔｰ/NFH-A4-C</t>
  </si>
  <si>
    <t>ﾋﾞｭｰﾄﾝ/ﾌﾗｯﾄﾎﾙﾀﾞｰ A4 ﾊﾞﾝﾄﾞ付 ｽﾓｰｸ/NFH-A4-CS</t>
  </si>
  <si>
    <t>ﾋﾞｭｰﾄﾝ/ﾎﾙﾀﾞｰ&amp;ﾌｧｽﾅｰｹｰｽW A4 ﾌﾞﾙｰ/HF-A4-CB</t>
  </si>
  <si>
    <t>ﾋﾞｭｰﾄﾝ/ｳｨﾝｸﾞｸﾘｯﾌﾟﾌｧｲﾙ A4ﾀﾃ 20枚収容 ﾚｯﾄﾞ</t>
  </si>
  <si>
    <t>ﾋﾞｭｰﾄﾝ/ｳｨﾝｸﾞｸﾘｯﾌﾟﾌｧｲﾙ A4ﾀﾃ 20枚収容 ｲｴﾛｰ</t>
  </si>
  <si>
    <t>ﾋﾞｭｰﾄﾝ/ｳｨﾝｸﾞｸﾘｯﾌﾟﾌｧｲﾙ A4ﾀﾃ 20枚収容 ﾌﾞﾙｰ</t>
  </si>
  <si>
    <t>ﾋﾞｭｰﾄﾝ/ｳｨﾝｸﾞｸﾘｯﾌﾟﾌｧｲﾙ A4ﾀﾃ 20枚収容 ﾗｲﾄｸﾞﾘｰﾝ</t>
  </si>
  <si>
    <t>ﾋﾞｭｰﾄﾝ/ｸﾘﾔｰﾌﾞｯｸﾎﾟｹｯﾄ A4ﾀﾃ 30穴 ﾋﾟﾝｸ 10枚</t>
  </si>
  <si>
    <t>ﾋﾞｭｰﾄﾝ/ｸﾘﾔｰﾌﾞｯｸﾎﾟｹｯﾄ A4ﾀﾃ 30穴 ﾌﾞﾙｰ 10枚</t>
  </si>
  <si>
    <t>ﾋﾞｭｰﾄﾝ/ｸﾘﾔｰﾌﾞｯｸﾎﾟｹｯﾄ A4ﾀﾃ 30穴 ｸﾞﾘｰﾝ 10枚</t>
  </si>
  <si>
    <t>ﾋﾞｭｰﾄﾝ/ｸﾘﾔｰﾌﾞｯｸﾎﾟｹｯﾄ A4ﾀﾃ 30穴 ｸﾞﾚｰ 10枚</t>
  </si>
  <si>
    <t>ﾋﾞｭｰﾄﾝ/ｸﾘﾔｰﾌﾞｯｸﾎﾟｹｯﾄ A4ﾀﾃ 30穴 50枚/CBP-A4-50</t>
  </si>
  <si>
    <t>ﾋﾞｭｰﾄﾝ/名刺ﾎﾙﾀﾞｰﾎﾟｹｯﾄ A4ﾀﾃ 30穴 10枚/NCHP-A4-10</t>
  </si>
  <si>
    <t>ﾋﾞｭｰﾄﾝ/ｸﾘﾔｰﾌﾞｯｸﾎﾟｹｯﾄ B5ﾀﾃ 26穴 50枚/CBP-B5-50</t>
  </si>
  <si>
    <t>ﾋﾞｭｰﾄﾝ/厚口ｸﾘﾔｰﾌﾞｯｸﾎﾟｹｯﾄ A4ﾀﾃ 10枚/ACBP-A4-10</t>
  </si>
  <si>
    <t>ﾋﾞｭｰﾄﾝ/ﾄﾞｷｭﾒﾝﾄﾎﾞｯｸｽ A4 ｸﾘﾔｰ/NDB-A4-C</t>
  </si>
  <si>
    <t>ﾋﾞｭｰﾄﾝ/ﾘﾝｸﾞｸﾘﾔｰﾌﾞｯｸ A4 30穴 20ﾎﾟｹｯﾄ ﾌﾞﾙｰ</t>
  </si>
  <si>
    <t>ﾋﾞｭｰﾄﾝ/ﾘﾝｸﾞｸﾘﾔｰﾌﾞｯｸ A4 30穴 20ﾎﾟｹｯﾄ ﾀﾞｰｸｸﾞﾚｰ</t>
  </si>
  <si>
    <t>ﾋﾞｭｰﾄﾝ/ﾘﾝｸﾞｸﾘﾔｰﾌﾞｯｸ A4 30穴 30ﾎﾟｹｯﾄ ﾌﾞﾙｰ</t>
  </si>
  <si>
    <t>ﾋﾞｭｰﾄﾝ/ﾘﾝｸﾞｸﾘﾔｰﾌﾞｯｸ A4 30穴 30ﾎﾟｹｯﾄ ﾀﾞｰｸｸﾞﾚｰ</t>
  </si>
  <si>
    <t>ﾋﾞｭｰﾄﾝ/ﾘﾝｸﾞﾊﾞｲﾝﾀﾞｰ A4ﾀﾃ 30穴 背幅25mm ﾌﾞﾙｰ</t>
  </si>
  <si>
    <t>ﾋﾞｭｰﾄﾝ/ﾘﾝｸﾞﾊﾞｲﾝﾀﾞｰ A4ﾀﾃ 30穴 背幅25mm ﾀﾞｰｸｸﾞﾚｰ</t>
  </si>
  <si>
    <t>ﾋﾞｭｰﾄﾝ/ﾘﾝｸﾞﾊﾞｲﾝﾀﾞｰ A4ﾀﾃ 30穴 背幅32mm ﾌﾞﾙｰ</t>
  </si>
  <si>
    <t>ﾋﾞｭｰﾄﾝ/ﾘﾝｸﾞﾊﾞｲﾝﾀﾞｰ A4ﾀﾃ 30穴 背幅32mm ﾀﾞｰｸｸﾞﾚｰ</t>
  </si>
  <si>
    <t>G)ﾋﾞｭｰﾄﾝ/ﾀﾞﾌﾞﾙ･ｲﾝﾃﾞｯｸｽ A4ﾀﾃ 5山 2穴 1組/IDX-A4-5Y</t>
  </si>
  <si>
    <t>G)ﾋﾞｭｰﾄﾝ/ﾌﾗｯﾄﾌｧｲﾙPP B5ﾀﾃ ﾋﾟﾝｸ/FF-B5S-P</t>
  </si>
  <si>
    <t>G)ﾋﾞｭｰﾄﾝ/ﾌﾗｯﾄﾌｧｲﾙPP B5ﾀﾃ ｲｴﾛｰ/FF-B5S-Y</t>
  </si>
  <si>
    <t>G)ﾋﾞｭｰﾄﾝ/ﾌﾗｯﾄﾌｧｲﾙPP B5ﾀﾃ ﾌﾞﾙｰ/FF-B5S-B</t>
  </si>
  <si>
    <t>G)ﾋﾞｭｰﾄﾝ/ﾌﾗｯﾄﾌｧｲﾙPP B5ﾀﾃ ｸﾞﾘｰﾝ/FF-B5S-GN</t>
  </si>
  <si>
    <t>G)ﾋﾞｭｰﾄﾝ/ﾌﾗｯﾄﾌｧｲﾙ〈PP〉A4ﾀﾃ とじ厚16mm ﾋﾟﾝｸ 5冊</t>
  </si>
  <si>
    <t>G)ﾋﾞｭｰﾄﾝ/ﾌﾗｯﾄﾌｧｲﾙ〈PP〉A4ﾀﾃ とじ厚16mm ｲｴﾛｰ 5冊</t>
  </si>
  <si>
    <t>G)ﾋﾞｭｰﾄﾝ/ﾌﾗｯﾄﾌｧｲﾙ〈PP〉A4ﾀﾃ とじ厚16mm ﾌﾞﾙｰ 5冊</t>
  </si>
  <si>
    <t>G)ﾋﾞｭｰﾄﾝ/ﾌﾗｯﾄﾌｧｲﾙ〈PP〉A4ﾀﾃ とじ厚16mm ｸﾞﾘｰﾝ 5冊</t>
  </si>
  <si>
    <t>G)ﾋﾞｭｰﾄﾝ/ﾌﾗｯﾄﾌｧｲﾙPP 厚とじ A4ﾀﾃ ﾋﾟﾝｸ/FF-A4SW-P</t>
  </si>
  <si>
    <t>G)ﾋﾞｭｰﾄﾝ/ﾌﾗｯﾄﾌｧｲﾙPP 厚とじ A4ﾀﾃ ｲｴﾛｰ/FF-A4SW-Y</t>
  </si>
  <si>
    <t>G)ﾋﾞｭｰﾄﾝ/ﾌﾗｯﾄﾌｧｲﾙPP 厚とじ A4ﾀﾃ ﾌﾞﾙｰ/FF-A4SW-B</t>
  </si>
  <si>
    <t>G)ﾋﾞｭｰﾄﾝ/ﾌﾗｯﾄﾌｧｲﾙPP 厚とじ A4ﾀﾃ ｸﾞﾘｰﾝ/FF-A4SW-GN</t>
  </si>
  <si>
    <t>G)ﾋﾞｭｰﾄﾝ/ﾌﾗｯﾄﾌｧｲﾙPP 表紙幅広 A4ﾀﾃ ﾋﾟﾝｸ/FF-A4SHW-P</t>
  </si>
  <si>
    <t>G)ﾋﾞｭｰﾄﾝ/ﾌﾗｯﾄﾌｧｲﾙPP 表紙幅広 A4ﾀﾃ ｲｴﾛｰ/FF-A4SHW-Y</t>
  </si>
  <si>
    <t>G)ﾋﾞｭｰﾄﾝ/ﾌﾗｯﾄﾌｧｲﾙPP 表紙幅広 A4ﾀﾃ ﾌﾞﾙｰ/FF-A4SHW-B</t>
  </si>
  <si>
    <t>G)ﾋﾞｭｰﾄﾝ/ﾌﾗｯﾄﾌｧｲﾙPP表紙幅広 A4ﾀﾃ ｸﾞﾘｰﾝ/FF-A4SHW-GN</t>
  </si>
  <si>
    <t>G)ﾋﾞｭｰﾄﾝ/ﾌﾗｯﾄﾌｧｲﾙPP 表紙幅広 A4ﾀﾃ ﾛｲﾔﾙﾌﾞﾙｰ</t>
  </si>
  <si>
    <t>G)ﾋﾞｭｰﾄﾝ/ﾌﾗｯﾄﾌｧｲﾙPP表紙幅広 A4ﾀﾃ ｵﾚﾝｼﾞ/FF-A4SHW-OR</t>
  </si>
  <si>
    <t>G)ﾋﾞｭｰﾄﾝ/ﾌﾗｯﾄﾌｧｲﾙPP(内ﾎﾟｹｯﾄ付き)A4 背幅18mmﾋﾟﾝｸ</t>
  </si>
  <si>
    <t>G)ﾋﾞｭｰﾄﾝ/ﾌﾗｯﾄﾌｧｲﾙPP(内ﾎﾟｹｯﾄ付き)A4 背幅18mm黄</t>
  </si>
  <si>
    <t>G)ﾋﾞｭｰﾄﾝ/ﾌﾗｯﾄﾌｧｲﾙPP(内ﾎﾟｹｯﾄ付き)A4 背幅18mm青</t>
  </si>
  <si>
    <t>G)ﾋﾞｭｰﾄﾝ/ﾌﾗｯﾄﾌｧｲﾙPP(内ﾎﾟｹｯﾄ付き)A4 背幅18mmｸﾞﾘｰﾝ</t>
  </si>
  <si>
    <t>●ﾋﾞｭｰﾄﾝ/ｸﾘﾔｰﾌﾞｯｸ B5 20ﾎﾟｹｯﾄ ﾌﾞﾙｰ 40冊/BCB-B5-20B</t>
  </si>
  <si>
    <t>●ﾋﾞｭｰﾄﾝ/ｸﾘﾔｰﾌﾞｯｸ B5 40ﾎﾟｹｯﾄ ﾌﾞﾙｰ 6冊/BCB-B5-40B</t>
  </si>
  <si>
    <t>ﾋﾞｭｰﾄﾝ/ｸﾘﾔｰﾌﾞｯｸ A4 40ﾎﾟｹｯﾄ ﾀﾞｰｸｸﾞﾚｰ/BCB-A4-40DG</t>
  </si>
  <si>
    <t>ﾋﾞｭｰﾄﾝ/Gra-De ﾄﾞｷｭﾒﾝﾄﾌｧｲﾙ A4 13ﾎﾟｹｯﾄ ﾋﾟﾝｸ</t>
  </si>
  <si>
    <t>ﾋﾞｭｰﾄﾝ/Gra-De ﾄﾞｷｭﾒﾝﾄﾌｧｲﾙ A4 13ﾎﾟｹｯﾄ ｲｴﾛｰ</t>
  </si>
  <si>
    <t>ﾋﾞｭｰﾄﾝ/Gra-De ﾄﾞｷｭﾒﾝﾄﾌｧｲﾙ A4 13ﾎﾟｹｯﾄ ﾌﾞﾙｰ</t>
  </si>
  <si>
    <t>ﾋﾞｭｰﾄﾝ/Gra-De ﾄﾞｷｭﾒﾝﾄﾌｧｲﾙ A4 13ﾎﾟｹｯﾄ ｸﾞﾘｰﾝ</t>
  </si>
  <si>
    <t>ﾋﾞｭｰﾄﾝ/Gra-De ﾄﾞｷｭﾒﾝﾄﾌｧｲﾙ A4 13ﾎﾟｹｯﾄ ﾌﾞﾗｯｸ</t>
  </si>
  <si>
    <t>G)ﾋﾞｭｰﾄﾝ/ｸﾗﾝﾌﾟﾌｧｲﾙ PP A4ﾀﾃ とじ厚10mm ﾌﾞﾙｰ</t>
  </si>
  <si>
    <t>G)ﾋﾞｭｰﾄﾝ/ｸﾗﾝﾌﾟﾌｧｲﾙ PP A4ﾀﾃ とじ厚10mm ﾀﾞｰｸｸﾞﾚｰ</t>
  </si>
  <si>
    <t>G)ﾋﾞｭｰﾄﾝ/ﾘﾝｸﾞﾌｧｲﾙ A4ﾀﾃ 背幅30mm ﾚｯﾄﾞ/BRFA4R</t>
  </si>
  <si>
    <t>G)ﾋﾞｭｰﾄﾝ/ﾘﾝｸﾞﾌｧｲﾙ A4ﾀﾃ 背幅30mm ﾌﾞﾙｰ/BRFA4B</t>
  </si>
  <si>
    <t>G)ﾋﾞｭｰﾄﾝ/ﾘﾝｸﾞﾌｧｲﾙ A4ﾀﾃ 背幅30mm ﾀﾞｰｸｸﾞﾚｰ/BRFA4DG</t>
  </si>
  <si>
    <t>G)ﾋﾞｭｰﾄﾝ/D-ﾘﾝｸﾞﾌｧｲﾙ A4ﾀﾃ 内径30mm ﾌﾞﾙｰ/DRF-A4W-B</t>
  </si>
  <si>
    <t>G)ﾋﾞｭｰﾄﾝ/D-ﾘﾝｸﾞﾌｧｲﾙ A4ﾀﾃ 内径25mm ｸﾘﾔｰ/DRF-A4-C</t>
  </si>
  <si>
    <t>G)ﾋﾞｭｰﾄﾝ/D-ﾘﾝｸﾞﾌｧｲﾙ A4ﾀﾃ 内径25mm ｽｶｲﾌﾞﾙｰ</t>
  </si>
  <si>
    <t>G)ﾋﾞｭｰﾄﾝ/D-ﾘﾝｸﾞﾌｧｲﾙ A4ﾀﾃ 内径25mm ﾀﾞｰｸﾌﾞﾙｰ</t>
  </si>
  <si>
    <t>G)ﾋﾞｭｰﾄﾝ/ｸﾘﾔｰﾎﾙﾀﾞｰA4 ﾌﾞﾙｰ 100ﾏｲﾊﾟｯｸ/CH-A4-CB100</t>
  </si>
  <si>
    <t>G)ﾋﾞｭｰﾄﾝ/ﾌｧｲﾘﾝｸﾞｸﾘﾔｰﾎﾙﾀﾞｰA4 5枚ﾊﾟｯｸ/FCH-A4-5C</t>
  </si>
  <si>
    <t>ﾋﾞｭｰﾄﾝ/ｽﾏｰﾄｷｬﾘｱﾎﾞｯｸｽ A4 ﾌﾞﾙｰ/SBX-A4-CB</t>
  </si>
  <si>
    <t>ﾋﾞｭｰﾄﾝ/ｽﾏｰﾄｷｬﾘｱﾎﾞｯｸｽ A4 ｸﾘﾔｰ/SBX-A4-C</t>
  </si>
  <si>
    <t>ﾋﾞｭｰﾄﾝ/ｽﾏｰﾄｷｬﾘｱｸﾞﾘｯﾌﾟﾎﾞｯｸｽ A4 取っ手付 ﾌﾞﾙｰ</t>
  </si>
  <si>
    <t>ﾋﾞｭｰﾄﾝ/ｽﾏｰﾄｷｬﾘｱｸﾞﾘｯﾌﾟﾎﾞｯｸｽ A4 取っ手付 ｸﾘｱ</t>
  </si>
  <si>
    <t>ﾋﾞｭｰﾄﾝ/ｽﾏｰﾄｷｬﾘｱｸﾞﾘｯﾌﾟﾎﾞｯｸｽ A4 取っ手付 ﾌﾞﾗｯｸ</t>
  </si>
  <si>
    <t>ﾋﾞｭｰﾄﾝ/ｽﾏｰﾄｷｬﾘｱｹｰｽ A4 ﾌﾞﾙｰ/SCC-A4-CB</t>
  </si>
  <si>
    <t>ﾋﾞｭｰﾄﾝ/ｽﾏｰﾄｷｬﾘｱｹｰｽ A4 ｸﾘｱ/SCC-A4-C</t>
  </si>
  <si>
    <t>G)ﾋﾞｭｰﾄﾝ/ｽﾗｲﾃﾞｨﾝｸﾞﾚｰﾙﾎﾙﾀﾞｰ A4ﾀﾃ ﾚｯﾄﾞ10冊/PSR-A4S-R</t>
  </si>
  <si>
    <t>G)ﾋﾞｭｰﾄﾝ/ｽﾗｲﾃﾞｨﾝｸﾞﾚｰﾙﾎﾙﾀﾞｰ A4ﾀﾃ ｸﾞﾘｰﾝ 10冊/PSR-A4S</t>
  </si>
  <si>
    <t>G)ﾋﾞｭｰﾄﾝ/ｽﾗｲﾃﾞｨﾝｸﾞﾚｰﾙﾎﾙﾀﾞｰ A4ﾀﾃ ﾎﾜｲﾄ 10冊/PSR-A4S-</t>
  </si>
  <si>
    <t>ﾋﾞｭｰﾄﾝ/ｽﾗｲﾃﾞｨﾝｸﾞﾚｰﾙﾎﾙﾀﾞｰ厚とじA4 40枚収容ﾎﾜｲﾄ10冊</t>
  </si>
  <si>
    <t>●ﾋﾞｭｰﾄﾝ/ｽﾗｲﾃﾞｨﾝｸﾞﾚｰﾙﾎﾙﾀﾞｰ A4ﾖｺ 20枚収容 ﾌﾞﾙｰ 10冊</t>
  </si>
  <si>
    <t>●G)ﾋﾞｭｰﾄﾝ/ｽﾗｲﾃﾞｨﾝｸﾞﾚｰﾙﾎﾙﾀﾞｰ A4ﾖｺ 20枚収容ﾎﾜｲﾄ10冊</t>
  </si>
  <si>
    <t>ﾋﾞｭｰﾄﾝ/ｽﾗｲﾃﾞｨﾝｸﾞﾚｰﾙﾎﾙﾀﾞｰｽﾘﾑ A4ﾀﾃ 10枚収容 ﾌﾞﾙｰ10冊</t>
  </si>
  <si>
    <t>ﾋﾞｭｰﾄﾝ/ｽﾗｲﾃﾞｨﾝｸﾞﾚｰﾙﾎﾙﾀﾞｰｽﾘﾑ A4ﾀﾃ 10枚収容 ﾎﾜｲﾄ10冊</t>
  </si>
  <si>
    <t>G)ﾋﾞｭｰﾄﾝ/ｽﾗｲﾃﾞｨﾝｸﾞﾚｰﾙﾎﾙﾀﾞｰ名刺ﾎﾟｹｯﾄ付A420枚収容5冊</t>
  </si>
  <si>
    <t>ﾋﾞｭｰﾄﾝ/ﾌｧｲﾙDX 2ﾎﾟｹｯﾄ A4ﾀﾃ 背幅1mm ﾋﾟﾝｸ</t>
  </si>
  <si>
    <t>ﾋﾞｭｰﾄﾝ/ﾌｧｲﾙDX 2ﾎﾟｹｯﾄ A4ﾀﾃ 背幅1mm ｲｴﾛｰ</t>
  </si>
  <si>
    <t>ﾋﾞｭｰﾄﾝ/ﾌｧｲﾙDX 2ﾎﾟｹｯﾄ A4ﾀﾃ 背幅1mm ﾌﾞﾙｰ</t>
  </si>
  <si>
    <t>ﾋﾞｭｰﾄﾝ/ﾌｧｲﾙDX 2ﾎﾟｹｯﾄ A4ﾀﾃ 背幅1mm ﾗｲﾄｸﾞﾘｰﾝ</t>
  </si>
  <si>
    <t>ﾋﾞｭｰﾄﾝ/ﾌｧｲﾙDX 2ﾎﾟｹｯﾄ A4ﾀﾃ 背幅1mm ｵﾚﾝｼﾞ</t>
  </si>
  <si>
    <t>ﾋﾞｭｰﾄﾝ/ｽﾏｰﾄﾎﾙﾀﾞｰ 2ﾎﾟｹｯﾄ A4 背幅1mm ﾋﾟﾝｸ</t>
  </si>
  <si>
    <t>ﾋﾞｭｰﾄﾝ/ｽﾏｰﾄﾎﾙﾀﾞｰ 2ﾎﾟｹｯﾄ A4 背幅1mm ｵﾚﾝｼﾞ</t>
  </si>
  <si>
    <t>ﾋﾞｭｰﾄﾝ/ｽﾏｰﾄﾎﾙﾀﾞｰ 2ﾎﾟｹｯﾄ A4 背幅1mm ﾌﾞﾙｰ</t>
  </si>
  <si>
    <t>ﾋﾞｭｰﾄﾝ/ｽﾏｰﾄﾎﾙﾀﾞｰ 2ﾎﾟｹｯﾄ A4 背幅1mm ﾗｲﾄｸﾞﾘｰﾝ</t>
  </si>
  <si>
    <t>ﾋﾞｭｰﾄﾝ/ｽﾏｰﾄﾎﾙﾀﾞｰ 2ﾎﾟｹｯﾄ A4 背幅1mm ｸﾘﾔｰ</t>
  </si>
  <si>
    <t>ﾋﾞｭｰﾄﾝ/ｽﾏｰﾄﾎﾙﾀﾞｰ 4ﾎﾟｹｯﾄ A4 背幅2mm ﾌﾞﾙｰ</t>
  </si>
  <si>
    <t>ﾋﾞｭｰﾄﾝ/ｽﾏｰﾄﾎﾙﾀﾞｰ 4ﾎﾟｹｯﾄ A4 背幅2mm ｸﾘｱｰ</t>
  </si>
  <si>
    <t>ﾋﾞｭｰﾄﾝ/ｽﾏｰﾄﾎﾙﾀﾞｰ 6ﾎﾟｹｯﾄ A4 背幅3mm ｸﾘﾔｰ</t>
  </si>
  <si>
    <t>ﾋﾞｭｰﾄﾝ/ｽﾏｰﾄﾎﾙﾀﾞｰA4 14ﾎﾟｹｯﾄ ｸﾘｱ/NSH-A4-14C</t>
  </si>
  <si>
    <t>ﾋﾞｭｰﾄﾝ/ﾌｧｲﾝﾋﾞｰ ｽﾗﾝﾄｲﾝﾎﾟｹｯﾄ A4 24ﾎﾟｹｯﾄ ﾋﾟﾝｸ</t>
  </si>
  <si>
    <t>ﾋﾞｭｰﾄﾝ/ﾌｧｲﾝﾋﾞｰ ｽﾗﾝﾄｲﾝﾎﾟｹｯﾄ A4 24ﾎﾟｹｯﾄ ｲｴﾛｰ</t>
  </si>
  <si>
    <t>ﾋﾞｭｰﾄﾝ/ﾌｧｲﾝﾋﾞｰ ｽﾗﾝﾄｲﾝﾎﾟｹｯﾄ A4 24ﾎﾟｹｯﾄ ﾌﾞﾙｰ</t>
  </si>
  <si>
    <t>ﾋﾞｭｰﾄﾝ/ﾌｧｲﾝﾋﾞｰ ｽﾗﾝﾄｲﾝﾎﾟｹｯﾄ A4 24ﾎﾟｹｯﾄ ﾗｲﾄｸﾞﾘｰﾝ</t>
  </si>
  <si>
    <t>ﾋﾞｭｰﾄﾝ/ﾌｧｲﾝﾋﾞｰ ｽﾗﾝﾄｲﾝﾎﾟｹｯﾄ A4 24ﾎﾟｹｯﾄ ｸﾘﾔｰ</t>
  </si>
  <si>
    <t>G)ﾋﾞｭｰﾄﾝ/ﾌﾗｯﾄﾌｧｲﾙPP A5ﾖｺ ﾋﾟﾝｸ/FF-A5E-P</t>
  </si>
  <si>
    <t>G)ﾋﾞｭｰﾄﾝ/ﾌﾗｯﾄﾌｧｲﾙPP A5ﾖｺ ｲｴﾛｰ/FF-A5E-Y</t>
  </si>
  <si>
    <t>G)ﾋﾞｭｰﾄﾝ/ﾌﾗｯﾄﾌｧｲﾙPP A5ﾖｺ ﾌﾞﾙｰ/FF-A5E-B</t>
  </si>
  <si>
    <t>G)ﾋﾞｭｰﾄﾝ/ﾌﾗｯﾄﾌｧｲﾙPP A5ﾖｺ ｸﾞﾘｰﾝ/FF-A5E-GN</t>
  </si>
  <si>
    <t>G)ﾋﾞｭｰﾄﾝ/ﾌﾗｯﾄﾌｧｲﾙPP A5ﾀﾃ ﾋﾟﾝｸ/FF-A5S-P</t>
  </si>
  <si>
    <t>G)ﾋﾞｭｰﾄﾝ/ﾌﾗｯﾄﾌｧｲﾙPP A5ﾀﾃ ｲｴﾛｰ/FF-A5S-Y</t>
  </si>
  <si>
    <t>G)ﾋﾞｭｰﾄﾝ/ﾌﾗｯﾄﾌｧｲﾙPP A5ﾀﾃ ﾌﾞﾙｰ/FF-A5S-B</t>
  </si>
  <si>
    <t>G)ﾋﾞｭｰﾄﾝ/ﾌﾗｯﾄﾌｧｲﾙPP A5ﾀﾃ ｸﾞﾘｰﾝ/FF-A5S-GN</t>
  </si>
  <si>
    <t>G)ﾋﾞｭｰﾄﾝ/ﾀﾞﾌﾞﾙ･ｲﾝﾃﾞｯｸｽ A4ﾀﾃ 6山 2穴 1組/IDX-A4-6Y</t>
  </si>
  <si>
    <t>G)ﾋﾞｭｰﾄﾝ/ﾀﾞﾌﾞﾙ･ｲﾝﾃﾞｯｸｽ A4ﾀﾃ 10山 2穴 1組</t>
  </si>
  <si>
    <t>G)ﾋﾞｭｰﾄﾝ/ﾀﾞﾌﾞﾙ･ｲﾝﾃﾞｯｸｽ A4ﾀﾃ 12山 2穴 1組</t>
  </si>
  <si>
    <t>ﾋﾞｭｰﾄﾝ/厚口ｸﾘﾔｰﾎﾙﾀﾞｰ 0.5mm A4 5枚/ACH-A4-W5</t>
  </si>
  <si>
    <t>ﾋﾞｭｰﾄﾝ/厚口ｸﾘﾔｰﾎﾙﾀﾞｰ 0.5mm A3 5枚/ACH-A3-W5</t>
  </si>
  <si>
    <t>G)ﾋﾞｭｰﾄﾝ/ｻｸﾎﾟｹﾎﾙﾀﾞｰﾌﾞｯｸ A4 14ﾎﾟｹｯﾄ/SPB-A4-14C</t>
  </si>
  <si>
    <t>ﾋﾞｭｰﾄﾝ/ｻｸﾎﾟｹﾎﾙﾀﾞｰﾌﾞｯｸ A4 22ﾎﾟｹｯﾄ/SPB-A4-22C</t>
  </si>
  <si>
    <t>G)ﾋﾞｭｰﾄﾝ/ﾚﾎﾟｰﾄﾊﾟﾝﾁﾌｧｲﾙ A4ﾀﾃ 100枚収容 ｸﾘﾔｰ</t>
  </si>
  <si>
    <t>J6361X</t>
  </si>
  <si>
    <t>J6362X</t>
  </si>
  <si>
    <t>J6363X</t>
  </si>
  <si>
    <t>J6364X</t>
  </si>
  <si>
    <t>J8672Y</t>
  </si>
  <si>
    <t>J8673Y</t>
  </si>
  <si>
    <t>J8674Y</t>
  </si>
  <si>
    <t>J8675Y</t>
  </si>
  <si>
    <t>J8676Y</t>
  </si>
  <si>
    <t>J8677Y</t>
  </si>
  <si>
    <t>J8678Y</t>
  </si>
  <si>
    <t>J8679Y</t>
  </si>
  <si>
    <t>J8680Y</t>
  </si>
  <si>
    <t>J8681Y</t>
  </si>
  <si>
    <t>J8669Y</t>
  </si>
  <si>
    <t>J8671Y</t>
  </si>
  <si>
    <t>J8668Y</t>
  </si>
  <si>
    <t>J8670Y</t>
  </si>
  <si>
    <t>J8664Y</t>
  </si>
  <si>
    <t>J8665Y</t>
  </si>
  <si>
    <t>J8666Y</t>
  </si>
  <si>
    <t>J8667Y</t>
  </si>
  <si>
    <t>J8660Y</t>
  </si>
  <si>
    <t>J8661Y</t>
  </si>
  <si>
    <t>J8662Y</t>
  </si>
  <si>
    <t>J8663Y</t>
  </si>
  <si>
    <t>8994AM</t>
  </si>
  <si>
    <t>ﾋﾞｭｰﾄﾝ/ｸﾘﾔｰﾎﾙﾀﾞｰ A4ﾀﾃ ｸﾘﾔｰ 100枚/UCRS</t>
  </si>
  <si>
    <t>ﾋﾞｭｰﾄﾝ/ｸﾘｯﾌﾟﾌｧｲﾙ A4ﾀﾃ 25枚収容 ﾌﾞﾙｰ 20冊/BCF-A4-B</t>
  </si>
  <si>
    <t>G)ﾋﾞｭｰﾄﾝ/ｸﾗﾝﾌﾟﾌｧｲﾙ 紙 A4ﾀﾃ とじ厚10mm ﾚｯﾄﾞ 10冊</t>
  </si>
  <si>
    <t>G)ﾋﾞｭｰﾄﾝ/ｸﾗﾝﾌﾟﾌｧｲﾙ 紙 A4ﾀﾃ とじ厚10mm ｲｴﾛｰ 10冊</t>
  </si>
  <si>
    <t>G)ﾋﾞｭｰﾄﾝ/ｸﾗﾝﾌﾟﾌｧｲﾙ 紙 A4ﾀﾃ とじ厚10mm ﾌﾞﾙｰ 10冊</t>
  </si>
  <si>
    <t>G)ﾋﾞｭｰﾄﾝ/ｸﾗﾝﾌﾟﾌｧｲﾙ 紙 A4ﾀﾃ とじ厚10mm ｸﾞﾘｰﾝ 10冊</t>
  </si>
  <si>
    <t>G)ﾋﾞｭｰﾄﾝ/ｸﾗﾝﾌﾟﾌｧｲﾙ 紙 A4ﾀﾃ とじ厚10mm ﾀﾞｰｸｸﾞﾚｰ10冊</t>
  </si>
  <si>
    <t>G)ﾋﾞｭｰﾄﾝ/2穴ﾘﾝｸﾞﾌｧｲﾙ 紙製 A4ﾀﾃ 背幅36mm ﾚｯﾄﾞ 10冊</t>
  </si>
  <si>
    <t>G)ﾋﾞｭｰﾄﾝ/2穴ﾘﾝｸﾞﾌｧｲﾙ 紙製 A4ﾀﾃ 背幅36mm ｲｴﾛｰ 10冊</t>
  </si>
  <si>
    <t>G)ﾋﾞｭｰﾄﾝ/2穴ﾘﾝｸﾞﾌｧｲﾙ 紙製 A4ﾀﾃ 背幅36mm ﾌﾞﾙｰ 10冊</t>
  </si>
  <si>
    <t>G)ﾋﾞｭｰﾄﾝ/2穴ﾘﾝｸﾞﾌｧｲﾙ 紙製 A4ﾀﾃ 背幅36mm ｸﾞﾘｰﾝ 10冊</t>
  </si>
  <si>
    <t>G)ﾋﾞｭｰﾄﾝ/2穴ﾘﾝｸﾞﾌｧｲﾙ 紙製 A4ﾀﾃ背幅36mmﾀﾞｰｸｸﾞﾚｰ10冊</t>
  </si>
  <si>
    <t>ﾋﾞｭｰﾄﾝ/ｽﾘﾑｸﾘﾔｰﾌﾞｯｸ A4 10ﾎﾟｹｯﾄ ｸﾘﾔｰ 10冊/FCB-A4-10C</t>
  </si>
  <si>
    <t>ﾋﾞｭｰﾄﾝ/ｽﾘﾑｸﾘﾔｰﾌﾞｯｸ A4 20ﾎﾟｹｯﾄ ﾚｯﾄﾞ10冊/FCB-A4-20CR</t>
  </si>
  <si>
    <t>ﾋﾞｭｰﾄﾝ/ｽﾘﾑｸﾘﾔｰﾌﾞｯｸ A4 20ﾎﾟｹｯﾄ ｲｴﾛｰ10冊/FCB-A4-20CY</t>
  </si>
  <si>
    <t>ﾋﾞｭｰﾄﾝ/ｽﾘﾑｸﾘﾔｰﾌﾞｯｸ A4 20ﾎﾟｹｯﾄ ﾌﾞﾙｰ10冊/FCB-A4-20CB</t>
  </si>
  <si>
    <t>ﾋﾞｭｰﾄﾝ/ｽﾘﾑｸﾘﾔｰﾌﾞｯｸ A4 20ﾎﾟｹｯﾄ ﾗｲﾄｸﾞﾘｰﾝ 10冊</t>
  </si>
  <si>
    <t>ﾋﾞｭｰﾄﾝ/ｽﾘﾑｸﾘﾔｰﾌﾞｯｸ A4 20ﾎﾟｹｯﾄ ｸﾘﾔｰ 10冊/FCB-A4-20C</t>
  </si>
  <si>
    <t>ﾋﾞｭｰﾄﾝ/ｽﾘﾑｸﾘﾔｰﾌﾞｯｸ A4 20ﾎﾟｹｯﾄ ｵﾚﾝｼﾞ 10冊</t>
  </si>
  <si>
    <t>ﾋﾞｭｰﾄﾝ/ｸﾘﾔｰﾎﾙﾀﾞｰ B4 ｸﾘﾔｰ 100枚/CHB4W10</t>
  </si>
  <si>
    <t>ﾋﾞｭｰﾄﾝ/ｸﾘﾔｰﾎﾙﾀﾞｰ B5 ｸﾘﾔｰ 100枚/CHB5W10</t>
  </si>
  <si>
    <t>ﾋﾞｭｰﾄﾝ/ｸﾘﾔｰﾎﾙﾀﾞｰ A3 ｸﾘﾔｰ 100枚/CHA3W5</t>
  </si>
  <si>
    <t>ﾋﾞｭｰﾄﾝ/ｸﾘﾔｰﾎﾙﾀﾞｰ A4ﾀﾃ 赤 100枚/UCRCR</t>
  </si>
  <si>
    <t>ﾋﾞｭｰﾄﾝ/ｸﾘﾔｰﾎﾙﾀﾞｰ A4ﾀﾃ 黄 100枚/UCRCY</t>
  </si>
  <si>
    <t>ﾋﾞｭｰﾄﾝ/ｸﾘﾔｰﾎﾙﾀﾞｰ A4ﾀﾃ 緑 100枚/UCRCG</t>
  </si>
  <si>
    <t>ﾋﾞｭｰﾄﾝ/ｳｨﾝｸﾞｸﾘｯﾌﾟﾌｧｲﾙ A4ﾀﾃ 20枚収容 ﾚｯﾄﾞ 10冊</t>
  </si>
  <si>
    <t>ﾋﾞｭｰﾄﾝ/ｳｨﾝｸﾞｸﾘｯﾌﾟﾌｧｲﾙ A4ﾀﾃ 20枚収容 ｲｴﾛｰ 10冊</t>
  </si>
  <si>
    <t>ﾋﾞｭｰﾄﾝ/ｳｨﾝｸﾞｸﾘｯﾌﾟﾌｧｲﾙ A4ﾀﾃ 20枚収容 ﾌﾞﾙｰ 10冊</t>
  </si>
  <si>
    <t>ﾋﾞｭｰﾄﾝ/ｳｨﾝｸﾞｸﾘｯﾌﾟﾌｧｲﾙ A4ﾀﾃ 20枚収容 ﾗｲﾄｸﾞﾘｰﾝ 10冊</t>
  </si>
  <si>
    <t>ﾋﾞｭｰﾄﾝ/ｸﾘﾔｰﾌﾞｯｸﾎﾟｹｯﾄ A4ﾀﾃ 30穴 ﾌﾞﾙｰ 100枚</t>
  </si>
  <si>
    <t>ﾋﾞｭｰﾄﾝ/ｸﾘﾔｰﾌﾞｯｸﾎﾟｹｯﾄ A4ﾀﾃ 30穴 ｸﾞﾚｰ 100枚</t>
  </si>
  <si>
    <t>ﾋﾞｭｰﾄﾝ/厚口ｸﾘﾔｰﾌﾞｯｸﾎﾟｹｯﾄ A4ﾀﾃ 10枚×20ﾊﾟｯｸ</t>
  </si>
  <si>
    <t>ﾋﾞｭｰﾄﾝ/ﾘﾝｸﾞﾊﾞｲﾝﾀﾞｰ A4ﾀﾃ 30穴 背幅25mm ﾌﾞﾙｰ 6冊</t>
  </si>
  <si>
    <t>ﾋﾞｭｰﾄﾝ/ﾘﾝｸﾞﾊﾞｲﾝﾀﾞｰ A4ﾀﾃ 30穴 背幅25mm ﾀﾞｰｸｸﾞﾚｰ 6冊</t>
  </si>
  <si>
    <t>ﾋﾞｭｰﾄﾝ/ﾘﾝｸﾞﾊﾞｲﾝﾀﾞｰ A4ﾀﾃ 30穴 背幅32mm ﾌﾞﾙｰ 4冊</t>
  </si>
  <si>
    <t>ﾋﾞｭｰﾄﾝ/ﾘﾝｸﾞﾊﾞｲﾝﾀﾞｰ A4ﾀﾃ 30穴 背幅32mm ﾀﾞｰｸｸﾞﾚｰ4冊</t>
  </si>
  <si>
    <t>G)ﾋﾞｭｰﾄﾝ/ﾀﾞﾌﾞﾙ･ｲﾝﾃﾞｯｸｽ A4ﾀﾃ 5山 2穴 10組/IDX-A4-5Y</t>
  </si>
  <si>
    <t>G)ﾋﾞｭｰﾄﾝ/ﾌﾗｯﾄﾌｧｲﾙPP 厚とじ A4ﾀﾃ ﾋﾟﾝｸ10冊/FF-A4SW-P</t>
  </si>
  <si>
    <t>G)ﾋﾞｭｰﾄﾝ/ﾌﾗｯﾄﾌｧｲﾙPP 厚とじ A4ﾀﾃ ｲｴﾛｰ10冊/FF-A4SW-Y</t>
  </si>
  <si>
    <t>G)ﾋﾞｭｰﾄﾝ/ﾌﾗｯﾄﾌｧｲﾙPP 厚とじ A4ﾀﾃ ﾌﾞﾙｰ10冊/FF-A4SW-B</t>
  </si>
  <si>
    <t>G)ﾋﾞｭｰﾄﾝ/ﾌﾗｯﾄﾌｧｲﾙPP 厚とじ A4ﾀﾃ ｸﾞﾘｰﾝ 10冊</t>
  </si>
  <si>
    <t>G)ﾋﾞｭｰﾄﾝ/ﾌﾗｯﾄﾌｧｲﾙPP 表紙幅広 A4ﾀﾃ ﾋﾟﾝｸ 10冊</t>
  </si>
  <si>
    <t>G)ﾋﾞｭｰﾄﾝ/ﾌﾗｯﾄﾌｧｲﾙPP 表紙幅広 A4ﾀﾃ ｲｴﾛｰ 10冊</t>
  </si>
  <si>
    <t>G)ﾋﾞｭｰﾄﾝ/ﾌﾗｯﾄﾌｧｲﾙPP 表紙幅広 A4ﾀﾃ ﾌﾞﾙｰ 10冊</t>
  </si>
  <si>
    <t>G)ﾋﾞｭｰﾄﾝ/ﾌﾗｯﾄﾌｧｲﾙPP表紙幅広 A4ﾀﾃ ｸﾞﾘｰﾝ 10冊</t>
  </si>
  <si>
    <t>G)ﾋﾞｭｰﾄﾝ/ﾌﾗｯﾄﾌｧｲﾙPP 表紙幅広 A4ﾀﾃ ﾛｲﾔﾙﾌﾞﾙｰ 10冊</t>
  </si>
  <si>
    <t>G)ﾋﾞｭｰﾄﾝ/ﾌﾗｯﾄﾌｧｲﾙPP表紙幅広 A4ﾀﾃ ｵﾚﾝｼﾞ 10冊</t>
  </si>
  <si>
    <t>G)ﾋﾞｭｰﾄﾝ/ﾌﾗｯﾄﾌｧｲﾙPP(内ﾎﾟｹｯﾄ付き)A4背幅18mmﾋﾟﾝｸ10冊</t>
  </si>
  <si>
    <t>G)ﾋﾞｭｰﾄﾝ/ﾌﾗｯﾄﾌｧｲﾙPP(内ﾎﾟｹｯﾄ付き)A4 背幅18mm黄 10冊</t>
  </si>
  <si>
    <t>G)ﾋﾞｭｰﾄﾝ/ﾌﾗｯﾄﾌｧｲﾙPP(内ﾎﾟｹｯﾄ付き)A4 背幅18mm青 10冊</t>
  </si>
  <si>
    <t>G)ﾋﾞｭｰﾄﾝﾌﾗｯﾄﾌｧｲﾙPP(内ﾎﾟｹｯﾄ付き)A4背幅18mmｸﾞﾘｰﾝ10冊</t>
  </si>
  <si>
    <t>G)ﾋﾞｭｰﾄﾝ/ｸﾗﾝﾌﾟﾌｧｲﾙ PP A4ﾀﾃ とじ厚10mm ﾌﾞﾙｰ 10冊</t>
  </si>
  <si>
    <t>G)ﾋﾞｭｰﾄﾝ/ｸﾗﾝﾌﾟﾌｧｲﾙ PP A4ﾀﾃ とじ厚10mm ﾀﾞｰｸｸﾞﾚｰ10冊</t>
  </si>
  <si>
    <t>G)ﾋﾞｭｰﾄﾝ/ﾘﾝｸﾞﾌｧｲﾙ A4ﾀﾃ 背幅30mm ﾚｯﾄﾞ 10冊/BRFA4R</t>
  </si>
  <si>
    <t>G)ﾋﾞｭｰﾄﾝ/ﾘﾝｸﾞﾌｧｲﾙ A4ﾀﾃ 背幅30mm ﾌﾞﾙｰ 10冊/BRFA4B</t>
  </si>
  <si>
    <t>G)ﾋﾞｭｰﾄﾝ/ﾘﾝｸﾞﾌｧｲﾙ A4 背幅30mm ﾀﾞｰｸｸﾞﾚｰ 10冊BRFA4DG</t>
  </si>
  <si>
    <t>G)ﾋﾞｭｰﾄﾝ/D-ﾘﾝｸﾞﾌｧｲﾙ A4ﾀﾃ 内径30mm ﾌﾞﾙｰ 6冊</t>
  </si>
  <si>
    <t>G)ﾋﾞｭｰﾄﾝ/D-ﾘﾝｸﾞﾌｧｲﾙ A4ﾀﾃ 内径25mm ｸﾘﾔｰ 6冊</t>
  </si>
  <si>
    <t>G)ﾋﾞｭｰﾄﾝ/D-ﾘﾝｸﾞﾌｧｲﾙ A4ﾀﾃ 内径25mm ｽｶｲﾌﾞﾙｰ 10冊</t>
  </si>
  <si>
    <t>G)ﾋﾞｭｰﾄﾝ/D-ﾘﾝｸﾞﾌｧｲﾙ A4ﾀﾃ 内径25mm ﾀﾞｰｸﾌﾞﾙｰ 10冊</t>
  </si>
  <si>
    <t>ﾋﾞｭｰﾄﾝ/ｽﾗｲﾃﾞｨﾝｸﾞﾚｰﾙﾎﾙﾀﾞｰ厚とじA4 40枚収容ﾎﾜｲﾄ100冊</t>
  </si>
  <si>
    <t>ﾋﾞｭｰﾄﾝ/ｽﾗｲﾃﾞｨﾝｸﾞﾚｰﾙﾎﾙﾀﾞｰｽﾘﾑ A4ﾀﾃ 10枚収容ﾌﾞﾙｰ100冊</t>
  </si>
  <si>
    <t>ﾋﾞｭｰﾄﾝ/ｽﾗｲﾃﾞｨﾝｸﾞﾚｰﾙﾎﾙﾀﾞｰｽﾘﾑ A4ﾀﾃ 10枚収容ﾎﾜｲﾄ100冊</t>
  </si>
  <si>
    <t>ﾋﾞｭｰﾄﾝ/ｽﾏｰﾄﾎﾙﾀﾞｰ 2ﾎﾟｹｯﾄ A4 背幅1mm ﾋﾟﾝｸ 20冊</t>
  </si>
  <si>
    <t>ﾋﾞｭｰﾄﾝ/ｽﾏｰﾄﾎﾙﾀﾞｰ 2ﾎﾟｹｯﾄ A4 背幅1mm ｵﾚﾝｼﾞ 20冊</t>
  </si>
  <si>
    <t>ﾋﾞｭｰﾄﾝ/ｽﾏｰﾄﾎﾙﾀﾞｰ 2ﾎﾟｹｯﾄ A4 背幅1mm ﾌﾞﾙｰ 20冊</t>
  </si>
  <si>
    <t>ﾋﾞｭｰﾄﾝ/ｽﾏｰﾄﾎﾙﾀﾞｰ 2ﾎﾟｹｯﾄ A4 背幅1mm ﾗｲﾄｸﾞﾘｰﾝ 20冊</t>
  </si>
  <si>
    <t>ﾋﾞｭｰﾄﾝ/ｽﾏｰﾄﾎﾙﾀﾞｰ 2ﾎﾟｹｯﾄ A4 背幅1mm ｸﾘﾔｰ 20冊</t>
  </si>
  <si>
    <t>ﾋﾞｭｰﾄﾝ/ｽﾏｰﾄﾎﾙﾀﾞｰ 4ﾎﾟｹｯﾄ A4 背幅2mm ﾌﾞﾙｰ 20冊</t>
  </si>
  <si>
    <t>ﾋﾞｭｰﾄﾝ/ｽﾏｰﾄﾎﾙﾀﾞｰ 4ﾎﾟｹｯﾄ A4 背幅2mm ｸﾘｱｰ 20冊</t>
  </si>
  <si>
    <t>ﾋﾞｭｰﾄﾝ/ｽﾏｰﾄﾎﾙﾀﾞｰ 6ﾎﾟｹｯﾄ A4 背幅3mm ｸﾘﾔｰ 20冊</t>
  </si>
  <si>
    <t>G)ﾋﾞｭｰﾄﾝ/ﾌﾗｯﾄﾌｧｲﾙPP A5ﾖｺ ﾋﾟﾝｸ 5冊/FF-A5E-P</t>
  </si>
  <si>
    <t>G)ﾋﾞｭｰﾄﾝ/ﾌﾗｯﾄﾌｧｲﾙPP A5ﾖｺ ｲｴﾛｰ 5冊/FF-A5E-Y</t>
  </si>
  <si>
    <t>G)ﾋﾞｭｰﾄﾝ/ﾌﾗｯﾄﾌｧｲﾙPP A5ﾖｺ ﾌﾞﾙｰ 5冊/FF-A5E-B</t>
  </si>
  <si>
    <t>G)ﾋﾞｭｰﾄﾝ/ﾌﾗｯﾄﾌｧｲﾙPP A5ﾖｺ ｸﾞﾘｰﾝ 5冊/FF-A5E-GN</t>
  </si>
  <si>
    <t>G)ﾋﾞｭｰﾄﾝ/ﾌﾗｯﾄﾌｧｲﾙPP A5ﾀﾃ ﾋﾟﾝｸ 5冊/FF-A5S-P</t>
  </si>
  <si>
    <t>G)ﾋﾞｭｰﾄﾝ/ﾌﾗｯﾄﾌｧｲﾙPP A5ﾀﾃ ｲｴﾛｰ 5冊/FF-A5S-Y</t>
  </si>
  <si>
    <t>G)ﾋﾞｭｰﾄﾝ/ﾌﾗｯﾄﾌｧｲﾙPP A5ﾀﾃ ﾌﾞﾙｰ 5冊/FF-A5S-B</t>
  </si>
  <si>
    <t>G)ﾋﾞｭｰﾄﾝ/ﾌﾗｯﾄﾌｧｲﾙPP A5ﾀﾃ ｸﾞﾘｰﾝ 5冊/FF-A5S-GN</t>
  </si>
  <si>
    <t>G)ﾋﾞｭｰﾄﾝ/ﾀﾞﾌﾞﾙ･ｲﾝﾃﾞｯｸｽ A4ﾀﾃ 6山 2穴 10組/IDX-A4-6Y</t>
  </si>
  <si>
    <t>G)ﾋﾞｭｰﾄﾝ/ﾀﾞﾌﾞﾙ･ｲﾝﾃﾞｯｸｽ A4ﾀﾃ 10山 2穴 5組</t>
  </si>
  <si>
    <t>G)ﾋﾞｭｰﾄﾝ/ﾀﾞﾌﾞﾙ･ｲﾝﾃﾞｯｸｽ A4ﾀﾃ 12山 2穴 5組</t>
  </si>
  <si>
    <t>ﾋﾞｭｰﾄﾝ/厚口ｸﾘﾔｰﾎﾙﾀﾞｰ 0.5mm A4 50枚/ACH-A4-W5</t>
  </si>
  <si>
    <t>ﾋﾞｭｰﾄﾝ/厚口ｸﾘﾔｰﾎﾙﾀﾞｰ 0.5mm A3 50枚/ACH-A3-W5</t>
  </si>
  <si>
    <t>34/195</t>
  </si>
  <si>
    <t>34/27</t>
  </si>
  <si>
    <t>34/48</t>
  </si>
  <si>
    <t>34/199</t>
  </si>
  <si>
    <t>25/430</t>
  </si>
  <si>
    <t>34/67</t>
  </si>
  <si>
    <t>34/75</t>
  </si>
  <si>
    <t>34/76</t>
  </si>
  <si>
    <t>34/61</t>
  </si>
  <si>
    <t>34/59</t>
  </si>
  <si>
    <t>34/60</t>
  </si>
  <si>
    <t>34/74</t>
  </si>
  <si>
    <t>34/57</t>
  </si>
  <si>
    <t>34/20</t>
  </si>
  <si>
    <t>25/422</t>
  </si>
  <si>
    <t>34/45</t>
  </si>
  <si>
    <t>27/394</t>
  </si>
  <si>
    <t>34/54</t>
  </si>
  <si>
    <t>34/94</t>
  </si>
  <si>
    <t>-</t>
  </si>
  <si>
    <t>6月
たの</t>
    <rPh sb="1" eb="2">
      <t>ガツ</t>
    </rPh>
    <phoneticPr fontId="2"/>
  </si>
  <si>
    <t>6月
カウ</t>
    <rPh sb="1" eb="2">
      <t>ガツ</t>
    </rPh>
    <phoneticPr fontId="2"/>
  </si>
  <si>
    <t>ビュートン フラットファイルPP B5S ピンク FF-B5S-P（直送品）</t>
  </si>
  <si>
    <t>ビュートン フラットファイルPP B5S イエロー FF-B5S-Y（直送品）</t>
  </si>
  <si>
    <t>ビュートン フラットファイルPP B5S ブルー FF-B5S-B（直送品）</t>
  </si>
  <si>
    <t>ビュートン フラットファイルPP B5S グリーンFF-B5S-GN（直送品）</t>
  </si>
  <si>
    <t>ビュートン フラットファイルPP A5S ピンク FF-A5S-P 1セット(5冊)（直送品）</t>
  </si>
  <si>
    <t>ビュートン フラットファイルPP A5S イエロー FF-A5S-Y 1セット(5冊)（直送品）</t>
  </si>
  <si>
    <t>ビュートン フラットファイルPP A5S ブルー FF-A5S-B 1セット(5冊)（直送品）</t>
  </si>
  <si>
    <t>ビュートン フラットファイルPP A5S グリーンFF-A5S-GN FF-A5S-GN 1セット(5冊)（直送品）</t>
  </si>
  <si>
    <t>ビュートン フラットファイルPP A5E ピンク FF-A5E-P 1セット(5冊)（直送品）</t>
  </si>
  <si>
    <t>ビュートン フラットファイルPP A5E イエロー FF-A5E-Y 1セット(5冊)（直送品）</t>
  </si>
  <si>
    <t>ビュートン フラットファイルPP A5E ブルー FF-A5E-B 1セット(5冊)（直送品）</t>
  </si>
  <si>
    <t>ビュートン フラットファイルPP A5E グリーンFF-A5E-GN FF-A5E-GN 1セット(5冊)（直送品）</t>
  </si>
  <si>
    <t>ビュートン クリップファイルA4 ブルー BCF-A4-B 1冊</t>
  </si>
  <si>
    <t>ビュートン　ウィングクリップファイル　青　WCF-A4S-CB　（直送品）</t>
  </si>
  <si>
    <t>ビュートン　ウィングクリップファイル　L　WCF-A4S-CLG　（直送品）</t>
  </si>
  <si>
    <t>ビュートン　ウィングクリップファイル　黄　WCF-A4S-CY　（直送品）</t>
  </si>
  <si>
    <t>ビュートン　ウィングクリップファイル　赤　WCF-A4S-CR　（直送品）</t>
  </si>
  <si>
    <t>ビュートン スマートホルダー A4 Lグリーン NSH-A4-2CLG 5冊（直送品）</t>
  </si>
  <si>
    <t>ビュートン スマートホルダー A4 オレンジ NSH-A4-2COR 5枚（直送品）</t>
  </si>
  <si>
    <t>ビュートン スマートホルダー A4 ピンク NSH-A4-2CP 5冊（直送品）</t>
  </si>
  <si>
    <t>ビュートン スマートホルダー A4 2ポケット NSH-A4-2C 1冊</t>
  </si>
  <si>
    <t>ビュートン　スマートホルダーA4　2ポケット　NSH-A4-2C　1セット（50冊：10冊入×5）</t>
  </si>
  <si>
    <t>ビュートン スマートホルダー A4 ブルー NSH-A4-2CB 5冊（直送品）</t>
  </si>
  <si>
    <t>ビュートン フラットファイルPP 厚とじA4S FF-A4SW-P（直送品）</t>
  </si>
  <si>
    <t>ビュートン フラットファイルPP 厚とじA4S FF-A4SW-Y（直送品）</t>
  </si>
  <si>
    <t>ビュートン フラットファイルPP 厚とじA4S FF-A4SW-B（直送品）</t>
  </si>
  <si>
    <t>ビュートン フラットファイルPP 厚とじA4S FF-A4SW-GN（直送品）</t>
  </si>
  <si>
    <t>ビュートン フラットF PP 表紙ワイドA4S FF-A4SHW-P（直送品）</t>
  </si>
  <si>
    <t>ビュートン フラットF PP 表紙ワイドA4S FF-A4SHW-Y（直送品）</t>
  </si>
  <si>
    <t>ビュートン フラットF PP 表紙ワイドA4S FF-A4SHW-B（直送品）</t>
  </si>
  <si>
    <t>ビュートン フラットF PP 表紙ワイドA4S FF-A4SHW-GN（直送品）</t>
  </si>
  <si>
    <t>ビュートン PPフラットファイル幅広表紙 A4S FF-A4SHW-RB 1冊</t>
  </si>
  <si>
    <t>ビュートン PPフラットファイル幅広表紙 A4S FF-A4SHW-RB 1セット(1冊×15)</t>
  </si>
  <si>
    <t>ビュートン PPフラットファイル幅広表紙 A4S FF-A4SHW-OR 1冊</t>
  </si>
  <si>
    <t>ビュートン PPフラットファイル幅広表紙 A4S FF-A4SHW-OR 1セット(1冊×15)</t>
  </si>
  <si>
    <t>ビュートン フラットF PP ポケット付 A4S FF-A4SP-B（直送品）</t>
  </si>
  <si>
    <t>ビュートン フラットF PP ポケット付 A4S FF-A4SP-P（直送品）</t>
  </si>
  <si>
    <t>ビュートン フラットF PP ポケット付 A4S FF-A4SP-GN（直送品）</t>
  </si>
  <si>
    <t>ビュートン フラットF PP ポケット付 A4S FF-A4SP-Y（直送品）</t>
  </si>
  <si>
    <t>ビュートン　スマートホルダーA4　4ポケット</t>
  </si>
  <si>
    <t>ビュートン　スマートホルダーA4　4ポケット　1セット（30冊：1冊×30）</t>
  </si>
  <si>
    <t>ビュートン スマートホルダー NSHーA4ー4CB ブルー 1セット(5冊)（直送品）</t>
  </si>
  <si>
    <t>ビュートン　エコノミーZファイル　A4タテ　イエロー　1箱（10冊入）</t>
  </si>
  <si>
    <t>ビュートン　エコノミーZファイル　A4タテ　イエロー　1セット（30冊：10冊入×3箱）</t>
  </si>
  <si>
    <t>ビュートン　エコノミーZファイル　A4タテ　グリーン　1箱（10冊入）</t>
  </si>
  <si>
    <t>ビュートン　エコノミーZファイル　A4タテ　グリーン　1セット（30冊：10冊入×3箱）</t>
  </si>
  <si>
    <t>ビュートン Zファイル SCL-A4-DG A4S 濃灰 1冊（直送品）</t>
  </si>
  <si>
    <t>ビュートン　スリムクリヤーブック10P　FCB-A4-10C　クリア　（直送品）</t>
  </si>
  <si>
    <t>ビュートン　フラットホルダー　A4　スモーク　NFH-A4-CS　（直送品）</t>
  </si>
  <si>
    <t>ビュートン　フラットホルダー　クリア　ＮＦＨーＡ4　1箱（20冊入）　（直送品）</t>
  </si>
  <si>
    <t>ビュートン　フラットホルダー　A4　青　NFH-A4-CB　（直送品）</t>
  </si>
  <si>
    <t>ビュートン　フラットホルダー　A4　桃　NFH-A4-CP　（直送品）</t>
  </si>
  <si>
    <t>ビュートン　スマートホルダーA4　6ポケット</t>
  </si>
  <si>
    <t>ビュートン　スマートホルダーA4　6ポケット　1セット（30冊：1冊×30）</t>
  </si>
  <si>
    <t>ビュートン　クリヤーポケット　10枚　ブルー　CBP-A4-10B　（直送品）</t>
  </si>
  <si>
    <t>ビュートン　クリヤーポケット　10枚　ピンク　CBP-A4-10P　（直送品）</t>
  </si>
  <si>
    <t>ビュートン　クリヤーポケット　10枚　グリーン　CBP-A4-10GN　（直送品）</t>
  </si>
  <si>
    <t>ビュートン　クリヤーポケット　10枚　グレー　CBP-A4-10G　（直送品）</t>
  </si>
  <si>
    <t>ビュートン ファイルDX 2ポケット ピンク TFD-A4-2CP 1セット(15冊)（直送品）</t>
  </si>
  <si>
    <t>ビュートン ファイルDX 2ポケット オレンジ TFD-A4-2COR 1セット(15冊)（直送品）</t>
  </si>
  <si>
    <t>ビュートン ファイルDX 2ポケット イエロー TFD-A4-2CY 1セット(15冊)（直送品）</t>
  </si>
  <si>
    <t>ビュートン ファイルDX 2ポケット ライトグリーン TFD-A4-2CLG 1セット(15冊)（直送品）</t>
  </si>
  <si>
    <t>ビュートン ファイルDX 2ポケット ブルー TFD-A4-2CB 1セット(15冊)（直送品）</t>
  </si>
  <si>
    <t>ビュートン ファスナー付き連絡ファイル HF-A4-CB 1セット(10冊)（直送品）</t>
  </si>
  <si>
    <t>ビュートン 厚口クリヤーブックポケット ACBP-A4-10 1パック</t>
  </si>
  <si>
    <t>ビュートン リングファイル レッド SRF-A4-R 1冊</t>
  </si>
  <si>
    <t>ビュートン リングファイル レッド SRF-A4-R 1セット(10冊)</t>
  </si>
  <si>
    <t>ビュートン リングファイル イエロー SRF-A4-Y 1冊</t>
  </si>
  <si>
    <t>ビュートン リングファイル イエロー SRF-A4-Y 1セット(10冊)</t>
  </si>
  <si>
    <t>ビュートン リングファイル　グリーン SRF-A4-GN 1冊</t>
  </si>
  <si>
    <t>ビュートン リングファイル　グリーン SRF-A4-GN 1セット（10冊）</t>
  </si>
  <si>
    <t>ビュートン リングファイル ブルー SRF-A4-B 1冊</t>
  </si>
  <si>
    <t>ビュートン リングファイル ブルー SRF-A4-B 1セット(10冊)</t>
  </si>
  <si>
    <t>ビュートン リングファイル ダークグレー SRF-A4-DG 1冊</t>
  </si>
  <si>
    <t>ビュートン リングファイル ダークグレー SRF-A4-DG 1セット(10冊)</t>
  </si>
  <si>
    <t>ビュートン ダブルインデックス5山1組 IDX-A4-5Y（直送品）</t>
  </si>
  <si>
    <t>ビュートン　スリムクリヤーブック20P　FCB-A4-20OR　（直送品）</t>
  </si>
  <si>
    <t>ビュートン　スリムクリヤーブック20P　FCB-A4-20CB　ブルー　（直送品）</t>
  </si>
  <si>
    <t>ビュートン　スリムクリヤーブック20P　FCB-A4-20CLG　ライトグリーン　（直送品）</t>
  </si>
  <si>
    <t>ビュートン　スリムクリヤーブック20P　FCB-A4-20C　クリアー　（直送品）</t>
  </si>
  <si>
    <t>ビュートン　スリムクリヤーブック20P　FCB-A4-20CY　イエロー　（直送品）</t>
  </si>
  <si>
    <t>ビュートン　スリムクリヤーブック20P　FCB-A4-20CR　レッド　（直送品）</t>
  </si>
  <si>
    <t>ビュートン クリヤーホルダーA4ー10枚パック CH-A4-W10 1パック</t>
  </si>
  <si>
    <t>ビュートン クリヤーホルダーA4ー10枚パック CH-A4-W10 1セット(1パック×10)</t>
  </si>
  <si>
    <t>ビュートン クリヤーホルダーA4ー10枚パック CH-A4-CG10 1パック</t>
  </si>
  <si>
    <t>ビュートン クリヤーホルダーA4ー10枚パック CH-A4-CG10 1セット(1パック×10)</t>
  </si>
  <si>
    <t>ビュートン クリヤーホルダーA4 CH-A4-CR10 1パック(10枚入)</t>
  </si>
  <si>
    <t>ビュートン クリヤーホルダーA4 CH-A4-CR10 1セット(1パック10枚入×10)</t>
  </si>
  <si>
    <t>ビュートン クリヤーホルダーA4ー10枚パック CH-A4-CY10 1セット(10パック)（直送品）</t>
  </si>
  <si>
    <t>ビュートン ダブルインデックス6山1組 IDX-A4-6Y 1パック（直送品）</t>
  </si>
  <si>
    <t>ビュートン 厚口クリヤーホルダー A4ー5枚入り ACH-A4-W5 1パック</t>
  </si>
  <si>
    <t>ビュートン 厚口クリヤーホルダー A4ー5枚入り ACH-A4-W5 1セット(1パック×10)</t>
  </si>
  <si>
    <t>ビュートン　スリムクリヤーブック40P　FCB-A4-40CB　ブルー　（直送品）</t>
  </si>
  <si>
    <t>ビュートン　スリムクリヤーブック40P　FCB-A4-40CLG　ライトグリーン　（直送品）</t>
  </si>
  <si>
    <t>ビュートン　スリムクリヤーブック40P　FCB-A4-40C　クリアー　（直送品）</t>
  </si>
  <si>
    <t>ビュートン　スリムクリヤーブック40P　FCB-A4-40CY　イエロー　（直送品）</t>
  </si>
  <si>
    <t>ビュートン　スリムクリヤーブック40P　FCB-A4-40CR　レッド　（直送品）</t>
  </si>
  <si>
    <t>ビュートン ドキュメントボックス A4 クリア NDB-A4-C</t>
  </si>
  <si>
    <t>ビュートン　D-リングファイル　A4タテワイド　背幅34mm　スカイブルー　IDF-A4-SB　1箱（10冊入）　（直送品）</t>
  </si>
  <si>
    <t>ビュートン　D-リングファイル　A4タテワイド　背幅34mm　スカイブルー　IDF-A4-SB　1箱（30冊：10冊入×3箱）　（直送品）</t>
  </si>
  <si>
    <t>ビュートン Dリングファイル IDFーA4ーDB 34mm 1セット(3冊)（直送品）</t>
  </si>
  <si>
    <t>ビュートン　レールホルダーポケット付５枚ＰＳＲーＡ４ＳーＮＷ５　3パック　（直送品）</t>
  </si>
  <si>
    <t>ビュートン　クリヤーブックポケット　B5　CBP-B5-50　（直送品）</t>
  </si>
  <si>
    <t>ビュートン ダブルインデックス10山1組 IDX-A4-10Y（直送品）</t>
  </si>
  <si>
    <t>ビュートン　スライディングレールホルダー(スリム)ブルー　A4タテ　PSR-A4SS-B10　1箱（100冊：10冊入×10袋）　（直送品）</t>
  </si>
  <si>
    <t>ビュートン　スライディングレールホルダー(スリム)ホワイト　A4タテ　PSR-A4SS-W10　1箱（100冊：10冊入×10袋）　（直送品）</t>
  </si>
  <si>
    <t>ビュートン　リングバインダ　25mm　30穴　RB-A4-B　（直送品）</t>
  </si>
  <si>
    <t>ビュートン　リングバインダ　25mm　30穴　RB-A4-DG　（直送品）</t>
  </si>
  <si>
    <t>ビュートン クリヤーブック40P A4S Dグレー BCB-A4-40DG（直送品）</t>
  </si>
  <si>
    <t>ビュートン ダブルインデックス12山1組 IDX-A4-12Y 1セット(2パック)（直送品）</t>
  </si>
  <si>
    <t>ビュートン　スマートキャリーボックス　Ａ4　ブルー　SBX-A4-CB　1冊　　（直送品）</t>
  </si>
  <si>
    <t>ビュートン　スマートキャリーボックス　Ａ4　クリア　SBX-A4-C　1冊　　（直送品）</t>
  </si>
  <si>
    <t>ビュートン スライディングレールホルダーA4 ホワイト PSR-A4S-W10 1パック(10枚入)</t>
  </si>
  <si>
    <t>ビュートン スライディングレールホルダー グリーン PSR-A4S-GN10 10マイイリ 1パック</t>
  </si>
  <si>
    <t>ビュートン スライディングレールホルダー レッド PSR-A4S-R10 10マイイリ 1パック</t>
  </si>
  <si>
    <t>ビュートン　クリヤーブックポケット　A4　CBP-A4-50　（直送品）</t>
  </si>
  <si>
    <t>ビュートン レールホルダー A4S ホワイト PSR-A4SW-W10 1個（直送品）</t>
  </si>
  <si>
    <t>ビュートン　リングバインダ　32mm　30穴　RB-A4W-B　（直送品）</t>
  </si>
  <si>
    <t>ビュートン　リングバインダ　32mm　A4　RB-A4W-DG　（直送品）</t>
  </si>
  <si>
    <t>ビュートン 厚口クリヤーホルダー A3 ACH-A3-W5 1パック(5枚)</t>
  </si>
  <si>
    <t>ビュートン 厚口クリヤーホルダー A3 ACH-A3-W5 1セット(25枚:5枚入×5パック)</t>
  </si>
  <si>
    <t>ビュートン　リングクリヤーブック　A4S　RCB-A4-20DG　（直送品）</t>
  </si>
  <si>
    <t>ビュートン　リングクリヤーブック　A4S　RCB-A4-20B　（直送品）</t>
  </si>
  <si>
    <t>ビュートン FineーBe 24ポケット ピンク FIN-A4-24CP 1冊</t>
  </si>
  <si>
    <t>ビュートン FineーBe 24ポケット イエロー FIN-A4-24CY 1セット(3冊)（直送品）</t>
  </si>
  <si>
    <t>ビュートン FineーBe 24ポケット クリヤー FIN-A4-24C 1冊</t>
  </si>
  <si>
    <t>ビュートン ＦｉｎｅーＢｅ　２４ポケ　ライトグリーン FIN-A4-24CLG 3冊（直送品）</t>
  </si>
  <si>
    <t>ビュートン FineーBe 24ポケット ブルー FIN-A4-24CB 1冊</t>
  </si>
  <si>
    <t>ビュートン スライディングレールホルダー ホワイト PSR-A3E-W10 1パック</t>
  </si>
  <si>
    <t>ビュートン スライディングレールホルダー ブルー PSR-A3E-B10 1パック</t>
  </si>
  <si>
    <t>ビュートン　リングクリヤーブック　A4S　RCB-A4-30DG　（直送品）</t>
  </si>
  <si>
    <t>ビュートン　リングクリヤーブック　A4S　RCB-A4-30B　（直送品）</t>
  </si>
  <si>
    <t>ビュートン クリヤーホルダー A4 5色 10 CH-A4-C10 1個（直送品）</t>
  </si>
  <si>
    <t>ビュートン 製本テープカット版 KS25-A4-W100 1箱（直送品）</t>
  </si>
  <si>
    <t>ビュートン 製本テープカット版 KS35-A4-W100 1箱（直送品）</t>
  </si>
  <si>
    <t>ビュートン 袋とじ製本テープ契約書割印用 FS25-A4-W100 1個</t>
  </si>
  <si>
    <t>ビュートン 袋とじ製本テープ契約書割印用 FS35-A4-W100 1個</t>
  </si>
  <si>
    <t>P827071</t>
  </si>
  <si>
    <t>1冊</t>
  </si>
  <si>
    <t>P827429</t>
  </si>
  <si>
    <t>P827593</t>
  </si>
  <si>
    <t>P827493</t>
  </si>
  <si>
    <t>UH76541</t>
  </si>
  <si>
    <t>1セット（5冊）</t>
  </si>
  <si>
    <t>UH76542</t>
  </si>
  <si>
    <t>UH76539</t>
  </si>
  <si>
    <t>UH76540</t>
  </si>
  <si>
    <t>UH76536</t>
  </si>
  <si>
    <t>UH76538</t>
  </si>
  <si>
    <t>UH76535</t>
  </si>
  <si>
    <t>UH76537</t>
  </si>
  <si>
    <t>EW70807</t>
  </si>
  <si>
    <t>1682881</t>
  </si>
  <si>
    <t>1682907</t>
  </si>
  <si>
    <t>1682934</t>
  </si>
  <si>
    <t>1682925</t>
  </si>
  <si>
    <t>N862537</t>
  </si>
  <si>
    <t>1セット(5冊)</t>
  </si>
  <si>
    <t>N862998</t>
  </si>
  <si>
    <t>1セット(5枚)</t>
  </si>
  <si>
    <t>N862535</t>
  </si>
  <si>
    <t>3436199</t>
  </si>
  <si>
    <t>1263866</t>
  </si>
  <si>
    <t>1セット（50冊</t>
  </si>
  <si>
    <t>N862536</t>
  </si>
  <si>
    <t>P828069</t>
  </si>
  <si>
    <t>P828071</t>
  </si>
  <si>
    <t>P828072</t>
  </si>
  <si>
    <t>P828070</t>
  </si>
  <si>
    <t>P828073</t>
  </si>
  <si>
    <t>P828074</t>
  </si>
  <si>
    <t>P828076</t>
  </si>
  <si>
    <t>P828075</t>
  </si>
  <si>
    <t>RX46037</t>
  </si>
  <si>
    <t>NK42680</t>
  </si>
  <si>
    <t>1セット(1冊×15)</t>
  </si>
  <si>
    <t>UA21899</t>
  </si>
  <si>
    <t>NK42679</t>
  </si>
  <si>
    <t>P828082</t>
  </si>
  <si>
    <t>P828077</t>
  </si>
  <si>
    <t>P828080</t>
  </si>
  <si>
    <t>P828078</t>
  </si>
  <si>
    <t>179104</t>
  </si>
  <si>
    <t>1263875</t>
  </si>
  <si>
    <t>1セット（30冊</t>
  </si>
  <si>
    <t>N862540</t>
  </si>
  <si>
    <t>462346</t>
  </si>
  <si>
    <t>1箱（10冊入）</t>
  </si>
  <si>
    <t>459467</t>
  </si>
  <si>
    <t>462355</t>
  </si>
  <si>
    <t>459476</t>
  </si>
  <si>
    <t>AX33482</t>
  </si>
  <si>
    <t>1674997</t>
  </si>
  <si>
    <t>1691192</t>
  </si>
  <si>
    <t>1245643</t>
  </si>
  <si>
    <t>1箱（20冊入）</t>
  </si>
  <si>
    <t>1691165</t>
  </si>
  <si>
    <t>1691183</t>
  </si>
  <si>
    <t>179113</t>
  </si>
  <si>
    <t>1263884</t>
  </si>
  <si>
    <t>1671510</t>
  </si>
  <si>
    <t>1個</t>
  </si>
  <si>
    <t>1671547</t>
  </si>
  <si>
    <t>1671538</t>
  </si>
  <si>
    <t>1671529</t>
  </si>
  <si>
    <t>WW50157</t>
  </si>
  <si>
    <t>1セット(15冊)</t>
  </si>
  <si>
    <t>WW50156</t>
  </si>
  <si>
    <t>WW50159</t>
  </si>
  <si>
    <t>WW50155</t>
  </si>
  <si>
    <t>WW50154</t>
  </si>
  <si>
    <t>HE85452</t>
  </si>
  <si>
    <t>1セット(10冊)</t>
  </si>
  <si>
    <t>HN47709</t>
  </si>
  <si>
    <t>1パック</t>
  </si>
  <si>
    <t>HN47854</t>
  </si>
  <si>
    <t>WW50088</t>
  </si>
  <si>
    <t>1セット（10冊）</t>
  </si>
  <si>
    <t>HK37043</t>
  </si>
  <si>
    <t>WW50089</t>
  </si>
  <si>
    <t>HN72315</t>
  </si>
  <si>
    <t>WW50087</t>
  </si>
  <si>
    <t>HK37042</t>
  </si>
  <si>
    <t>WW50084</t>
  </si>
  <si>
    <t>HN72312</t>
  </si>
  <si>
    <t>WW50086</t>
  </si>
  <si>
    <t>P826915</t>
  </si>
  <si>
    <t>1675107</t>
  </si>
  <si>
    <t>1675054</t>
  </si>
  <si>
    <t>1675072</t>
  </si>
  <si>
    <t>1675045</t>
  </si>
  <si>
    <t>1675081</t>
  </si>
  <si>
    <t>1690711</t>
  </si>
  <si>
    <t>XU19150</t>
  </si>
  <si>
    <t>WW47527</t>
  </si>
  <si>
    <t>1セット(1パック×10)</t>
  </si>
  <si>
    <t>XU21111</t>
  </si>
  <si>
    <t>WW47524</t>
  </si>
  <si>
    <t>UK26610</t>
  </si>
  <si>
    <t>1パック(10枚入)</t>
  </si>
  <si>
    <t>WW47522</t>
  </si>
  <si>
    <t>1セット(1パック10枚入×10)</t>
  </si>
  <si>
    <t>WW47525</t>
  </si>
  <si>
    <t>1セット(10パック)</t>
  </si>
  <si>
    <t>U431030</t>
  </si>
  <si>
    <t>RX47105</t>
  </si>
  <si>
    <t>WW47256</t>
  </si>
  <si>
    <t>1675134</t>
  </si>
  <si>
    <t>1675143</t>
  </si>
  <si>
    <t>1675125</t>
  </si>
  <si>
    <t>1675180</t>
  </si>
  <si>
    <t>1675161</t>
  </si>
  <si>
    <t>371949</t>
  </si>
  <si>
    <t>1246391</t>
  </si>
  <si>
    <t>1246408</t>
  </si>
  <si>
    <t>1箱（30冊</t>
  </si>
  <si>
    <t>N862533</t>
  </si>
  <si>
    <t>1セット(3冊)</t>
  </si>
  <si>
    <t>N862534</t>
  </si>
  <si>
    <t>1セット(3パック（1パック5枚入）)</t>
  </si>
  <si>
    <t>1671565</t>
  </si>
  <si>
    <t>P826916</t>
  </si>
  <si>
    <t>8145087</t>
  </si>
  <si>
    <t>1箱（100冊</t>
  </si>
  <si>
    <t>8145069</t>
  </si>
  <si>
    <t>1681463</t>
  </si>
  <si>
    <t>1681481</t>
  </si>
  <si>
    <t>P826938</t>
  </si>
  <si>
    <t>J080931</t>
  </si>
  <si>
    <t>1セット(2パック)</t>
  </si>
  <si>
    <t>8189994</t>
  </si>
  <si>
    <t>8190000</t>
  </si>
  <si>
    <t>UA90197</t>
  </si>
  <si>
    <t>HN47848</t>
  </si>
  <si>
    <t>EW70892</t>
  </si>
  <si>
    <t>1671556</t>
  </si>
  <si>
    <t>1681033</t>
  </si>
  <si>
    <t>1681525</t>
  </si>
  <si>
    <t>1681534</t>
  </si>
  <si>
    <t>HK35896</t>
  </si>
  <si>
    <t>1パック（5枚）</t>
  </si>
  <si>
    <t>WW47258</t>
  </si>
  <si>
    <t>1セット（25枚</t>
  </si>
  <si>
    <t>1681599</t>
  </si>
  <si>
    <t>1681580</t>
  </si>
  <si>
    <t>XA63124</t>
  </si>
  <si>
    <t>WW49086</t>
  </si>
  <si>
    <t>HN47803</t>
  </si>
  <si>
    <t>WW49082</t>
  </si>
  <si>
    <t>RR50717</t>
  </si>
  <si>
    <t>HN47846</t>
  </si>
  <si>
    <t>HN47844</t>
  </si>
  <si>
    <t>1681632</t>
  </si>
  <si>
    <t>1681623</t>
  </si>
  <si>
    <t>1671780</t>
  </si>
  <si>
    <t>UH76571</t>
  </si>
  <si>
    <t>1箱</t>
  </si>
  <si>
    <t>UH76570</t>
  </si>
  <si>
    <t>NW28293</t>
  </si>
  <si>
    <t>NW28292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</si>
</sst>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3" borderId="10" xfId="0" applyFill="1" applyBorder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264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5" customWidth="1" collapsed="1"/>
    <col min="26" max="28" width="7.625" customWidth="1"/>
    <col min="29" max="29" width="4.375" customWidth="1" collapsed="1"/>
    <col min="30" max="31" width="7.625" customWidth="1"/>
    <col min="32" max="32" width="6.125" style="30" customWidth="1"/>
    <col min="33" max="33" width="7.625" customWidth="1"/>
    <col min="34" max="34" width="7.625" style="30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4" width="7.625" customWidth="1" outlineLevel="1"/>
    <col min="55" max="58" width="7.625" customWidth="1"/>
    <col min="59" max="59" width="10.375" customWidth="1"/>
    <col min="60" max="68" width="7.625" customWidth="1"/>
  </cols>
  <sheetData>
    <row r="1" spans="1:69" x14ac:dyDescent="0.4">
      <c r="C1" s="29" t="s">
        <v>43</v>
      </c>
      <c r="Y1" s="43" t="s">
        <v>40</v>
      </c>
      <c r="Z1" s="44"/>
      <c r="AA1" s="44"/>
      <c r="AB1" s="45"/>
    </row>
    <row r="2" spans="1:69" x14ac:dyDescent="0.4">
      <c r="C2" s="8" t="s">
        <v>28</v>
      </c>
      <c r="D2" s="9" t="s">
        <v>29</v>
      </c>
      <c r="E2" s="9" t="s">
        <v>30</v>
      </c>
      <c r="F2" s="10"/>
      <c r="G2" s="10"/>
      <c r="H2" s="36"/>
      <c r="I2" s="36"/>
      <c r="J2" s="40" t="s">
        <v>31</v>
      </c>
      <c r="K2" s="42"/>
      <c r="L2" s="40" t="s">
        <v>1</v>
      </c>
      <c r="M2" s="41"/>
      <c r="N2" s="41"/>
      <c r="O2" s="42"/>
      <c r="P2" s="11"/>
      <c r="Q2" s="35"/>
      <c r="R2" s="35"/>
      <c r="S2" s="35"/>
      <c r="T2" s="35"/>
      <c r="U2" s="35"/>
      <c r="V2" s="35"/>
      <c r="W2" s="35"/>
      <c r="X2" s="35"/>
      <c r="Y2" s="23"/>
      <c r="Z2" s="24" t="s">
        <v>34</v>
      </c>
      <c r="AA2" s="24"/>
      <c r="AB2" s="25" t="s">
        <v>34</v>
      </c>
      <c r="AC2" s="10"/>
      <c r="AD2" s="9" t="s">
        <v>39</v>
      </c>
      <c r="AE2" s="11"/>
      <c r="AF2" s="31"/>
      <c r="AG2" s="11"/>
      <c r="AH2" s="31"/>
      <c r="AI2" s="11"/>
      <c r="AJ2" s="22" t="s">
        <v>41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9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53</v>
      </c>
      <c r="I3" s="12" t="s">
        <v>54</v>
      </c>
      <c r="J3" s="12" t="s">
        <v>25</v>
      </c>
      <c r="K3" s="12" t="s">
        <v>26</v>
      </c>
      <c r="L3" s="12" t="s">
        <v>64</v>
      </c>
      <c r="M3" s="2" t="s">
        <v>5</v>
      </c>
      <c r="N3" s="2" t="s">
        <v>62</v>
      </c>
      <c r="O3" s="2" t="s">
        <v>13</v>
      </c>
      <c r="P3" s="12" t="s">
        <v>47</v>
      </c>
      <c r="Q3" s="12" t="s">
        <v>17</v>
      </c>
      <c r="R3" s="12" t="s">
        <v>18</v>
      </c>
      <c r="S3" s="12" t="s">
        <v>48</v>
      </c>
      <c r="T3" s="12" t="s">
        <v>20</v>
      </c>
      <c r="U3" s="12" t="s">
        <v>21</v>
      </c>
      <c r="V3" s="12" t="s">
        <v>49</v>
      </c>
      <c r="W3" s="12" t="s">
        <v>23</v>
      </c>
      <c r="X3" s="12" t="s">
        <v>24</v>
      </c>
      <c r="Y3" s="12" t="s">
        <v>60</v>
      </c>
      <c r="Z3" s="12" t="s">
        <v>61</v>
      </c>
      <c r="AA3" s="2" t="s">
        <v>62</v>
      </c>
      <c r="AB3" s="12" t="s">
        <v>63</v>
      </c>
      <c r="AC3" s="14" t="s">
        <v>3</v>
      </c>
      <c r="AD3" s="20" t="s">
        <v>14</v>
      </c>
      <c r="AE3" s="2" t="s">
        <v>13</v>
      </c>
      <c r="AF3" s="32" t="s">
        <v>44</v>
      </c>
      <c r="AG3" s="12" t="s">
        <v>65</v>
      </c>
      <c r="AH3" s="37" t="s">
        <v>55</v>
      </c>
      <c r="AI3" s="2" t="s">
        <v>13</v>
      </c>
      <c r="AJ3" s="13" t="s">
        <v>32</v>
      </c>
      <c r="AK3" s="2" t="s">
        <v>13</v>
      </c>
      <c r="AL3" s="2" t="s">
        <v>33</v>
      </c>
      <c r="AM3" s="26" t="s">
        <v>35</v>
      </c>
      <c r="AN3" s="12" t="s">
        <v>36</v>
      </c>
      <c r="AO3" s="12" t="s">
        <v>37</v>
      </c>
      <c r="AP3" s="12" t="s">
        <v>27</v>
      </c>
      <c r="AQ3" s="12" t="s">
        <v>38</v>
      </c>
      <c r="AR3" s="12" t="s">
        <v>15</v>
      </c>
      <c r="AS3" s="12" t="s">
        <v>16</v>
      </c>
      <c r="AT3" s="12"/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57</v>
      </c>
      <c r="BI3" s="2" t="s">
        <v>12</v>
      </c>
      <c r="BJ3" s="18" t="s">
        <v>45</v>
      </c>
      <c r="BK3" s="18" t="s">
        <v>46</v>
      </c>
      <c r="BL3" s="15" t="s">
        <v>52</v>
      </c>
      <c r="BM3" s="38" t="s">
        <v>423</v>
      </c>
      <c r="BN3" s="39" t="s">
        <v>58</v>
      </c>
      <c r="BO3" s="39" t="s">
        <v>424</v>
      </c>
      <c r="BP3" s="39" t="s">
        <v>59</v>
      </c>
      <c r="BQ3" s="34" t="s">
        <v>50</v>
      </c>
    </row>
    <row r="4" spans="1:69" x14ac:dyDescent="0.4">
      <c r="A4" s="3">
        <v>45</v>
      </c>
      <c r="B4" s="3">
        <v>45</v>
      </c>
      <c r="C4" s="4">
        <v>657617</v>
      </c>
      <c r="D4" s="4" t="str">
        <f>TEXT(C4,"000000")</f>
        <v>657617</v>
      </c>
      <c r="E4" s="4">
        <v>657617</v>
      </c>
      <c r="F4" s="4" t="s">
        <v>160</v>
      </c>
      <c r="G4" s="5">
        <v>4996297304449</v>
      </c>
      <c r="H4" s="5"/>
      <c r="I4" s="5"/>
      <c r="J4" s="5">
        <v>1</v>
      </c>
      <c r="K4" s="5">
        <v>1</v>
      </c>
      <c r="L4" s="4">
        <v>0</v>
      </c>
      <c r="M4" s="4">
        <v>135</v>
      </c>
      <c r="N4" s="4">
        <v>63</v>
      </c>
      <c r="O4" s="6">
        <f>IFERROR(1-N4/M4,"-")</f>
        <v>0.53333333333333333</v>
      </c>
      <c r="P4" s="4">
        <v>128</v>
      </c>
      <c r="Q4" s="4">
        <v>10</v>
      </c>
      <c r="R4" s="4">
        <v>49</v>
      </c>
      <c r="S4" s="4">
        <v>118</v>
      </c>
      <c r="T4" s="4">
        <v>50</v>
      </c>
      <c r="U4" s="4">
        <v>99</v>
      </c>
      <c r="V4" s="4">
        <v>98</v>
      </c>
      <c r="W4" s="4">
        <v>100</v>
      </c>
      <c r="X4" s="4">
        <v>99999</v>
      </c>
      <c r="Y4" s="4">
        <v>0</v>
      </c>
      <c r="Z4" s="4">
        <f>IF(AC4="",Y4,Y4*AC4)</f>
        <v>0</v>
      </c>
      <c r="AA4" s="4">
        <v>69</v>
      </c>
      <c r="AB4" s="4">
        <f>IF(AC4="",AA4,AA4*AC4)</f>
        <v>69</v>
      </c>
      <c r="AC4" s="4"/>
      <c r="AD4" s="21">
        <f>ROUND(M4*AR4,0)</f>
        <v>148</v>
      </c>
      <c r="AE4" s="6">
        <f>IFERROR(1-AB4/AD4,"-")</f>
        <v>0.53378378378378377</v>
      </c>
      <c r="AF4" s="33">
        <v>28.249999999999996</v>
      </c>
      <c r="AG4" s="4" t="str">
        <f>BI4</f>
        <v>-</v>
      </c>
      <c r="AH4" s="33" t="str">
        <f>IFERROR(AG4*AR4,"-")</f>
        <v>-</v>
      </c>
      <c r="AI4" s="6" t="str">
        <f>IFERROR(1-AB4/AH4,"-")</f>
        <v>-</v>
      </c>
      <c r="AJ4" s="7">
        <v>140</v>
      </c>
      <c r="AK4" s="6">
        <f>1-AB4/AJ4</f>
        <v>0.50714285714285712</v>
      </c>
      <c r="AL4" s="4">
        <f>AJ4-AB4</f>
        <v>71</v>
      </c>
      <c r="AM4" s="28"/>
      <c r="AN4" s="6"/>
      <c r="AO4" s="6"/>
      <c r="AP4" s="6" t="str">
        <f>IFERROR(Z4/L4,"-")</f>
        <v>-</v>
      </c>
      <c r="AQ4" s="6">
        <f>IFERROR(AJ4/M4,"-")</f>
        <v>1.037037037037037</v>
      </c>
      <c r="AR4" s="6">
        <f>IFERROR(AB4/N4,"-")</f>
        <v>1.0952380952380953</v>
      </c>
      <c r="AS4" s="4">
        <f>IFERROR(ROUND($AJ4*P4/$M4,0),"-")</f>
        <v>133</v>
      </c>
      <c r="AT4" s="6">
        <f>1-AB4/AS4</f>
        <v>0.48120300751879697</v>
      </c>
      <c r="AU4" s="4">
        <f>IF(Q4="","-",Q4)</f>
        <v>10</v>
      </c>
      <c r="AV4" s="4">
        <f>IF(R4="","-",R4)</f>
        <v>49</v>
      </c>
      <c r="AW4" s="4">
        <f>IFERROR(ROUND($AJ4*S4/$M4,0),"-")</f>
        <v>122</v>
      </c>
      <c r="AX4" s="4">
        <f>IF(T4="","-",T4)</f>
        <v>50</v>
      </c>
      <c r="AY4" s="4">
        <f>IF(U4="","-",U4)</f>
        <v>99</v>
      </c>
      <c r="AZ4" s="4">
        <f>IFERROR(ROUND($AJ4*V4/$M4,0),"-")</f>
        <v>102</v>
      </c>
      <c r="BA4" s="4">
        <f>IF(W4="","-",W4)</f>
        <v>100</v>
      </c>
      <c r="BB4" s="4">
        <f>IF(X4="","-",X4)</f>
        <v>99999</v>
      </c>
      <c r="BC4" s="4" t="s">
        <v>408</v>
      </c>
      <c r="BD4" s="4" t="s">
        <v>422</v>
      </c>
      <c r="BE4" s="4"/>
      <c r="BF4" s="4"/>
      <c r="BG4" s="4" t="s">
        <v>422</v>
      </c>
      <c r="BH4" s="4" t="s">
        <v>422</v>
      </c>
      <c r="BI4" s="4" t="str">
        <f>IF(BE4="",BH4,BE4/BF4*BH4)</f>
        <v>-</v>
      </c>
      <c r="BJ4" s="19">
        <v>4</v>
      </c>
      <c r="BK4" s="19">
        <v>1</v>
      </c>
      <c r="BL4" s="16">
        <v>3</v>
      </c>
      <c r="BM4" t="s">
        <v>422</v>
      </c>
      <c r="BN4" t="str">
        <f>IFERROR(BM4*AR4,"-")</f>
        <v>-</v>
      </c>
      <c r="BO4" t="s">
        <v>422</v>
      </c>
      <c r="BP4" t="str">
        <f>IFERROR(BO4*AR4,"-")</f>
        <v>-</v>
      </c>
      <c r="BQ4" t="s">
        <v>422</v>
      </c>
    </row>
    <row r="5" spans="1:69" x14ac:dyDescent="0.4">
      <c r="A5" s="3">
        <v>86</v>
      </c>
      <c r="B5" s="3">
        <v>86</v>
      </c>
      <c r="C5" s="4" t="s">
        <v>81</v>
      </c>
      <c r="D5" s="4" t="str">
        <f>TEXT(C5,"000000")</f>
        <v>J1066X</v>
      </c>
      <c r="E5" s="4" t="s">
        <v>81</v>
      </c>
      <c r="F5" s="4" t="s">
        <v>200</v>
      </c>
      <c r="G5" s="5">
        <v>4996297388203</v>
      </c>
      <c r="H5" s="5"/>
      <c r="I5" s="5"/>
      <c r="J5" s="5">
        <v>1</v>
      </c>
      <c r="K5" s="5">
        <v>1</v>
      </c>
      <c r="L5" s="4">
        <v>0</v>
      </c>
      <c r="M5" s="4">
        <v>100</v>
      </c>
      <c r="N5" s="4">
        <v>74</v>
      </c>
      <c r="O5" s="6">
        <f>IFERROR(1-N5/M5,"-")</f>
        <v>0.26</v>
      </c>
      <c r="P5" s="4" t="s">
        <v>422</v>
      </c>
      <c r="Q5" s="4" t="s">
        <v>422</v>
      </c>
      <c r="R5" s="4" t="s">
        <v>422</v>
      </c>
      <c r="S5" s="4" t="s">
        <v>422</v>
      </c>
      <c r="T5" s="4" t="s">
        <v>422</v>
      </c>
      <c r="U5" s="4" t="s">
        <v>422</v>
      </c>
      <c r="V5" s="4" t="s">
        <v>422</v>
      </c>
      <c r="W5" s="4" t="s">
        <v>422</v>
      </c>
      <c r="X5" s="4" t="s">
        <v>422</v>
      </c>
      <c r="Y5" s="4">
        <v>0</v>
      </c>
      <c r="Z5" s="4">
        <f>IF(AC5="",Y5,Y5*AC5)</f>
        <v>0</v>
      </c>
      <c r="AA5" s="4">
        <v>85</v>
      </c>
      <c r="AB5" s="4">
        <f>IF(AC5="",AA5,AA5*AC5)</f>
        <v>85</v>
      </c>
      <c r="AC5" s="4"/>
      <c r="AD5" s="21">
        <f>ROUND(M5*AR5,0)</f>
        <v>115</v>
      </c>
      <c r="AE5" s="6">
        <f>IFERROR(1-AB5/AD5,"-")</f>
        <v>0.26086956521739135</v>
      </c>
      <c r="AF5" s="33">
        <v>9</v>
      </c>
      <c r="AG5" s="4">
        <f>BI5</f>
        <v>250</v>
      </c>
      <c r="AH5" s="33">
        <f>IFERROR(AG5*AR5,"-")</f>
        <v>287.16216216216219</v>
      </c>
      <c r="AI5" s="6">
        <f>IFERROR(1-AB5/AH5,"-")</f>
        <v>0.70399999999999996</v>
      </c>
      <c r="AJ5" s="7">
        <v>130</v>
      </c>
      <c r="AK5" s="6">
        <f>1-AB5/AJ5</f>
        <v>0.34615384615384615</v>
      </c>
      <c r="AL5" s="4">
        <f>AJ5-AB5</f>
        <v>45</v>
      </c>
      <c r="AM5" s="28"/>
      <c r="AN5" s="6"/>
      <c r="AO5" s="6"/>
      <c r="AP5" s="6" t="str">
        <f>IFERROR(Z5/L5,"-")</f>
        <v>-</v>
      </c>
      <c r="AQ5" s="6">
        <f>IFERROR(AJ5/M5,"-")</f>
        <v>1.3</v>
      </c>
      <c r="AR5" s="6">
        <f>IFERROR(AB5/N5,"-")</f>
        <v>1.1486486486486487</v>
      </c>
      <c r="AS5" s="4" t="str">
        <f t="shared" ref="AS5:AS68" si="0">IFERROR(ROUND($AJ5*P5/$M5,0),"-")</f>
        <v>-</v>
      </c>
      <c r="AT5" s="4"/>
      <c r="AU5" s="4" t="str">
        <f t="shared" ref="AU5:AU68" si="1">IF(Q5="","-",Q5)</f>
        <v>-</v>
      </c>
      <c r="AV5" s="4" t="str">
        <f t="shared" ref="AV5:AV68" si="2">IF(R5="","-",R5)</f>
        <v>-</v>
      </c>
      <c r="AW5" s="4" t="str">
        <f t="shared" ref="AW5:AW68" si="3">IFERROR(ROUND($AJ5*S5/$M5,0),"-")</f>
        <v>-</v>
      </c>
      <c r="AX5" s="4" t="str">
        <f t="shared" ref="AX5:AX68" si="4">IF(T5="","-",T5)</f>
        <v>-</v>
      </c>
      <c r="AY5" s="4" t="str">
        <f t="shared" ref="AY5:AY68" si="5">IF(U5="","-",U5)</f>
        <v>-</v>
      </c>
      <c r="AZ5" s="4" t="str">
        <f t="shared" ref="AZ5:AZ68" si="6">IFERROR(ROUND($AJ5*V5/$M5,0),"-")</f>
        <v>-</v>
      </c>
      <c r="BA5" s="4" t="str">
        <f t="shared" ref="BA5:BA68" si="7">IF(W5="","-",W5)</f>
        <v>-</v>
      </c>
      <c r="BB5" s="4" t="str">
        <f t="shared" ref="BB5:BB68" si="8">IF(X5="","-",X5)</f>
        <v>-</v>
      </c>
      <c r="BC5" s="4">
        <v>0</v>
      </c>
      <c r="BD5" s="4" t="s">
        <v>562</v>
      </c>
      <c r="BE5" s="4"/>
      <c r="BF5" s="4"/>
      <c r="BG5" s="4" t="s">
        <v>563</v>
      </c>
      <c r="BH5" s="4">
        <v>250</v>
      </c>
      <c r="BI5" s="4">
        <f>IF(BE5="",BH5,BE5/BF5*BH5)</f>
        <v>250</v>
      </c>
      <c r="BJ5" s="19">
        <v>4</v>
      </c>
      <c r="BK5" s="19">
        <v>1</v>
      </c>
      <c r="BL5" s="16">
        <v>3</v>
      </c>
      <c r="BM5" t="s">
        <v>422</v>
      </c>
      <c r="BN5" t="str">
        <f t="shared" ref="BN5:BN68" si="9">IFERROR(BM5*AR5,"-")</f>
        <v>-</v>
      </c>
      <c r="BO5">
        <v>209</v>
      </c>
      <c r="BP5">
        <f t="shared" ref="BP5:BP68" si="10">IFERROR(BO5*AR5,"-")</f>
        <v>240.06756756756758</v>
      </c>
      <c r="BQ5" t="s">
        <v>425</v>
      </c>
    </row>
    <row r="6" spans="1:69" x14ac:dyDescent="0.4">
      <c r="A6" s="3">
        <v>87</v>
      </c>
      <c r="B6" s="3">
        <v>87</v>
      </c>
      <c r="C6" s="17" t="s">
        <v>82</v>
      </c>
      <c r="D6" s="4" t="str">
        <f>TEXT(C6,"000000")</f>
        <v>J1067X</v>
      </c>
      <c r="E6" s="4" t="s">
        <v>82</v>
      </c>
      <c r="F6" s="4" t="s">
        <v>201</v>
      </c>
      <c r="G6" s="5">
        <v>4996297388210</v>
      </c>
      <c r="H6" s="5"/>
      <c r="I6" s="5"/>
      <c r="J6" s="5">
        <v>1</v>
      </c>
      <c r="K6" s="5">
        <v>1</v>
      </c>
      <c r="L6" s="4">
        <v>0</v>
      </c>
      <c r="M6" s="4">
        <v>89</v>
      </c>
      <c r="N6" s="4">
        <v>74</v>
      </c>
      <c r="O6" s="6">
        <f>IFERROR(1-N6/M6,"-")</f>
        <v>0.1685393258426966</v>
      </c>
      <c r="P6" s="4" t="s">
        <v>422</v>
      </c>
      <c r="Q6" s="4" t="s">
        <v>422</v>
      </c>
      <c r="R6" s="4" t="s">
        <v>422</v>
      </c>
      <c r="S6" s="4" t="s">
        <v>422</v>
      </c>
      <c r="T6" s="4" t="s">
        <v>422</v>
      </c>
      <c r="U6" s="4" t="s">
        <v>422</v>
      </c>
      <c r="V6" s="4" t="s">
        <v>422</v>
      </c>
      <c r="W6" s="4" t="s">
        <v>422</v>
      </c>
      <c r="X6" s="4" t="s">
        <v>422</v>
      </c>
      <c r="Y6" s="4">
        <v>0</v>
      </c>
      <c r="Z6" s="4">
        <f>IF(AC6="",Y6,Y6*AC6)</f>
        <v>0</v>
      </c>
      <c r="AA6" s="4">
        <v>85</v>
      </c>
      <c r="AB6" s="4">
        <f>IF(AC6="",AA6,AA6*AC6)</f>
        <v>85</v>
      </c>
      <c r="AC6" s="4"/>
      <c r="AD6" s="21">
        <f>ROUND(M6*AR6,0)</f>
        <v>102</v>
      </c>
      <c r="AE6" s="6">
        <f>IFERROR(1-AB6/AD6,"-")</f>
        <v>0.16666666666666663</v>
      </c>
      <c r="AF6" s="33">
        <v>29.25</v>
      </c>
      <c r="AG6" s="4">
        <f>BI6</f>
        <v>250</v>
      </c>
      <c r="AH6" s="33">
        <f>IFERROR(AG6*AR6,"-")</f>
        <v>287.16216216216219</v>
      </c>
      <c r="AI6" s="6">
        <f>IFERROR(1-AB6/AH6,"-")</f>
        <v>0.70399999999999996</v>
      </c>
      <c r="AJ6" s="7">
        <v>130</v>
      </c>
      <c r="AK6" s="6">
        <f>1-AB6/AJ6</f>
        <v>0.34615384615384615</v>
      </c>
      <c r="AL6" s="4">
        <f>AJ6-AB6</f>
        <v>45</v>
      </c>
      <c r="AM6" s="28"/>
      <c r="AN6" s="6"/>
      <c r="AO6" s="6"/>
      <c r="AP6" s="6" t="str">
        <f>IFERROR(Z6/L6,"-")</f>
        <v>-</v>
      </c>
      <c r="AQ6" s="6">
        <f>IFERROR(AJ6/M6,"-")</f>
        <v>1.4606741573033708</v>
      </c>
      <c r="AR6" s="6">
        <f>IFERROR(AB6/N6,"-")</f>
        <v>1.1486486486486487</v>
      </c>
      <c r="AS6" s="4" t="str">
        <f t="shared" si="0"/>
        <v>-</v>
      </c>
      <c r="AT6" s="4"/>
      <c r="AU6" s="4" t="str">
        <f t="shared" si="1"/>
        <v>-</v>
      </c>
      <c r="AV6" s="4" t="str">
        <f t="shared" si="2"/>
        <v>-</v>
      </c>
      <c r="AW6" s="4" t="str">
        <f t="shared" si="3"/>
        <v>-</v>
      </c>
      <c r="AX6" s="4" t="str">
        <f t="shared" si="4"/>
        <v>-</v>
      </c>
      <c r="AY6" s="4" t="str">
        <f t="shared" si="5"/>
        <v>-</v>
      </c>
      <c r="AZ6" s="4" t="str">
        <f t="shared" si="6"/>
        <v>-</v>
      </c>
      <c r="BA6" s="4" t="str">
        <f t="shared" si="7"/>
        <v>-</v>
      </c>
      <c r="BB6" s="4" t="str">
        <f t="shared" si="8"/>
        <v>-</v>
      </c>
      <c r="BC6" s="4">
        <v>0</v>
      </c>
      <c r="BD6" s="4" t="s">
        <v>564</v>
      </c>
      <c r="BE6" s="4"/>
      <c r="BF6" s="4"/>
      <c r="BG6" s="4" t="s">
        <v>563</v>
      </c>
      <c r="BH6" s="4">
        <v>250</v>
      </c>
      <c r="BI6" s="4">
        <f>IF(BE6="",BH6,BE6/BF6*BH6)</f>
        <v>250</v>
      </c>
      <c r="BJ6" s="19">
        <v>4</v>
      </c>
      <c r="BK6" s="19">
        <v>1</v>
      </c>
      <c r="BL6" s="16">
        <v>3</v>
      </c>
      <c r="BM6" t="s">
        <v>422</v>
      </c>
      <c r="BN6" t="str">
        <f t="shared" si="9"/>
        <v>-</v>
      </c>
      <c r="BO6">
        <v>209</v>
      </c>
      <c r="BP6">
        <f t="shared" si="10"/>
        <v>240.06756756756758</v>
      </c>
      <c r="BQ6" t="s">
        <v>426</v>
      </c>
    </row>
    <row r="7" spans="1:69" x14ac:dyDescent="0.4">
      <c r="A7" s="3">
        <v>88</v>
      </c>
      <c r="B7" s="3">
        <v>88</v>
      </c>
      <c r="C7" s="17" t="s">
        <v>83</v>
      </c>
      <c r="D7" s="4" t="str">
        <f>TEXT(C7,"000000")</f>
        <v>J1068X</v>
      </c>
      <c r="E7" s="4" t="s">
        <v>83</v>
      </c>
      <c r="F7" s="4" t="s">
        <v>202</v>
      </c>
      <c r="G7" s="5">
        <v>4996297388227</v>
      </c>
      <c r="H7" s="5"/>
      <c r="I7" s="5"/>
      <c r="J7" s="5">
        <v>1</v>
      </c>
      <c r="K7" s="5">
        <v>1</v>
      </c>
      <c r="L7" s="4">
        <v>0</v>
      </c>
      <c r="M7" s="4">
        <v>100</v>
      </c>
      <c r="N7" s="4">
        <v>74</v>
      </c>
      <c r="O7" s="6">
        <f>IFERROR(1-N7/M7,"-")</f>
        <v>0.26</v>
      </c>
      <c r="P7" s="4" t="s">
        <v>422</v>
      </c>
      <c r="Q7" s="4" t="s">
        <v>422</v>
      </c>
      <c r="R7" s="4" t="s">
        <v>422</v>
      </c>
      <c r="S7" s="4" t="s">
        <v>422</v>
      </c>
      <c r="T7" s="4" t="s">
        <v>422</v>
      </c>
      <c r="U7" s="4" t="s">
        <v>422</v>
      </c>
      <c r="V7" s="4" t="s">
        <v>422</v>
      </c>
      <c r="W7" s="4" t="s">
        <v>422</v>
      </c>
      <c r="X7" s="4" t="s">
        <v>422</v>
      </c>
      <c r="Y7" s="4">
        <v>0</v>
      </c>
      <c r="Z7" s="4">
        <f>IF(AC7="",Y7,Y7*AC7)</f>
        <v>0</v>
      </c>
      <c r="AA7" s="4">
        <v>85</v>
      </c>
      <c r="AB7" s="4">
        <f>IF(AC7="",AA7,AA7*AC7)</f>
        <v>85</v>
      </c>
      <c r="AC7" s="4"/>
      <c r="AD7" s="21">
        <f>ROUND(M7*AR7,0)</f>
        <v>115</v>
      </c>
      <c r="AE7" s="6">
        <f>IFERROR(1-AB7/AD7,"-")</f>
        <v>0.26086956521739135</v>
      </c>
      <c r="AF7" s="33">
        <v>10.25</v>
      </c>
      <c r="AG7" s="4">
        <f>BI7</f>
        <v>250</v>
      </c>
      <c r="AH7" s="33">
        <f>IFERROR(AG7*AR7,"-")</f>
        <v>287.16216216216219</v>
      </c>
      <c r="AI7" s="6">
        <f>IFERROR(1-AB7/AH7,"-")</f>
        <v>0.70399999999999996</v>
      </c>
      <c r="AJ7" s="7">
        <v>130</v>
      </c>
      <c r="AK7" s="6">
        <f>1-AB7/AJ7</f>
        <v>0.34615384615384615</v>
      </c>
      <c r="AL7" s="4">
        <f>AJ7-AB7</f>
        <v>45</v>
      </c>
      <c r="AM7" s="28"/>
      <c r="AN7" s="6"/>
      <c r="AO7" s="6"/>
      <c r="AP7" s="6" t="str">
        <f>IFERROR(Z7/L7,"-")</f>
        <v>-</v>
      </c>
      <c r="AQ7" s="6">
        <f>IFERROR(AJ7/M7,"-")</f>
        <v>1.3</v>
      </c>
      <c r="AR7" s="6">
        <f>IFERROR(AB7/N7,"-")</f>
        <v>1.1486486486486487</v>
      </c>
      <c r="AS7" s="4" t="str">
        <f t="shared" si="0"/>
        <v>-</v>
      </c>
      <c r="AT7" s="4"/>
      <c r="AU7" s="4" t="str">
        <f t="shared" si="1"/>
        <v>-</v>
      </c>
      <c r="AV7" s="4" t="str">
        <f t="shared" si="2"/>
        <v>-</v>
      </c>
      <c r="AW7" s="4" t="str">
        <f t="shared" si="3"/>
        <v>-</v>
      </c>
      <c r="AX7" s="4" t="str">
        <f t="shared" si="4"/>
        <v>-</v>
      </c>
      <c r="AY7" s="4" t="str">
        <f t="shared" si="5"/>
        <v>-</v>
      </c>
      <c r="AZ7" s="4" t="str">
        <f t="shared" si="6"/>
        <v>-</v>
      </c>
      <c r="BA7" s="4" t="str">
        <f t="shared" si="7"/>
        <v>-</v>
      </c>
      <c r="BB7" s="4" t="str">
        <f t="shared" si="8"/>
        <v>-</v>
      </c>
      <c r="BC7" s="4">
        <v>0</v>
      </c>
      <c r="BD7" s="4" t="s">
        <v>565</v>
      </c>
      <c r="BE7" s="4"/>
      <c r="BF7" s="4"/>
      <c r="BG7" s="4" t="s">
        <v>563</v>
      </c>
      <c r="BH7" s="4">
        <v>250</v>
      </c>
      <c r="BI7" s="4">
        <f>IF(BE7="",BH7,BE7/BF7*BH7)</f>
        <v>250</v>
      </c>
      <c r="BJ7" s="19">
        <v>4</v>
      </c>
      <c r="BK7" s="19">
        <v>1</v>
      </c>
      <c r="BL7" s="16">
        <v>3</v>
      </c>
      <c r="BM7" t="s">
        <v>422</v>
      </c>
      <c r="BN7" t="str">
        <f t="shared" si="9"/>
        <v>-</v>
      </c>
      <c r="BO7">
        <v>209</v>
      </c>
      <c r="BP7">
        <f t="shared" si="10"/>
        <v>240.06756756756758</v>
      </c>
      <c r="BQ7" t="s">
        <v>427</v>
      </c>
    </row>
    <row r="8" spans="1:69" x14ac:dyDescent="0.4">
      <c r="A8" s="3">
        <v>89</v>
      </c>
      <c r="B8" s="3">
        <v>89</v>
      </c>
      <c r="C8" s="17" t="s">
        <v>84</v>
      </c>
      <c r="D8" s="4" t="str">
        <f>TEXT(C8,"000000")</f>
        <v>J1069X</v>
      </c>
      <c r="E8" s="4" t="s">
        <v>84</v>
      </c>
      <c r="F8" s="4" t="s">
        <v>203</v>
      </c>
      <c r="G8" s="5">
        <v>4996297388234</v>
      </c>
      <c r="H8" s="5"/>
      <c r="I8" s="5"/>
      <c r="J8" s="5">
        <v>1</v>
      </c>
      <c r="K8" s="5">
        <v>1</v>
      </c>
      <c r="L8" s="4">
        <v>0</v>
      </c>
      <c r="M8" s="4">
        <v>100</v>
      </c>
      <c r="N8" s="4">
        <v>74</v>
      </c>
      <c r="O8" s="6">
        <f>IFERROR(1-N8/M8,"-")</f>
        <v>0.26</v>
      </c>
      <c r="P8" s="4" t="s">
        <v>422</v>
      </c>
      <c r="Q8" s="4" t="s">
        <v>422</v>
      </c>
      <c r="R8" s="4" t="s">
        <v>422</v>
      </c>
      <c r="S8" s="4" t="s">
        <v>422</v>
      </c>
      <c r="T8" s="4" t="s">
        <v>422</v>
      </c>
      <c r="U8" s="4" t="s">
        <v>422</v>
      </c>
      <c r="V8" s="4" t="s">
        <v>422</v>
      </c>
      <c r="W8" s="4" t="s">
        <v>422</v>
      </c>
      <c r="X8" s="4" t="s">
        <v>422</v>
      </c>
      <c r="Y8" s="4">
        <v>0</v>
      </c>
      <c r="Z8" s="4">
        <f>IF(AC8="",Y8,Y8*AC8)</f>
        <v>0</v>
      </c>
      <c r="AA8" s="4">
        <v>85</v>
      </c>
      <c r="AB8" s="4">
        <f>IF(AC8="",AA8,AA8*AC8)</f>
        <v>85</v>
      </c>
      <c r="AC8" s="4"/>
      <c r="AD8" s="21">
        <f>ROUND(M8*AR8,0)</f>
        <v>115</v>
      </c>
      <c r="AE8" s="6">
        <f>IFERROR(1-AB8/AD8,"-")</f>
        <v>0.26086956521739135</v>
      </c>
      <c r="AF8" s="33">
        <v>6.75</v>
      </c>
      <c r="AG8" s="4">
        <f>BI8</f>
        <v>250</v>
      </c>
      <c r="AH8" s="33">
        <f>IFERROR(AG8*AR8,"-")</f>
        <v>287.16216216216219</v>
      </c>
      <c r="AI8" s="6">
        <f>IFERROR(1-AB8/AH8,"-")</f>
        <v>0.70399999999999996</v>
      </c>
      <c r="AJ8" s="7">
        <v>130</v>
      </c>
      <c r="AK8" s="6">
        <f>1-AB8/AJ8</f>
        <v>0.34615384615384615</v>
      </c>
      <c r="AL8" s="4">
        <f>AJ8-AB8</f>
        <v>45</v>
      </c>
      <c r="AM8" s="28"/>
      <c r="AN8" s="6"/>
      <c r="AO8" s="6"/>
      <c r="AP8" s="6" t="str">
        <f>IFERROR(Z8/L8,"-")</f>
        <v>-</v>
      </c>
      <c r="AQ8" s="6">
        <f>IFERROR(AJ8/M8,"-")</f>
        <v>1.3</v>
      </c>
      <c r="AR8" s="6">
        <f>IFERROR(AB8/N8,"-")</f>
        <v>1.1486486486486487</v>
      </c>
      <c r="AS8" s="4" t="str">
        <f t="shared" si="0"/>
        <v>-</v>
      </c>
      <c r="AT8" s="4"/>
      <c r="AU8" s="4" t="str">
        <f t="shared" si="1"/>
        <v>-</v>
      </c>
      <c r="AV8" s="4" t="str">
        <f t="shared" si="2"/>
        <v>-</v>
      </c>
      <c r="AW8" s="4" t="str">
        <f t="shared" si="3"/>
        <v>-</v>
      </c>
      <c r="AX8" s="4" t="str">
        <f t="shared" si="4"/>
        <v>-</v>
      </c>
      <c r="AY8" s="4" t="str">
        <f t="shared" si="5"/>
        <v>-</v>
      </c>
      <c r="AZ8" s="4" t="str">
        <f t="shared" si="6"/>
        <v>-</v>
      </c>
      <c r="BA8" s="4" t="str">
        <f t="shared" si="7"/>
        <v>-</v>
      </c>
      <c r="BB8" s="4" t="str">
        <f t="shared" si="8"/>
        <v>-</v>
      </c>
      <c r="BC8" s="4">
        <v>0</v>
      </c>
      <c r="BD8" s="4" t="s">
        <v>566</v>
      </c>
      <c r="BE8" s="4"/>
      <c r="BF8" s="4"/>
      <c r="BG8" s="4" t="s">
        <v>563</v>
      </c>
      <c r="BH8" s="4">
        <v>250</v>
      </c>
      <c r="BI8" s="4">
        <f>IF(BE8="",BH8,BE8/BF8*BH8)</f>
        <v>250</v>
      </c>
      <c r="BJ8" s="19">
        <v>4</v>
      </c>
      <c r="BK8" s="19">
        <v>1</v>
      </c>
      <c r="BL8" s="16">
        <v>3</v>
      </c>
      <c r="BM8" t="s">
        <v>422</v>
      </c>
      <c r="BN8" t="str">
        <f t="shared" si="9"/>
        <v>-</v>
      </c>
      <c r="BO8">
        <v>209</v>
      </c>
      <c r="BP8">
        <f t="shared" si="10"/>
        <v>240.06756756756758</v>
      </c>
      <c r="BQ8" t="s">
        <v>428</v>
      </c>
    </row>
    <row r="9" spans="1:69" x14ac:dyDescent="0.4">
      <c r="A9" s="3">
        <v>166</v>
      </c>
      <c r="B9" s="3">
        <v>166</v>
      </c>
      <c r="C9" s="47" t="s">
        <v>112</v>
      </c>
      <c r="D9" s="4" t="str">
        <f>TEXT(C9,"000000")</f>
        <v>J1083X</v>
      </c>
      <c r="E9" s="4" t="s">
        <v>112</v>
      </c>
      <c r="F9" s="4" t="s">
        <v>280</v>
      </c>
      <c r="G9" s="5">
        <v>4996297488101</v>
      </c>
      <c r="H9" s="5"/>
      <c r="I9" s="5"/>
      <c r="J9" s="5">
        <v>2</v>
      </c>
      <c r="K9" s="5">
        <v>2</v>
      </c>
      <c r="L9" s="4">
        <v>0</v>
      </c>
      <c r="M9" s="4">
        <v>120</v>
      </c>
      <c r="N9" s="4">
        <v>78</v>
      </c>
      <c r="O9" s="6">
        <f>IFERROR(1-N9/M9,"-")</f>
        <v>0.35</v>
      </c>
      <c r="P9" s="4" t="s">
        <v>422</v>
      </c>
      <c r="Q9" s="4" t="s">
        <v>422</v>
      </c>
      <c r="R9" s="4" t="s">
        <v>422</v>
      </c>
      <c r="S9" s="4" t="s">
        <v>422</v>
      </c>
      <c r="T9" s="4" t="s">
        <v>422</v>
      </c>
      <c r="U9" s="4" t="s">
        <v>422</v>
      </c>
      <c r="V9" s="4" t="s">
        <v>422</v>
      </c>
      <c r="W9" s="4" t="s">
        <v>422</v>
      </c>
      <c r="X9" s="4" t="s">
        <v>422</v>
      </c>
      <c r="Y9" s="4">
        <v>0</v>
      </c>
      <c r="Z9" s="4">
        <f>IF(AC9="",Y9,Y9*AC9)</f>
        <v>0</v>
      </c>
      <c r="AA9" s="4">
        <v>86</v>
      </c>
      <c r="AB9" s="4">
        <f>IF(AC9="",AA9,AA9*AC9)</f>
        <v>86</v>
      </c>
      <c r="AC9" s="4"/>
      <c r="AD9" s="21">
        <f>ROUND(M9*AR9,0)</f>
        <v>132</v>
      </c>
      <c r="AE9" s="6">
        <f>IFERROR(1-AB9/AD9,"-")</f>
        <v>0.34848484848484851</v>
      </c>
      <c r="AF9" s="33">
        <v>3.5000000000000004</v>
      </c>
      <c r="AG9" s="4">
        <f>BI9</f>
        <v>194.60000000000002</v>
      </c>
      <c r="AH9" s="33">
        <f>IFERROR(AG9*AR9,"-")</f>
        <v>214.55897435897441</v>
      </c>
      <c r="AI9" s="6">
        <f>IFERROR(1-AB9/AH9,"-")</f>
        <v>0.59917780061664971</v>
      </c>
      <c r="AJ9" s="7">
        <v>150</v>
      </c>
      <c r="AK9" s="6">
        <f>1-AB9/AJ9</f>
        <v>0.42666666666666664</v>
      </c>
      <c r="AL9" s="4">
        <f>AJ9-AB9</f>
        <v>64</v>
      </c>
      <c r="AM9" s="28"/>
      <c r="AN9" s="6"/>
      <c r="AO9" s="6"/>
      <c r="AP9" s="6" t="str">
        <f>IFERROR(Z9/L9,"-")</f>
        <v>-</v>
      </c>
      <c r="AQ9" s="6">
        <f>IFERROR(AJ9/M9,"-")</f>
        <v>1.25</v>
      </c>
      <c r="AR9" s="6">
        <f>IFERROR(AB9/N9,"-")</f>
        <v>1.1025641025641026</v>
      </c>
      <c r="AS9" s="4" t="str">
        <f t="shared" si="0"/>
        <v>-</v>
      </c>
      <c r="AT9" s="4"/>
      <c r="AU9" s="4" t="str">
        <f t="shared" si="1"/>
        <v>-</v>
      </c>
      <c r="AV9" s="4" t="str">
        <f t="shared" si="2"/>
        <v>-</v>
      </c>
      <c r="AW9" s="4" t="str">
        <f t="shared" si="3"/>
        <v>-</v>
      </c>
      <c r="AX9" s="4" t="str">
        <f t="shared" si="4"/>
        <v>-</v>
      </c>
      <c r="AY9" s="4" t="str">
        <f t="shared" si="5"/>
        <v>-</v>
      </c>
      <c r="AZ9" s="4" t="str">
        <f t="shared" si="6"/>
        <v>-</v>
      </c>
      <c r="BA9" s="4" t="str">
        <f t="shared" si="7"/>
        <v>-</v>
      </c>
      <c r="BB9" s="4" t="str">
        <f t="shared" si="8"/>
        <v>-</v>
      </c>
      <c r="BC9" s="4">
        <v>0</v>
      </c>
      <c r="BD9" s="4" t="s">
        <v>567</v>
      </c>
      <c r="BE9" s="4">
        <v>1</v>
      </c>
      <c r="BF9" s="4">
        <v>5</v>
      </c>
      <c r="BG9" s="4" t="s">
        <v>568</v>
      </c>
      <c r="BH9" s="4">
        <v>973</v>
      </c>
      <c r="BI9" s="4">
        <f>IF(BE9="",BH9,BE9/BF9*BH9)</f>
        <v>194.60000000000002</v>
      </c>
      <c r="BJ9" s="19">
        <v>4</v>
      </c>
      <c r="BK9" s="19">
        <v>1</v>
      </c>
      <c r="BL9" s="16">
        <v>3</v>
      </c>
      <c r="BM9" t="s">
        <v>422</v>
      </c>
      <c r="BN9" t="str">
        <f t="shared" si="9"/>
        <v>-</v>
      </c>
      <c r="BO9">
        <v>190</v>
      </c>
      <c r="BP9">
        <f t="shared" si="10"/>
        <v>209.4871794871795</v>
      </c>
      <c r="BQ9" t="s">
        <v>429</v>
      </c>
    </row>
    <row r="10" spans="1:69" x14ac:dyDescent="0.4">
      <c r="A10" s="3">
        <v>254</v>
      </c>
      <c r="B10" s="3">
        <v>166</v>
      </c>
      <c r="C10" s="46" t="s">
        <v>112</v>
      </c>
      <c r="D10" s="4" t="str">
        <f>TEXT(C10,"000000")</f>
        <v>J1083X</v>
      </c>
      <c r="E10" s="4" t="s">
        <v>314</v>
      </c>
      <c r="F10" s="4" t="s">
        <v>394</v>
      </c>
      <c r="G10" s="5">
        <v>4996297488101</v>
      </c>
      <c r="H10" s="5">
        <v>8</v>
      </c>
      <c r="I10" s="5" t="str">
        <f>C10&amp;H10</f>
        <v>J1083X8</v>
      </c>
      <c r="J10" s="5"/>
      <c r="K10" s="5"/>
      <c r="L10" s="4">
        <v>0</v>
      </c>
      <c r="M10" s="4">
        <v>566</v>
      </c>
      <c r="N10" s="4">
        <v>390</v>
      </c>
      <c r="O10" s="6">
        <f>IFERROR(1-N10/M10,"-")</f>
        <v>0.31095406360424027</v>
      </c>
      <c r="P10" s="4" t="s">
        <v>422</v>
      </c>
      <c r="Q10" s="4" t="s">
        <v>422</v>
      </c>
      <c r="R10" s="4" t="s">
        <v>422</v>
      </c>
      <c r="S10" s="4" t="s">
        <v>422</v>
      </c>
      <c r="T10" s="4" t="s">
        <v>422</v>
      </c>
      <c r="U10" s="4" t="s">
        <v>422</v>
      </c>
      <c r="V10" s="4" t="s">
        <v>422</v>
      </c>
      <c r="W10" s="4" t="s">
        <v>422</v>
      </c>
      <c r="X10" s="4" t="s">
        <v>422</v>
      </c>
      <c r="Y10" s="4">
        <v>0</v>
      </c>
      <c r="Z10" s="4">
        <f>IF(AC10="",Y10,Y10*AC10)</f>
        <v>0</v>
      </c>
      <c r="AA10" s="4">
        <v>86</v>
      </c>
      <c r="AB10" s="4">
        <f>IF(AC10="",AA10,AA10*AC10)</f>
        <v>430</v>
      </c>
      <c r="AC10" s="4">
        <v>5</v>
      </c>
      <c r="AD10" s="21">
        <f>ROUND(M10*AR10,0)</f>
        <v>624</v>
      </c>
      <c r="AE10" s="6">
        <f>IFERROR(1-AB10/AD10,"-")</f>
        <v>0.3108974358974359</v>
      </c>
      <c r="AF10" s="33">
        <v>3.5000000000000004</v>
      </c>
      <c r="AG10" s="4">
        <f>BI10</f>
        <v>973</v>
      </c>
      <c r="AH10" s="33">
        <f>IFERROR(AG10*AR10,"-")</f>
        <v>1072.7948717948718</v>
      </c>
      <c r="AI10" s="6">
        <f>IFERROR(1-AB10/AH10,"-")</f>
        <v>0.59917780061664949</v>
      </c>
      <c r="AJ10" s="7">
        <v>700</v>
      </c>
      <c r="AK10" s="6">
        <f>1-AB10/AJ10</f>
        <v>0.38571428571428568</v>
      </c>
      <c r="AL10" s="4">
        <f>AJ10-AB10</f>
        <v>270</v>
      </c>
      <c r="AM10" s="28"/>
      <c r="AN10" s="6"/>
      <c r="AO10" s="6"/>
      <c r="AP10" s="6" t="str">
        <f>IFERROR(Z10/L10,"-")</f>
        <v>-</v>
      </c>
      <c r="AQ10" s="6">
        <f>IFERROR(AJ10/M10,"-")</f>
        <v>1.2367491166077738</v>
      </c>
      <c r="AR10" s="6">
        <f>IFERROR(AB10/N10,"-")</f>
        <v>1.1025641025641026</v>
      </c>
      <c r="AS10" s="4" t="str">
        <f t="shared" si="0"/>
        <v>-</v>
      </c>
      <c r="AT10" s="4"/>
      <c r="AU10" s="4" t="str">
        <f t="shared" si="1"/>
        <v>-</v>
      </c>
      <c r="AV10" s="4" t="str">
        <f t="shared" si="2"/>
        <v>-</v>
      </c>
      <c r="AW10" s="4" t="str">
        <f t="shared" si="3"/>
        <v>-</v>
      </c>
      <c r="AX10" s="4" t="str">
        <f t="shared" si="4"/>
        <v>-</v>
      </c>
      <c r="AY10" s="4" t="str">
        <f t="shared" si="5"/>
        <v>-</v>
      </c>
      <c r="AZ10" s="4" t="str">
        <f t="shared" si="6"/>
        <v>-</v>
      </c>
      <c r="BA10" s="4" t="str">
        <f t="shared" si="7"/>
        <v>-</v>
      </c>
      <c r="BB10" s="4" t="str">
        <f t="shared" si="8"/>
        <v>-</v>
      </c>
      <c r="BC10" s="4">
        <v>0</v>
      </c>
      <c r="BD10" s="4" t="s">
        <v>567</v>
      </c>
      <c r="BE10" s="4"/>
      <c r="BF10" s="4"/>
      <c r="BG10" s="4" t="s">
        <v>568</v>
      </c>
      <c r="BH10" s="4">
        <v>973</v>
      </c>
      <c r="BI10" s="4">
        <f>IF(BE10="",BH10,BE10/BF10*BH10)</f>
        <v>973</v>
      </c>
      <c r="BJ10" s="19">
        <v>4</v>
      </c>
      <c r="BK10" s="19">
        <v>1</v>
      </c>
      <c r="BL10" s="16">
        <v>3</v>
      </c>
      <c r="BM10" t="s">
        <v>422</v>
      </c>
      <c r="BN10" t="str">
        <f t="shared" si="9"/>
        <v>-</v>
      </c>
      <c r="BO10">
        <v>190</v>
      </c>
      <c r="BP10">
        <f t="shared" si="10"/>
        <v>209.4871794871795</v>
      </c>
      <c r="BQ10" t="s">
        <v>429</v>
      </c>
    </row>
    <row r="11" spans="1:69" x14ac:dyDescent="0.4">
      <c r="A11" s="3">
        <v>167</v>
      </c>
      <c r="B11" s="3">
        <v>167</v>
      </c>
      <c r="C11" s="46" t="s">
        <v>113</v>
      </c>
      <c r="D11" s="4" t="str">
        <f>TEXT(C11,"000000")</f>
        <v>J1084X</v>
      </c>
      <c r="E11" s="4" t="s">
        <v>113</v>
      </c>
      <c r="F11" s="4" t="s">
        <v>281</v>
      </c>
      <c r="G11" s="5">
        <v>4996297488118</v>
      </c>
      <c r="H11" s="5"/>
      <c r="I11" s="5"/>
      <c r="J11" s="5">
        <v>2</v>
      </c>
      <c r="K11" s="5">
        <v>2</v>
      </c>
      <c r="L11" s="4">
        <v>0</v>
      </c>
      <c r="M11" s="4">
        <v>120</v>
      </c>
      <c r="N11" s="4">
        <v>78</v>
      </c>
      <c r="O11" s="6">
        <f>IFERROR(1-N11/M11,"-")</f>
        <v>0.35</v>
      </c>
      <c r="P11" s="4" t="s">
        <v>422</v>
      </c>
      <c r="Q11" s="4" t="s">
        <v>422</v>
      </c>
      <c r="R11" s="4" t="s">
        <v>422</v>
      </c>
      <c r="S11" s="4" t="s">
        <v>422</v>
      </c>
      <c r="T11" s="4" t="s">
        <v>422</v>
      </c>
      <c r="U11" s="4" t="s">
        <v>422</v>
      </c>
      <c r="V11" s="4" t="s">
        <v>422</v>
      </c>
      <c r="W11" s="4" t="s">
        <v>422</v>
      </c>
      <c r="X11" s="4" t="s">
        <v>422</v>
      </c>
      <c r="Y11" s="4">
        <v>0</v>
      </c>
      <c r="Z11" s="4">
        <f>IF(AC11="",Y11,Y11*AC11)</f>
        <v>0</v>
      </c>
      <c r="AA11" s="4">
        <v>86</v>
      </c>
      <c r="AB11" s="4">
        <f>IF(AC11="",AA11,AA11*AC11)</f>
        <v>86</v>
      </c>
      <c r="AC11" s="4"/>
      <c r="AD11" s="21">
        <f>ROUND(M11*AR11,0)</f>
        <v>132</v>
      </c>
      <c r="AE11" s="6">
        <f>IFERROR(1-AB11/AD11,"-")</f>
        <v>0.34848484848484851</v>
      </c>
      <c r="AF11" s="33">
        <v>21.25</v>
      </c>
      <c r="AG11" s="4">
        <f>BI11</f>
        <v>194.60000000000002</v>
      </c>
      <c r="AH11" s="33">
        <f>IFERROR(AG11*AR11,"-")</f>
        <v>214.55897435897441</v>
      </c>
      <c r="AI11" s="6">
        <f>IFERROR(1-AB11/AH11,"-")</f>
        <v>0.59917780061664971</v>
      </c>
      <c r="AJ11" s="7">
        <v>150</v>
      </c>
      <c r="AK11" s="6">
        <f>1-AB11/AJ11</f>
        <v>0.42666666666666664</v>
      </c>
      <c r="AL11" s="4">
        <f>AJ11-AB11</f>
        <v>64</v>
      </c>
      <c r="AM11" s="28"/>
      <c r="AN11" s="6"/>
      <c r="AO11" s="6"/>
      <c r="AP11" s="6" t="str">
        <f>IFERROR(Z11/L11,"-")</f>
        <v>-</v>
      </c>
      <c r="AQ11" s="6">
        <f>IFERROR(AJ11/M11,"-")</f>
        <v>1.25</v>
      </c>
      <c r="AR11" s="6">
        <f>IFERROR(AB11/N11,"-")</f>
        <v>1.1025641025641026</v>
      </c>
      <c r="AS11" s="4" t="str">
        <f t="shared" si="0"/>
        <v>-</v>
      </c>
      <c r="AT11" s="4"/>
      <c r="AU11" s="4" t="str">
        <f t="shared" si="1"/>
        <v>-</v>
      </c>
      <c r="AV11" s="4" t="str">
        <f t="shared" si="2"/>
        <v>-</v>
      </c>
      <c r="AW11" s="4" t="str">
        <f t="shared" si="3"/>
        <v>-</v>
      </c>
      <c r="AX11" s="4" t="str">
        <f t="shared" si="4"/>
        <v>-</v>
      </c>
      <c r="AY11" s="4" t="str">
        <f t="shared" si="5"/>
        <v>-</v>
      </c>
      <c r="AZ11" s="4" t="str">
        <f t="shared" si="6"/>
        <v>-</v>
      </c>
      <c r="BA11" s="4" t="str">
        <f t="shared" si="7"/>
        <v>-</v>
      </c>
      <c r="BB11" s="4" t="str">
        <f t="shared" si="8"/>
        <v>-</v>
      </c>
      <c r="BC11" s="4">
        <v>0</v>
      </c>
      <c r="BD11" s="4" t="s">
        <v>569</v>
      </c>
      <c r="BE11" s="4">
        <v>1</v>
      </c>
      <c r="BF11" s="4">
        <v>5</v>
      </c>
      <c r="BG11" s="4" t="s">
        <v>568</v>
      </c>
      <c r="BH11" s="4">
        <v>973</v>
      </c>
      <c r="BI11" s="4">
        <f>IF(BE11="",BH11,BE11/BF11*BH11)</f>
        <v>194.60000000000002</v>
      </c>
      <c r="BJ11" s="19">
        <v>4</v>
      </c>
      <c r="BK11" s="19">
        <v>1</v>
      </c>
      <c r="BL11" s="16">
        <v>3</v>
      </c>
      <c r="BM11" t="s">
        <v>422</v>
      </c>
      <c r="BN11" t="str">
        <f t="shared" si="9"/>
        <v>-</v>
      </c>
      <c r="BO11">
        <v>190</v>
      </c>
      <c r="BP11">
        <f t="shared" si="10"/>
        <v>209.4871794871795</v>
      </c>
      <c r="BQ11" t="s">
        <v>430</v>
      </c>
    </row>
    <row r="12" spans="1:69" x14ac:dyDescent="0.4">
      <c r="A12" s="3">
        <v>255</v>
      </c>
      <c r="B12" s="3">
        <v>167</v>
      </c>
      <c r="C12" s="46" t="s">
        <v>113</v>
      </c>
      <c r="D12" s="4" t="str">
        <f>TEXT(C12,"000000")</f>
        <v>J1084X</v>
      </c>
      <c r="E12" s="4" t="s">
        <v>315</v>
      </c>
      <c r="F12" s="4" t="s">
        <v>395</v>
      </c>
      <c r="G12" s="5">
        <v>4996297488118</v>
      </c>
      <c r="H12" s="5">
        <v>8</v>
      </c>
      <c r="I12" s="5" t="str">
        <f>C12&amp;H12</f>
        <v>J1084X8</v>
      </c>
      <c r="J12" s="5"/>
      <c r="K12" s="5"/>
      <c r="L12" s="4">
        <v>0</v>
      </c>
      <c r="M12" s="4">
        <v>566</v>
      </c>
      <c r="N12" s="4">
        <v>390</v>
      </c>
      <c r="O12" s="6">
        <f>IFERROR(1-N12/M12,"-")</f>
        <v>0.31095406360424027</v>
      </c>
      <c r="P12" s="4" t="s">
        <v>422</v>
      </c>
      <c r="Q12" s="4" t="s">
        <v>422</v>
      </c>
      <c r="R12" s="4" t="s">
        <v>422</v>
      </c>
      <c r="S12" s="4" t="s">
        <v>422</v>
      </c>
      <c r="T12" s="4" t="s">
        <v>422</v>
      </c>
      <c r="U12" s="4" t="s">
        <v>422</v>
      </c>
      <c r="V12" s="4" t="s">
        <v>422</v>
      </c>
      <c r="W12" s="4" t="s">
        <v>422</v>
      </c>
      <c r="X12" s="4" t="s">
        <v>422</v>
      </c>
      <c r="Y12" s="4">
        <v>0</v>
      </c>
      <c r="Z12" s="4">
        <f>IF(AC12="",Y12,Y12*AC12)</f>
        <v>0</v>
      </c>
      <c r="AA12" s="4">
        <v>86</v>
      </c>
      <c r="AB12" s="4">
        <f>IF(AC12="",AA12,AA12*AC12)</f>
        <v>430</v>
      </c>
      <c r="AC12" s="4">
        <v>5</v>
      </c>
      <c r="AD12" s="21">
        <f>ROUND(M12*AR12,0)</f>
        <v>624</v>
      </c>
      <c r="AE12" s="6">
        <f>IFERROR(1-AB12/AD12,"-")</f>
        <v>0.3108974358974359</v>
      </c>
      <c r="AF12" s="33">
        <v>21.25</v>
      </c>
      <c r="AG12" s="4">
        <f>BI12</f>
        <v>973</v>
      </c>
      <c r="AH12" s="33">
        <f>IFERROR(AG12*AR12,"-")</f>
        <v>1072.7948717948718</v>
      </c>
      <c r="AI12" s="6">
        <f>IFERROR(1-AB12/AH12,"-")</f>
        <v>0.59917780061664949</v>
      </c>
      <c r="AJ12" s="7">
        <v>700</v>
      </c>
      <c r="AK12" s="6">
        <f>1-AB12/AJ12</f>
        <v>0.38571428571428568</v>
      </c>
      <c r="AL12" s="4">
        <f>AJ12-AB12</f>
        <v>270</v>
      </c>
      <c r="AM12" s="28"/>
      <c r="AN12" s="6"/>
      <c r="AO12" s="6"/>
      <c r="AP12" s="6" t="str">
        <f>IFERROR(Z12/L12,"-")</f>
        <v>-</v>
      </c>
      <c r="AQ12" s="6">
        <f>IFERROR(AJ12/M12,"-")</f>
        <v>1.2367491166077738</v>
      </c>
      <c r="AR12" s="6">
        <f>IFERROR(AB12/N12,"-")</f>
        <v>1.1025641025641026</v>
      </c>
      <c r="AS12" s="4" t="str">
        <f t="shared" si="0"/>
        <v>-</v>
      </c>
      <c r="AT12" s="4"/>
      <c r="AU12" s="4" t="str">
        <f t="shared" si="1"/>
        <v>-</v>
      </c>
      <c r="AV12" s="4" t="str">
        <f t="shared" si="2"/>
        <v>-</v>
      </c>
      <c r="AW12" s="4" t="str">
        <f t="shared" si="3"/>
        <v>-</v>
      </c>
      <c r="AX12" s="4" t="str">
        <f t="shared" si="4"/>
        <v>-</v>
      </c>
      <c r="AY12" s="4" t="str">
        <f t="shared" si="5"/>
        <v>-</v>
      </c>
      <c r="AZ12" s="4" t="str">
        <f t="shared" si="6"/>
        <v>-</v>
      </c>
      <c r="BA12" s="4" t="str">
        <f t="shared" si="7"/>
        <v>-</v>
      </c>
      <c r="BB12" s="4" t="str">
        <f t="shared" si="8"/>
        <v>-</v>
      </c>
      <c r="BC12" s="4">
        <v>0</v>
      </c>
      <c r="BD12" s="4" t="s">
        <v>569</v>
      </c>
      <c r="BE12" s="4"/>
      <c r="BF12" s="4"/>
      <c r="BG12" s="4" t="s">
        <v>568</v>
      </c>
      <c r="BH12" s="4">
        <v>973</v>
      </c>
      <c r="BI12" s="4">
        <f>IF(BE12="",BH12,BE12/BF12*BH12)</f>
        <v>973</v>
      </c>
      <c r="BJ12" s="19">
        <v>4</v>
      </c>
      <c r="BK12" s="19">
        <v>1</v>
      </c>
      <c r="BL12" s="16">
        <v>3</v>
      </c>
      <c r="BM12" t="s">
        <v>422</v>
      </c>
      <c r="BN12" t="str">
        <f t="shared" si="9"/>
        <v>-</v>
      </c>
      <c r="BO12">
        <v>190</v>
      </c>
      <c r="BP12">
        <f t="shared" si="10"/>
        <v>209.4871794871795</v>
      </c>
      <c r="BQ12" t="s">
        <v>430</v>
      </c>
    </row>
    <row r="13" spans="1:69" x14ac:dyDescent="0.4">
      <c r="A13" s="3">
        <v>168</v>
      </c>
      <c r="B13" s="3">
        <v>168</v>
      </c>
      <c r="C13" s="46" t="s">
        <v>114</v>
      </c>
      <c r="D13" s="4" t="str">
        <f>TEXT(C13,"000000")</f>
        <v>J1085X</v>
      </c>
      <c r="E13" s="4" t="s">
        <v>114</v>
      </c>
      <c r="F13" s="4" t="s">
        <v>282</v>
      </c>
      <c r="G13" s="5">
        <v>4996297488125</v>
      </c>
      <c r="H13" s="5"/>
      <c r="I13" s="5"/>
      <c r="J13" s="5">
        <v>2</v>
      </c>
      <c r="K13" s="5">
        <v>2</v>
      </c>
      <c r="L13" s="4">
        <v>0</v>
      </c>
      <c r="M13" s="4">
        <v>120</v>
      </c>
      <c r="N13" s="4">
        <v>78</v>
      </c>
      <c r="O13" s="6">
        <f>IFERROR(1-N13/M13,"-")</f>
        <v>0.35</v>
      </c>
      <c r="P13" s="4" t="s">
        <v>422</v>
      </c>
      <c r="Q13" s="4" t="s">
        <v>422</v>
      </c>
      <c r="R13" s="4" t="s">
        <v>422</v>
      </c>
      <c r="S13" s="4" t="s">
        <v>422</v>
      </c>
      <c r="T13" s="4" t="s">
        <v>422</v>
      </c>
      <c r="U13" s="4" t="s">
        <v>422</v>
      </c>
      <c r="V13" s="4" t="s">
        <v>422</v>
      </c>
      <c r="W13" s="4" t="s">
        <v>422</v>
      </c>
      <c r="X13" s="4" t="s">
        <v>422</v>
      </c>
      <c r="Y13" s="4">
        <v>0</v>
      </c>
      <c r="Z13" s="4">
        <f>IF(AC13="",Y13,Y13*AC13)</f>
        <v>0</v>
      </c>
      <c r="AA13" s="4">
        <v>86</v>
      </c>
      <c r="AB13" s="4">
        <f>IF(AC13="",AA13,AA13*AC13)</f>
        <v>86</v>
      </c>
      <c r="AC13" s="4"/>
      <c r="AD13" s="21">
        <f>ROUND(M13*AR13,0)</f>
        <v>132</v>
      </c>
      <c r="AE13" s="6">
        <f>IFERROR(1-AB13/AD13,"-")</f>
        <v>0.34848484848484851</v>
      </c>
      <c r="AF13" s="33">
        <v>5.75</v>
      </c>
      <c r="AG13" s="4">
        <f>BI13</f>
        <v>194.60000000000002</v>
      </c>
      <c r="AH13" s="33">
        <f>IFERROR(AG13*AR13,"-")</f>
        <v>214.55897435897441</v>
      </c>
      <c r="AI13" s="6">
        <f>IFERROR(1-AB13/AH13,"-")</f>
        <v>0.59917780061664971</v>
      </c>
      <c r="AJ13" s="7">
        <v>150</v>
      </c>
      <c r="AK13" s="6">
        <f>1-AB13/AJ13</f>
        <v>0.42666666666666664</v>
      </c>
      <c r="AL13" s="4">
        <f>AJ13-AB13</f>
        <v>64</v>
      </c>
      <c r="AM13" s="28"/>
      <c r="AN13" s="6"/>
      <c r="AO13" s="6"/>
      <c r="AP13" s="6" t="str">
        <f>IFERROR(Z13/L13,"-")</f>
        <v>-</v>
      </c>
      <c r="AQ13" s="6">
        <f>IFERROR(AJ13/M13,"-")</f>
        <v>1.25</v>
      </c>
      <c r="AR13" s="6">
        <f>IFERROR(AB13/N13,"-")</f>
        <v>1.1025641025641026</v>
      </c>
      <c r="AS13" s="4" t="str">
        <f t="shared" si="0"/>
        <v>-</v>
      </c>
      <c r="AT13" s="4"/>
      <c r="AU13" s="4" t="str">
        <f t="shared" si="1"/>
        <v>-</v>
      </c>
      <c r="AV13" s="4" t="str">
        <f t="shared" si="2"/>
        <v>-</v>
      </c>
      <c r="AW13" s="4" t="str">
        <f t="shared" si="3"/>
        <v>-</v>
      </c>
      <c r="AX13" s="4" t="str">
        <f t="shared" si="4"/>
        <v>-</v>
      </c>
      <c r="AY13" s="4" t="str">
        <f t="shared" si="5"/>
        <v>-</v>
      </c>
      <c r="AZ13" s="4" t="str">
        <f t="shared" si="6"/>
        <v>-</v>
      </c>
      <c r="BA13" s="4" t="str">
        <f t="shared" si="7"/>
        <v>-</v>
      </c>
      <c r="BB13" s="4" t="str">
        <f t="shared" si="8"/>
        <v>-</v>
      </c>
      <c r="BC13" s="4">
        <v>0</v>
      </c>
      <c r="BD13" s="4" t="s">
        <v>570</v>
      </c>
      <c r="BE13" s="4">
        <v>1</v>
      </c>
      <c r="BF13" s="4">
        <v>5</v>
      </c>
      <c r="BG13" s="4" t="s">
        <v>568</v>
      </c>
      <c r="BH13" s="4">
        <v>973</v>
      </c>
      <c r="BI13" s="4">
        <f>IF(BE13="",BH13,BE13/BF13*BH13)</f>
        <v>194.60000000000002</v>
      </c>
      <c r="BJ13" s="19">
        <v>4</v>
      </c>
      <c r="BK13" s="19">
        <v>1</v>
      </c>
      <c r="BL13" s="16">
        <v>3</v>
      </c>
      <c r="BM13" t="s">
        <v>422</v>
      </c>
      <c r="BN13" t="str">
        <f t="shared" si="9"/>
        <v>-</v>
      </c>
      <c r="BO13">
        <v>190</v>
      </c>
      <c r="BP13">
        <f t="shared" si="10"/>
        <v>209.4871794871795</v>
      </c>
      <c r="BQ13" t="s">
        <v>431</v>
      </c>
    </row>
    <row r="14" spans="1:69" x14ac:dyDescent="0.4">
      <c r="A14" s="3">
        <v>256</v>
      </c>
      <c r="B14" s="3">
        <v>168</v>
      </c>
      <c r="C14" s="46" t="s">
        <v>114</v>
      </c>
      <c r="D14" s="4" t="str">
        <f>TEXT(C14,"000000")</f>
        <v>J1085X</v>
      </c>
      <c r="E14" s="4" t="s">
        <v>316</v>
      </c>
      <c r="F14" s="4" t="s">
        <v>396</v>
      </c>
      <c r="G14" s="5">
        <v>4996297488125</v>
      </c>
      <c r="H14" s="5">
        <v>8</v>
      </c>
      <c r="I14" s="5" t="str">
        <f>C14&amp;H14</f>
        <v>J1085X8</v>
      </c>
      <c r="J14" s="5"/>
      <c r="K14" s="5"/>
      <c r="L14" s="4">
        <v>0</v>
      </c>
      <c r="M14" s="4">
        <v>566</v>
      </c>
      <c r="N14" s="4">
        <v>390</v>
      </c>
      <c r="O14" s="6">
        <f>IFERROR(1-N14/M14,"-")</f>
        <v>0.31095406360424027</v>
      </c>
      <c r="P14" s="4" t="s">
        <v>422</v>
      </c>
      <c r="Q14" s="4" t="s">
        <v>422</v>
      </c>
      <c r="R14" s="4" t="s">
        <v>422</v>
      </c>
      <c r="S14" s="4" t="s">
        <v>422</v>
      </c>
      <c r="T14" s="4" t="s">
        <v>422</v>
      </c>
      <c r="U14" s="4" t="s">
        <v>422</v>
      </c>
      <c r="V14" s="4" t="s">
        <v>422</v>
      </c>
      <c r="W14" s="4" t="s">
        <v>422</v>
      </c>
      <c r="X14" s="4" t="s">
        <v>422</v>
      </c>
      <c r="Y14" s="4">
        <v>0</v>
      </c>
      <c r="Z14" s="4">
        <f>IF(AC14="",Y14,Y14*AC14)</f>
        <v>0</v>
      </c>
      <c r="AA14" s="4">
        <v>86</v>
      </c>
      <c r="AB14" s="4">
        <f>IF(AC14="",AA14,AA14*AC14)</f>
        <v>430</v>
      </c>
      <c r="AC14" s="4">
        <v>5</v>
      </c>
      <c r="AD14" s="21">
        <f>ROUND(M14*AR14,0)</f>
        <v>624</v>
      </c>
      <c r="AE14" s="6">
        <f>IFERROR(1-AB14/AD14,"-")</f>
        <v>0.3108974358974359</v>
      </c>
      <c r="AF14" s="33">
        <v>5.75</v>
      </c>
      <c r="AG14" s="4">
        <f>BI14</f>
        <v>973</v>
      </c>
      <c r="AH14" s="33">
        <f>IFERROR(AG14*AR14,"-")</f>
        <v>1072.7948717948718</v>
      </c>
      <c r="AI14" s="6">
        <f>IFERROR(1-AB14/AH14,"-")</f>
        <v>0.59917780061664949</v>
      </c>
      <c r="AJ14" s="7">
        <v>700</v>
      </c>
      <c r="AK14" s="6">
        <f>1-AB14/AJ14</f>
        <v>0.38571428571428568</v>
      </c>
      <c r="AL14" s="4">
        <f>AJ14-AB14</f>
        <v>270</v>
      </c>
      <c r="AM14" s="28"/>
      <c r="AN14" s="6"/>
      <c r="AO14" s="6"/>
      <c r="AP14" s="6" t="str">
        <f>IFERROR(Z14/L14,"-")</f>
        <v>-</v>
      </c>
      <c r="AQ14" s="6">
        <f>IFERROR(AJ14/M14,"-")</f>
        <v>1.2367491166077738</v>
      </c>
      <c r="AR14" s="6">
        <f>IFERROR(AB14/N14,"-")</f>
        <v>1.1025641025641026</v>
      </c>
      <c r="AS14" s="4" t="str">
        <f t="shared" si="0"/>
        <v>-</v>
      </c>
      <c r="AT14" s="4"/>
      <c r="AU14" s="4" t="str">
        <f t="shared" si="1"/>
        <v>-</v>
      </c>
      <c r="AV14" s="4" t="str">
        <f t="shared" si="2"/>
        <v>-</v>
      </c>
      <c r="AW14" s="4" t="str">
        <f t="shared" si="3"/>
        <v>-</v>
      </c>
      <c r="AX14" s="4" t="str">
        <f t="shared" si="4"/>
        <v>-</v>
      </c>
      <c r="AY14" s="4" t="str">
        <f t="shared" si="5"/>
        <v>-</v>
      </c>
      <c r="AZ14" s="4" t="str">
        <f t="shared" si="6"/>
        <v>-</v>
      </c>
      <c r="BA14" s="4" t="str">
        <f t="shared" si="7"/>
        <v>-</v>
      </c>
      <c r="BB14" s="4" t="str">
        <f t="shared" si="8"/>
        <v>-</v>
      </c>
      <c r="BC14" s="4">
        <v>0</v>
      </c>
      <c r="BD14" s="4" t="s">
        <v>570</v>
      </c>
      <c r="BE14" s="4"/>
      <c r="BF14" s="4"/>
      <c r="BG14" s="4" t="s">
        <v>568</v>
      </c>
      <c r="BH14" s="4">
        <v>973</v>
      </c>
      <c r="BI14" s="4">
        <f>IF(BE14="",BH14,BE14/BF14*BH14)</f>
        <v>973</v>
      </c>
      <c r="BJ14" s="19">
        <v>4</v>
      </c>
      <c r="BK14" s="19">
        <v>1</v>
      </c>
      <c r="BL14" s="16">
        <v>3</v>
      </c>
      <c r="BM14" t="s">
        <v>422</v>
      </c>
      <c r="BN14" t="str">
        <f t="shared" si="9"/>
        <v>-</v>
      </c>
      <c r="BO14">
        <v>190</v>
      </c>
      <c r="BP14">
        <f t="shared" si="10"/>
        <v>209.4871794871795</v>
      </c>
      <c r="BQ14" t="s">
        <v>431</v>
      </c>
    </row>
    <row r="15" spans="1:69" x14ac:dyDescent="0.4">
      <c r="A15" s="3">
        <v>169</v>
      </c>
      <c r="B15" s="3">
        <v>169</v>
      </c>
      <c r="C15" s="46" t="s">
        <v>115</v>
      </c>
      <c r="D15" s="4" t="str">
        <f>TEXT(C15,"000000")</f>
        <v>J1086X</v>
      </c>
      <c r="E15" s="4" t="s">
        <v>115</v>
      </c>
      <c r="F15" s="4" t="s">
        <v>283</v>
      </c>
      <c r="G15" s="5">
        <v>4996297488132</v>
      </c>
      <c r="H15" s="5"/>
      <c r="I15" s="5"/>
      <c r="J15" s="5">
        <v>2</v>
      </c>
      <c r="K15" s="5">
        <v>2</v>
      </c>
      <c r="L15" s="4">
        <v>0</v>
      </c>
      <c r="M15" s="4">
        <v>120</v>
      </c>
      <c r="N15" s="4">
        <v>78</v>
      </c>
      <c r="O15" s="6">
        <f>IFERROR(1-N15/M15,"-")</f>
        <v>0.35</v>
      </c>
      <c r="P15" s="4" t="s">
        <v>422</v>
      </c>
      <c r="Q15" s="4" t="s">
        <v>422</v>
      </c>
      <c r="R15" s="4" t="s">
        <v>422</v>
      </c>
      <c r="S15" s="4" t="s">
        <v>422</v>
      </c>
      <c r="T15" s="4" t="s">
        <v>422</v>
      </c>
      <c r="U15" s="4" t="s">
        <v>422</v>
      </c>
      <c r="V15" s="4" t="s">
        <v>422</v>
      </c>
      <c r="W15" s="4" t="s">
        <v>422</v>
      </c>
      <c r="X15" s="4" t="s">
        <v>422</v>
      </c>
      <c r="Y15" s="4">
        <v>0</v>
      </c>
      <c r="Z15" s="4">
        <f>IF(AC15="",Y15,Y15*AC15)</f>
        <v>0</v>
      </c>
      <c r="AA15" s="4">
        <v>86</v>
      </c>
      <c r="AB15" s="4">
        <f>IF(AC15="",AA15,AA15*AC15)</f>
        <v>86</v>
      </c>
      <c r="AC15" s="4"/>
      <c r="AD15" s="21">
        <f>ROUND(M15*AR15,0)</f>
        <v>132</v>
      </c>
      <c r="AE15" s="6">
        <f>IFERROR(1-AB15/AD15,"-")</f>
        <v>0.34848484848484851</v>
      </c>
      <c r="AF15" s="33">
        <v>4.5</v>
      </c>
      <c r="AG15" s="4">
        <f>BI15</f>
        <v>194.60000000000002</v>
      </c>
      <c r="AH15" s="33">
        <f>IFERROR(AG15*AR15,"-")</f>
        <v>214.55897435897441</v>
      </c>
      <c r="AI15" s="6">
        <f>IFERROR(1-AB15/AH15,"-")</f>
        <v>0.59917780061664971</v>
      </c>
      <c r="AJ15" s="7">
        <v>150</v>
      </c>
      <c r="AK15" s="6">
        <f>1-AB15/AJ15</f>
        <v>0.42666666666666664</v>
      </c>
      <c r="AL15" s="4">
        <f>AJ15-AB15</f>
        <v>64</v>
      </c>
      <c r="AM15" s="28"/>
      <c r="AN15" s="6"/>
      <c r="AO15" s="6"/>
      <c r="AP15" s="6" t="str">
        <f>IFERROR(Z15/L15,"-")</f>
        <v>-</v>
      </c>
      <c r="AQ15" s="6">
        <f>IFERROR(AJ15/M15,"-")</f>
        <v>1.25</v>
      </c>
      <c r="AR15" s="6">
        <f>IFERROR(AB15/N15,"-")</f>
        <v>1.1025641025641026</v>
      </c>
      <c r="AS15" s="4" t="str">
        <f t="shared" si="0"/>
        <v>-</v>
      </c>
      <c r="AT15" s="4"/>
      <c r="AU15" s="4" t="str">
        <f t="shared" si="1"/>
        <v>-</v>
      </c>
      <c r="AV15" s="4" t="str">
        <f t="shared" si="2"/>
        <v>-</v>
      </c>
      <c r="AW15" s="4" t="str">
        <f t="shared" si="3"/>
        <v>-</v>
      </c>
      <c r="AX15" s="4" t="str">
        <f t="shared" si="4"/>
        <v>-</v>
      </c>
      <c r="AY15" s="4" t="str">
        <f t="shared" si="5"/>
        <v>-</v>
      </c>
      <c r="AZ15" s="4" t="str">
        <f t="shared" si="6"/>
        <v>-</v>
      </c>
      <c r="BA15" s="4" t="str">
        <f t="shared" si="7"/>
        <v>-</v>
      </c>
      <c r="BB15" s="4" t="str">
        <f t="shared" si="8"/>
        <v>-</v>
      </c>
      <c r="BC15" s="4">
        <v>0</v>
      </c>
      <c r="BD15" s="4" t="s">
        <v>571</v>
      </c>
      <c r="BE15" s="4">
        <v>1</v>
      </c>
      <c r="BF15" s="4">
        <v>5</v>
      </c>
      <c r="BG15" s="4" t="s">
        <v>568</v>
      </c>
      <c r="BH15" s="4">
        <v>973</v>
      </c>
      <c r="BI15" s="4">
        <f>IF(BE15="",BH15,BE15/BF15*BH15)</f>
        <v>194.60000000000002</v>
      </c>
      <c r="BJ15" s="19">
        <v>4</v>
      </c>
      <c r="BK15" s="19">
        <v>1</v>
      </c>
      <c r="BL15" s="16">
        <v>3</v>
      </c>
      <c r="BM15" t="s">
        <v>422</v>
      </c>
      <c r="BN15" t="str">
        <f t="shared" si="9"/>
        <v>-</v>
      </c>
      <c r="BO15">
        <v>190</v>
      </c>
      <c r="BP15">
        <f t="shared" si="10"/>
        <v>209.4871794871795</v>
      </c>
      <c r="BQ15" t="s">
        <v>432</v>
      </c>
    </row>
    <row r="16" spans="1:69" x14ac:dyDescent="0.4">
      <c r="A16" s="3">
        <v>257</v>
      </c>
      <c r="B16" s="3">
        <v>169</v>
      </c>
      <c r="C16" s="46" t="s">
        <v>115</v>
      </c>
      <c r="D16" s="4" t="str">
        <f>TEXT(C16,"000000")</f>
        <v>J1086X</v>
      </c>
      <c r="E16" s="4" t="s">
        <v>317</v>
      </c>
      <c r="F16" s="4" t="s">
        <v>397</v>
      </c>
      <c r="G16" s="5">
        <v>4996297488132</v>
      </c>
      <c r="H16" s="5">
        <v>8</v>
      </c>
      <c r="I16" s="5" t="str">
        <f>C16&amp;H16</f>
        <v>J1086X8</v>
      </c>
      <c r="J16" s="5"/>
      <c r="K16" s="5"/>
      <c r="L16" s="4">
        <v>0</v>
      </c>
      <c r="M16" s="4">
        <v>566</v>
      </c>
      <c r="N16" s="4">
        <v>390</v>
      </c>
      <c r="O16" s="6">
        <f>IFERROR(1-N16/M16,"-")</f>
        <v>0.31095406360424027</v>
      </c>
      <c r="P16" s="4" t="s">
        <v>422</v>
      </c>
      <c r="Q16" s="4" t="s">
        <v>422</v>
      </c>
      <c r="R16" s="4" t="s">
        <v>422</v>
      </c>
      <c r="S16" s="4" t="s">
        <v>422</v>
      </c>
      <c r="T16" s="4" t="s">
        <v>422</v>
      </c>
      <c r="U16" s="4" t="s">
        <v>422</v>
      </c>
      <c r="V16" s="4" t="s">
        <v>422</v>
      </c>
      <c r="W16" s="4" t="s">
        <v>422</v>
      </c>
      <c r="X16" s="4" t="s">
        <v>422</v>
      </c>
      <c r="Y16" s="4">
        <v>0</v>
      </c>
      <c r="Z16" s="4">
        <f>IF(AC16="",Y16,Y16*AC16)</f>
        <v>0</v>
      </c>
      <c r="AA16" s="4">
        <v>86</v>
      </c>
      <c r="AB16" s="4">
        <f>IF(AC16="",AA16,AA16*AC16)</f>
        <v>430</v>
      </c>
      <c r="AC16" s="4">
        <v>5</v>
      </c>
      <c r="AD16" s="21">
        <f>ROUND(M16*AR16,0)</f>
        <v>624</v>
      </c>
      <c r="AE16" s="6">
        <f>IFERROR(1-AB16/AD16,"-")</f>
        <v>0.3108974358974359</v>
      </c>
      <c r="AF16" s="33">
        <v>4.5</v>
      </c>
      <c r="AG16" s="4">
        <f>BI16</f>
        <v>973</v>
      </c>
      <c r="AH16" s="33">
        <f>IFERROR(AG16*AR16,"-")</f>
        <v>1072.7948717948718</v>
      </c>
      <c r="AI16" s="6">
        <f>IFERROR(1-AB16/AH16,"-")</f>
        <v>0.59917780061664949</v>
      </c>
      <c r="AJ16" s="7">
        <v>700</v>
      </c>
      <c r="AK16" s="6">
        <f>1-AB16/AJ16</f>
        <v>0.38571428571428568</v>
      </c>
      <c r="AL16" s="4">
        <f>AJ16-AB16</f>
        <v>270</v>
      </c>
      <c r="AM16" s="28"/>
      <c r="AN16" s="6"/>
      <c r="AO16" s="6"/>
      <c r="AP16" s="6" t="str">
        <f>IFERROR(Z16/L16,"-")</f>
        <v>-</v>
      </c>
      <c r="AQ16" s="6">
        <f>IFERROR(AJ16/M16,"-")</f>
        <v>1.2367491166077738</v>
      </c>
      <c r="AR16" s="6">
        <f>IFERROR(AB16/N16,"-")</f>
        <v>1.1025641025641026</v>
      </c>
      <c r="AS16" s="4" t="str">
        <f t="shared" si="0"/>
        <v>-</v>
      </c>
      <c r="AT16" s="4"/>
      <c r="AU16" s="4" t="str">
        <f t="shared" si="1"/>
        <v>-</v>
      </c>
      <c r="AV16" s="4" t="str">
        <f t="shared" si="2"/>
        <v>-</v>
      </c>
      <c r="AW16" s="4" t="str">
        <f t="shared" si="3"/>
        <v>-</v>
      </c>
      <c r="AX16" s="4" t="str">
        <f t="shared" si="4"/>
        <v>-</v>
      </c>
      <c r="AY16" s="4" t="str">
        <f t="shared" si="5"/>
        <v>-</v>
      </c>
      <c r="AZ16" s="4" t="str">
        <f t="shared" si="6"/>
        <v>-</v>
      </c>
      <c r="BA16" s="4" t="str">
        <f t="shared" si="7"/>
        <v>-</v>
      </c>
      <c r="BB16" s="4" t="str">
        <f t="shared" si="8"/>
        <v>-</v>
      </c>
      <c r="BC16" s="4">
        <v>0</v>
      </c>
      <c r="BD16" s="4" t="s">
        <v>571</v>
      </c>
      <c r="BE16" s="4"/>
      <c r="BF16" s="4"/>
      <c r="BG16" s="4" t="s">
        <v>568</v>
      </c>
      <c r="BH16" s="4">
        <v>973</v>
      </c>
      <c r="BI16" s="4">
        <f>IF(BE16="",BH16,BE16/BF16*BH16)</f>
        <v>973</v>
      </c>
      <c r="BJ16" s="19">
        <v>4</v>
      </c>
      <c r="BK16" s="19">
        <v>1</v>
      </c>
      <c r="BL16" s="16">
        <v>3</v>
      </c>
      <c r="BM16" t="s">
        <v>422</v>
      </c>
      <c r="BN16" t="str">
        <f t="shared" si="9"/>
        <v>-</v>
      </c>
      <c r="BO16">
        <v>190</v>
      </c>
      <c r="BP16">
        <f t="shared" si="10"/>
        <v>209.4871794871795</v>
      </c>
      <c r="BQ16" t="s">
        <v>432</v>
      </c>
    </row>
    <row r="17" spans="1:69" x14ac:dyDescent="0.4">
      <c r="A17" s="3">
        <v>162</v>
      </c>
      <c r="B17" s="3">
        <v>162</v>
      </c>
      <c r="C17" s="46" t="s">
        <v>108</v>
      </c>
      <c r="D17" s="4" t="str">
        <f>TEXT(C17,"000000")</f>
        <v>J1146X</v>
      </c>
      <c r="E17" s="4" t="s">
        <v>108</v>
      </c>
      <c r="F17" s="4" t="s">
        <v>276</v>
      </c>
      <c r="G17" s="5">
        <v>4996297488002</v>
      </c>
      <c r="H17" s="5"/>
      <c r="I17" s="5"/>
      <c r="J17" s="5">
        <v>2</v>
      </c>
      <c r="K17" s="5">
        <v>2</v>
      </c>
      <c r="L17" s="4">
        <v>0</v>
      </c>
      <c r="M17" s="4">
        <v>120</v>
      </c>
      <c r="N17" s="4">
        <v>78</v>
      </c>
      <c r="O17" s="6">
        <f>IFERROR(1-N17/M17,"-")</f>
        <v>0.35</v>
      </c>
      <c r="P17" s="4" t="s">
        <v>422</v>
      </c>
      <c r="Q17" s="4" t="s">
        <v>422</v>
      </c>
      <c r="R17" s="4" t="s">
        <v>422</v>
      </c>
      <c r="S17" s="4" t="s">
        <v>422</v>
      </c>
      <c r="T17" s="4" t="s">
        <v>422</v>
      </c>
      <c r="U17" s="4" t="s">
        <v>422</v>
      </c>
      <c r="V17" s="4" t="s">
        <v>422</v>
      </c>
      <c r="W17" s="4" t="s">
        <v>422</v>
      </c>
      <c r="X17" s="4" t="s">
        <v>422</v>
      </c>
      <c r="Y17" s="4">
        <v>0</v>
      </c>
      <c r="Z17" s="4">
        <f>IF(AC17="",Y17,Y17*AC17)</f>
        <v>0</v>
      </c>
      <c r="AA17" s="4">
        <v>86</v>
      </c>
      <c r="AB17" s="4">
        <f>IF(AC17="",AA17,AA17*AC17)</f>
        <v>86</v>
      </c>
      <c r="AC17" s="4"/>
      <c r="AD17" s="21">
        <f>ROUND(M17*AR17,0)</f>
        <v>132</v>
      </c>
      <c r="AE17" s="6">
        <f>IFERROR(1-AB17/AD17,"-")</f>
        <v>0.34848484848484851</v>
      </c>
      <c r="AF17" s="33">
        <v>8.25</v>
      </c>
      <c r="AG17" s="4">
        <f>BI17</f>
        <v>200</v>
      </c>
      <c r="AH17" s="33">
        <f>IFERROR(AG17*AR17,"-")</f>
        <v>220.51282051282053</v>
      </c>
      <c r="AI17" s="6">
        <f>IFERROR(1-AB17/AH17,"-")</f>
        <v>0.6100000000000001</v>
      </c>
      <c r="AJ17" s="7">
        <v>150</v>
      </c>
      <c r="AK17" s="6">
        <f>1-AB17/AJ17</f>
        <v>0.42666666666666664</v>
      </c>
      <c r="AL17" s="4">
        <f>AJ17-AB17</f>
        <v>64</v>
      </c>
      <c r="AM17" s="28"/>
      <c r="AN17" s="6"/>
      <c r="AO17" s="6"/>
      <c r="AP17" s="6" t="str">
        <f>IFERROR(Z17/L17,"-")</f>
        <v>-</v>
      </c>
      <c r="AQ17" s="6">
        <f>IFERROR(AJ17/M17,"-")</f>
        <v>1.25</v>
      </c>
      <c r="AR17" s="6">
        <f>IFERROR(AB17/N17,"-")</f>
        <v>1.1025641025641026</v>
      </c>
      <c r="AS17" s="4" t="str">
        <f t="shared" si="0"/>
        <v>-</v>
      </c>
      <c r="AT17" s="4"/>
      <c r="AU17" s="4" t="str">
        <f t="shared" si="1"/>
        <v>-</v>
      </c>
      <c r="AV17" s="4" t="str">
        <f t="shared" si="2"/>
        <v>-</v>
      </c>
      <c r="AW17" s="4" t="str">
        <f t="shared" si="3"/>
        <v>-</v>
      </c>
      <c r="AX17" s="4" t="str">
        <f t="shared" si="4"/>
        <v>-</v>
      </c>
      <c r="AY17" s="4" t="str">
        <f t="shared" si="5"/>
        <v>-</v>
      </c>
      <c r="AZ17" s="4" t="str">
        <f t="shared" si="6"/>
        <v>-</v>
      </c>
      <c r="BA17" s="4" t="str">
        <f t="shared" si="7"/>
        <v>-</v>
      </c>
      <c r="BB17" s="4" t="str">
        <f t="shared" si="8"/>
        <v>-</v>
      </c>
      <c r="BC17" s="4">
        <v>0</v>
      </c>
      <c r="BD17" s="4" t="s">
        <v>572</v>
      </c>
      <c r="BE17" s="4">
        <v>1</v>
      </c>
      <c r="BF17" s="4">
        <v>5</v>
      </c>
      <c r="BG17" s="4" t="s">
        <v>568</v>
      </c>
      <c r="BH17" s="4">
        <v>1000</v>
      </c>
      <c r="BI17" s="4">
        <f>IF(BE17="",BH17,BE17/BF17*BH17)</f>
        <v>200</v>
      </c>
      <c r="BJ17" s="19">
        <v>4</v>
      </c>
      <c r="BK17" s="19">
        <v>1</v>
      </c>
      <c r="BL17" s="16">
        <v>3</v>
      </c>
      <c r="BM17" t="s">
        <v>422</v>
      </c>
      <c r="BN17" t="str">
        <f t="shared" si="9"/>
        <v>-</v>
      </c>
      <c r="BO17">
        <v>190</v>
      </c>
      <c r="BP17">
        <f t="shared" si="10"/>
        <v>209.4871794871795</v>
      </c>
      <c r="BQ17" t="s">
        <v>433</v>
      </c>
    </row>
    <row r="18" spans="1:69" x14ac:dyDescent="0.4">
      <c r="A18" s="3">
        <v>250</v>
      </c>
      <c r="B18" s="3">
        <v>162</v>
      </c>
      <c r="C18" s="46" t="s">
        <v>108</v>
      </c>
      <c r="D18" s="4" t="str">
        <f>TEXT(C18,"000000")</f>
        <v>J1146X</v>
      </c>
      <c r="E18" s="4" t="s">
        <v>310</v>
      </c>
      <c r="F18" s="4" t="s">
        <v>390</v>
      </c>
      <c r="G18" s="5">
        <v>4996297488002</v>
      </c>
      <c r="H18" s="5">
        <v>8</v>
      </c>
      <c r="I18" s="5" t="str">
        <f>C18&amp;H18</f>
        <v>J1146X8</v>
      </c>
      <c r="J18" s="5"/>
      <c r="K18" s="5"/>
      <c r="L18" s="4">
        <v>0</v>
      </c>
      <c r="M18" s="4">
        <v>566</v>
      </c>
      <c r="N18" s="4">
        <v>390</v>
      </c>
      <c r="O18" s="6">
        <f>IFERROR(1-N18/M18,"-")</f>
        <v>0.31095406360424027</v>
      </c>
      <c r="P18" s="4" t="s">
        <v>422</v>
      </c>
      <c r="Q18" s="4" t="s">
        <v>422</v>
      </c>
      <c r="R18" s="4" t="s">
        <v>422</v>
      </c>
      <c r="S18" s="4" t="s">
        <v>422</v>
      </c>
      <c r="T18" s="4" t="s">
        <v>422</v>
      </c>
      <c r="U18" s="4" t="s">
        <v>422</v>
      </c>
      <c r="V18" s="4" t="s">
        <v>422</v>
      </c>
      <c r="W18" s="4" t="s">
        <v>422</v>
      </c>
      <c r="X18" s="4" t="s">
        <v>422</v>
      </c>
      <c r="Y18" s="4">
        <v>0</v>
      </c>
      <c r="Z18" s="4">
        <f>IF(AC18="",Y18,Y18*AC18)</f>
        <v>0</v>
      </c>
      <c r="AA18" s="4">
        <v>86</v>
      </c>
      <c r="AB18" s="4">
        <f>IF(AC18="",AA18,AA18*AC18)</f>
        <v>430</v>
      </c>
      <c r="AC18" s="4">
        <v>5</v>
      </c>
      <c r="AD18" s="21">
        <f>ROUND(M18*AR18,0)</f>
        <v>624</v>
      </c>
      <c r="AE18" s="6">
        <f>IFERROR(1-AB18/AD18,"-")</f>
        <v>0.3108974358974359</v>
      </c>
      <c r="AF18" s="33">
        <v>8.25</v>
      </c>
      <c r="AG18" s="4">
        <f>BI18</f>
        <v>1000</v>
      </c>
      <c r="AH18" s="33">
        <f>IFERROR(AG18*AR18,"-")</f>
        <v>1102.5641025641025</v>
      </c>
      <c r="AI18" s="6">
        <f>IFERROR(1-AB18/AH18,"-")</f>
        <v>0.61</v>
      </c>
      <c r="AJ18" s="7">
        <v>700</v>
      </c>
      <c r="AK18" s="6">
        <f>1-AB18/AJ18</f>
        <v>0.38571428571428568</v>
      </c>
      <c r="AL18" s="4">
        <f>AJ18-AB18</f>
        <v>270</v>
      </c>
      <c r="AM18" s="28"/>
      <c r="AN18" s="6"/>
      <c r="AO18" s="6"/>
      <c r="AP18" s="6" t="str">
        <f>IFERROR(Z18/L18,"-")</f>
        <v>-</v>
      </c>
      <c r="AQ18" s="6">
        <f>IFERROR(AJ18/M18,"-")</f>
        <v>1.2367491166077738</v>
      </c>
      <c r="AR18" s="6">
        <f>IFERROR(AB18/N18,"-")</f>
        <v>1.1025641025641026</v>
      </c>
      <c r="AS18" s="4" t="str">
        <f t="shared" si="0"/>
        <v>-</v>
      </c>
      <c r="AT18" s="4"/>
      <c r="AU18" s="4" t="str">
        <f t="shared" si="1"/>
        <v>-</v>
      </c>
      <c r="AV18" s="4" t="str">
        <f t="shared" si="2"/>
        <v>-</v>
      </c>
      <c r="AW18" s="4" t="str">
        <f t="shared" si="3"/>
        <v>-</v>
      </c>
      <c r="AX18" s="4" t="str">
        <f t="shared" si="4"/>
        <v>-</v>
      </c>
      <c r="AY18" s="4" t="str">
        <f t="shared" si="5"/>
        <v>-</v>
      </c>
      <c r="AZ18" s="4" t="str">
        <f t="shared" si="6"/>
        <v>-</v>
      </c>
      <c r="BA18" s="4" t="str">
        <f t="shared" si="7"/>
        <v>-</v>
      </c>
      <c r="BB18" s="4" t="str">
        <f t="shared" si="8"/>
        <v>-</v>
      </c>
      <c r="BC18" s="4">
        <v>0</v>
      </c>
      <c r="BD18" s="4" t="s">
        <v>572</v>
      </c>
      <c r="BE18" s="4"/>
      <c r="BF18" s="4"/>
      <c r="BG18" s="4" t="s">
        <v>568</v>
      </c>
      <c r="BH18" s="4">
        <v>1000</v>
      </c>
      <c r="BI18" s="4">
        <f>IF(BE18="",BH18,BE18/BF18*BH18)</f>
        <v>1000</v>
      </c>
      <c r="BJ18" s="19">
        <v>4</v>
      </c>
      <c r="BK18" s="19">
        <v>1</v>
      </c>
      <c r="BL18" s="16">
        <v>3</v>
      </c>
      <c r="BM18" t="s">
        <v>422</v>
      </c>
      <c r="BN18" t="str">
        <f t="shared" si="9"/>
        <v>-</v>
      </c>
      <c r="BO18">
        <v>190</v>
      </c>
      <c r="BP18">
        <f t="shared" si="10"/>
        <v>209.4871794871795</v>
      </c>
      <c r="BQ18" t="s">
        <v>433</v>
      </c>
    </row>
    <row r="19" spans="1:69" x14ac:dyDescent="0.4">
      <c r="A19" s="3">
        <v>163</v>
      </c>
      <c r="B19" s="3">
        <v>163</v>
      </c>
      <c r="C19" s="46" t="s">
        <v>109</v>
      </c>
      <c r="D19" s="4" t="str">
        <f>TEXT(C19,"000000")</f>
        <v>J1147X</v>
      </c>
      <c r="E19" s="4" t="s">
        <v>109</v>
      </c>
      <c r="F19" s="4" t="s">
        <v>277</v>
      </c>
      <c r="G19" s="5">
        <v>4996297488019</v>
      </c>
      <c r="H19" s="5"/>
      <c r="I19" s="5"/>
      <c r="J19" s="5">
        <v>2</v>
      </c>
      <c r="K19" s="5">
        <v>2</v>
      </c>
      <c r="L19" s="4">
        <v>0</v>
      </c>
      <c r="M19" s="4">
        <v>120</v>
      </c>
      <c r="N19" s="4">
        <v>78</v>
      </c>
      <c r="O19" s="6">
        <f>IFERROR(1-N19/M19,"-")</f>
        <v>0.35</v>
      </c>
      <c r="P19" s="4" t="s">
        <v>422</v>
      </c>
      <c r="Q19" s="4" t="s">
        <v>422</v>
      </c>
      <c r="R19" s="4" t="s">
        <v>422</v>
      </c>
      <c r="S19" s="4" t="s">
        <v>422</v>
      </c>
      <c r="T19" s="4" t="s">
        <v>422</v>
      </c>
      <c r="U19" s="4" t="s">
        <v>422</v>
      </c>
      <c r="V19" s="4" t="s">
        <v>422</v>
      </c>
      <c r="W19" s="4" t="s">
        <v>422</v>
      </c>
      <c r="X19" s="4" t="s">
        <v>422</v>
      </c>
      <c r="Y19" s="4">
        <v>0</v>
      </c>
      <c r="Z19" s="4">
        <f>IF(AC19="",Y19,Y19*AC19)</f>
        <v>0</v>
      </c>
      <c r="AA19" s="4">
        <v>86</v>
      </c>
      <c r="AB19" s="4">
        <f>IF(AC19="",AA19,AA19*AC19)</f>
        <v>86</v>
      </c>
      <c r="AC19" s="4"/>
      <c r="AD19" s="21">
        <f>ROUND(M19*AR19,0)</f>
        <v>132</v>
      </c>
      <c r="AE19" s="6">
        <f>IFERROR(1-AB19/AD19,"-")</f>
        <v>0.34848484848484851</v>
      </c>
      <c r="AF19" s="33">
        <v>12.75</v>
      </c>
      <c r="AG19" s="4">
        <f>BI19</f>
        <v>200</v>
      </c>
      <c r="AH19" s="33">
        <f>IFERROR(AG19*AR19,"-")</f>
        <v>220.51282051282053</v>
      </c>
      <c r="AI19" s="6">
        <f>IFERROR(1-AB19/AH19,"-")</f>
        <v>0.6100000000000001</v>
      </c>
      <c r="AJ19" s="7">
        <v>150</v>
      </c>
      <c r="AK19" s="6">
        <f>1-AB19/AJ19</f>
        <v>0.42666666666666664</v>
      </c>
      <c r="AL19" s="4">
        <f>AJ19-AB19</f>
        <v>64</v>
      </c>
      <c r="AM19" s="28"/>
      <c r="AN19" s="6"/>
      <c r="AO19" s="6"/>
      <c r="AP19" s="6" t="str">
        <f>IFERROR(Z19/L19,"-")</f>
        <v>-</v>
      </c>
      <c r="AQ19" s="6">
        <f>IFERROR(AJ19/M19,"-")</f>
        <v>1.25</v>
      </c>
      <c r="AR19" s="6">
        <f>IFERROR(AB19/N19,"-")</f>
        <v>1.1025641025641026</v>
      </c>
      <c r="AS19" s="4" t="str">
        <f t="shared" si="0"/>
        <v>-</v>
      </c>
      <c r="AT19" s="4"/>
      <c r="AU19" s="4" t="str">
        <f t="shared" si="1"/>
        <v>-</v>
      </c>
      <c r="AV19" s="4" t="str">
        <f t="shared" si="2"/>
        <v>-</v>
      </c>
      <c r="AW19" s="4" t="str">
        <f t="shared" si="3"/>
        <v>-</v>
      </c>
      <c r="AX19" s="4" t="str">
        <f t="shared" si="4"/>
        <v>-</v>
      </c>
      <c r="AY19" s="4" t="str">
        <f t="shared" si="5"/>
        <v>-</v>
      </c>
      <c r="AZ19" s="4" t="str">
        <f t="shared" si="6"/>
        <v>-</v>
      </c>
      <c r="BA19" s="4" t="str">
        <f t="shared" si="7"/>
        <v>-</v>
      </c>
      <c r="BB19" s="4" t="str">
        <f t="shared" si="8"/>
        <v>-</v>
      </c>
      <c r="BC19" s="4">
        <v>0</v>
      </c>
      <c r="BD19" s="4" t="s">
        <v>573</v>
      </c>
      <c r="BE19" s="4">
        <v>1</v>
      </c>
      <c r="BF19" s="4">
        <v>5</v>
      </c>
      <c r="BG19" s="4" t="s">
        <v>568</v>
      </c>
      <c r="BH19" s="4">
        <v>1000</v>
      </c>
      <c r="BI19" s="4">
        <f>IF(BE19="",BH19,BE19/BF19*BH19)</f>
        <v>200</v>
      </c>
      <c r="BJ19" s="19">
        <v>4</v>
      </c>
      <c r="BK19" s="19">
        <v>1</v>
      </c>
      <c r="BL19" s="16">
        <v>3</v>
      </c>
      <c r="BM19" t="s">
        <v>422</v>
      </c>
      <c r="BN19" t="str">
        <f t="shared" si="9"/>
        <v>-</v>
      </c>
      <c r="BO19">
        <v>190</v>
      </c>
      <c r="BP19">
        <f t="shared" si="10"/>
        <v>209.4871794871795</v>
      </c>
      <c r="BQ19" t="s">
        <v>434</v>
      </c>
    </row>
    <row r="20" spans="1:69" x14ac:dyDescent="0.4">
      <c r="A20" s="3">
        <v>251</v>
      </c>
      <c r="B20" s="3">
        <v>163</v>
      </c>
      <c r="C20" s="46" t="s">
        <v>109</v>
      </c>
      <c r="D20" s="4" t="str">
        <f>TEXT(C20,"000000")</f>
        <v>J1147X</v>
      </c>
      <c r="E20" s="4" t="s">
        <v>311</v>
      </c>
      <c r="F20" s="4" t="s">
        <v>391</v>
      </c>
      <c r="G20" s="5">
        <v>4996297488019</v>
      </c>
      <c r="H20" s="5">
        <v>8</v>
      </c>
      <c r="I20" s="5" t="str">
        <f>C20&amp;H20</f>
        <v>J1147X8</v>
      </c>
      <c r="J20" s="5"/>
      <c r="K20" s="5"/>
      <c r="L20" s="4">
        <v>0</v>
      </c>
      <c r="M20" s="4">
        <v>566</v>
      </c>
      <c r="N20" s="4">
        <v>390</v>
      </c>
      <c r="O20" s="6">
        <f>IFERROR(1-N20/M20,"-")</f>
        <v>0.31095406360424027</v>
      </c>
      <c r="P20" s="4" t="s">
        <v>422</v>
      </c>
      <c r="Q20" s="4" t="s">
        <v>422</v>
      </c>
      <c r="R20" s="4" t="s">
        <v>422</v>
      </c>
      <c r="S20" s="4" t="s">
        <v>422</v>
      </c>
      <c r="T20" s="4" t="s">
        <v>422</v>
      </c>
      <c r="U20" s="4" t="s">
        <v>422</v>
      </c>
      <c r="V20" s="4" t="s">
        <v>422</v>
      </c>
      <c r="W20" s="4" t="s">
        <v>422</v>
      </c>
      <c r="X20" s="4" t="s">
        <v>422</v>
      </c>
      <c r="Y20" s="4">
        <v>0</v>
      </c>
      <c r="Z20" s="4">
        <f>IF(AC20="",Y20,Y20*AC20)</f>
        <v>0</v>
      </c>
      <c r="AA20" s="4">
        <v>86</v>
      </c>
      <c r="AB20" s="4">
        <f>IF(AC20="",AA20,AA20*AC20)</f>
        <v>430</v>
      </c>
      <c r="AC20" s="4">
        <v>5</v>
      </c>
      <c r="AD20" s="21">
        <f>ROUND(M20*AR20,0)</f>
        <v>624</v>
      </c>
      <c r="AE20" s="6">
        <f>IFERROR(1-AB20/AD20,"-")</f>
        <v>0.3108974358974359</v>
      </c>
      <c r="AF20" s="33">
        <v>12.75</v>
      </c>
      <c r="AG20" s="4">
        <f>BI20</f>
        <v>1000</v>
      </c>
      <c r="AH20" s="33">
        <f>IFERROR(AG20*AR20,"-")</f>
        <v>1102.5641025641025</v>
      </c>
      <c r="AI20" s="6">
        <f>IFERROR(1-AB20/AH20,"-")</f>
        <v>0.61</v>
      </c>
      <c r="AJ20" s="7">
        <v>700</v>
      </c>
      <c r="AK20" s="6">
        <f>1-AB20/AJ20</f>
        <v>0.38571428571428568</v>
      </c>
      <c r="AL20" s="4">
        <f>AJ20-AB20</f>
        <v>270</v>
      </c>
      <c r="AM20" s="28"/>
      <c r="AN20" s="6"/>
      <c r="AO20" s="6"/>
      <c r="AP20" s="6" t="str">
        <f>IFERROR(Z20/L20,"-")</f>
        <v>-</v>
      </c>
      <c r="AQ20" s="6">
        <f>IFERROR(AJ20/M20,"-")</f>
        <v>1.2367491166077738</v>
      </c>
      <c r="AR20" s="6">
        <f>IFERROR(AB20/N20,"-")</f>
        <v>1.1025641025641026</v>
      </c>
      <c r="AS20" s="4" t="str">
        <f t="shared" si="0"/>
        <v>-</v>
      </c>
      <c r="AT20" s="4"/>
      <c r="AU20" s="4" t="str">
        <f t="shared" si="1"/>
        <v>-</v>
      </c>
      <c r="AV20" s="4" t="str">
        <f t="shared" si="2"/>
        <v>-</v>
      </c>
      <c r="AW20" s="4" t="str">
        <f t="shared" si="3"/>
        <v>-</v>
      </c>
      <c r="AX20" s="4" t="str">
        <f t="shared" si="4"/>
        <v>-</v>
      </c>
      <c r="AY20" s="4" t="str">
        <f t="shared" si="5"/>
        <v>-</v>
      </c>
      <c r="AZ20" s="4" t="str">
        <f t="shared" si="6"/>
        <v>-</v>
      </c>
      <c r="BA20" s="4" t="str">
        <f t="shared" si="7"/>
        <v>-</v>
      </c>
      <c r="BB20" s="4" t="str">
        <f t="shared" si="8"/>
        <v>-</v>
      </c>
      <c r="BC20" s="4">
        <v>0</v>
      </c>
      <c r="BD20" s="4" t="s">
        <v>573</v>
      </c>
      <c r="BE20" s="4"/>
      <c r="BF20" s="4"/>
      <c r="BG20" s="4" t="s">
        <v>568</v>
      </c>
      <c r="BH20" s="4">
        <v>1000</v>
      </c>
      <c r="BI20" s="4">
        <f>IF(BE20="",BH20,BE20/BF20*BH20)</f>
        <v>1000</v>
      </c>
      <c r="BJ20" s="19">
        <v>4</v>
      </c>
      <c r="BK20" s="19">
        <v>1</v>
      </c>
      <c r="BL20" s="16">
        <v>3</v>
      </c>
      <c r="BM20" t="s">
        <v>422</v>
      </c>
      <c r="BN20" t="str">
        <f t="shared" si="9"/>
        <v>-</v>
      </c>
      <c r="BO20">
        <v>190</v>
      </c>
      <c r="BP20">
        <f t="shared" si="10"/>
        <v>209.4871794871795</v>
      </c>
      <c r="BQ20" t="s">
        <v>434</v>
      </c>
    </row>
    <row r="21" spans="1:69" x14ac:dyDescent="0.4">
      <c r="A21" s="3">
        <v>164</v>
      </c>
      <c r="B21" s="3">
        <v>164</v>
      </c>
      <c r="C21" s="46" t="s">
        <v>110</v>
      </c>
      <c r="D21" s="4" t="str">
        <f>TEXT(C21,"000000")</f>
        <v>J1148X</v>
      </c>
      <c r="E21" s="4" t="s">
        <v>110</v>
      </c>
      <c r="F21" s="4" t="s">
        <v>278</v>
      </c>
      <c r="G21" s="5">
        <v>4996297488026</v>
      </c>
      <c r="H21" s="5"/>
      <c r="I21" s="5"/>
      <c r="J21" s="5">
        <v>2</v>
      </c>
      <c r="K21" s="5">
        <v>2</v>
      </c>
      <c r="L21" s="4">
        <v>0</v>
      </c>
      <c r="M21" s="4">
        <v>120</v>
      </c>
      <c r="N21" s="4">
        <v>78</v>
      </c>
      <c r="O21" s="6">
        <f>IFERROR(1-N21/M21,"-")</f>
        <v>0.35</v>
      </c>
      <c r="P21" s="4" t="s">
        <v>422</v>
      </c>
      <c r="Q21" s="4" t="s">
        <v>422</v>
      </c>
      <c r="R21" s="4" t="s">
        <v>422</v>
      </c>
      <c r="S21" s="4" t="s">
        <v>422</v>
      </c>
      <c r="T21" s="4" t="s">
        <v>422</v>
      </c>
      <c r="U21" s="4" t="s">
        <v>422</v>
      </c>
      <c r="V21" s="4" t="s">
        <v>422</v>
      </c>
      <c r="W21" s="4" t="s">
        <v>422</v>
      </c>
      <c r="X21" s="4" t="s">
        <v>422</v>
      </c>
      <c r="Y21" s="4">
        <v>0</v>
      </c>
      <c r="Z21" s="4">
        <f>IF(AC21="",Y21,Y21*AC21)</f>
        <v>0</v>
      </c>
      <c r="AA21" s="4">
        <v>86</v>
      </c>
      <c r="AB21" s="4">
        <f>IF(AC21="",AA21,AA21*AC21)</f>
        <v>86</v>
      </c>
      <c r="AC21" s="4"/>
      <c r="AD21" s="21">
        <f>ROUND(M21*AR21,0)</f>
        <v>132</v>
      </c>
      <c r="AE21" s="6">
        <f>IFERROR(1-AB21/AD21,"-")</f>
        <v>0.34848484848484851</v>
      </c>
      <c r="AF21" s="33">
        <v>7.2499999999999991</v>
      </c>
      <c r="AG21" s="4">
        <f>BI21</f>
        <v>200</v>
      </c>
      <c r="AH21" s="33">
        <f>IFERROR(AG21*AR21,"-")</f>
        <v>220.51282051282053</v>
      </c>
      <c r="AI21" s="6">
        <f>IFERROR(1-AB21/AH21,"-")</f>
        <v>0.6100000000000001</v>
      </c>
      <c r="AJ21" s="7">
        <v>150</v>
      </c>
      <c r="AK21" s="6">
        <f>1-AB21/AJ21</f>
        <v>0.42666666666666664</v>
      </c>
      <c r="AL21" s="4">
        <f>AJ21-AB21</f>
        <v>64</v>
      </c>
      <c r="AM21" s="28"/>
      <c r="AN21" s="6"/>
      <c r="AO21" s="6"/>
      <c r="AP21" s="6" t="str">
        <f>IFERROR(Z21/L21,"-")</f>
        <v>-</v>
      </c>
      <c r="AQ21" s="6">
        <f>IFERROR(AJ21/M21,"-")</f>
        <v>1.25</v>
      </c>
      <c r="AR21" s="6">
        <f>IFERROR(AB21/N21,"-")</f>
        <v>1.1025641025641026</v>
      </c>
      <c r="AS21" s="4" t="str">
        <f t="shared" si="0"/>
        <v>-</v>
      </c>
      <c r="AT21" s="4"/>
      <c r="AU21" s="4" t="str">
        <f t="shared" si="1"/>
        <v>-</v>
      </c>
      <c r="AV21" s="4" t="str">
        <f t="shared" si="2"/>
        <v>-</v>
      </c>
      <c r="AW21" s="4" t="str">
        <f t="shared" si="3"/>
        <v>-</v>
      </c>
      <c r="AX21" s="4" t="str">
        <f t="shared" si="4"/>
        <v>-</v>
      </c>
      <c r="AY21" s="4" t="str">
        <f t="shared" si="5"/>
        <v>-</v>
      </c>
      <c r="AZ21" s="4" t="str">
        <f t="shared" si="6"/>
        <v>-</v>
      </c>
      <c r="BA21" s="4" t="str">
        <f t="shared" si="7"/>
        <v>-</v>
      </c>
      <c r="BB21" s="4" t="str">
        <f t="shared" si="8"/>
        <v>-</v>
      </c>
      <c r="BC21" s="4">
        <v>0</v>
      </c>
      <c r="BD21" s="4" t="s">
        <v>574</v>
      </c>
      <c r="BE21" s="4">
        <v>1</v>
      </c>
      <c r="BF21" s="4">
        <v>5</v>
      </c>
      <c r="BG21" s="4" t="s">
        <v>568</v>
      </c>
      <c r="BH21" s="4">
        <v>1000</v>
      </c>
      <c r="BI21" s="4">
        <f>IF(BE21="",BH21,BE21/BF21*BH21)</f>
        <v>200</v>
      </c>
      <c r="BJ21" s="19">
        <v>4</v>
      </c>
      <c r="BK21" s="19">
        <v>1</v>
      </c>
      <c r="BL21" s="16">
        <v>3</v>
      </c>
      <c r="BM21" t="s">
        <v>422</v>
      </c>
      <c r="BN21" t="str">
        <f t="shared" si="9"/>
        <v>-</v>
      </c>
      <c r="BO21">
        <v>190</v>
      </c>
      <c r="BP21">
        <f t="shared" si="10"/>
        <v>209.4871794871795</v>
      </c>
      <c r="BQ21" t="s">
        <v>435</v>
      </c>
    </row>
    <row r="22" spans="1:69" x14ac:dyDescent="0.4">
      <c r="A22" s="3">
        <v>252</v>
      </c>
      <c r="B22" s="3">
        <v>164</v>
      </c>
      <c r="C22" s="46" t="s">
        <v>110</v>
      </c>
      <c r="D22" s="4" t="str">
        <f>TEXT(C22,"000000")</f>
        <v>J1148X</v>
      </c>
      <c r="E22" s="4" t="s">
        <v>312</v>
      </c>
      <c r="F22" s="4" t="s">
        <v>392</v>
      </c>
      <c r="G22" s="5">
        <v>4996297488026</v>
      </c>
      <c r="H22" s="5">
        <v>8</v>
      </c>
      <c r="I22" s="5" t="str">
        <f>C22&amp;H22</f>
        <v>J1148X8</v>
      </c>
      <c r="J22" s="5"/>
      <c r="K22" s="5"/>
      <c r="L22" s="4">
        <v>0</v>
      </c>
      <c r="M22" s="4">
        <v>566</v>
      </c>
      <c r="N22" s="4">
        <v>390</v>
      </c>
      <c r="O22" s="6">
        <f>IFERROR(1-N22/M22,"-")</f>
        <v>0.31095406360424027</v>
      </c>
      <c r="P22" s="4" t="s">
        <v>422</v>
      </c>
      <c r="Q22" s="4" t="s">
        <v>422</v>
      </c>
      <c r="R22" s="4" t="s">
        <v>422</v>
      </c>
      <c r="S22" s="4" t="s">
        <v>422</v>
      </c>
      <c r="T22" s="4" t="s">
        <v>422</v>
      </c>
      <c r="U22" s="4" t="s">
        <v>422</v>
      </c>
      <c r="V22" s="4" t="s">
        <v>422</v>
      </c>
      <c r="W22" s="4" t="s">
        <v>422</v>
      </c>
      <c r="X22" s="4" t="s">
        <v>422</v>
      </c>
      <c r="Y22" s="4">
        <v>0</v>
      </c>
      <c r="Z22" s="4">
        <f>IF(AC22="",Y22,Y22*AC22)</f>
        <v>0</v>
      </c>
      <c r="AA22" s="4">
        <v>86</v>
      </c>
      <c r="AB22" s="4">
        <f>IF(AC22="",AA22,AA22*AC22)</f>
        <v>430</v>
      </c>
      <c r="AC22" s="4">
        <v>5</v>
      </c>
      <c r="AD22" s="21">
        <f>ROUND(M22*AR22,0)</f>
        <v>624</v>
      </c>
      <c r="AE22" s="6">
        <f>IFERROR(1-AB22/AD22,"-")</f>
        <v>0.3108974358974359</v>
      </c>
      <c r="AF22" s="33">
        <v>7.2499999999999991</v>
      </c>
      <c r="AG22" s="4">
        <f>BI22</f>
        <v>1000</v>
      </c>
      <c r="AH22" s="33">
        <f>IFERROR(AG22*AR22,"-")</f>
        <v>1102.5641025641025</v>
      </c>
      <c r="AI22" s="6">
        <f>IFERROR(1-AB22/AH22,"-")</f>
        <v>0.61</v>
      </c>
      <c r="AJ22" s="7">
        <v>700</v>
      </c>
      <c r="AK22" s="6">
        <f>1-AB22/AJ22</f>
        <v>0.38571428571428568</v>
      </c>
      <c r="AL22" s="4">
        <f>AJ22-AB22</f>
        <v>270</v>
      </c>
      <c r="AM22" s="28"/>
      <c r="AN22" s="6"/>
      <c r="AO22" s="6"/>
      <c r="AP22" s="6" t="str">
        <f>IFERROR(Z22/L22,"-")</f>
        <v>-</v>
      </c>
      <c r="AQ22" s="6">
        <f>IFERROR(AJ22/M22,"-")</f>
        <v>1.2367491166077738</v>
      </c>
      <c r="AR22" s="6">
        <f>IFERROR(AB22/N22,"-")</f>
        <v>1.1025641025641026</v>
      </c>
      <c r="AS22" s="4" t="str">
        <f t="shared" si="0"/>
        <v>-</v>
      </c>
      <c r="AT22" s="4"/>
      <c r="AU22" s="4" t="str">
        <f t="shared" si="1"/>
        <v>-</v>
      </c>
      <c r="AV22" s="4" t="str">
        <f t="shared" si="2"/>
        <v>-</v>
      </c>
      <c r="AW22" s="4" t="str">
        <f t="shared" si="3"/>
        <v>-</v>
      </c>
      <c r="AX22" s="4" t="str">
        <f t="shared" si="4"/>
        <v>-</v>
      </c>
      <c r="AY22" s="4" t="str">
        <f t="shared" si="5"/>
        <v>-</v>
      </c>
      <c r="AZ22" s="4" t="str">
        <f t="shared" si="6"/>
        <v>-</v>
      </c>
      <c r="BA22" s="4" t="str">
        <f t="shared" si="7"/>
        <v>-</v>
      </c>
      <c r="BB22" s="4" t="str">
        <f t="shared" si="8"/>
        <v>-</v>
      </c>
      <c r="BC22" s="4">
        <v>0</v>
      </c>
      <c r="BD22" s="4" t="s">
        <v>574</v>
      </c>
      <c r="BE22" s="4"/>
      <c r="BF22" s="4"/>
      <c r="BG22" s="4" t="s">
        <v>568</v>
      </c>
      <c r="BH22" s="4">
        <v>1000</v>
      </c>
      <c r="BI22" s="4">
        <f>IF(BE22="",BH22,BE22/BF22*BH22)</f>
        <v>1000</v>
      </c>
      <c r="BJ22" s="19">
        <v>4</v>
      </c>
      <c r="BK22" s="19">
        <v>1</v>
      </c>
      <c r="BL22" s="16">
        <v>3</v>
      </c>
      <c r="BM22" t="s">
        <v>422</v>
      </c>
      <c r="BN22" t="str">
        <f t="shared" si="9"/>
        <v>-</v>
      </c>
      <c r="BO22">
        <v>190</v>
      </c>
      <c r="BP22">
        <f t="shared" si="10"/>
        <v>209.4871794871795</v>
      </c>
      <c r="BQ22" t="s">
        <v>435</v>
      </c>
    </row>
    <row r="23" spans="1:69" x14ac:dyDescent="0.4">
      <c r="A23" s="3">
        <v>165</v>
      </c>
      <c r="B23" s="3">
        <v>165</v>
      </c>
      <c r="C23" s="46" t="s">
        <v>111</v>
      </c>
      <c r="D23" s="4" t="str">
        <f>TEXT(C23,"000000")</f>
        <v>J1149X</v>
      </c>
      <c r="E23" s="4" t="s">
        <v>111</v>
      </c>
      <c r="F23" s="4" t="s">
        <v>279</v>
      </c>
      <c r="G23" s="5">
        <v>4996297488033</v>
      </c>
      <c r="H23" s="5"/>
      <c r="I23" s="5"/>
      <c r="J23" s="5">
        <v>2</v>
      </c>
      <c r="K23" s="5">
        <v>2</v>
      </c>
      <c r="L23" s="4">
        <v>0</v>
      </c>
      <c r="M23" s="4">
        <v>120</v>
      </c>
      <c r="N23" s="4">
        <v>78</v>
      </c>
      <c r="O23" s="6">
        <f>IFERROR(1-N23/M23,"-")</f>
        <v>0.35</v>
      </c>
      <c r="P23" s="4" t="s">
        <v>422</v>
      </c>
      <c r="Q23" s="4" t="s">
        <v>422</v>
      </c>
      <c r="R23" s="4" t="s">
        <v>422</v>
      </c>
      <c r="S23" s="4" t="s">
        <v>422</v>
      </c>
      <c r="T23" s="4" t="s">
        <v>422</v>
      </c>
      <c r="U23" s="4" t="s">
        <v>422</v>
      </c>
      <c r="V23" s="4" t="s">
        <v>422</v>
      </c>
      <c r="W23" s="4" t="s">
        <v>422</v>
      </c>
      <c r="X23" s="4" t="s">
        <v>422</v>
      </c>
      <c r="Y23" s="4">
        <v>0</v>
      </c>
      <c r="Z23" s="4">
        <f>IF(AC23="",Y23,Y23*AC23)</f>
        <v>0</v>
      </c>
      <c r="AA23" s="4">
        <v>86</v>
      </c>
      <c r="AB23" s="4">
        <f>IF(AC23="",AA23,AA23*AC23)</f>
        <v>86</v>
      </c>
      <c r="AC23" s="4"/>
      <c r="AD23" s="21">
        <f>ROUND(M23*AR23,0)</f>
        <v>132</v>
      </c>
      <c r="AE23" s="6">
        <f>IFERROR(1-AB23/AD23,"-")</f>
        <v>0.34848484848484851</v>
      </c>
      <c r="AF23" s="33">
        <v>8</v>
      </c>
      <c r="AG23" s="4">
        <f>BI23</f>
        <v>200</v>
      </c>
      <c r="AH23" s="33">
        <f>IFERROR(AG23*AR23,"-")</f>
        <v>220.51282051282053</v>
      </c>
      <c r="AI23" s="6">
        <f>IFERROR(1-AB23/AH23,"-")</f>
        <v>0.6100000000000001</v>
      </c>
      <c r="AJ23" s="7">
        <v>150</v>
      </c>
      <c r="AK23" s="6">
        <f>1-AB23/AJ23</f>
        <v>0.42666666666666664</v>
      </c>
      <c r="AL23" s="4">
        <f>AJ23-AB23</f>
        <v>64</v>
      </c>
      <c r="AM23" s="28"/>
      <c r="AN23" s="6"/>
      <c r="AO23" s="6"/>
      <c r="AP23" s="6" t="str">
        <f>IFERROR(Z23/L23,"-")</f>
        <v>-</v>
      </c>
      <c r="AQ23" s="6">
        <f>IFERROR(AJ23/M23,"-")</f>
        <v>1.25</v>
      </c>
      <c r="AR23" s="6">
        <f>IFERROR(AB23/N23,"-")</f>
        <v>1.1025641025641026</v>
      </c>
      <c r="AS23" s="4" t="str">
        <f t="shared" si="0"/>
        <v>-</v>
      </c>
      <c r="AT23" s="4"/>
      <c r="AU23" s="4" t="str">
        <f t="shared" si="1"/>
        <v>-</v>
      </c>
      <c r="AV23" s="4" t="str">
        <f t="shared" si="2"/>
        <v>-</v>
      </c>
      <c r="AW23" s="4" t="str">
        <f t="shared" si="3"/>
        <v>-</v>
      </c>
      <c r="AX23" s="4" t="str">
        <f t="shared" si="4"/>
        <v>-</v>
      </c>
      <c r="AY23" s="4" t="str">
        <f t="shared" si="5"/>
        <v>-</v>
      </c>
      <c r="AZ23" s="4" t="str">
        <f t="shared" si="6"/>
        <v>-</v>
      </c>
      <c r="BA23" s="4" t="str">
        <f t="shared" si="7"/>
        <v>-</v>
      </c>
      <c r="BB23" s="4" t="str">
        <f t="shared" si="8"/>
        <v>-</v>
      </c>
      <c r="BC23" s="4">
        <v>0</v>
      </c>
      <c r="BD23" s="4" t="s">
        <v>575</v>
      </c>
      <c r="BE23" s="4">
        <v>1</v>
      </c>
      <c r="BF23" s="4">
        <v>5</v>
      </c>
      <c r="BG23" s="4" t="s">
        <v>568</v>
      </c>
      <c r="BH23" s="4">
        <v>1000</v>
      </c>
      <c r="BI23" s="4">
        <f>IF(BE23="",BH23,BE23/BF23*BH23)</f>
        <v>200</v>
      </c>
      <c r="BJ23" s="19">
        <v>4</v>
      </c>
      <c r="BK23" s="19">
        <v>1</v>
      </c>
      <c r="BL23" s="16">
        <v>3</v>
      </c>
      <c r="BM23" t="s">
        <v>422</v>
      </c>
      <c r="BN23" t="str">
        <f t="shared" si="9"/>
        <v>-</v>
      </c>
      <c r="BO23">
        <v>190</v>
      </c>
      <c r="BP23">
        <f t="shared" si="10"/>
        <v>209.4871794871795</v>
      </c>
      <c r="BQ23" t="s">
        <v>436</v>
      </c>
    </row>
    <row r="24" spans="1:69" x14ac:dyDescent="0.4">
      <c r="A24" s="3">
        <v>253</v>
      </c>
      <c r="B24" s="3">
        <v>165</v>
      </c>
      <c r="C24" s="46" t="s">
        <v>111</v>
      </c>
      <c r="D24" s="4" t="str">
        <f>TEXT(C24,"000000")</f>
        <v>J1149X</v>
      </c>
      <c r="E24" s="4" t="s">
        <v>313</v>
      </c>
      <c r="F24" s="4" t="s">
        <v>393</v>
      </c>
      <c r="G24" s="5">
        <v>4996297488033</v>
      </c>
      <c r="H24" s="5">
        <v>8</v>
      </c>
      <c r="I24" s="5" t="str">
        <f>C24&amp;H24</f>
        <v>J1149X8</v>
      </c>
      <c r="J24" s="5"/>
      <c r="K24" s="5"/>
      <c r="L24" s="4">
        <v>0</v>
      </c>
      <c r="M24" s="4">
        <v>566</v>
      </c>
      <c r="N24" s="4">
        <v>390</v>
      </c>
      <c r="O24" s="6">
        <f>IFERROR(1-N24/M24,"-")</f>
        <v>0.31095406360424027</v>
      </c>
      <c r="P24" s="4" t="s">
        <v>422</v>
      </c>
      <c r="Q24" s="4" t="s">
        <v>422</v>
      </c>
      <c r="R24" s="4" t="s">
        <v>422</v>
      </c>
      <c r="S24" s="4" t="s">
        <v>422</v>
      </c>
      <c r="T24" s="4" t="s">
        <v>422</v>
      </c>
      <c r="U24" s="4" t="s">
        <v>422</v>
      </c>
      <c r="V24" s="4" t="s">
        <v>422</v>
      </c>
      <c r="W24" s="4" t="s">
        <v>422</v>
      </c>
      <c r="X24" s="4" t="s">
        <v>422</v>
      </c>
      <c r="Y24" s="4">
        <v>0</v>
      </c>
      <c r="Z24" s="4">
        <f>IF(AC24="",Y24,Y24*AC24)</f>
        <v>0</v>
      </c>
      <c r="AA24" s="4">
        <v>86</v>
      </c>
      <c r="AB24" s="4">
        <f>IF(AC24="",AA24,AA24*AC24)</f>
        <v>430</v>
      </c>
      <c r="AC24" s="4">
        <v>5</v>
      </c>
      <c r="AD24" s="21">
        <f>ROUND(M24*AR24,0)</f>
        <v>624</v>
      </c>
      <c r="AE24" s="6">
        <f>IFERROR(1-AB24/AD24,"-")</f>
        <v>0.3108974358974359</v>
      </c>
      <c r="AF24" s="33">
        <v>8</v>
      </c>
      <c r="AG24" s="4">
        <f>BI24</f>
        <v>1000</v>
      </c>
      <c r="AH24" s="33">
        <f>IFERROR(AG24*AR24,"-")</f>
        <v>1102.5641025641025</v>
      </c>
      <c r="AI24" s="6">
        <f>IFERROR(1-AB24/AH24,"-")</f>
        <v>0.61</v>
      </c>
      <c r="AJ24" s="7">
        <v>700</v>
      </c>
      <c r="AK24" s="6">
        <f>1-AB24/AJ24</f>
        <v>0.38571428571428568</v>
      </c>
      <c r="AL24" s="4">
        <f>AJ24-AB24</f>
        <v>270</v>
      </c>
      <c r="AM24" s="28"/>
      <c r="AN24" s="6"/>
      <c r="AO24" s="6"/>
      <c r="AP24" s="6" t="str">
        <f>IFERROR(Z24/L24,"-")</f>
        <v>-</v>
      </c>
      <c r="AQ24" s="6">
        <f>IFERROR(AJ24/M24,"-")</f>
        <v>1.2367491166077738</v>
      </c>
      <c r="AR24" s="6">
        <f>IFERROR(AB24/N24,"-")</f>
        <v>1.1025641025641026</v>
      </c>
      <c r="AS24" s="4" t="str">
        <f t="shared" si="0"/>
        <v>-</v>
      </c>
      <c r="AT24" s="4"/>
      <c r="AU24" s="4" t="str">
        <f t="shared" si="1"/>
        <v>-</v>
      </c>
      <c r="AV24" s="4" t="str">
        <f t="shared" si="2"/>
        <v>-</v>
      </c>
      <c r="AW24" s="4" t="str">
        <f t="shared" si="3"/>
        <v>-</v>
      </c>
      <c r="AX24" s="4" t="str">
        <f t="shared" si="4"/>
        <v>-</v>
      </c>
      <c r="AY24" s="4" t="str">
        <f t="shared" si="5"/>
        <v>-</v>
      </c>
      <c r="AZ24" s="4" t="str">
        <f t="shared" si="6"/>
        <v>-</v>
      </c>
      <c r="BA24" s="4" t="str">
        <f t="shared" si="7"/>
        <v>-</v>
      </c>
      <c r="BB24" s="4" t="str">
        <f t="shared" si="8"/>
        <v>-</v>
      </c>
      <c r="BC24" s="4">
        <v>0</v>
      </c>
      <c r="BD24" s="4" t="s">
        <v>575</v>
      </c>
      <c r="BE24" s="4"/>
      <c r="BF24" s="4"/>
      <c r="BG24" s="4" t="s">
        <v>568</v>
      </c>
      <c r="BH24" s="4">
        <v>1000</v>
      </c>
      <c r="BI24" s="4">
        <f>IF(BE24="",BH24,BE24/BF24*BH24)</f>
        <v>1000</v>
      </c>
      <c r="BJ24" s="19">
        <v>4</v>
      </c>
      <c r="BK24" s="19">
        <v>1</v>
      </c>
      <c r="BL24" s="16">
        <v>3</v>
      </c>
      <c r="BM24" t="s">
        <v>422</v>
      </c>
      <c r="BN24" t="str">
        <f t="shared" si="9"/>
        <v>-</v>
      </c>
      <c r="BO24">
        <v>190</v>
      </c>
      <c r="BP24">
        <f t="shared" si="10"/>
        <v>209.4871794871795</v>
      </c>
      <c r="BQ24" t="s">
        <v>436</v>
      </c>
    </row>
    <row r="25" spans="1:69" x14ac:dyDescent="0.4">
      <c r="A25" s="3">
        <v>5</v>
      </c>
      <c r="B25" s="3">
        <v>5</v>
      </c>
      <c r="C25" s="46">
        <v>789012</v>
      </c>
      <c r="D25" s="4" t="str">
        <f>TEXT(C25,"000000")</f>
        <v>789012</v>
      </c>
      <c r="E25" s="4">
        <v>789012</v>
      </c>
      <c r="F25" s="4" t="s">
        <v>120</v>
      </c>
      <c r="G25" s="5">
        <v>4710581353421</v>
      </c>
      <c r="H25" s="5"/>
      <c r="I25" s="5"/>
      <c r="J25" s="5">
        <v>2</v>
      </c>
      <c r="K25" s="5">
        <v>2</v>
      </c>
      <c r="L25" s="4">
        <v>0</v>
      </c>
      <c r="M25" s="4">
        <v>122</v>
      </c>
      <c r="N25" s="4">
        <v>79</v>
      </c>
      <c r="O25" s="6">
        <f>IFERROR(1-N25/M25,"-")</f>
        <v>0.35245901639344257</v>
      </c>
      <c r="P25" s="4" t="s">
        <v>422</v>
      </c>
      <c r="Q25" s="4" t="s">
        <v>422</v>
      </c>
      <c r="R25" s="4" t="s">
        <v>422</v>
      </c>
      <c r="S25" s="4" t="s">
        <v>422</v>
      </c>
      <c r="T25" s="4" t="s">
        <v>422</v>
      </c>
      <c r="U25" s="4" t="s">
        <v>422</v>
      </c>
      <c r="V25" s="4" t="s">
        <v>422</v>
      </c>
      <c r="W25" s="4" t="s">
        <v>422</v>
      </c>
      <c r="X25" s="4" t="s">
        <v>422</v>
      </c>
      <c r="Y25" s="4">
        <v>0</v>
      </c>
      <c r="Z25" s="4">
        <f>IF(AC25="",Y25,Y25*AC25)</f>
        <v>0</v>
      </c>
      <c r="AA25" s="4">
        <v>87</v>
      </c>
      <c r="AB25" s="4">
        <f>IF(AC25="",AA25,AA25*AC25)</f>
        <v>87</v>
      </c>
      <c r="AC25" s="4"/>
      <c r="AD25" s="21">
        <f>ROUND(M25*AR25,0)</f>
        <v>134</v>
      </c>
      <c r="AE25" s="6">
        <f>IFERROR(1-AB25/AD25,"-")</f>
        <v>0.35074626865671643</v>
      </c>
      <c r="AF25" s="33">
        <v>66</v>
      </c>
      <c r="AG25" s="4">
        <f>BI25</f>
        <v>191</v>
      </c>
      <c r="AH25" s="33">
        <f>IFERROR(AG25*AR25,"-")</f>
        <v>210.34177215189877</v>
      </c>
      <c r="AI25" s="6">
        <f>IFERROR(1-AB25/AH25,"-")</f>
        <v>0.58638743455497389</v>
      </c>
      <c r="AJ25" s="7">
        <v>150</v>
      </c>
      <c r="AK25" s="6">
        <f>1-AB25/AJ25</f>
        <v>0.42000000000000004</v>
      </c>
      <c r="AL25" s="4">
        <f>AJ25-AB25</f>
        <v>63</v>
      </c>
      <c r="AM25" s="28"/>
      <c r="AN25" s="6"/>
      <c r="AO25" s="6"/>
      <c r="AP25" s="6" t="str">
        <f>IFERROR(Z25/L25,"-")</f>
        <v>-</v>
      </c>
      <c r="AQ25" s="6">
        <f>IFERROR(AJ25/M25,"-")</f>
        <v>1.2295081967213115</v>
      </c>
      <c r="AR25" s="6">
        <f>IFERROR(AB25/N25,"-")</f>
        <v>1.1012658227848102</v>
      </c>
      <c r="AS25" s="4" t="str">
        <f t="shared" si="0"/>
        <v>-</v>
      </c>
      <c r="AT25" s="4"/>
      <c r="AU25" s="4" t="str">
        <f t="shared" si="1"/>
        <v>-</v>
      </c>
      <c r="AV25" s="4" t="str">
        <f t="shared" si="2"/>
        <v>-</v>
      </c>
      <c r="AW25" s="4" t="str">
        <f t="shared" si="3"/>
        <v>-</v>
      </c>
      <c r="AX25" s="4" t="str">
        <f t="shared" si="4"/>
        <v>-</v>
      </c>
      <c r="AY25" s="4" t="str">
        <f t="shared" si="5"/>
        <v>-</v>
      </c>
      <c r="AZ25" s="4" t="str">
        <f t="shared" si="6"/>
        <v>-</v>
      </c>
      <c r="BA25" s="4" t="str">
        <f t="shared" si="7"/>
        <v>-</v>
      </c>
      <c r="BB25" s="4" t="str">
        <f t="shared" si="8"/>
        <v>-</v>
      </c>
      <c r="BC25" s="4">
        <v>12724</v>
      </c>
      <c r="BD25" s="4" t="s">
        <v>576</v>
      </c>
      <c r="BE25" s="4"/>
      <c r="BF25" s="4"/>
      <c r="BG25" s="4" t="s">
        <v>563</v>
      </c>
      <c r="BH25" s="4">
        <v>191</v>
      </c>
      <c r="BI25" s="4">
        <f>IF(BE25="",BH25,BE25/BF25*BH25)</f>
        <v>191</v>
      </c>
      <c r="BJ25" s="19">
        <v>4</v>
      </c>
      <c r="BK25" s="19">
        <v>1</v>
      </c>
      <c r="BL25" s="16">
        <v>3</v>
      </c>
      <c r="BM25" t="s">
        <v>422</v>
      </c>
      <c r="BN25" t="str">
        <f t="shared" si="9"/>
        <v>-</v>
      </c>
      <c r="BO25">
        <v>200</v>
      </c>
      <c r="BP25">
        <f t="shared" si="10"/>
        <v>220.25316455696205</v>
      </c>
      <c r="BQ25" t="s">
        <v>437</v>
      </c>
    </row>
    <row r="26" spans="1:69" x14ac:dyDescent="0.4">
      <c r="A26" s="3">
        <v>180</v>
      </c>
      <c r="B26" s="3">
        <v>5</v>
      </c>
      <c r="C26" s="46">
        <v>789012</v>
      </c>
      <c r="D26" s="4" t="str">
        <f>TEXT(C26,"000000")</f>
        <v>789012</v>
      </c>
      <c r="E26" s="4">
        <v>629674</v>
      </c>
      <c r="F26" s="4" t="s">
        <v>320</v>
      </c>
      <c r="G26" s="5">
        <v>4710581353421</v>
      </c>
      <c r="H26" s="5">
        <v>8</v>
      </c>
      <c r="I26" s="5" t="str">
        <f>C26&amp;H26</f>
        <v>7890128</v>
      </c>
      <c r="J26" s="5"/>
      <c r="K26" s="5"/>
      <c r="L26" s="4">
        <v>0</v>
      </c>
      <c r="M26" s="4">
        <v>2262</v>
      </c>
      <c r="N26" s="4">
        <v>1580</v>
      </c>
      <c r="O26" s="6">
        <f>IFERROR(1-N26/M26,"-")</f>
        <v>0.3015030946065429</v>
      </c>
      <c r="P26" s="4">
        <v>2140</v>
      </c>
      <c r="Q26" s="4">
        <v>5</v>
      </c>
      <c r="R26" s="4">
        <v>99999</v>
      </c>
      <c r="S26" s="4" t="s">
        <v>422</v>
      </c>
      <c r="T26" s="4" t="s">
        <v>422</v>
      </c>
      <c r="U26" s="4" t="s">
        <v>422</v>
      </c>
      <c r="V26" s="4" t="s">
        <v>422</v>
      </c>
      <c r="W26" s="4" t="s">
        <v>422</v>
      </c>
      <c r="X26" s="4" t="s">
        <v>422</v>
      </c>
      <c r="Y26" s="4">
        <v>0</v>
      </c>
      <c r="Z26" s="4">
        <f>IF(AC26="",Y26,Y26*AC26)</f>
        <v>0</v>
      </c>
      <c r="AA26" s="4">
        <v>87</v>
      </c>
      <c r="AB26" s="4">
        <f>IF(AC26="",AA26,AA26*AC26)</f>
        <v>1740</v>
      </c>
      <c r="AC26" s="4">
        <v>20</v>
      </c>
      <c r="AD26" s="21">
        <f>ROUND(M26*AR26,0)</f>
        <v>2491</v>
      </c>
      <c r="AE26" s="6">
        <f>IFERROR(1-AB26/AD26,"-")</f>
        <v>0.30148534725010034</v>
      </c>
      <c r="AF26" s="33">
        <v>66</v>
      </c>
      <c r="AG26" s="4">
        <f>BI26</f>
        <v>3820</v>
      </c>
      <c r="AH26" s="33">
        <f>IFERROR(AG26*AR26,"-")</f>
        <v>4206.835443037975</v>
      </c>
      <c r="AI26" s="6">
        <f>IFERROR(1-AB26/AH26,"-")</f>
        <v>0.58638743455497377</v>
      </c>
      <c r="AJ26" s="7">
        <v>2850</v>
      </c>
      <c r="AK26" s="6">
        <f>1-AB26/AJ26</f>
        <v>0.38947368421052631</v>
      </c>
      <c r="AL26" s="4">
        <f>AJ26-AB26</f>
        <v>1110</v>
      </c>
      <c r="AM26" s="28"/>
      <c r="AN26" s="6"/>
      <c r="AO26" s="6"/>
      <c r="AP26" s="6" t="str">
        <f>IFERROR(Z26/L26,"-")</f>
        <v>-</v>
      </c>
      <c r="AQ26" s="6">
        <f>IFERROR(AJ26/M26,"-")</f>
        <v>1.2599469496021221</v>
      </c>
      <c r="AR26" s="6">
        <f>IFERROR(AB26/N26,"-")</f>
        <v>1.1012658227848102</v>
      </c>
      <c r="AS26" s="4">
        <f t="shared" si="0"/>
        <v>2696</v>
      </c>
      <c r="AT26" s="6">
        <f>1-AB26/AS26</f>
        <v>0.35459940652818989</v>
      </c>
      <c r="AU26" s="4">
        <f t="shared" si="1"/>
        <v>5</v>
      </c>
      <c r="AV26" s="4">
        <f t="shared" si="2"/>
        <v>99999</v>
      </c>
      <c r="AW26" s="4" t="str">
        <f t="shared" si="3"/>
        <v>-</v>
      </c>
      <c r="AX26" s="4" t="str">
        <f t="shared" si="4"/>
        <v>-</v>
      </c>
      <c r="AY26" s="4" t="str">
        <f t="shared" si="5"/>
        <v>-</v>
      </c>
      <c r="AZ26" s="4" t="str">
        <f t="shared" si="6"/>
        <v>-</v>
      </c>
      <c r="BA26" s="4" t="str">
        <f t="shared" si="7"/>
        <v>-</v>
      </c>
      <c r="BB26" s="4" t="str">
        <f t="shared" si="8"/>
        <v>-</v>
      </c>
      <c r="BC26" s="4">
        <v>12724</v>
      </c>
      <c r="BD26" s="4" t="s">
        <v>576</v>
      </c>
      <c r="BE26" s="4">
        <v>20</v>
      </c>
      <c r="BF26" s="4">
        <v>1</v>
      </c>
      <c r="BG26" s="4" t="s">
        <v>563</v>
      </c>
      <c r="BH26" s="4">
        <v>191</v>
      </c>
      <c r="BI26" s="4">
        <f>IF(BE26="",BH26,BE26/BF26*BH26)</f>
        <v>3820</v>
      </c>
      <c r="BJ26" s="19">
        <v>4</v>
      </c>
      <c r="BK26" s="19">
        <v>1</v>
      </c>
      <c r="BL26" s="16">
        <v>3</v>
      </c>
      <c r="BM26" t="s">
        <v>422</v>
      </c>
      <c r="BN26" t="str">
        <f t="shared" si="9"/>
        <v>-</v>
      </c>
      <c r="BO26">
        <v>200</v>
      </c>
      <c r="BP26">
        <f t="shared" si="10"/>
        <v>220.25316455696205</v>
      </c>
      <c r="BQ26" t="s">
        <v>437</v>
      </c>
    </row>
    <row r="27" spans="1:69" x14ac:dyDescent="0.4">
      <c r="A27" s="3">
        <v>44</v>
      </c>
      <c r="B27" s="3">
        <v>44</v>
      </c>
      <c r="C27" s="4">
        <v>657615</v>
      </c>
      <c r="D27" s="4" t="str">
        <f>TEXT(C27,"000000")</f>
        <v>657615</v>
      </c>
      <c r="E27" s="4">
        <v>657615</v>
      </c>
      <c r="F27" s="4" t="s">
        <v>159</v>
      </c>
      <c r="G27" s="5">
        <v>4996297304241</v>
      </c>
      <c r="H27" s="5"/>
      <c r="I27" s="5"/>
      <c r="J27" s="5">
        <v>1</v>
      </c>
      <c r="K27" s="5">
        <v>1</v>
      </c>
      <c r="L27" s="4">
        <v>0</v>
      </c>
      <c r="M27" s="4">
        <v>173</v>
      </c>
      <c r="N27" s="4">
        <v>87</v>
      </c>
      <c r="O27" s="6">
        <f>IFERROR(1-N27/M27,"-")</f>
        <v>0.49710982658959535</v>
      </c>
      <c r="P27" s="4" t="s">
        <v>422</v>
      </c>
      <c r="Q27" s="4" t="s">
        <v>422</v>
      </c>
      <c r="R27" s="4" t="s">
        <v>422</v>
      </c>
      <c r="S27" s="4" t="s">
        <v>422</v>
      </c>
      <c r="T27" s="4" t="s">
        <v>422</v>
      </c>
      <c r="U27" s="4" t="s">
        <v>422</v>
      </c>
      <c r="V27" s="4" t="s">
        <v>422</v>
      </c>
      <c r="W27" s="4" t="s">
        <v>422</v>
      </c>
      <c r="X27" s="4" t="s">
        <v>422</v>
      </c>
      <c r="Y27" s="4">
        <v>0</v>
      </c>
      <c r="Z27" s="4">
        <f>IF(AC27="",Y27,Y27*AC27)</f>
        <v>0</v>
      </c>
      <c r="AA27" s="4">
        <v>96</v>
      </c>
      <c r="AB27" s="4">
        <f>IF(AC27="",AA27,AA27*AC27)</f>
        <v>96</v>
      </c>
      <c r="AC27" s="4"/>
      <c r="AD27" s="21">
        <f>ROUND(M27*AR27,0)</f>
        <v>191</v>
      </c>
      <c r="AE27" s="6">
        <f>IFERROR(1-AB27/AD27,"-")</f>
        <v>0.49738219895287961</v>
      </c>
      <c r="AF27" s="33">
        <v>145</v>
      </c>
      <c r="AG27" s="4" t="str">
        <f>BI27</f>
        <v>-</v>
      </c>
      <c r="AH27" s="33" t="str">
        <f>IFERROR(AG27*AR27,"-")</f>
        <v>-</v>
      </c>
      <c r="AI27" s="6" t="str">
        <f>IFERROR(1-AB27/AH27,"-")</f>
        <v>-</v>
      </c>
      <c r="AJ27" s="7">
        <v>180</v>
      </c>
      <c r="AK27" s="6">
        <f>1-AB27/AJ27</f>
        <v>0.46666666666666667</v>
      </c>
      <c r="AL27" s="4">
        <f>AJ27-AB27</f>
        <v>84</v>
      </c>
      <c r="AM27" s="28"/>
      <c r="AN27" s="6"/>
      <c r="AO27" s="6"/>
      <c r="AP27" s="6" t="str">
        <f>IFERROR(Z27/L27,"-")</f>
        <v>-</v>
      </c>
      <c r="AQ27" s="6">
        <f>IFERROR(AJ27/M27,"-")</f>
        <v>1.0404624277456647</v>
      </c>
      <c r="AR27" s="6">
        <f>IFERROR(AB27/N27,"-")</f>
        <v>1.103448275862069</v>
      </c>
      <c r="AS27" s="4" t="str">
        <f t="shared" si="0"/>
        <v>-</v>
      </c>
      <c r="AT27" s="4"/>
      <c r="AU27" s="4" t="str">
        <f t="shared" si="1"/>
        <v>-</v>
      </c>
      <c r="AV27" s="4" t="str">
        <f t="shared" si="2"/>
        <v>-</v>
      </c>
      <c r="AW27" s="4" t="str">
        <f t="shared" si="3"/>
        <v>-</v>
      </c>
      <c r="AX27" s="4" t="str">
        <f t="shared" si="4"/>
        <v>-</v>
      </c>
      <c r="AY27" s="4" t="str">
        <f t="shared" si="5"/>
        <v>-</v>
      </c>
      <c r="AZ27" s="4" t="str">
        <f t="shared" si="6"/>
        <v>-</v>
      </c>
      <c r="BA27" s="4" t="str">
        <f t="shared" si="7"/>
        <v>-</v>
      </c>
      <c r="BB27" s="4" t="str">
        <f t="shared" si="8"/>
        <v>-</v>
      </c>
      <c r="BC27" s="4" t="s">
        <v>408</v>
      </c>
      <c r="BD27" s="4" t="s">
        <v>422</v>
      </c>
      <c r="BE27" s="4"/>
      <c r="BF27" s="4"/>
      <c r="BG27" s="4" t="s">
        <v>422</v>
      </c>
      <c r="BH27" s="4" t="s">
        <v>422</v>
      </c>
      <c r="BI27" s="4" t="str">
        <f>IF(BE27="",BH27,BE27/BF27*BH27)</f>
        <v>-</v>
      </c>
      <c r="BJ27" s="19">
        <v>4</v>
      </c>
      <c r="BK27" s="19">
        <v>1</v>
      </c>
      <c r="BL27" s="16">
        <v>3</v>
      </c>
      <c r="BM27" t="s">
        <v>422</v>
      </c>
      <c r="BN27" t="str">
        <f t="shared" si="9"/>
        <v>-</v>
      </c>
      <c r="BO27" t="s">
        <v>422</v>
      </c>
      <c r="BP27" t="str">
        <f t="shared" si="10"/>
        <v>-</v>
      </c>
      <c r="BQ27" t="s">
        <v>422</v>
      </c>
    </row>
    <row r="28" spans="1:69" x14ac:dyDescent="0.4">
      <c r="A28" s="3">
        <v>177</v>
      </c>
      <c r="B28" s="3">
        <v>177</v>
      </c>
      <c r="C28" s="4">
        <v>111656</v>
      </c>
      <c r="D28" s="4" t="str">
        <f>TEXT(C28,"000000")</f>
        <v>111656</v>
      </c>
      <c r="E28" s="4">
        <v>111656</v>
      </c>
      <c r="F28" s="4" t="s">
        <v>291</v>
      </c>
      <c r="G28" s="5">
        <v>4996297704058</v>
      </c>
      <c r="H28" s="5"/>
      <c r="I28" s="5"/>
      <c r="J28" s="5">
        <v>1</v>
      </c>
      <c r="K28" s="5">
        <v>1</v>
      </c>
      <c r="L28" s="4">
        <v>0</v>
      </c>
      <c r="M28" s="4">
        <v>166</v>
      </c>
      <c r="N28" s="4">
        <v>90</v>
      </c>
      <c r="O28" s="6">
        <f>IFERROR(1-N28/M28,"-")</f>
        <v>0.45783132530120485</v>
      </c>
      <c r="P28" s="4" t="s">
        <v>422</v>
      </c>
      <c r="Q28" s="4" t="s">
        <v>422</v>
      </c>
      <c r="R28" s="4" t="s">
        <v>422</v>
      </c>
      <c r="S28" s="4" t="s">
        <v>422</v>
      </c>
      <c r="T28" s="4" t="s">
        <v>422</v>
      </c>
      <c r="U28" s="4" t="s">
        <v>422</v>
      </c>
      <c r="V28" s="4" t="s">
        <v>422</v>
      </c>
      <c r="W28" s="4" t="s">
        <v>422</v>
      </c>
      <c r="X28" s="4" t="s">
        <v>422</v>
      </c>
      <c r="Y28" s="4">
        <v>0</v>
      </c>
      <c r="Z28" s="4">
        <f>IF(AC28="",Y28,Y28*AC28)</f>
        <v>0</v>
      </c>
      <c r="AA28" s="4">
        <v>99</v>
      </c>
      <c r="AB28" s="4">
        <f>IF(AC28="",AA28,AA28*AC28)</f>
        <v>99</v>
      </c>
      <c r="AC28" s="4"/>
      <c r="AD28" s="21">
        <f>ROUND(M28*AR28,0)</f>
        <v>183</v>
      </c>
      <c r="AE28" s="6">
        <f>IFERROR(1-AB28/AD28,"-")</f>
        <v>0.45901639344262291</v>
      </c>
      <c r="AF28" s="33">
        <v>2</v>
      </c>
      <c r="AG28" s="4" t="str">
        <f>BI28</f>
        <v>-</v>
      </c>
      <c r="AH28" s="33" t="str">
        <f>IFERROR(AG28*AR28,"-")</f>
        <v>-</v>
      </c>
      <c r="AI28" s="6" t="str">
        <f>IFERROR(1-AB28/AH28,"-")</f>
        <v>-</v>
      </c>
      <c r="AJ28" s="7">
        <v>170</v>
      </c>
      <c r="AK28" s="6">
        <f>1-AB28/AJ28</f>
        <v>0.41764705882352937</v>
      </c>
      <c r="AL28" s="4">
        <f>AJ28-AB28</f>
        <v>71</v>
      </c>
      <c r="AM28" s="28"/>
      <c r="AN28" s="6"/>
      <c r="AO28" s="6"/>
      <c r="AP28" s="6" t="str">
        <f>IFERROR(Z28/L28,"-")</f>
        <v>-</v>
      </c>
      <c r="AQ28" s="6">
        <f>IFERROR(AJ28/M28,"-")</f>
        <v>1.0240963855421688</v>
      </c>
      <c r="AR28" s="6">
        <f>IFERROR(AB28/N28,"-")</f>
        <v>1.1000000000000001</v>
      </c>
      <c r="AS28" s="4" t="str">
        <f t="shared" si="0"/>
        <v>-</v>
      </c>
      <c r="AT28" s="4"/>
      <c r="AU28" s="4" t="str">
        <f t="shared" si="1"/>
        <v>-</v>
      </c>
      <c r="AV28" s="4" t="str">
        <f t="shared" si="2"/>
        <v>-</v>
      </c>
      <c r="AW28" s="4" t="str">
        <f t="shared" si="3"/>
        <v>-</v>
      </c>
      <c r="AX28" s="4" t="str">
        <f t="shared" si="4"/>
        <v>-</v>
      </c>
      <c r="AY28" s="4" t="str">
        <f t="shared" si="5"/>
        <v>-</v>
      </c>
      <c r="AZ28" s="4" t="str">
        <f t="shared" si="6"/>
        <v>-</v>
      </c>
      <c r="BA28" s="4" t="str">
        <f t="shared" si="7"/>
        <v>-</v>
      </c>
      <c r="BB28" s="4" t="str">
        <f t="shared" si="8"/>
        <v>-</v>
      </c>
      <c r="BC28" s="4">
        <v>0</v>
      </c>
      <c r="BD28" s="4" t="s">
        <v>422</v>
      </c>
      <c r="BE28" s="4"/>
      <c r="BF28" s="4"/>
      <c r="BG28" s="4" t="s">
        <v>422</v>
      </c>
      <c r="BH28" s="4" t="s">
        <v>422</v>
      </c>
      <c r="BI28" s="4" t="str">
        <f>IF(BE28="",BH28,BE28/BF28*BH28)</f>
        <v>-</v>
      </c>
      <c r="BJ28" s="19">
        <v>4</v>
      </c>
      <c r="BK28" s="19">
        <v>1</v>
      </c>
      <c r="BL28" s="16">
        <v>3</v>
      </c>
      <c r="BM28" t="s">
        <v>422</v>
      </c>
      <c r="BN28" t="str">
        <f t="shared" si="9"/>
        <v>-</v>
      </c>
      <c r="BO28" t="s">
        <v>422</v>
      </c>
      <c r="BP28" t="str">
        <f t="shared" si="10"/>
        <v>-</v>
      </c>
      <c r="BQ28" t="s">
        <v>422</v>
      </c>
    </row>
    <row r="29" spans="1:69" x14ac:dyDescent="0.4">
      <c r="A29" s="3">
        <v>66</v>
      </c>
      <c r="B29" s="3">
        <v>66</v>
      </c>
      <c r="C29" s="46">
        <v>788859</v>
      </c>
      <c r="D29" s="4" t="str">
        <f>TEXT(C29,"000000")</f>
        <v>788859</v>
      </c>
      <c r="E29" s="4">
        <v>788859</v>
      </c>
      <c r="F29" s="4" t="s">
        <v>180</v>
      </c>
      <c r="G29" s="5">
        <v>4996297354925</v>
      </c>
      <c r="H29" s="5"/>
      <c r="I29" s="5"/>
      <c r="J29" s="5">
        <v>2</v>
      </c>
      <c r="K29" s="5">
        <v>2</v>
      </c>
      <c r="L29" s="4">
        <v>0</v>
      </c>
      <c r="M29" s="4">
        <v>158</v>
      </c>
      <c r="N29" s="4">
        <v>90</v>
      </c>
      <c r="O29" s="6">
        <f>IFERROR(1-N29/M29,"-")</f>
        <v>0.430379746835443</v>
      </c>
      <c r="P29" s="4" t="s">
        <v>422</v>
      </c>
      <c r="Q29" s="4" t="s">
        <v>422</v>
      </c>
      <c r="R29" s="4" t="s">
        <v>422</v>
      </c>
      <c r="S29" s="4" t="s">
        <v>422</v>
      </c>
      <c r="T29" s="4" t="s">
        <v>422</v>
      </c>
      <c r="U29" s="4" t="s">
        <v>422</v>
      </c>
      <c r="V29" s="4" t="s">
        <v>422</v>
      </c>
      <c r="W29" s="4" t="s">
        <v>422</v>
      </c>
      <c r="X29" s="4" t="s">
        <v>422</v>
      </c>
      <c r="Y29" s="4">
        <v>0</v>
      </c>
      <c r="Z29" s="4">
        <f>IF(AC29="",Y29,Y29*AC29)</f>
        <v>0</v>
      </c>
      <c r="AA29" s="4">
        <v>99</v>
      </c>
      <c r="AB29" s="4">
        <f>IF(AC29="",AA29,AA29*AC29)</f>
        <v>99</v>
      </c>
      <c r="AC29" s="4"/>
      <c r="AD29" s="21">
        <f>ROUND(M29*AR29,0)</f>
        <v>174</v>
      </c>
      <c r="AE29" s="6">
        <f>IFERROR(1-AB29/AD29,"-")</f>
        <v>0.43103448275862066</v>
      </c>
      <c r="AF29" s="33">
        <v>10.5</v>
      </c>
      <c r="AG29" s="4">
        <f>BI29</f>
        <v>330</v>
      </c>
      <c r="AH29" s="33">
        <f>IFERROR(AG29*AR29,"-")</f>
        <v>363.00000000000006</v>
      </c>
      <c r="AI29" s="6">
        <f>IFERROR(1-AB29/AH29,"-")</f>
        <v>0.72727272727272729</v>
      </c>
      <c r="AJ29" s="7">
        <v>175</v>
      </c>
      <c r="AK29" s="6">
        <f>1-AB29/AJ29</f>
        <v>0.43428571428571427</v>
      </c>
      <c r="AL29" s="4">
        <f>AJ29-AB29</f>
        <v>76</v>
      </c>
      <c r="AM29" s="28"/>
      <c r="AN29" s="6"/>
      <c r="AO29" s="6"/>
      <c r="AP29" s="6" t="str">
        <f>IFERROR(Z29/L29,"-")</f>
        <v>-</v>
      </c>
      <c r="AQ29" s="6">
        <f>IFERROR(AJ29/M29,"-")</f>
        <v>1.1075949367088607</v>
      </c>
      <c r="AR29" s="6">
        <f>IFERROR(AB29/N29,"-")</f>
        <v>1.1000000000000001</v>
      </c>
      <c r="AS29" s="4" t="str">
        <f t="shared" si="0"/>
        <v>-</v>
      </c>
      <c r="AT29" s="4"/>
      <c r="AU29" s="4" t="str">
        <f t="shared" si="1"/>
        <v>-</v>
      </c>
      <c r="AV29" s="4" t="str">
        <f t="shared" si="2"/>
        <v>-</v>
      </c>
      <c r="AW29" s="4" t="str">
        <f t="shared" si="3"/>
        <v>-</v>
      </c>
      <c r="AX29" s="4" t="str">
        <f t="shared" si="4"/>
        <v>-</v>
      </c>
      <c r="AY29" s="4" t="str">
        <f t="shared" si="5"/>
        <v>-</v>
      </c>
      <c r="AZ29" s="4" t="str">
        <f t="shared" si="6"/>
        <v>-</v>
      </c>
      <c r="BA29" s="4" t="str">
        <f t="shared" si="7"/>
        <v>-</v>
      </c>
      <c r="BB29" s="4" t="str">
        <f t="shared" si="8"/>
        <v>-</v>
      </c>
      <c r="BC29" s="4">
        <v>12724</v>
      </c>
      <c r="BD29" s="4" t="s">
        <v>577</v>
      </c>
      <c r="BE29" s="4"/>
      <c r="BF29" s="4"/>
      <c r="BG29" s="4" t="s">
        <v>563</v>
      </c>
      <c r="BH29" s="4">
        <v>330</v>
      </c>
      <c r="BI29" s="4">
        <f>IF(BE29="",BH29,BE29/BF29*BH29)</f>
        <v>330</v>
      </c>
      <c r="BJ29" s="19">
        <v>4</v>
      </c>
      <c r="BK29" s="19">
        <v>1</v>
      </c>
      <c r="BL29" s="16">
        <v>3</v>
      </c>
      <c r="BM29">
        <v>134</v>
      </c>
      <c r="BN29">
        <f t="shared" si="9"/>
        <v>147.4</v>
      </c>
      <c r="BO29">
        <v>219</v>
      </c>
      <c r="BP29">
        <f t="shared" si="10"/>
        <v>240.9</v>
      </c>
      <c r="BQ29" t="s">
        <v>438</v>
      </c>
    </row>
    <row r="30" spans="1:69" x14ac:dyDescent="0.4">
      <c r="A30" s="3">
        <v>206</v>
      </c>
      <c r="B30" s="3">
        <v>66</v>
      </c>
      <c r="C30" s="46">
        <v>788859</v>
      </c>
      <c r="D30" s="4" t="str">
        <f>TEXT(C30,"000000")</f>
        <v>788859</v>
      </c>
      <c r="E30" s="4" t="s">
        <v>294</v>
      </c>
      <c r="F30" s="4" t="s">
        <v>346</v>
      </c>
      <c r="G30" s="5">
        <v>4996297354925</v>
      </c>
      <c r="H30" s="5">
        <v>8</v>
      </c>
      <c r="I30" s="5" t="str">
        <f>C30&amp;H30</f>
        <v>7888598</v>
      </c>
      <c r="J30" s="5"/>
      <c r="K30" s="5"/>
      <c r="L30" s="4">
        <v>0</v>
      </c>
      <c r="M30" s="4">
        <v>1111</v>
      </c>
      <c r="N30" s="4">
        <v>900</v>
      </c>
      <c r="O30" s="6">
        <f>IFERROR(1-N30/M30,"-")</f>
        <v>0.18991899189918993</v>
      </c>
      <c r="P30" s="4" t="s">
        <v>422</v>
      </c>
      <c r="Q30" s="4" t="s">
        <v>422</v>
      </c>
      <c r="R30" s="4" t="s">
        <v>422</v>
      </c>
      <c r="S30" s="4" t="s">
        <v>422</v>
      </c>
      <c r="T30" s="4" t="s">
        <v>422</v>
      </c>
      <c r="U30" s="4" t="s">
        <v>422</v>
      </c>
      <c r="V30" s="4" t="s">
        <v>422</v>
      </c>
      <c r="W30" s="4" t="s">
        <v>422</v>
      </c>
      <c r="X30" s="4" t="s">
        <v>422</v>
      </c>
      <c r="Y30" s="4">
        <v>0</v>
      </c>
      <c r="Z30" s="4">
        <f>IF(AC30="",Y30,Y30*AC30)</f>
        <v>0</v>
      </c>
      <c r="AA30" s="4">
        <v>99</v>
      </c>
      <c r="AB30" s="4">
        <f>IF(AC30="",AA30,AA30*AC30)</f>
        <v>990</v>
      </c>
      <c r="AC30" s="4">
        <v>10</v>
      </c>
      <c r="AD30" s="21">
        <f>ROUND(M30*AR30,0)</f>
        <v>1222</v>
      </c>
      <c r="AE30" s="6">
        <f>IFERROR(1-AB30/AD30,"-")</f>
        <v>0.18985270049099834</v>
      </c>
      <c r="AF30" s="33">
        <v>10.5</v>
      </c>
      <c r="AG30" s="4">
        <f>BI30</f>
        <v>3300</v>
      </c>
      <c r="AH30" s="33">
        <f>IFERROR(AG30*AR30,"-")</f>
        <v>3630.0000000000005</v>
      </c>
      <c r="AI30" s="6">
        <f>IFERROR(1-AB30/AH30,"-")</f>
        <v>0.72727272727272729</v>
      </c>
      <c r="AJ30" s="7">
        <v>1600</v>
      </c>
      <c r="AK30" s="6">
        <f>1-AB30/AJ30</f>
        <v>0.38124999999999998</v>
      </c>
      <c r="AL30" s="4">
        <f>AJ30-AB30</f>
        <v>610</v>
      </c>
      <c r="AM30" s="28"/>
      <c r="AN30" s="6"/>
      <c r="AO30" s="6"/>
      <c r="AP30" s="6" t="str">
        <f>IFERROR(Z30/L30,"-")</f>
        <v>-</v>
      </c>
      <c r="AQ30" s="6">
        <f>IFERROR(AJ30/M30,"-")</f>
        <v>1.4401440144014401</v>
      </c>
      <c r="AR30" s="6">
        <f>IFERROR(AB30/N30,"-")</f>
        <v>1.1000000000000001</v>
      </c>
      <c r="AS30" s="4" t="str">
        <f t="shared" si="0"/>
        <v>-</v>
      </c>
      <c r="AT30" s="4"/>
      <c r="AU30" s="4" t="str">
        <f t="shared" si="1"/>
        <v>-</v>
      </c>
      <c r="AV30" s="4" t="str">
        <f t="shared" si="2"/>
        <v>-</v>
      </c>
      <c r="AW30" s="4" t="str">
        <f t="shared" si="3"/>
        <v>-</v>
      </c>
      <c r="AX30" s="4" t="str">
        <f t="shared" si="4"/>
        <v>-</v>
      </c>
      <c r="AY30" s="4" t="str">
        <f t="shared" si="5"/>
        <v>-</v>
      </c>
      <c r="AZ30" s="4" t="str">
        <f t="shared" si="6"/>
        <v>-</v>
      </c>
      <c r="BA30" s="4" t="str">
        <f t="shared" si="7"/>
        <v>-</v>
      </c>
      <c r="BB30" s="4" t="str">
        <f t="shared" si="8"/>
        <v>-</v>
      </c>
      <c r="BC30" s="4">
        <v>12724</v>
      </c>
      <c r="BD30" s="4" t="s">
        <v>577</v>
      </c>
      <c r="BE30" s="4">
        <v>10</v>
      </c>
      <c r="BF30" s="4">
        <v>1</v>
      </c>
      <c r="BG30" s="4" t="s">
        <v>563</v>
      </c>
      <c r="BH30" s="4">
        <v>330</v>
      </c>
      <c r="BI30" s="4">
        <f>IF(BE30="",BH30,BE30/BF30*BH30)</f>
        <v>3300</v>
      </c>
      <c r="BJ30" s="19">
        <v>4</v>
      </c>
      <c r="BK30" s="19">
        <v>1</v>
      </c>
      <c r="BL30" s="16">
        <v>3</v>
      </c>
      <c r="BM30">
        <v>134</v>
      </c>
      <c r="BN30">
        <f t="shared" si="9"/>
        <v>147.4</v>
      </c>
      <c r="BO30">
        <v>219</v>
      </c>
      <c r="BP30">
        <f t="shared" si="10"/>
        <v>240.9</v>
      </c>
      <c r="BQ30" t="s">
        <v>438</v>
      </c>
    </row>
    <row r="31" spans="1:69" x14ac:dyDescent="0.4">
      <c r="A31" s="3">
        <v>67</v>
      </c>
      <c r="B31" s="3">
        <v>67</v>
      </c>
      <c r="C31" s="46">
        <v>788868</v>
      </c>
      <c r="D31" s="4" t="str">
        <f>TEXT(C31,"000000")</f>
        <v>788868</v>
      </c>
      <c r="E31" s="4">
        <v>788868</v>
      </c>
      <c r="F31" s="4" t="s">
        <v>181</v>
      </c>
      <c r="G31" s="5">
        <v>4996297354932</v>
      </c>
      <c r="H31" s="5"/>
      <c r="I31" s="5"/>
      <c r="J31" s="5">
        <v>2</v>
      </c>
      <c r="K31" s="5">
        <v>2</v>
      </c>
      <c r="L31" s="4">
        <v>0</v>
      </c>
      <c r="M31" s="4">
        <v>158</v>
      </c>
      <c r="N31" s="4">
        <v>90</v>
      </c>
      <c r="O31" s="6">
        <f>IFERROR(1-N31/M31,"-")</f>
        <v>0.430379746835443</v>
      </c>
      <c r="P31" s="4" t="s">
        <v>422</v>
      </c>
      <c r="Q31" s="4" t="s">
        <v>422</v>
      </c>
      <c r="R31" s="4" t="s">
        <v>422</v>
      </c>
      <c r="S31" s="4" t="s">
        <v>422</v>
      </c>
      <c r="T31" s="4" t="s">
        <v>422</v>
      </c>
      <c r="U31" s="4" t="s">
        <v>422</v>
      </c>
      <c r="V31" s="4" t="s">
        <v>422</v>
      </c>
      <c r="W31" s="4" t="s">
        <v>422</v>
      </c>
      <c r="X31" s="4" t="s">
        <v>422</v>
      </c>
      <c r="Y31" s="4">
        <v>0</v>
      </c>
      <c r="Z31" s="4">
        <f>IF(AC31="",Y31,Y31*AC31)</f>
        <v>0</v>
      </c>
      <c r="AA31" s="4">
        <v>99</v>
      </c>
      <c r="AB31" s="4">
        <f>IF(AC31="",AA31,AA31*AC31)</f>
        <v>99</v>
      </c>
      <c r="AC31" s="4"/>
      <c r="AD31" s="21">
        <f>ROUND(M31*AR31,0)</f>
        <v>174</v>
      </c>
      <c r="AE31" s="6">
        <f>IFERROR(1-AB31/AD31,"-")</f>
        <v>0.43103448275862066</v>
      </c>
      <c r="AF31" s="33">
        <v>11.5</v>
      </c>
      <c r="AG31" s="4">
        <f>BI31</f>
        <v>330</v>
      </c>
      <c r="AH31" s="33">
        <f>IFERROR(AG31*AR31,"-")</f>
        <v>363.00000000000006</v>
      </c>
      <c r="AI31" s="6">
        <f>IFERROR(1-AB31/AH31,"-")</f>
        <v>0.72727272727272729</v>
      </c>
      <c r="AJ31" s="7">
        <v>175</v>
      </c>
      <c r="AK31" s="6">
        <f>1-AB31/AJ31</f>
        <v>0.43428571428571427</v>
      </c>
      <c r="AL31" s="4">
        <f>AJ31-AB31</f>
        <v>76</v>
      </c>
      <c r="AM31" s="28"/>
      <c r="AN31" s="6"/>
      <c r="AO31" s="6"/>
      <c r="AP31" s="6" t="str">
        <f>IFERROR(Z31/L31,"-")</f>
        <v>-</v>
      </c>
      <c r="AQ31" s="6">
        <f>IFERROR(AJ31/M31,"-")</f>
        <v>1.1075949367088607</v>
      </c>
      <c r="AR31" s="6">
        <f>IFERROR(AB31/N31,"-")</f>
        <v>1.1000000000000001</v>
      </c>
      <c r="AS31" s="4" t="str">
        <f t="shared" si="0"/>
        <v>-</v>
      </c>
      <c r="AT31" s="4"/>
      <c r="AU31" s="4" t="str">
        <f t="shared" si="1"/>
        <v>-</v>
      </c>
      <c r="AV31" s="4" t="str">
        <f t="shared" si="2"/>
        <v>-</v>
      </c>
      <c r="AW31" s="4" t="str">
        <f t="shared" si="3"/>
        <v>-</v>
      </c>
      <c r="AX31" s="4" t="str">
        <f t="shared" si="4"/>
        <v>-</v>
      </c>
      <c r="AY31" s="4" t="str">
        <f t="shared" si="5"/>
        <v>-</v>
      </c>
      <c r="AZ31" s="4" t="str">
        <f t="shared" si="6"/>
        <v>-</v>
      </c>
      <c r="BA31" s="4" t="str">
        <f t="shared" si="7"/>
        <v>-</v>
      </c>
      <c r="BB31" s="4" t="str">
        <f t="shared" si="8"/>
        <v>-</v>
      </c>
      <c r="BC31" s="4">
        <v>12724</v>
      </c>
      <c r="BD31" s="4" t="s">
        <v>578</v>
      </c>
      <c r="BE31" s="4"/>
      <c r="BF31" s="4"/>
      <c r="BG31" s="4" t="s">
        <v>563</v>
      </c>
      <c r="BH31" s="4">
        <v>330</v>
      </c>
      <c r="BI31" s="4">
        <f>IF(BE31="",BH31,BE31/BF31*BH31)</f>
        <v>330</v>
      </c>
      <c r="BJ31" s="19">
        <v>4</v>
      </c>
      <c r="BK31" s="19">
        <v>1</v>
      </c>
      <c r="BL31" s="16">
        <v>3</v>
      </c>
      <c r="BM31" t="s">
        <v>422</v>
      </c>
      <c r="BN31" t="str">
        <f t="shared" si="9"/>
        <v>-</v>
      </c>
      <c r="BO31">
        <v>219</v>
      </c>
      <c r="BP31">
        <f t="shared" si="10"/>
        <v>240.9</v>
      </c>
      <c r="BQ31" t="s">
        <v>439</v>
      </c>
    </row>
    <row r="32" spans="1:69" x14ac:dyDescent="0.4">
      <c r="A32" s="3">
        <v>207</v>
      </c>
      <c r="B32" s="3">
        <v>67</v>
      </c>
      <c r="C32" s="46">
        <v>788868</v>
      </c>
      <c r="D32" s="4" t="str">
        <f>TEXT(C32,"000000")</f>
        <v>788868</v>
      </c>
      <c r="E32" s="4" t="s">
        <v>295</v>
      </c>
      <c r="F32" s="4" t="s">
        <v>347</v>
      </c>
      <c r="G32" s="5">
        <v>4996297354932</v>
      </c>
      <c r="H32" s="5">
        <v>8</v>
      </c>
      <c r="I32" s="5" t="str">
        <f>C32&amp;H32</f>
        <v>7888688</v>
      </c>
      <c r="J32" s="5"/>
      <c r="K32" s="5"/>
      <c r="L32" s="4">
        <v>0</v>
      </c>
      <c r="M32" s="4">
        <v>1133</v>
      </c>
      <c r="N32" s="4">
        <v>900</v>
      </c>
      <c r="O32" s="6">
        <f>IFERROR(1-N32/M32,"-")</f>
        <v>0.20564872021182701</v>
      </c>
      <c r="P32" s="4" t="s">
        <v>422</v>
      </c>
      <c r="Q32" s="4" t="s">
        <v>422</v>
      </c>
      <c r="R32" s="4" t="s">
        <v>422</v>
      </c>
      <c r="S32" s="4" t="s">
        <v>422</v>
      </c>
      <c r="T32" s="4" t="s">
        <v>422</v>
      </c>
      <c r="U32" s="4" t="s">
        <v>422</v>
      </c>
      <c r="V32" s="4" t="s">
        <v>422</v>
      </c>
      <c r="W32" s="4" t="s">
        <v>422</v>
      </c>
      <c r="X32" s="4" t="s">
        <v>422</v>
      </c>
      <c r="Y32" s="4">
        <v>0</v>
      </c>
      <c r="Z32" s="4">
        <f>IF(AC32="",Y32,Y32*AC32)</f>
        <v>0</v>
      </c>
      <c r="AA32" s="4">
        <v>99</v>
      </c>
      <c r="AB32" s="4">
        <f>IF(AC32="",AA32,AA32*AC32)</f>
        <v>990</v>
      </c>
      <c r="AC32" s="4">
        <v>10</v>
      </c>
      <c r="AD32" s="21">
        <f>ROUND(M32*AR32,0)</f>
        <v>1246</v>
      </c>
      <c r="AE32" s="6">
        <f>IFERROR(1-AB32/AD32,"-")</f>
        <v>0.2054574638844302</v>
      </c>
      <c r="AF32" s="33">
        <v>11.5</v>
      </c>
      <c r="AG32" s="4">
        <f>BI32</f>
        <v>3300</v>
      </c>
      <c r="AH32" s="33">
        <f>IFERROR(AG32*AR32,"-")</f>
        <v>3630.0000000000005</v>
      </c>
      <c r="AI32" s="6">
        <f>IFERROR(1-AB32/AH32,"-")</f>
        <v>0.72727272727272729</v>
      </c>
      <c r="AJ32" s="7">
        <v>1600</v>
      </c>
      <c r="AK32" s="6">
        <f>1-AB32/AJ32</f>
        <v>0.38124999999999998</v>
      </c>
      <c r="AL32" s="4">
        <f>AJ32-AB32</f>
        <v>610</v>
      </c>
      <c r="AM32" s="28"/>
      <c r="AN32" s="6"/>
      <c r="AO32" s="6"/>
      <c r="AP32" s="6" t="str">
        <f>IFERROR(Z32/L32,"-")</f>
        <v>-</v>
      </c>
      <c r="AQ32" s="6">
        <f>IFERROR(AJ32/M32,"-")</f>
        <v>1.4121800529567521</v>
      </c>
      <c r="AR32" s="6">
        <f>IFERROR(AB32/N32,"-")</f>
        <v>1.1000000000000001</v>
      </c>
      <c r="AS32" s="4" t="str">
        <f t="shared" si="0"/>
        <v>-</v>
      </c>
      <c r="AT32" s="4"/>
      <c r="AU32" s="4" t="str">
        <f t="shared" si="1"/>
        <v>-</v>
      </c>
      <c r="AV32" s="4" t="str">
        <f t="shared" si="2"/>
        <v>-</v>
      </c>
      <c r="AW32" s="4" t="str">
        <f t="shared" si="3"/>
        <v>-</v>
      </c>
      <c r="AX32" s="4" t="str">
        <f t="shared" si="4"/>
        <v>-</v>
      </c>
      <c r="AY32" s="4" t="str">
        <f t="shared" si="5"/>
        <v>-</v>
      </c>
      <c r="AZ32" s="4" t="str">
        <f t="shared" si="6"/>
        <v>-</v>
      </c>
      <c r="BA32" s="4" t="str">
        <f t="shared" si="7"/>
        <v>-</v>
      </c>
      <c r="BB32" s="4" t="str">
        <f t="shared" si="8"/>
        <v>-</v>
      </c>
      <c r="BC32" s="4">
        <v>12724</v>
      </c>
      <c r="BD32" s="4" t="s">
        <v>578</v>
      </c>
      <c r="BE32" s="4">
        <v>10</v>
      </c>
      <c r="BF32" s="4">
        <v>1</v>
      </c>
      <c r="BG32" s="4" t="s">
        <v>563</v>
      </c>
      <c r="BH32" s="4">
        <v>330</v>
      </c>
      <c r="BI32" s="4">
        <f>IF(BE32="",BH32,BE32/BF32*BH32)</f>
        <v>3300</v>
      </c>
      <c r="BJ32" s="19">
        <v>4</v>
      </c>
      <c r="BK32" s="19">
        <v>1</v>
      </c>
      <c r="BL32" s="16">
        <v>3</v>
      </c>
      <c r="BM32" t="s">
        <v>422</v>
      </c>
      <c r="BN32" t="str">
        <f t="shared" si="9"/>
        <v>-</v>
      </c>
      <c r="BO32">
        <v>219</v>
      </c>
      <c r="BP32">
        <f t="shared" si="10"/>
        <v>240.9</v>
      </c>
      <c r="BQ32" t="s">
        <v>439</v>
      </c>
    </row>
    <row r="33" spans="1:69" x14ac:dyDescent="0.4">
      <c r="A33" s="3">
        <v>65</v>
      </c>
      <c r="B33" s="3">
        <v>65</v>
      </c>
      <c r="C33" s="46">
        <v>788877</v>
      </c>
      <c r="D33" s="4" t="str">
        <f>TEXT(C33,"000000")</f>
        <v>788877</v>
      </c>
      <c r="E33" s="4">
        <v>788877</v>
      </c>
      <c r="F33" s="4" t="s">
        <v>179</v>
      </c>
      <c r="G33" s="5">
        <v>4996297354918</v>
      </c>
      <c r="H33" s="5"/>
      <c r="I33" s="5"/>
      <c r="J33" s="5">
        <v>2</v>
      </c>
      <c r="K33" s="5">
        <v>2</v>
      </c>
      <c r="L33" s="4">
        <v>0</v>
      </c>
      <c r="M33" s="4">
        <v>158</v>
      </c>
      <c r="N33" s="4">
        <v>90</v>
      </c>
      <c r="O33" s="6">
        <f>IFERROR(1-N33/M33,"-")</f>
        <v>0.430379746835443</v>
      </c>
      <c r="P33" s="4" t="s">
        <v>422</v>
      </c>
      <c r="Q33" s="4" t="s">
        <v>422</v>
      </c>
      <c r="R33" s="4" t="s">
        <v>422</v>
      </c>
      <c r="S33" s="4" t="s">
        <v>422</v>
      </c>
      <c r="T33" s="4" t="s">
        <v>422</v>
      </c>
      <c r="U33" s="4" t="s">
        <v>422</v>
      </c>
      <c r="V33" s="4" t="s">
        <v>422</v>
      </c>
      <c r="W33" s="4" t="s">
        <v>422</v>
      </c>
      <c r="X33" s="4" t="s">
        <v>422</v>
      </c>
      <c r="Y33" s="4">
        <v>0</v>
      </c>
      <c r="Z33" s="4">
        <f>IF(AC33="",Y33,Y33*AC33)</f>
        <v>0</v>
      </c>
      <c r="AA33" s="4">
        <v>99</v>
      </c>
      <c r="AB33" s="4">
        <f>IF(AC33="",AA33,AA33*AC33)</f>
        <v>99</v>
      </c>
      <c r="AC33" s="4"/>
      <c r="AD33" s="21">
        <f>ROUND(M33*AR33,0)</f>
        <v>174</v>
      </c>
      <c r="AE33" s="6">
        <f>IFERROR(1-AB33/AD33,"-")</f>
        <v>0.43103448275862066</v>
      </c>
      <c r="AF33" s="33">
        <v>22</v>
      </c>
      <c r="AG33" s="4">
        <f>BI33</f>
        <v>330</v>
      </c>
      <c r="AH33" s="33">
        <f>IFERROR(AG33*AR33,"-")</f>
        <v>363.00000000000006</v>
      </c>
      <c r="AI33" s="6">
        <f>IFERROR(1-AB33/AH33,"-")</f>
        <v>0.72727272727272729</v>
      </c>
      <c r="AJ33" s="7">
        <v>175</v>
      </c>
      <c r="AK33" s="6">
        <f>1-AB33/AJ33</f>
        <v>0.43428571428571427</v>
      </c>
      <c r="AL33" s="4">
        <f>AJ33-AB33</f>
        <v>76</v>
      </c>
      <c r="AM33" s="28"/>
      <c r="AN33" s="6"/>
      <c r="AO33" s="6"/>
      <c r="AP33" s="6" t="str">
        <f>IFERROR(Z33/L33,"-")</f>
        <v>-</v>
      </c>
      <c r="AQ33" s="6">
        <f>IFERROR(AJ33/M33,"-")</f>
        <v>1.1075949367088607</v>
      </c>
      <c r="AR33" s="6">
        <f>IFERROR(AB33/N33,"-")</f>
        <v>1.1000000000000001</v>
      </c>
      <c r="AS33" s="4" t="str">
        <f t="shared" si="0"/>
        <v>-</v>
      </c>
      <c r="AT33" s="4"/>
      <c r="AU33" s="4" t="str">
        <f t="shared" si="1"/>
        <v>-</v>
      </c>
      <c r="AV33" s="4" t="str">
        <f t="shared" si="2"/>
        <v>-</v>
      </c>
      <c r="AW33" s="4" t="str">
        <f t="shared" si="3"/>
        <v>-</v>
      </c>
      <c r="AX33" s="4" t="str">
        <f t="shared" si="4"/>
        <v>-</v>
      </c>
      <c r="AY33" s="4" t="str">
        <f t="shared" si="5"/>
        <v>-</v>
      </c>
      <c r="AZ33" s="4" t="str">
        <f t="shared" si="6"/>
        <v>-</v>
      </c>
      <c r="BA33" s="4" t="str">
        <f t="shared" si="7"/>
        <v>-</v>
      </c>
      <c r="BB33" s="4" t="str">
        <f t="shared" si="8"/>
        <v>-</v>
      </c>
      <c r="BC33" s="4">
        <v>12724</v>
      </c>
      <c r="BD33" s="4" t="s">
        <v>579</v>
      </c>
      <c r="BE33" s="4"/>
      <c r="BF33" s="4"/>
      <c r="BG33" s="4" t="s">
        <v>563</v>
      </c>
      <c r="BH33" s="4">
        <v>330</v>
      </c>
      <c r="BI33" s="4">
        <f>IF(BE33="",BH33,BE33/BF33*BH33)</f>
        <v>330</v>
      </c>
      <c r="BJ33" s="19">
        <v>4</v>
      </c>
      <c r="BK33" s="19">
        <v>1</v>
      </c>
      <c r="BL33" s="16">
        <v>3</v>
      </c>
      <c r="BM33" t="s">
        <v>422</v>
      </c>
      <c r="BN33" t="str">
        <f t="shared" si="9"/>
        <v>-</v>
      </c>
      <c r="BO33">
        <v>219</v>
      </c>
      <c r="BP33">
        <f t="shared" si="10"/>
        <v>240.9</v>
      </c>
      <c r="BQ33" t="s">
        <v>440</v>
      </c>
    </row>
    <row r="34" spans="1:69" x14ac:dyDescent="0.4">
      <c r="A34" s="3">
        <v>205</v>
      </c>
      <c r="B34" s="3">
        <v>65</v>
      </c>
      <c r="C34" s="46">
        <v>788877</v>
      </c>
      <c r="D34" s="4" t="str">
        <f>TEXT(C34,"000000")</f>
        <v>788877</v>
      </c>
      <c r="E34" s="4" t="s">
        <v>293</v>
      </c>
      <c r="F34" s="4" t="s">
        <v>345</v>
      </c>
      <c r="G34" s="5">
        <v>4996297354918</v>
      </c>
      <c r="H34" s="5">
        <v>8</v>
      </c>
      <c r="I34" s="5" t="str">
        <f>C34&amp;H34</f>
        <v>7888778</v>
      </c>
      <c r="J34" s="5"/>
      <c r="K34" s="5"/>
      <c r="L34" s="4">
        <v>0</v>
      </c>
      <c r="M34" s="4">
        <v>1133</v>
      </c>
      <c r="N34" s="4">
        <v>900</v>
      </c>
      <c r="O34" s="6">
        <f>IFERROR(1-N34/M34,"-")</f>
        <v>0.20564872021182701</v>
      </c>
      <c r="P34" s="4" t="s">
        <v>422</v>
      </c>
      <c r="Q34" s="4" t="s">
        <v>422</v>
      </c>
      <c r="R34" s="4" t="s">
        <v>422</v>
      </c>
      <c r="S34" s="4" t="s">
        <v>422</v>
      </c>
      <c r="T34" s="4" t="s">
        <v>422</v>
      </c>
      <c r="U34" s="4" t="s">
        <v>422</v>
      </c>
      <c r="V34" s="4" t="s">
        <v>422</v>
      </c>
      <c r="W34" s="4" t="s">
        <v>422</v>
      </c>
      <c r="X34" s="4" t="s">
        <v>422</v>
      </c>
      <c r="Y34" s="4">
        <v>0</v>
      </c>
      <c r="Z34" s="4">
        <f>IF(AC34="",Y34,Y34*AC34)</f>
        <v>0</v>
      </c>
      <c r="AA34" s="4">
        <v>99</v>
      </c>
      <c r="AB34" s="4">
        <f>IF(AC34="",AA34,AA34*AC34)</f>
        <v>990</v>
      </c>
      <c r="AC34" s="4">
        <v>10</v>
      </c>
      <c r="AD34" s="21">
        <f>ROUND(M34*AR34,0)</f>
        <v>1246</v>
      </c>
      <c r="AE34" s="6">
        <f>IFERROR(1-AB34/AD34,"-")</f>
        <v>0.2054574638844302</v>
      </c>
      <c r="AF34" s="33">
        <v>22</v>
      </c>
      <c r="AG34" s="4">
        <f>BI34</f>
        <v>3300</v>
      </c>
      <c r="AH34" s="33">
        <f>IFERROR(AG34*AR34,"-")</f>
        <v>3630.0000000000005</v>
      </c>
      <c r="AI34" s="6">
        <f>IFERROR(1-AB34/AH34,"-")</f>
        <v>0.72727272727272729</v>
      </c>
      <c r="AJ34" s="7">
        <v>1600</v>
      </c>
      <c r="AK34" s="6">
        <f>1-AB34/AJ34</f>
        <v>0.38124999999999998</v>
      </c>
      <c r="AL34" s="4">
        <f>AJ34-AB34</f>
        <v>610</v>
      </c>
      <c r="AM34" s="28"/>
      <c r="AN34" s="6"/>
      <c r="AO34" s="6"/>
      <c r="AP34" s="6" t="str">
        <f>IFERROR(Z34/L34,"-")</f>
        <v>-</v>
      </c>
      <c r="AQ34" s="6">
        <f>IFERROR(AJ34/M34,"-")</f>
        <v>1.4121800529567521</v>
      </c>
      <c r="AR34" s="6">
        <f>IFERROR(AB34/N34,"-")</f>
        <v>1.1000000000000001</v>
      </c>
      <c r="AS34" s="4" t="str">
        <f t="shared" si="0"/>
        <v>-</v>
      </c>
      <c r="AT34" s="4"/>
      <c r="AU34" s="4" t="str">
        <f t="shared" si="1"/>
        <v>-</v>
      </c>
      <c r="AV34" s="4" t="str">
        <f t="shared" si="2"/>
        <v>-</v>
      </c>
      <c r="AW34" s="4" t="str">
        <f t="shared" si="3"/>
        <v>-</v>
      </c>
      <c r="AX34" s="4" t="str">
        <f t="shared" si="4"/>
        <v>-</v>
      </c>
      <c r="AY34" s="4" t="str">
        <f t="shared" si="5"/>
        <v>-</v>
      </c>
      <c r="AZ34" s="4" t="str">
        <f t="shared" si="6"/>
        <v>-</v>
      </c>
      <c r="BA34" s="4" t="str">
        <f t="shared" si="7"/>
        <v>-</v>
      </c>
      <c r="BB34" s="4" t="str">
        <f t="shared" si="8"/>
        <v>-</v>
      </c>
      <c r="BC34" s="4">
        <v>12724</v>
      </c>
      <c r="BD34" s="4" t="s">
        <v>579</v>
      </c>
      <c r="BE34" s="4">
        <v>10</v>
      </c>
      <c r="BF34" s="4">
        <v>1</v>
      </c>
      <c r="BG34" s="4" t="s">
        <v>563</v>
      </c>
      <c r="BH34" s="4">
        <v>330</v>
      </c>
      <c r="BI34" s="4">
        <f>IF(BE34="",BH34,BE34/BF34*BH34)</f>
        <v>3300</v>
      </c>
      <c r="BJ34" s="19">
        <v>4</v>
      </c>
      <c r="BK34" s="19">
        <v>1</v>
      </c>
      <c r="BL34" s="16">
        <v>3</v>
      </c>
      <c r="BM34" t="s">
        <v>422</v>
      </c>
      <c r="BN34" t="str">
        <f t="shared" si="9"/>
        <v>-</v>
      </c>
      <c r="BO34">
        <v>219</v>
      </c>
      <c r="BP34">
        <f t="shared" si="10"/>
        <v>240.9</v>
      </c>
      <c r="BQ34" t="s">
        <v>440</v>
      </c>
    </row>
    <row r="35" spans="1:69" x14ac:dyDescent="0.4">
      <c r="A35" s="3">
        <v>64</v>
      </c>
      <c r="B35" s="3">
        <v>64</v>
      </c>
      <c r="C35" s="46">
        <v>788886</v>
      </c>
      <c r="D35" s="4" t="str">
        <f>TEXT(C35,"000000")</f>
        <v>788886</v>
      </c>
      <c r="E35" s="4">
        <v>788886</v>
      </c>
      <c r="F35" s="4" t="s">
        <v>178</v>
      </c>
      <c r="G35" s="5">
        <v>4996297354901</v>
      </c>
      <c r="H35" s="5"/>
      <c r="I35" s="5"/>
      <c r="J35" s="5">
        <v>2</v>
      </c>
      <c r="K35" s="5">
        <v>2</v>
      </c>
      <c r="L35" s="4">
        <v>0</v>
      </c>
      <c r="M35" s="4">
        <v>158</v>
      </c>
      <c r="N35" s="4">
        <v>90</v>
      </c>
      <c r="O35" s="6">
        <f>IFERROR(1-N35/M35,"-")</f>
        <v>0.430379746835443</v>
      </c>
      <c r="P35" s="4" t="s">
        <v>422</v>
      </c>
      <c r="Q35" s="4" t="s">
        <v>422</v>
      </c>
      <c r="R35" s="4" t="s">
        <v>422</v>
      </c>
      <c r="S35" s="4" t="s">
        <v>422</v>
      </c>
      <c r="T35" s="4" t="s">
        <v>422</v>
      </c>
      <c r="U35" s="4" t="s">
        <v>422</v>
      </c>
      <c r="V35" s="4" t="s">
        <v>422</v>
      </c>
      <c r="W35" s="4" t="s">
        <v>422</v>
      </c>
      <c r="X35" s="4" t="s">
        <v>422</v>
      </c>
      <c r="Y35" s="4">
        <v>0</v>
      </c>
      <c r="Z35" s="4">
        <f>IF(AC35="",Y35,Y35*AC35)</f>
        <v>0</v>
      </c>
      <c r="AA35" s="4">
        <v>99</v>
      </c>
      <c r="AB35" s="4">
        <f>IF(AC35="",AA35,AA35*AC35)</f>
        <v>99</v>
      </c>
      <c r="AC35" s="4"/>
      <c r="AD35" s="21">
        <f>ROUND(M35*AR35,0)</f>
        <v>174</v>
      </c>
      <c r="AE35" s="6">
        <f>IFERROR(1-AB35/AD35,"-")</f>
        <v>0.43103448275862066</v>
      </c>
      <c r="AF35" s="33">
        <v>31.25</v>
      </c>
      <c r="AG35" s="4">
        <f>BI35</f>
        <v>330</v>
      </c>
      <c r="AH35" s="33">
        <f>IFERROR(AG35*AR35,"-")</f>
        <v>363.00000000000006</v>
      </c>
      <c r="AI35" s="6">
        <f>IFERROR(1-AB35/AH35,"-")</f>
        <v>0.72727272727272729</v>
      </c>
      <c r="AJ35" s="7">
        <v>175</v>
      </c>
      <c r="AK35" s="6">
        <f>1-AB35/AJ35</f>
        <v>0.43428571428571427</v>
      </c>
      <c r="AL35" s="4">
        <f>AJ35-AB35</f>
        <v>76</v>
      </c>
      <c r="AM35" s="28"/>
      <c r="AN35" s="6"/>
      <c r="AO35" s="6"/>
      <c r="AP35" s="6" t="str">
        <f>IFERROR(Z35/L35,"-")</f>
        <v>-</v>
      </c>
      <c r="AQ35" s="6">
        <f>IFERROR(AJ35/M35,"-")</f>
        <v>1.1075949367088607</v>
      </c>
      <c r="AR35" s="6">
        <f>IFERROR(AB35/N35,"-")</f>
        <v>1.1000000000000001</v>
      </c>
      <c r="AS35" s="4" t="str">
        <f t="shared" si="0"/>
        <v>-</v>
      </c>
      <c r="AT35" s="4"/>
      <c r="AU35" s="4" t="str">
        <f t="shared" si="1"/>
        <v>-</v>
      </c>
      <c r="AV35" s="4" t="str">
        <f t="shared" si="2"/>
        <v>-</v>
      </c>
      <c r="AW35" s="4" t="str">
        <f t="shared" si="3"/>
        <v>-</v>
      </c>
      <c r="AX35" s="4" t="str">
        <f t="shared" si="4"/>
        <v>-</v>
      </c>
      <c r="AY35" s="4" t="str">
        <f t="shared" si="5"/>
        <v>-</v>
      </c>
      <c r="AZ35" s="4" t="str">
        <f t="shared" si="6"/>
        <v>-</v>
      </c>
      <c r="BA35" s="4" t="str">
        <f t="shared" si="7"/>
        <v>-</v>
      </c>
      <c r="BB35" s="4" t="str">
        <f t="shared" si="8"/>
        <v>-</v>
      </c>
      <c r="BC35" s="4">
        <v>12724</v>
      </c>
      <c r="BD35" s="4" t="s">
        <v>580</v>
      </c>
      <c r="BE35" s="4"/>
      <c r="BF35" s="4"/>
      <c r="BG35" s="4" t="s">
        <v>563</v>
      </c>
      <c r="BH35" s="4">
        <v>330</v>
      </c>
      <c r="BI35" s="4">
        <f>IF(BE35="",BH35,BE35/BF35*BH35)</f>
        <v>330</v>
      </c>
      <c r="BJ35" s="19">
        <v>4</v>
      </c>
      <c r="BK35" s="19">
        <v>1</v>
      </c>
      <c r="BL35" s="16">
        <v>3</v>
      </c>
      <c r="BM35">
        <v>4020</v>
      </c>
      <c r="BN35">
        <f t="shared" si="9"/>
        <v>4422</v>
      </c>
      <c r="BO35">
        <v>219</v>
      </c>
      <c r="BP35">
        <f t="shared" si="10"/>
        <v>240.9</v>
      </c>
      <c r="BQ35" t="s">
        <v>441</v>
      </c>
    </row>
    <row r="36" spans="1:69" x14ac:dyDescent="0.4">
      <c r="A36" s="3">
        <v>204</v>
      </c>
      <c r="B36" s="3">
        <v>64</v>
      </c>
      <c r="C36" s="46">
        <v>788886</v>
      </c>
      <c r="D36" s="4" t="str">
        <f>TEXT(C36,"000000")</f>
        <v>788886</v>
      </c>
      <c r="E36" s="4" t="s">
        <v>292</v>
      </c>
      <c r="F36" s="4" t="s">
        <v>344</v>
      </c>
      <c r="G36" s="5">
        <v>4996297354901</v>
      </c>
      <c r="H36" s="5">
        <v>8</v>
      </c>
      <c r="I36" s="5" t="str">
        <f>C36&amp;H36</f>
        <v>7888868</v>
      </c>
      <c r="J36" s="5"/>
      <c r="K36" s="5"/>
      <c r="L36" s="4">
        <v>0</v>
      </c>
      <c r="M36" s="4">
        <v>1111</v>
      </c>
      <c r="N36" s="4">
        <v>900</v>
      </c>
      <c r="O36" s="6">
        <f>IFERROR(1-N36/M36,"-")</f>
        <v>0.18991899189918993</v>
      </c>
      <c r="P36" s="4" t="s">
        <v>422</v>
      </c>
      <c r="Q36" s="4" t="s">
        <v>422</v>
      </c>
      <c r="R36" s="4" t="s">
        <v>422</v>
      </c>
      <c r="S36" s="4" t="s">
        <v>422</v>
      </c>
      <c r="T36" s="4" t="s">
        <v>422</v>
      </c>
      <c r="U36" s="4" t="s">
        <v>422</v>
      </c>
      <c r="V36" s="4" t="s">
        <v>422</v>
      </c>
      <c r="W36" s="4" t="s">
        <v>422</v>
      </c>
      <c r="X36" s="4" t="s">
        <v>422</v>
      </c>
      <c r="Y36" s="4">
        <v>0</v>
      </c>
      <c r="Z36" s="4">
        <f>IF(AC36="",Y36,Y36*AC36)</f>
        <v>0</v>
      </c>
      <c r="AA36" s="4">
        <v>99</v>
      </c>
      <c r="AB36" s="4">
        <f>IF(AC36="",AA36,AA36*AC36)</f>
        <v>990</v>
      </c>
      <c r="AC36" s="4">
        <v>10</v>
      </c>
      <c r="AD36" s="21">
        <f>ROUND(M36*AR36,0)</f>
        <v>1222</v>
      </c>
      <c r="AE36" s="6">
        <f>IFERROR(1-AB36/AD36,"-")</f>
        <v>0.18985270049099834</v>
      </c>
      <c r="AF36" s="33">
        <v>31.25</v>
      </c>
      <c r="AG36" s="4">
        <f>BI36</f>
        <v>3300</v>
      </c>
      <c r="AH36" s="33">
        <f>IFERROR(AG36*AR36,"-")</f>
        <v>3630.0000000000005</v>
      </c>
      <c r="AI36" s="6">
        <f>IFERROR(1-AB36/AH36,"-")</f>
        <v>0.72727272727272729</v>
      </c>
      <c r="AJ36" s="7">
        <v>1600</v>
      </c>
      <c r="AK36" s="6">
        <f>1-AB36/AJ36</f>
        <v>0.38124999999999998</v>
      </c>
      <c r="AL36" s="4">
        <f>AJ36-AB36</f>
        <v>610</v>
      </c>
      <c r="AM36" s="28"/>
      <c r="AN36" s="6"/>
      <c r="AO36" s="6"/>
      <c r="AP36" s="6" t="str">
        <f>IFERROR(Z36/L36,"-")</f>
        <v>-</v>
      </c>
      <c r="AQ36" s="6">
        <f>IFERROR(AJ36/M36,"-")</f>
        <v>1.4401440144014401</v>
      </c>
      <c r="AR36" s="6">
        <f>IFERROR(AB36/N36,"-")</f>
        <v>1.1000000000000001</v>
      </c>
      <c r="AS36" s="4" t="str">
        <f t="shared" si="0"/>
        <v>-</v>
      </c>
      <c r="AT36" s="4"/>
      <c r="AU36" s="4" t="str">
        <f t="shared" si="1"/>
        <v>-</v>
      </c>
      <c r="AV36" s="4" t="str">
        <f t="shared" si="2"/>
        <v>-</v>
      </c>
      <c r="AW36" s="4" t="str">
        <f t="shared" si="3"/>
        <v>-</v>
      </c>
      <c r="AX36" s="4" t="str">
        <f t="shared" si="4"/>
        <v>-</v>
      </c>
      <c r="AY36" s="4" t="str">
        <f t="shared" si="5"/>
        <v>-</v>
      </c>
      <c r="AZ36" s="4" t="str">
        <f t="shared" si="6"/>
        <v>-</v>
      </c>
      <c r="BA36" s="4" t="str">
        <f t="shared" si="7"/>
        <v>-</v>
      </c>
      <c r="BB36" s="4" t="str">
        <f t="shared" si="8"/>
        <v>-</v>
      </c>
      <c r="BC36" s="4">
        <v>12724</v>
      </c>
      <c r="BD36" s="4" t="s">
        <v>580</v>
      </c>
      <c r="BE36" s="4">
        <v>10</v>
      </c>
      <c r="BF36" s="4">
        <v>1</v>
      </c>
      <c r="BG36" s="4" t="s">
        <v>563</v>
      </c>
      <c r="BH36" s="4">
        <v>330</v>
      </c>
      <c r="BI36" s="4">
        <f>IF(BE36="",BH36,BE36/BF36*BH36)</f>
        <v>3300</v>
      </c>
      <c r="BJ36" s="19">
        <v>4</v>
      </c>
      <c r="BK36" s="19">
        <v>1</v>
      </c>
      <c r="BL36" s="16">
        <v>3</v>
      </c>
      <c r="BM36">
        <v>4020</v>
      </c>
      <c r="BN36">
        <f t="shared" si="9"/>
        <v>4422</v>
      </c>
      <c r="BO36">
        <v>219</v>
      </c>
      <c r="BP36">
        <f t="shared" si="10"/>
        <v>240.9</v>
      </c>
      <c r="BQ36" t="s">
        <v>441</v>
      </c>
    </row>
    <row r="37" spans="1:69" x14ac:dyDescent="0.4">
      <c r="A37" s="3">
        <v>151</v>
      </c>
      <c r="B37" s="3">
        <v>151</v>
      </c>
      <c r="C37" s="46">
        <v>110990</v>
      </c>
      <c r="D37" s="4" t="str">
        <f>TEXT(C37,"000000")</f>
        <v>110990</v>
      </c>
      <c r="E37" s="4">
        <v>110990</v>
      </c>
      <c r="F37" s="4" t="s">
        <v>265</v>
      </c>
      <c r="G37" s="5">
        <v>4996297473039</v>
      </c>
      <c r="H37" s="5"/>
      <c r="I37" s="5"/>
      <c r="J37" s="5">
        <v>2</v>
      </c>
      <c r="K37" s="5">
        <v>2</v>
      </c>
      <c r="L37" s="4">
        <v>0</v>
      </c>
      <c r="M37" s="4">
        <v>146</v>
      </c>
      <c r="N37" s="4">
        <v>94</v>
      </c>
      <c r="O37" s="6">
        <f>IFERROR(1-N37/M37,"-")</f>
        <v>0.35616438356164382</v>
      </c>
      <c r="P37" s="4" t="s">
        <v>422</v>
      </c>
      <c r="Q37" s="4" t="s">
        <v>422</v>
      </c>
      <c r="R37" s="4" t="s">
        <v>422</v>
      </c>
      <c r="S37" s="4" t="s">
        <v>422</v>
      </c>
      <c r="T37" s="4" t="s">
        <v>422</v>
      </c>
      <c r="U37" s="4" t="s">
        <v>422</v>
      </c>
      <c r="V37" s="4" t="s">
        <v>422</v>
      </c>
      <c r="W37" s="4" t="s">
        <v>422</v>
      </c>
      <c r="X37" s="4" t="s">
        <v>422</v>
      </c>
      <c r="Y37" s="4">
        <v>0</v>
      </c>
      <c r="Z37" s="4">
        <f>IF(AC37="",Y37,Y37*AC37)</f>
        <v>0</v>
      </c>
      <c r="AA37" s="4">
        <v>101</v>
      </c>
      <c r="AB37" s="4">
        <f>IF(AC37="",AA37,AA37*AC37)</f>
        <v>101</v>
      </c>
      <c r="AC37" s="4"/>
      <c r="AD37" s="21">
        <f>ROUND(M37*AR37,0)</f>
        <v>157</v>
      </c>
      <c r="AE37" s="6">
        <f>IFERROR(1-AB37/AD37,"-")</f>
        <v>0.35668789808917201</v>
      </c>
      <c r="AF37" s="33">
        <v>4.75</v>
      </c>
      <c r="AG37" s="4">
        <f>BI37</f>
        <v>300.2</v>
      </c>
      <c r="AH37" s="33">
        <f>IFERROR(AG37*AR37,"-")</f>
        <v>322.55531914893618</v>
      </c>
      <c r="AI37" s="6">
        <f>IFERROR(1-AB37/AH37,"-")</f>
        <v>0.68687541638907401</v>
      </c>
      <c r="AJ37" s="7">
        <v>170</v>
      </c>
      <c r="AK37" s="6">
        <f>1-AB37/AJ37</f>
        <v>0.40588235294117647</v>
      </c>
      <c r="AL37" s="4">
        <f>AJ37-AB37</f>
        <v>69</v>
      </c>
      <c r="AM37" s="28"/>
      <c r="AN37" s="6"/>
      <c r="AO37" s="6"/>
      <c r="AP37" s="6" t="str">
        <f>IFERROR(Z37/L37,"-")</f>
        <v>-</v>
      </c>
      <c r="AQ37" s="6">
        <f>IFERROR(AJ37/M37,"-")</f>
        <v>1.1643835616438356</v>
      </c>
      <c r="AR37" s="6">
        <f>IFERROR(AB37/N37,"-")</f>
        <v>1.074468085106383</v>
      </c>
      <c r="AS37" s="4" t="str">
        <f t="shared" si="0"/>
        <v>-</v>
      </c>
      <c r="AT37" s="4"/>
      <c r="AU37" s="4" t="str">
        <f t="shared" si="1"/>
        <v>-</v>
      </c>
      <c r="AV37" s="4" t="str">
        <f t="shared" si="2"/>
        <v>-</v>
      </c>
      <c r="AW37" s="4" t="str">
        <f t="shared" si="3"/>
        <v>-</v>
      </c>
      <c r="AX37" s="4" t="str">
        <f t="shared" si="4"/>
        <v>-</v>
      </c>
      <c r="AY37" s="4" t="str">
        <f t="shared" si="5"/>
        <v>-</v>
      </c>
      <c r="AZ37" s="4" t="str">
        <f t="shared" si="6"/>
        <v>-</v>
      </c>
      <c r="BA37" s="4" t="str">
        <f t="shared" si="7"/>
        <v>-</v>
      </c>
      <c r="BB37" s="4" t="str">
        <f t="shared" si="8"/>
        <v>-</v>
      </c>
      <c r="BC37" s="4">
        <v>0</v>
      </c>
      <c r="BD37" s="4" t="s">
        <v>581</v>
      </c>
      <c r="BE37" s="4">
        <v>1</v>
      </c>
      <c r="BF37" s="4">
        <v>5</v>
      </c>
      <c r="BG37" s="4" t="s">
        <v>582</v>
      </c>
      <c r="BH37" s="4">
        <v>1501</v>
      </c>
      <c r="BI37" s="4">
        <f>IF(BE37="",BH37,BE37/BF37*BH37)</f>
        <v>300.2</v>
      </c>
      <c r="BJ37" s="19">
        <v>4</v>
      </c>
      <c r="BK37" s="19">
        <v>1</v>
      </c>
      <c r="BL37" s="16">
        <v>3</v>
      </c>
      <c r="BM37" t="s">
        <v>422</v>
      </c>
      <c r="BN37" t="str">
        <f t="shared" si="9"/>
        <v>-</v>
      </c>
      <c r="BO37">
        <v>219</v>
      </c>
      <c r="BP37">
        <f t="shared" si="10"/>
        <v>235.30851063829789</v>
      </c>
      <c r="BQ37" t="s">
        <v>442</v>
      </c>
    </row>
    <row r="38" spans="1:69" x14ac:dyDescent="0.4">
      <c r="A38" s="3">
        <v>245</v>
      </c>
      <c r="B38" s="3">
        <v>151</v>
      </c>
      <c r="C38" s="46">
        <v>110990</v>
      </c>
      <c r="D38" s="4" t="str">
        <f>TEXT(C38,"000000")</f>
        <v>110990</v>
      </c>
      <c r="E38" s="4">
        <v>110993</v>
      </c>
      <c r="F38" s="4" t="s">
        <v>385</v>
      </c>
      <c r="G38" s="5">
        <v>4996297473039</v>
      </c>
      <c r="H38" s="5">
        <v>8</v>
      </c>
      <c r="I38" s="5" t="str">
        <f>C38&amp;H38</f>
        <v>1109908</v>
      </c>
      <c r="J38" s="5"/>
      <c r="K38" s="5"/>
      <c r="L38" s="4">
        <v>0</v>
      </c>
      <c r="M38" s="4">
        <v>2808</v>
      </c>
      <c r="N38" s="4">
        <v>1880</v>
      </c>
      <c r="O38" s="6">
        <f>IFERROR(1-N38/M38,"-")</f>
        <v>0.33048433048433046</v>
      </c>
      <c r="P38" s="4" t="s">
        <v>422</v>
      </c>
      <c r="Q38" s="4" t="s">
        <v>422</v>
      </c>
      <c r="R38" s="4" t="s">
        <v>422</v>
      </c>
      <c r="S38" s="4" t="s">
        <v>422</v>
      </c>
      <c r="T38" s="4" t="s">
        <v>422</v>
      </c>
      <c r="U38" s="4" t="s">
        <v>422</v>
      </c>
      <c r="V38" s="4" t="s">
        <v>422</v>
      </c>
      <c r="W38" s="4" t="s">
        <v>422</v>
      </c>
      <c r="X38" s="4" t="s">
        <v>422</v>
      </c>
      <c r="Y38" s="4">
        <v>0</v>
      </c>
      <c r="Z38" s="4">
        <f>IF(AC38="",Y38,Y38*AC38)</f>
        <v>0</v>
      </c>
      <c r="AA38" s="4">
        <v>101</v>
      </c>
      <c r="AB38" s="4">
        <f>IF(AC38="",AA38,AA38*AC38)</f>
        <v>2020</v>
      </c>
      <c r="AC38" s="4">
        <v>20</v>
      </c>
      <c r="AD38" s="21">
        <f>ROUND(M38*AR38,0)</f>
        <v>3017</v>
      </c>
      <c r="AE38" s="6">
        <f>IFERROR(1-AB38/AD38,"-")</f>
        <v>0.33046072257209147</v>
      </c>
      <c r="AF38" s="33">
        <v>4.75</v>
      </c>
      <c r="AG38" s="4">
        <f>BI38</f>
        <v>6004</v>
      </c>
      <c r="AH38" s="33">
        <f>IFERROR(AG38*AR38,"-")</f>
        <v>6451.1063829787236</v>
      </c>
      <c r="AI38" s="6">
        <f>IFERROR(1-AB38/AH38,"-")</f>
        <v>0.68687541638907401</v>
      </c>
      <c r="AJ38" s="7">
        <v>3200</v>
      </c>
      <c r="AK38" s="6">
        <f>1-AB38/AJ38</f>
        <v>0.36875000000000002</v>
      </c>
      <c r="AL38" s="4">
        <f>AJ38-AB38</f>
        <v>1180</v>
      </c>
      <c r="AM38" s="28"/>
      <c r="AN38" s="6"/>
      <c r="AO38" s="6"/>
      <c r="AP38" s="6" t="str">
        <f>IFERROR(Z38/L38,"-")</f>
        <v>-</v>
      </c>
      <c r="AQ38" s="6">
        <f>IFERROR(AJ38/M38,"-")</f>
        <v>1.1396011396011396</v>
      </c>
      <c r="AR38" s="6">
        <f>IFERROR(AB38/N38,"-")</f>
        <v>1.074468085106383</v>
      </c>
      <c r="AS38" s="4" t="str">
        <f t="shared" si="0"/>
        <v>-</v>
      </c>
      <c r="AT38" s="4"/>
      <c r="AU38" s="4" t="str">
        <f t="shared" si="1"/>
        <v>-</v>
      </c>
      <c r="AV38" s="4" t="str">
        <f t="shared" si="2"/>
        <v>-</v>
      </c>
      <c r="AW38" s="4" t="str">
        <f t="shared" si="3"/>
        <v>-</v>
      </c>
      <c r="AX38" s="4" t="str">
        <f t="shared" si="4"/>
        <v>-</v>
      </c>
      <c r="AY38" s="4" t="str">
        <f t="shared" si="5"/>
        <v>-</v>
      </c>
      <c r="AZ38" s="4" t="str">
        <f t="shared" si="6"/>
        <v>-</v>
      </c>
      <c r="BA38" s="4" t="str">
        <f t="shared" si="7"/>
        <v>-</v>
      </c>
      <c r="BB38" s="4" t="str">
        <f t="shared" si="8"/>
        <v>-</v>
      </c>
      <c r="BC38" s="4">
        <v>0</v>
      </c>
      <c r="BD38" s="4" t="s">
        <v>581</v>
      </c>
      <c r="BE38" s="4">
        <v>20</v>
      </c>
      <c r="BF38" s="4">
        <v>5</v>
      </c>
      <c r="BG38" s="4" t="s">
        <v>582</v>
      </c>
      <c r="BH38" s="4">
        <v>1501</v>
      </c>
      <c r="BI38" s="4">
        <f>IF(BE38="",BH38,BE38/BF38*BH38)</f>
        <v>6004</v>
      </c>
      <c r="BJ38" s="19">
        <v>4</v>
      </c>
      <c r="BK38" s="19">
        <v>1</v>
      </c>
      <c r="BL38" s="16">
        <v>3</v>
      </c>
      <c r="BM38" t="s">
        <v>422</v>
      </c>
      <c r="BN38" t="str">
        <f t="shared" si="9"/>
        <v>-</v>
      </c>
      <c r="BO38">
        <v>219</v>
      </c>
      <c r="BP38">
        <f t="shared" si="10"/>
        <v>235.30851063829789</v>
      </c>
      <c r="BQ38" t="s">
        <v>442</v>
      </c>
    </row>
    <row r="39" spans="1:69" x14ac:dyDescent="0.4">
      <c r="A39" s="3">
        <v>149</v>
      </c>
      <c r="B39" s="3">
        <v>149</v>
      </c>
      <c r="C39" s="46">
        <v>110991</v>
      </c>
      <c r="D39" s="4" t="str">
        <f>TEXT(C39,"000000")</f>
        <v>110991</v>
      </c>
      <c r="E39" s="4">
        <v>110991</v>
      </c>
      <c r="F39" s="4" t="s">
        <v>263</v>
      </c>
      <c r="G39" s="5">
        <v>4996297473015</v>
      </c>
      <c r="H39" s="5"/>
      <c r="I39" s="5"/>
      <c r="J39" s="5">
        <v>2</v>
      </c>
      <c r="K39" s="5">
        <v>2</v>
      </c>
      <c r="L39" s="4">
        <v>0</v>
      </c>
      <c r="M39" s="4">
        <v>166</v>
      </c>
      <c r="N39" s="4">
        <v>94</v>
      </c>
      <c r="O39" s="6">
        <f>IFERROR(1-N39/M39,"-")</f>
        <v>0.4337349397590361</v>
      </c>
      <c r="P39" s="4" t="s">
        <v>422</v>
      </c>
      <c r="Q39" s="4" t="s">
        <v>422</v>
      </c>
      <c r="R39" s="4" t="s">
        <v>422</v>
      </c>
      <c r="S39" s="4" t="s">
        <v>422</v>
      </c>
      <c r="T39" s="4" t="s">
        <v>422</v>
      </c>
      <c r="U39" s="4" t="s">
        <v>422</v>
      </c>
      <c r="V39" s="4" t="s">
        <v>422</v>
      </c>
      <c r="W39" s="4" t="s">
        <v>422</v>
      </c>
      <c r="X39" s="4" t="s">
        <v>422</v>
      </c>
      <c r="Y39" s="4">
        <v>0</v>
      </c>
      <c r="Z39" s="4">
        <f>IF(AC39="",Y39,Y39*AC39)</f>
        <v>0</v>
      </c>
      <c r="AA39" s="4">
        <v>101</v>
      </c>
      <c r="AB39" s="4">
        <f>IF(AC39="",AA39,AA39*AC39)</f>
        <v>101</v>
      </c>
      <c r="AC39" s="4"/>
      <c r="AD39" s="21">
        <f>ROUND(M39*AR39,0)</f>
        <v>178</v>
      </c>
      <c r="AE39" s="6">
        <f>IFERROR(1-AB39/AD39,"-")</f>
        <v>0.43258426966292129</v>
      </c>
      <c r="AF39" s="33">
        <v>33.75</v>
      </c>
      <c r="AG39" s="4">
        <f>BI39</f>
        <v>300.2</v>
      </c>
      <c r="AH39" s="33">
        <f>IFERROR(AG39*AR39,"-")</f>
        <v>322.55531914893618</v>
      </c>
      <c r="AI39" s="6">
        <f>IFERROR(1-AB39/AH39,"-")</f>
        <v>0.68687541638907401</v>
      </c>
      <c r="AJ39" s="7">
        <v>170</v>
      </c>
      <c r="AK39" s="6">
        <f>1-AB39/AJ39</f>
        <v>0.40588235294117647</v>
      </c>
      <c r="AL39" s="4">
        <f>AJ39-AB39</f>
        <v>69</v>
      </c>
      <c r="AM39" s="28"/>
      <c r="AN39" s="6"/>
      <c r="AO39" s="6"/>
      <c r="AP39" s="6" t="str">
        <f>IFERROR(Z39/L39,"-")</f>
        <v>-</v>
      </c>
      <c r="AQ39" s="6">
        <f>IFERROR(AJ39/M39,"-")</f>
        <v>1.0240963855421688</v>
      </c>
      <c r="AR39" s="6">
        <f>IFERROR(AB39/N39,"-")</f>
        <v>1.074468085106383</v>
      </c>
      <c r="AS39" s="4" t="str">
        <f t="shared" si="0"/>
        <v>-</v>
      </c>
      <c r="AT39" s="4"/>
      <c r="AU39" s="4" t="str">
        <f t="shared" si="1"/>
        <v>-</v>
      </c>
      <c r="AV39" s="4" t="str">
        <f t="shared" si="2"/>
        <v>-</v>
      </c>
      <c r="AW39" s="4" t="str">
        <f t="shared" si="3"/>
        <v>-</v>
      </c>
      <c r="AX39" s="4" t="str">
        <f t="shared" si="4"/>
        <v>-</v>
      </c>
      <c r="AY39" s="4" t="str">
        <f t="shared" si="5"/>
        <v>-</v>
      </c>
      <c r="AZ39" s="4" t="str">
        <f t="shared" si="6"/>
        <v>-</v>
      </c>
      <c r="BA39" s="4" t="str">
        <f t="shared" si="7"/>
        <v>-</v>
      </c>
      <c r="BB39" s="4" t="str">
        <f t="shared" si="8"/>
        <v>-</v>
      </c>
      <c r="BC39" s="4">
        <v>0</v>
      </c>
      <c r="BD39" s="4" t="s">
        <v>583</v>
      </c>
      <c r="BE39" s="4">
        <v>1</v>
      </c>
      <c r="BF39" s="4">
        <v>5</v>
      </c>
      <c r="BG39" s="4" t="s">
        <v>584</v>
      </c>
      <c r="BH39" s="4">
        <v>1501</v>
      </c>
      <c r="BI39" s="4">
        <f>IF(BE39="",BH39,BE39/BF39*BH39)</f>
        <v>300.2</v>
      </c>
      <c r="BJ39" s="19">
        <v>4</v>
      </c>
      <c r="BK39" s="19">
        <v>1</v>
      </c>
      <c r="BL39" s="16">
        <v>3</v>
      </c>
      <c r="BM39" t="s">
        <v>422</v>
      </c>
      <c r="BN39" t="str">
        <f t="shared" si="9"/>
        <v>-</v>
      </c>
      <c r="BO39">
        <v>219</v>
      </c>
      <c r="BP39">
        <f t="shared" si="10"/>
        <v>235.30851063829789</v>
      </c>
      <c r="BQ39" t="s">
        <v>443</v>
      </c>
    </row>
    <row r="40" spans="1:69" x14ac:dyDescent="0.4">
      <c r="A40" s="3">
        <v>243</v>
      </c>
      <c r="B40" s="3">
        <v>149</v>
      </c>
      <c r="C40" s="46">
        <v>110991</v>
      </c>
      <c r="D40" s="4" t="str">
        <f>TEXT(C40,"000000")</f>
        <v>110991</v>
      </c>
      <c r="E40" s="4">
        <v>110994</v>
      </c>
      <c r="F40" s="4" t="s">
        <v>383</v>
      </c>
      <c r="G40" s="5">
        <v>4996297473015</v>
      </c>
      <c r="H40" s="5">
        <v>8</v>
      </c>
      <c r="I40" s="5" t="str">
        <f>C40&amp;H40</f>
        <v>1109918</v>
      </c>
      <c r="J40" s="5"/>
      <c r="K40" s="5"/>
      <c r="L40" s="4">
        <v>0</v>
      </c>
      <c r="M40" s="4">
        <v>3015</v>
      </c>
      <c r="N40" s="4">
        <v>1880</v>
      </c>
      <c r="O40" s="6">
        <f>IFERROR(1-N40/M40,"-")</f>
        <v>0.37645107794361521</v>
      </c>
      <c r="P40" s="4" t="s">
        <v>422</v>
      </c>
      <c r="Q40" s="4" t="s">
        <v>422</v>
      </c>
      <c r="R40" s="4" t="s">
        <v>422</v>
      </c>
      <c r="S40" s="4" t="s">
        <v>422</v>
      </c>
      <c r="T40" s="4" t="s">
        <v>422</v>
      </c>
      <c r="U40" s="4" t="s">
        <v>422</v>
      </c>
      <c r="V40" s="4" t="s">
        <v>422</v>
      </c>
      <c r="W40" s="4" t="s">
        <v>422</v>
      </c>
      <c r="X40" s="4" t="s">
        <v>422</v>
      </c>
      <c r="Y40" s="4">
        <v>0</v>
      </c>
      <c r="Z40" s="4">
        <f>IF(AC40="",Y40,Y40*AC40)</f>
        <v>0</v>
      </c>
      <c r="AA40" s="4">
        <v>101</v>
      </c>
      <c r="AB40" s="4">
        <f>IF(AC40="",AA40,AA40*AC40)</f>
        <v>2020</v>
      </c>
      <c r="AC40" s="4">
        <v>20</v>
      </c>
      <c r="AD40" s="21">
        <f>ROUND(M40*AR40,0)</f>
        <v>3240</v>
      </c>
      <c r="AE40" s="6">
        <f>IFERROR(1-AB40/AD40,"-")</f>
        <v>0.37654320987654322</v>
      </c>
      <c r="AF40" s="33">
        <v>33.75</v>
      </c>
      <c r="AG40" s="4">
        <f>BI40</f>
        <v>6004</v>
      </c>
      <c r="AH40" s="33">
        <f>IFERROR(AG40*AR40,"-")</f>
        <v>6451.1063829787236</v>
      </c>
      <c r="AI40" s="6">
        <f>IFERROR(1-AB40/AH40,"-")</f>
        <v>0.68687541638907401</v>
      </c>
      <c r="AJ40" s="7">
        <v>3200</v>
      </c>
      <c r="AK40" s="6">
        <f>1-AB40/AJ40</f>
        <v>0.36875000000000002</v>
      </c>
      <c r="AL40" s="4">
        <f>AJ40-AB40</f>
        <v>1180</v>
      </c>
      <c r="AM40" s="28"/>
      <c r="AN40" s="6"/>
      <c r="AO40" s="6"/>
      <c r="AP40" s="6" t="str">
        <f>IFERROR(Z40/L40,"-")</f>
        <v>-</v>
      </c>
      <c r="AQ40" s="6">
        <f>IFERROR(AJ40/M40,"-")</f>
        <v>1.0613598673300166</v>
      </c>
      <c r="AR40" s="6">
        <f>IFERROR(AB40/N40,"-")</f>
        <v>1.074468085106383</v>
      </c>
      <c r="AS40" s="4" t="str">
        <f t="shared" si="0"/>
        <v>-</v>
      </c>
      <c r="AT40" s="4"/>
      <c r="AU40" s="4" t="str">
        <f t="shared" si="1"/>
        <v>-</v>
      </c>
      <c r="AV40" s="4" t="str">
        <f t="shared" si="2"/>
        <v>-</v>
      </c>
      <c r="AW40" s="4" t="str">
        <f t="shared" si="3"/>
        <v>-</v>
      </c>
      <c r="AX40" s="4" t="str">
        <f t="shared" si="4"/>
        <v>-</v>
      </c>
      <c r="AY40" s="4" t="str">
        <f t="shared" si="5"/>
        <v>-</v>
      </c>
      <c r="AZ40" s="4" t="str">
        <f t="shared" si="6"/>
        <v>-</v>
      </c>
      <c r="BA40" s="4" t="str">
        <f t="shared" si="7"/>
        <v>-</v>
      </c>
      <c r="BB40" s="4" t="str">
        <f t="shared" si="8"/>
        <v>-</v>
      </c>
      <c r="BC40" s="4">
        <v>0</v>
      </c>
      <c r="BD40" s="4" t="s">
        <v>583</v>
      </c>
      <c r="BE40" s="4">
        <v>20</v>
      </c>
      <c r="BF40" s="4">
        <v>5</v>
      </c>
      <c r="BG40" s="4" t="s">
        <v>584</v>
      </c>
      <c r="BH40" s="4">
        <v>1501</v>
      </c>
      <c r="BI40" s="4">
        <f>IF(BE40="",BH40,BE40/BF40*BH40)</f>
        <v>6004</v>
      </c>
      <c r="BJ40" s="19">
        <v>4</v>
      </c>
      <c r="BK40" s="19">
        <v>1</v>
      </c>
      <c r="BL40" s="16">
        <v>3</v>
      </c>
      <c r="BM40" t="s">
        <v>422</v>
      </c>
      <c r="BN40" t="str">
        <f t="shared" si="9"/>
        <v>-</v>
      </c>
      <c r="BO40">
        <v>219</v>
      </c>
      <c r="BP40">
        <f t="shared" si="10"/>
        <v>235.30851063829789</v>
      </c>
      <c r="BQ40" t="s">
        <v>443</v>
      </c>
    </row>
    <row r="41" spans="1:69" x14ac:dyDescent="0.4">
      <c r="A41" s="3">
        <v>148</v>
      </c>
      <c r="B41" s="3">
        <v>148</v>
      </c>
      <c r="C41" s="46">
        <v>110992</v>
      </c>
      <c r="D41" s="4" t="str">
        <f>TEXT(C41,"000000")</f>
        <v>110992</v>
      </c>
      <c r="E41" s="4">
        <v>110992</v>
      </c>
      <c r="F41" s="4" t="s">
        <v>262</v>
      </c>
      <c r="G41" s="5">
        <v>4996297473008</v>
      </c>
      <c r="H41" s="5"/>
      <c r="I41" s="5"/>
      <c r="J41" s="5">
        <v>2</v>
      </c>
      <c r="K41" s="5">
        <v>2</v>
      </c>
      <c r="L41" s="4">
        <v>0</v>
      </c>
      <c r="M41" s="4">
        <v>166</v>
      </c>
      <c r="N41" s="4">
        <v>94</v>
      </c>
      <c r="O41" s="6">
        <f>IFERROR(1-N41/M41,"-")</f>
        <v>0.4337349397590361</v>
      </c>
      <c r="P41" s="4" t="s">
        <v>422</v>
      </c>
      <c r="Q41" s="4" t="s">
        <v>422</v>
      </c>
      <c r="R41" s="4" t="s">
        <v>422</v>
      </c>
      <c r="S41" s="4" t="s">
        <v>422</v>
      </c>
      <c r="T41" s="4" t="s">
        <v>422</v>
      </c>
      <c r="U41" s="4" t="s">
        <v>422</v>
      </c>
      <c r="V41" s="4" t="s">
        <v>422</v>
      </c>
      <c r="W41" s="4" t="s">
        <v>422</v>
      </c>
      <c r="X41" s="4" t="s">
        <v>422</v>
      </c>
      <c r="Y41" s="4">
        <v>0</v>
      </c>
      <c r="Z41" s="4">
        <f>IF(AC41="",Y41,Y41*AC41)</f>
        <v>0</v>
      </c>
      <c r="AA41" s="4">
        <v>101</v>
      </c>
      <c r="AB41" s="4">
        <f>IF(AC41="",AA41,AA41*AC41)</f>
        <v>101</v>
      </c>
      <c r="AC41" s="4"/>
      <c r="AD41" s="21">
        <f>ROUND(M41*AR41,0)</f>
        <v>178</v>
      </c>
      <c r="AE41" s="6">
        <f>IFERROR(1-AB41/AD41,"-")</f>
        <v>0.43258426966292129</v>
      </c>
      <c r="AF41" s="33">
        <v>6.75</v>
      </c>
      <c r="AG41" s="4">
        <f>BI41</f>
        <v>300.2</v>
      </c>
      <c r="AH41" s="33">
        <f>IFERROR(AG41*AR41,"-")</f>
        <v>322.55531914893618</v>
      </c>
      <c r="AI41" s="6">
        <f>IFERROR(1-AB41/AH41,"-")</f>
        <v>0.68687541638907401</v>
      </c>
      <c r="AJ41" s="7">
        <v>170</v>
      </c>
      <c r="AK41" s="6">
        <f>1-AB41/AJ41</f>
        <v>0.40588235294117647</v>
      </c>
      <c r="AL41" s="4">
        <f>AJ41-AB41</f>
        <v>69</v>
      </c>
      <c r="AM41" s="28"/>
      <c r="AN41" s="6"/>
      <c r="AO41" s="6"/>
      <c r="AP41" s="6" t="str">
        <f>IFERROR(Z41/L41,"-")</f>
        <v>-</v>
      </c>
      <c r="AQ41" s="6">
        <f>IFERROR(AJ41/M41,"-")</f>
        <v>1.0240963855421688</v>
      </c>
      <c r="AR41" s="6">
        <f>IFERROR(AB41/N41,"-")</f>
        <v>1.074468085106383</v>
      </c>
      <c r="AS41" s="4" t="str">
        <f t="shared" si="0"/>
        <v>-</v>
      </c>
      <c r="AT41" s="4"/>
      <c r="AU41" s="4" t="str">
        <f t="shared" si="1"/>
        <v>-</v>
      </c>
      <c r="AV41" s="4" t="str">
        <f t="shared" si="2"/>
        <v>-</v>
      </c>
      <c r="AW41" s="4" t="str">
        <f t="shared" si="3"/>
        <v>-</v>
      </c>
      <c r="AX41" s="4" t="str">
        <f t="shared" si="4"/>
        <v>-</v>
      </c>
      <c r="AY41" s="4" t="str">
        <f t="shared" si="5"/>
        <v>-</v>
      </c>
      <c r="AZ41" s="4" t="str">
        <f t="shared" si="6"/>
        <v>-</v>
      </c>
      <c r="BA41" s="4" t="str">
        <f t="shared" si="7"/>
        <v>-</v>
      </c>
      <c r="BB41" s="4" t="str">
        <f t="shared" si="8"/>
        <v>-</v>
      </c>
      <c r="BC41" s="4">
        <v>0</v>
      </c>
      <c r="BD41" s="4" t="s">
        <v>585</v>
      </c>
      <c r="BE41" s="4">
        <v>1</v>
      </c>
      <c r="BF41" s="4">
        <v>5</v>
      </c>
      <c r="BG41" s="4" t="s">
        <v>582</v>
      </c>
      <c r="BH41" s="4">
        <v>1501</v>
      </c>
      <c r="BI41" s="4">
        <f>IF(BE41="",BH41,BE41/BF41*BH41)</f>
        <v>300.2</v>
      </c>
      <c r="BJ41" s="19">
        <v>4</v>
      </c>
      <c r="BK41" s="19">
        <v>1</v>
      </c>
      <c r="BL41" s="16">
        <v>3</v>
      </c>
      <c r="BM41" t="s">
        <v>422</v>
      </c>
      <c r="BN41" t="str">
        <f t="shared" si="9"/>
        <v>-</v>
      </c>
      <c r="BO41">
        <v>219</v>
      </c>
      <c r="BP41">
        <f t="shared" si="10"/>
        <v>235.30851063829789</v>
      </c>
      <c r="BQ41" t="s">
        <v>444</v>
      </c>
    </row>
    <row r="42" spans="1:69" x14ac:dyDescent="0.4">
      <c r="A42" s="3">
        <v>242</v>
      </c>
      <c r="B42" s="3">
        <v>148</v>
      </c>
      <c r="C42" s="46">
        <v>110992</v>
      </c>
      <c r="D42" s="4" t="str">
        <f>TEXT(C42,"000000")</f>
        <v>110992</v>
      </c>
      <c r="E42" s="4">
        <v>110995</v>
      </c>
      <c r="F42" s="4" t="s">
        <v>382</v>
      </c>
      <c r="G42" s="5">
        <v>4996297473008</v>
      </c>
      <c r="H42" s="5">
        <v>8</v>
      </c>
      <c r="I42" s="5" t="str">
        <f>C42&amp;H42</f>
        <v>1109928</v>
      </c>
      <c r="J42" s="5"/>
      <c r="K42" s="5"/>
      <c r="L42" s="4">
        <v>0</v>
      </c>
      <c r="M42" s="4">
        <v>3015</v>
      </c>
      <c r="N42" s="4">
        <v>1880</v>
      </c>
      <c r="O42" s="6">
        <f>IFERROR(1-N42/M42,"-")</f>
        <v>0.37645107794361521</v>
      </c>
      <c r="P42" s="4" t="s">
        <v>422</v>
      </c>
      <c r="Q42" s="4" t="s">
        <v>422</v>
      </c>
      <c r="R42" s="4" t="s">
        <v>422</v>
      </c>
      <c r="S42" s="4" t="s">
        <v>422</v>
      </c>
      <c r="T42" s="4" t="s">
        <v>422</v>
      </c>
      <c r="U42" s="4" t="s">
        <v>422</v>
      </c>
      <c r="V42" s="4" t="s">
        <v>422</v>
      </c>
      <c r="W42" s="4" t="s">
        <v>422</v>
      </c>
      <c r="X42" s="4" t="s">
        <v>422</v>
      </c>
      <c r="Y42" s="4">
        <v>0</v>
      </c>
      <c r="Z42" s="4">
        <f>IF(AC42="",Y42,Y42*AC42)</f>
        <v>0</v>
      </c>
      <c r="AA42" s="4">
        <v>101</v>
      </c>
      <c r="AB42" s="4">
        <f>IF(AC42="",AA42,AA42*AC42)</f>
        <v>2020</v>
      </c>
      <c r="AC42" s="4">
        <v>20</v>
      </c>
      <c r="AD42" s="21">
        <f>ROUND(M42*AR42,0)</f>
        <v>3240</v>
      </c>
      <c r="AE42" s="6">
        <f>IFERROR(1-AB42/AD42,"-")</f>
        <v>0.37654320987654322</v>
      </c>
      <c r="AF42" s="33">
        <v>6.75</v>
      </c>
      <c r="AG42" s="4">
        <f>BI42</f>
        <v>6004</v>
      </c>
      <c r="AH42" s="33">
        <f>IFERROR(AG42*AR42,"-")</f>
        <v>6451.1063829787236</v>
      </c>
      <c r="AI42" s="6">
        <f>IFERROR(1-AB42/AH42,"-")</f>
        <v>0.68687541638907401</v>
      </c>
      <c r="AJ42" s="7">
        <v>3200</v>
      </c>
      <c r="AK42" s="6">
        <f>1-AB42/AJ42</f>
        <v>0.36875000000000002</v>
      </c>
      <c r="AL42" s="4">
        <f>AJ42-AB42</f>
        <v>1180</v>
      </c>
      <c r="AM42" s="28"/>
      <c r="AN42" s="6"/>
      <c r="AO42" s="6"/>
      <c r="AP42" s="6" t="str">
        <f>IFERROR(Z42/L42,"-")</f>
        <v>-</v>
      </c>
      <c r="AQ42" s="6">
        <f>IFERROR(AJ42/M42,"-")</f>
        <v>1.0613598673300166</v>
      </c>
      <c r="AR42" s="6">
        <f>IFERROR(AB42/N42,"-")</f>
        <v>1.074468085106383</v>
      </c>
      <c r="AS42" s="4" t="str">
        <f t="shared" si="0"/>
        <v>-</v>
      </c>
      <c r="AT42" s="4"/>
      <c r="AU42" s="4" t="str">
        <f t="shared" si="1"/>
        <v>-</v>
      </c>
      <c r="AV42" s="4" t="str">
        <f t="shared" si="2"/>
        <v>-</v>
      </c>
      <c r="AW42" s="4" t="str">
        <f t="shared" si="3"/>
        <v>-</v>
      </c>
      <c r="AX42" s="4" t="str">
        <f t="shared" si="4"/>
        <v>-</v>
      </c>
      <c r="AY42" s="4" t="str">
        <f t="shared" si="5"/>
        <v>-</v>
      </c>
      <c r="AZ42" s="4" t="str">
        <f t="shared" si="6"/>
        <v>-</v>
      </c>
      <c r="BA42" s="4" t="str">
        <f t="shared" si="7"/>
        <v>-</v>
      </c>
      <c r="BB42" s="4" t="str">
        <f t="shared" si="8"/>
        <v>-</v>
      </c>
      <c r="BC42" s="4">
        <v>0</v>
      </c>
      <c r="BD42" s="4" t="s">
        <v>585</v>
      </c>
      <c r="BE42" s="4">
        <v>20</v>
      </c>
      <c r="BF42" s="4">
        <v>5</v>
      </c>
      <c r="BG42" s="4" t="s">
        <v>582</v>
      </c>
      <c r="BH42" s="4">
        <v>1501</v>
      </c>
      <c r="BI42" s="4">
        <f>IF(BE42="",BH42,BE42/BF42*BH42)</f>
        <v>6004</v>
      </c>
      <c r="BJ42" s="19">
        <v>4</v>
      </c>
      <c r="BK42" s="19">
        <v>1</v>
      </c>
      <c r="BL42" s="16">
        <v>3</v>
      </c>
      <c r="BM42" t="s">
        <v>422</v>
      </c>
      <c r="BN42" t="str">
        <f t="shared" si="9"/>
        <v>-</v>
      </c>
      <c r="BO42">
        <v>219</v>
      </c>
      <c r="BP42">
        <f t="shared" si="10"/>
        <v>235.30851063829789</v>
      </c>
      <c r="BQ42" t="s">
        <v>444</v>
      </c>
    </row>
    <row r="43" spans="1:69" x14ac:dyDescent="0.4">
      <c r="A43" s="3">
        <v>152</v>
      </c>
      <c r="B43" s="3">
        <v>152</v>
      </c>
      <c r="C43" s="46">
        <v>788778</v>
      </c>
      <c r="D43" s="4" t="str">
        <f>TEXT(C43,"000000")</f>
        <v>788778</v>
      </c>
      <c r="E43" s="4">
        <v>788778</v>
      </c>
      <c r="F43" s="4" t="s">
        <v>266</v>
      </c>
      <c r="G43" s="5">
        <v>4996297473046</v>
      </c>
      <c r="H43" s="5"/>
      <c r="I43" s="5"/>
      <c r="J43" s="5">
        <v>2</v>
      </c>
      <c r="K43" s="5">
        <v>2</v>
      </c>
      <c r="L43" s="4">
        <v>0</v>
      </c>
      <c r="M43" s="4">
        <v>165</v>
      </c>
      <c r="N43" s="4">
        <v>94</v>
      </c>
      <c r="O43" s="6">
        <f>IFERROR(1-N43/M43,"-")</f>
        <v>0.4303030303030303</v>
      </c>
      <c r="P43" s="4" t="s">
        <v>422</v>
      </c>
      <c r="Q43" s="4" t="s">
        <v>422</v>
      </c>
      <c r="R43" s="4" t="s">
        <v>422</v>
      </c>
      <c r="S43" s="4" t="s">
        <v>422</v>
      </c>
      <c r="T43" s="4" t="s">
        <v>422</v>
      </c>
      <c r="U43" s="4" t="s">
        <v>422</v>
      </c>
      <c r="V43" s="4" t="s">
        <v>422</v>
      </c>
      <c r="W43" s="4" t="s">
        <v>422</v>
      </c>
      <c r="X43" s="4" t="s">
        <v>422</v>
      </c>
      <c r="Y43" s="4">
        <v>0</v>
      </c>
      <c r="Z43" s="4">
        <f>IF(AC43="",Y43,Y43*AC43)</f>
        <v>0</v>
      </c>
      <c r="AA43" s="4">
        <v>101</v>
      </c>
      <c r="AB43" s="4">
        <f>IF(AC43="",AA43,AA43*AC43)</f>
        <v>101</v>
      </c>
      <c r="AC43" s="4"/>
      <c r="AD43" s="21">
        <f>ROUND(M43*AR43,0)</f>
        <v>177</v>
      </c>
      <c r="AE43" s="6">
        <f>IFERROR(1-AB43/AD43,"-")</f>
        <v>0.42937853107344637</v>
      </c>
      <c r="AF43" s="33">
        <v>201.25000000000003</v>
      </c>
      <c r="AG43" s="4">
        <f>BI43</f>
        <v>161</v>
      </c>
      <c r="AH43" s="33">
        <f>IFERROR(AG43*AR43,"-")</f>
        <v>172.98936170212767</v>
      </c>
      <c r="AI43" s="6">
        <f>IFERROR(1-AB43/AH43,"-")</f>
        <v>0.41614906832298137</v>
      </c>
      <c r="AJ43" s="7">
        <v>170</v>
      </c>
      <c r="AK43" s="6">
        <f>1-AB43/AJ43</f>
        <v>0.40588235294117647</v>
      </c>
      <c r="AL43" s="4">
        <f>AJ43-AB43</f>
        <v>69</v>
      </c>
      <c r="AM43" s="28"/>
      <c r="AN43" s="6"/>
      <c r="AO43" s="6"/>
      <c r="AP43" s="6" t="str">
        <f>IFERROR(Z43/L43,"-")</f>
        <v>-</v>
      </c>
      <c r="AQ43" s="6">
        <f>IFERROR(AJ43/M43,"-")</f>
        <v>1.0303030303030303</v>
      </c>
      <c r="AR43" s="6">
        <f>IFERROR(AB43/N43,"-")</f>
        <v>1.074468085106383</v>
      </c>
      <c r="AS43" s="4" t="str">
        <f t="shared" si="0"/>
        <v>-</v>
      </c>
      <c r="AT43" s="4"/>
      <c r="AU43" s="4" t="str">
        <f t="shared" si="1"/>
        <v>-</v>
      </c>
      <c r="AV43" s="4" t="str">
        <f t="shared" si="2"/>
        <v>-</v>
      </c>
      <c r="AW43" s="4" t="str">
        <f t="shared" si="3"/>
        <v>-</v>
      </c>
      <c r="AX43" s="4" t="str">
        <f t="shared" si="4"/>
        <v>-</v>
      </c>
      <c r="AY43" s="4" t="str">
        <f t="shared" si="5"/>
        <v>-</v>
      </c>
      <c r="AZ43" s="4" t="str">
        <f t="shared" si="6"/>
        <v>-</v>
      </c>
      <c r="BA43" s="4" t="str">
        <f t="shared" si="7"/>
        <v>-</v>
      </c>
      <c r="BB43" s="4" t="str">
        <f t="shared" si="8"/>
        <v>-</v>
      </c>
      <c r="BC43" s="4">
        <v>12451</v>
      </c>
      <c r="BD43" s="4" t="s">
        <v>586</v>
      </c>
      <c r="BE43" s="4"/>
      <c r="BF43" s="4"/>
      <c r="BG43" s="4" t="s">
        <v>563</v>
      </c>
      <c r="BH43" s="4">
        <v>161</v>
      </c>
      <c r="BI43" s="4">
        <f>IF(BE43="",BH43,BE43/BF43*BH43)</f>
        <v>161</v>
      </c>
      <c r="BJ43" s="19">
        <v>4</v>
      </c>
      <c r="BK43" s="19">
        <v>1</v>
      </c>
      <c r="BL43" s="16">
        <v>3</v>
      </c>
      <c r="BM43">
        <v>137</v>
      </c>
      <c r="BN43">
        <f t="shared" si="9"/>
        <v>147.20212765957447</v>
      </c>
      <c r="BO43">
        <v>219</v>
      </c>
      <c r="BP43">
        <f t="shared" si="10"/>
        <v>235.30851063829789</v>
      </c>
      <c r="BQ43" t="s">
        <v>445</v>
      </c>
    </row>
    <row r="44" spans="1:69" x14ac:dyDescent="0.4">
      <c r="A44" s="3">
        <v>246</v>
      </c>
      <c r="B44" s="3">
        <v>152</v>
      </c>
      <c r="C44" s="46">
        <v>788778</v>
      </c>
      <c r="D44" s="4" t="str">
        <f>TEXT(C44,"000000")</f>
        <v>788778</v>
      </c>
      <c r="E44" s="4">
        <v>629711</v>
      </c>
      <c r="F44" s="4" t="s">
        <v>386</v>
      </c>
      <c r="G44" s="5">
        <v>4996297473046</v>
      </c>
      <c r="H44" s="5">
        <v>8</v>
      </c>
      <c r="I44" s="5" t="str">
        <f>C44&amp;H44</f>
        <v>7887788</v>
      </c>
      <c r="J44" s="5"/>
      <c r="K44" s="5"/>
      <c r="L44" s="4">
        <v>0</v>
      </c>
      <c r="M44" s="4">
        <v>3090</v>
      </c>
      <c r="N44" s="4">
        <v>1880</v>
      </c>
      <c r="O44" s="6">
        <f>IFERROR(1-N44/M44,"-")</f>
        <v>0.39158576051779936</v>
      </c>
      <c r="P44" s="4" t="s">
        <v>422</v>
      </c>
      <c r="Q44" s="4" t="s">
        <v>422</v>
      </c>
      <c r="R44" s="4" t="s">
        <v>422</v>
      </c>
      <c r="S44" s="4" t="s">
        <v>422</v>
      </c>
      <c r="T44" s="4" t="s">
        <v>422</v>
      </c>
      <c r="U44" s="4" t="s">
        <v>422</v>
      </c>
      <c r="V44" s="4" t="s">
        <v>422</v>
      </c>
      <c r="W44" s="4" t="s">
        <v>422</v>
      </c>
      <c r="X44" s="4" t="s">
        <v>422</v>
      </c>
      <c r="Y44" s="4">
        <v>0</v>
      </c>
      <c r="Z44" s="4">
        <f>IF(AC44="",Y44,Y44*AC44)</f>
        <v>0</v>
      </c>
      <c r="AA44" s="4">
        <v>101</v>
      </c>
      <c r="AB44" s="4">
        <f>IF(AC44="",AA44,AA44*AC44)</f>
        <v>2020</v>
      </c>
      <c r="AC44" s="4">
        <v>20</v>
      </c>
      <c r="AD44" s="21">
        <f>ROUND(M44*AR44,0)</f>
        <v>3320</v>
      </c>
      <c r="AE44" s="6">
        <f>IFERROR(1-AB44/AD44,"-")</f>
        <v>0.39156626506024095</v>
      </c>
      <c r="AF44" s="33">
        <v>201.25000000000003</v>
      </c>
      <c r="AG44" s="4">
        <f>BI44</f>
        <v>6142</v>
      </c>
      <c r="AH44" s="33">
        <f>IFERROR(AG44*AR44,"-")</f>
        <v>6599.3829787234044</v>
      </c>
      <c r="AI44" s="6">
        <f>IFERROR(1-AB44/AH44,"-")</f>
        <v>0.69391077824812764</v>
      </c>
      <c r="AJ44" s="7">
        <v>3200</v>
      </c>
      <c r="AK44" s="6">
        <f>1-AB44/AJ44</f>
        <v>0.36875000000000002</v>
      </c>
      <c r="AL44" s="4">
        <f>AJ44-AB44</f>
        <v>1180</v>
      </c>
      <c r="AM44" s="28"/>
      <c r="AN44" s="6"/>
      <c r="AO44" s="6"/>
      <c r="AP44" s="6" t="str">
        <f>IFERROR(Z44/L44,"-")</f>
        <v>-</v>
      </c>
      <c r="AQ44" s="6">
        <f>IFERROR(AJ44/M44,"-")</f>
        <v>1.035598705501618</v>
      </c>
      <c r="AR44" s="6">
        <f>IFERROR(AB44/N44,"-")</f>
        <v>1.074468085106383</v>
      </c>
      <c r="AS44" s="4" t="str">
        <f t="shared" si="0"/>
        <v>-</v>
      </c>
      <c r="AT44" s="4"/>
      <c r="AU44" s="4" t="str">
        <f t="shared" si="1"/>
        <v>-</v>
      </c>
      <c r="AV44" s="4" t="str">
        <f t="shared" si="2"/>
        <v>-</v>
      </c>
      <c r="AW44" s="4" t="str">
        <f t="shared" si="3"/>
        <v>-</v>
      </c>
      <c r="AX44" s="4" t="str">
        <f t="shared" si="4"/>
        <v>-</v>
      </c>
      <c r="AY44" s="4" t="str">
        <f t="shared" si="5"/>
        <v>-</v>
      </c>
      <c r="AZ44" s="4" t="str">
        <f t="shared" si="6"/>
        <v>-</v>
      </c>
      <c r="BA44" s="4" t="str">
        <f t="shared" si="7"/>
        <v>-</v>
      </c>
      <c r="BB44" s="4" t="str">
        <f t="shared" si="8"/>
        <v>-</v>
      </c>
      <c r="BC44" s="4">
        <v>12451</v>
      </c>
      <c r="BD44" s="4" t="s">
        <v>587</v>
      </c>
      <c r="BE44" s="4"/>
      <c r="BF44" s="4"/>
      <c r="BG44" s="4" t="s">
        <v>588</v>
      </c>
      <c r="BH44" s="4">
        <v>6142</v>
      </c>
      <c r="BI44" s="4">
        <f>IF(BE44="",BH44,BE44/BF44*BH44)</f>
        <v>6142</v>
      </c>
      <c r="BJ44" s="19">
        <v>4</v>
      </c>
      <c r="BK44" s="19">
        <v>1</v>
      </c>
      <c r="BL44" s="16">
        <v>3</v>
      </c>
      <c r="BM44">
        <v>137</v>
      </c>
      <c r="BN44">
        <f t="shared" si="9"/>
        <v>147.20212765957447</v>
      </c>
      <c r="BO44">
        <v>219</v>
      </c>
      <c r="BP44">
        <f t="shared" si="10"/>
        <v>235.30851063829789</v>
      </c>
      <c r="BQ44" t="s">
        <v>446</v>
      </c>
    </row>
    <row r="45" spans="1:69" x14ac:dyDescent="0.4">
      <c r="A45" s="3">
        <v>150</v>
      </c>
      <c r="B45" s="3">
        <v>150</v>
      </c>
      <c r="C45" s="46">
        <v>788787</v>
      </c>
      <c r="D45" s="4" t="str">
        <f>TEXT(C45,"000000")</f>
        <v>788787</v>
      </c>
      <c r="E45" s="4">
        <v>788787</v>
      </c>
      <c r="F45" s="4" t="s">
        <v>264</v>
      </c>
      <c r="G45" s="5">
        <v>4996297473022</v>
      </c>
      <c r="H45" s="5"/>
      <c r="I45" s="5"/>
      <c r="J45" s="5">
        <v>2</v>
      </c>
      <c r="K45" s="5">
        <v>2</v>
      </c>
      <c r="L45" s="4">
        <v>0</v>
      </c>
      <c r="M45" s="4">
        <v>165</v>
      </c>
      <c r="N45" s="4">
        <v>94</v>
      </c>
      <c r="O45" s="6">
        <f>IFERROR(1-N45/M45,"-")</f>
        <v>0.4303030303030303</v>
      </c>
      <c r="P45" s="4" t="s">
        <v>422</v>
      </c>
      <c r="Q45" s="4" t="s">
        <v>422</v>
      </c>
      <c r="R45" s="4" t="s">
        <v>422</v>
      </c>
      <c r="S45" s="4" t="s">
        <v>422</v>
      </c>
      <c r="T45" s="4" t="s">
        <v>422</v>
      </c>
      <c r="U45" s="4" t="s">
        <v>422</v>
      </c>
      <c r="V45" s="4" t="s">
        <v>422</v>
      </c>
      <c r="W45" s="4" t="s">
        <v>422</v>
      </c>
      <c r="X45" s="4" t="s">
        <v>422</v>
      </c>
      <c r="Y45" s="4">
        <v>0</v>
      </c>
      <c r="Z45" s="4">
        <f>IF(AC45="",Y45,Y45*AC45)</f>
        <v>0</v>
      </c>
      <c r="AA45" s="4">
        <v>101</v>
      </c>
      <c r="AB45" s="4">
        <f>IF(AC45="",AA45,AA45*AC45)</f>
        <v>101</v>
      </c>
      <c r="AC45" s="4"/>
      <c r="AD45" s="21">
        <f>ROUND(M45*AR45,0)</f>
        <v>177</v>
      </c>
      <c r="AE45" s="6">
        <f>IFERROR(1-AB45/AD45,"-")</f>
        <v>0.42937853107344637</v>
      </c>
      <c r="AF45" s="33">
        <v>55.75</v>
      </c>
      <c r="AG45" s="4">
        <f>BI45</f>
        <v>300.2</v>
      </c>
      <c r="AH45" s="33">
        <f>IFERROR(AG45*AR45,"-")</f>
        <v>322.55531914893618</v>
      </c>
      <c r="AI45" s="6">
        <f>IFERROR(1-AB45/AH45,"-")</f>
        <v>0.68687541638907401</v>
      </c>
      <c r="AJ45" s="7">
        <v>170</v>
      </c>
      <c r="AK45" s="6">
        <f>1-AB45/AJ45</f>
        <v>0.40588235294117647</v>
      </c>
      <c r="AL45" s="4">
        <f>AJ45-AB45</f>
        <v>69</v>
      </c>
      <c r="AM45" s="28"/>
      <c r="AN45" s="6"/>
      <c r="AO45" s="6"/>
      <c r="AP45" s="6" t="str">
        <f>IFERROR(Z45/L45,"-")</f>
        <v>-</v>
      </c>
      <c r="AQ45" s="6">
        <f>IFERROR(AJ45/M45,"-")</f>
        <v>1.0303030303030303</v>
      </c>
      <c r="AR45" s="6">
        <f>IFERROR(AB45/N45,"-")</f>
        <v>1.074468085106383</v>
      </c>
      <c r="AS45" s="4" t="str">
        <f t="shared" si="0"/>
        <v>-</v>
      </c>
      <c r="AT45" s="4"/>
      <c r="AU45" s="4" t="str">
        <f t="shared" si="1"/>
        <v>-</v>
      </c>
      <c r="AV45" s="4" t="str">
        <f t="shared" si="2"/>
        <v>-</v>
      </c>
      <c r="AW45" s="4" t="str">
        <f t="shared" si="3"/>
        <v>-</v>
      </c>
      <c r="AX45" s="4" t="str">
        <f t="shared" si="4"/>
        <v>-</v>
      </c>
      <c r="AY45" s="4" t="str">
        <f t="shared" si="5"/>
        <v>-</v>
      </c>
      <c r="AZ45" s="4" t="str">
        <f t="shared" si="6"/>
        <v>-</v>
      </c>
      <c r="BA45" s="4" t="str">
        <f t="shared" si="7"/>
        <v>-</v>
      </c>
      <c r="BB45" s="4" t="str">
        <f t="shared" si="8"/>
        <v>-</v>
      </c>
      <c r="BC45" s="4">
        <v>12451</v>
      </c>
      <c r="BD45" s="4" t="s">
        <v>589</v>
      </c>
      <c r="BE45" s="4">
        <v>1</v>
      </c>
      <c r="BF45" s="4">
        <v>5</v>
      </c>
      <c r="BG45" s="4" t="s">
        <v>582</v>
      </c>
      <c r="BH45" s="4">
        <v>1501</v>
      </c>
      <c r="BI45" s="4">
        <f>IF(BE45="",BH45,BE45/BF45*BH45)</f>
        <v>300.2</v>
      </c>
      <c r="BJ45" s="19">
        <v>4</v>
      </c>
      <c r="BK45" s="19">
        <v>1</v>
      </c>
      <c r="BL45" s="16">
        <v>3</v>
      </c>
      <c r="BM45" t="s">
        <v>422</v>
      </c>
      <c r="BN45" t="str">
        <f t="shared" si="9"/>
        <v>-</v>
      </c>
      <c r="BO45">
        <v>219</v>
      </c>
      <c r="BP45">
        <f t="shared" si="10"/>
        <v>235.30851063829789</v>
      </c>
      <c r="BQ45" t="s">
        <v>447</v>
      </c>
    </row>
    <row r="46" spans="1:69" x14ac:dyDescent="0.4">
      <c r="A46" s="3">
        <v>244</v>
      </c>
      <c r="B46" s="3">
        <v>150</v>
      </c>
      <c r="C46" s="46">
        <v>788787</v>
      </c>
      <c r="D46" s="4" t="str">
        <f>TEXT(C46,"000000")</f>
        <v>788787</v>
      </c>
      <c r="E46" s="4">
        <v>629713</v>
      </c>
      <c r="F46" s="4" t="s">
        <v>384</v>
      </c>
      <c r="G46" s="5">
        <v>4996297473022</v>
      </c>
      <c r="H46" s="5">
        <v>8</v>
      </c>
      <c r="I46" s="5" t="str">
        <f>C46&amp;H46</f>
        <v>7887878</v>
      </c>
      <c r="J46" s="5"/>
      <c r="K46" s="5"/>
      <c r="L46" s="4">
        <v>0</v>
      </c>
      <c r="M46" s="4">
        <v>3090</v>
      </c>
      <c r="N46" s="4">
        <v>1880</v>
      </c>
      <c r="O46" s="6">
        <f>IFERROR(1-N46/M46,"-")</f>
        <v>0.39158576051779936</v>
      </c>
      <c r="P46" s="4" t="s">
        <v>422</v>
      </c>
      <c r="Q46" s="4" t="s">
        <v>422</v>
      </c>
      <c r="R46" s="4" t="s">
        <v>422</v>
      </c>
      <c r="S46" s="4" t="s">
        <v>422</v>
      </c>
      <c r="T46" s="4" t="s">
        <v>422</v>
      </c>
      <c r="U46" s="4" t="s">
        <v>422</v>
      </c>
      <c r="V46" s="4" t="s">
        <v>422</v>
      </c>
      <c r="W46" s="4" t="s">
        <v>422</v>
      </c>
      <c r="X46" s="4" t="s">
        <v>422</v>
      </c>
      <c r="Y46" s="4">
        <v>0</v>
      </c>
      <c r="Z46" s="4">
        <f>IF(AC46="",Y46,Y46*AC46)</f>
        <v>0</v>
      </c>
      <c r="AA46" s="4">
        <v>101</v>
      </c>
      <c r="AB46" s="4">
        <f>IF(AC46="",AA46,AA46*AC46)</f>
        <v>2020</v>
      </c>
      <c r="AC46" s="4">
        <v>20</v>
      </c>
      <c r="AD46" s="21">
        <f>ROUND(M46*AR46,0)</f>
        <v>3320</v>
      </c>
      <c r="AE46" s="6">
        <f>IFERROR(1-AB46/AD46,"-")</f>
        <v>0.39156626506024095</v>
      </c>
      <c r="AF46" s="33">
        <v>55.75</v>
      </c>
      <c r="AG46" s="4">
        <f>BI46</f>
        <v>6004</v>
      </c>
      <c r="AH46" s="33">
        <f>IFERROR(AG46*AR46,"-")</f>
        <v>6451.1063829787236</v>
      </c>
      <c r="AI46" s="6">
        <f>IFERROR(1-AB46/AH46,"-")</f>
        <v>0.68687541638907401</v>
      </c>
      <c r="AJ46" s="7">
        <v>3200</v>
      </c>
      <c r="AK46" s="6">
        <f>1-AB46/AJ46</f>
        <v>0.36875000000000002</v>
      </c>
      <c r="AL46" s="4">
        <f>AJ46-AB46</f>
        <v>1180</v>
      </c>
      <c r="AM46" s="28"/>
      <c r="AN46" s="6"/>
      <c r="AO46" s="6"/>
      <c r="AP46" s="6" t="str">
        <f>IFERROR(Z46/L46,"-")</f>
        <v>-</v>
      </c>
      <c r="AQ46" s="6">
        <f>IFERROR(AJ46/M46,"-")</f>
        <v>1.035598705501618</v>
      </c>
      <c r="AR46" s="6">
        <f>IFERROR(AB46/N46,"-")</f>
        <v>1.074468085106383</v>
      </c>
      <c r="AS46" s="4" t="str">
        <f t="shared" si="0"/>
        <v>-</v>
      </c>
      <c r="AT46" s="4"/>
      <c r="AU46" s="4" t="str">
        <f t="shared" si="1"/>
        <v>-</v>
      </c>
      <c r="AV46" s="4" t="str">
        <f t="shared" si="2"/>
        <v>-</v>
      </c>
      <c r="AW46" s="4" t="str">
        <f t="shared" si="3"/>
        <v>-</v>
      </c>
      <c r="AX46" s="4" t="str">
        <f t="shared" si="4"/>
        <v>-</v>
      </c>
      <c r="AY46" s="4" t="str">
        <f t="shared" si="5"/>
        <v>-</v>
      </c>
      <c r="AZ46" s="4" t="str">
        <f t="shared" si="6"/>
        <v>-</v>
      </c>
      <c r="BA46" s="4" t="str">
        <f t="shared" si="7"/>
        <v>-</v>
      </c>
      <c r="BB46" s="4" t="str">
        <f t="shared" si="8"/>
        <v>-</v>
      </c>
      <c r="BC46" s="4">
        <v>12451</v>
      </c>
      <c r="BD46" s="4" t="s">
        <v>589</v>
      </c>
      <c r="BE46" s="4">
        <v>20</v>
      </c>
      <c r="BF46" s="4">
        <v>5</v>
      </c>
      <c r="BG46" s="4" t="s">
        <v>582</v>
      </c>
      <c r="BH46" s="4">
        <v>1501</v>
      </c>
      <c r="BI46" s="4">
        <f>IF(BE46="",BH46,BE46/BF46*BH46)</f>
        <v>6004</v>
      </c>
      <c r="BJ46" s="19">
        <v>4</v>
      </c>
      <c r="BK46" s="19">
        <v>1</v>
      </c>
      <c r="BL46" s="16">
        <v>3</v>
      </c>
      <c r="BM46" t="s">
        <v>422</v>
      </c>
      <c r="BN46" t="str">
        <f t="shared" si="9"/>
        <v>-</v>
      </c>
      <c r="BO46">
        <v>219</v>
      </c>
      <c r="BP46">
        <f t="shared" si="10"/>
        <v>235.30851063829789</v>
      </c>
      <c r="BQ46" t="s">
        <v>447</v>
      </c>
    </row>
    <row r="47" spans="1:69" x14ac:dyDescent="0.4">
      <c r="A47" s="3">
        <v>94</v>
      </c>
      <c r="B47" s="3">
        <v>94</v>
      </c>
      <c r="C47" s="46" t="s">
        <v>85</v>
      </c>
      <c r="D47" s="4" t="str">
        <f>TEXT(C47,"000000")</f>
        <v>J1070X</v>
      </c>
      <c r="E47" s="4" t="s">
        <v>85</v>
      </c>
      <c r="F47" s="4" t="s">
        <v>208</v>
      </c>
      <c r="G47" s="5">
        <v>4996297389200</v>
      </c>
      <c r="H47" s="5"/>
      <c r="I47" s="5"/>
      <c r="J47" s="5">
        <v>2</v>
      </c>
      <c r="K47" s="5">
        <v>2</v>
      </c>
      <c r="L47" s="4">
        <v>0</v>
      </c>
      <c r="M47" s="4">
        <v>160</v>
      </c>
      <c r="N47" s="4">
        <v>100</v>
      </c>
      <c r="O47" s="6">
        <f>IFERROR(1-N47/M47,"-")</f>
        <v>0.375</v>
      </c>
      <c r="P47" s="4" t="s">
        <v>422</v>
      </c>
      <c r="Q47" s="4" t="s">
        <v>422</v>
      </c>
      <c r="R47" s="4" t="s">
        <v>422</v>
      </c>
      <c r="S47" s="4" t="s">
        <v>422</v>
      </c>
      <c r="T47" s="4" t="s">
        <v>422</v>
      </c>
      <c r="U47" s="4" t="s">
        <v>422</v>
      </c>
      <c r="V47" s="4" t="s">
        <v>422</v>
      </c>
      <c r="W47" s="4" t="s">
        <v>422</v>
      </c>
      <c r="X47" s="4" t="s">
        <v>422</v>
      </c>
      <c r="Y47" s="4">
        <v>0</v>
      </c>
      <c r="Z47" s="4">
        <f>IF(AC47="",Y47,Y47*AC47)</f>
        <v>0</v>
      </c>
      <c r="AA47" s="4">
        <v>113</v>
      </c>
      <c r="AB47" s="4">
        <f>IF(AC47="",AA47,AA47*AC47)</f>
        <v>113</v>
      </c>
      <c r="AC47" s="4"/>
      <c r="AD47" s="21">
        <f>ROUND(M47*AR47,0)</f>
        <v>181</v>
      </c>
      <c r="AE47" s="6">
        <f>IFERROR(1-AB47/AD47,"-")</f>
        <v>0.37569060773480667</v>
      </c>
      <c r="AF47" s="33">
        <v>1</v>
      </c>
      <c r="AG47" s="4">
        <f>BI47</f>
        <v>311</v>
      </c>
      <c r="AH47" s="33">
        <f>IFERROR(AG47*AR47,"-")</f>
        <v>351.42999999999995</v>
      </c>
      <c r="AI47" s="6">
        <f>IFERROR(1-AB47/AH47,"-")</f>
        <v>0.67845659163987126</v>
      </c>
      <c r="AJ47" s="7">
        <v>190</v>
      </c>
      <c r="AK47" s="6">
        <f>1-AB47/AJ47</f>
        <v>0.40526315789473688</v>
      </c>
      <c r="AL47" s="4">
        <f>AJ47-AB47</f>
        <v>77</v>
      </c>
      <c r="AM47" s="28"/>
      <c r="AN47" s="6"/>
      <c r="AO47" s="6"/>
      <c r="AP47" s="6" t="str">
        <f>IFERROR(Z47/L47,"-")</f>
        <v>-</v>
      </c>
      <c r="AQ47" s="6">
        <f>IFERROR(AJ47/M47,"-")</f>
        <v>1.1875</v>
      </c>
      <c r="AR47" s="6">
        <f>IFERROR(AB47/N47,"-")</f>
        <v>1.1299999999999999</v>
      </c>
      <c r="AS47" s="4" t="str">
        <f t="shared" si="0"/>
        <v>-</v>
      </c>
      <c r="AT47" s="4"/>
      <c r="AU47" s="4" t="str">
        <f t="shared" si="1"/>
        <v>-</v>
      </c>
      <c r="AV47" s="4" t="str">
        <f t="shared" si="2"/>
        <v>-</v>
      </c>
      <c r="AW47" s="4" t="str">
        <f t="shared" si="3"/>
        <v>-</v>
      </c>
      <c r="AX47" s="4" t="str">
        <f t="shared" si="4"/>
        <v>-</v>
      </c>
      <c r="AY47" s="4" t="str">
        <f t="shared" si="5"/>
        <v>-</v>
      </c>
      <c r="AZ47" s="4" t="str">
        <f t="shared" si="6"/>
        <v>-</v>
      </c>
      <c r="BA47" s="4" t="str">
        <f t="shared" si="7"/>
        <v>-</v>
      </c>
      <c r="BB47" s="4" t="str">
        <f t="shared" si="8"/>
        <v>-</v>
      </c>
      <c r="BC47" s="4">
        <v>0</v>
      </c>
      <c r="BD47" s="4" t="s">
        <v>590</v>
      </c>
      <c r="BE47" s="4"/>
      <c r="BF47" s="4"/>
      <c r="BG47" s="4" t="s">
        <v>563</v>
      </c>
      <c r="BH47" s="4">
        <v>311</v>
      </c>
      <c r="BI47" s="4">
        <f>IF(BE47="",BH47,BE47/BF47*BH47)</f>
        <v>311</v>
      </c>
      <c r="BJ47" s="19">
        <v>4</v>
      </c>
      <c r="BK47" s="19">
        <v>1</v>
      </c>
      <c r="BL47" s="16">
        <v>3</v>
      </c>
      <c r="BM47" t="s">
        <v>422</v>
      </c>
      <c r="BN47" t="str">
        <f t="shared" si="9"/>
        <v>-</v>
      </c>
      <c r="BO47">
        <v>257</v>
      </c>
      <c r="BP47">
        <f t="shared" si="10"/>
        <v>290.40999999999997</v>
      </c>
      <c r="BQ47" t="s">
        <v>448</v>
      </c>
    </row>
    <row r="48" spans="1:69" x14ac:dyDescent="0.4">
      <c r="A48" s="3">
        <v>216</v>
      </c>
      <c r="B48" s="3">
        <v>94</v>
      </c>
      <c r="C48" s="46" t="s">
        <v>85</v>
      </c>
      <c r="D48" s="4" t="str">
        <f>TEXT(C48,"000000")</f>
        <v>J1070X</v>
      </c>
      <c r="E48" s="4" t="s">
        <v>296</v>
      </c>
      <c r="F48" s="4" t="s">
        <v>356</v>
      </c>
      <c r="G48" s="5">
        <v>4996297389200</v>
      </c>
      <c r="H48" s="5">
        <v>8</v>
      </c>
      <c r="I48" s="5" t="str">
        <f>C48&amp;H48</f>
        <v>J1070X8</v>
      </c>
      <c r="J48" s="5"/>
      <c r="K48" s="5"/>
      <c r="L48" s="4">
        <v>0</v>
      </c>
      <c r="M48" s="4">
        <v>1465</v>
      </c>
      <c r="N48" s="4">
        <v>1000</v>
      </c>
      <c r="O48" s="6">
        <f>IFERROR(1-N48/M48,"-")</f>
        <v>0.31740614334470985</v>
      </c>
      <c r="P48" s="4" t="s">
        <v>422</v>
      </c>
      <c r="Q48" s="4" t="s">
        <v>422</v>
      </c>
      <c r="R48" s="4" t="s">
        <v>422</v>
      </c>
      <c r="S48" s="4" t="s">
        <v>422</v>
      </c>
      <c r="T48" s="4" t="s">
        <v>422</v>
      </c>
      <c r="U48" s="4" t="s">
        <v>422</v>
      </c>
      <c r="V48" s="4" t="s">
        <v>422</v>
      </c>
      <c r="W48" s="4" t="s">
        <v>422</v>
      </c>
      <c r="X48" s="4" t="s">
        <v>422</v>
      </c>
      <c r="Y48" s="4">
        <v>0</v>
      </c>
      <c r="Z48" s="4">
        <f>IF(AC48="",Y48,Y48*AC48)</f>
        <v>0</v>
      </c>
      <c r="AA48" s="4">
        <v>113</v>
      </c>
      <c r="AB48" s="4">
        <f>IF(AC48="",AA48,AA48*AC48)</f>
        <v>1130</v>
      </c>
      <c r="AC48" s="4">
        <v>10</v>
      </c>
      <c r="AD48" s="21">
        <f>ROUND(M48*AR48,0)</f>
        <v>1655</v>
      </c>
      <c r="AE48" s="6">
        <f>IFERROR(1-AB48/AD48,"-")</f>
        <v>0.31722054380664655</v>
      </c>
      <c r="AF48" s="33">
        <v>1</v>
      </c>
      <c r="AG48" s="4">
        <f>BI48</f>
        <v>3110</v>
      </c>
      <c r="AH48" s="33">
        <f>IFERROR(AG48*AR48,"-")</f>
        <v>3514.2999999999997</v>
      </c>
      <c r="AI48" s="6">
        <f>IFERROR(1-AB48/AH48,"-")</f>
        <v>0.67845659163987138</v>
      </c>
      <c r="AJ48" s="7">
        <v>1800</v>
      </c>
      <c r="AK48" s="6">
        <f>1-AB48/AJ48</f>
        <v>0.37222222222222223</v>
      </c>
      <c r="AL48" s="4">
        <f>AJ48-AB48</f>
        <v>670</v>
      </c>
      <c r="AM48" s="28"/>
      <c r="AN48" s="6"/>
      <c r="AO48" s="6"/>
      <c r="AP48" s="6" t="str">
        <f>IFERROR(Z48/L48,"-")</f>
        <v>-</v>
      </c>
      <c r="AQ48" s="6">
        <f>IFERROR(AJ48/M48,"-")</f>
        <v>1.2286689419795223</v>
      </c>
      <c r="AR48" s="6">
        <f>IFERROR(AB48/N48,"-")</f>
        <v>1.1299999999999999</v>
      </c>
      <c r="AS48" s="4" t="str">
        <f t="shared" si="0"/>
        <v>-</v>
      </c>
      <c r="AT48" s="4"/>
      <c r="AU48" s="4" t="str">
        <f t="shared" si="1"/>
        <v>-</v>
      </c>
      <c r="AV48" s="4" t="str">
        <f t="shared" si="2"/>
        <v>-</v>
      </c>
      <c r="AW48" s="4" t="str">
        <f t="shared" si="3"/>
        <v>-</v>
      </c>
      <c r="AX48" s="4" t="str">
        <f t="shared" si="4"/>
        <v>-</v>
      </c>
      <c r="AY48" s="4" t="str">
        <f t="shared" si="5"/>
        <v>-</v>
      </c>
      <c r="AZ48" s="4" t="str">
        <f t="shared" si="6"/>
        <v>-</v>
      </c>
      <c r="BA48" s="4" t="str">
        <f t="shared" si="7"/>
        <v>-</v>
      </c>
      <c r="BB48" s="4" t="str">
        <f t="shared" si="8"/>
        <v>-</v>
      </c>
      <c r="BC48" s="4">
        <v>0</v>
      </c>
      <c r="BD48" s="4" t="s">
        <v>590</v>
      </c>
      <c r="BE48" s="4">
        <v>10</v>
      </c>
      <c r="BF48" s="4">
        <v>1</v>
      </c>
      <c r="BG48" s="4" t="s">
        <v>563</v>
      </c>
      <c r="BH48" s="4">
        <v>311</v>
      </c>
      <c r="BI48" s="4">
        <f>IF(BE48="",BH48,BE48/BF48*BH48)</f>
        <v>3110</v>
      </c>
      <c r="BJ48" s="19">
        <v>4</v>
      </c>
      <c r="BK48" s="19">
        <v>1</v>
      </c>
      <c r="BL48" s="16">
        <v>3</v>
      </c>
      <c r="BM48" t="s">
        <v>422</v>
      </c>
      <c r="BN48" t="str">
        <f t="shared" si="9"/>
        <v>-</v>
      </c>
      <c r="BO48">
        <v>257</v>
      </c>
      <c r="BP48">
        <f t="shared" si="10"/>
        <v>290.40999999999997</v>
      </c>
      <c r="BQ48" t="s">
        <v>448</v>
      </c>
    </row>
    <row r="49" spans="1:69" x14ac:dyDescent="0.4">
      <c r="A49" s="3">
        <v>95</v>
      </c>
      <c r="B49" s="3">
        <v>95</v>
      </c>
      <c r="C49" s="46" t="s">
        <v>86</v>
      </c>
      <c r="D49" s="4" t="str">
        <f>TEXT(C49,"000000")</f>
        <v>J1071X</v>
      </c>
      <c r="E49" s="4" t="s">
        <v>86</v>
      </c>
      <c r="F49" s="4" t="s">
        <v>209</v>
      </c>
      <c r="G49" s="5">
        <v>4996297389217</v>
      </c>
      <c r="H49" s="5"/>
      <c r="I49" s="5"/>
      <c r="J49" s="5">
        <v>2</v>
      </c>
      <c r="K49" s="5">
        <v>2</v>
      </c>
      <c r="L49" s="4">
        <v>0</v>
      </c>
      <c r="M49" s="4">
        <v>160</v>
      </c>
      <c r="N49" s="4">
        <v>100</v>
      </c>
      <c r="O49" s="6">
        <f>IFERROR(1-N49/M49,"-")</f>
        <v>0.375</v>
      </c>
      <c r="P49" s="4" t="s">
        <v>422</v>
      </c>
      <c r="Q49" s="4" t="s">
        <v>422</v>
      </c>
      <c r="R49" s="4" t="s">
        <v>422</v>
      </c>
      <c r="S49" s="4" t="s">
        <v>422</v>
      </c>
      <c r="T49" s="4" t="s">
        <v>422</v>
      </c>
      <c r="U49" s="4" t="s">
        <v>422</v>
      </c>
      <c r="V49" s="4" t="s">
        <v>422</v>
      </c>
      <c r="W49" s="4" t="s">
        <v>422</v>
      </c>
      <c r="X49" s="4" t="s">
        <v>422</v>
      </c>
      <c r="Y49" s="4">
        <v>0</v>
      </c>
      <c r="Z49" s="4">
        <f>IF(AC49="",Y49,Y49*AC49)</f>
        <v>0</v>
      </c>
      <c r="AA49" s="4">
        <v>113</v>
      </c>
      <c r="AB49" s="4">
        <f>IF(AC49="",AA49,AA49*AC49)</f>
        <v>113</v>
      </c>
      <c r="AC49" s="4"/>
      <c r="AD49" s="21">
        <f>ROUND(M49*AR49,0)</f>
        <v>181</v>
      </c>
      <c r="AE49" s="6">
        <f>IFERROR(1-AB49/AD49,"-")</f>
        <v>0.37569060773480667</v>
      </c>
      <c r="AF49" s="33">
        <v>3</v>
      </c>
      <c r="AG49" s="4">
        <f>BI49</f>
        <v>311</v>
      </c>
      <c r="AH49" s="33">
        <f>IFERROR(AG49*AR49,"-")</f>
        <v>351.42999999999995</v>
      </c>
      <c r="AI49" s="6">
        <f>IFERROR(1-AB49/AH49,"-")</f>
        <v>0.67845659163987126</v>
      </c>
      <c r="AJ49" s="7">
        <v>190</v>
      </c>
      <c r="AK49" s="6">
        <f>1-AB49/AJ49</f>
        <v>0.40526315789473688</v>
      </c>
      <c r="AL49" s="4">
        <f>AJ49-AB49</f>
        <v>77</v>
      </c>
      <c r="AM49" s="28"/>
      <c r="AN49" s="6"/>
      <c r="AO49" s="6"/>
      <c r="AP49" s="6" t="str">
        <f>IFERROR(Z49/L49,"-")</f>
        <v>-</v>
      </c>
      <c r="AQ49" s="6">
        <f>IFERROR(AJ49/M49,"-")</f>
        <v>1.1875</v>
      </c>
      <c r="AR49" s="6">
        <f>IFERROR(AB49/N49,"-")</f>
        <v>1.1299999999999999</v>
      </c>
      <c r="AS49" s="4" t="str">
        <f t="shared" si="0"/>
        <v>-</v>
      </c>
      <c r="AT49" s="4"/>
      <c r="AU49" s="4" t="str">
        <f t="shared" si="1"/>
        <v>-</v>
      </c>
      <c r="AV49" s="4" t="str">
        <f t="shared" si="2"/>
        <v>-</v>
      </c>
      <c r="AW49" s="4" t="str">
        <f t="shared" si="3"/>
        <v>-</v>
      </c>
      <c r="AX49" s="4" t="str">
        <f t="shared" si="4"/>
        <v>-</v>
      </c>
      <c r="AY49" s="4" t="str">
        <f t="shared" si="5"/>
        <v>-</v>
      </c>
      <c r="AZ49" s="4" t="str">
        <f t="shared" si="6"/>
        <v>-</v>
      </c>
      <c r="BA49" s="4" t="str">
        <f t="shared" si="7"/>
        <v>-</v>
      </c>
      <c r="BB49" s="4" t="str">
        <f t="shared" si="8"/>
        <v>-</v>
      </c>
      <c r="BC49" s="4">
        <v>0</v>
      </c>
      <c r="BD49" s="4" t="s">
        <v>591</v>
      </c>
      <c r="BE49" s="4"/>
      <c r="BF49" s="4"/>
      <c r="BG49" s="4" t="s">
        <v>563</v>
      </c>
      <c r="BH49" s="4">
        <v>311</v>
      </c>
      <c r="BI49" s="4">
        <f>IF(BE49="",BH49,BE49/BF49*BH49)</f>
        <v>311</v>
      </c>
      <c r="BJ49" s="19">
        <v>4</v>
      </c>
      <c r="BK49" s="19">
        <v>1</v>
      </c>
      <c r="BL49" s="16">
        <v>3</v>
      </c>
      <c r="BM49" t="s">
        <v>422</v>
      </c>
      <c r="BN49" t="str">
        <f t="shared" si="9"/>
        <v>-</v>
      </c>
      <c r="BO49">
        <v>257</v>
      </c>
      <c r="BP49">
        <f t="shared" si="10"/>
        <v>290.40999999999997</v>
      </c>
      <c r="BQ49" t="s">
        <v>449</v>
      </c>
    </row>
    <row r="50" spans="1:69" x14ac:dyDescent="0.4">
      <c r="A50" s="3">
        <v>217</v>
      </c>
      <c r="B50" s="3">
        <v>95</v>
      </c>
      <c r="C50" s="46" t="s">
        <v>86</v>
      </c>
      <c r="D50" s="4" t="str">
        <f>TEXT(C50,"000000")</f>
        <v>J1071X</v>
      </c>
      <c r="E50" s="4" t="s">
        <v>297</v>
      </c>
      <c r="F50" s="4" t="s">
        <v>357</v>
      </c>
      <c r="G50" s="5">
        <v>4996297389217</v>
      </c>
      <c r="H50" s="5">
        <v>8</v>
      </c>
      <c r="I50" s="5" t="str">
        <f>C50&amp;H50</f>
        <v>J1071X8</v>
      </c>
      <c r="J50" s="5"/>
      <c r="K50" s="5"/>
      <c r="L50" s="4">
        <v>0</v>
      </c>
      <c r="M50" s="4">
        <v>1494</v>
      </c>
      <c r="N50" s="4">
        <v>1000</v>
      </c>
      <c r="O50" s="6">
        <f>IFERROR(1-N50/M50,"-")</f>
        <v>0.33065595716198126</v>
      </c>
      <c r="P50" s="4" t="s">
        <v>422</v>
      </c>
      <c r="Q50" s="4" t="s">
        <v>422</v>
      </c>
      <c r="R50" s="4" t="s">
        <v>422</v>
      </c>
      <c r="S50" s="4" t="s">
        <v>422</v>
      </c>
      <c r="T50" s="4" t="s">
        <v>422</v>
      </c>
      <c r="U50" s="4" t="s">
        <v>422</v>
      </c>
      <c r="V50" s="4" t="s">
        <v>422</v>
      </c>
      <c r="W50" s="4" t="s">
        <v>422</v>
      </c>
      <c r="X50" s="4" t="s">
        <v>422</v>
      </c>
      <c r="Y50" s="4">
        <v>0</v>
      </c>
      <c r="Z50" s="4">
        <f>IF(AC50="",Y50,Y50*AC50)</f>
        <v>0</v>
      </c>
      <c r="AA50" s="4">
        <v>113</v>
      </c>
      <c r="AB50" s="4">
        <f>IF(AC50="",AA50,AA50*AC50)</f>
        <v>1130</v>
      </c>
      <c r="AC50" s="4">
        <v>10</v>
      </c>
      <c r="AD50" s="21">
        <f>ROUND(M50*AR50,0)</f>
        <v>1688</v>
      </c>
      <c r="AE50" s="6">
        <f>IFERROR(1-AB50/AD50,"-")</f>
        <v>0.33056872037914697</v>
      </c>
      <c r="AF50" s="33">
        <v>3</v>
      </c>
      <c r="AG50" s="4">
        <f>BI50</f>
        <v>3110</v>
      </c>
      <c r="AH50" s="33">
        <f>IFERROR(AG50*AR50,"-")</f>
        <v>3514.2999999999997</v>
      </c>
      <c r="AI50" s="6">
        <f>IFERROR(1-AB50/AH50,"-")</f>
        <v>0.67845659163987138</v>
      </c>
      <c r="AJ50" s="7">
        <v>1800</v>
      </c>
      <c r="AK50" s="6">
        <f>1-AB50/AJ50</f>
        <v>0.37222222222222223</v>
      </c>
      <c r="AL50" s="4">
        <f>AJ50-AB50</f>
        <v>670</v>
      </c>
      <c r="AM50" s="28"/>
      <c r="AN50" s="6"/>
      <c r="AO50" s="6"/>
      <c r="AP50" s="6" t="str">
        <f>IFERROR(Z50/L50,"-")</f>
        <v>-</v>
      </c>
      <c r="AQ50" s="6">
        <f>IFERROR(AJ50/M50,"-")</f>
        <v>1.2048192771084338</v>
      </c>
      <c r="AR50" s="6">
        <f>IFERROR(AB50/N50,"-")</f>
        <v>1.1299999999999999</v>
      </c>
      <c r="AS50" s="4" t="str">
        <f t="shared" si="0"/>
        <v>-</v>
      </c>
      <c r="AT50" s="4"/>
      <c r="AU50" s="4" t="str">
        <f t="shared" si="1"/>
        <v>-</v>
      </c>
      <c r="AV50" s="4" t="str">
        <f t="shared" si="2"/>
        <v>-</v>
      </c>
      <c r="AW50" s="4" t="str">
        <f t="shared" si="3"/>
        <v>-</v>
      </c>
      <c r="AX50" s="4" t="str">
        <f t="shared" si="4"/>
        <v>-</v>
      </c>
      <c r="AY50" s="4" t="str">
        <f t="shared" si="5"/>
        <v>-</v>
      </c>
      <c r="AZ50" s="4" t="str">
        <f t="shared" si="6"/>
        <v>-</v>
      </c>
      <c r="BA50" s="4" t="str">
        <f t="shared" si="7"/>
        <v>-</v>
      </c>
      <c r="BB50" s="4" t="str">
        <f t="shared" si="8"/>
        <v>-</v>
      </c>
      <c r="BC50" s="4">
        <v>0</v>
      </c>
      <c r="BD50" s="4" t="s">
        <v>591</v>
      </c>
      <c r="BE50" s="4">
        <v>10</v>
      </c>
      <c r="BF50" s="4">
        <v>1</v>
      </c>
      <c r="BG50" s="4" t="s">
        <v>563</v>
      </c>
      <c r="BH50" s="4">
        <v>311</v>
      </c>
      <c r="BI50" s="4">
        <f>IF(BE50="",BH50,BE50/BF50*BH50)</f>
        <v>3110</v>
      </c>
      <c r="BJ50" s="19">
        <v>4</v>
      </c>
      <c r="BK50" s="19">
        <v>1</v>
      </c>
      <c r="BL50" s="16">
        <v>3</v>
      </c>
      <c r="BM50" t="s">
        <v>422</v>
      </c>
      <c r="BN50" t="str">
        <f t="shared" si="9"/>
        <v>-</v>
      </c>
      <c r="BO50">
        <v>257</v>
      </c>
      <c r="BP50">
        <f t="shared" si="10"/>
        <v>290.40999999999997</v>
      </c>
      <c r="BQ50" t="s">
        <v>449</v>
      </c>
    </row>
    <row r="51" spans="1:69" x14ac:dyDescent="0.4">
      <c r="A51" s="3">
        <v>96</v>
      </c>
      <c r="B51" s="3">
        <v>96</v>
      </c>
      <c r="C51" s="46" t="s">
        <v>87</v>
      </c>
      <c r="D51" s="4" t="str">
        <f>TEXT(C51,"000000")</f>
        <v>J1072X</v>
      </c>
      <c r="E51" s="4" t="s">
        <v>87</v>
      </c>
      <c r="F51" s="4" t="s">
        <v>210</v>
      </c>
      <c r="G51" s="5">
        <v>4996297389224</v>
      </c>
      <c r="H51" s="5"/>
      <c r="I51" s="5"/>
      <c r="J51" s="5">
        <v>2</v>
      </c>
      <c r="K51" s="5">
        <v>2</v>
      </c>
      <c r="L51" s="4">
        <v>0</v>
      </c>
      <c r="M51" s="4">
        <v>160</v>
      </c>
      <c r="N51" s="4">
        <v>100</v>
      </c>
      <c r="O51" s="6">
        <f>IFERROR(1-N51/M51,"-")</f>
        <v>0.375</v>
      </c>
      <c r="P51" s="4" t="s">
        <v>422</v>
      </c>
      <c r="Q51" s="4" t="s">
        <v>422</v>
      </c>
      <c r="R51" s="4" t="s">
        <v>422</v>
      </c>
      <c r="S51" s="4" t="s">
        <v>422</v>
      </c>
      <c r="T51" s="4" t="s">
        <v>422</v>
      </c>
      <c r="U51" s="4" t="s">
        <v>422</v>
      </c>
      <c r="V51" s="4" t="s">
        <v>422</v>
      </c>
      <c r="W51" s="4" t="s">
        <v>422</v>
      </c>
      <c r="X51" s="4" t="s">
        <v>422</v>
      </c>
      <c r="Y51" s="4">
        <v>0</v>
      </c>
      <c r="Z51" s="4">
        <f>IF(AC51="",Y51,Y51*AC51)</f>
        <v>0</v>
      </c>
      <c r="AA51" s="4">
        <v>113</v>
      </c>
      <c r="AB51" s="4">
        <f>IF(AC51="",AA51,AA51*AC51)</f>
        <v>113</v>
      </c>
      <c r="AC51" s="4"/>
      <c r="AD51" s="21">
        <f>ROUND(M51*AR51,0)</f>
        <v>181</v>
      </c>
      <c r="AE51" s="6">
        <f>IFERROR(1-AB51/AD51,"-")</f>
        <v>0.37569060773480667</v>
      </c>
      <c r="AF51" s="33">
        <v>2.75</v>
      </c>
      <c r="AG51" s="4">
        <f>BI51</f>
        <v>311</v>
      </c>
      <c r="AH51" s="33">
        <f>IFERROR(AG51*AR51,"-")</f>
        <v>351.42999999999995</v>
      </c>
      <c r="AI51" s="6">
        <f>IFERROR(1-AB51/AH51,"-")</f>
        <v>0.67845659163987126</v>
      </c>
      <c r="AJ51" s="7">
        <v>190</v>
      </c>
      <c r="AK51" s="6">
        <f>1-AB51/AJ51</f>
        <v>0.40526315789473688</v>
      </c>
      <c r="AL51" s="4">
        <f>AJ51-AB51</f>
        <v>77</v>
      </c>
      <c r="AM51" s="28"/>
      <c r="AN51" s="6"/>
      <c r="AO51" s="6"/>
      <c r="AP51" s="6" t="str">
        <f>IFERROR(Z51/L51,"-")</f>
        <v>-</v>
      </c>
      <c r="AQ51" s="6">
        <f>IFERROR(AJ51/M51,"-")</f>
        <v>1.1875</v>
      </c>
      <c r="AR51" s="6">
        <f>IFERROR(AB51/N51,"-")</f>
        <v>1.1299999999999999</v>
      </c>
      <c r="AS51" s="4" t="str">
        <f t="shared" si="0"/>
        <v>-</v>
      </c>
      <c r="AT51" s="4"/>
      <c r="AU51" s="4" t="str">
        <f t="shared" si="1"/>
        <v>-</v>
      </c>
      <c r="AV51" s="4" t="str">
        <f t="shared" si="2"/>
        <v>-</v>
      </c>
      <c r="AW51" s="4" t="str">
        <f t="shared" si="3"/>
        <v>-</v>
      </c>
      <c r="AX51" s="4" t="str">
        <f t="shared" si="4"/>
        <v>-</v>
      </c>
      <c r="AY51" s="4" t="str">
        <f t="shared" si="5"/>
        <v>-</v>
      </c>
      <c r="AZ51" s="4" t="str">
        <f t="shared" si="6"/>
        <v>-</v>
      </c>
      <c r="BA51" s="4" t="str">
        <f t="shared" si="7"/>
        <v>-</v>
      </c>
      <c r="BB51" s="4" t="str">
        <f t="shared" si="8"/>
        <v>-</v>
      </c>
      <c r="BC51" s="4">
        <v>0</v>
      </c>
      <c r="BD51" s="4" t="s">
        <v>592</v>
      </c>
      <c r="BE51" s="4"/>
      <c r="BF51" s="4"/>
      <c r="BG51" s="4" t="s">
        <v>563</v>
      </c>
      <c r="BH51" s="4">
        <v>311</v>
      </c>
      <c r="BI51" s="4">
        <f>IF(BE51="",BH51,BE51/BF51*BH51)</f>
        <v>311</v>
      </c>
      <c r="BJ51" s="19">
        <v>4</v>
      </c>
      <c r="BK51" s="19">
        <v>1</v>
      </c>
      <c r="BL51" s="16">
        <v>3</v>
      </c>
      <c r="BM51" t="s">
        <v>422</v>
      </c>
      <c r="BN51" t="str">
        <f t="shared" si="9"/>
        <v>-</v>
      </c>
      <c r="BO51">
        <v>257</v>
      </c>
      <c r="BP51">
        <f t="shared" si="10"/>
        <v>290.40999999999997</v>
      </c>
      <c r="BQ51" t="s">
        <v>450</v>
      </c>
    </row>
    <row r="52" spans="1:69" x14ac:dyDescent="0.4">
      <c r="A52" s="3">
        <v>218</v>
      </c>
      <c r="B52" s="3">
        <v>96</v>
      </c>
      <c r="C52" s="46" t="s">
        <v>87</v>
      </c>
      <c r="D52" s="4" t="str">
        <f>TEXT(C52,"000000")</f>
        <v>J1072X</v>
      </c>
      <c r="E52" s="4" t="s">
        <v>298</v>
      </c>
      <c r="F52" s="4" t="s">
        <v>358</v>
      </c>
      <c r="G52" s="5">
        <v>4996297389224</v>
      </c>
      <c r="H52" s="5">
        <v>8</v>
      </c>
      <c r="I52" s="5" t="str">
        <f>C52&amp;H52</f>
        <v>J1072X8</v>
      </c>
      <c r="J52" s="5"/>
      <c r="K52" s="5"/>
      <c r="L52" s="4">
        <v>0</v>
      </c>
      <c r="M52" s="4">
        <v>1465</v>
      </c>
      <c r="N52" s="4">
        <v>1000</v>
      </c>
      <c r="O52" s="6">
        <f>IFERROR(1-N52/M52,"-")</f>
        <v>0.31740614334470985</v>
      </c>
      <c r="P52" s="4" t="s">
        <v>422</v>
      </c>
      <c r="Q52" s="4" t="s">
        <v>422</v>
      </c>
      <c r="R52" s="4" t="s">
        <v>422</v>
      </c>
      <c r="S52" s="4" t="s">
        <v>422</v>
      </c>
      <c r="T52" s="4" t="s">
        <v>422</v>
      </c>
      <c r="U52" s="4" t="s">
        <v>422</v>
      </c>
      <c r="V52" s="4" t="s">
        <v>422</v>
      </c>
      <c r="W52" s="4" t="s">
        <v>422</v>
      </c>
      <c r="X52" s="4" t="s">
        <v>422</v>
      </c>
      <c r="Y52" s="4">
        <v>0</v>
      </c>
      <c r="Z52" s="4">
        <f>IF(AC52="",Y52,Y52*AC52)</f>
        <v>0</v>
      </c>
      <c r="AA52" s="4">
        <v>113</v>
      </c>
      <c r="AB52" s="4">
        <f>IF(AC52="",AA52,AA52*AC52)</f>
        <v>1130</v>
      </c>
      <c r="AC52" s="4">
        <v>10</v>
      </c>
      <c r="AD52" s="21">
        <f>ROUND(M52*AR52,0)</f>
        <v>1655</v>
      </c>
      <c r="AE52" s="6">
        <f>IFERROR(1-AB52/AD52,"-")</f>
        <v>0.31722054380664655</v>
      </c>
      <c r="AF52" s="33">
        <v>2.75</v>
      </c>
      <c r="AG52" s="4">
        <f>BI52</f>
        <v>3110</v>
      </c>
      <c r="AH52" s="33">
        <f>IFERROR(AG52*AR52,"-")</f>
        <v>3514.2999999999997</v>
      </c>
      <c r="AI52" s="6">
        <f>IFERROR(1-AB52/AH52,"-")</f>
        <v>0.67845659163987138</v>
      </c>
      <c r="AJ52" s="7">
        <v>1800</v>
      </c>
      <c r="AK52" s="6">
        <f>1-AB52/AJ52</f>
        <v>0.37222222222222223</v>
      </c>
      <c r="AL52" s="4">
        <f>AJ52-AB52</f>
        <v>670</v>
      </c>
      <c r="AM52" s="28"/>
      <c r="AN52" s="6"/>
      <c r="AO52" s="6"/>
      <c r="AP52" s="6" t="str">
        <f>IFERROR(Z52/L52,"-")</f>
        <v>-</v>
      </c>
      <c r="AQ52" s="6">
        <f>IFERROR(AJ52/M52,"-")</f>
        <v>1.2286689419795223</v>
      </c>
      <c r="AR52" s="6">
        <f>IFERROR(AB52/N52,"-")</f>
        <v>1.1299999999999999</v>
      </c>
      <c r="AS52" s="4" t="str">
        <f t="shared" si="0"/>
        <v>-</v>
      </c>
      <c r="AT52" s="4"/>
      <c r="AU52" s="4" t="str">
        <f t="shared" si="1"/>
        <v>-</v>
      </c>
      <c r="AV52" s="4" t="str">
        <f t="shared" si="2"/>
        <v>-</v>
      </c>
      <c r="AW52" s="4" t="str">
        <f t="shared" si="3"/>
        <v>-</v>
      </c>
      <c r="AX52" s="4" t="str">
        <f t="shared" si="4"/>
        <v>-</v>
      </c>
      <c r="AY52" s="4" t="str">
        <f t="shared" si="5"/>
        <v>-</v>
      </c>
      <c r="AZ52" s="4" t="str">
        <f t="shared" si="6"/>
        <v>-</v>
      </c>
      <c r="BA52" s="4" t="str">
        <f t="shared" si="7"/>
        <v>-</v>
      </c>
      <c r="BB52" s="4" t="str">
        <f t="shared" si="8"/>
        <v>-</v>
      </c>
      <c r="BC52" s="4">
        <v>0</v>
      </c>
      <c r="BD52" s="4" t="s">
        <v>592</v>
      </c>
      <c r="BE52" s="4">
        <v>10</v>
      </c>
      <c r="BF52" s="4">
        <v>1</v>
      </c>
      <c r="BG52" s="4" t="s">
        <v>563</v>
      </c>
      <c r="BH52" s="4">
        <v>311</v>
      </c>
      <c r="BI52" s="4">
        <f>IF(BE52="",BH52,BE52/BF52*BH52)</f>
        <v>3110</v>
      </c>
      <c r="BJ52" s="19">
        <v>4</v>
      </c>
      <c r="BK52" s="19">
        <v>1</v>
      </c>
      <c r="BL52" s="16">
        <v>3</v>
      </c>
      <c r="BM52" t="s">
        <v>422</v>
      </c>
      <c r="BN52" t="str">
        <f t="shared" si="9"/>
        <v>-</v>
      </c>
      <c r="BO52">
        <v>257</v>
      </c>
      <c r="BP52">
        <f t="shared" si="10"/>
        <v>290.40999999999997</v>
      </c>
      <c r="BQ52" t="s">
        <v>450</v>
      </c>
    </row>
    <row r="53" spans="1:69" x14ac:dyDescent="0.4">
      <c r="A53" s="3">
        <v>97</v>
      </c>
      <c r="B53" s="3">
        <v>97</v>
      </c>
      <c r="C53" s="46" t="s">
        <v>88</v>
      </c>
      <c r="D53" s="4" t="str">
        <f>TEXT(C53,"000000")</f>
        <v>J1073X</v>
      </c>
      <c r="E53" s="4" t="s">
        <v>88</v>
      </c>
      <c r="F53" s="4" t="s">
        <v>211</v>
      </c>
      <c r="G53" s="5">
        <v>4996297389231</v>
      </c>
      <c r="H53" s="5"/>
      <c r="I53" s="5"/>
      <c r="J53" s="5">
        <v>2</v>
      </c>
      <c r="K53" s="5">
        <v>2</v>
      </c>
      <c r="L53" s="4">
        <v>0</v>
      </c>
      <c r="M53" s="4">
        <v>160</v>
      </c>
      <c r="N53" s="4">
        <v>100</v>
      </c>
      <c r="O53" s="6">
        <f>IFERROR(1-N53/M53,"-")</f>
        <v>0.375</v>
      </c>
      <c r="P53" s="4" t="s">
        <v>422</v>
      </c>
      <c r="Q53" s="4" t="s">
        <v>422</v>
      </c>
      <c r="R53" s="4" t="s">
        <v>422</v>
      </c>
      <c r="S53" s="4" t="s">
        <v>422</v>
      </c>
      <c r="T53" s="4" t="s">
        <v>422</v>
      </c>
      <c r="U53" s="4" t="s">
        <v>422</v>
      </c>
      <c r="V53" s="4" t="s">
        <v>422</v>
      </c>
      <c r="W53" s="4" t="s">
        <v>422</v>
      </c>
      <c r="X53" s="4" t="s">
        <v>422</v>
      </c>
      <c r="Y53" s="4">
        <v>0</v>
      </c>
      <c r="Z53" s="4">
        <f>IF(AC53="",Y53,Y53*AC53)</f>
        <v>0</v>
      </c>
      <c r="AA53" s="4">
        <v>113</v>
      </c>
      <c r="AB53" s="4">
        <f>IF(AC53="",AA53,AA53*AC53)</f>
        <v>113</v>
      </c>
      <c r="AC53" s="4"/>
      <c r="AD53" s="21">
        <f>ROUND(M53*AR53,0)</f>
        <v>181</v>
      </c>
      <c r="AE53" s="6">
        <f>IFERROR(1-AB53/AD53,"-")</f>
        <v>0.37569060773480667</v>
      </c>
      <c r="AF53" s="33">
        <v>2.25</v>
      </c>
      <c r="AG53" s="4">
        <f>BI53</f>
        <v>311</v>
      </c>
      <c r="AH53" s="33">
        <f>IFERROR(AG53*AR53,"-")</f>
        <v>351.42999999999995</v>
      </c>
      <c r="AI53" s="6">
        <f>IFERROR(1-AB53/AH53,"-")</f>
        <v>0.67845659163987126</v>
      </c>
      <c r="AJ53" s="7">
        <v>190</v>
      </c>
      <c r="AK53" s="6">
        <f>1-AB53/AJ53</f>
        <v>0.40526315789473688</v>
      </c>
      <c r="AL53" s="4">
        <f>AJ53-AB53</f>
        <v>77</v>
      </c>
      <c r="AM53" s="28"/>
      <c r="AN53" s="6"/>
      <c r="AO53" s="6"/>
      <c r="AP53" s="6" t="str">
        <f>IFERROR(Z53/L53,"-")</f>
        <v>-</v>
      </c>
      <c r="AQ53" s="6">
        <f>IFERROR(AJ53/M53,"-")</f>
        <v>1.1875</v>
      </c>
      <c r="AR53" s="6">
        <f>IFERROR(AB53/N53,"-")</f>
        <v>1.1299999999999999</v>
      </c>
      <c r="AS53" s="4" t="str">
        <f t="shared" si="0"/>
        <v>-</v>
      </c>
      <c r="AT53" s="4"/>
      <c r="AU53" s="4" t="str">
        <f t="shared" si="1"/>
        <v>-</v>
      </c>
      <c r="AV53" s="4" t="str">
        <f t="shared" si="2"/>
        <v>-</v>
      </c>
      <c r="AW53" s="4" t="str">
        <f t="shared" si="3"/>
        <v>-</v>
      </c>
      <c r="AX53" s="4" t="str">
        <f t="shared" si="4"/>
        <v>-</v>
      </c>
      <c r="AY53" s="4" t="str">
        <f t="shared" si="5"/>
        <v>-</v>
      </c>
      <c r="AZ53" s="4" t="str">
        <f t="shared" si="6"/>
        <v>-</v>
      </c>
      <c r="BA53" s="4" t="str">
        <f t="shared" si="7"/>
        <v>-</v>
      </c>
      <c r="BB53" s="4" t="str">
        <f t="shared" si="8"/>
        <v>-</v>
      </c>
      <c r="BC53" s="4">
        <v>0</v>
      </c>
      <c r="BD53" s="4" t="s">
        <v>593</v>
      </c>
      <c r="BE53" s="4"/>
      <c r="BF53" s="4"/>
      <c r="BG53" s="4" t="s">
        <v>563</v>
      </c>
      <c r="BH53" s="4">
        <v>311</v>
      </c>
      <c r="BI53" s="4">
        <f>IF(BE53="",BH53,BE53/BF53*BH53)</f>
        <v>311</v>
      </c>
      <c r="BJ53" s="19">
        <v>4</v>
      </c>
      <c r="BK53" s="19">
        <v>1</v>
      </c>
      <c r="BL53" s="16">
        <v>3</v>
      </c>
      <c r="BM53" t="s">
        <v>422</v>
      </c>
      <c r="BN53" t="str">
        <f t="shared" si="9"/>
        <v>-</v>
      </c>
      <c r="BO53">
        <v>257</v>
      </c>
      <c r="BP53">
        <f t="shared" si="10"/>
        <v>290.40999999999997</v>
      </c>
      <c r="BQ53" t="s">
        <v>451</v>
      </c>
    </row>
    <row r="54" spans="1:69" x14ac:dyDescent="0.4">
      <c r="A54" s="3">
        <v>219</v>
      </c>
      <c r="B54" s="3">
        <v>97</v>
      </c>
      <c r="C54" s="46" t="s">
        <v>88</v>
      </c>
      <c r="D54" s="4" t="str">
        <f>TEXT(C54,"000000")</f>
        <v>J1073X</v>
      </c>
      <c r="E54" s="4" t="s">
        <v>299</v>
      </c>
      <c r="F54" s="4" t="s">
        <v>359</v>
      </c>
      <c r="G54" s="5">
        <v>4996297389231</v>
      </c>
      <c r="H54" s="5">
        <v>8</v>
      </c>
      <c r="I54" s="5" t="str">
        <f>C54&amp;H54</f>
        <v>J1073X8</v>
      </c>
      <c r="J54" s="5"/>
      <c r="K54" s="5"/>
      <c r="L54" s="4">
        <v>0</v>
      </c>
      <c r="M54" s="4">
        <v>1494</v>
      </c>
      <c r="N54" s="4">
        <v>1000</v>
      </c>
      <c r="O54" s="6">
        <f>IFERROR(1-N54/M54,"-")</f>
        <v>0.33065595716198126</v>
      </c>
      <c r="P54" s="4" t="s">
        <v>422</v>
      </c>
      <c r="Q54" s="4" t="s">
        <v>422</v>
      </c>
      <c r="R54" s="4" t="s">
        <v>422</v>
      </c>
      <c r="S54" s="4" t="s">
        <v>422</v>
      </c>
      <c r="T54" s="4" t="s">
        <v>422</v>
      </c>
      <c r="U54" s="4" t="s">
        <v>422</v>
      </c>
      <c r="V54" s="4" t="s">
        <v>422</v>
      </c>
      <c r="W54" s="4" t="s">
        <v>422</v>
      </c>
      <c r="X54" s="4" t="s">
        <v>422</v>
      </c>
      <c r="Y54" s="4">
        <v>0</v>
      </c>
      <c r="Z54" s="4">
        <f>IF(AC54="",Y54,Y54*AC54)</f>
        <v>0</v>
      </c>
      <c r="AA54" s="4">
        <v>113</v>
      </c>
      <c r="AB54" s="4">
        <f>IF(AC54="",AA54,AA54*AC54)</f>
        <v>1130</v>
      </c>
      <c r="AC54" s="4">
        <v>10</v>
      </c>
      <c r="AD54" s="21">
        <f>ROUND(M54*AR54,0)</f>
        <v>1688</v>
      </c>
      <c r="AE54" s="6">
        <f>IFERROR(1-AB54/AD54,"-")</f>
        <v>0.33056872037914697</v>
      </c>
      <c r="AF54" s="33">
        <v>2.25</v>
      </c>
      <c r="AG54" s="4">
        <f>BI54</f>
        <v>3110</v>
      </c>
      <c r="AH54" s="33">
        <f>IFERROR(AG54*AR54,"-")</f>
        <v>3514.2999999999997</v>
      </c>
      <c r="AI54" s="6">
        <f>IFERROR(1-AB54/AH54,"-")</f>
        <v>0.67845659163987138</v>
      </c>
      <c r="AJ54" s="7">
        <v>1800</v>
      </c>
      <c r="AK54" s="6">
        <f>1-AB54/AJ54</f>
        <v>0.37222222222222223</v>
      </c>
      <c r="AL54" s="4">
        <f>AJ54-AB54</f>
        <v>670</v>
      </c>
      <c r="AM54" s="28"/>
      <c r="AN54" s="6"/>
      <c r="AO54" s="6"/>
      <c r="AP54" s="6" t="str">
        <f>IFERROR(Z54/L54,"-")</f>
        <v>-</v>
      </c>
      <c r="AQ54" s="6">
        <f>IFERROR(AJ54/M54,"-")</f>
        <v>1.2048192771084338</v>
      </c>
      <c r="AR54" s="6">
        <f>IFERROR(AB54/N54,"-")</f>
        <v>1.1299999999999999</v>
      </c>
      <c r="AS54" s="4" t="str">
        <f t="shared" si="0"/>
        <v>-</v>
      </c>
      <c r="AT54" s="4"/>
      <c r="AU54" s="4" t="str">
        <f t="shared" si="1"/>
        <v>-</v>
      </c>
      <c r="AV54" s="4" t="str">
        <f t="shared" si="2"/>
        <v>-</v>
      </c>
      <c r="AW54" s="4" t="str">
        <f t="shared" si="3"/>
        <v>-</v>
      </c>
      <c r="AX54" s="4" t="str">
        <f t="shared" si="4"/>
        <v>-</v>
      </c>
      <c r="AY54" s="4" t="str">
        <f t="shared" si="5"/>
        <v>-</v>
      </c>
      <c r="AZ54" s="4" t="str">
        <f t="shared" si="6"/>
        <v>-</v>
      </c>
      <c r="BA54" s="4" t="str">
        <f t="shared" si="7"/>
        <v>-</v>
      </c>
      <c r="BB54" s="4" t="str">
        <f t="shared" si="8"/>
        <v>-</v>
      </c>
      <c r="BC54" s="4">
        <v>0</v>
      </c>
      <c r="BD54" s="4" t="s">
        <v>593</v>
      </c>
      <c r="BE54" s="4">
        <v>10</v>
      </c>
      <c r="BF54" s="4">
        <v>1</v>
      </c>
      <c r="BG54" s="4" t="s">
        <v>563</v>
      </c>
      <c r="BH54" s="4">
        <v>311</v>
      </c>
      <c r="BI54" s="4">
        <f>IF(BE54="",BH54,BE54/BF54*BH54)</f>
        <v>3110</v>
      </c>
      <c r="BJ54" s="19">
        <v>4</v>
      </c>
      <c r="BK54" s="19">
        <v>1</v>
      </c>
      <c r="BL54" s="16">
        <v>3</v>
      </c>
      <c r="BM54" t="s">
        <v>422</v>
      </c>
      <c r="BN54" t="str">
        <f t="shared" si="9"/>
        <v>-</v>
      </c>
      <c r="BO54">
        <v>257</v>
      </c>
      <c r="BP54">
        <f t="shared" si="10"/>
        <v>290.40999999999997</v>
      </c>
      <c r="BQ54" t="s">
        <v>451</v>
      </c>
    </row>
    <row r="55" spans="1:69" x14ac:dyDescent="0.4">
      <c r="A55" s="3">
        <v>98</v>
      </c>
      <c r="B55" s="3">
        <v>98</v>
      </c>
      <c r="C55" s="46" t="s">
        <v>89</v>
      </c>
      <c r="D55" s="4" t="str">
        <f>TEXT(C55,"000000")</f>
        <v>J1074X</v>
      </c>
      <c r="E55" s="4" t="s">
        <v>89</v>
      </c>
      <c r="F55" s="4" t="s">
        <v>212</v>
      </c>
      <c r="G55" s="5">
        <v>4996297389309</v>
      </c>
      <c r="H55" s="5"/>
      <c r="I55" s="5"/>
      <c r="J55" s="5">
        <v>2</v>
      </c>
      <c r="K55" s="5">
        <v>2</v>
      </c>
      <c r="L55" s="4">
        <v>0</v>
      </c>
      <c r="M55" s="4">
        <v>160</v>
      </c>
      <c r="N55" s="4">
        <v>100</v>
      </c>
      <c r="O55" s="6">
        <f>IFERROR(1-N55/M55,"-")</f>
        <v>0.375</v>
      </c>
      <c r="P55" s="4" t="s">
        <v>422</v>
      </c>
      <c r="Q55" s="4" t="s">
        <v>422</v>
      </c>
      <c r="R55" s="4" t="s">
        <v>422</v>
      </c>
      <c r="S55" s="4" t="s">
        <v>422</v>
      </c>
      <c r="T55" s="4" t="s">
        <v>422</v>
      </c>
      <c r="U55" s="4" t="s">
        <v>422</v>
      </c>
      <c r="V55" s="4" t="s">
        <v>422</v>
      </c>
      <c r="W55" s="4" t="s">
        <v>422</v>
      </c>
      <c r="X55" s="4" t="s">
        <v>422</v>
      </c>
      <c r="Y55" s="4">
        <v>0</v>
      </c>
      <c r="Z55" s="4">
        <f>IF(AC55="",Y55,Y55*AC55)</f>
        <v>0</v>
      </c>
      <c r="AA55" s="4">
        <v>113</v>
      </c>
      <c r="AB55" s="4">
        <f>IF(AC55="",AA55,AA55*AC55)</f>
        <v>113</v>
      </c>
      <c r="AC55" s="4"/>
      <c r="AD55" s="21">
        <f>ROUND(M55*AR55,0)</f>
        <v>181</v>
      </c>
      <c r="AE55" s="6">
        <f>IFERROR(1-AB55/AD55,"-")</f>
        <v>0.37569060773480667</v>
      </c>
      <c r="AF55" s="33">
        <v>4</v>
      </c>
      <c r="AG55" s="4">
        <f>BI55</f>
        <v>308</v>
      </c>
      <c r="AH55" s="33">
        <f>IFERROR(AG55*AR55,"-")</f>
        <v>348.03999999999996</v>
      </c>
      <c r="AI55" s="6">
        <f>IFERROR(1-AB55/AH55,"-")</f>
        <v>0.67532467532467533</v>
      </c>
      <c r="AJ55" s="7">
        <v>190</v>
      </c>
      <c r="AK55" s="6">
        <f>1-AB55/AJ55</f>
        <v>0.40526315789473688</v>
      </c>
      <c r="AL55" s="4">
        <f>AJ55-AB55</f>
        <v>77</v>
      </c>
      <c r="AM55" s="28"/>
      <c r="AN55" s="6"/>
      <c r="AO55" s="6"/>
      <c r="AP55" s="6" t="str">
        <f>IFERROR(Z55/L55,"-")</f>
        <v>-</v>
      </c>
      <c r="AQ55" s="6">
        <f>IFERROR(AJ55/M55,"-")</f>
        <v>1.1875</v>
      </c>
      <c r="AR55" s="6">
        <f>IFERROR(AB55/N55,"-")</f>
        <v>1.1299999999999999</v>
      </c>
      <c r="AS55" s="4" t="str">
        <f t="shared" si="0"/>
        <v>-</v>
      </c>
      <c r="AT55" s="4"/>
      <c r="AU55" s="4" t="str">
        <f t="shared" si="1"/>
        <v>-</v>
      </c>
      <c r="AV55" s="4" t="str">
        <f t="shared" si="2"/>
        <v>-</v>
      </c>
      <c r="AW55" s="4" t="str">
        <f t="shared" si="3"/>
        <v>-</v>
      </c>
      <c r="AX55" s="4" t="str">
        <f t="shared" si="4"/>
        <v>-</v>
      </c>
      <c r="AY55" s="4" t="str">
        <f t="shared" si="5"/>
        <v>-</v>
      </c>
      <c r="AZ55" s="4" t="str">
        <f t="shared" si="6"/>
        <v>-</v>
      </c>
      <c r="BA55" s="4" t="str">
        <f t="shared" si="7"/>
        <v>-</v>
      </c>
      <c r="BB55" s="4" t="str">
        <f t="shared" si="8"/>
        <v>-</v>
      </c>
      <c r="BC55" s="4">
        <v>0</v>
      </c>
      <c r="BD55" s="4" t="s">
        <v>594</v>
      </c>
      <c r="BE55" s="4"/>
      <c r="BF55" s="4"/>
      <c r="BG55" s="4" t="s">
        <v>563</v>
      </c>
      <c r="BH55" s="4">
        <v>308</v>
      </c>
      <c r="BI55" s="4">
        <f>IF(BE55="",BH55,BE55/BF55*BH55)</f>
        <v>308</v>
      </c>
      <c r="BJ55" s="19">
        <v>4</v>
      </c>
      <c r="BK55" s="19">
        <v>1</v>
      </c>
      <c r="BL55" s="16">
        <v>3</v>
      </c>
      <c r="BM55" t="s">
        <v>422</v>
      </c>
      <c r="BN55" t="str">
        <f t="shared" si="9"/>
        <v>-</v>
      </c>
      <c r="BO55">
        <v>257</v>
      </c>
      <c r="BP55">
        <f t="shared" si="10"/>
        <v>290.40999999999997</v>
      </c>
      <c r="BQ55" t="s">
        <v>452</v>
      </c>
    </row>
    <row r="56" spans="1:69" x14ac:dyDescent="0.4">
      <c r="A56" s="3">
        <v>220</v>
      </c>
      <c r="B56" s="3">
        <v>98</v>
      </c>
      <c r="C56" s="46" t="s">
        <v>89</v>
      </c>
      <c r="D56" s="4" t="str">
        <f>TEXT(C56,"000000")</f>
        <v>J1074X</v>
      </c>
      <c r="E56" s="4" t="s">
        <v>300</v>
      </c>
      <c r="F56" s="4" t="s">
        <v>360</v>
      </c>
      <c r="G56" s="5">
        <v>4996297389309</v>
      </c>
      <c r="H56" s="5">
        <v>8</v>
      </c>
      <c r="I56" s="5" t="str">
        <f>C56&amp;H56</f>
        <v>J1074X8</v>
      </c>
      <c r="J56" s="5"/>
      <c r="K56" s="5"/>
      <c r="L56" s="4">
        <v>0</v>
      </c>
      <c r="M56" s="4">
        <v>1494</v>
      </c>
      <c r="N56" s="4">
        <v>1000</v>
      </c>
      <c r="O56" s="6">
        <f>IFERROR(1-N56/M56,"-")</f>
        <v>0.33065595716198126</v>
      </c>
      <c r="P56" s="4" t="s">
        <v>422</v>
      </c>
      <c r="Q56" s="4" t="s">
        <v>422</v>
      </c>
      <c r="R56" s="4" t="s">
        <v>422</v>
      </c>
      <c r="S56" s="4" t="s">
        <v>422</v>
      </c>
      <c r="T56" s="4" t="s">
        <v>422</v>
      </c>
      <c r="U56" s="4" t="s">
        <v>422</v>
      </c>
      <c r="V56" s="4" t="s">
        <v>422</v>
      </c>
      <c r="W56" s="4" t="s">
        <v>422</v>
      </c>
      <c r="X56" s="4" t="s">
        <v>422</v>
      </c>
      <c r="Y56" s="4">
        <v>0</v>
      </c>
      <c r="Z56" s="4">
        <f>IF(AC56="",Y56,Y56*AC56)</f>
        <v>0</v>
      </c>
      <c r="AA56" s="4">
        <v>113</v>
      </c>
      <c r="AB56" s="4">
        <f>IF(AC56="",AA56,AA56*AC56)</f>
        <v>1130</v>
      </c>
      <c r="AC56" s="4">
        <v>10</v>
      </c>
      <c r="AD56" s="21">
        <f>ROUND(M56*AR56,0)</f>
        <v>1688</v>
      </c>
      <c r="AE56" s="6">
        <f>IFERROR(1-AB56/AD56,"-")</f>
        <v>0.33056872037914697</v>
      </c>
      <c r="AF56" s="33">
        <v>4</v>
      </c>
      <c r="AG56" s="4">
        <f>BI56</f>
        <v>3080</v>
      </c>
      <c r="AH56" s="33">
        <f>IFERROR(AG56*AR56,"-")</f>
        <v>3480.3999999999996</v>
      </c>
      <c r="AI56" s="6">
        <f>IFERROR(1-AB56/AH56,"-")</f>
        <v>0.67532467532467533</v>
      </c>
      <c r="AJ56" s="7">
        <v>1800</v>
      </c>
      <c r="AK56" s="6">
        <f>1-AB56/AJ56</f>
        <v>0.37222222222222223</v>
      </c>
      <c r="AL56" s="4">
        <f>AJ56-AB56</f>
        <v>670</v>
      </c>
      <c r="AM56" s="28"/>
      <c r="AN56" s="6"/>
      <c r="AO56" s="6"/>
      <c r="AP56" s="6" t="str">
        <f>IFERROR(Z56/L56,"-")</f>
        <v>-</v>
      </c>
      <c r="AQ56" s="6">
        <f>IFERROR(AJ56/M56,"-")</f>
        <v>1.2048192771084338</v>
      </c>
      <c r="AR56" s="6">
        <f>IFERROR(AB56/N56,"-")</f>
        <v>1.1299999999999999</v>
      </c>
      <c r="AS56" s="4" t="str">
        <f t="shared" si="0"/>
        <v>-</v>
      </c>
      <c r="AT56" s="4"/>
      <c r="AU56" s="4" t="str">
        <f t="shared" si="1"/>
        <v>-</v>
      </c>
      <c r="AV56" s="4" t="str">
        <f t="shared" si="2"/>
        <v>-</v>
      </c>
      <c r="AW56" s="4" t="str">
        <f t="shared" si="3"/>
        <v>-</v>
      </c>
      <c r="AX56" s="4" t="str">
        <f t="shared" si="4"/>
        <v>-</v>
      </c>
      <c r="AY56" s="4" t="str">
        <f t="shared" si="5"/>
        <v>-</v>
      </c>
      <c r="AZ56" s="4" t="str">
        <f t="shared" si="6"/>
        <v>-</v>
      </c>
      <c r="BA56" s="4" t="str">
        <f t="shared" si="7"/>
        <v>-</v>
      </c>
      <c r="BB56" s="4" t="str">
        <f t="shared" si="8"/>
        <v>-</v>
      </c>
      <c r="BC56" s="4">
        <v>0</v>
      </c>
      <c r="BD56" s="4" t="s">
        <v>594</v>
      </c>
      <c r="BE56" s="4">
        <v>10</v>
      </c>
      <c r="BF56" s="4">
        <v>1</v>
      </c>
      <c r="BG56" s="4" t="s">
        <v>563</v>
      </c>
      <c r="BH56" s="4">
        <v>308</v>
      </c>
      <c r="BI56" s="4">
        <f>IF(BE56="",BH56,BE56/BF56*BH56)</f>
        <v>3080</v>
      </c>
      <c r="BJ56" s="19">
        <v>4</v>
      </c>
      <c r="BK56" s="19">
        <v>1</v>
      </c>
      <c r="BL56" s="16">
        <v>3</v>
      </c>
      <c r="BM56" t="s">
        <v>422</v>
      </c>
      <c r="BN56" t="str">
        <f t="shared" si="9"/>
        <v>-</v>
      </c>
      <c r="BO56">
        <v>257</v>
      </c>
      <c r="BP56">
        <f t="shared" si="10"/>
        <v>290.40999999999997</v>
      </c>
      <c r="BQ56" t="s">
        <v>452</v>
      </c>
    </row>
    <row r="57" spans="1:69" x14ac:dyDescent="0.4">
      <c r="A57" s="3">
        <v>99</v>
      </c>
      <c r="B57" s="3">
        <v>99</v>
      </c>
      <c r="C57" s="46" t="s">
        <v>90</v>
      </c>
      <c r="D57" s="4" t="str">
        <f>TEXT(C57,"000000")</f>
        <v>J1075X</v>
      </c>
      <c r="E57" s="4" t="s">
        <v>90</v>
      </c>
      <c r="F57" s="4" t="s">
        <v>213</v>
      </c>
      <c r="G57" s="5">
        <v>4996297389316</v>
      </c>
      <c r="H57" s="5"/>
      <c r="I57" s="5"/>
      <c r="J57" s="5">
        <v>2</v>
      </c>
      <c r="K57" s="5">
        <v>2</v>
      </c>
      <c r="L57" s="4">
        <v>0</v>
      </c>
      <c r="M57" s="4">
        <v>160</v>
      </c>
      <c r="N57" s="4">
        <v>100</v>
      </c>
      <c r="O57" s="6">
        <f>IFERROR(1-N57/M57,"-")</f>
        <v>0.375</v>
      </c>
      <c r="P57" s="4" t="s">
        <v>422</v>
      </c>
      <c r="Q57" s="4" t="s">
        <v>422</v>
      </c>
      <c r="R57" s="4" t="s">
        <v>422</v>
      </c>
      <c r="S57" s="4" t="s">
        <v>422</v>
      </c>
      <c r="T57" s="4" t="s">
        <v>422</v>
      </c>
      <c r="U57" s="4" t="s">
        <v>422</v>
      </c>
      <c r="V57" s="4" t="s">
        <v>422</v>
      </c>
      <c r="W57" s="4" t="s">
        <v>422</v>
      </c>
      <c r="X57" s="4" t="s">
        <v>422</v>
      </c>
      <c r="Y57" s="4">
        <v>0</v>
      </c>
      <c r="Z57" s="4">
        <f>IF(AC57="",Y57,Y57*AC57)</f>
        <v>0</v>
      </c>
      <c r="AA57" s="4">
        <v>113</v>
      </c>
      <c r="AB57" s="4">
        <f>IF(AC57="",AA57,AA57*AC57)</f>
        <v>113</v>
      </c>
      <c r="AC57" s="4"/>
      <c r="AD57" s="21">
        <f>ROUND(M57*AR57,0)</f>
        <v>181</v>
      </c>
      <c r="AE57" s="6">
        <f>IFERROR(1-AB57/AD57,"-")</f>
        <v>0.37569060773480667</v>
      </c>
      <c r="AF57" s="33">
        <v>4.25</v>
      </c>
      <c r="AG57" s="4">
        <f>BI57</f>
        <v>308</v>
      </c>
      <c r="AH57" s="33">
        <f>IFERROR(AG57*AR57,"-")</f>
        <v>348.03999999999996</v>
      </c>
      <c r="AI57" s="6">
        <f>IFERROR(1-AB57/AH57,"-")</f>
        <v>0.67532467532467533</v>
      </c>
      <c r="AJ57" s="7">
        <v>190</v>
      </c>
      <c r="AK57" s="6">
        <f>1-AB57/AJ57</f>
        <v>0.40526315789473688</v>
      </c>
      <c r="AL57" s="4">
        <f>AJ57-AB57</f>
        <v>77</v>
      </c>
      <c r="AM57" s="28"/>
      <c r="AN57" s="6"/>
      <c r="AO57" s="6"/>
      <c r="AP57" s="6" t="str">
        <f>IFERROR(Z57/L57,"-")</f>
        <v>-</v>
      </c>
      <c r="AQ57" s="6">
        <f>IFERROR(AJ57/M57,"-")</f>
        <v>1.1875</v>
      </c>
      <c r="AR57" s="6">
        <f>IFERROR(AB57/N57,"-")</f>
        <v>1.1299999999999999</v>
      </c>
      <c r="AS57" s="4" t="str">
        <f t="shared" si="0"/>
        <v>-</v>
      </c>
      <c r="AT57" s="4"/>
      <c r="AU57" s="4" t="str">
        <f t="shared" si="1"/>
        <v>-</v>
      </c>
      <c r="AV57" s="4" t="str">
        <f t="shared" si="2"/>
        <v>-</v>
      </c>
      <c r="AW57" s="4" t="str">
        <f t="shared" si="3"/>
        <v>-</v>
      </c>
      <c r="AX57" s="4" t="str">
        <f t="shared" si="4"/>
        <v>-</v>
      </c>
      <c r="AY57" s="4" t="str">
        <f t="shared" si="5"/>
        <v>-</v>
      </c>
      <c r="AZ57" s="4" t="str">
        <f t="shared" si="6"/>
        <v>-</v>
      </c>
      <c r="BA57" s="4" t="str">
        <f t="shared" si="7"/>
        <v>-</v>
      </c>
      <c r="BB57" s="4" t="str">
        <f t="shared" si="8"/>
        <v>-</v>
      </c>
      <c r="BC57" s="4">
        <v>0</v>
      </c>
      <c r="BD57" s="4" t="s">
        <v>595</v>
      </c>
      <c r="BE57" s="4"/>
      <c r="BF57" s="4"/>
      <c r="BG57" s="4" t="s">
        <v>563</v>
      </c>
      <c r="BH57" s="4">
        <v>308</v>
      </c>
      <c r="BI57" s="4">
        <f>IF(BE57="",BH57,BE57/BF57*BH57)</f>
        <v>308</v>
      </c>
      <c r="BJ57" s="19">
        <v>4</v>
      </c>
      <c r="BK57" s="19">
        <v>1</v>
      </c>
      <c r="BL57" s="16">
        <v>3</v>
      </c>
      <c r="BM57" t="s">
        <v>422</v>
      </c>
      <c r="BN57" t="str">
        <f t="shared" si="9"/>
        <v>-</v>
      </c>
      <c r="BO57">
        <v>257</v>
      </c>
      <c r="BP57">
        <f t="shared" si="10"/>
        <v>290.40999999999997</v>
      </c>
      <c r="BQ57" t="s">
        <v>453</v>
      </c>
    </row>
    <row r="58" spans="1:69" x14ac:dyDescent="0.4">
      <c r="A58" s="3">
        <v>221</v>
      </c>
      <c r="B58" s="3">
        <v>99</v>
      </c>
      <c r="C58" s="46" t="s">
        <v>90</v>
      </c>
      <c r="D58" s="4" t="str">
        <f>TEXT(C58,"000000")</f>
        <v>J1075X</v>
      </c>
      <c r="E58" s="4" t="s">
        <v>301</v>
      </c>
      <c r="F58" s="4" t="s">
        <v>361</v>
      </c>
      <c r="G58" s="5">
        <v>4996297389316</v>
      </c>
      <c r="H58" s="5">
        <v>8</v>
      </c>
      <c r="I58" s="5" t="str">
        <f>C58&amp;H58</f>
        <v>J1075X8</v>
      </c>
      <c r="J58" s="5"/>
      <c r="K58" s="5"/>
      <c r="L58" s="4">
        <v>0</v>
      </c>
      <c r="M58" s="4">
        <v>1465</v>
      </c>
      <c r="N58" s="4">
        <v>1000</v>
      </c>
      <c r="O58" s="6">
        <f>IFERROR(1-N58/M58,"-")</f>
        <v>0.31740614334470985</v>
      </c>
      <c r="P58" s="4" t="s">
        <v>422</v>
      </c>
      <c r="Q58" s="4" t="s">
        <v>422</v>
      </c>
      <c r="R58" s="4" t="s">
        <v>422</v>
      </c>
      <c r="S58" s="4" t="s">
        <v>422</v>
      </c>
      <c r="T58" s="4" t="s">
        <v>422</v>
      </c>
      <c r="U58" s="4" t="s">
        <v>422</v>
      </c>
      <c r="V58" s="4" t="s">
        <v>422</v>
      </c>
      <c r="W58" s="4" t="s">
        <v>422</v>
      </c>
      <c r="X58" s="4" t="s">
        <v>422</v>
      </c>
      <c r="Y58" s="4">
        <v>0</v>
      </c>
      <c r="Z58" s="4">
        <f>IF(AC58="",Y58,Y58*AC58)</f>
        <v>0</v>
      </c>
      <c r="AA58" s="4">
        <v>113</v>
      </c>
      <c r="AB58" s="4">
        <f>IF(AC58="",AA58,AA58*AC58)</f>
        <v>1130</v>
      </c>
      <c r="AC58" s="4">
        <v>10</v>
      </c>
      <c r="AD58" s="21">
        <f>ROUND(M58*AR58,0)</f>
        <v>1655</v>
      </c>
      <c r="AE58" s="6">
        <f>IFERROR(1-AB58/AD58,"-")</f>
        <v>0.31722054380664655</v>
      </c>
      <c r="AF58" s="33">
        <v>4.25</v>
      </c>
      <c r="AG58" s="4">
        <f>BI58</f>
        <v>3080</v>
      </c>
      <c r="AH58" s="33">
        <f>IFERROR(AG58*AR58,"-")</f>
        <v>3480.3999999999996</v>
      </c>
      <c r="AI58" s="6">
        <f>IFERROR(1-AB58/AH58,"-")</f>
        <v>0.67532467532467533</v>
      </c>
      <c r="AJ58" s="7">
        <v>1800</v>
      </c>
      <c r="AK58" s="6">
        <f>1-AB58/AJ58</f>
        <v>0.37222222222222223</v>
      </c>
      <c r="AL58" s="4">
        <f>AJ58-AB58</f>
        <v>670</v>
      </c>
      <c r="AM58" s="28"/>
      <c r="AN58" s="6"/>
      <c r="AO58" s="6"/>
      <c r="AP58" s="6" t="str">
        <f>IFERROR(Z58/L58,"-")</f>
        <v>-</v>
      </c>
      <c r="AQ58" s="6">
        <f>IFERROR(AJ58/M58,"-")</f>
        <v>1.2286689419795223</v>
      </c>
      <c r="AR58" s="6">
        <f>IFERROR(AB58/N58,"-")</f>
        <v>1.1299999999999999</v>
      </c>
      <c r="AS58" s="4" t="str">
        <f t="shared" si="0"/>
        <v>-</v>
      </c>
      <c r="AT58" s="4"/>
      <c r="AU58" s="4" t="str">
        <f t="shared" si="1"/>
        <v>-</v>
      </c>
      <c r="AV58" s="4" t="str">
        <f t="shared" si="2"/>
        <v>-</v>
      </c>
      <c r="AW58" s="4" t="str">
        <f t="shared" si="3"/>
        <v>-</v>
      </c>
      <c r="AX58" s="4" t="str">
        <f t="shared" si="4"/>
        <v>-</v>
      </c>
      <c r="AY58" s="4" t="str">
        <f t="shared" si="5"/>
        <v>-</v>
      </c>
      <c r="AZ58" s="4" t="str">
        <f t="shared" si="6"/>
        <v>-</v>
      </c>
      <c r="BA58" s="4" t="str">
        <f t="shared" si="7"/>
        <v>-</v>
      </c>
      <c r="BB58" s="4" t="str">
        <f t="shared" si="8"/>
        <v>-</v>
      </c>
      <c r="BC58" s="4">
        <v>0</v>
      </c>
      <c r="BD58" s="4" t="s">
        <v>595</v>
      </c>
      <c r="BE58" s="4">
        <v>10</v>
      </c>
      <c r="BF58" s="4">
        <v>1</v>
      </c>
      <c r="BG58" s="4" t="s">
        <v>563</v>
      </c>
      <c r="BH58" s="4">
        <v>308</v>
      </c>
      <c r="BI58" s="4">
        <f>IF(BE58="",BH58,BE58/BF58*BH58)</f>
        <v>3080</v>
      </c>
      <c r="BJ58" s="19">
        <v>4</v>
      </c>
      <c r="BK58" s="19">
        <v>1</v>
      </c>
      <c r="BL58" s="16">
        <v>3</v>
      </c>
      <c r="BM58" t="s">
        <v>422</v>
      </c>
      <c r="BN58" t="str">
        <f t="shared" si="9"/>
        <v>-</v>
      </c>
      <c r="BO58">
        <v>257</v>
      </c>
      <c r="BP58">
        <f t="shared" si="10"/>
        <v>290.40999999999997</v>
      </c>
      <c r="BQ58" t="s">
        <v>453</v>
      </c>
    </row>
    <row r="59" spans="1:69" x14ac:dyDescent="0.4">
      <c r="A59" s="3">
        <v>100</v>
      </c>
      <c r="B59" s="3">
        <v>100</v>
      </c>
      <c r="C59" s="46" t="s">
        <v>91</v>
      </c>
      <c r="D59" s="4" t="str">
        <f>TEXT(C59,"000000")</f>
        <v>J1076X</v>
      </c>
      <c r="E59" s="4" t="s">
        <v>91</v>
      </c>
      <c r="F59" s="4" t="s">
        <v>214</v>
      </c>
      <c r="G59" s="5">
        <v>4996297389323</v>
      </c>
      <c r="H59" s="5"/>
      <c r="I59" s="5"/>
      <c r="J59" s="5">
        <v>2</v>
      </c>
      <c r="K59" s="5">
        <v>2</v>
      </c>
      <c r="L59" s="4">
        <v>0</v>
      </c>
      <c r="M59" s="4">
        <v>160</v>
      </c>
      <c r="N59" s="4">
        <v>100</v>
      </c>
      <c r="O59" s="6">
        <f>IFERROR(1-N59/M59,"-")</f>
        <v>0.375</v>
      </c>
      <c r="P59" s="4" t="s">
        <v>422</v>
      </c>
      <c r="Q59" s="4" t="s">
        <v>422</v>
      </c>
      <c r="R59" s="4" t="s">
        <v>422</v>
      </c>
      <c r="S59" s="4" t="s">
        <v>422</v>
      </c>
      <c r="T59" s="4" t="s">
        <v>422</v>
      </c>
      <c r="U59" s="4" t="s">
        <v>422</v>
      </c>
      <c r="V59" s="4" t="s">
        <v>422</v>
      </c>
      <c r="W59" s="4" t="s">
        <v>422</v>
      </c>
      <c r="X59" s="4" t="s">
        <v>422</v>
      </c>
      <c r="Y59" s="4">
        <v>0</v>
      </c>
      <c r="Z59" s="4">
        <f>IF(AC59="",Y59,Y59*AC59)</f>
        <v>0</v>
      </c>
      <c r="AA59" s="4">
        <v>113</v>
      </c>
      <c r="AB59" s="4">
        <f>IF(AC59="",AA59,AA59*AC59)</f>
        <v>113</v>
      </c>
      <c r="AC59" s="4"/>
      <c r="AD59" s="21">
        <f>ROUND(M59*AR59,0)</f>
        <v>181</v>
      </c>
      <c r="AE59" s="6">
        <f>IFERROR(1-AB59/AD59,"-")</f>
        <v>0.37569060773480667</v>
      </c>
      <c r="AF59" s="33">
        <v>7.75</v>
      </c>
      <c r="AG59" s="4">
        <f>BI59</f>
        <v>308</v>
      </c>
      <c r="AH59" s="33">
        <f>IFERROR(AG59*AR59,"-")</f>
        <v>348.03999999999996</v>
      </c>
      <c r="AI59" s="6">
        <f>IFERROR(1-AB59/AH59,"-")</f>
        <v>0.67532467532467533</v>
      </c>
      <c r="AJ59" s="7">
        <v>190</v>
      </c>
      <c r="AK59" s="6">
        <f>1-AB59/AJ59</f>
        <v>0.40526315789473688</v>
      </c>
      <c r="AL59" s="4">
        <f>AJ59-AB59</f>
        <v>77</v>
      </c>
      <c r="AM59" s="28"/>
      <c r="AN59" s="6"/>
      <c r="AO59" s="6"/>
      <c r="AP59" s="6" t="str">
        <f>IFERROR(Z59/L59,"-")</f>
        <v>-</v>
      </c>
      <c r="AQ59" s="6">
        <f>IFERROR(AJ59/M59,"-")</f>
        <v>1.1875</v>
      </c>
      <c r="AR59" s="6">
        <f>IFERROR(AB59/N59,"-")</f>
        <v>1.1299999999999999</v>
      </c>
      <c r="AS59" s="4" t="str">
        <f t="shared" si="0"/>
        <v>-</v>
      </c>
      <c r="AT59" s="4"/>
      <c r="AU59" s="4" t="str">
        <f t="shared" si="1"/>
        <v>-</v>
      </c>
      <c r="AV59" s="4" t="str">
        <f t="shared" si="2"/>
        <v>-</v>
      </c>
      <c r="AW59" s="4" t="str">
        <f t="shared" si="3"/>
        <v>-</v>
      </c>
      <c r="AX59" s="4" t="str">
        <f t="shared" si="4"/>
        <v>-</v>
      </c>
      <c r="AY59" s="4" t="str">
        <f t="shared" si="5"/>
        <v>-</v>
      </c>
      <c r="AZ59" s="4" t="str">
        <f t="shared" si="6"/>
        <v>-</v>
      </c>
      <c r="BA59" s="4" t="str">
        <f t="shared" si="7"/>
        <v>-</v>
      </c>
      <c r="BB59" s="4" t="str">
        <f t="shared" si="8"/>
        <v>-</v>
      </c>
      <c r="BC59" s="4">
        <v>0</v>
      </c>
      <c r="BD59" s="4" t="s">
        <v>596</v>
      </c>
      <c r="BE59" s="4"/>
      <c r="BF59" s="4"/>
      <c r="BG59" s="4" t="s">
        <v>563</v>
      </c>
      <c r="BH59" s="4">
        <v>308</v>
      </c>
      <c r="BI59" s="4">
        <f>IF(BE59="",BH59,BE59/BF59*BH59)</f>
        <v>308</v>
      </c>
      <c r="BJ59" s="19">
        <v>4</v>
      </c>
      <c r="BK59" s="19">
        <v>1</v>
      </c>
      <c r="BL59" s="16">
        <v>3</v>
      </c>
      <c r="BM59" t="s">
        <v>422</v>
      </c>
      <c r="BN59" t="str">
        <f t="shared" si="9"/>
        <v>-</v>
      </c>
      <c r="BO59">
        <v>257</v>
      </c>
      <c r="BP59">
        <f t="shared" si="10"/>
        <v>290.40999999999997</v>
      </c>
      <c r="BQ59" t="s">
        <v>454</v>
      </c>
    </row>
    <row r="60" spans="1:69" x14ac:dyDescent="0.4">
      <c r="A60" s="3">
        <v>222</v>
      </c>
      <c r="B60" s="3">
        <v>100</v>
      </c>
      <c r="C60" s="46" t="s">
        <v>91</v>
      </c>
      <c r="D60" s="4" t="str">
        <f>TEXT(C60,"000000")</f>
        <v>J1076X</v>
      </c>
      <c r="E60" s="4" t="s">
        <v>302</v>
      </c>
      <c r="F60" s="4" t="s">
        <v>362</v>
      </c>
      <c r="G60" s="5">
        <v>4996297389323</v>
      </c>
      <c r="H60" s="5">
        <v>8</v>
      </c>
      <c r="I60" s="5" t="str">
        <f>C60&amp;H60</f>
        <v>J1076X8</v>
      </c>
      <c r="J60" s="5"/>
      <c r="K60" s="5"/>
      <c r="L60" s="4">
        <v>0</v>
      </c>
      <c r="M60" s="4">
        <v>1465</v>
      </c>
      <c r="N60" s="4">
        <v>1000</v>
      </c>
      <c r="O60" s="6">
        <f>IFERROR(1-N60/M60,"-")</f>
        <v>0.31740614334470985</v>
      </c>
      <c r="P60" s="4" t="s">
        <v>422</v>
      </c>
      <c r="Q60" s="4" t="s">
        <v>422</v>
      </c>
      <c r="R60" s="4" t="s">
        <v>422</v>
      </c>
      <c r="S60" s="4" t="s">
        <v>422</v>
      </c>
      <c r="T60" s="4" t="s">
        <v>422</v>
      </c>
      <c r="U60" s="4" t="s">
        <v>422</v>
      </c>
      <c r="V60" s="4" t="s">
        <v>422</v>
      </c>
      <c r="W60" s="4" t="s">
        <v>422</v>
      </c>
      <c r="X60" s="4" t="s">
        <v>422</v>
      </c>
      <c r="Y60" s="4">
        <v>0</v>
      </c>
      <c r="Z60" s="4">
        <f>IF(AC60="",Y60,Y60*AC60)</f>
        <v>0</v>
      </c>
      <c r="AA60" s="4">
        <v>113</v>
      </c>
      <c r="AB60" s="4">
        <f>IF(AC60="",AA60,AA60*AC60)</f>
        <v>1130</v>
      </c>
      <c r="AC60" s="4">
        <v>10</v>
      </c>
      <c r="AD60" s="21">
        <f>ROUND(M60*AR60,0)</f>
        <v>1655</v>
      </c>
      <c r="AE60" s="6">
        <f>IFERROR(1-AB60/AD60,"-")</f>
        <v>0.31722054380664655</v>
      </c>
      <c r="AF60" s="33">
        <v>7.75</v>
      </c>
      <c r="AG60" s="4">
        <f>BI60</f>
        <v>3080</v>
      </c>
      <c r="AH60" s="33">
        <f>IFERROR(AG60*AR60,"-")</f>
        <v>3480.3999999999996</v>
      </c>
      <c r="AI60" s="6">
        <f>IFERROR(1-AB60/AH60,"-")</f>
        <v>0.67532467532467533</v>
      </c>
      <c r="AJ60" s="7">
        <v>1800</v>
      </c>
      <c r="AK60" s="6">
        <f>1-AB60/AJ60</f>
        <v>0.37222222222222223</v>
      </c>
      <c r="AL60" s="4">
        <f>AJ60-AB60</f>
        <v>670</v>
      </c>
      <c r="AM60" s="28"/>
      <c r="AN60" s="6"/>
      <c r="AO60" s="6"/>
      <c r="AP60" s="6" t="str">
        <f>IFERROR(Z60/L60,"-")</f>
        <v>-</v>
      </c>
      <c r="AQ60" s="6">
        <f>IFERROR(AJ60/M60,"-")</f>
        <v>1.2286689419795223</v>
      </c>
      <c r="AR60" s="6">
        <f>IFERROR(AB60/N60,"-")</f>
        <v>1.1299999999999999</v>
      </c>
      <c r="AS60" s="4" t="str">
        <f t="shared" si="0"/>
        <v>-</v>
      </c>
      <c r="AT60" s="4"/>
      <c r="AU60" s="4" t="str">
        <f t="shared" si="1"/>
        <v>-</v>
      </c>
      <c r="AV60" s="4" t="str">
        <f t="shared" si="2"/>
        <v>-</v>
      </c>
      <c r="AW60" s="4" t="str">
        <f t="shared" si="3"/>
        <v>-</v>
      </c>
      <c r="AX60" s="4" t="str">
        <f t="shared" si="4"/>
        <v>-</v>
      </c>
      <c r="AY60" s="4" t="str">
        <f t="shared" si="5"/>
        <v>-</v>
      </c>
      <c r="AZ60" s="4" t="str">
        <f t="shared" si="6"/>
        <v>-</v>
      </c>
      <c r="BA60" s="4" t="str">
        <f t="shared" si="7"/>
        <v>-</v>
      </c>
      <c r="BB60" s="4" t="str">
        <f t="shared" si="8"/>
        <v>-</v>
      </c>
      <c r="BC60" s="4">
        <v>0</v>
      </c>
      <c r="BD60" s="4" t="s">
        <v>596</v>
      </c>
      <c r="BE60" s="4">
        <v>10</v>
      </c>
      <c r="BF60" s="4">
        <v>1</v>
      </c>
      <c r="BG60" s="4" t="s">
        <v>563</v>
      </c>
      <c r="BH60" s="4">
        <v>308</v>
      </c>
      <c r="BI60" s="4">
        <f>IF(BE60="",BH60,BE60/BF60*BH60)</f>
        <v>3080</v>
      </c>
      <c r="BJ60" s="19">
        <v>4</v>
      </c>
      <c r="BK60" s="19">
        <v>1</v>
      </c>
      <c r="BL60" s="16">
        <v>3</v>
      </c>
      <c r="BM60" t="s">
        <v>422</v>
      </c>
      <c r="BN60" t="str">
        <f t="shared" si="9"/>
        <v>-</v>
      </c>
      <c r="BO60">
        <v>257</v>
      </c>
      <c r="BP60">
        <f t="shared" si="10"/>
        <v>290.40999999999997</v>
      </c>
      <c r="BQ60" t="s">
        <v>454</v>
      </c>
    </row>
    <row r="61" spans="1:69" x14ac:dyDescent="0.4">
      <c r="A61" s="3">
        <v>101</v>
      </c>
      <c r="B61" s="3">
        <v>101</v>
      </c>
      <c r="C61" s="46" t="s">
        <v>92</v>
      </c>
      <c r="D61" s="4" t="str">
        <f>TEXT(C61,"000000")</f>
        <v>J1077X</v>
      </c>
      <c r="E61" s="4" t="s">
        <v>92</v>
      </c>
      <c r="F61" s="4" t="s">
        <v>215</v>
      </c>
      <c r="G61" s="5">
        <v>4996297389330</v>
      </c>
      <c r="H61" s="5"/>
      <c r="I61" s="5"/>
      <c r="J61" s="5">
        <v>2</v>
      </c>
      <c r="K61" s="5">
        <v>2</v>
      </c>
      <c r="L61" s="4">
        <v>0</v>
      </c>
      <c r="M61" s="4">
        <v>160</v>
      </c>
      <c r="N61" s="4">
        <v>100</v>
      </c>
      <c r="O61" s="6">
        <f>IFERROR(1-N61/M61,"-")</f>
        <v>0.375</v>
      </c>
      <c r="P61" s="4" t="s">
        <v>422</v>
      </c>
      <c r="Q61" s="4" t="s">
        <v>422</v>
      </c>
      <c r="R61" s="4" t="s">
        <v>422</v>
      </c>
      <c r="S61" s="4" t="s">
        <v>422</v>
      </c>
      <c r="T61" s="4" t="s">
        <v>422</v>
      </c>
      <c r="U61" s="4" t="s">
        <v>422</v>
      </c>
      <c r="V61" s="4" t="s">
        <v>422</v>
      </c>
      <c r="W61" s="4" t="s">
        <v>422</v>
      </c>
      <c r="X61" s="4" t="s">
        <v>422</v>
      </c>
      <c r="Y61" s="4">
        <v>0</v>
      </c>
      <c r="Z61" s="4">
        <f>IF(AC61="",Y61,Y61*AC61)</f>
        <v>0</v>
      </c>
      <c r="AA61" s="4">
        <v>113</v>
      </c>
      <c r="AB61" s="4">
        <f>IF(AC61="",AA61,AA61*AC61)</f>
        <v>113</v>
      </c>
      <c r="AC61" s="4"/>
      <c r="AD61" s="21">
        <f>ROUND(M61*AR61,0)</f>
        <v>181</v>
      </c>
      <c r="AE61" s="6">
        <f>IFERROR(1-AB61/AD61,"-")</f>
        <v>0.37569060773480667</v>
      </c>
      <c r="AF61" s="33">
        <v>9.5</v>
      </c>
      <c r="AG61" s="4">
        <f>BI61</f>
        <v>308</v>
      </c>
      <c r="AH61" s="33">
        <f>IFERROR(AG61*AR61,"-")</f>
        <v>348.03999999999996</v>
      </c>
      <c r="AI61" s="6">
        <f>IFERROR(1-AB61/AH61,"-")</f>
        <v>0.67532467532467533</v>
      </c>
      <c r="AJ61" s="7">
        <v>190</v>
      </c>
      <c r="AK61" s="6">
        <f>1-AB61/AJ61</f>
        <v>0.40526315789473688</v>
      </c>
      <c r="AL61" s="4">
        <f>AJ61-AB61</f>
        <v>77</v>
      </c>
      <c r="AM61" s="28"/>
      <c r="AN61" s="6"/>
      <c r="AO61" s="6"/>
      <c r="AP61" s="6" t="str">
        <f>IFERROR(Z61/L61,"-")</f>
        <v>-</v>
      </c>
      <c r="AQ61" s="6">
        <f>IFERROR(AJ61/M61,"-")</f>
        <v>1.1875</v>
      </c>
      <c r="AR61" s="6">
        <f>IFERROR(AB61/N61,"-")</f>
        <v>1.1299999999999999</v>
      </c>
      <c r="AS61" s="4" t="str">
        <f t="shared" si="0"/>
        <v>-</v>
      </c>
      <c r="AT61" s="4"/>
      <c r="AU61" s="4" t="str">
        <f t="shared" si="1"/>
        <v>-</v>
      </c>
      <c r="AV61" s="4" t="str">
        <f t="shared" si="2"/>
        <v>-</v>
      </c>
      <c r="AW61" s="4" t="str">
        <f t="shared" si="3"/>
        <v>-</v>
      </c>
      <c r="AX61" s="4" t="str">
        <f t="shared" si="4"/>
        <v>-</v>
      </c>
      <c r="AY61" s="4" t="str">
        <f t="shared" si="5"/>
        <v>-</v>
      </c>
      <c r="AZ61" s="4" t="str">
        <f t="shared" si="6"/>
        <v>-</v>
      </c>
      <c r="BA61" s="4" t="str">
        <f t="shared" si="7"/>
        <v>-</v>
      </c>
      <c r="BB61" s="4" t="str">
        <f t="shared" si="8"/>
        <v>-</v>
      </c>
      <c r="BC61" s="4">
        <v>0</v>
      </c>
      <c r="BD61" s="4" t="s">
        <v>597</v>
      </c>
      <c r="BE61" s="4"/>
      <c r="BF61" s="4"/>
      <c r="BG61" s="4" t="s">
        <v>563</v>
      </c>
      <c r="BH61" s="4">
        <v>308</v>
      </c>
      <c r="BI61" s="4">
        <f>IF(BE61="",BH61,BE61/BF61*BH61)</f>
        <v>308</v>
      </c>
      <c r="BJ61" s="19">
        <v>4</v>
      </c>
      <c r="BK61" s="19">
        <v>1</v>
      </c>
      <c r="BL61" s="16">
        <v>3</v>
      </c>
      <c r="BM61" t="s">
        <v>422</v>
      </c>
      <c r="BN61" t="str">
        <f t="shared" si="9"/>
        <v>-</v>
      </c>
      <c r="BO61">
        <v>257</v>
      </c>
      <c r="BP61">
        <f t="shared" si="10"/>
        <v>290.40999999999997</v>
      </c>
      <c r="BQ61" t="s">
        <v>455</v>
      </c>
    </row>
    <row r="62" spans="1:69" x14ac:dyDescent="0.4">
      <c r="A62" s="3">
        <v>223</v>
      </c>
      <c r="B62" s="3">
        <v>101</v>
      </c>
      <c r="C62" s="46" t="s">
        <v>92</v>
      </c>
      <c r="D62" s="4" t="str">
        <f>TEXT(C62,"000000")</f>
        <v>J1077X</v>
      </c>
      <c r="E62" s="4" t="s">
        <v>303</v>
      </c>
      <c r="F62" s="4" t="s">
        <v>363</v>
      </c>
      <c r="G62" s="5">
        <v>4996297389330</v>
      </c>
      <c r="H62" s="5">
        <v>8</v>
      </c>
      <c r="I62" s="5" t="str">
        <f>C62&amp;H62</f>
        <v>J1077X8</v>
      </c>
      <c r="J62" s="5"/>
      <c r="K62" s="5"/>
      <c r="L62" s="4">
        <v>0</v>
      </c>
      <c r="M62" s="4">
        <v>1494</v>
      </c>
      <c r="N62" s="4">
        <v>1000</v>
      </c>
      <c r="O62" s="6">
        <f>IFERROR(1-N62/M62,"-")</f>
        <v>0.33065595716198126</v>
      </c>
      <c r="P62" s="4" t="s">
        <v>422</v>
      </c>
      <c r="Q62" s="4" t="s">
        <v>422</v>
      </c>
      <c r="R62" s="4" t="s">
        <v>422</v>
      </c>
      <c r="S62" s="4" t="s">
        <v>422</v>
      </c>
      <c r="T62" s="4" t="s">
        <v>422</v>
      </c>
      <c r="U62" s="4" t="s">
        <v>422</v>
      </c>
      <c r="V62" s="4" t="s">
        <v>422</v>
      </c>
      <c r="W62" s="4" t="s">
        <v>422</v>
      </c>
      <c r="X62" s="4" t="s">
        <v>422</v>
      </c>
      <c r="Y62" s="4">
        <v>0</v>
      </c>
      <c r="Z62" s="4">
        <f>IF(AC62="",Y62,Y62*AC62)</f>
        <v>0</v>
      </c>
      <c r="AA62" s="4">
        <v>113</v>
      </c>
      <c r="AB62" s="4">
        <f>IF(AC62="",AA62,AA62*AC62)</f>
        <v>1130</v>
      </c>
      <c r="AC62" s="4">
        <v>10</v>
      </c>
      <c r="AD62" s="21">
        <f>ROUND(M62*AR62,0)</f>
        <v>1688</v>
      </c>
      <c r="AE62" s="6">
        <f>IFERROR(1-AB62/AD62,"-")</f>
        <v>0.33056872037914697</v>
      </c>
      <c r="AF62" s="33">
        <v>9.5</v>
      </c>
      <c r="AG62" s="4">
        <f>BI62</f>
        <v>3080</v>
      </c>
      <c r="AH62" s="33">
        <f>IFERROR(AG62*AR62,"-")</f>
        <v>3480.3999999999996</v>
      </c>
      <c r="AI62" s="6">
        <f>IFERROR(1-AB62/AH62,"-")</f>
        <v>0.67532467532467533</v>
      </c>
      <c r="AJ62" s="7">
        <v>1800</v>
      </c>
      <c r="AK62" s="6">
        <f>1-AB62/AJ62</f>
        <v>0.37222222222222223</v>
      </c>
      <c r="AL62" s="4">
        <f>AJ62-AB62</f>
        <v>670</v>
      </c>
      <c r="AM62" s="28"/>
      <c r="AN62" s="6"/>
      <c r="AO62" s="6"/>
      <c r="AP62" s="6" t="str">
        <f>IFERROR(Z62/L62,"-")</f>
        <v>-</v>
      </c>
      <c r="AQ62" s="6">
        <f>IFERROR(AJ62/M62,"-")</f>
        <v>1.2048192771084338</v>
      </c>
      <c r="AR62" s="6">
        <f>IFERROR(AB62/N62,"-")</f>
        <v>1.1299999999999999</v>
      </c>
      <c r="AS62" s="4" t="str">
        <f t="shared" si="0"/>
        <v>-</v>
      </c>
      <c r="AT62" s="4"/>
      <c r="AU62" s="4" t="str">
        <f t="shared" si="1"/>
        <v>-</v>
      </c>
      <c r="AV62" s="4" t="str">
        <f t="shared" si="2"/>
        <v>-</v>
      </c>
      <c r="AW62" s="4" t="str">
        <f t="shared" si="3"/>
        <v>-</v>
      </c>
      <c r="AX62" s="4" t="str">
        <f t="shared" si="4"/>
        <v>-</v>
      </c>
      <c r="AY62" s="4" t="str">
        <f t="shared" si="5"/>
        <v>-</v>
      </c>
      <c r="AZ62" s="4" t="str">
        <f t="shared" si="6"/>
        <v>-</v>
      </c>
      <c r="BA62" s="4" t="str">
        <f t="shared" si="7"/>
        <v>-</v>
      </c>
      <c r="BB62" s="4" t="str">
        <f t="shared" si="8"/>
        <v>-</v>
      </c>
      <c r="BC62" s="4">
        <v>0</v>
      </c>
      <c r="BD62" s="4" t="s">
        <v>597</v>
      </c>
      <c r="BE62" s="4">
        <v>10</v>
      </c>
      <c r="BF62" s="4">
        <v>1</v>
      </c>
      <c r="BG62" s="4" t="s">
        <v>563</v>
      </c>
      <c r="BH62" s="4">
        <v>308</v>
      </c>
      <c r="BI62" s="4">
        <f>IF(BE62="",BH62,BE62/BF62*BH62)</f>
        <v>3080</v>
      </c>
      <c r="BJ62" s="19">
        <v>4</v>
      </c>
      <c r="BK62" s="19">
        <v>1</v>
      </c>
      <c r="BL62" s="16">
        <v>3</v>
      </c>
      <c r="BM62" t="s">
        <v>422</v>
      </c>
      <c r="BN62" t="str">
        <f t="shared" si="9"/>
        <v>-</v>
      </c>
      <c r="BO62">
        <v>257</v>
      </c>
      <c r="BP62">
        <f t="shared" si="10"/>
        <v>290.40999999999997</v>
      </c>
      <c r="BQ62" t="s">
        <v>455</v>
      </c>
    </row>
    <row r="63" spans="1:69" x14ac:dyDescent="0.4">
      <c r="A63" s="3">
        <v>102</v>
      </c>
      <c r="B63" s="3">
        <v>102</v>
      </c>
      <c r="C63" s="46" t="s">
        <v>93</v>
      </c>
      <c r="D63" s="4" t="str">
        <f>TEXT(C63,"000000")</f>
        <v>J1078X</v>
      </c>
      <c r="E63" s="4" t="s">
        <v>93</v>
      </c>
      <c r="F63" s="4" t="s">
        <v>216</v>
      </c>
      <c r="G63" s="5">
        <v>4996297389361</v>
      </c>
      <c r="H63" s="5"/>
      <c r="I63" s="5"/>
      <c r="J63" s="5">
        <v>2</v>
      </c>
      <c r="K63" s="5">
        <v>2</v>
      </c>
      <c r="L63" s="4">
        <v>0</v>
      </c>
      <c r="M63" s="4">
        <v>160</v>
      </c>
      <c r="N63" s="4">
        <v>100</v>
      </c>
      <c r="O63" s="6">
        <f>IFERROR(1-N63/M63,"-")</f>
        <v>0.375</v>
      </c>
      <c r="P63" s="4" t="s">
        <v>422</v>
      </c>
      <c r="Q63" s="4" t="s">
        <v>422</v>
      </c>
      <c r="R63" s="4" t="s">
        <v>422</v>
      </c>
      <c r="S63" s="4" t="s">
        <v>422</v>
      </c>
      <c r="T63" s="4" t="s">
        <v>422</v>
      </c>
      <c r="U63" s="4" t="s">
        <v>422</v>
      </c>
      <c r="V63" s="4" t="s">
        <v>422</v>
      </c>
      <c r="W63" s="4" t="s">
        <v>422</v>
      </c>
      <c r="X63" s="4" t="s">
        <v>422</v>
      </c>
      <c r="Y63" s="4">
        <v>0</v>
      </c>
      <c r="Z63" s="4">
        <f>IF(AC63="",Y63,Y63*AC63)</f>
        <v>0</v>
      </c>
      <c r="AA63" s="4">
        <v>113</v>
      </c>
      <c r="AB63" s="4">
        <f>IF(AC63="",AA63,AA63*AC63)</f>
        <v>113</v>
      </c>
      <c r="AC63" s="4"/>
      <c r="AD63" s="21">
        <f>ROUND(M63*AR63,0)</f>
        <v>181</v>
      </c>
      <c r="AE63" s="6">
        <f>IFERROR(1-AB63/AD63,"-")</f>
        <v>0.37569060773480667</v>
      </c>
      <c r="AF63" s="33">
        <v>6.75</v>
      </c>
      <c r="AG63" s="4">
        <f>BI63</f>
        <v>240</v>
      </c>
      <c r="AH63" s="33">
        <f>IFERROR(AG63*AR63,"-")</f>
        <v>271.2</v>
      </c>
      <c r="AI63" s="6">
        <f>IFERROR(1-AB63/AH63,"-")</f>
        <v>0.58333333333333326</v>
      </c>
      <c r="AJ63" s="7">
        <v>190</v>
      </c>
      <c r="AK63" s="6">
        <f>1-AB63/AJ63</f>
        <v>0.40526315789473688</v>
      </c>
      <c r="AL63" s="4">
        <f>AJ63-AB63</f>
        <v>77</v>
      </c>
      <c r="AM63" s="28"/>
      <c r="AN63" s="6"/>
      <c r="AO63" s="6"/>
      <c r="AP63" s="6" t="str">
        <f>IFERROR(Z63/L63,"-")</f>
        <v>-</v>
      </c>
      <c r="AQ63" s="6">
        <f>IFERROR(AJ63/M63,"-")</f>
        <v>1.1875</v>
      </c>
      <c r="AR63" s="6">
        <f>IFERROR(AB63/N63,"-")</f>
        <v>1.1299999999999999</v>
      </c>
      <c r="AS63" s="4" t="str">
        <f t="shared" si="0"/>
        <v>-</v>
      </c>
      <c r="AT63" s="4"/>
      <c r="AU63" s="4" t="str">
        <f t="shared" si="1"/>
        <v>-</v>
      </c>
      <c r="AV63" s="4" t="str">
        <f t="shared" si="2"/>
        <v>-</v>
      </c>
      <c r="AW63" s="4" t="str">
        <f t="shared" si="3"/>
        <v>-</v>
      </c>
      <c r="AX63" s="4" t="str">
        <f t="shared" si="4"/>
        <v>-</v>
      </c>
      <c r="AY63" s="4" t="str">
        <f t="shared" si="5"/>
        <v>-</v>
      </c>
      <c r="AZ63" s="4" t="str">
        <f t="shared" si="6"/>
        <v>-</v>
      </c>
      <c r="BA63" s="4" t="str">
        <f t="shared" si="7"/>
        <v>-</v>
      </c>
      <c r="BB63" s="4" t="str">
        <f t="shared" si="8"/>
        <v>-</v>
      </c>
      <c r="BC63" s="4">
        <v>0</v>
      </c>
      <c r="BD63" s="4" t="s">
        <v>598</v>
      </c>
      <c r="BE63" s="4"/>
      <c r="BF63" s="4"/>
      <c r="BG63" s="4" t="s">
        <v>563</v>
      </c>
      <c r="BH63" s="4">
        <v>240</v>
      </c>
      <c r="BI63" s="4">
        <f>IF(BE63="",BH63,BE63/BF63*BH63)</f>
        <v>240</v>
      </c>
      <c r="BJ63" s="19">
        <v>4</v>
      </c>
      <c r="BK63" s="19">
        <v>1</v>
      </c>
      <c r="BL63" s="16">
        <v>3</v>
      </c>
      <c r="BM63" t="s">
        <v>422</v>
      </c>
      <c r="BN63" t="str">
        <f t="shared" si="9"/>
        <v>-</v>
      </c>
      <c r="BO63">
        <v>228</v>
      </c>
      <c r="BP63">
        <f t="shared" si="10"/>
        <v>257.64</v>
      </c>
      <c r="BQ63" t="s">
        <v>456</v>
      </c>
    </row>
    <row r="64" spans="1:69" x14ac:dyDescent="0.4">
      <c r="A64" s="3">
        <v>224</v>
      </c>
      <c r="B64" s="3">
        <v>102</v>
      </c>
      <c r="C64" s="46" t="s">
        <v>93</v>
      </c>
      <c r="D64" s="4" t="str">
        <f>TEXT(C64,"000000")</f>
        <v>J1078X</v>
      </c>
      <c r="E64" s="4" t="s">
        <v>304</v>
      </c>
      <c r="F64" s="4" t="s">
        <v>364</v>
      </c>
      <c r="G64" s="5">
        <v>4996297389361</v>
      </c>
      <c r="H64" s="5">
        <v>8</v>
      </c>
      <c r="I64" s="5" t="str">
        <f>C64&amp;H64</f>
        <v>J1078X8</v>
      </c>
      <c r="J64" s="5"/>
      <c r="K64" s="5"/>
      <c r="L64" s="4">
        <v>0</v>
      </c>
      <c r="M64" s="4">
        <v>1465</v>
      </c>
      <c r="N64" s="4">
        <v>1000</v>
      </c>
      <c r="O64" s="6">
        <f>IFERROR(1-N64/M64,"-")</f>
        <v>0.31740614334470985</v>
      </c>
      <c r="P64" s="4" t="s">
        <v>422</v>
      </c>
      <c r="Q64" s="4" t="s">
        <v>422</v>
      </c>
      <c r="R64" s="4" t="s">
        <v>422</v>
      </c>
      <c r="S64" s="4" t="s">
        <v>422</v>
      </c>
      <c r="T64" s="4" t="s">
        <v>422</v>
      </c>
      <c r="U64" s="4" t="s">
        <v>422</v>
      </c>
      <c r="V64" s="4" t="s">
        <v>422</v>
      </c>
      <c r="W64" s="4" t="s">
        <v>422</v>
      </c>
      <c r="X64" s="4" t="s">
        <v>422</v>
      </c>
      <c r="Y64" s="4">
        <v>0</v>
      </c>
      <c r="Z64" s="4">
        <f>IF(AC64="",Y64,Y64*AC64)</f>
        <v>0</v>
      </c>
      <c r="AA64" s="4">
        <v>113</v>
      </c>
      <c r="AB64" s="4">
        <f>IF(AC64="",AA64,AA64*AC64)</f>
        <v>1130</v>
      </c>
      <c r="AC64" s="4">
        <v>10</v>
      </c>
      <c r="AD64" s="21">
        <f>ROUND(M64*AR64,0)</f>
        <v>1655</v>
      </c>
      <c r="AE64" s="6">
        <f>IFERROR(1-AB64/AD64,"-")</f>
        <v>0.31722054380664655</v>
      </c>
      <c r="AF64" s="33">
        <v>6.75</v>
      </c>
      <c r="AG64" s="4">
        <f>BI64</f>
        <v>2284</v>
      </c>
      <c r="AH64" s="33">
        <f>IFERROR(AG64*AR64,"-")</f>
        <v>2580.9199999999996</v>
      </c>
      <c r="AI64" s="6">
        <f>IFERROR(1-AB64/AH64,"-")</f>
        <v>0.56217162872154103</v>
      </c>
      <c r="AJ64" s="7">
        <v>1800</v>
      </c>
      <c r="AK64" s="6">
        <f>1-AB64/AJ64</f>
        <v>0.37222222222222223</v>
      </c>
      <c r="AL64" s="4">
        <f>AJ64-AB64</f>
        <v>670</v>
      </c>
      <c r="AM64" s="28"/>
      <c r="AN64" s="6"/>
      <c r="AO64" s="6"/>
      <c r="AP64" s="6" t="str">
        <f>IFERROR(Z64/L64,"-")</f>
        <v>-</v>
      </c>
      <c r="AQ64" s="6">
        <f>IFERROR(AJ64/M64,"-")</f>
        <v>1.2286689419795223</v>
      </c>
      <c r="AR64" s="6">
        <f>IFERROR(AB64/N64,"-")</f>
        <v>1.1299999999999999</v>
      </c>
      <c r="AS64" s="4" t="str">
        <f t="shared" si="0"/>
        <v>-</v>
      </c>
      <c r="AT64" s="4"/>
      <c r="AU64" s="4" t="str">
        <f t="shared" si="1"/>
        <v>-</v>
      </c>
      <c r="AV64" s="4" t="str">
        <f t="shared" si="2"/>
        <v>-</v>
      </c>
      <c r="AW64" s="4" t="str">
        <f t="shared" si="3"/>
        <v>-</v>
      </c>
      <c r="AX64" s="4" t="str">
        <f t="shared" si="4"/>
        <v>-</v>
      </c>
      <c r="AY64" s="4" t="str">
        <f t="shared" si="5"/>
        <v>-</v>
      </c>
      <c r="AZ64" s="4" t="str">
        <f t="shared" si="6"/>
        <v>-</v>
      </c>
      <c r="BA64" s="4" t="str">
        <f t="shared" si="7"/>
        <v>-</v>
      </c>
      <c r="BB64" s="4" t="str">
        <f t="shared" si="8"/>
        <v>-</v>
      </c>
      <c r="BC64" s="4">
        <v>0</v>
      </c>
      <c r="BD64" s="4" t="s">
        <v>599</v>
      </c>
      <c r="BE64" s="4">
        <v>10</v>
      </c>
      <c r="BF64" s="4">
        <v>15</v>
      </c>
      <c r="BG64" s="4" t="s">
        <v>600</v>
      </c>
      <c r="BH64" s="4">
        <v>3426</v>
      </c>
      <c r="BI64" s="4">
        <f>IF(BE64="",BH64,BE64/BF64*BH64)</f>
        <v>2284</v>
      </c>
      <c r="BJ64" s="19">
        <v>4</v>
      </c>
      <c r="BK64" s="19">
        <v>1</v>
      </c>
      <c r="BL64" s="16">
        <v>3</v>
      </c>
      <c r="BM64" t="s">
        <v>422</v>
      </c>
      <c r="BN64" t="str">
        <f t="shared" si="9"/>
        <v>-</v>
      </c>
      <c r="BO64">
        <v>228</v>
      </c>
      <c r="BP64">
        <f t="shared" si="10"/>
        <v>257.64</v>
      </c>
      <c r="BQ64" t="s">
        <v>457</v>
      </c>
    </row>
    <row r="65" spans="1:69" x14ac:dyDescent="0.4">
      <c r="A65" s="3">
        <v>103</v>
      </c>
      <c r="B65" s="3">
        <v>103</v>
      </c>
      <c r="C65" s="46" t="s">
        <v>94</v>
      </c>
      <c r="D65" s="4" t="str">
        <f>TEXT(C65,"000000")</f>
        <v>J1079X</v>
      </c>
      <c r="E65" s="4" t="s">
        <v>94</v>
      </c>
      <c r="F65" s="4" t="s">
        <v>217</v>
      </c>
      <c r="G65" s="5">
        <v>4996297389378</v>
      </c>
      <c r="H65" s="5"/>
      <c r="I65" s="5"/>
      <c r="J65" s="5">
        <v>2</v>
      </c>
      <c r="K65" s="5">
        <v>2</v>
      </c>
      <c r="L65" s="4">
        <v>0</v>
      </c>
      <c r="M65" s="4">
        <v>160</v>
      </c>
      <c r="N65" s="4">
        <v>100</v>
      </c>
      <c r="O65" s="6">
        <f>IFERROR(1-N65/M65,"-")</f>
        <v>0.375</v>
      </c>
      <c r="P65" s="4" t="s">
        <v>422</v>
      </c>
      <c r="Q65" s="4" t="s">
        <v>422</v>
      </c>
      <c r="R65" s="4" t="s">
        <v>422</v>
      </c>
      <c r="S65" s="4" t="s">
        <v>422</v>
      </c>
      <c r="T65" s="4" t="s">
        <v>422</v>
      </c>
      <c r="U65" s="4" t="s">
        <v>422</v>
      </c>
      <c r="V65" s="4" t="s">
        <v>422</v>
      </c>
      <c r="W65" s="4" t="s">
        <v>422</v>
      </c>
      <c r="X65" s="4" t="s">
        <v>422</v>
      </c>
      <c r="Y65" s="4">
        <v>0</v>
      </c>
      <c r="Z65" s="4">
        <f>IF(AC65="",Y65,Y65*AC65)</f>
        <v>0</v>
      </c>
      <c r="AA65" s="4">
        <v>113</v>
      </c>
      <c r="AB65" s="4">
        <f>IF(AC65="",AA65,AA65*AC65)</f>
        <v>113</v>
      </c>
      <c r="AC65" s="4"/>
      <c r="AD65" s="21">
        <f>ROUND(M65*AR65,0)</f>
        <v>181</v>
      </c>
      <c r="AE65" s="6">
        <f>IFERROR(1-AB65/AD65,"-")</f>
        <v>0.37569060773480667</v>
      </c>
      <c r="AF65" s="33">
        <v>4.25</v>
      </c>
      <c r="AG65" s="4">
        <f>BI65</f>
        <v>258</v>
      </c>
      <c r="AH65" s="33">
        <f>IFERROR(AG65*AR65,"-")</f>
        <v>291.53999999999996</v>
      </c>
      <c r="AI65" s="6">
        <f>IFERROR(1-AB65/AH65,"-")</f>
        <v>0.61240310077519378</v>
      </c>
      <c r="AJ65" s="7">
        <v>190</v>
      </c>
      <c r="AK65" s="6">
        <f>1-AB65/AJ65</f>
        <v>0.40526315789473688</v>
      </c>
      <c r="AL65" s="4">
        <f>AJ65-AB65</f>
        <v>77</v>
      </c>
      <c r="AM65" s="28"/>
      <c r="AN65" s="6"/>
      <c r="AO65" s="6"/>
      <c r="AP65" s="6" t="str">
        <f>IFERROR(Z65/L65,"-")</f>
        <v>-</v>
      </c>
      <c r="AQ65" s="6">
        <f>IFERROR(AJ65/M65,"-")</f>
        <v>1.1875</v>
      </c>
      <c r="AR65" s="6">
        <f>IFERROR(AB65/N65,"-")</f>
        <v>1.1299999999999999</v>
      </c>
      <c r="AS65" s="4" t="str">
        <f t="shared" si="0"/>
        <v>-</v>
      </c>
      <c r="AT65" s="4"/>
      <c r="AU65" s="4" t="str">
        <f t="shared" si="1"/>
        <v>-</v>
      </c>
      <c r="AV65" s="4" t="str">
        <f t="shared" si="2"/>
        <v>-</v>
      </c>
      <c r="AW65" s="4" t="str">
        <f t="shared" si="3"/>
        <v>-</v>
      </c>
      <c r="AX65" s="4" t="str">
        <f t="shared" si="4"/>
        <v>-</v>
      </c>
      <c r="AY65" s="4" t="str">
        <f t="shared" si="5"/>
        <v>-</v>
      </c>
      <c r="AZ65" s="4" t="str">
        <f t="shared" si="6"/>
        <v>-</v>
      </c>
      <c r="BA65" s="4" t="str">
        <f t="shared" si="7"/>
        <v>-</v>
      </c>
      <c r="BB65" s="4" t="str">
        <f t="shared" si="8"/>
        <v>-</v>
      </c>
      <c r="BC65" s="4">
        <v>0</v>
      </c>
      <c r="BD65" s="4" t="s">
        <v>601</v>
      </c>
      <c r="BE65" s="4"/>
      <c r="BF65" s="4"/>
      <c r="BG65" s="4" t="s">
        <v>563</v>
      </c>
      <c r="BH65" s="4">
        <v>258</v>
      </c>
      <c r="BI65" s="4">
        <f>IF(BE65="",BH65,BE65/BF65*BH65)</f>
        <v>258</v>
      </c>
      <c r="BJ65" s="19">
        <v>4</v>
      </c>
      <c r="BK65" s="19">
        <v>1</v>
      </c>
      <c r="BL65" s="16">
        <v>3</v>
      </c>
      <c r="BM65" t="s">
        <v>422</v>
      </c>
      <c r="BN65" t="str">
        <f t="shared" si="9"/>
        <v>-</v>
      </c>
      <c r="BO65">
        <v>228</v>
      </c>
      <c r="BP65">
        <f t="shared" si="10"/>
        <v>257.64</v>
      </c>
      <c r="BQ65" t="s">
        <v>458</v>
      </c>
    </row>
    <row r="66" spans="1:69" x14ac:dyDescent="0.4">
      <c r="A66" s="3">
        <v>225</v>
      </c>
      <c r="B66" s="3">
        <v>103</v>
      </c>
      <c r="C66" s="46" t="s">
        <v>94</v>
      </c>
      <c r="D66" s="4" t="str">
        <f>TEXT(C66,"000000")</f>
        <v>J1079X</v>
      </c>
      <c r="E66" s="4" t="s">
        <v>305</v>
      </c>
      <c r="F66" s="4" t="s">
        <v>365</v>
      </c>
      <c r="G66" s="5">
        <v>4996297389378</v>
      </c>
      <c r="H66" s="5">
        <v>8</v>
      </c>
      <c r="I66" s="5" t="str">
        <f>C66&amp;H66</f>
        <v>J1079X8</v>
      </c>
      <c r="J66" s="5"/>
      <c r="K66" s="5"/>
      <c r="L66" s="4">
        <v>0</v>
      </c>
      <c r="M66" s="4">
        <v>1494</v>
      </c>
      <c r="N66" s="4">
        <v>1000</v>
      </c>
      <c r="O66" s="6">
        <f>IFERROR(1-N66/M66,"-")</f>
        <v>0.33065595716198126</v>
      </c>
      <c r="P66" s="4" t="s">
        <v>422</v>
      </c>
      <c r="Q66" s="4" t="s">
        <v>422</v>
      </c>
      <c r="R66" s="4" t="s">
        <v>422</v>
      </c>
      <c r="S66" s="4" t="s">
        <v>422</v>
      </c>
      <c r="T66" s="4" t="s">
        <v>422</v>
      </c>
      <c r="U66" s="4" t="s">
        <v>422</v>
      </c>
      <c r="V66" s="4" t="s">
        <v>422</v>
      </c>
      <c r="W66" s="4" t="s">
        <v>422</v>
      </c>
      <c r="X66" s="4" t="s">
        <v>422</v>
      </c>
      <c r="Y66" s="4">
        <v>0</v>
      </c>
      <c r="Z66" s="4">
        <f>IF(AC66="",Y66,Y66*AC66)</f>
        <v>0</v>
      </c>
      <c r="AA66" s="4">
        <v>113</v>
      </c>
      <c r="AB66" s="4">
        <f>IF(AC66="",AA66,AA66*AC66)</f>
        <v>1130</v>
      </c>
      <c r="AC66" s="4">
        <v>10</v>
      </c>
      <c r="AD66" s="21">
        <f>ROUND(M66*AR66,0)</f>
        <v>1688</v>
      </c>
      <c r="AE66" s="6">
        <f>IFERROR(1-AB66/AD66,"-")</f>
        <v>0.33056872037914697</v>
      </c>
      <c r="AF66" s="33">
        <v>4.25</v>
      </c>
      <c r="AG66" s="4">
        <f>BI66</f>
        <v>2395.333333333333</v>
      </c>
      <c r="AH66" s="33">
        <f>IFERROR(AG66*AR66,"-")</f>
        <v>2706.726666666666</v>
      </c>
      <c r="AI66" s="6">
        <f>IFERROR(1-AB66/AH66,"-")</f>
        <v>0.58252156971889768</v>
      </c>
      <c r="AJ66" s="7">
        <v>1800</v>
      </c>
      <c r="AK66" s="6">
        <f>1-AB66/AJ66</f>
        <v>0.37222222222222223</v>
      </c>
      <c r="AL66" s="4">
        <f>AJ66-AB66</f>
        <v>670</v>
      </c>
      <c r="AM66" s="28"/>
      <c r="AN66" s="6"/>
      <c r="AO66" s="6"/>
      <c r="AP66" s="6" t="str">
        <f>IFERROR(Z66/L66,"-")</f>
        <v>-</v>
      </c>
      <c r="AQ66" s="6">
        <f>IFERROR(AJ66/M66,"-")</f>
        <v>1.2048192771084338</v>
      </c>
      <c r="AR66" s="6">
        <f>IFERROR(AB66/N66,"-")</f>
        <v>1.1299999999999999</v>
      </c>
      <c r="AS66" s="4" t="str">
        <f t="shared" si="0"/>
        <v>-</v>
      </c>
      <c r="AT66" s="4"/>
      <c r="AU66" s="4" t="str">
        <f t="shared" si="1"/>
        <v>-</v>
      </c>
      <c r="AV66" s="4" t="str">
        <f t="shared" si="2"/>
        <v>-</v>
      </c>
      <c r="AW66" s="4" t="str">
        <f t="shared" si="3"/>
        <v>-</v>
      </c>
      <c r="AX66" s="4" t="str">
        <f t="shared" si="4"/>
        <v>-</v>
      </c>
      <c r="AY66" s="4" t="str">
        <f t="shared" si="5"/>
        <v>-</v>
      </c>
      <c r="AZ66" s="4" t="str">
        <f t="shared" si="6"/>
        <v>-</v>
      </c>
      <c r="BA66" s="4" t="str">
        <f t="shared" si="7"/>
        <v>-</v>
      </c>
      <c r="BB66" s="4" t="str">
        <f t="shared" si="8"/>
        <v>-</v>
      </c>
      <c r="BC66" s="4">
        <v>0</v>
      </c>
      <c r="BD66" s="4" t="s">
        <v>602</v>
      </c>
      <c r="BE66" s="4">
        <v>10</v>
      </c>
      <c r="BF66" s="4">
        <v>15</v>
      </c>
      <c r="BG66" s="4" t="s">
        <v>600</v>
      </c>
      <c r="BH66" s="4">
        <v>3593</v>
      </c>
      <c r="BI66" s="4">
        <f>IF(BE66="",BH66,BE66/BF66*BH66)</f>
        <v>2395.333333333333</v>
      </c>
      <c r="BJ66" s="19">
        <v>4</v>
      </c>
      <c r="BK66" s="19">
        <v>1</v>
      </c>
      <c r="BL66" s="16">
        <v>3</v>
      </c>
      <c r="BM66" t="s">
        <v>422</v>
      </c>
      <c r="BN66" t="str">
        <f t="shared" si="9"/>
        <v>-</v>
      </c>
      <c r="BO66">
        <v>228</v>
      </c>
      <c r="BP66">
        <f t="shared" si="10"/>
        <v>257.64</v>
      </c>
      <c r="BQ66" t="s">
        <v>459</v>
      </c>
    </row>
    <row r="67" spans="1:69" x14ac:dyDescent="0.4">
      <c r="A67" s="3">
        <v>43</v>
      </c>
      <c r="B67" s="3">
        <v>43</v>
      </c>
      <c r="C67" s="4">
        <v>11242</v>
      </c>
      <c r="D67" s="4" t="str">
        <f>TEXT(C67,"000000")</f>
        <v>011242</v>
      </c>
      <c r="E67" s="4">
        <v>586647</v>
      </c>
      <c r="F67" s="4" t="s">
        <v>158</v>
      </c>
      <c r="G67" s="5">
        <v>4996297304142</v>
      </c>
      <c r="H67" s="5"/>
      <c r="I67" s="5"/>
      <c r="J67" s="5">
        <v>1</v>
      </c>
      <c r="K67" s="5">
        <v>1</v>
      </c>
      <c r="L67" s="4">
        <v>0</v>
      </c>
      <c r="M67" s="4">
        <v>219</v>
      </c>
      <c r="N67" s="4">
        <v>110</v>
      </c>
      <c r="O67" s="6">
        <f>IFERROR(1-N67/M67,"-")</f>
        <v>0.49771689497716898</v>
      </c>
      <c r="P67" s="4" t="s">
        <v>422</v>
      </c>
      <c r="Q67" s="4" t="s">
        <v>422</v>
      </c>
      <c r="R67" s="4" t="s">
        <v>422</v>
      </c>
      <c r="S67" s="4" t="s">
        <v>422</v>
      </c>
      <c r="T67" s="4" t="s">
        <v>422</v>
      </c>
      <c r="U67" s="4" t="s">
        <v>422</v>
      </c>
      <c r="V67" s="4" t="s">
        <v>422</v>
      </c>
      <c r="W67" s="4" t="s">
        <v>422</v>
      </c>
      <c r="X67" s="4" t="s">
        <v>422</v>
      </c>
      <c r="Y67" s="4">
        <v>0</v>
      </c>
      <c r="Z67" s="4">
        <f>IF(AC67="",Y67,Y67*AC67)</f>
        <v>0</v>
      </c>
      <c r="AA67" s="4">
        <v>121</v>
      </c>
      <c r="AB67" s="4">
        <f>IF(AC67="",AA67,AA67*AC67)</f>
        <v>121</v>
      </c>
      <c r="AC67" s="4"/>
      <c r="AD67" s="21">
        <f>ROUND(M67*AR67,0)</f>
        <v>241</v>
      </c>
      <c r="AE67" s="6">
        <f>IFERROR(1-AB67/AD67,"-")</f>
        <v>0.49792531120331951</v>
      </c>
      <c r="AF67" s="33">
        <v>87.25</v>
      </c>
      <c r="AG67" s="4" t="str">
        <f>BI67</f>
        <v>-</v>
      </c>
      <c r="AH67" s="33" t="str">
        <f>IFERROR(AG67*AR67,"-")</f>
        <v>-</v>
      </c>
      <c r="AI67" s="6" t="str">
        <f>IFERROR(1-AB67/AH67,"-")</f>
        <v>-</v>
      </c>
      <c r="AJ67" s="7">
        <v>230</v>
      </c>
      <c r="AK67" s="6">
        <f>1-AB67/AJ67</f>
        <v>0.47391304347826091</v>
      </c>
      <c r="AL67" s="4">
        <f>AJ67-AB67</f>
        <v>109</v>
      </c>
      <c r="AM67" s="28"/>
      <c r="AN67" s="6"/>
      <c r="AO67" s="6"/>
      <c r="AP67" s="6" t="str">
        <f>IFERROR(Z67/L67,"-")</f>
        <v>-</v>
      </c>
      <c r="AQ67" s="6">
        <f>IFERROR(AJ67/M67,"-")</f>
        <v>1.0502283105022832</v>
      </c>
      <c r="AR67" s="6">
        <f>IFERROR(AB67/N67,"-")</f>
        <v>1.1000000000000001</v>
      </c>
      <c r="AS67" s="4" t="str">
        <f t="shared" si="0"/>
        <v>-</v>
      </c>
      <c r="AT67" s="4"/>
      <c r="AU67" s="4" t="str">
        <f t="shared" si="1"/>
        <v>-</v>
      </c>
      <c r="AV67" s="4" t="str">
        <f t="shared" si="2"/>
        <v>-</v>
      </c>
      <c r="AW67" s="4" t="str">
        <f t="shared" si="3"/>
        <v>-</v>
      </c>
      <c r="AX67" s="4" t="str">
        <f t="shared" si="4"/>
        <v>-</v>
      </c>
      <c r="AY67" s="4" t="str">
        <f t="shared" si="5"/>
        <v>-</v>
      </c>
      <c r="AZ67" s="4" t="str">
        <f t="shared" si="6"/>
        <v>-</v>
      </c>
      <c r="BA67" s="4" t="str">
        <f t="shared" si="7"/>
        <v>-</v>
      </c>
      <c r="BB67" s="4" t="str">
        <f t="shared" si="8"/>
        <v>-</v>
      </c>
      <c r="BC67" s="4" t="s">
        <v>408</v>
      </c>
      <c r="BD67" s="4" t="s">
        <v>422</v>
      </c>
      <c r="BE67" s="4"/>
      <c r="BF67" s="4"/>
      <c r="BG67" s="4" t="s">
        <v>422</v>
      </c>
      <c r="BH67" s="4" t="s">
        <v>422</v>
      </c>
      <c r="BI67" s="4" t="str">
        <f>IF(BE67="",BH67,BE67/BF67*BH67)</f>
        <v>-</v>
      </c>
      <c r="BJ67" s="19">
        <v>4</v>
      </c>
      <c r="BK67" s="19">
        <v>1</v>
      </c>
      <c r="BL67" s="16">
        <v>3</v>
      </c>
      <c r="BM67" t="s">
        <v>422</v>
      </c>
      <c r="BN67" t="str">
        <f t="shared" si="9"/>
        <v>-</v>
      </c>
      <c r="BO67" t="s">
        <v>422</v>
      </c>
      <c r="BP67" t="str">
        <f t="shared" si="10"/>
        <v>-</v>
      </c>
      <c r="BQ67" t="s">
        <v>422</v>
      </c>
    </row>
    <row r="68" spans="1:69" x14ac:dyDescent="0.4">
      <c r="A68" s="3">
        <v>106</v>
      </c>
      <c r="B68" s="3">
        <v>106</v>
      </c>
      <c r="C68" s="46">
        <v>152506</v>
      </c>
      <c r="D68" s="4" t="str">
        <f>TEXT(C68,"000000")</f>
        <v>152506</v>
      </c>
      <c r="E68" s="4">
        <v>152506</v>
      </c>
      <c r="F68" s="4" t="s">
        <v>220</v>
      </c>
      <c r="G68" s="5">
        <v>4996297389422</v>
      </c>
      <c r="H68" s="5"/>
      <c r="I68" s="5"/>
      <c r="J68" s="5">
        <v>2</v>
      </c>
      <c r="K68" s="5">
        <v>2</v>
      </c>
      <c r="L68" s="4">
        <v>0</v>
      </c>
      <c r="M68" s="4">
        <v>201</v>
      </c>
      <c r="N68" s="4">
        <v>118</v>
      </c>
      <c r="O68" s="6">
        <f>IFERROR(1-N68/M68,"-")</f>
        <v>0.41293532338308458</v>
      </c>
      <c r="P68" s="4" t="s">
        <v>422</v>
      </c>
      <c r="Q68" s="4" t="s">
        <v>422</v>
      </c>
      <c r="R68" s="4" t="s">
        <v>422</v>
      </c>
      <c r="S68" s="4" t="s">
        <v>422</v>
      </c>
      <c r="T68" s="4" t="s">
        <v>422</v>
      </c>
      <c r="U68" s="4" t="s">
        <v>422</v>
      </c>
      <c r="V68" s="4" t="s">
        <v>422</v>
      </c>
      <c r="W68" s="4" t="s">
        <v>422</v>
      </c>
      <c r="X68" s="4" t="s">
        <v>422</v>
      </c>
      <c r="Y68" s="4">
        <v>0</v>
      </c>
      <c r="Z68" s="4">
        <f>IF(AC68="",Y68,Y68*AC68)</f>
        <v>0</v>
      </c>
      <c r="AA68" s="4">
        <v>130</v>
      </c>
      <c r="AB68" s="4">
        <f>IF(AC68="",AA68,AA68*AC68)</f>
        <v>130</v>
      </c>
      <c r="AC68" s="4"/>
      <c r="AD68" s="21">
        <f>ROUND(M68*AR68,0)</f>
        <v>221</v>
      </c>
      <c r="AE68" s="6">
        <f>IFERROR(1-AB68/AD68,"-")</f>
        <v>0.41176470588235292</v>
      </c>
      <c r="AF68" s="33">
        <v>23</v>
      </c>
      <c r="AG68" s="4">
        <f>BI68</f>
        <v>305</v>
      </c>
      <c r="AH68" s="33">
        <f>IFERROR(AG68*AR68,"-")</f>
        <v>336.01694915254234</v>
      </c>
      <c r="AI68" s="6">
        <f>IFERROR(1-AB68/AH68,"-")</f>
        <v>0.61311475409836058</v>
      </c>
      <c r="AJ68" s="7">
        <v>230</v>
      </c>
      <c r="AK68" s="6">
        <f>1-AB68/AJ68</f>
        <v>0.43478260869565222</v>
      </c>
      <c r="AL68" s="4">
        <f>AJ68-AB68</f>
        <v>100</v>
      </c>
      <c r="AM68" s="28"/>
      <c r="AN68" s="6"/>
      <c r="AO68" s="6"/>
      <c r="AP68" s="6" t="str">
        <f>IFERROR(Z68/L68,"-")</f>
        <v>-</v>
      </c>
      <c r="AQ68" s="6">
        <f>IFERROR(AJ68/M68,"-")</f>
        <v>1.144278606965174</v>
      </c>
      <c r="AR68" s="6">
        <f>IFERROR(AB68/N68,"-")</f>
        <v>1.1016949152542372</v>
      </c>
      <c r="AS68" s="4" t="str">
        <f t="shared" si="0"/>
        <v>-</v>
      </c>
      <c r="AT68" s="4"/>
      <c r="AU68" s="4" t="str">
        <f t="shared" si="1"/>
        <v>-</v>
      </c>
      <c r="AV68" s="4" t="str">
        <f t="shared" si="2"/>
        <v>-</v>
      </c>
      <c r="AW68" s="4" t="str">
        <f t="shared" si="3"/>
        <v>-</v>
      </c>
      <c r="AX68" s="4" t="str">
        <f t="shared" si="4"/>
        <v>-</v>
      </c>
      <c r="AY68" s="4" t="str">
        <f t="shared" si="5"/>
        <v>-</v>
      </c>
      <c r="AZ68" s="4" t="str">
        <f t="shared" si="6"/>
        <v>-</v>
      </c>
      <c r="BA68" s="4" t="str">
        <f t="shared" si="7"/>
        <v>-</v>
      </c>
      <c r="BB68" s="4" t="str">
        <f t="shared" si="8"/>
        <v>-</v>
      </c>
      <c r="BC68" s="4" t="s">
        <v>416</v>
      </c>
      <c r="BD68" s="4" t="s">
        <v>603</v>
      </c>
      <c r="BE68" s="4"/>
      <c r="BF68" s="4"/>
      <c r="BG68" s="4" t="s">
        <v>563</v>
      </c>
      <c r="BH68" s="4">
        <v>305</v>
      </c>
      <c r="BI68" s="4">
        <f>IF(BE68="",BH68,BE68/BF68*BH68)</f>
        <v>305</v>
      </c>
      <c r="BJ68" s="19">
        <v>4</v>
      </c>
      <c r="BK68" s="19">
        <v>1</v>
      </c>
      <c r="BL68" s="16">
        <v>3</v>
      </c>
      <c r="BM68" t="s">
        <v>422</v>
      </c>
      <c r="BN68" t="str">
        <f t="shared" si="9"/>
        <v>-</v>
      </c>
      <c r="BO68">
        <v>247</v>
      </c>
      <c r="BP68">
        <f t="shared" si="10"/>
        <v>272.11864406779659</v>
      </c>
      <c r="BQ68" t="s">
        <v>460</v>
      </c>
    </row>
    <row r="69" spans="1:69" x14ac:dyDescent="0.4">
      <c r="A69" s="3">
        <v>228</v>
      </c>
      <c r="B69" s="3">
        <v>106</v>
      </c>
      <c r="C69" s="46">
        <v>152506</v>
      </c>
      <c r="D69" s="4" t="str">
        <f>TEXT(C69,"000000")</f>
        <v>152506</v>
      </c>
      <c r="E69" s="4" t="s">
        <v>308</v>
      </c>
      <c r="F69" s="4" t="s">
        <v>368</v>
      </c>
      <c r="G69" s="5">
        <v>4996297389422</v>
      </c>
      <c r="H69" s="5">
        <v>8</v>
      </c>
      <c r="I69" s="5" t="str">
        <f>C69&amp;H69</f>
        <v>1525068</v>
      </c>
      <c r="J69" s="5"/>
      <c r="K69" s="5"/>
      <c r="L69" s="4">
        <v>0</v>
      </c>
      <c r="M69" s="4">
        <v>1818</v>
      </c>
      <c r="N69" s="4">
        <v>1180</v>
      </c>
      <c r="O69" s="6">
        <f>IFERROR(1-N69/M69,"-")</f>
        <v>0.35093509350935093</v>
      </c>
      <c r="P69" s="4" t="s">
        <v>422</v>
      </c>
      <c r="Q69" s="4" t="s">
        <v>422</v>
      </c>
      <c r="R69" s="4" t="s">
        <v>422</v>
      </c>
      <c r="S69" s="4" t="s">
        <v>422</v>
      </c>
      <c r="T69" s="4" t="s">
        <v>422</v>
      </c>
      <c r="U69" s="4" t="s">
        <v>422</v>
      </c>
      <c r="V69" s="4" t="s">
        <v>422</v>
      </c>
      <c r="W69" s="4" t="s">
        <v>422</v>
      </c>
      <c r="X69" s="4" t="s">
        <v>422</v>
      </c>
      <c r="Y69" s="4">
        <v>0</v>
      </c>
      <c r="Z69" s="4">
        <f>IF(AC69="",Y69,Y69*AC69)</f>
        <v>0</v>
      </c>
      <c r="AA69" s="4">
        <v>130</v>
      </c>
      <c r="AB69" s="4">
        <f>IF(AC69="",AA69,AA69*AC69)</f>
        <v>1300</v>
      </c>
      <c r="AC69" s="4">
        <v>10</v>
      </c>
      <c r="AD69" s="21">
        <f>ROUND(M69*AR69,0)</f>
        <v>2003</v>
      </c>
      <c r="AE69" s="6">
        <f>IFERROR(1-AB69/AD69,"-")</f>
        <v>0.3509735396904643</v>
      </c>
      <c r="AF69" s="33">
        <v>23</v>
      </c>
      <c r="AG69" s="4">
        <f>BI69</f>
        <v>3050</v>
      </c>
      <c r="AH69" s="33">
        <f>IFERROR(AG69*AR69,"-")</f>
        <v>3360.1694915254234</v>
      </c>
      <c r="AI69" s="6">
        <f>IFERROR(1-AB69/AH69,"-")</f>
        <v>0.61311475409836058</v>
      </c>
      <c r="AJ69" s="7">
        <v>2100</v>
      </c>
      <c r="AK69" s="6">
        <f>1-AB69/AJ69</f>
        <v>0.38095238095238093</v>
      </c>
      <c r="AL69" s="4">
        <f>AJ69-AB69</f>
        <v>800</v>
      </c>
      <c r="AM69" s="28"/>
      <c r="AN69" s="6"/>
      <c r="AO69" s="6"/>
      <c r="AP69" s="6" t="str">
        <f>IFERROR(Z69/L69,"-")</f>
        <v>-</v>
      </c>
      <c r="AQ69" s="6">
        <f>IFERROR(AJ69/M69,"-")</f>
        <v>1.1551155115511551</v>
      </c>
      <c r="AR69" s="6">
        <f>IFERROR(AB69/N69,"-")</f>
        <v>1.1016949152542372</v>
      </c>
      <c r="AS69" s="4" t="str">
        <f t="shared" ref="AS69:AS132" si="11">IFERROR(ROUND($AJ69*P69/$M69,0),"-")</f>
        <v>-</v>
      </c>
      <c r="AT69" s="4"/>
      <c r="AU69" s="4" t="str">
        <f t="shared" ref="AU69:AU132" si="12">IF(Q69="","-",Q69)</f>
        <v>-</v>
      </c>
      <c r="AV69" s="4" t="str">
        <f t="shared" ref="AV69:AV132" si="13">IF(R69="","-",R69)</f>
        <v>-</v>
      </c>
      <c r="AW69" s="4" t="str">
        <f t="shared" ref="AW69:AW132" si="14">IFERROR(ROUND($AJ69*S69/$M69,0),"-")</f>
        <v>-</v>
      </c>
      <c r="AX69" s="4" t="str">
        <f t="shared" ref="AX69:AX132" si="15">IF(T69="","-",T69)</f>
        <v>-</v>
      </c>
      <c r="AY69" s="4" t="str">
        <f t="shared" ref="AY69:AY132" si="16">IF(U69="","-",U69)</f>
        <v>-</v>
      </c>
      <c r="AZ69" s="4" t="str">
        <f t="shared" ref="AZ69:AZ132" si="17">IFERROR(ROUND($AJ69*V69/$M69,0),"-")</f>
        <v>-</v>
      </c>
      <c r="BA69" s="4" t="str">
        <f t="shared" ref="BA69:BA132" si="18">IF(W69="","-",W69)</f>
        <v>-</v>
      </c>
      <c r="BB69" s="4" t="str">
        <f t="shared" ref="BB69:BB132" si="19">IF(X69="","-",X69)</f>
        <v>-</v>
      </c>
      <c r="BC69" s="4">
        <v>0</v>
      </c>
      <c r="BD69" s="4" t="s">
        <v>603</v>
      </c>
      <c r="BE69" s="4">
        <v>10</v>
      </c>
      <c r="BF69" s="4">
        <v>1</v>
      </c>
      <c r="BG69" s="4" t="s">
        <v>563</v>
      </c>
      <c r="BH69" s="4">
        <v>305</v>
      </c>
      <c r="BI69" s="4">
        <f>IF(BE69="",BH69,BE69/BF69*BH69)</f>
        <v>3050</v>
      </c>
      <c r="BJ69" s="19">
        <v>4</v>
      </c>
      <c r="BK69" s="19">
        <v>1</v>
      </c>
      <c r="BL69" s="16">
        <v>3</v>
      </c>
      <c r="BM69" t="s">
        <v>422</v>
      </c>
      <c r="BN69" t="str">
        <f t="shared" ref="BN69:BN132" si="20">IFERROR(BM69*AR69,"-")</f>
        <v>-</v>
      </c>
      <c r="BO69">
        <v>247</v>
      </c>
      <c r="BP69">
        <f t="shared" ref="BP69:BP132" si="21">IFERROR(BO69*AR69,"-")</f>
        <v>272.11864406779659</v>
      </c>
      <c r="BQ69" t="s">
        <v>460</v>
      </c>
    </row>
    <row r="70" spans="1:69" x14ac:dyDescent="0.4">
      <c r="A70" s="3">
        <v>104</v>
      </c>
      <c r="B70" s="3">
        <v>104</v>
      </c>
      <c r="C70" s="46" t="s">
        <v>95</v>
      </c>
      <c r="D70" s="4" t="str">
        <f>TEXT(C70,"000000")</f>
        <v>J193SE</v>
      </c>
      <c r="E70" s="4" t="s">
        <v>95</v>
      </c>
      <c r="F70" s="4" t="s">
        <v>218</v>
      </c>
      <c r="G70" s="5">
        <v>4996297389408</v>
      </c>
      <c r="H70" s="5"/>
      <c r="I70" s="5"/>
      <c r="J70" s="5">
        <v>2</v>
      </c>
      <c r="K70" s="5">
        <v>2</v>
      </c>
      <c r="L70" s="4">
        <v>0</v>
      </c>
      <c r="M70" s="4">
        <v>201</v>
      </c>
      <c r="N70" s="4">
        <v>118</v>
      </c>
      <c r="O70" s="6">
        <f>IFERROR(1-N70/M70,"-")</f>
        <v>0.41293532338308458</v>
      </c>
      <c r="P70" s="4" t="s">
        <v>422</v>
      </c>
      <c r="Q70" s="4" t="s">
        <v>422</v>
      </c>
      <c r="R70" s="4" t="s">
        <v>422</v>
      </c>
      <c r="S70" s="4" t="s">
        <v>422</v>
      </c>
      <c r="T70" s="4" t="s">
        <v>422</v>
      </c>
      <c r="U70" s="4" t="s">
        <v>422</v>
      </c>
      <c r="V70" s="4" t="s">
        <v>422</v>
      </c>
      <c r="W70" s="4" t="s">
        <v>422</v>
      </c>
      <c r="X70" s="4" t="s">
        <v>422</v>
      </c>
      <c r="Y70" s="4">
        <v>0</v>
      </c>
      <c r="Z70" s="4">
        <f>IF(AC70="",Y70,Y70*AC70)</f>
        <v>0</v>
      </c>
      <c r="AA70" s="4">
        <v>130</v>
      </c>
      <c r="AB70" s="4">
        <f>IF(AC70="",AA70,AA70*AC70)</f>
        <v>130</v>
      </c>
      <c r="AC70" s="4"/>
      <c r="AD70" s="21">
        <f>ROUND(M70*AR70,0)</f>
        <v>221</v>
      </c>
      <c r="AE70" s="6">
        <f>IFERROR(1-AB70/AD70,"-")</f>
        <v>0.41176470588235292</v>
      </c>
      <c r="AF70" s="33">
        <v>14.499999999999998</v>
      </c>
      <c r="AG70" s="4">
        <f>BI70</f>
        <v>305</v>
      </c>
      <c r="AH70" s="33">
        <f>IFERROR(AG70*AR70,"-")</f>
        <v>336.01694915254234</v>
      </c>
      <c r="AI70" s="6">
        <f>IFERROR(1-AB70/AH70,"-")</f>
        <v>0.61311475409836058</v>
      </c>
      <c r="AJ70" s="7">
        <v>230</v>
      </c>
      <c r="AK70" s="6">
        <f>1-AB70/AJ70</f>
        <v>0.43478260869565222</v>
      </c>
      <c r="AL70" s="4">
        <f>AJ70-AB70</f>
        <v>100</v>
      </c>
      <c r="AM70" s="28"/>
      <c r="AN70" s="6"/>
      <c r="AO70" s="6"/>
      <c r="AP70" s="6" t="str">
        <f>IFERROR(Z70/L70,"-")</f>
        <v>-</v>
      </c>
      <c r="AQ70" s="6">
        <f>IFERROR(AJ70/M70,"-")</f>
        <v>1.144278606965174</v>
      </c>
      <c r="AR70" s="6">
        <f>IFERROR(AB70/N70,"-")</f>
        <v>1.1016949152542372</v>
      </c>
      <c r="AS70" s="4" t="str">
        <f t="shared" si="11"/>
        <v>-</v>
      </c>
      <c r="AT70" s="4"/>
      <c r="AU70" s="4" t="str">
        <f t="shared" si="12"/>
        <v>-</v>
      </c>
      <c r="AV70" s="4" t="str">
        <f t="shared" si="13"/>
        <v>-</v>
      </c>
      <c r="AW70" s="4" t="str">
        <f t="shared" si="14"/>
        <v>-</v>
      </c>
      <c r="AX70" s="4" t="str">
        <f t="shared" si="15"/>
        <v>-</v>
      </c>
      <c r="AY70" s="4" t="str">
        <f t="shared" si="16"/>
        <v>-</v>
      </c>
      <c r="AZ70" s="4" t="str">
        <f t="shared" si="17"/>
        <v>-</v>
      </c>
      <c r="BA70" s="4" t="str">
        <f t="shared" si="18"/>
        <v>-</v>
      </c>
      <c r="BB70" s="4" t="str">
        <f t="shared" si="19"/>
        <v>-</v>
      </c>
      <c r="BC70" s="4" t="s">
        <v>416</v>
      </c>
      <c r="BD70" s="4" t="s">
        <v>604</v>
      </c>
      <c r="BE70" s="4"/>
      <c r="BF70" s="4"/>
      <c r="BG70" s="4" t="s">
        <v>563</v>
      </c>
      <c r="BH70" s="4">
        <v>305</v>
      </c>
      <c r="BI70" s="4">
        <f>IF(BE70="",BH70,BE70/BF70*BH70)</f>
        <v>305</v>
      </c>
      <c r="BJ70" s="19">
        <v>4</v>
      </c>
      <c r="BK70" s="19">
        <v>1</v>
      </c>
      <c r="BL70" s="16">
        <v>3</v>
      </c>
      <c r="BM70" t="s">
        <v>422</v>
      </c>
      <c r="BN70" t="str">
        <f t="shared" si="20"/>
        <v>-</v>
      </c>
      <c r="BO70">
        <v>247</v>
      </c>
      <c r="BP70">
        <f t="shared" si="21"/>
        <v>272.11864406779659</v>
      </c>
      <c r="BQ70" t="s">
        <v>461</v>
      </c>
    </row>
    <row r="71" spans="1:69" x14ac:dyDescent="0.4">
      <c r="A71" s="3">
        <v>226</v>
      </c>
      <c r="B71" s="3">
        <v>104</v>
      </c>
      <c r="C71" s="46" t="s">
        <v>95</v>
      </c>
      <c r="D71" s="4" t="str">
        <f>TEXT(C71,"000000")</f>
        <v>J193SE</v>
      </c>
      <c r="E71" s="4" t="s">
        <v>306</v>
      </c>
      <c r="F71" s="4" t="s">
        <v>366</v>
      </c>
      <c r="G71" s="5">
        <v>4996297389408</v>
      </c>
      <c r="H71" s="5">
        <v>8</v>
      </c>
      <c r="I71" s="5" t="str">
        <f>C71&amp;H71</f>
        <v>J193SE8</v>
      </c>
      <c r="J71" s="5"/>
      <c r="K71" s="5"/>
      <c r="L71" s="4">
        <v>0</v>
      </c>
      <c r="M71" s="4">
        <v>1818</v>
      </c>
      <c r="N71" s="4">
        <v>1180</v>
      </c>
      <c r="O71" s="6">
        <f>IFERROR(1-N71/M71,"-")</f>
        <v>0.35093509350935093</v>
      </c>
      <c r="P71" s="4" t="s">
        <v>422</v>
      </c>
      <c r="Q71" s="4" t="s">
        <v>422</v>
      </c>
      <c r="R71" s="4" t="s">
        <v>422</v>
      </c>
      <c r="S71" s="4" t="s">
        <v>422</v>
      </c>
      <c r="T71" s="4" t="s">
        <v>422</v>
      </c>
      <c r="U71" s="4" t="s">
        <v>422</v>
      </c>
      <c r="V71" s="4" t="s">
        <v>422</v>
      </c>
      <c r="W71" s="4" t="s">
        <v>422</v>
      </c>
      <c r="X71" s="4" t="s">
        <v>422</v>
      </c>
      <c r="Y71" s="4">
        <v>0</v>
      </c>
      <c r="Z71" s="4">
        <f>IF(AC71="",Y71,Y71*AC71)</f>
        <v>0</v>
      </c>
      <c r="AA71" s="4">
        <v>130</v>
      </c>
      <c r="AB71" s="4">
        <f>IF(AC71="",AA71,AA71*AC71)</f>
        <v>1300</v>
      </c>
      <c r="AC71" s="4">
        <v>10</v>
      </c>
      <c r="AD71" s="21">
        <f>ROUND(M71*AR71,0)</f>
        <v>2003</v>
      </c>
      <c r="AE71" s="6">
        <f>IFERROR(1-AB71/AD71,"-")</f>
        <v>0.3509735396904643</v>
      </c>
      <c r="AF71" s="33">
        <v>14.499999999999998</v>
      </c>
      <c r="AG71" s="4">
        <f>BI71</f>
        <v>3050</v>
      </c>
      <c r="AH71" s="33">
        <f>IFERROR(AG71*AR71,"-")</f>
        <v>3360.1694915254234</v>
      </c>
      <c r="AI71" s="6">
        <f>IFERROR(1-AB71/AH71,"-")</f>
        <v>0.61311475409836058</v>
      </c>
      <c r="AJ71" s="7">
        <v>2100</v>
      </c>
      <c r="AK71" s="6">
        <f>1-AB71/AJ71</f>
        <v>0.38095238095238093</v>
      </c>
      <c r="AL71" s="4">
        <f>AJ71-AB71</f>
        <v>800</v>
      </c>
      <c r="AM71" s="28"/>
      <c r="AN71" s="6"/>
      <c r="AO71" s="6"/>
      <c r="AP71" s="6" t="str">
        <f>IFERROR(Z71/L71,"-")</f>
        <v>-</v>
      </c>
      <c r="AQ71" s="6">
        <f>IFERROR(AJ71/M71,"-")</f>
        <v>1.1551155115511551</v>
      </c>
      <c r="AR71" s="6">
        <f>IFERROR(AB71/N71,"-")</f>
        <v>1.1016949152542372</v>
      </c>
      <c r="AS71" s="4" t="str">
        <f t="shared" si="11"/>
        <v>-</v>
      </c>
      <c r="AT71" s="4"/>
      <c r="AU71" s="4" t="str">
        <f t="shared" si="12"/>
        <v>-</v>
      </c>
      <c r="AV71" s="4" t="str">
        <f t="shared" si="13"/>
        <v>-</v>
      </c>
      <c r="AW71" s="4" t="str">
        <f t="shared" si="14"/>
        <v>-</v>
      </c>
      <c r="AX71" s="4" t="str">
        <f t="shared" si="15"/>
        <v>-</v>
      </c>
      <c r="AY71" s="4" t="str">
        <f t="shared" si="16"/>
        <v>-</v>
      </c>
      <c r="AZ71" s="4" t="str">
        <f t="shared" si="17"/>
        <v>-</v>
      </c>
      <c r="BA71" s="4" t="str">
        <f t="shared" si="18"/>
        <v>-</v>
      </c>
      <c r="BB71" s="4" t="str">
        <f t="shared" si="19"/>
        <v>-</v>
      </c>
      <c r="BC71" s="4">
        <v>0</v>
      </c>
      <c r="BD71" s="4" t="s">
        <v>604</v>
      </c>
      <c r="BE71" s="4">
        <v>10</v>
      </c>
      <c r="BF71" s="4">
        <v>1</v>
      </c>
      <c r="BG71" s="4" t="s">
        <v>563</v>
      </c>
      <c r="BH71" s="4">
        <v>305</v>
      </c>
      <c r="BI71" s="4">
        <f>IF(BE71="",BH71,BE71/BF71*BH71)</f>
        <v>3050</v>
      </c>
      <c r="BJ71" s="19">
        <v>4</v>
      </c>
      <c r="BK71" s="19">
        <v>1</v>
      </c>
      <c r="BL71" s="16">
        <v>3</v>
      </c>
      <c r="BM71" t="s">
        <v>422</v>
      </c>
      <c r="BN71" t="str">
        <f t="shared" si="20"/>
        <v>-</v>
      </c>
      <c r="BO71">
        <v>247</v>
      </c>
      <c r="BP71">
        <f t="shared" si="21"/>
        <v>272.11864406779659</v>
      </c>
      <c r="BQ71" t="s">
        <v>461</v>
      </c>
    </row>
    <row r="72" spans="1:69" x14ac:dyDescent="0.4">
      <c r="A72" s="3">
        <v>107</v>
      </c>
      <c r="B72" s="3">
        <v>107</v>
      </c>
      <c r="C72" s="46" t="s">
        <v>97</v>
      </c>
      <c r="D72" s="4" t="str">
        <f>TEXT(C72,"000000")</f>
        <v>J194SE</v>
      </c>
      <c r="E72" s="4" t="s">
        <v>97</v>
      </c>
      <c r="F72" s="4" t="s">
        <v>221</v>
      </c>
      <c r="G72" s="5">
        <v>4996297389439</v>
      </c>
      <c r="H72" s="5"/>
      <c r="I72" s="5"/>
      <c r="J72" s="5">
        <v>2</v>
      </c>
      <c r="K72" s="5">
        <v>2</v>
      </c>
      <c r="L72" s="4">
        <v>0</v>
      </c>
      <c r="M72" s="4">
        <v>201</v>
      </c>
      <c r="N72" s="4">
        <v>118</v>
      </c>
      <c r="O72" s="6">
        <f>IFERROR(1-N72/M72,"-")</f>
        <v>0.41293532338308458</v>
      </c>
      <c r="P72" s="4" t="s">
        <v>422</v>
      </c>
      <c r="Q72" s="4" t="s">
        <v>422</v>
      </c>
      <c r="R72" s="4" t="s">
        <v>422</v>
      </c>
      <c r="S72" s="4" t="s">
        <v>422</v>
      </c>
      <c r="T72" s="4" t="s">
        <v>422</v>
      </c>
      <c r="U72" s="4" t="s">
        <v>422</v>
      </c>
      <c r="V72" s="4" t="s">
        <v>422</v>
      </c>
      <c r="W72" s="4" t="s">
        <v>422</v>
      </c>
      <c r="X72" s="4" t="s">
        <v>422</v>
      </c>
      <c r="Y72" s="4">
        <v>0</v>
      </c>
      <c r="Z72" s="4">
        <f>IF(AC72="",Y72,Y72*AC72)</f>
        <v>0</v>
      </c>
      <c r="AA72" s="4">
        <v>130</v>
      </c>
      <c r="AB72" s="4">
        <f>IF(AC72="",AA72,AA72*AC72)</f>
        <v>130</v>
      </c>
      <c r="AC72" s="4"/>
      <c r="AD72" s="21">
        <f>ROUND(M72*AR72,0)</f>
        <v>221</v>
      </c>
      <c r="AE72" s="6">
        <f>IFERROR(1-AB72/AD72,"-")</f>
        <v>0.41176470588235292</v>
      </c>
      <c r="AF72" s="33">
        <v>10.25</v>
      </c>
      <c r="AG72" s="4">
        <f>BI72</f>
        <v>305</v>
      </c>
      <c r="AH72" s="33">
        <f>IFERROR(AG72*AR72,"-")</f>
        <v>336.01694915254234</v>
      </c>
      <c r="AI72" s="6">
        <f>IFERROR(1-AB72/AH72,"-")</f>
        <v>0.61311475409836058</v>
      </c>
      <c r="AJ72" s="7">
        <v>230</v>
      </c>
      <c r="AK72" s="6">
        <f>1-AB72/AJ72</f>
        <v>0.43478260869565222</v>
      </c>
      <c r="AL72" s="4">
        <f>AJ72-AB72</f>
        <v>100</v>
      </c>
      <c r="AM72" s="28"/>
      <c r="AN72" s="6"/>
      <c r="AO72" s="6"/>
      <c r="AP72" s="6" t="str">
        <f>IFERROR(Z72/L72,"-")</f>
        <v>-</v>
      </c>
      <c r="AQ72" s="6">
        <f>IFERROR(AJ72/M72,"-")</f>
        <v>1.144278606965174</v>
      </c>
      <c r="AR72" s="6">
        <f>IFERROR(AB72/N72,"-")</f>
        <v>1.1016949152542372</v>
      </c>
      <c r="AS72" s="4" t="str">
        <f t="shared" si="11"/>
        <v>-</v>
      </c>
      <c r="AT72" s="4"/>
      <c r="AU72" s="4" t="str">
        <f t="shared" si="12"/>
        <v>-</v>
      </c>
      <c r="AV72" s="4" t="str">
        <f t="shared" si="13"/>
        <v>-</v>
      </c>
      <c r="AW72" s="4" t="str">
        <f t="shared" si="14"/>
        <v>-</v>
      </c>
      <c r="AX72" s="4" t="str">
        <f t="shared" si="15"/>
        <v>-</v>
      </c>
      <c r="AY72" s="4" t="str">
        <f t="shared" si="16"/>
        <v>-</v>
      </c>
      <c r="AZ72" s="4" t="str">
        <f t="shared" si="17"/>
        <v>-</v>
      </c>
      <c r="BA72" s="4" t="str">
        <f t="shared" si="18"/>
        <v>-</v>
      </c>
      <c r="BB72" s="4" t="str">
        <f t="shared" si="19"/>
        <v>-</v>
      </c>
      <c r="BC72" s="4" t="s">
        <v>416</v>
      </c>
      <c r="BD72" s="4" t="s">
        <v>605</v>
      </c>
      <c r="BE72" s="4"/>
      <c r="BF72" s="4"/>
      <c r="BG72" s="4" t="s">
        <v>563</v>
      </c>
      <c r="BH72" s="4">
        <v>305</v>
      </c>
      <c r="BI72" s="4">
        <f>IF(BE72="",BH72,BE72/BF72*BH72)</f>
        <v>305</v>
      </c>
      <c r="BJ72" s="19">
        <v>4</v>
      </c>
      <c r="BK72" s="19">
        <v>1</v>
      </c>
      <c r="BL72" s="16">
        <v>3</v>
      </c>
      <c r="BM72" t="s">
        <v>422</v>
      </c>
      <c r="BN72" t="str">
        <f t="shared" si="20"/>
        <v>-</v>
      </c>
      <c r="BO72">
        <v>247</v>
      </c>
      <c r="BP72">
        <f t="shared" si="21"/>
        <v>272.11864406779659</v>
      </c>
      <c r="BQ72" t="s">
        <v>462</v>
      </c>
    </row>
    <row r="73" spans="1:69" x14ac:dyDescent="0.4">
      <c r="A73" s="3">
        <v>229</v>
      </c>
      <c r="B73" s="3">
        <v>107</v>
      </c>
      <c r="C73" s="46" t="s">
        <v>97</v>
      </c>
      <c r="D73" s="4" t="str">
        <f>TEXT(C73,"000000")</f>
        <v>J194SE</v>
      </c>
      <c r="E73" s="4" t="s">
        <v>309</v>
      </c>
      <c r="F73" s="4" t="s">
        <v>369</v>
      </c>
      <c r="G73" s="5">
        <v>4996297389439</v>
      </c>
      <c r="H73" s="5">
        <v>8</v>
      </c>
      <c r="I73" s="5" t="str">
        <f>C73&amp;H73</f>
        <v>J194SE8</v>
      </c>
      <c r="J73" s="5"/>
      <c r="K73" s="5"/>
      <c r="L73" s="4">
        <v>0</v>
      </c>
      <c r="M73" s="4">
        <v>1818</v>
      </c>
      <c r="N73" s="4">
        <v>1180</v>
      </c>
      <c r="O73" s="6">
        <f>IFERROR(1-N73/M73,"-")</f>
        <v>0.35093509350935093</v>
      </c>
      <c r="P73" s="4" t="s">
        <v>422</v>
      </c>
      <c r="Q73" s="4" t="s">
        <v>422</v>
      </c>
      <c r="R73" s="4" t="s">
        <v>422</v>
      </c>
      <c r="S73" s="4" t="s">
        <v>422</v>
      </c>
      <c r="T73" s="4" t="s">
        <v>422</v>
      </c>
      <c r="U73" s="4" t="s">
        <v>422</v>
      </c>
      <c r="V73" s="4" t="s">
        <v>422</v>
      </c>
      <c r="W73" s="4" t="s">
        <v>422</v>
      </c>
      <c r="X73" s="4" t="s">
        <v>422</v>
      </c>
      <c r="Y73" s="4">
        <v>0</v>
      </c>
      <c r="Z73" s="4">
        <f>IF(AC73="",Y73,Y73*AC73)</f>
        <v>0</v>
      </c>
      <c r="AA73" s="4">
        <v>130</v>
      </c>
      <c r="AB73" s="4">
        <f>IF(AC73="",AA73,AA73*AC73)</f>
        <v>1300</v>
      </c>
      <c r="AC73" s="4">
        <v>10</v>
      </c>
      <c r="AD73" s="21">
        <f>ROUND(M73*AR73,0)</f>
        <v>2003</v>
      </c>
      <c r="AE73" s="6">
        <f>IFERROR(1-AB73/AD73,"-")</f>
        <v>0.3509735396904643</v>
      </c>
      <c r="AF73" s="33">
        <v>10.25</v>
      </c>
      <c r="AG73" s="4">
        <f>BI73</f>
        <v>3050</v>
      </c>
      <c r="AH73" s="33">
        <f>IFERROR(AG73*AR73,"-")</f>
        <v>3360.1694915254234</v>
      </c>
      <c r="AI73" s="6">
        <f>IFERROR(1-AB73/AH73,"-")</f>
        <v>0.61311475409836058</v>
      </c>
      <c r="AJ73" s="7">
        <v>2100</v>
      </c>
      <c r="AK73" s="6">
        <f>1-AB73/AJ73</f>
        <v>0.38095238095238093</v>
      </c>
      <c r="AL73" s="4">
        <f>AJ73-AB73</f>
        <v>800</v>
      </c>
      <c r="AM73" s="28"/>
      <c r="AN73" s="6"/>
      <c r="AO73" s="6"/>
      <c r="AP73" s="6" t="str">
        <f>IFERROR(Z73/L73,"-")</f>
        <v>-</v>
      </c>
      <c r="AQ73" s="6">
        <f>IFERROR(AJ73/M73,"-")</f>
        <v>1.1551155115511551</v>
      </c>
      <c r="AR73" s="6">
        <f>IFERROR(AB73/N73,"-")</f>
        <v>1.1016949152542372</v>
      </c>
      <c r="AS73" s="4" t="str">
        <f t="shared" si="11"/>
        <v>-</v>
      </c>
      <c r="AT73" s="4"/>
      <c r="AU73" s="4" t="str">
        <f t="shared" si="12"/>
        <v>-</v>
      </c>
      <c r="AV73" s="4" t="str">
        <f t="shared" si="13"/>
        <v>-</v>
      </c>
      <c r="AW73" s="4" t="str">
        <f t="shared" si="14"/>
        <v>-</v>
      </c>
      <c r="AX73" s="4" t="str">
        <f t="shared" si="15"/>
        <v>-</v>
      </c>
      <c r="AY73" s="4" t="str">
        <f t="shared" si="16"/>
        <v>-</v>
      </c>
      <c r="AZ73" s="4" t="str">
        <f t="shared" si="17"/>
        <v>-</v>
      </c>
      <c r="BA73" s="4" t="str">
        <f t="shared" si="18"/>
        <v>-</v>
      </c>
      <c r="BB73" s="4" t="str">
        <f t="shared" si="19"/>
        <v>-</v>
      </c>
      <c r="BC73" s="4">
        <v>0</v>
      </c>
      <c r="BD73" s="4" t="s">
        <v>605</v>
      </c>
      <c r="BE73" s="4">
        <v>10</v>
      </c>
      <c r="BF73" s="4">
        <v>1</v>
      </c>
      <c r="BG73" s="4" t="s">
        <v>563</v>
      </c>
      <c r="BH73" s="4">
        <v>305</v>
      </c>
      <c r="BI73" s="4">
        <f>IF(BE73="",BH73,BE73/BF73*BH73)</f>
        <v>3050</v>
      </c>
      <c r="BJ73" s="19">
        <v>4</v>
      </c>
      <c r="BK73" s="19">
        <v>1</v>
      </c>
      <c r="BL73" s="16">
        <v>3</v>
      </c>
      <c r="BM73" t="s">
        <v>422</v>
      </c>
      <c r="BN73" t="str">
        <f t="shared" si="20"/>
        <v>-</v>
      </c>
      <c r="BO73">
        <v>247</v>
      </c>
      <c r="BP73">
        <f t="shared" si="21"/>
        <v>272.11864406779659</v>
      </c>
      <c r="BQ73" t="s">
        <v>462</v>
      </c>
    </row>
    <row r="74" spans="1:69" x14ac:dyDescent="0.4">
      <c r="A74" s="3">
        <v>105</v>
      </c>
      <c r="B74" s="3">
        <v>105</v>
      </c>
      <c r="C74" s="46" t="s">
        <v>96</v>
      </c>
      <c r="D74" s="4" t="str">
        <f>TEXT(C74,"000000")</f>
        <v>J260MS</v>
      </c>
      <c r="E74" s="4" t="s">
        <v>96</v>
      </c>
      <c r="F74" s="4" t="s">
        <v>219</v>
      </c>
      <c r="G74" s="5">
        <v>4996297389415</v>
      </c>
      <c r="H74" s="5"/>
      <c r="I74" s="5"/>
      <c r="J74" s="5">
        <v>2</v>
      </c>
      <c r="K74" s="5">
        <v>2</v>
      </c>
      <c r="L74" s="4">
        <v>0</v>
      </c>
      <c r="M74" s="4">
        <v>201</v>
      </c>
      <c r="N74" s="4">
        <v>118</v>
      </c>
      <c r="O74" s="6">
        <f>IFERROR(1-N74/M74,"-")</f>
        <v>0.41293532338308458</v>
      </c>
      <c r="P74" s="4" t="s">
        <v>422</v>
      </c>
      <c r="Q74" s="4" t="s">
        <v>422</v>
      </c>
      <c r="R74" s="4" t="s">
        <v>422</v>
      </c>
      <c r="S74" s="4" t="s">
        <v>422</v>
      </c>
      <c r="T74" s="4" t="s">
        <v>422</v>
      </c>
      <c r="U74" s="4" t="s">
        <v>422</v>
      </c>
      <c r="V74" s="4" t="s">
        <v>422</v>
      </c>
      <c r="W74" s="4" t="s">
        <v>422</v>
      </c>
      <c r="X74" s="4" t="s">
        <v>422</v>
      </c>
      <c r="Y74" s="4">
        <v>0</v>
      </c>
      <c r="Z74" s="4">
        <f>IF(AC74="",Y74,Y74*AC74)</f>
        <v>0</v>
      </c>
      <c r="AA74" s="4">
        <v>130</v>
      </c>
      <c r="AB74" s="4">
        <f>IF(AC74="",AA74,AA74*AC74)</f>
        <v>130</v>
      </c>
      <c r="AC74" s="4"/>
      <c r="AD74" s="21">
        <f>ROUND(M74*AR74,0)</f>
        <v>221</v>
      </c>
      <c r="AE74" s="6">
        <f>IFERROR(1-AB74/AD74,"-")</f>
        <v>0.41176470588235292</v>
      </c>
      <c r="AF74" s="33">
        <v>11.25</v>
      </c>
      <c r="AG74" s="4">
        <f>BI74</f>
        <v>305</v>
      </c>
      <c r="AH74" s="33">
        <f>IFERROR(AG74*AR74,"-")</f>
        <v>336.01694915254234</v>
      </c>
      <c r="AI74" s="6">
        <f>IFERROR(1-AB74/AH74,"-")</f>
        <v>0.61311475409836058</v>
      </c>
      <c r="AJ74" s="7">
        <v>230</v>
      </c>
      <c r="AK74" s="6">
        <f>1-AB74/AJ74</f>
        <v>0.43478260869565222</v>
      </c>
      <c r="AL74" s="4">
        <f>AJ74-AB74</f>
        <v>100</v>
      </c>
      <c r="AM74" s="28"/>
      <c r="AN74" s="6"/>
      <c r="AO74" s="6"/>
      <c r="AP74" s="6" t="str">
        <f>IFERROR(Z74/L74,"-")</f>
        <v>-</v>
      </c>
      <c r="AQ74" s="6">
        <f>IFERROR(AJ74/M74,"-")</f>
        <v>1.144278606965174</v>
      </c>
      <c r="AR74" s="6">
        <f>IFERROR(AB74/N74,"-")</f>
        <v>1.1016949152542372</v>
      </c>
      <c r="AS74" s="4" t="str">
        <f t="shared" si="11"/>
        <v>-</v>
      </c>
      <c r="AT74" s="4"/>
      <c r="AU74" s="4" t="str">
        <f t="shared" si="12"/>
        <v>-</v>
      </c>
      <c r="AV74" s="4" t="str">
        <f t="shared" si="13"/>
        <v>-</v>
      </c>
      <c r="AW74" s="4" t="str">
        <f t="shared" si="14"/>
        <v>-</v>
      </c>
      <c r="AX74" s="4" t="str">
        <f t="shared" si="15"/>
        <v>-</v>
      </c>
      <c r="AY74" s="4" t="str">
        <f t="shared" si="16"/>
        <v>-</v>
      </c>
      <c r="AZ74" s="4" t="str">
        <f t="shared" si="17"/>
        <v>-</v>
      </c>
      <c r="BA74" s="4" t="str">
        <f t="shared" si="18"/>
        <v>-</v>
      </c>
      <c r="BB74" s="4" t="str">
        <f t="shared" si="19"/>
        <v>-</v>
      </c>
      <c r="BC74" s="4" t="s">
        <v>416</v>
      </c>
      <c r="BD74" s="4" t="s">
        <v>606</v>
      </c>
      <c r="BE74" s="4"/>
      <c r="BF74" s="4"/>
      <c r="BG74" s="4" t="s">
        <v>563</v>
      </c>
      <c r="BH74" s="4">
        <v>305</v>
      </c>
      <c r="BI74" s="4">
        <f>IF(BE74="",BH74,BE74/BF74*BH74)</f>
        <v>305</v>
      </c>
      <c r="BJ74" s="19">
        <v>4</v>
      </c>
      <c r="BK74" s="19">
        <v>1</v>
      </c>
      <c r="BL74" s="16">
        <v>3</v>
      </c>
      <c r="BM74" t="s">
        <v>422</v>
      </c>
      <c r="BN74" t="str">
        <f t="shared" si="20"/>
        <v>-</v>
      </c>
      <c r="BO74">
        <v>247</v>
      </c>
      <c r="BP74">
        <f t="shared" si="21"/>
        <v>272.11864406779659</v>
      </c>
      <c r="BQ74" t="s">
        <v>463</v>
      </c>
    </row>
    <row r="75" spans="1:69" x14ac:dyDescent="0.4">
      <c r="A75" s="3">
        <v>227</v>
      </c>
      <c r="B75" s="3">
        <v>105</v>
      </c>
      <c r="C75" s="46" t="s">
        <v>96</v>
      </c>
      <c r="D75" s="4" t="str">
        <f>TEXT(C75,"000000")</f>
        <v>J260MS</v>
      </c>
      <c r="E75" s="4" t="s">
        <v>307</v>
      </c>
      <c r="F75" s="4" t="s">
        <v>367</v>
      </c>
      <c r="G75" s="5">
        <v>4996297389415</v>
      </c>
      <c r="H75" s="5">
        <v>8</v>
      </c>
      <c r="I75" s="5" t="str">
        <f>C75&amp;H75</f>
        <v>J260MS8</v>
      </c>
      <c r="J75" s="5"/>
      <c r="K75" s="5"/>
      <c r="L75" s="4">
        <v>0</v>
      </c>
      <c r="M75" s="4">
        <v>1818</v>
      </c>
      <c r="N75" s="4">
        <v>1180</v>
      </c>
      <c r="O75" s="6">
        <f>IFERROR(1-N75/M75,"-")</f>
        <v>0.35093509350935093</v>
      </c>
      <c r="P75" s="4" t="s">
        <v>422</v>
      </c>
      <c r="Q75" s="4" t="s">
        <v>422</v>
      </c>
      <c r="R75" s="4" t="s">
        <v>422</v>
      </c>
      <c r="S75" s="4" t="s">
        <v>422</v>
      </c>
      <c r="T75" s="4" t="s">
        <v>422</v>
      </c>
      <c r="U75" s="4" t="s">
        <v>422</v>
      </c>
      <c r="V75" s="4" t="s">
        <v>422</v>
      </c>
      <c r="W75" s="4" t="s">
        <v>422</v>
      </c>
      <c r="X75" s="4" t="s">
        <v>422</v>
      </c>
      <c r="Y75" s="4">
        <v>0</v>
      </c>
      <c r="Z75" s="4">
        <f>IF(AC75="",Y75,Y75*AC75)</f>
        <v>0</v>
      </c>
      <c r="AA75" s="4">
        <v>130</v>
      </c>
      <c r="AB75" s="4">
        <f>IF(AC75="",AA75,AA75*AC75)</f>
        <v>1300</v>
      </c>
      <c r="AC75" s="4">
        <v>10</v>
      </c>
      <c r="AD75" s="21">
        <f>ROUND(M75*AR75,0)</f>
        <v>2003</v>
      </c>
      <c r="AE75" s="6">
        <f>IFERROR(1-AB75/AD75,"-")</f>
        <v>0.3509735396904643</v>
      </c>
      <c r="AF75" s="33">
        <v>11.25</v>
      </c>
      <c r="AG75" s="4">
        <f>BI75</f>
        <v>3050</v>
      </c>
      <c r="AH75" s="33">
        <f>IFERROR(AG75*AR75,"-")</f>
        <v>3360.1694915254234</v>
      </c>
      <c r="AI75" s="6">
        <f>IFERROR(1-AB75/AH75,"-")</f>
        <v>0.61311475409836058</v>
      </c>
      <c r="AJ75" s="7">
        <v>2100</v>
      </c>
      <c r="AK75" s="6">
        <f>1-AB75/AJ75</f>
        <v>0.38095238095238093</v>
      </c>
      <c r="AL75" s="4">
        <f>AJ75-AB75</f>
        <v>800</v>
      </c>
      <c r="AM75" s="28"/>
      <c r="AN75" s="6"/>
      <c r="AO75" s="6"/>
      <c r="AP75" s="6" t="str">
        <f>IFERROR(Z75/L75,"-")</f>
        <v>-</v>
      </c>
      <c r="AQ75" s="6">
        <f>IFERROR(AJ75/M75,"-")</f>
        <v>1.1551155115511551</v>
      </c>
      <c r="AR75" s="6">
        <f>IFERROR(AB75/N75,"-")</f>
        <v>1.1016949152542372</v>
      </c>
      <c r="AS75" s="4" t="str">
        <f t="shared" si="11"/>
        <v>-</v>
      </c>
      <c r="AT75" s="4"/>
      <c r="AU75" s="4" t="str">
        <f t="shared" si="12"/>
        <v>-</v>
      </c>
      <c r="AV75" s="4" t="str">
        <f t="shared" si="13"/>
        <v>-</v>
      </c>
      <c r="AW75" s="4" t="str">
        <f t="shared" si="14"/>
        <v>-</v>
      </c>
      <c r="AX75" s="4" t="str">
        <f t="shared" si="15"/>
        <v>-</v>
      </c>
      <c r="AY75" s="4" t="str">
        <f t="shared" si="16"/>
        <v>-</v>
      </c>
      <c r="AZ75" s="4" t="str">
        <f t="shared" si="17"/>
        <v>-</v>
      </c>
      <c r="BA75" s="4" t="str">
        <f t="shared" si="18"/>
        <v>-</v>
      </c>
      <c r="BB75" s="4" t="str">
        <f t="shared" si="19"/>
        <v>-</v>
      </c>
      <c r="BC75" s="4">
        <v>0</v>
      </c>
      <c r="BD75" s="4" t="s">
        <v>606</v>
      </c>
      <c r="BE75" s="4">
        <v>10</v>
      </c>
      <c r="BF75" s="4">
        <v>1</v>
      </c>
      <c r="BG75" s="4" t="s">
        <v>563</v>
      </c>
      <c r="BH75" s="4">
        <v>305</v>
      </c>
      <c r="BI75" s="4">
        <f>IF(BE75="",BH75,BE75/BF75*BH75)</f>
        <v>3050</v>
      </c>
      <c r="BJ75" s="19">
        <v>4</v>
      </c>
      <c r="BK75" s="19">
        <v>1</v>
      </c>
      <c r="BL75" s="16">
        <v>3</v>
      </c>
      <c r="BM75" t="s">
        <v>422</v>
      </c>
      <c r="BN75" t="str">
        <f t="shared" si="20"/>
        <v>-</v>
      </c>
      <c r="BO75">
        <v>247</v>
      </c>
      <c r="BP75">
        <f t="shared" si="21"/>
        <v>272.11864406779659</v>
      </c>
      <c r="BQ75" t="s">
        <v>463</v>
      </c>
    </row>
    <row r="76" spans="1:69" x14ac:dyDescent="0.4">
      <c r="A76" s="3">
        <v>154</v>
      </c>
      <c r="B76" s="3">
        <v>154</v>
      </c>
      <c r="C76" s="46">
        <v>788814</v>
      </c>
      <c r="D76" s="4" t="str">
        <f>TEXT(C76,"000000")</f>
        <v>788814</v>
      </c>
      <c r="E76" s="4">
        <v>788814</v>
      </c>
      <c r="F76" s="4" t="s">
        <v>268</v>
      </c>
      <c r="G76" s="5">
        <v>4996297473145</v>
      </c>
      <c r="H76" s="5"/>
      <c r="I76" s="5"/>
      <c r="J76" s="5">
        <v>2</v>
      </c>
      <c r="K76" s="5">
        <v>2</v>
      </c>
      <c r="L76" s="4">
        <v>0</v>
      </c>
      <c r="M76" s="4">
        <v>191</v>
      </c>
      <c r="N76" s="4">
        <v>121</v>
      </c>
      <c r="O76" s="6">
        <f>IFERROR(1-N76/M76,"-")</f>
        <v>0.36649214659685869</v>
      </c>
      <c r="P76" s="4" t="s">
        <v>422</v>
      </c>
      <c r="Q76" s="4" t="s">
        <v>422</v>
      </c>
      <c r="R76" s="4" t="s">
        <v>422</v>
      </c>
      <c r="S76" s="4" t="s">
        <v>422</v>
      </c>
      <c r="T76" s="4" t="s">
        <v>422</v>
      </c>
      <c r="U76" s="4" t="s">
        <v>422</v>
      </c>
      <c r="V76" s="4" t="s">
        <v>422</v>
      </c>
      <c r="W76" s="4" t="s">
        <v>422</v>
      </c>
      <c r="X76" s="4" t="s">
        <v>422</v>
      </c>
      <c r="Y76" s="4">
        <v>0</v>
      </c>
      <c r="Z76" s="4">
        <f>IF(AC76="",Y76,Y76*AC76)</f>
        <v>0</v>
      </c>
      <c r="AA76" s="4">
        <v>133</v>
      </c>
      <c r="AB76" s="4">
        <f>IF(AC76="",AA76,AA76*AC76)</f>
        <v>133</v>
      </c>
      <c r="AC76" s="4"/>
      <c r="AD76" s="21">
        <f>ROUND(M76*AR76,0)</f>
        <v>210</v>
      </c>
      <c r="AE76" s="6">
        <f>IFERROR(1-AB76/AD76,"-")</f>
        <v>0.3666666666666667</v>
      </c>
      <c r="AF76" s="33">
        <v>63.249999999999993</v>
      </c>
      <c r="AG76" s="4">
        <f>BI76</f>
        <v>220</v>
      </c>
      <c r="AH76" s="33">
        <f>IFERROR(AG76*AR76,"-")</f>
        <v>241.81818181818178</v>
      </c>
      <c r="AI76" s="6">
        <f>IFERROR(1-AB76/AH76,"-")</f>
        <v>0.44999999999999996</v>
      </c>
      <c r="AJ76" s="7">
        <v>230</v>
      </c>
      <c r="AK76" s="6">
        <f>1-AB76/AJ76</f>
        <v>0.42173913043478262</v>
      </c>
      <c r="AL76" s="4">
        <f>AJ76-AB76</f>
        <v>97</v>
      </c>
      <c r="AM76" s="28"/>
      <c r="AN76" s="6"/>
      <c r="AO76" s="6"/>
      <c r="AP76" s="6" t="str">
        <f>IFERROR(Z76/L76,"-")</f>
        <v>-</v>
      </c>
      <c r="AQ76" s="6">
        <f>IFERROR(AJ76/M76,"-")</f>
        <v>1.2041884816753927</v>
      </c>
      <c r="AR76" s="6">
        <f>IFERROR(AB76/N76,"-")</f>
        <v>1.0991735537190082</v>
      </c>
      <c r="AS76" s="4" t="str">
        <f t="shared" si="11"/>
        <v>-</v>
      </c>
      <c r="AT76" s="4"/>
      <c r="AU76" s="4" t="str">
        <f t="shared" si="12"/>
        <v>-</v>
      </c>
      <c r="AV76" s="4" t="str">
        <f t="shared" si="13"/>
        <v>-</v>
      </c>
      <c r="AW76" s="4" t="str">
        <f t="shared" si="14"/>
        <v>-</v>
      </c>
      <c r="AX76" s="4" t="str">
        <f t="shared" si="15"/>
        <v>-</v>
      </c>
      <c r="AY76" s="4" t="str">
        <f t="shared" si="16"/>
        <v>-</v>
      </c>
      <c r="AZ76" s="4" t="str">
        <f t="shared" si="17"/>
        <v>-</v>
      </c>
      <c r="BA76" s="4" t="str">
        <f t="shared" si="18"/>
        <v>-</v>
      </c>
      <c r="BB76" s="4" t="str">
        <f t="shared" si="19"/>
        <v>-</v>
      </c>
      <c r="BC76" s="4">
        <v>12451</v>
      </c>
      <c r="BD76" s="4" t="s">
        <v>607</v>
      </c>
      <c r="BE76" s="4"/>
      <c r="BF76" s="4"/>
      <c r="BG76" s="4" t="s">
        <v>563</v>
      </c>
      <c r="BH76" s="4">
        <v>220</v>
      </c>
      <c r="BI76" s="4">
        <f>IF(BE76="",BH76,BE76/BF76*BH76)</f>
        <v>220</v>
      </c>
      <c r="BJ76" s="19">
        <v>4</v>
      </c>
      <c r="BK76" s="19">
        <v>1</v>
      </c>
      <c r="BL76" s="16">
        <v>3</v>
      </c>
      <c r="BM76">
        <v>191</v>
      </c>
      <c r="BN76">
        <f t="shared" si="20"/>
        <v>209.94214876033055</v>
      </c>
      <c r="BO76">
        <v>276</v>
      </c>
      <c r="BP76">
        <f t="shared" si="21"/>
        <v>303.37190082644628</v>
      </c>
      <c r="BQ76" t="s">
        <v>464</v>
      </c>
    </row>
    <row r="77" spans="1:69" x14ac:dyDescent="0.4">
      <c r="A77" s="3">
        <v>248</v>
      </c>
      <c r="B77" s="3">
        <v>154</v>
      </c>
      <c r="C77" s="46">
        <v>788814</v>
      </c>
      <c r="D77" s="4" t="str">
        <f>TEXT(C77,"000000")</f>
        <v>788814</v>
      </c>
      <c r="E77" s="4">
        <v>629714</v>
      </c>
      <c r="F77" s="4" t="s">
        <v>388</v>
      </c>
      <c r="G77" s="5">
        <v>4996297473145</v>
      </c>
      <c r="H77" s="5">
        <v>8</v>
      </c>
      <c r="I77" s="5" t="str">
        <f>C77&amp;H77</f>
        <v>7888148</v>
      </c>
      <c r="J77" s="5"/>
      <c r="K77" s="5"/>
      <c r="L77" s="4">
        <v>0</v>
      </c>
      <c r="M77" s="4">
        <v>3708</v>
      </c>
      <c r="N77" s="4">
        <v>2420</v>
      </c>
      <c r="O77" s="6">
        <f>IFERROR(1-N77/M77,"-")</f>
        <v>0.34735706580366776</v>
      </c>
      <c r="P77" s="4" t="s">
        <v>422</v>
      </c>
      <c r="Q77" s="4" t="s">
        <v>422</v>
      </c>
      <c r="R77" s="4" t="s">
        <v>422</v>
      </c>
      <c r="S77" s="4" t="s">
        <v>422</v>
      </c>
      <c r="T77" s="4" t="s">
        <v>422</v>
      </c>
      <c r="U77" s="4" t="s">
        <v>422</v>
      </c>
      <c r="V77" s="4" t="s">
        <v>422</v>
      </c>
      <c r="W77" s="4" t="s">
        <v>422</v>
      </c>
      <c r="X77" s="4" t="s">
        <v>422</v>
      </c>
      <c r="Y77" s="4">
        <v>0</v>
      </c>
      <c r="Z77" s="4">
        <f>IF(AC77="",Y77,Y77*AC77)</f>
        <v>0</v>
      </c>
      <c r="AA77" s="4">
        <v>133</v>
      </c>
      <c r="AB77" s="4">
        <f>IF(AC77="",AA77,AA77*AC77)</f>
        <v>2660</v>
      </c>
      <c r="AC77" s="4">
        <v>20</v>
      </c>
      <c r="AD77" s="21">
        <f>ROUND(M77*AR77,0)</f>
        <v>4076</v>
      </c>
      <c r="AE77" s="6">
        <f>IFERROR(1-AB77/AD77,"-")</f>
        <v>0.34739941118743867</v>
      </c>
      <c r="AF77" s="33">
        <v>63.249999999999993</v>
      </c>
      <c r="AG77" s="4">
        <f>BI77</f>
        <v>5623</v>
      </c>
      <c r="AH77" s="33">
        <f>IFERROR(AG77*AR77,"-")</f>
        <v>6180.6528925619832</v>
      </c>
      <c r="AI77" s="6">
        <f>IFERROR(1-AB77/AH77,"-")</f>
        <v>0.56962475546861102</v>
      </c>
      <c r="AJ77" s="7">
        <v>4200</v>
      </c>
      <c r="AK77" s="6">
        <f>1-AB77/AJ77</f>
        <v>0.3666666666666667</v>
      </c>
      <c r="AL77" s="4">
        <f>AJ77-AB77</f>
        <v>1540</v>
      </c>
      <c r="AM77" s="28"/>
      <c r="AN77" s="6"/>
      <c r="AO77" s="6"/>
      <c r="AP77" s="6" t="str">
        <f>IFERROR(Z77/L77,"-")</f>
        <v>-</v>
      </c>
      <c r="AQ77" s="6">
        <f>IFERROR(AJ77/M77,"-")</f>
        <v>1.1326860841423949</v>
      </c>
      <c r="AR77" s="6">
        <f>IFERROR(AB77/N77,"-")</f>
        <v>1.0991735537190082</v>
      </c>
      <c r="AS77" s="4" t="str">
        <f t="shared" si="11"/>
        <v>-</v>
      </c>
      <c r="AT77" s="4"/>
      <c r="AU77" s="4" t="str">
        <f t="shared" si="12"/>
        <v>-</v>
      </c>
      <c r="AV77" s="4" t="str">
        <f t="shared" si="13"/>
        <v>-</v>
      </c>
      <c r="AW77" s="4" t="str">
        <f t="shared" si="14"/>
        <v>-</v>
      </c>
      <c r="AX77" s="4" t="str">
        <f t="shared" si="15"/>
        <v>-</v>
      </c>
      <c r="AY77" s="4" t="str">
        <f t="shared" si="16"/>
        <v>-</v>
      </c>
      <c r="AZ77" s="4" t="str">
        <f t="shared" si="17"/>
        <v>-</v>
      </c>
      <c r="BA77" s="4" t="str">
        <f t="shared" si="18"/>
        <v>-</v>
      </c>
      <c r="BB77" s="4" t="str">
        <f t="shared" si="19"/>
        <v>-</v>
      </c>
      <c r="BC77" s="4">
        <v>12451</v>
      </c>
      <c r="BD77" s="4" t="s">
        <v>608</v>
      </c>
      <c r="BE77" s="4"/>
      <c r="BF77" s="4"/>
      <c r="BG77" s="4" t="s">
        <v>609</v>
      </c>
      <c r="BH77" s="4">
        <v>5623</v>
      </c>
      <c r="BI77" s="4">
        <f>IF(BE77="",BH77,BE77/BF77*BH77)</f>
        <v>5623</v>
      </c>
      <c r="BJ77" s="19">
        <v>4</v>
      </c>
      <c r="BK77" s="19">
        <v>1</v>
      </c>
      <c r="BL77" s="16">
        <v>3</v>
      </c>
      <c r="BM77">
        <v>191</v>
      </c>
      <c r="BN77">
        <f t="shared" si="20"/>
        <v>209.94214876033055</v>
      </c>
      <c r="BO77">
        <v>276</v>
      </c>
      <c r="BP77">
        <f t="shared" si="21"/>
        <v>303.37190082644628</v>
      </c>
      <c r="BQ77" t="s">
        <v>465</v>
      </c>
    </row>
    <row r="78" spans="1:69" x14ac:dyDescent="0.4">
      <c r="A78" s="3">
        <v>153</v>
      </c>
      <c r="B78" s="3">
        <v>153</v>
      </c>
      <c r="C78" s="46">
        <v>788823</v>
      </c>
      <c r="D78" s="4" t="str">
        <f>TEXT(C78,"000000")</f>
        <v>788823</v>
      </c>
      <c r="E78" s="4">
        <v>788823</v>
      </c>
      <c r="F78" s="4" t="s">
        <v>267</v>
      </c>
      <c r="G78" s="5">
        <v>4996297473121</v>
      </c>
      <c r="H78" s="5"/>
      <c r="I78" s="5"/>
      <c r="J78" s="5">
        <v>2</v>
      </c>
      <c r="K78" s="5">
        <v>2</v>
      </c>
      <c r="L78" s="4">
        <v>0</v>
      </c>
      <c r="M78" s="4">
        <v>191</v>
      </c>
      <c r="N78" s="4">
        <v>121</v>
      </c>
      <c r="O78" s="6">
        <f>IFERROR(1-N78/M78,"-")</f>
        <v>0.36649214659685869</v>
      </c>
      <c r="P78" s="4" t="s">
        <v>422</v>
      </c>
      <c r="Q78" s="4" t="s">
        <v>422</v>
      </c>
      <c r="R78" s="4" t="s">
        <v>422</v>
      </c>
      <c r="S78" s="4" t="s">
        <v>422</v>
      </c>
      <c r="T78" s="4" t="s">
        <v>422</v>
      </c>
      <c r="U78" s="4" t="s">
        <v>422</v>
      </c>
      <c r="V78" s="4" t="s">
        <v>422</v>
      </c>
      <c r="W78" s="4" t="s">
        <v>422</v>
      </c>
      <c r="X78" s="4" t="s">
        <v>422</v>
      </c>
      <c r="Y78" s="4">
        <v>0</v>
      </c>
      <c r="Z78" s="4">
        <f>IF(AC78="",Y78,Y78*AC78)</f>
        <v>0</v>
      </c>
      <c r="AA78" s="4">
        <v>133</v>
      </c>
      <c r="AB78" s="4">
        <f>IF(AC78="",AA78,AA78*AC78)</f>
        <v>133</v>
      </c>
      <c r="AC78" s="4"/>
      <c r="AD78" s="21">
        <f>ROUND(M78*AR78,0)</f>
        <v>210</v>
      </c>
      <c r="AE78" s="6">
        <f>IFERROR(1-AB78/AD78,"-")</f>
        <v>0.3666666666666667</v>
      </c>
      <c r="AF78" s="33">
        <v>7.2499999999999991</v>
      </c>
      <c r="AG78" s="4">
        <f>BI78</f>
        <v>366.6</v>
      </c>
      <c r="AH78" s="33">
        <f>IFERROR(AG78*AR78,"-")</f>
        <v>402.95702479338843</v>
      </c>
      <c r="AI78" s="6">
        <f>IFERROR(1-AB78/AH78,"-")</f>
        <v>0.66993998908892527</v>
      </c>
      <c r="AJ78" s="7">
        <v>230</v>
      </c>
      <c r="AK78" s="6">
        <f>1-AB78/AJ78</f>
        <v>0.42173913043478262</v>
      </c>
      <c r="AL78" s="4">
        <f>AJ78-AB78</f>
        <v>97</v>
      </c>
      <c r="AM78" s="28"/>
      <c r="AN78" s="6"/>
      <c r="AO78" s="6"/>
      <c r="AP78" s="6" t="str">
        <f>IFERROR(Z78/L78,"-")</f>
        <v>-</v>
      </c>
      <c r="AQ78" s="6">
        <f>IFERROR(AJ78/M78,"-")</f>
        <v>1.2041884816753927</v>
      </c>
      <c r="AR78" s="6">
        <f>IFERROR(AB78/N78,"-")</f>
        <v>1.0991735537190082</v>
      </c>
      <c r="AS78" s="4" t="str">
        <f t="shared" si="11"/>
        <v>-</v>
      </c>
      <c r="AT78" s="4"/>
      <c r="AU78" s="4" t="str">
        <f t="shared" si="12"/>
        <v>-</v>
      </c>
      <c r="AV78" s="4" t="str">
        <f t="shared" si="13"/>
        <v>-</v>
      </c>
      <c r="AW78" s="4" t="str">
        <f t="shared" si="14"/>
        <v>-</v>
      </c>
      <c r="AX78" s="4" t="str">
        <f t="shared" si="15"/>
        <v>-</v>
      </c>
      <c r="AY78" s="4" t="str">
        <f t="shared" si="16"/>
        <v>-</v>
      </c>
      <c r="AZ78" s="4" t="str">
        <f t="shared" si="17"/>
        <v>-</v>
      </c>
      <c r="BA78" s="4" t="str">
        <f t="shared" si="18"/>
        <v>-</v>
      </c>
      <c r="BB78" s="4" t="str">
        <f t="shared" si="19"/>
        <v>-</v>
      </c>
      <c r="BC78" s="4">
        <v>12451</v>
      </c>
      <c r="BD78" s="4" t="s">
        <v>610</v>
      </c>
      <c r="BE78" s="4">
        <v>1</v>
      </c>
      <c r="BF78" s="4">
        <v>5</v>
      </c>
      <c r="BG78" s="4" t="s">
        <v>582</v>
      </c>
      <c r="BH78" s="4">
        <v>1833</v>
      </c>
      <c r="BI78" s="4">
        <f>IF(BE78="",BH78,BE78/BF78*BH78)</f>
        <v>366.6</v>
      </c>
      <c r="BJ78" s="19">
        <v>4</v>
      </c>
      <c r="BK78" s="19">
        <v>1</v>
      </c>
      <c r="BL78" s="16">
        <v>3</v>
      </c>
      <c r="BM78" t="s">
        <v>422</v>
      </c>
      <c r="BN78" t="str">
        <f t="shared" si="20"/>
        <v>-</v>
      </c>
      <c r="BO78">
        <v>276</v>
      </c>
      <c r="BP78">
        <f t="shared" si="21"/>
        <v>303.37190082644628</v>
      </c>
      <c r="BQ78" t="s">
        <v>466</v>
      </c>
    </row>
    <row r="79" spans="1:69" x14ac:dyDescent="0.4">
      <c r="A79" s="3">
        <v>247</v>
      </c>
      <c r="B79" s="3">
        <v>153</v>
      </c>
      <c r="C79" s="46">
        <v>788823</v>
      </c>
      <c r="D79" s="4" t="str">
        <f>TEXT(C79,"000000")</f>
        <v>788823</v>
      </c>
      <c r="E79" s="4">
        <v>629715</v>
      </c>
      <c r="F79" s="4" t="s">
        <v>387</v>
      </c>
      <c r="G79" s="5">
        <v>4996297473121</v>
      </c>
      <c r="H79" s="5">
        <v>8</v>
      </c>
      <c r="I79" s="5" t="str">
        <f>C79&amp;H79</f>
        <v>7888238</v>
      </c>
      <c r="J79" s="5"/>
      <c r="K79" s="5"/>
      <c r="L79" s="4">
        <v>0</v>
      </c>
      <c r="M79" s="4">
        <v>3708</v>
      </c>
      <c r="N79" s="4">
        <v>2420</v>
      </c>
      <c r="O79" s="6">
        <f>IFERROR(1-N79/M79,"-")</f>
        <v>0.34735706580366776</v>
      </c>
      <c r="P79" s="4" t="s">
        <v>422</v>
      </c>
      <c r="Q79" s="4" t="s">
        <v>422</v>
      </c>
      <c r="R79" s="4" t="s">
        <v>422</v>
      </c>
      <c r="S79" s="4" t="s">
        <v>422</v>
      </c>
      <c r="T79" s="4" t="s">
        <v>422</v>
      </c>
      <c r="U79" s="4" t="s">
        <v>422</v>
      </c>
      <c r="V79" s="4" t="s">
        <v>422</v>
      </c>
      <c r="W79" s="4" t="s">
        <v>422</v>
      </c>
      <c r="X79" s="4" t="s">
        <v>422</v>
      </c>
      <c r="Y79" s="4">
        <v>0</v>
      </c>
      <c r="Z79" s="4">
        <f>IF(AC79="",Y79,Y79*AC79)</f>
        <v>0</v>
      </c>
      <c r="AA79" s="4">
        <v>133</v>
      </c>
      <c r="AB79" s="4">
        <f>IF(AC79="",AA79,AA79*AC79)</f>
        <v>2660</v>
      </c>
      <c r="AC79" s="4">
        <v>20</v>
      </c>
      <c r="AD79" s="21">
        <f>ROUND(M79*AR79,0)</f>
        <v>4076</v>
      </c>
      <c r="AE79" s="6">
        <f>IFERROR(1-AB79/AD79,"-")</f>
        <v>0.34739941118743867</v>
      </c>
      <c r="AF79" s="33">
        <v>7.2499999999999991</v>
      </c>
      <c r="AG79" s="4">
        <f>BI79</f>
        <v>7332</v>
      </c>
      <c r="AH79" s="33">
        <f>IFERROR(AG79*AR79,"-")</f>
        <v>8059.1404958677676</v>
      </c>
      <c r="AI79" s="6">
        <f>IFERROR(1-AB79/AH79,"-")</f>
        <v>0.66993998908892527</v>
      </c>
      <c r="AJ79" s="7">
        <v>4200</v>
      </c>
      <c r="AK79" s="6">
        <f>1-AB79/AJ79</f>
        <v>0.3666666666666667</v>
      </c>
      <c r="AL79" s="4">
        <f>AJ79-AB79</f>
        <v>1540</v>
      </c>
      <c r="AM79" s="28"/>
      <c r="AN79" s="6"/>
      <c r="AO79" s="6"/>
      <c r="AP79" s="6" t="str">
        <f>IFERROR(Z79/L79,"-")</f>
        <v>-</v>
      </c>
      <c r="AQ79" s="6">
        <f>IFERROR(AJ79/M79,"-")</f>
        <v>1.1326860841423949</v>
      </c>
      <c r="AR79" s="6">
        <f>IFERROR(AB79/N79,"-")</f>
        <v>1.0991735537190082</v>
      </c>
      <c r="AS79" s="4" t="str">
        <f t="shared" si="11"/>
        <v>-</v>
      </c>
      <c r="AT79" s="4"/>
      <c r="AU79" s="4" t="str">
        <f t="shared" si="12"/>
        <v>-</v>
      </c>
      <c r="AV79" s="4" t="str">
        <f t="shared" si="13"/>
        <v>-</v>
      </c>
      <c r="AW79" s="4" t="str">
        <f t="shared" si="14"/>
        <v>-</v>
      </c>
      <c r="AX79" s="4" t="str">
        <f t="shared" si="15"/>
        <v>-</v>
      </c>
      <c r="AY79" s="4" t="str">
        <f t="shared" si="16"/>
        <v>-</v>
      </c>
      <c r="AZ79" s="4" t="str">
        <f t="shared" si="17"/>
        <v>-</v>
      </c>
      <c r="BA79" s="4" t="str">
        <f t="shared" si="18"/>
        <v>-</v>
      </c>
      <c r="BB79" s="4" t="str">
        <f t="shared" si="19"/>
        <v>-</v>
      </c>
      <c r="BC79" s="4">
        <v>12451</v>
      </c>
      <c r="BD79" s="4" t="s">
        <v>610</v>
      </c>
      <c r="BE79" s="4">
        <v>20</v>
      </c>
      <c r="BF79" s="4">
        <v>5</v>
      </c>
      <c r="BG79" s="4" t="s">
        <v>582</v>
      </c>
      <c r="BH79" s="4">
        <v>1833</v>
      </c>
      <c r="BI79" s="4">
        <f>IF(BE79="",BH79,BE79/BF79*BH79)</f>
        <v>7332</v>
      </c>
      <c r="BJ79" s="19">
        <v>4</v>
      </c>
      <c r="BK79" s="19">
        <v>1</v>
      </c>
      <c r="BL79" s="16">
        <v>3</v>
      </c>
      <c r="BM79" t="s">
        <v>422</v>
      </c>
      <c r="BN79" t="str">
        <f t="shared" si="20"/>
        <v>-</v>
      </c>
      <c r="BO79">
        <v>276</v>
      </c>
      <c r="BP79">
        <f t="shared" si="21"/>
        <v>303.37190082644628</v>
      </c>
      <c r="BQ79" t="s">
        <v>466</v>
      </c>
    </row>
    <row r="80" spans="1:69" x14ac:dyDescent="0.4">
      <c r="A80" s="3">
        <v>39</v>
      </c>
      <c r="B80" s="3">
        <v>39</v>
      </c>
      <c r="C80" s="4">
        <v>11226</v>
      </c>
      <c r="D80" s="4" t="str">
        <f>TEXT(C80,"000000")</f>
        <v>011226</v>
      </c>
      <c r="E80" s="4">
        <v>586584</v>
      </c>
      <c r="F80" s="4" t="s">
        <v>154</v>
      </c>
      <c r="G80" s="5">
        <v>4996297304012</v>
      </c>
      <c r="H80" s="5"/>
      <c r="I80" s="5"/>
      <c r="J80" s="5">
        <v>1</v>
      </c>
      <c r="K80" s="5">
        <v>1</v>
      </c>
      <c r="L80" s="4">
        <v>0</v>
      </c>
      <c r="M80" s="4">
        <v>240</v>
      </c>
      <c r="N80" s="4">
        <v>131</v>
      </c>
      <c r="O80" s="6">
        <f>IFERROR(1-N80/M80,"-")</f>
        <v>0.45416666666666672</v>
      </c>
      <c r="P80" s="4" t="s">
        <v>422</v>
      </c>
      <c r="Q80" s="4" t="s">
        <v>422</v>
      </c>
      <c r="R80" s="4" t="s">
        <v>422</v>
      </c>
      <c r="S80" s="4" t="s">
        <v>422</v>
      </c>
      <c r="T80" s="4" t="s">
        <v>422</v>
      </c>
      <c r="U80" s="4" t="s">
        <v>422</v>
      </c>
      <c r="V80" s="4" t="s">
        <v>422</v>
      </c>
      <c r="W80" s="4" t="s">
        <v>422</v>
      </c>
      <c r="X80" s="4" t="s">
        <v>422</v>
      </c>
      <c r="Y80" s="4">
        <v>0</v>
      </c>
      <c r="Z80" s="4">
        <f>IF(AC80="",Y80,Y80*AC80)</f>
        <v>0</v>
      </c>
      <c r="AA80" s="4">
        <v>144</v>
      </c>
      <c r="AB80" s="4">
        <f>IF(AC80="",AA80,AA80*AC80)</f>
        <v>144</v>
      </c>
      <c r="AC80" s="4"/>
      <c r="AD80" s="21">
        <f>ROUND(M80*AR80,0)</f>
        <v>264</v>
      </c>
      <c r="AE80" s="6">
        <f>IFERROR(1-AB80/AD80,"-")</f>
        <v>0.45454545454545459</v>
      </c>
      <c r="AF80" s="33">
        <v>3.75</v>
      </c>
      <c r="AG80" s="4" t="str">
        <f>BI80</f>
        <v>-</v>
      </c>
      <c r="AH80" s="33" t="str">
        <f>IFERROR(AG80*AR80,"-")</f>
        <v>-</v>
      </c>
      <c r="AI80" s="6" t="str">
        <f>IFERROR(1-AB80/AH80,"-")</f>
        <v>-</v>
      </c>
      <c r="AJ80" s="7">
        <v>260</v>
      </c>
      <c r="AK80" s="6">
        <f>1-AB80/AJ80</f>
        <v>0.44615384615384612</v>
      </c>
      <c r="AL80" s="4">
        <f>AJ80-AB80</f>
        <v>116</v>
      </c>
      <c r="AM80" s="28"/>
      <c r="AN80" s="6"/>
      <c r="AO80" s="6"/>
      <c r="AP80" s="6" t="str">
        <f>IFERROR(Z80/L80,"-")</f>
        <v>-</v>
      </c>
      <c r="AQ80" s="6">
        <f>IFERROR(AJ80/M80,"-")</f>
        <v>1.0833333333333333</v>
      </c>
      <c r="AR80" s="6">
        <f>IFERROR(AB80/N80,"-")</f>
        <v>1.0992366412213741</v>
      </c>
      <c r="AS80" s="4" t="str">
        <f t="shared" si="11"/>
        <v>-</v>
      </c>
      <c r="AT80" s="4"/>
      <c r="AU80" s="4" t="str">
        <f t="shared" si="12"/>
        <v>-</v>
      </c>
      <c r="AV80" s="4" t="str">
        <f t="shared" si="13"/>
        <v>-</v>
      </c>
      <c r="AW80" s="4" t="str">
        <f t="shared" si="14"/>
        <v>-</v>
      </c>
      <c r="AX80" s="4" t="str">
        <f t="shared" si="15"/>
        <v>-</v>
      </c>
      <c r="AY80" s="4" t="str">
        <f t="shared" si="16"/>
        <v>-</v>
      </c>
      <c r="AZ80" s="4" t="str">
        <f t="shared" si="17"/>
        <v>-</v>
      </c>
      <c r="BA80" s="4" t="str">
        <f t="shared" si="18"/>
        <v>-</v>
      </c>
      <c r="BB80" s="4" t="str">
        <f t="shared" si="19"/>
        <v>-</v>
      </c>
      <c r="BC80" s="4" t="s">
        <v>408</v>
      </c>
      <c r="BD80" s="4" t="s">
        <v>422</v>
      </c>
      <c r="BE80" s="4"/>
      <c r="BF80" s="4"/>
      <c r="BG80" s="4" t="s">
        <v>422</v>
      </c>
      <c r="BH80" s="4" t="s">
        <v>422</v>
      </c>
      <c r="BI80" s="4" t="str">
        <f>IF(BE80="",BH80,BE80/BF80*BH80)</f>
        <v>-</v>
      </c>
      <c r="BJ80" s="19">
        <v>4</v>
      </c>
      <c r="BK80" s="19">
        <v>1</v>
      </c>
      <c r="BL80" s="16">
        <v>3</v>
      </c>
      <c r="BM80" t="s">
        <v>422</v>
      </c>
      <c r="BN80" t="str">
        <f t="shared" si="20"/>
        <v>-</v>
      </c>
      <c r="BO80" t="s">
        <v>422</v>
      </c>
      <c r="BP80" t="str">
        <f t="shared" si="21"/>
        <v>-</v>
      </c>
      <c r="BQ80" t="s">
        <v>422</v>
      </c>
    </row>
    <row r="81" spans="1:69" x14ac:dyDescent="0.4">
      <c r="A81" s="3">
        <v>42</v>
      </c>
      <c r="B81" s="3">
        <v>42</v>
      </c>
      <c r="C81" s="4">
        <v>11227</v>
      </c>
      <c r="D81" s="4" t="str">
        <f>TEXT(C81,"000000")</f>
        <v>011227</v>
      </c>
      <c r="E81" s="4">
        <v>586593</v>
      </c>
      <c r="F81" s="4" t="s">
        <v>157</v>
      </c>
      <c r="G81" s="5">
        <v>4996297304043</v>
      </c>
      <c r="H81" s="5"/>
      <c r="I81" s="5"/>
      <c r="J81" s="5">
        <v>1</v>
      </c>
      <c r="K81" s="5">
        <v>1</v>
      </c>
      <c r="L81" s="4">
        <v>0</v>
      </c>
      <c r="M81" s="4">
        <v>240</v>
      </c>
      <c r="N81" s="4">
        <v>131</v>
      </c>
      <c r="O81" s="6">
        <f>IFERROR(1-N81/M81,"-")</f>
        <v>0.45416666666666672</v>
      </c>
      <c r="P81" s="4" t="s">
        <v>422</v>
      </c>
      <c r="Q81" s="4" t="s">
        <v>422</v>
      </c>
      <c r="R81" s="4" t="s">
        <v>422</v>
      </c>
      <c r="S81" s="4" t="s">
        <v>422</v>
      </c>
      <c r="T81" s="4" t="s">
        <v>422</v>
      </c>
      <c r="U81" s="4" t="s">
        <v>422</v>
      </c>
      <c r="V81" s="4" t="s">
        <v>422</v>
      </c>
      <c r="W81" s="4" t="s">
        <v>422</v>
      </c>
      <c r="X81" s="4" t="s">
        <v>422</v>
      </c>
      <c r="Y81" s="4">
        <v>0</v>
      </c>
      <c r="Z81" s="4">
        <f>IF(AC81="",Y81,Y81*AC81)</f>
        <v>0</v>
      </c>
      <c r="AA81" s="4">
        <v>144</v>
      </c>
      <c r="AB81" s="4">
        <f>IF(AC81="",AA81,AA81*AC81)</f>
        <v>144</v>
      </c>
      <c r="AC81" s="4"/>
      <c r="AD81" s="21">
        <f>ROUND(M81*AR81,0)</f>
        <v>264</v>
      </c>
      <c r="AE81" s="6">
        <f>IFERROR(1-AB81/AD81,"-")</f>
        <v>0.45454545454545459</v>
      </c>
      <c r="AF81" s="33">
        <v>73.5</v>
      </c>
      <c r="AG81" s="4" t="str">
        <f>BI81</f>
        <v>-</v>
      </c>
      <c r="AH81" s="33" t="str">
        <f>IFERROR(AG81*AR81,"-")</f>
        <v>-</v>
      </c>
      <c r="AI81" s="6" t="str">
        <f>IFERROR(1-AB81/AH81,"-")</f>
        <v>-</v>
      </c>
      <c r="AJ81" s="7">
        <v>260</v>
      </c>
      <c r="AK81" s="6">
        <f>1-AB81/AJ81</f>
        <v>0.44615384615384612</v>
      </c>
      <c r="AL81" s="4">
        <f>AJ81-AB81</f>
        <v>116</v>
      </c>
      <c r="AM81" s="28"/>
      <c r="AN81" s="6"/>
      <c r="AO81" s="6"/>
      <c r="AP81" s="6" t="str">
        <f>IFERROR(Z81/L81,"-")</f>
        <v>-</v>
      </c>
      <c r="AQ81" s="6">
        <f>IFERROR(AJ81/M81,"-")</f>
        <v>1.0833333333333333</v>
      </c>
      <c r="AR81" s="6">
        <f>IFERROR(AB81/N81,"-")</f>
        <v>1.0992366412213741</v>
      </c>
      <c r="AS81" s="4" t="str">
        <f t="shared" si="11"/>
        <v>-</v>
      </c>
      <c r="AT81" s="4"/>
      <c r="AU81" s="4" t="str">
        <f t="shared" si="12"/>
        <v>-</v>
      </c>
      <c r="AV81" s="4" t="str">
        <f t="shared" si="13"/>
        <v>-</v>
      </c>
      <c r="AW81" s="4" t="str">
        <f t="shared" si="14"/>
        <v>-</v>
      </c>
      <c r="AX81" s="4" t="str">
        <f t="shared" si="15"/>
        <v>-</v>
      </c>
      <c r="AY81" s="4" t="str">
        <f t="shared" si="16"/>
        <v>-</v>
      </c>
      <c r="AZ81" s="4" t="str">
        <f t="shared" si="17"/>
        <v>-</v>
      </c>
      <c r="BA81" s="4" t="str">
        <f t="shared" si="18"/>
        <v>-</v>
      </c>
      <c r="BB81" s="4" t="str">
        <f t="shared" si="19"/>
        <v>-</v>
      </c>
      <c r="BC81" s="4" t="s">
        <v>408</v>
      </c>
      <c r="BD81" s="4" t="s">
        <v>422</v>
      </c>
      <c r="BE81" s="4"/>
      <c r="BF81" s="4"/>
      <c r="BG81" s="4" t="s">
        <v>422</v>
      </c>
      <c r="BH81" s="4" t="s">
        <v>422</v>
      </c>
      <c r="BI81" s="4" t="str">
        <f>IF(BE81="",BH81,BE81/BF81*BH81)</f>
        <v>-</v>
      </c>
      <c r="BJ81" s="19">
        <v>4</v>
      </c>
      <c r="BK81" s="19">
        <v>1</v>
      </c>
      <c r="BL81" s="16">
        <v>3</v>
      </c>
      <c r="BM81" t="s">
        <v>422</v>
      </c>
      <c r="BN81" t="str">
        <f t="shared" si="20"/>
        <v>-</v>
      </c>
      <c r="BO81" t="s">
        <v>422</v>
      </c>
      <c r="BP81" t="str">
        <f t="shared" si="21"/>
        <v>-</v>
      </c>
      <c r="BQ81" t="s">
        <v>422</v>
      </c>
    </row>
    <row r="82" spans="1:69" x14ac:dyDescent="0.4">
      <c r="A82" s="3">
        <v>41</v>
      </c>
      <c r="B82" s="3">
        <v>41</v>
      </c>
      <c r="C82" s="4">
        <v>11228</v>
      </c>
      <c r="D82" s="4" t="str">
        <f>TEXT(C82,"000000")</f>
        <v>011228</v>
      </c>
      <c r="E82" s="4">
        <v>586602</v>
      </c>
      <c r="F82" s="4" t="s">
        <v>156</v>
      </c>
      <c r="G82" s="5">
        <v>4996297304036</v>
      </c>
      <c r="H82" s="5"/>
      <c r="I82" s="5"/>
      <c r="J82" s="5">
        <v>1</v>
      </c>
      <c r="K82" s="5">
        <v>1</v>
      </c>
      <c r="L82" s="4">
        <v>0</v>
      </c>
      <c r="M82" s="4">
        <v>240</v>
      </c>
      <c r="N82" s="4">
        <v>131</v>
      </c>
      <c r="O82" s="6">
        <f>IFERROR(1-N82/M82,"-")</f>
        <v>0.45416666666666672</v>
      </c>
      <c r="P82" s="4" t="s">
        <v>422</v>
      </c>
      <c r="Q82" s="4" t="s">
        <v>422</v>
      </c>
      <c r="R82" s="4" t="s">
        <v>422</v>
      </c>
      <c r="S82" s="4" t="s">
        <v>422</v>
      </c>
      <c r="T82" s="4" t="s">
        <v>422</v>
      </c>
      <c r="U82" s="4" t="s">
        <v>422</v>
      </c>
      <c r="V82" s="4" t="s">
        <v>422</v>
      </c>
      <c r="W82" s="4" t="s">
        <v>422</v>
      </c>
      <c r="X82" s="4" t="s">
        <v>422</v>
      </c>
      <c r="Y82" s="4">
        <v>0</v>
      </c>
      <c r="Z82" s="4">
        <f>IF(AC82="",Y82,Y82*AC82)</f>
        <v>0</v>
      </c>
      <c r="AA82" s="4">
        <v>144</v>
      </c>
      <c r="AB82" s="4">
        <f>IF(AC82="",AA82,AA82*AC82)</f>
        <v>144</v>
      </c>
      <c r="AC82" s="4"/>
      <c r="AD82" s="21">
        <f>ROUND(M82*AR82,0)</f>
        <v>264</v>
      </c>
      <c r="AE82" s="6">
        <f>IFERROR(1-AB82/AD82,"-")</f>
        <v>0.45454545454545459</v>
      </c>
      <c r="AF82" s="33">
        <v>6.75</v>
      </c>
      <c r="AG82" s="4" t="str">
        <f>BI82</f>
        <v>-</v>
      </c>
      <c r="AH82" s="33" t="str">
        <f>IFERROR(AG82*AR82,"-")</f>
        <v>-</v>
      </c>
      <c r="AI82" s="6" t="str">
        <f>IFERROR(1-AB82/AH82,"-")</f>
        <v>-</v>
      </c>
      <c r="AJ82" s="7">
        <v>260</v>
      </c>
      <c r="AK82" s="6">
        <f>1-AB82/AJ82</f>
        <v>0.44615384615384612</v>
      </c>
      <c r="AL82" s="4">
        <f>AJ82-AB82</f>
        <v>116</v>
      </c>
      <c r="AM82" s="28"/>
      <c r="AN82" s="6"/>
      <c r="AO82" s="6"/>
      <c r="AP82" s="6" t="str">
        <f>IFERROR(Z82/L82,"-")</f>
        <v>-</v>
      </c>
      <c r="AQ82" s="6">
        <f>IFERROR(AJ82/M82,"-")</f>
        <v>1.0833333333333333</v>
      </c>
      <c r="AR82" s="6">
        <f>IFERROR(AB82/N82,"-")</f>
        <v>1.0992366412213741</v>
      </c>
      <c r="AS82" s="4" t="str">
        <f t="shared" si="11"/>
        <v>-</v>
      </c>
      <c r="AT82" s="4"/>
      <c r="AU82" s="4" t="str">
        <f t="shared" si="12"/>
        <v>-</v>
      </c>
      <c r="AV82" s="4" t="str">
        <f t="shared" si="13"/>
        <v>-</v>
      </c>
      <c r="AW82" s="4" t="str">
        <f t="shared" si="14"/>
        <v>-</v>
      </c>
      <c r="AX82" s="4" t="str">
        <f t="shared" si="15"/>
        <v>-</v>
      </c>
      <c r="AY82" s="4" t="str">
        <f t="shared" si="16"/>
        <v>-</v>
      </c>
      <c r="AZ82" s="4" t="str">
        <f t="shared" si="17"/>
        <v>-</v>
      </c>
      <c r="BA82" s="4" t="str">
        <f t="shared" si="18"/>
        <v>-</v>
      </c>
      <c r="BB82" s="4" t="str">
        <f t="shared" si="19"/>
        <v>-</v>
      </c>
      <c r="BC82" s="4" t="s">
        <v>408</v>
      </c>
      <c r="BD82" s="4" t="s">
        <v>422</v>
      </c>
      <c r="BE82" s="4"/>
      <c r="BF82" s="4"/>
      <c r="BG82" s="4" t="s">
        <v>422</v>
      </c>
      <c r="BH82" s="4" t="s">
        <v>422</v>
      </c>
      <c r="BI82" s="4" t="str">
        <f>IF(BE82="",BH82,BE82/BF82*BH82)</f>
        <v>-</v>
      </c>
      <c r="BJ82" s="19">
        <v>4</v>
      </c>
      <c r="BK82" s="19">
        <v>1</v>
      </c>
      <c r="BL82" s="16">
        <v>3</v>
      </c>
      <c r="BM82" t="s">
        <v>422</v>
      </c>
      <c r="BN82" t="str">
        <f t="shared" si="20"/>
        <v>-</v>
      </c>
      <c r="BO82" t="s">
        <v>422</v>
      </c>
      <c r="BP82" t="str">
        <f t="shared" si="21"/>
        <v>-</v>
      </c>
      <c r="BQ82" t="s">
        <v>422</v>
      </c>
    </row>
    <row r="83" spans="1:69" x14ac:dyDescent="0.4">
      <c r="A83" s="3">
        <v>38</v>
      </c>
      <c r="B83" s="3">
        <v>38</v>
      </c>
      <c r="C83" s="4">
        <v>11229</v>
      </c>
      <c r="D83" s="4" t="str">
        <f>TEXT(C83,"000000")</f>
        <v>011229</v>
      </c>
      <c r="E83" s="4">
        <v>586611</v>
      </c>
      <c r="F83" s="4" t="s">
        <v>153</v>
      </c>
      <c r="G83" s="5">
        <v>4996297304005</v>
      </c>
      <c r="H83" s="5"/>
      <c r="I83" s="5"/>
      <c r="J83" s="5">
        <v>1</v>
      </c>
      <c r="K83" s="5">
        <v>1</v>
      </c>
      <c r="L83" s="4">
        <v>0</v>
      </c>
      <c r="M83" s="4">
        <v>240</v>
      </c>
      <c r="N83" s="4">
        <v>131</v>
      </c>
      <c r="O83" s="6">
        <f>IFERROR(1-N83/M83,"-")</f>
        <v>0.45416666666666672</v>
      </c>
      <c r="P83" s="4" t="s">
        <v>422</v>
      </c>
      <c r="Q83" s="4" t="s">
        <v>422</v>
      </c>
      <c r="R83" s="4" t="s">
        <v>422</v>
      </c>
      <c r="S83" s="4" t="s">
        <v>422</v>
      </c>
      <c r="T83" s="4" t="s">
        <v>422</v>
      </c>
      <c r="U83" s="4" t="s">
        <v>422</v>
      </c>
      <c r="V83" s="4" t="s">
        <v>422</v>
      </c>
      <c r="W83" s="4" t="s">
        <v>422</v>
      </c>
      <c r="X83" s="4" t="s">
        <v>422</v>
      </c>
      <c r="Y83" s="4">
        <v>0</v>
      </c>
      <c r="Z83" s="4">
        <f>IF(AC83="",Y83,Y83*AC83)</f>
        <v>0</v>
      </c>
      <c r="AA83" s="4">
        <v>144</v>
      </c>
      <c r="AB83" s="4">
        <f>IF(AC83="",AA83,AA83*AC83)</f>
        <v>144</v>
      </c>
      <c r="AC83" s="4"/>
      <c r="AD83" s="21">
        <f>ROUND(M83*AR83,0)</f>
        <v>264</v>
      </c>
      <c r="AE83" s="6">
        <f>IFERROR(1-AB83/AD83,"-")</f>
        <v>0.45454545454545459</v>
      </c>
      <c r="AF83" s="33">
        <v>4.5</v>
      </c>
      <c r="AG83" s="4" t="str">
        <f>BI83</f>
        <v>-</v>
      </c>
      <c r="AH83" s="33" t="str">
        <f>IFERROR(AG83*AR83,"-")</f>
        <v>-</v>
      </c>
      <c r="AI83" s="6" t="str">
        <f>IFERROR(1-AB83/AH83,"-")</f>
        <v>-</v>
      </c>
      <c r="AJ83" s="7">
        <v>260</v>
      </c>
      <c r="AK83" s="6">
        <f>1-AB83/AJ83</f>
        <v>0.44615384615384612</v>
      </c>
      <c r="AL83" s="4">
        <f>AJ83-AB83</f>
        <v>116</v>
      </c>
      <c r="AM83" s="28"/>
      <c r="AN83" s="6"/>
      <c r="AO83" s="6"/>
      <c r="AP83" s="6" t="str">
        <f>IFERROR(Z83/L83,"-")</f>
        <v>-</v>
      </c>
      <c r="AQ83" s="6">
        <f>IFERROR(AJ83/M83,"-")</f>
        <v>1.0833333333333333</v>
      </c>
      <c r="AR83" s="6">
        <f>IFERROR(AB83/N83,"-")</f>
        <v>1.0992366412213741</v>
      </c>
      <c r="AS83" s="4" t="str">
        <f t="shared" si="11"/>
        <v>-</v>
      </c>
      <c r="AT83" s="4"/>
      <c r="AU83" s="4" t="str">
        <f t="shared" si="12"/>
        <v>-</v>
      </c>
      <c r="AV83" s="4" t="str">
        <f t="shared" si="13"/>
        <v>-</v>
      </c>
      <c r="AW83" s="4" t="str">
        <f t="shared" si="14"/>
        <v>-</v>
      </c>
      <c r="AX83" s="4" t="str">
        <f t="shared" si="15"/>
        <v>-</v>
      </c>
      <c r="AY83" s="4" t="str">
        <f t="shared" si="16"/>
        <v>-</v>
      </c>
      <c r="AZ83" s="4" t="str">
        <f t="shared" si="17"/>
        <v>-</v>
      </c>
      <c r="BA83" s="4" t="str">
        <f t="shared" si="18"/>
        <v>-</v>
      </c>
      <c r="BB83" s="4" t="str">
        <f t="shared" si="19"/>
        <v>-</v>
      </c>
      <c r="BC83" s="4" t="s">
        <v>408</v>
      </c>
      <c r="BD83" s="4" t="s">
        <v>422</v>
      </c>
      <c r="BE83" s="4"/>
      <c r="BF83" s="4"/>
      <c r="BG83" s="4" t="s">
        <v>422</v>
      </c>
      <c r="BH83" s="4" t="s">
        <v>422</v>
      </c>
      <c r="BI83" s="4" t="str">
        <f>IF(BE83="",BH83,BE83/BF83*BH83)</f>
        <v>-</v>
      </c>
      <c r="BJ83" s="19">
        <v>4</v>
      </c>
      <c r="BK83" s="19">
        <v>1</v>
      </c>
      <c r="BL83" s="16">
        <v>3</v>
      </c>
      <c r="BM83" t="s">
        <v>422</v>
      </c>
      <c r="BN83" t="str">
        <f t="shared" si="20"/>
        <v>-</v>
      </c>
      <c r="BO83" t="s">
        <v>422</v>
      </c>
      <c r="BP83" t="str">
        <f t="shared" si="21"/>
        <v>-</v>
      </c>
      <c r="BQ83" t="s">
        <v>422</v>
      </c>
    </row>
    <row r="84" spans="1:69" x14ac:dyDescent="0.4">
      <c r="A84" s="3">
        <v>40</v>
      </c>
      <c r="B84" s="3">
        <v>40</v>
      </c>
      <c r="C84" s="4">
        <v>11230</v>
      </c>
      <c r="D84" s="4" t="str">
        <f>TEXT(C84,"000000")</f>
        <v>011230</v>
      </c>
      <c r="E84" s="4">
        <v>586629</v>
      </c>
      <c r="F84" s="4" t="s">
        <v>155</v>
      </c>
      <c r="G84" s="5">
        <v>4996297304029</v>
      </c>
      <c r="H84" s="5"/>
      <c r="I84" s="5"/>
      <c r="J84" s="5">
        <v>1</v>
      </c>
      <c r="K84" s="5">
        <v>1</v>
      </c>
      <c r="L84" s="4">
        <v>0</v>
      </c>
      <c r="M84" s="4">
        <v>240</v>
      </c>
      <c r="N84" s="4">
        <v>131</v>
      </c>
      <c r="O84" s="6">
        <f>IFERROR(1-N84/M84,"-")</f>
        <v>0.45416666666666672</v>
      </c>
      <c r="P84" s="4" t="s">
        <v>422</v>
      </c>
      <c r="Q84" s="4" t="s">
        <v>422</v>
      </c>
      <c r="R84" s="4" t="s">
        <v>422</v>
      </c>
      <c r="S84" s="4" t="s">
        <v>422</v>
      </c>
      <c r="T84" s="4" t="s">
        <v>422</v>
      </c>
      <c r="U84" s="4" t="s">
        <v>422</v>
      </c>
      <c r="V84" s="4" t="s">
        <v>422</v>
      </c>
      <c r="W84" s="4" t="s">
        <v>422</v>
      </c>
      <c r="X84" s="4" t="s">
        <v>422</v>
      </c>
      <c r="Y84" s="4">
        <v>0</v>
      </c>
      <c r="Z84" s="4">
        <f>IF(AC84="",Y84,Y84*AC84)</f>
        <v>0</v>
      </c>
      <c r="AA84" s="4">
        <v>144</v>
      </c>
      <c r="AB84" s="4">
        <f>IF(AC84="",AA84,AA84*AC84)</f>
        <v>144</v>
      </c>
      <c r="AC84" s="4"/>
      <c r="AD84" s="21">
        <f>ROUND(M84*AR84,0)</f>
        <v>264</v>
      </c>
      <c r="AE84" s="6">
        <f>IFERROR(1-AB84/AD84,"-")</f>
        <v>0.45454545454545459</v>
      </c>
      <c r="AF84" s="33">
        <v>13</v>
      </c>
      <c r="AG84" s="4" t="str">
        <f>BI84</f>
        <v>-</v>
      </c>
      <c r="AH84" s="33" t="str">
        <f>IFERROR(AG84*AR84,"-")</f>
        <v>-</v>
      </c>
      <c r="AI84" s="6" t="str">
        <f>IFERROR(1-AB84/AH84,"-")</f>
        <v>-</v>
      </c>
      <c r="AJ84" s="7">
        <v>260</v>
      </c>
      <c r="AK84" s="6">
        <f>1-AB84/AJ84</f>
        <v>0.44615384615384612</v>
      </c>
      <c r="AL84" s="4">
        <f>AJ84-AB84</f>
        <v>116</v>
      </c>
      <c r="AM84" s="28"/>
      <c r="AN84" s="6"/>
      <c r="AO84" s="6"/>
      <c r="AP84" s="6" t="str">
        <f>IFERROR(Z84/L84,"-")</f>
        <v>-</v>
      </c>
      <c r="AQ84" s="6">
        <f>IFERROR(AJ84/M84,"-")</f>
        <v>1.0833333333333333</v>
      </c>
      <c r="AR84" s="6">
        <f>IFERROR(AB84/N84,"-")</f>
        <v>1.0992366412213741</v>
      </c>
      <c r="AS84" s="4" t="str">
        <f t="shared" si="11"/>
        <v>-</v>
      </c>
      <c r="AT84" s="4"/>
      <c r="AU84" s="4" t="str">
        <f t="shared" si="12"/>
        <v>-</v>
      </c>
      <c r="AV84" s="4" t="str">
        <f t="shared" si="13"/>
        <v>-</v>
      </c>
      <c r="AW84" s="4" t="str">
        <f t="shared" si="14"/>
        <v>-</v>
      </c>
      <c r="AX84" s="4" t="str">
        <f t="shared" si="15"/>
        <v>-</v>
      </c>
      <c r="AY84" s="4" t="str">
        <f t="shared" si="16"/>
        <v>-</v>
      </c>
      <c r="AZ84" s="4" t="str">
        <f t="shared" si="17"/>
        <v>-</v>
      </c>
      <c r="BA84" s="4" t="str">
        <f t="shared" si="18"/>
        <v>-</v>
      </c>
      <c r="BB84" s="4" t="str">
        <f t="shared" si="19"/>
        <v>-</v>
      </c>
      <c r="BC84" s="4" t="s">
        <v>408</v>
      </c>
      <c r="BD84" s="4" t="s">
        <v>422</v>
      </c>
      <c r="BE84" s="4"/>
      <c r="BF84" s="4"/>
      <c r="BG84" s="4" t="s">
        <v>422</v>
      </c>
      <c r="BH84" s="4" t="s">
        <v>422</v>
      </c>
      <c r="BI84" s="4" t="str">
        <f>IF(BE84="",BH84,BE84/BF84*BH84)</f>
        <v>-</v>
      </c>
      <c r="BJ84" s="19">
        <v>4</v>
      </c>
      <c r="BK84" s="19">
        <v>1</v>
      </c>
      <c r="BL84" s="16">
        <v>3</v>
      </c>
      <c r="BM84" t="s">
        <v>422</v>
      </c>
      <c r="BN84" t="str">
        <f t="shared" si="20"/>
        <v>-</v>
      </c>
      <c r="BO84" t="s">
        <v>422</v>
      </c>
      <c r="BP84" t="str">
        <f t="shared" si="21"/>
        <v>-</v>
      </c>
      <c r="BQ84" t="s">
        <v>422</v>
      </c>
    </row>
    <row r="85" spans="1:69" x14ac:dyDescent="0.4">
      <c r="A85" s="3">
        <v>6</v>
      </c>
      <c r="B85" s="3">
        <v>6</v>
      </c>
      <c r="C85" s="46">
        <v>169467</v>
      </c>
      <c r="D85" s="4" t="str">
        <f>TEXT(C85,"000000")</f>
        <v>169467</v>
      </c>
      <c r="E85" s="4">
        <v>169467</v>
      </c>
      <c r="F85" s="4" t="s">
        <v>121</v>
      </c>
      <c r="G85" s="5">
        <v>4996297200000</v>
      </c>
      <c r="H85" s="5"/>
      <c r="I85" s="5"/>
      <c r="J85" s="5">
        <v>2</v>
      </c>
      <c r="K85" s="5">
        <v>2</v>
      </c>
      <c r="L85" s="4">
        <v>370</v>
      </c>
      <c r="M85" s="4">
        <v>200</v>
      </c>
      <c r="N85" s="4">
        <v>132</v>
      </c>
      <c r="O85" s="6">
        <f>IFERROR(1-N85/M85,"-")</f>
        <v>0.33999999999999997</v>
      </c>
      <c r="P85" s="4" t="s">
        <v>422</v>
      </c>
      <c r="Q85" s="4" t="s">
        <v>422</v>
      </c>
      <c r="R85" s="4" t="s">
        <v>422</v>
      </c>
      <c r="S85" s="4" t="s">
        <v>422</v>
      </c>
      <c r="T85" s="4" t="s">
        <v>422</v>
      </c>
      <c r="U85" s="4" t="s">
        <v>422</v>
      </c>
      <c r="V85" s="4" t="s">
        <v>422</v>
      </c>
      <c r="W85" s="4" t="s">
        <v>422</v>
      </c>
      <c r="X85" s="4" t="s">
        <v>422</v>
      </c>
      <c r="Y85" s="4">
        <v>0</v>
      </c>
      <c r="Z85" s="4">
        <f>IF(AC85="",Y85,Y85*AC85)</f>
        <v>0</v>
      </c>
      <c r="AA85" s="4">
        <v>149</v>
      </c>
      <c r="AB85" s="4">
        <f>IF(AC85="",AA85,AA85*AC85)</f>
        <v>149</v>
      </c>
      <c r="AC85" s="4"/>
      <c r="AD85" s="21">
        <f>ROUND(M85*AR85,0)</f>
        <v>226</v>
      </c>
      <c r="AE85" s="6">
        <f>IFERROR(1-AB85/AD85,"-")</f>
        <v>0.34070796460176989</v>
      </c>
      <c r="AF85" s="33">
        <v>156</v>
      </c>
      <c r="AG85" s="4" t="str">
        <f>BI85</f>
        <v>-</v>
      </c>
      <c r="AH85" s="33" t="str">
        <f>IFERROR(AG85*AR85,"-")</f>
        <v>-</v>
      </c>
      <c r="AI85" s="6" t="str">
        <f>IFERROR(1-AB85/AH85,"-")</f>
        <v>-</v>
      </c>
      <c r="AJ85" s="7">
        <v>250</v>
      </c>
      <c r="AK85" s="6">
        <f>1-AB85/AJ85</f>
        <v>0.40400000000000003</v>
      </c>
      <c r="AL85" s="4">
        <f>AJ85-AB85</f>
        <v>101</v>
      </c>
      <c r="AM85" s="28"/>
      <c r="AN85" s="6"/>
      <c r="AO85" s="6"/>
      <c r="AP85" s="6">
        <f>IFERROR(Z85/L85,"-")</f>
        <v>0</v>
      </c>
      <c r="AQ85" s="6">
        <f>IFERROR(AJ85/M85,"-")</f>
        <v>1.25</v>
      </c>
      <c r="AR85" s="6">
        <f>IFERROR(AB85/N85,"-")</f>
        <v>1.1287878787878789</v>
      </c>
      <c r="AS85" s="4" t="str">
        <f t="shared" si="11"/>
        <v>-</v>
      </c>
      <c r="AT85" s="4"/>
      <c r="AU85" s="4" t="str">
        <f t="shared" si="12"/>
        <v>-</v>
      </c>
      <c r="AV85" s="4" t="str">
        <f t="shared" si="13"/>
        <v>-</v>
      </c>
      <c r="AW85" s="4" t="str">
        <f t="shared" si="14"/>
        <v>-</v>
      </c>
      <c r="AX85" s="4" t="str">
        <f t="shared" si="15"/>
        <v>-</v>
      </c>
      <c r="AY85" s="4" t="str">
        <f t="shared" si="16"/>
        <v>-</v>
      </c>
      <c r="AZ85" s="4" t="str">
        <f t="shared" si="17"/>
        <v>-</v>
      </c>
      <c r="BA85" s="4" t="str">
        <f t="shared" si="18"/>
        <v>-</v>
      </c>
      <c r="BB85" s="4" t="str">
        <f t="shared" si="19"/>
        <v>-</v>
      </c>
      <c r="BC85" s="4" t="s">
        <v>404</v>
      </c>
      <c r="BD85" s="4" t="s">
        <v>422</v>
      </c>
      <c r="BE85" s="4"/>
      <c r="BF85" s="4"/>
      <c r="BG85" s="4" t="s">
        <v>422</v>
      </c>
      <c r="BH85" s="4" t="s">
        <v>422</v>
      </c>
      <c r="BI85" s="4" t="str">
        <f>IF(BE85="",BH85,BE85/BF85*BH85)</f>
        <v>-</v>
      </c>
      <c r="BJ85" s="19">
        <v>4</v>
      </c>
      <c r="BK85" s="19">
        <v>1</v>
      </c>
      <c r="BL85" s="16">
        <v>3</v>
      </c>
      <c r="BM85" t="s">
        <v>422</v>
      </c>
      <c r="BN85" t="str">
        <f t="shared" si="20"/>
        <v>-</v>
      </c>
      <c r="BO85">
        <v>323</v>
      </c>
      <c r="BP85">
        <f t="shared" si="21"/>
        <v>364.59848484848487</v>
      </c>
      <c r="BQ85" t="s">
        <v>422</v>
      </c>
    </row>
    <row r="86" spans="1:69" x14ac:dyDescent="0.4">
      <c r="A86" s="3">
        <v>181</v>
      </c>
      <c r="B86" s="3">
        <v>6</v>
      </c>
      <c r="C86" s="46">
        <v>169467</v>
      </c>
      <c r="D86" s="4" t="str">
        <f>TEXT(C86,"000000")</f>
        <v>169467</v>
      </c>
      <c r="E86" s="4">
        <v>169477</v>
      </c>
      <c r="F86" s="4" t="s">
        <v>321</v>
      </c>
      <c r="G86" s="5">
        <v>4996297200000</v>
      </c>
      <c r="H86" s="5">
        <v>8</v>
      </c>
      <c r="I86" s="5" t="str">
        <f>C86&amp;H86</f>
        <v>1694678</v>
      </c>
      <c r="J86" s="5"/>
      <c r="K86" s="5"/>
      <c r="L86" s="4">
        <v>3700</v>
      </c>
      <c r="M86" s="4">
        <v>1980</v>
      </c>
      <c r="N86" s="4">
        <v>1320</v>
      </c>
      <c r="O86" s="6">
        <f>IFERROR(1-N86/M86,"-")</f>
        <v>0.33333333333333337</v>
      </c>
      <c r="P86" s="4" t="s">
        <v>422</v>
      </c>
      <c r="Q86" s="4" t="s">
        <v>422</v>
      </c>
      <c r="R86" s="4" t="s">
        <v>422</v>
      </c>
      <c r="S86" s="4" t="s">
        <v>422</v>
      </c>
      <c r="T86" s="4" t="s">
        <v>422</v>
      </c>
      <c r="U86" s="4" t="s">
        <v>422</v>
      </c>
      <c r="V86" s="4" t="s">
        <v>422</v>
      </c>
      <c r="W86" s="4" t="s">
        <v>422</v>
      </c>
      <c r="X86" s="4" t="s">
        <v>422</v>
      </c>
      <c r="Y86" s="4">
        <v>0</v>
      </c>
      <c r="Z86" s="4">
        <f>IF(AC86="",Y86,Y86*AC86)</f>
        <v>0</v>
      </c>
      <c r="AA86" s="4">
        <v>149</v>
      </c>
      <c r="AB86" s="4">
        <f>IF(AC86="",AA86,AA86*AC86)</f>
        <v>1490</v>
      </c>
      <c r="AC86" s="4">
        <v>10</v>
      </c>
      <c r="AD86" s="21">
        <f>ROUND(M86*AR86,0)</f>
        <v>2235</v>
      </c>
      <c r="AE86" s="6">
        <f>IFERROR(1-AB86/AD86,"-")</f>
        <v>0.33333333333333337</v>
      </c>
      <c r="AF86" s="33">
        <v>156</v>
      </c>
      <c r="AG86" s="4" t="str">
        <f>BI86</f>
        <v>-</v>
      </c>
      <c r="AH86" s="33" t="str">
        <f>IFERROR(AG86*AR86,"-")</f>
        <v>-</v>
      </c>
      <c r="AI86" s="6" t="str">
        <f>IFERROR(1-AB86/AH86,"-")</f>
        <v>-</v>
      </c>
      <c r="AJ86" s="7">
        <v>2250</v>
      </c>
      <c r="AK86" s="6">
        <f>1-AB86/AJ86</f>
        <v>0.33777777777777773</v>
      </c>
      <c r="AL86" s="4">
        <f>AJ86-AB86</f>
        <v>760</v>
      </c>
      <c r="AM86" s="28"/>
      <c r="AN86" s="6"/>
      <c r="AO86" s="6"/>
      <c r="AP86" s="6">
        <f>IFERROR(Z86/L86,"-")</f>
        <v>0</v>
      </c>
      <c r="AQ86" s="6">
        <f>IFERROR(AJ86/M86,"-")</f>
        <v>1.1363636363636365</v>
      </c>
      <c r="AR86" s="6">
        <f>IFERROR(AB86/N86,"-")</f>
        <v>1.1287878787878789</v>
      </c>
      <c r="AS86" s="4" t="str">
        <f t="shared" si="11"/>
        <v>-</v>
      </c>
      <c r="AT86" s="4"/>
      <c r="AU86" s="4" t="str">
        <f t="shared" si="12"/>
        <v>-</v>
      </c>
      <c r="AV86" s="4" t="str">
        <f t="shared" si="13"/>
        <v>-</v>
      </c>
      <c r="AW86" s="4" t="str">
        <f t="shared" si="14"/>
        <v>-</v>
      </c>
      <c r="AX86" s="4" t="str">
        <f t="shared" si="15"/>
        <v>-</v>
      </c>
      <c r="AY86" s="4" t="str">
        <f t="shared" si="16"/>
        <v>-</v>
      </c>
      <c r="AZ86" s="4" t="str">
        <f t="shared" si="17"/>
        <v>-</v>
      </c>
      <c r="BA86" s="4" t="str">
        <f t="shared" si="18"/>
        <v>-</v>
      </c>
      <c r="BB86" s="4" t="str">
        <f t="shared" si="19"/>
        <v>-</v>
      </c>
      <c r="BC86" s="4" t="s">
        <v>404</v>
      </c>
      <c r="BD86" s="4" t="s">
        <v>422</v>
      </c>
      <c r="BE86" s="4"/>
      <c r="BF86" s="4"/>
      <c r="BG86" s="4" t="s">
        <v>422</v>
      </c>
      <c r="BH86" s="4" t="s">
        <v>422</v>
      </c>
      <c r="BI86" s="4" t="str">
        <f>IF(BE86="",BH86,BE86/BF86*BH86)</f>
        <v>-</v>
      </c>
      <c r="BJ86" s="19">
        <v>4</v>
      </c>
      <c r="BK86" s="19">
        <v>1</v>
      </c>
      <c r="BL86" s="16">
        <v>3</v>
      </c>
      <c r="BM86" t="s">
        <v>422</v>
      </c>
      <c r="BN86" t="str">
        <f t="shared" si="20"/>
        <v>-</v>
      </c>
      <c r="BO86">
        <v>323</v>
      </c>
      <c r="BP86">
        <f t="shared" si="21"/>
        <v>364.59848484848487</v>
      </c>
      <c r="BQ86" t="s">
        <v>422</v>
      </c>
    </row>
    <row r="87" spans="1:69" x14ac:dyDescent="0.4">
      <c r="A87" s="3">
        <v>7</v>
      </c>
      <c r="B87" s="3">
        <v>7</v>
      </c>
      <c r="C87" s="46">
        <v>169468</v>
      </c>
      <c r="D87" s="4" t="str">
        <f>TEXT(C87,"000000")</f>
        <v>169468</v>
      </c>
      <c r="E87" s="4">
        <v>169468</v>
      </c>
      <c r="F87" s="4" t="s">
        <v>122</v>
      </c>
      <c r="G87" s="5">
        <v>4996297200017</v>
      </c>
      <c r="H87" s="5"/>
      <c r="I87" s="5"/>
      <c r="J87" s="5">
        <v>2</v>
      </c>
      <c r="K87" s="5">
        <v>2</v>
      </c>
      <c r="L87" s="4">
        <v>370</v>
      </c>
      <c r="M87" s="4">
        <v>200</v>
      </c>
      <c r="N87" s="4">
        <v>132</v>
      </c>
      <c r="O87" s="6">
        <f>IFERROR(1-N87/M87,"-")</f>
        <v>0.33999999999999997</v>
      </c>
      <c r="P87" s="4" t="s">
        <v>422</v>
      </c>
      <c r="Q87" s="4" t="s">
        <v>422</v>
      </c>
      <c r="R87" s="4" t="s">
        <v>422</v>
      </c>
      <c r="S87" s="4" t="s">
        <v>422</v>
      </c>
      <c r="T87" s="4" t="s">
        <v>422</v>
      </c>
      <c r="U87" s="4" t="s">
        <v>422</v>
      </c>
      <c r="V87" s="4" t="s">
        <v>422</v>
      </c>
      <c r="W87" s="4" t="s">
        <v>422</v>
      </c>
      <c r="X87" s="4" t="s">
        <v>422</v>
      </c>
      <c r="Y87" s="4">
        <v>0</v>
      </c>
      <c r="Z87" s="4">
        <f>IF(AC87="",Y87,Y87*AC87)</f>
        <v>0</v>
      </c>
      <c r="AA87" s="4">
        <v>149</v>
      </c>
      <c r="AB87" s="4">
        <f>IF(AC87="",AA87,AA87*AC87)</f>
        <v>149</v>
      </c>
      <c r="AC87" s="4"/>
      <c r="AD87" s="21">
        <f>ROUND(M87*AR87,0)</f>
        <v>226</v>
      </c>
      <c r="AE87" s="6">
        <f>IFERROR(1-AB87/AD87,"-")</f>
        <v>0.34070796460176989</v>
      </c>
      <c r="AF87" s="33">
        <v>67.5</v>
      </c>
      <c r="AG87" s="4">
        <f>BI87</f>
        <v>227.10000000000002</v>
      </c>
      <c r="AH87" s="33">
        <f>IFERROR(AG87*AR87,"-")</f>
        <v>256.3477272727273</v>
      </c>
      <c r="AI87" s="6">
        <f>IFERROR(1-AB87/AH87,"-")</f>
        <v>0.41875825627476893</v>
      </c>
      <c r="AJ87" s="7">
        <v>250</v>
      </c>
      <c r="AK87" s="6">
        <f>1-AB87/AJ87</f>
        <v>0.40400000000000003</v>
      </c>
      <c r="AL87" s="4">
        <f>AJ87-AB87</f>
        <v>101</v>
      </c>
      <c r="AM87" s="28"/>
      <c r="AN87" s="6"/>
      <c r="AO87" s="6"/>
      <c r="AP87" s="6">
        <f>IFERROR(Z87/L87,"-")</f>
        <v>0</v>
      </c>
      <c r="AQ87" s="6">
        <f>IFERROR(AJ87/M87,"-")</f>
        <v>1.25</v>
      </c>
      <c r="AR87" s="6">
        <f>IFERROR(AB87/N87,"-")</f>
        <v>1.1287878787878789</v>
      </c>
      <c r="AS87" s="4" t="str">
        <f t="shared" si="11"/>
        <v>-</v>
      </c>
      <c r="AT87" s="4"/>
      <c r="AU87" s="4" t="str">
        <f t="shared" si="12"/>
        <v>-</v>
      </c>
      <c r="AV87" s="4" t="str">
        <f t="shared" si="13"/>
        <v>-</v>
      </c>
      <c r="AW87" s="4" t="str">
        <f t="shared" si="14"/>
        <v>-</v>
      </c>
      <c r="AX87" s="4" t="str">
        <f t="shared" si="15"/>
        <v>-</v>
      </c>
      <c r="AY87" s="4" t="str">
        <f t="shared" si="16"/>
        <v>-</v>
      </c>
      <c r="AZ87" s="4" t="str">
        <f t="shared" si="17"/>
        <v>-</v>
      </c>
      <c r="BA87" s="4" t="str">
        <f t="shared" si="18"/>
        <v>-</v>
      </c>
      <c r="BB87" s="4" t="str">
        <f t="shared" si="19"/>
        <v>-</v>
      </c>
      <c r="BC87" s="4" t="s">
        <v>404</v>
      </c>
      <c r="BD87" s="4" t="s">
        <v>611</v>
      </c>
      <c r="BE87" s="4">
        <v>1</v>
      </c>
      <c r="BF87" s="4">
        <v>10</v>
      </c>
      <c r="BG87" s="4" t="s">
        <v>612</v>
      </c>
      <c r="BH87" s="4">
        <v>2271</v>
      </c>
      <c r="BI87" s="4">
        <f>IF(BE87="",BH87,BE87/BF87*BH87)</f>
        <v>227.10000000000002</v>
      </c>
      <c r="BJ87" s="19">
        <v>4</v>
      </c>
      <c r="BK87" s="19">
        <v>1</v>
      </c>
      <c r="BL87" s="16">
        <v>3</v>
      </c>
      <c r="BM87" t="s">
        <v>422</v>
      </c>
      <c r="BN87" t="str">
        <f t="shared" si="20"/>
        <v>-</v>
      </c>
      <c r="BO87">
        <v>323</v>
      </c>
      <c r="BP87">
        <f t="shared" si="21"/>
        <v>364.59848484848487</v>
      </c>
      <c r="BQ87" t="s">
        <v>467</v>
      </c>
    </row>
    <row r="88" spans="1:69" x14ac:dyDescent="0.4">
      <c r="A88" s="3">
        <v>182</v>
      </c>
      <c r="B88" s="3">
        <v>7</v>
      </c>
      <c r="C88" s="46">
        <v>169468</v>
      </c>
      <c r="D88" s="4" t="str">
        <f>TEXT(C88,"000000")</f>
        <v>169468</v>
      </c>
      <c r="E88" s="4">
        <v>169478</v>
      </c>
      <c r="F88" s="4" t="s">
        <v>322</v>
      </c>
      <c r="G88" s="5">
        <v>4996297200017</v>
      </c>
      <c r="H88" s="5">
        <v>8</v>
      </c>
      <c r="I88" s="5" t="str">
        <f>C88&amp;H88</f>
        <v>1694688</v>
      </c>
      <c r="J88" s="5"/>
      <c r="K88" s="5"/>
      <c r="L88" s="4">
        <v>3700</v>
      </c>
      <c r="M88" s="4">
        <v>1980</v>
      </c>
      <c r="N88" s="4">
        <v>1320</v>
      </c>
      <c r="O88" s="6">
        <f>IFERROR(1-N88/M88,"-")</f>
        <v>0.33333333333333337</v>
      </c>
      <c r="P88" s="4" t="s">
        <v>422</v>
      </c>
      <c r="Q88" s="4" t="s">
        <v>422</v>
      </c>
      <c r="R88" s="4" t="s">
        <v>422</v>
      </c>
      <c r="S88" s="4" t="s">
        <v>422</v>
      </c>
      <c r="T88" s="4" t="s">
        <v>422</v>
      </c>
      <c r="U88" s="4" t="s">
        <v>422</v>
      </c>
      <c r="V88" s="4" t="s">
        <v>422</v>
      </c>
      <c r="W88" s="4" t="s">
        <v>422</v>
      </c>
      <c r="X88" s="4" t="s">
        <v>422</v>
      </c>
      <c r="Y88" s="4">
        <v>0</v>
      </c>
      <c r="Z88" s="4">
        <f>IF(AC88="",Y88,Y88*AC88)</f>
        <v>0</v>
      </c>
      <c r="AA88" s="4">
        <v>149</v>
      </c>
      <c r="AB88" s="4">
        <f>IF(AC88="",AA88,AA88*AC88)</f>
        <v>1490</v>
      </c>
      <c r="AC88" s="4">
        <v>10</v>
      </c>
      <c r="AD88" s="21">
        <f>ROUND(M88*AR88,0)</f>
        <v>2235</v>
      </c>
      <c r="AE88" s="6">
        <f>IFERROR(1-AB88/AD88,"-")</f>
        <v>0.33333333333333337</v>
      </c>
      <c r="AF88" s="33">
        <v>67.5</v>
      </c>
      <c r="AG88" s="4">
        <f>BI88</f>
        <v>2000</v>
      </c>
      <c r="AH88" s="33">
        <f>IFERROR(AG88*AR88,"-")</f>
        <v>2257.575757575758</v>
      </c>
      <c r="AI88" s="6">
        <f>IFERROR(1-AB88/AH88,"-")</f>
        <v>0.34000000000000008</v>
      </c>
      <c r="AJ88" s="7">
        <v>2250</v>
      </c>
      <c r="AK88" s="6">
        <f>1-AB88/AJ88</f>
        <v>0.33777777777777773</v>
      </c>
      <c r="AL88" s="4">
        <f>AJ88-AB88</f>
        <v>760</v>
      </c>
      <c r="AM88" s="28"/>
      <c r="AN88" s="6"/>
      <c r="AO88" s="6"/>
      <c r="AP88" s="6">
        <f>IFERROR(Z88/L88,"-")</f>
        <v>0</v>
      </c>
      <c r="AQ88" s="6">
        <f>IFERROR(AJ88/M88,"-")</f>
        <v>1.1363636363636365</v>
      </c>
      <c r="AR88" s="6">
        <f>IFERROR(AB88/N88,"-")</f>
        <v>1.1287878787878789</v>
      </c>
      <c r="AS88" s="4" t="str">
        <f t="shared" si="11"/>
        <v>-</v>
      </c>
      <c r="AT88" s="4"/>
      <c r="AU88" s="4" t="str">
        <f t="shared" si="12"/>
        <v>-</v>
      </c>
      <c r="AV88" s="4" t="str">
        <f t="shared" si="13"/>
        <v>-</v>
      </c>
      <c r="AW88" s="4" t="str">
        <f t="shared" si="14"/>
        <v>-</v>
      </c>
      <c r="AX88" s="4" t="str">
        <f t="shared" si="15"/>
        <v>-</v>
      </c>
      <c r="AY88" s="4" t="str">
        <f t="shared" si="16"/>
        <v>-</v>
      </c>
      <c r="AZ88" s="4" t="str">
        <f t="shared" si="17"/>
        <v>-</v>
      </c>
      <c r="BA88" s="4" t="str">
        <f t="shared" si="18"/>
        <v>-</v>
      </c>
      <c r="BB88" s="4" t="str">
        <f t="shared" si="19"/>
        <v>-</v>
      </c>
      <c r="BC88" s="4" t="s">
        <v>404</v>
      </c>
      <c r="BD88" s="4" t="s">
        <v>613</v>
      </c>
      <c r="BE88" s="4">
        <v>10</v>
      </c>
      <c r="BF88" s="4">
        <v>30</v>
      </c>
      <c r="BG88" s="4" t="s">
        <v>609</v>
      </c>
      <c r="BH88" s="4">
        <v>6000</v>
      </c>
      <c r="BI88" s="4">
        <f>IF(BE88="",BH88,BE88/BF88*BH88)</f>
        <v>2000</v>
      </c>
      <c r="BJ88" s="19">
        <v>4</v>
      </c>
      <c r="BK88" s="19">
        <v>1</v>
      </c>
      <c r="BL88" s="16">
        <v>3</v>
      </c>
      <c r="BM88" t="s">
        <v>422</v>
      </c>
      <c r="BN88" t="str">
        <f t="shared" si="20"/>
        <v>-</v>
      </c>
      <c r="BO88">
        <v>323</v>
      </c>
      <c r="BP88">
        <f t="shared" si="21"/>
        <v>364.59848484848487</v>
      </c>
      <c r="BQ88" t="s">
        <v>468</v>
      </c>
    </row>
    <row r="89" spans="1:69" x14ac:dyDescent="0.4">
      <c r="A89" s="3">
        <v>9</v>
      </c>
      <c r="B89" s="3">
        <v>9</v>
      </c>
      <c r="C89" s="46">
        <v>169469</v>
      </c>
      <c r="D89" s="4" t="str">
        <f>TEXT(C89,"000000")</f>
        <v>169469</v>
      </c>
      <c r="E89" s="4">
        <v>169469</v>
      </c>
      <c r="F89" s="4" t="s">
        <v>124</v>
      </c>
      <c r="G89" s="5">
        <v>4996297200031</v>
      </c>
      <c r="H89" s="5"/>
      <c r="I89" s="5"/>
      <c r="J89" s="5">
        <v>2</v>
      </c>
      <c r="K89" s="5">
        <v>2</v>
      </c>
      <c r="L89" s="4">
        <v>370</v>
      </c>
      <c r="M89" s="4">
        <v>200</v>
      </c>
      <c r="N89" s="4">
        <v>132</v>
      </c>
      <c r="O89" s="6">
        <f>IFERROR(1-N89/M89,"-")</f>
        <v>0.33999999999999997</v>
      </c>
      <c r="P89" s="4" t="s">
        <v>422</v>
      </c>
      <c r="Q89" s="4" t="s">
        <v>422</v>
      </c>
      <c r="R89" s="4" t="s">
        <v>422</v>
      </c>
      <c r="S89" s="4" t="s">
        <v>422</v>
      </c>
      <c r="T89" s="4" t="s">
        <v>422</v>
      </c>
      <c r="U89" s="4" t="s">
        <v>422</v>
      </c>
      <c r="V89" s="4" t="s">
        <v>422</v>
      </c>
      <c r="W89" s="4" t="s">
        <v>422</v>
      </c>
      <c r="X89" s="4" t="s">
        <v>422</v>
      </c>
      <c r="Y89" s="4">
        <v>0</v>
      </c>
      <c r="Z89" s="4">
        <f>IF(AC89="",Y89,Y89*AC89)</f>
        <v>0</v>
      </c>
      <c r="AA89" s="4">
        <v>149</v>
      </c>
      <c r="AB89" s="4">
        <f>IF(AC89="",AA89,AA89*AC89)</f>
        <v>149</v>
      </c>
      <c r="AC89" s="4"/>
      <c r="AD89" s="21">
        <f>ROUND(M89*AR89,0)</f>
        <v>226</v>
      </c>
      <c r="AE89" s="6">
        <f>IFERROR(1-AB89/AD89,"-")</f>
        <v>0.34070796460176989</v>
      </c>
      <c r="AF89" s="33">
        <v>187</v>
      </c>
      <c r="AG89" s="4">
        <f>BI89</f>
        <v>227.10000000000002</v>
      </c>
      <c r="AH89" s="33">
        <f>IFERROR(AG89*AR89,"-")</f>
        <v>256.3477272727273</v>
      </c>
      <c r="AI89" s="6">
        <f>IFERROR(1-AB89/AH89,"-")</f>
        <v>0.41875825627476893</v>
      </c>
      <c r="AJ89" s="7">
        <v>250</v>
      </c>
      <c r="AK89" s="6">
        <f>1-AB89/AJ89</f>
        <v>0.40400000000000003</v>
      </c>
      <c r="AL89" s="4">
        <f>AJ89-AB89</f>
        <v>101</v>
      </c>
      <c r="AM89" s="28"/>
      <c r="AN89" s="6"/>
      <c r="AO89" s="6"/>
      <c r="AP89" s="6">
        <f>IFERROR(Z89/L89,"-")</f>
        <v>0</v>
      </c>
      <c r="AQ89" s="6">
        <f>IFERROR(AJ89/M89,"-")</f>
        <v>1.25</v>
      </c>
      <c r="AR89" s="6">
        <f>IFERROR(AB89/N89,"-")</f>
        <v>1.1287878787878789</v>
      </c>
      <c r="AS89" s="4" t="str">
        <f t="shared" si="11"/>
        <v>-</v>
      </c>
      <c r="AT89" s="4"/>
      <c r="AU89" s="4" t="str">
        <f t="shared" si="12"/>
        <v>-</v>
      </c>
      <c r="AV89" s="4" t="str">
        <f t="shared" si="13"/>
        <v>-</v>
      </c>
      <c r="AW89" s="4" t="str">
        <f t="shared" si="14"/>
        <v>-</v>
      </c>
      <c r="AX89" s="4" t="str">
        <f t="shared" si="15"/>
        <v>-</v>
      </c>
      <c r="AY89" s="4" t="str">
        <f t="shared" si="16"/>
        <v>-</v>
      </c>
      <c r="AZ89" s="4" t="str">
        <f t="shared" si="17"/>
        <v>-</v>
      </c>
      <c r="BA89" s="4" t="str">
        <f t="shared" si="18"/>
        <v>-</v>
      </c>
      <c r="BB89" s="4" t="str">
        <f t="shared" si="19"/>
        <v>-</v>
      </c>
      <c r="BC89" s="4" t="s">
        <v>404</v>
      </c>
      <c r="BD89" s="4" t="s">
        <v>614</v>
      </c>
      <c r="BE89" s="4">
        <v>1</v>
      </c>
      <c r="BF89" s="4">
        <v>10</v>
      </c>
      <c r="BG89" s="4" t="s">
        <v>612</v>
      </c>
      <c r="BH89" s="4">
        <v>2271</v>
      </c>
      <c r="BI89" s="4">
        <f>IF(BE89="",BH89,BE89/BF89*BH89)</f>
        <v>227.10000000000002</v>
      </c>
      <c r="BJ89" s="19">
        <v>4</v>
      </c>
      <c r="BK89" s="19">
        <v>1</v>
      </c>
      <c r="BL89" s="16">
        <v>3</v>
      </c>
      <c r="BM89" t="s">
        <v>422</v>
      </c>
      <c r="BN89" t="str">
        <f t="shared" si="20"/>
        <v>-</v>
      </c>
      <c r="BO89">
        <v>323</v>
      </c>
      <c r="BP89">
        <f t="shared" si="21"/>
        <v>364.59848484848487</v>
      </c>
      <c r="BQ89" t="s">
        <v>469</v>
      </c>
    </row>
    <row r="90" spans="1:69" x14ac:dyDescent="0.4">
      <c r="A90" s="3">
        <v>184</v>
      </c>
      <c r="B90" s="3">
        <v>9</v>
      </c>
      <c r="C90" s="46">
        <v>169469</v>
      </c>
      <c r="D90" s="4" t="str">
        <f>TEXT(C90,"000000")</f>
        <v>169469</v>
      </c>
      <c r="E90" s="4">
        <v>169479</v>
      </c>
      <c r="F90" s="4" t="s">
        <v>324</v>
      </c>
      <c r="G90" s="5">
        <v>4996297200031</v>
      </c>
      <c r="H90" s="5">
        <v>8</v>
      </c>
      <c r="I90" s="5" t="str">
        <f>C90&amp;H90</f>
        <v>1694698</v>
      </c>
      <c r="J90" s="5"/>
      <c r="K90" s="5"/>
      <c r="L90" s="4">
        <v>3700</v>
      </c>
      <c r="M90" s="4">
        <v>1980</v>
      </c>
      <c r="N90" s="4">
        <v>1320</v>
      </c>
      <c r="O90" s="6">
        <f>IFERROR(1-N90/M90,"-")</f>
        <v>0.33333333333333337</v>
      </c>
      <c r="P90" s="4" t="s">
        <v>422</v>
      </c>
      <c r="Q90" s="4" t="s">
        <v>422</v>
      </c>
      <c r="R90" s="4" t="s">
        <v>422</v>
      </c>
      <c r="S90" s="4" t="s">
        <v>422</v>
      </c>
      <c r="T90" s="4" t="s">
        <v>422</v>
      </c>
      <c r="U90" s="4" t="s">
        <v>422</v>
      </c>
      <c r="V90" s="4" t="s">
        <v>422</v>
      </c>
      <c r="W90" s="4" t="s">
        <v>422</v>
      </c>
      <c r="X90" s="4" t="s">
        <v>422</v>
      </c>
      <c r="Y90" s="4">
        <v>0</v>
      </c>
      <c r="Z90" s="4">
        <f>IF(AC90="",Y90,Y90*AC90)</f>
        <v>0</v>
      </c>
      <c r="AA90" s="4">
        <v>149</v>
      </c>
      <c r="AB90" s="4">
        <f>IF(AC90="",AA90,AA90*AC90)</f>
        <v>1490</v>
      </c>
      <c r="AC90" s="4">
        <v>10</v>
      </c>
      <c r="AD90" s="21">
        <f>ROUND(M90*AR90,0)</f>
        <v>2235</v>
      </c>
      <c r="AE90" s="6">
        <f>IFERROR(1-AB90/AD90,"-")</f>
        <v>0.33333333333333337</v>
      </c>
      <c r="AF90" s="33">
        <v>187</v>
      </c>
      <c r="AG90" s="4">
        <f>BI90</f>
        <v>2000</v>
      </c>
      <c r="AH90" s="33">
        <f>IFERROR(AG90*AR90,"-")</f>
        <v>2257.575757575758</v>
      </c>
      <c r="AI90" s="6">
        <f>IFERROR(1-AB90/AH90,"-")</f>
        <v>0.34000000000000008</v>
      </c>
      <c r="AJ90" s="7">
        <v>2250</v>
      </c>
      <c r="AK90" s="6">
        <f>1-AB90/AJ90</f>
        <v>0.33777777777777773</v>
      </c>
      <c r="AL90" s="4">
        <f>AJ90-AB90</f>
        <v>760</v>
      </c>
      <c r="AM90" s="28"/>
      <c r="AN90" s="6"/>
      <c r="AO90" s="6"/>
      <c r="AP90" s="6">
        <f>IFERROR(Z90/L90,"-")</f>
        <v>0</v>
      </c>
      <c r="AQ90" s="6">
        <f>IFERROR(AJ90/M90,"-")</f>
        <v>1.1363636363636365</v>
      </c>
      <c r="AR90" s="6">
        <f>IFERROR(AB90/N90,"-")</f>
        <v>1.1287878787878789</v>
      </c>
      <c r="AS90" s="4" t="str">
        <f t="shared" si="11"/>
        <v>-</v>
      </c>
      <c r="AT90" s="4"/>
      <c r="AU90" s="4" t="str">
        <f t="shared" si="12"/>
        <v>-</v>
      </c>
      <c r="AV90" s="4" t="str">
        <f t="shared" si="13"/>
        <v>-</v>
      </c>
      <c r="AW90" s="4" t="str">
        <f t="shared" si="14"/>
        <v>-</v>
      </c>
      <c r="AX90" s="4" t="str">
        <f t="shared" si="15"/>
        <v>-</v>
      </c>
      <c r="AY90" s="4" t="str">
        <f t="shared" si="16"/>
        <v>-</v>
      </c>
      <c r="AZ90" s="4" t="str">
        <f t="shared" si="17"/>
        <v>-</v>
      </c>
      <c r="BA90" s="4" t="str">
        <f t="shared" si="18"/>
        <v>-</v>
      </c>
      <c r="BB90" s="4" t="str">
        <f t="shared" si="19"/>
        <v>-</v>
      </c>
      <c r="BC90" s="4" t="s">
        <v>404</v>
      </c>
      <c r="BD90" s="4" t="s">
        <v>615</v>
      </c>
      <c r="BE90" s="4">
        <v>10</v>
      </c>
      <c r="BF90" s="4">
        <v>30</v>
      </c>
      <c r="BG90" s="4" t="s">
        <v>609</v>
      </c>
      <c r="BH90" s="4">
        <v>6000</v>
      </c>
      <c r="BI90" s="4">
        <f>IF(BE90="",BH90,BE90/BF90*BH90)</f>
        <v>2000</v>
      </c>
      <c r="BJ90" s="19">
        <v>4</v>
      </c>
      <c r="BK90" s="19">
        <v>1</v>
      </c>
      <c r="BL90" s="16">
        <v>3</v>
      </c>
      <c r="BM90" t="s">
        <v>422</v>
      </c>
      <c r="BN90" t="str">
        <f t="shared" si="20"/>
        <v>-</v>
      </c>
      <c r="BO90">
        <v>323</v>
      </c>
      <c r="BP90">
        <f t="shared" si="21"/>
        <v>364.59848484848487</v>
      </c>
      <c r="BQ90" t="s">
        <v>470</v>
      </c>
    </row>
    <row r="91" spans="1:69" x14ac:dyDescent="0.4">
      <c r="A91" s="3">
        <v>8</v>
      </c>
      <c r="B91" s="3">
        <v>8</v>
      </c>
      <c r="C91" s="46">
        <v>169470</v>
      </c>
      <c r="D91" s="4" t="str">
        <f>TEXT(C91,"000000")</f>
        <v>169470</v>
      </c>
      <c r="E91" s="4">
        <v>169470</v>
      </c>
      <c r="F91" s="4" t="s">
        <v>123</v>
      </c>
      <c r="G91" s="5">
        <v>4996297200024</v>
      </c>
      <c r="H91" s="5"/>
      <c r="I91" s="5"/>
      <c r="J91" s="5">
        <v>2</v>
      </c>
      <c r="K91" s="5">
        <v>2</v>
      </c>
      <c r="L91" s="4">
        <v>370</v>
      </c>
      <c r="M91" s="4">
        <v>200</v>
      </c>
      <c r="N91" s="4">
        <v>132</v>
      </c>
      <c r="O91" s="6">
        <f>IFERROR(1-N91/M91,"-")</f>
        <v>0.33999999999999997</v>
      </c>
      <c r="P91" s="4" t="s">
        <v>422</v>
      </c>
      <c r="Q91" s="4" t="s">
        <v>422</v>
      </c>
      <c r="R91" s="4" t="s">
        <v>422</v>
      </c>
      <c r="S91" s="4" t="s">
        <v>422</v>
      </c>
      <c r="T91" s="4" t="s">
        <v>422</v>
      </c>
      <c r="U91" s="4" t="s">
        <v>422</v>
      </c>
      <c r="V91" s="4" t="s">
        <v>422</v>
      </c>
      <c r="W91" s="4" t="s">
        <v>422</v>
      </c>
      <c r="X91" s="4" t="s">
        <v>422</v>
      </c>
      <c r="Y91" s="4">
        <v>0</v>
      </c>
      <c r="Z91" s="4">
        <f>IF(AC91="",Y91,Y91*AC91)</f>
        <v>0</v>
      </c>
      <c r="AA91" s="4">
        <v>149</v>
      </c>
      <c r="AB91" s="4">
        <f>IF(AC91="",AA91,AA91*AC91)</f>
        <v>149</v>
      </c>
      <c r="AC91" s="4"/>
      <c r="AD91" s="21">
        <f>ROUND(M91*AR91,0)</f>
        <v>226</v>
      </c>
      <c r="AE91" s="6">
        <f>IFERROR(1-AB91/AD91,"-")</f>
        <v>0.34070796460176989</v>
      </c>
      <c r="AF91" s="33">
        <v>420.5</v>
      </c>
      <c r="AG91" s="4" t="str">
        <f>BI91</f>
        <v>-</v>
      </c>
      <c r="AH91" s="33" t="str">
        <f>IFERROR(AG91*AR91,"-")</f>
        <v>-</v>
      </c>
      <c r="AI91" s="6" t="str">
        <f>IFERROR(1-AB91/AH91,"-")</f>
        <v>-</v>
      </c>
      <c r="AJ91" s="7">
        <v>250</v>
      </c>
      <c r="AK91" s="6">
        <f>1-AB91/AJ91</f>
        <v>0.40400000000000003</v>
      </c>
      <c r="AL91" s="4">
        <f>AJ91-AB91</f>
        <v>101</v>
      </c>
      <c r="AM91" s="28"/>
      <c r="AN91" s="6"/>
      <c r="AO91" s="6"/>
      <c r="AP91" s="6">
        <f>IFERROR(Z91/L91,"-")</f>
        <v>0</v>
      </c>
      <c r="AQ91" s="6">
        <f>IFERROR(AJ91/M91,"-")</f>
        <v>1.25</v>
      </c>
      <c r="AR91" s="6">
        <f>IFERROR(AB91/N91,"-")</f>
        <v>1.1287878787878789</v>
      </c>
      <c r="AS91" s="4" t="str">
        <f t="shared" si="11"/>
        <v>-</v>
      </c>
      <c r="AT91" s="4"/>
      <c r="AU91" s="4" t="str">
        <f t="shared" si="12"/>
        <v>-</v>
      </c>
      <c r="AV91" s="4" t="str">
        <f t="shared" si="13"/>
        <v>-</v>
      </c>
      <c r="AW91" s="4" t="str">
        <f t="shared" si="14"/>
        <v>-</v>
      </c>
      <c r="AX91" s="4" t="str">
        <f t="shared" si="15"/>
        <v>-</v>
      </c>
      <c r="AY91" s="4" t="str">
        <f t="shared" si="16"/>
        <v>-</v>
      </c>
      <c r="AZ91" s="4" t="str">
        <f t="shared" si="17"/>
        <v>-</v>
      </c>
      <c r="BA91" s="4" t="str">
        <f t="shared" si="18"/>
        <v>-</v>
      </c>
      <c r="BB91" s="4" t="str">
        <f t="shared" si="19"/>
        <v>-</v>
      </c>
      <c r="BC91" s="4" t="s">
        <v>404</v>
      </c>
      <c r="BD91" s="4" t="s">
        <v>422</v>
      </c>
      <c r="BE91" s="4"/>
      <c r="BF91" s="4"/>
      <c r="BG91" s="4" t="s">
        <v>422</v>
      </c>
      <c r="BH91" s="4" t="s">
        <v>422</v>
      </c>
      <c r="BI91" s="4" t="str">
        <f>IF(BE91="",BH91,BE91/BF91*BH91)</f>
        <v>-</v>
      </c>
      <c r="BJ91" s="19">
        <v>4</v>
      </c>
      <c r="BK91" s="19">
        <v>1</v>
      </c>
      <c r="BL91" s="16">
        <v>3</v>
      </c>
      <c r="BM91" t="s">
        <v>422</v>
      </c>
      <c r="BN91" t="str">
        <f t="shared" si="20"/>
        <v>-</v>
      </c>
      <c r="BO91">
        <v>323</v>
      </c>
      <c r="BP91">
        <f t="shared" si="21"/>
        <v>364.59848484848487</v>
      </c>
      <c r="BQ91" t="s">
        <v>422</v>
      </c>
    </row>
    <row r="92" spans="1:69" x14ac:dyDescent="0.4">
      <c r="A92" s="3">
        <v>183</v>
      </c>
      <c r="B92" s="3">
        <v>8</v>
      </c>
      <c r="C92" s="46">
        <v>169470</v>
      </c>
      <c r="D92" s="4" t="str">
        <f>TEXT(C92,"000000")</f>
        <v>169470</v>
      </c>
      <c r="E92" s="4">
        <v>169480</v>
      </c>
      <c r="F92" s="4" t="s">
        <v>323</v>
      </c>
      <c r="G92" s="5">
        <v>4996297200024</v>
      </c>
      <c r="H92" s="5">
        <v>8</v>
      </c>
      <c r="I92" s="5" t="str">
        <f>C92&amp;H92</f>
        <v>1694708</v>
      </c>
      <c r="J92" s="5"/>
      <c r="K92" s="5"/>
      <c r="L92" s="4">
        <v>3700</v>
      </c>
      <c r="M92" s="4">
        <v>1980</v>
      </c>
      <c r="N92" s="4">
        <v>1320</v>
      </c>
      <c r="O92" s="6">
        <f>IFERROR(1-N92/M92,"-")</f>
        <v>0.33333333333333337</v>
      </c>
      <c r="P92" s="4" t="s">
        <v>422</v>
      </c>
      <c r="Q92" s="4" t="s">
        <v>422</v>
      </c>
      <c r="R92" s="4" t="s">
        <v>422</v>
      </c>
      <c r="S92" s="4" t="s">
        <v>422</v>
      </c>
      <c r="T92" s="4" t="s">
        <v>422</v>
      </c>
      <c r="U92" s="4" t="s">
        <v>422</v>
      </c>
      <c r="V92" s="4" t="s">
        <v>422</v>
      </c>
      <c r="W92" s="4" t="s">
        <v>422</v>
      </c>
      <c r="X92" s="4" t="s">
        <v>422</v>
      </c>
      <c r="Y92" s="4">
        <v>0</v>
      </c>
      <c r="Z92" s="4">
        <f>IF(AC92="",Y92,Y92*AC92)</f>
        <v>0</v>
      </c>
      <c r="AA92" s="4">
        <v>149</v>
      </c>
      <c r="AB92" s="4">
        <f>IF(AC92="",AA92,AA92*AC92)</f>
        <v>1490</v>
      </c>
      <c r="AC92" s="4">
        <v>10</v>
      </c>
      <c r="AD92" s="21">
        <f>ROUND(M92*AR92,0)</f>
        <v>2235</v>
      </c>
      <c r="AE92" s="6">
        <f>IFERROR(1-AB92/AD92,"-")</f>
        <v>0.33333333333333337</v>
      </c>
      <c r="AF92" s="33">
        <v>420.5</v>
      </c>
      <c r="AG92" s="4" t="str">
        <f>BI92</f>
        <v>-</v>
      </c>
      <c r="AH92" s="33" t="str">
        <f>IFERROR(AG92*AR92,"-")</f>
        <v>-</v>
      </c>
      <c r="AI92" s="6" t="str">
        <f>IFERROR(1-AB92/AH92,"-")</f>
        <v>-</v>
      </c>
      <c r="AJ92" s="7">
        <v>2250</v>
      </c>
      <c r="AK92" s="6">
        <f>1-AB92/AJ92</f>
        <v>0.33777777777777773</v>
      </c>
      <c r="AL92" s="4">
        <f>AJ92-AB92</f>
        <v>760</v>
      </c>
      <c r="AM92" s="28"/>
      <c r="AN92" s="6"/>
      <c r="AO92" s="6"/>
      <c r="AP92" s="6">
        <f>IFERROR(Z92/L92,"-")</f>
        <v>0</v>
      </c>
      <c r="AQ92" s="6">
        <f>IFERROR(AJ92/M92,"-")</f>
        <v>1.1363636363636365</v>
      </c>
      <c r="AR92" s="6">
        <f>IFERROR(AB92/N92,"-")</f>
        <v>1.1287878787878789</v>
      </c>
      <c r="AS92" s="4" t="str">
        <f t="shared" si="11"/>
        <v>-</v>
      </c>
      <c r="AT92" s="4"/>
      <c r="AU92" s="4" t="str">
        <f t="shared" si="12"/>
        <v>-</v>
      </c>
      <c r="AV92" s="4" t="str">
        <f t="shared" si="13"/>
        <v>-</v>
      </c>
      <c r="AW92" s="4" t="str">
        <f t="shared" si="14"/>
        <v>-</v>
      </c>
      <c r="AX92" s="4" t="str">
        <f t="shared" si="15"/>
        <v>-</v>
      </c>
      <c r="AY92" s="4" t="str">
        <f t="shared" si="16"/>
        <v>-</v>
      </c>
      <c r="AZ92" s="4" t="str">
        <f t="shared" si="17"/>
        <v>-</v>
      </c>
      <c r="BA92" s="4" t="str">
        <f t="shared" si="18"/>
        <v>-</v>
      </c>
      <c r="BB92" s="4" t="str">
        <f t="shared" si="19"/>
        <v>-</v>
      </c>
      <c r="BC92" s="4" t="s">
        <v>404</v>
      </c>
      <c r="BD92" s="4" t="s">
        <v>422</v>
      </c>
      <c r="BE92" s="4"/>
      <c r="BF92" s="4"/>
      <c r="BG92" s="4" t="s">
        <v>422</v>
      </c>
      <c r="BH92" s="4" t="s">
        <v>422</v>
      </c>
      <c r="BI92" s="4" t="str">
        <f>IF(BE92="",BH92,BE92/BF92*BH92)</f>
        <v>-</v>
      </c>
      <c r="BJ92" s="19">
        <v>4</v>
      </c>
      <c r="BK92" s="19">
        <v>1</v>
      </c>
      <c r="BL92" s="16">
        <v>3</v>
      </c>
      <c r="BM92" t="s">
        <v>422</v>
      </c>
      <c r="BN92" t="str">
        <f t="shared" si="20"/>
        <v>-</v>
      </c>
      <c r="BO92">
        <v>323</v>
      </c>
      <c r="BP92">
        <f t="shared" si="21"/>
        <v>364.59848484848487</v>
      </c>
      <c r="BQ92" t="s">
        <v>422</v>
      </c>
    </row>
    <row r="93" spans="1:69" x14ac:dyDescent="0.4">
      <c r="A93" s="3">
        <v>10</v>
      </c>
      <c r="B93" s="3">
        <v>10</v>
      </c>
      <c r="C93" s="46">
        <v>169471</v>
      </c>
      <c r="D93" s="4" t="str">
        <f>TEXT(C93,"000000")</f>
        <v>169471</v>
      </c>
      <c r="E93" s="4">
        <v>169471</v>
      </c>
      <c r="F93" s="4" t="s">
        <v>125</v>
      </c>
      <c r="G93" s="5">
        <v>4996297200055</v>
      </c>
      <c r="H93" s="5"/>
      <c r="I93" s="5"/>
      <c r="J93" s="5">
        <v>2</v>
      </c>
      <c r="K93" s="5">
        <v>2</v>
      </c>
      <c r="L93" s="4">
        <v>370</v>
      </c>
      <c r="M93" s="4">
        <v>200</v>
      </c>
      <c r="N93" s="4">
        <v>132</v>
      </c>
      <c r="O93" s="6">
        <f>IFERROR(1-N93/M93,"-")</f>
        <v>0.33999999999999997</v>
      </c>
      <c r="P93" s="4" t="s">
        <v>422</v>
      </c>
      <c r="Q93" s="4" t="s">
        <v>422</v>
      </c>
      <c r="R93" s="4" t="s">
        <v>422</v>
      </c>
      <c r="S93" s="4" t="s">
        <v>422</v>
      </c>
      <c r="T93" s="4" t="s">
        <v>422</v>
      </c>
      <c r="U93" s="4" t="s">
        <v>422</v>
      </c>
      <c r="V93" s="4" t="s">
        <v>422</v>
      </c>
      <c r="W93" s="4" t="s">
        <v>422</v>
      </c>
      <c r="X93" s="4" t="s">
        <v>422</v>
      </c>
      <c r="Y93" s="4">
        <v>0</v>
      </c>
      <c r="Z93" s="4">
        <f>IF(AC93="",Y93,Y93*AC93)</f>
        <v>0</v>
      </c>
      <c r="AA93" s="4">
        <v>149</v>
      </c>
      <c r="AB93" s="4">
        <f>IF(AC93="",AA93,AA93*AC93)</f>
        <v>149</v>
      </c>
      <c r="AC93" s="4"/>
      <c r="AD93" s="21">
        <f>ROUND(M93*AR93,0)</f>
        <v>226</v>
      </c>
      <c r="AE93" s="6">
        <f>IFERROR(1-AB93/AD93,"-")</f>
        <v>0.34070796460176989</v>
      </c>
      <c r="AF93" s="33">
        <v>77.5</v>
      </c>
      <c r="AG93" s="4">
        <f>BI93</f>
        <v>302</v>
      </c>
      <c r="AH93" s="33">
        <f>IFERROR(AG93*AR93,"-")</f>
        <v>340.89393939393943</v>
      </c>
      <c r="AI93" s="6">
        <f>IFERROR(1-AB93/AH93,"-")</f>
        <v>0.5629139072847682</v>
      </c>
      <c r="AJ93" s="7">
        <v>250</v>
      </c>
      <c r="AK93" s="6">
        <f>1-AB93/AJ93</f>
        <v>0.40400000000000003</v>
      </c>
      <c r="AL93" s="4">
        <f>AJ93-AB93</f>
        <v>101</v>
      </c>
      <c r="AM93" s="28"/>
      <c r="AN93" s="6"/>
      <c r="AO93" s="6"/>
      <c r="AP93" s="6">
        <f>IFERROR(Z93/L93,"-")</f>
        <v>0</v>
      </c>
      <c r="AQ93" s="6">
        <f>IFERROR(AJ93/M93,"-")</f>
        <v>1.25</v>
      </c>
      <c r="AR93" s="6">
        <f>IFERROR(AB93/N93,"-")</f>
        <v>1.1287878787878789</v>
      </c>
      <c r="AS93" s="4" t="str">
        <f t="shared" si="11"/>
        <v>-</v>
      </c>
      <c r="AT93" s="4"/>
      <c r="AU93" s="4" t="str">
        <f t="shared" si="12"/>
        <v>-</v>
      </c>
      <c r="AV93" s="4" t="str">
        <f t="shared" si="13"/>
        <v>-</v>
      </c>
      <c r="AW93" s="4" t="str">
        <f t="shared" si="14"/>
        <v>-</v>
      </c>
      <c r="AX93" s="4" t="str">
        <f t="shared" si="15"/>
        <v>-</v>
      </c>
      <c r="AY93" s="4" t="str">
        <f t="shared" si="16"/>
        <v>-</v>
      </c>
      <c r="AZ93" s="4" t="str">
        <f t="shared" si="17"/>
        <v>-</v>
      </c>
      <c r="BA93" s="4" t="str">
        <f t="shared" si="18"/>
        <v>-</v>
      </c>
      <c r="BB93" s="4" t="str">
        <f t="shared" si="19"/>
        <v>-</v>
      </c>
      <c r="BC93" s="4" t="s">
        <v>404</v>
      </c>
      <c r="BD93" s="4" t="s">
        <v>616</v>
      </c>
      <c r="BE93" s="4"/>
      <c r="BF93" s="4"/>
      <c r="BG93" s="4" t="s">
        <v>563</v>
      </c>
      <c r="BH93" s="4">
        <v>302</v>
      </c>
      <c r="BI93" s="4">
        <f>IF(BE93="",BH93,BE93/BF93*BH93)</f>
        <v>302</v>
      </c>
      <c r="BJ93" s="19">
        <v>4</v>
      </c>
      <c r="BK93" s="19">
        <v>1</v>
      </c>
      <c r="BL93" s="16">
        <v>3</v>
      </c>
      <c r="BM93" t="s">
        <v>422</v>
      </c>
      <c r="BN93" t="str">
        <f t="shared" si="20"/>
        <v>-</v>
      </c>
      <c r="BO93">
        <v>323</v>
      </c>
      <c r="BP93">
        <f t="shared" si="21"/>
        <v>364.59848484848487</v>
      </c>
      <c r="BQ93" t="s">
        <v>471</v>
      </c>
    </row>
    <row r="94" spans="1:69" x14ac:dyDescent="0.4">
      <c r="A94" s="3">
        <v>185</v>
      </c>
      <c r="B94" s="3">
        <v>10</v>
      </c>
      <c r="C94" s="46">
        <v>169471</v>
      </c>
      <c r="D94" s="4" t="str">
        <f>TEXT(C94,"000000")</f>
        <v>169471</v>
      </c>
      <c r="E94" s="4">
        <v>169481</v>
      </c>
      <c r="F94" s="4" t="s">
        <v>325</v>
      </c>
      <c r="G94" s="5">
        <v>4996297200055</v>
      </c>
      <c r="H94" s="5">
        <v>8</v>
      </c>
      <c r="I94" s="5" t="str">
        <f>C94&amp;H94</f>
        <v>1694718</v>
      </c>
      <c r="J94" s="5"/>
      <c r="K94" s="5"/>
      <c r="L94" s="4">
        <v>3700</v>
      </c>
      <c r="M94" s="4">
        <v>1980</v>
      </c>
      <c r="N94" s="4">
        <v>1320</v>
      </c>
      <c r="O94" s="6">
        <f>IFERROR(1-N94/M94,"-")</f>
        <v>0.33333333333333337</v>
      </c>
      <c r="P94" s="4" t="s">
        <v>422</v>
      </c>
      <c r="Q94" s="4" t="s">
        <v>422</v>
      </c>
      <c r="R94" s="4" t="s">
        <v>422</v>
      </c>
      <c r="S94" s="4" t="s">
        <v>422</v>
      </c>
      <c r="T94" s="4" t="s">
        <v>422</v>
      </c>
      <c r="U94" s="4" t="s">
        <v>422</v>
      </c>
      <c r="V94" s="4" t="s">
        <v>422</v>
      </c>
      <c r="W94" s="4" t="s">
        <v>422</v>
      </c>
      <c r="X94" s="4" t="s">
        <v>422</v>
      </c>
      <c r="Y94" s="4">
        <v>0</v>
      </c>
      <c r="Z94" s="4">
        <f>IF(AC94="",Y94,Y94*AC94)</f>
        <v>0</v>
      </c>
      <c r="AA94" s="4">
        <v>149</v>
      </c>
      <c r="AB94" s="4">
        <f>IF(AC94="",AA94,AA94*AC94)</f>
        <v>1490</v>
      </c>
      <c r="AC94" s="4">
        <v>10</v>
      </c>
      <c r="AD94" s="21">
        <f>ROUND(M94*AR94,0)</f>
        <v>2235</v>
      </c>
      <c r="AE94" s="6">
        <f>IFERROR(1-AB94/AD94,"-")</f>
        <v>0.33333333333333337</v>
      </c>
      <c r="AF94" s="33">
        <v>77.5</v>
      </c>
      <c r="AG94" s="4">
        <f>BI94</f>
        <v>3020</v>
      </c>
      <c r="AH94" s="33">
        <f>IFERROR(AG94*AR94,"-")</f>
        <v>3408.9393939393944</v>
      </c>
      <c r="AI94" s="6">
        <f>IFERROR(1-AB94/AH94,"-")</f>
        <v>0.5629139072847682</v>
      </c>
      <c r="AJ94" s="7">
        <v>2250</v>
      </c>
      <c r="AK94" s="6">
        <f>1-AB94/AJ94</f>
        <v>0.33777777777777773</v>
      </c>
      <c r="AL94" s="4">
        <f>AJ94-AB94</f>
        <v>760</v>
      </c>
      <c r="AM94" s="28"/>
      <c r="AN94" s="6"/>
      <c r="AO94" s="6"/>
      <c r="AP94" s="6">
        <f>IFERROR(Z94/L94,"-")</f>
        <v>0</v>
      </c>
      <c r="AQ94" s="6">
        <f>IFERROR(AJ94/M94,"-")</f>
        <v>1.1363636363636365</v>
      </c>
      <c r="AR94" s="6">
        <f>IFERROR(AB94/N94,"-")</f>
        <v>1.1287878787878789</v>
      </c>
      <c r="AS94" s="4" t="str">
        <f t="shared" si="11"/>
        <v>-</v>
      </c>
      <c r="AT94" s="4"/>
      <c r="AU94" s="4" t="str">
        <f t="shared" si="12"/>
        <v>-</v>
      </c>
      <c r="AV94" s="4" t="str">
        <f t="shared" si="13"/>
        <v>-</v>
      </c>
      <c r="AW94" s="4" t="str">
        <f t="shared" si="14"/>
        <v>-</v>
      </c>
      <c r="AX94" s="4" t="str">
        <f t="shared" si="15"/>
        <v>-</v>
      </c>
      <c r="AY94" s="4" t="str">
        <f t="shared" si="16"/>
        <v>-</v>
      </c>
      <c r="AZ94" s="4" t="str">
        <f t="shared" si="17"/>
        <v>-</v>
      </c>
      <c r="BA94" s="4" t="str">
        <f t="shared" si="18"/>
        <v>-</v>
      </c>
      <c r="BB94" s="4" t="str">
        <f t="shared" si="19"/>
        <v>-</v>
      </c>
      <c r="BC94" s="4" t="s">
        <v>404</v>
      </c>
      <c r="BD94" s="4" t="s">
        <v>616</v>
      </c>
      <c r="BE94" s="4">
        <v>10</v>
      </c>
      <c r="BF94" s="4">
        <v>1</v>
      </c>
      <c r="BG94" s="4" t="s">
        <v>563</v>
      </c>
      <c r="BH94" s="4">
        <v>302</v>
      </c>
      <c r="BI94" s="4">
        <f>IF(BE94="",BH94,BE94/BF94*BH94)</f>
        <v>3020</v>
      </c>
      <c r="BJ94" s="19">
        <v>4</v>
      </c>
      <c r="BK94" s="19">
        <v>1</v>
      </c>
      <c r="BL94" s="16">
        <v>3</v>
      </c>
      <c r="BM94" t="s">
        <v>422</v>
      </c>
      <c r="BN94" t="str">
        <f t="shared" si="20"/>
        <v>-</v>
      </c>
      <c r="BO94">
        <v>323</v>
      </c>
      <c r="BP94">
        <f t="shared" si="21"/>
        <v>364.59848484848487</v>
      </c>
      <c r="BQ94" t="s">
        <v>471</v>
      </c>
    </row>
    <row r="95" spans="1:69" x14ac:dyDescent="0.4">
      <c r="A95" s="3">
        <v>26</v>
      </c>
      <c r="B95" s="3">
        <v>26</v>
      </c>
      <c r="C95" s="46">
        <v>190918</v>
      </c>
      <c r="D95" s="4" t="str">
        <f>TEXT(C95,"000000")</f>
        <v>190918</v>
      </c>
      <c r="E95" s="4">
        <v>190918</v>
      </c>
      <c r="F95" s="4" t="s">
        <v>141</v>
      </c>
      <c r="G95" s="5">
        <v>4996297301547</v>
      </c>
      <c r="H95" s="5"/>
      <c r="I95" s="5"/>
      <c r="J95" s="5">
        <v>2</v>
      </c>
      <c r="K95" s="5">
        <v>2</v>
      </c>
      <c r="L95" s="4">
        <v>0</v>
      </c>
      <c r="M95" s="4">
        <v>212</v>
      </c>
      <c r="N95" s="4">
        <v>148</v>
      </c>
      <c r="O95" s="6">
        <f>IFERROR(1-N95/M95,"-")</f>
        <v>0.30188679245283023</v>
      </c>
      <c r="P95" s="4" t="s">
        <v>422</v>
      </c>
      <c r="Q95" s="4" t="s">
        <v>422</v>
      </c>
      <c r="R95" s="4" t="s">
        <v>422</v>
      </c>
      <c r="S95" s="4" t="s">
        <v>422</v>
      </c>
      <c r="T95" s="4" t="s">
        <v>422</v>
      </c>
      <c r="U95" s="4" t="s">
        <v>422</v>
      </c>
      <c r="V95" s="4" t="s">
        <v>422</v>
      </c>
      <c r="W95" s="4" t="s">
        <v>422</v>
      </c>
      <c r="X95" s="4" t="s">
        <v>422</v>
      </c>
      <c r="Y95" s="4">
        <v>0</v>
      </c>
      <c r="Z95" s="4">
        <f>IF(AC95="",Y95,Y95*AC95)</f>
        <v>0</v>
      </c>
      <c r="AA95" s="4">
        <v>153</v>
      </c>
      <c r="AB95" s="4">
        <f>IF(AC95="",AA95,AA95*AC95)</f>
        <v>153</v>
      </c>
      <c r="AC95" s="4"/>
      <c r="AD95" s="21">
        <f>ROUND(M95*AR95,0)</f>
        <v>219</v>
      </c>
      <c r="AE95" s="6">
        <f>IFERROR(1-AB95/AD95,"-")</f>
        <v>0.30136986301369861</v>
      </c>
      <c r="AF95" s="33">
        <v>9.5</v>
      </c>
      <c r="AG95" s="4">
        <f>BI95</f>
        <v>385</v>
      </c>
      <c r="AH95" s="33">
        <f>IFERROR(AG95*AR95,"-")</f>
        <v>398.00675675675677</v>
      </c>
      <c r="AI95" s="6">
        <f>IFERROR(1-AB95/AH95,"-")</f>
        <v>0.61558441558441568</v>
      </c>
      <c r="AJ95" s="7">
        <v>260</v>
      </c>
      <c r="AK95" s="6">
        <f>1-AB95/AJ95</f>
        <v>0.41153846153846152</v>
      </c>
      <c r="AL95" s="4">
        <f>AJ95-AB95</f>
        <v>107</v>
      </c>
      <c r="AM95" s="28"/>
      <c r="AN95" s="6"/>
      <c r="AO95" s="6"/>
      <c r="AP95" s="6" t="str">
        <f>IFERROR(Z95/L95,"-")</f>
        <v>-</v>
      </c>
      <c r="AQ95" s="6">
        <f>IFERROR(AJ95/M95,"-")</f>
        <v>1.2264150943396226</v>
      </c>
      <c r="AR95" s="6">
        <f>IFERROR(AB95/N95,"-")</f>
        <v>1.0337837837837838</v>
      </c>
      <c r="AS95" s="4" t="str">
        <f t="shared" si="11"/>
        <v>-</v>
      </c>
      <c r="AT95" s="4"/>
      <c r="AU95" s="4" t="str">
        <f t="shared" si="12"/>
        <v>-</v>
      </c>
      <c r="AV95" s="4" t="str">
        <f t="shared" si="13"/>
        <v>-</v>
      </c>
      <c r="AW95" s="4" t="str">
        <f t="shared" si="14"/>
        <v>-</v>
      </c>
      <c r="AX95" s="4" t="str">
        <f t="shared" si="15"/>
        <v>-</v>
      </c>
      <c r="AY95" s="4" t="str">
        <f t="shared" si="16"/>
        <v>-</v>
      </c>
      <c r="AZ95" s="4" t="str">
        <f t="shared" si="17"/>
        <v>-</v>
      </c>
      <c r="BA95" s="4" t="str">
        <f t="shared" si="18"/>
        <v>-</v>
      </c>
      <c r="BB95" s="4" t="str">
        <f t="shared" si="19"/>
        <v>-</v>
      </c>
      <c r="BC95" s="4">
        <v>0</v>
      </c>
      <c r="BD95" s="4" t="s">
        <v>617</v>
      </c>
      <c r="BE95" s="4"/>
      <c r="BF95" s="4"/>
      <c r="BG95" s="4" t="s">
        <v>563</v>
      </c>
      <c r="BH95" s="4">
        <v>385</v>
      </c>
      <c r="BI95" s="4">
        <f>IF(BE95="",BH95,BE95/BF95*BH95)</f>
        <v>385</v>
      </c>
      <c r="BJ95" s="19">
        <v>4</v>
      </c>
      <c r="BK95" s="19">
        <v>1</v>
      </c>
      <c r="BL95" s="16">
        <v>3</v>
      </c>
      <c r="BM95" t="s">
        <v>422</v>
      </c>
      <c r="BN95" t="str">
        <f t="shared" si="20"/>
        <v>-</v>
      </c>
      <c r="BO95">
        <v>371</v>
      </c>
      <c r="BP95">
        <f t="shared" si="21"/>
        <v>383.5337837837838</v>
      </c>
      <c r="BQ95" t="s">
        <v>472</v>
      </c>
    </row>
    <row r="96" spans="1:69" x14ac:dyDescent="0.4">
      <c r="A96" s="3">
        <v>191</v>
      </c>
      <c r="B96" s="3">
        <v>26</v>
      </c>
      <c r="C96" s="46">
        <v>190918</v>
      </c>
      <c r="D96" s="4" t="str">
        <f>TEXT(C96,"000000")</f>
        <v>190918</v>
      </c>
      <c r="E96" s="4">
        <v>190919</v>
      </c>
      <c r="F96" s="4" t="s">
        <v>331</v>
      </c>
      <c r="G96" s="5">
        <v>4996297301547</v>
      </c>
      <c r="H96" s="5">
        <v>8</v>
      </c>
      <c r="I96" s="5" t="str">
        <f>C96&amp;H96</f>
        <v>1909188</v>
      </c>
      <c r="J96" s="5"/>
      <c r="K96" s="5"/>
      <c r="L96" s="4">
        <v>0</v>
      </c>
      <c r="M96" s="4">
        <v>1982</v>
      </c>
      <c r="N96" s="4">
        <v>1480</v>
      </c>
      <c r="O96" s="6">
        <f>IFERROR(1-N96/M96,"-")</f>
        <v>0.25327951564076689</v>
      </c>
      <c r="P96" s="4" t="s">
        <v>422</v>
      </c>
      <c r="Q96" s="4" t="s">
        <v>422</v>
      </c>
      <c r="R96" s="4" t="s">
        <v>422</v>
      </c>
      <c r="S96" s="4" t="s">
        <v>422</v>
      </c>
      <c r="T96" s="4" t="s">
        <v>422</v>
      </c>
      <c r="U96" s="4" t="s">
        <v>422</v>
      </c>
      <c r="V96" s="4" t="s">
        <v>422</v>
      </c>
      <c r="W96" s="4" t="s">
        <v>422</v>
      </c>
      <c r="X96" s="4" t="s">
        <v>422</v>
      </c>
      <c r="Y96" s="4">
        <v>0</v>
      </c>
      <c r="Z96" s="4">
        <f>IF(AC96="",Y96,Y96*AC96)</f>
        <v>0</v>
      </c>
      <c r="AA96" s="4">
        <v>153</v>
      </c>
      <c r="AB96" s="4">
        <f>IF(AC96="",AA96,AA96*AC96)</f>
        <v>1530</v>
      </c>
      <c r="AC96" s="4">
        <v>10</v>
      </c>
      <c r="AD96" s="21">
        <f>ROUND(M96*AR96,0)</f>
        <v>2049</v>
      </c>
      <c r="AE96" s="6">
        <f>IFERROR(1-AB96/AD96,"-")</f>
        <v>0.25329428989751102</v>
      </c>
      <c r="AF96" s="33">
        <v>9.5</v>
      </c>
      <c r="AG96" s="4">
        <f>BI96</f>
        <v>3850</v>
      </c>
      <c r="AH96" s="33">
        <f>IFERROR(AG96*AR96,"-")</f>
        <v>3980.0675675675675</v>
      </c>
      <c r="AI96" s="6">
        <f>IFERROR(1-AB96/AH96,"-")</f>
        <v>0.61558441558441557</v>
      </c>
      <c r="AJ96" s="7">
        <v>2400</v>
      </c>
      <c r="AK96" s="6">
        <f>1-AB96/AJ96</f>
        <v>0.36250000000000004</v>
      </c>
      <c r="AL96" s="4">
        <f>AJ96-AB96</f>
        <v>870</v>
      </c>
      <c r="AM96" s="28"/>
      <c r="AN96" s="6"/>
      <c r="AO96" s="6"/>
      <c r="AP96" s="6" t="str">
        <f>IFERROR(Z96/L96,"-")</f>
        <v>-</v>
      </c>
      <c r="AQ96" s="6">
        <f>IFERROR(AJ96/M96,"-")</f>
        <v>1.2108980827447022</v>
      </c>
      <c r="AR96" s="6">
        <f>IFERROR(AB96/N96,"-")</f>
        <v>1.0337837837837838</v>
      </c>
      <c r="AS96" s="4" t="str">
        <f t="shared" si="11"/>
        <v>-</v>
      </c>
      <c r="AT96" s="4"/>
      <c r="AU96" s="4" t="str">
        <f t="shared" si="12"/>
        <v>-</v>
      </c>
      <c r="AV96" s="4" t="str">
        <f t="shared" si="13"/>
        <v>-</v>
      </c>
      <c r="AW96" s="4" t="str">
        <f t="shared" si="14"/>
        <v>-</v>
      </c>
      <c r="AX96" s="4" t="str">
        <f t="shared" si="15"/>
        <v>-</v>
      </c>
      <c r="AY96" s="4" t="str">
        <f t="shared" si="16"/>
        <v>-</v>
      </c>
      <c r="AZ96" s="4" t="str">
        <f t="shared" si="17"/>
        <v>-</v>
      </c>
      <c r="BA96" s="4" t="str">
        <f t="shared" si="18"/>
        <v>-</v>
      </c>
      <c r="BB96" s="4" t="str">
        <f t="shared" si="19"/>
        <v>-</v>
      </c>
      <c r="BC96" s="4">
        <v>0</v>
      </c>
      <c r="BD96" s="4" t="s">
        <v>617</v>
      </c>
      <c r="BE96" s="4">
        <v>10</v>
      </c>
      <c r="BF96" s="4">
        <v>1</v>
      </c>
      <c r="BG96" s="4" t="s">
        <v>563</v>
      </c>
      <c r="BH96" s="4">
        <v>385</v>
      </c>
      <c r="BI96" s="4">
        <f>IF(BE96="",BH96,BE96/BF96*BH96)</f>
        <v>3850</v>
      </c>
      <c r="BJ96" s="19">
        <v>4</v>
      </c>
      <c r="BK96" s="19">
        <v>1</v>
      </c>
      <c r="BL96" s="16">
        <v>3</v>
      </c>
      <c r="BM96" t="s">
        <v>422</v>
      </c>
      <c r="BN96" t="str">
        <f t="shared" si="20"/>
        <v>-</v>
      </c>
      <c r="BO96">
        <v>371</v>
      </c>
      <c r="BP96">
        <f t="shared" si="21"/>
        <v>383.5337837837838</v>
      </c>
      <c r="BQ96" t="s">
        <v>472</v>
      </c>
    </row>
    <row r="97" spans="1:69" x14ac:dyDescent="0.4">
      <c r="A97" s="3">
        <v>62</v>
      </c>
      <c r="B97" s="3">
        <v>62</v>
      </c>
      <c r="C97" s="4" t="s">
        <v>79</v>
      </c>
      <c r="D97" s="4" t="str">
        <f>TEXT(C97,"000000")</f>
        <v>J084PW</v>
      </c>
      <c r="E97" s="4" t="s">
        <v>79</v>
      </c>
      <c r="F97" s="4" t="s">
        <v>176</v>
      </c>
      <c r="G97" s="5">
        <v>4996297346357</v>
      </c>
      <c r="H97" s="5"/>
      <c r="I97" s="5"/>
      <c r="J97" s="5">
        <v>1</v>
      </c>
      <c r="K97" s="5">
        <v>1</v>
      </c>
      <c r="L97" s="4">
        <v>0</v>
      </c>
      <c r="M97" s="4">
        <v>215</v>
      </c>
      <c r="N97" s="4">
        <v>142</v>
      </c>
      <c r="O97" s="6">
        <f>IFERROR(1-N97/M97,"-")</f>
        <v>0.33953488372093021</v>
      </c>
      <c r="P97" s="4" t="s">
        <v>422</v>
      </c>
      <c r="Q97" s="4" t="s">
        <v>422</v>
      </c>
      <c r="R97" s="4" t="s">
        <v>422</v>
      </c>
      <c r="S97" s="4" t="s">
        <v>422</v>
      </c>
      <c r="T97" s="4" t="s">
        <v>422</v>
      </c>
      <c r="U97" s="4" t="s">
        <v>422</v>
      </c>
      <c r="V97" s="4" t="s">
        <v>422</v>
      </c>
      <c r="W97" s="4" t="s">
        <v>422</v>
      </c>
      <c r="X97" s="4" t="s">
        <v>422</v>
      </c>
      <c r="Y97" s="4">
        <v>0</v>
      </c>
      <c r="Z97" s="4">
        <f>IF(AC97="",Y97,Y97*AC97)</f>
        <v>0</v>
      </c>
      <c r="AA97" s="4">
        <v>156</v>
      </c>
      <c r="AB97" s="4">
        <f>IF(AC97="",AA97,AA97*AC97)</f>
        <v>156</v>
      </c>
      <c r="AC97" s="4"/>
      <c r="AD97" s="21">
        <f>ROUND(M97*AR97,0)</f>
        <v>236</v>
      </c>
      <c r="AE97" s="6">
        <f>IFERROR(1-AB97/AD97,"-")</f>
        <v>0.33898305084745761</v>
      </c>
      <c r="AF97" s="33">
        <v>2.25</v>
      </c>
      <c r="AG97" s="4">
        <f>BI97</f>
        <v>321</v>
      </c>
      <c r="AH97" s="33">
        <f>IFERROR(AG97*AR97,"-")</f>
        <v>352.64788732394368</v>
      </c>
      <c r="AI97" s="6">
        <f>IFERROR(1-AB97/AH97,"-")</f>
        <v>0.55763239875389403</v>
      </c>
      <c r="AJ97" s="7">
        <v>250</v>
      </c>
      <c r="AK97" s="6">
        <f>1-AB97/AJ97</f>
        <v>0.376</v>
      </c>
      <c r="AL97" s="4">
        <f>AJ97-AB97</f>
        <v>94</v>
      </c>
      <c r="AM97" s="28"/>
      <c r="AN97" s="6"/>
      <c r="AO97" s="6"/>
      <c r="AP97" s="6" t="str">
        <f>IFERROR(Z97/L97,"-")</f>
        <v>-</v>
      </c>
      <c r="AQ97" s="6">
        <f>IFERROR(AJ97/M97,"-")</f>
        <v>1.1627906976744187</v>
      </c>
      <c r="AR97" s="6">
        <f>IFERROR(AB97/N97,"-")</f>
        <v>1.0985915492957747</v>
      </c>
      <c r="AS97" s="4" t="str">
        <f t="shared" si="11"/>
        <v>-</v>
      </c>
      <c r="AT97" s="4"/>
      <c r="AU97" s="4" t="str">
        <f t="shared" si="12"/>
        <v>-</v>
      </c>
      <c r="AV97" s="4" t="str">
        <f t="shared" si="13"/>
        <v>-</v>
      </c>
      <c r="AW97" s="4" t="str">
        <f t="shared" si="14"/>
        <v>-</v>
      </c>
      <c r="AX97" s="4" t="str">
        <f t="shared" si="15"/>
        <v>-</v>
      </c>
      <c r="AY97" s="4" t="str">
        <f t="shared" si="16"/>
        <v>-</v>
      </c>
      <c r="AZ97" s="4" t="str">
        <f t="shared" si="17"/>
        <v>-</v>
      </c>
      <c r="BA97" s="4" t="str">
        <f t="shared" si="18"/>
        <v>-</v>
      </c>
      <c r="BB97" s="4" t="str">
        <f t="shared" si="19"/>
        <v>-</v>
      </c>
      <c r="BC97" s="4">
        <v>0</v>
      </c>
      <c r="BD97" s="4" t="s">
        <v>618</v>
      </c>
      <c r="BE97" s="4"/>
      <c r="BF97" s="4"/>
      <c r="BG97" s="4" t="s">
        <v>563</v>
      </c>
      <c r="BH97" s="4">
        <v>321</v>
      </c>
      <c r="BI97" s="4">
        <f>IF(BE97="",BH97,BE97/BF97*BH97)</f>
        <v>321</v>
      </c>
      <c r="BJ97" s="19">
        <v>4</v>
      </c>
      <c r="BK97" s="19">
        <v>1</v>
      </c>
      <c r="BL97" s="16">
        <v>3</v>
      </c>
      <c r="BM97">
        <v>217</v>
      </c>
      <c r="BN97">
        <f t="shared" si="20"/>
        <v>238.39436619718313</v>
      </c>
      <c r="BO97">
        <v>314</v>
      </c>
      <c r="BP97">
        <f t="shared" si="21"/>
        <v>344.95774647887328</v>
      </c>
      <c r="BQ97" t="s">
        <v>473</v>
      </c>
    </row>
    <row r="98" spans="1:69" x14ac:dyDescent="0.4">
      <c r="A98" s="3">
        <v>61</v>
      </c>
      <c r="B98" s="3">
        <v>61</v>
      </c>
      <c r="C98" s="4" t="s">
        <v>78</v>
      </c>
      <c r="D98" s="4" t="str">
        <f>TEXT(C98,"000000")</f>
        <v>J085PW</v>
      </c>
      <c r="E98" s="4" t="s">
        <v>78</v>
      </c>
      <c r="F98" s="4" t="s">
        <v>175</v>
      </c>
      <c r="G98" s="5">
        <v>4996297346340</v>
      </c>
      <c r="H98" s="5"/>
      <c r="I98" s="5"/>
      <c r="J98" s="5">
        <v>1</v>
      </c>
      <c r="K98" s="5">
        <v>1</v>
      </c>
      <c r="L98" s="4">
        <v>0</v>
      </c>
      <c r="M98" s="4">
        <v>213</v>
      </c>
      <c r="N98" s="4">
        <v>142</v>
      </c>
      <c r="O98" s="6">
        <f>IFERROR(1-N98/M98,"-")</f>
        <v>0.33333333333333337</v>
      </c>
      <c r="P98" s="4" t="s">
        <v>422</v>
      </c>
      <c r="Q98" s="4" t="s">
        <v>422</v>
      </c>
      <c r="R98" s="4" t="s">
        <v>422</v>
      </c>
      <c r="S98" s="4" t="s">
        <v>422</v>
      </c>
      <c r="T98" s="4" t="s">
        <v>422</v>
      </c>
      <c r="U98" s="4" t="s">
        <v>422</v>
      </c>
      <c r="V98" s="4" t="s">
        <v>422</v>
      </c>
      <c r="W98" s="4" t="s">
        <v>422</v>
      </c>
      <c r="X98" s="4" t="s">
        <v>422</v>
      </c>
      <c r="Y98" s="4">
        <v>0</v>
      </c>
      <c r="Z98" s="4">
        <f>IF(AC98="",Y98,Y98*AC98)</f>
        <v>0</v>
      </c>
      <c r="AA98" s="4">
        <v>156</v>
      </c>
      <c r="AB98" s="4">
        <f>IF(AC98="",AA98,AA98*AC98)</f>
        <v>156</v>
      </c>
      <c r="AC98" s="4"/>
      <c r="AD98" s="21">
        <f>ROUND(M98*AR98,0)</f>
        <v>234</v>
      </c>
      <c r="AE98" s="6">
        <f>IFERROR(1-AB98/AD98,"-")</f>
        <v>0.33333333333333337</v>
      </c>
      <c r="AF98" s="33">
        <v>30.5</v>
      </c>
      <c r="AG98" s="4">
        <f>BI98</f>
        <v>321</v>
      </c>
      <c r="AH98" s="33">
        <f>IFERROR(AG98*AR98,"-")</f>
        <v>352.64788732394368</v>
      </c>
      <c r="AI98" s="6">
        <f>IFERROR(1-AB98/AH98,"-")</f>
        <v>0.55763239875389403</v>
      </c>
      <c r="AJ98" s="7">
        <v>250</v>
      </c>
      <c r="AK98" s="6">
        <f>1-AB98/AJ98</f>
        <v>0.376</v>
      </c>
      <c r="AL98" s="4">
        <f>AJ98-AB98</f>
        <v>94</v>
      </c>
      <c r="AM98" s="28"/>
      <c r="AN98" s="6"/>
      <c r="AO98" s="6"/>
      <c r="AP98" s="6" t="str">
        <f>IFERROR(Z98/L98,"-")</f>
        <v>-</v>
      </c>
      <c r="AQ98" s="6">
        <f>IFERROR(AJ98/M98,"-")</f>
        <v>1.1737089201877935</v>
      </c>
      <c r="AR98" s="6">
        <f>IFERROR(AB98/N98,"-")</f>
        <v>1.0985915492957747</v>
      </c>
      <c r="AS98" s="4" t="str">
        <f t="shared" si="11"/>
        <v>-</v>
      </c>
      <c r="AT98" s="4"/>
      <c r="AU98" s="4" t="str">
        <f t="shared" si="12"/>
        <v>-</v>
      </c>
      <c r="AV98" s="4" t="str">
        <f t="shared" si="13"/>
        <v>-</v>
      </c>
      <c r="AW98" s="4" t="str">
        <f t="shared" si="14"/>
        <v>-</v>
      </c>
      <c r="AX98" s="4" t="str">
        <f t="shared" si="15"/>
        <v>-</v>
      </c>
      <c r="AY98" s="4" t="str">
        <f t="shared" si="16"/>
        <v>-</v>
      </c>
      <c r="AZ98" s="4" t="str">
        <f t="shared" si="17"/>
        <v>-</v>
      </c>
      <c r="BA98" s="4" t="str">
        <f t="shared" si="18"/>
        <v>-</v>
      </c>
      <c r="BB98" s="4" t="str">
        <f t="shared" si="19"/>
        <v>-</v>
      </c>
      <c r="BC98" s="4">
        <v>0</v>
      </c>
      <c r="BD98" s="4" t="s">
        <v>619</v>
      </c>
      <c r="BE98" s="4">
        <v>1</v>
      </c>
      <c r="BF98" s="4">
        <v>20</v>
      </c>
      <c r="BG98" s="4" t="s">
        <v>620</v>
      </c>
      <c r="BH98" s="4">
        <v>6420</v>
      </c>
      <c r="BI98" s="4">
        <f>IF(BE98="",BH98,BE98/BF98*BH98)</f>
        <v>321</v>
      </c>
      <c r="BJ98" s="19">
        <v>4</v>
      </c>
      <c r="BK98" s="19">
        <v>1</v>
      </c>
      <c r="BL98" s="16">
        <v>3</v>
      </c>
      <c r="BM98">
        <v>217</v>
      </c>
      <c r="BN98">
        <f t="shared" si="20"/>
        <v>238.39436619718313</v>
      </c>
      <c r="BO98">
        <v>314</v>
      </c>
      <c r="BP98">
        <f t="shared" si="21"/>
        <v>344.95774647887328</v>
      </c>
      <c r="BQ98" t="s">
        <v>474</v>
      </c>
    </row>
    <row r="99" spans="1:69" x14ac:dyDescent="0.4">
      <c r="A99" s="3">
        <v>60</v>
      </c>
      <c r="B99" s="3">
        <v>60</v>
      </c>
      <c r="C99" s="4" t="s">
        <v>77</v>
      </c>
      <c r="D99" s="4" t="str">
        <f>TEXT(C99,"000000")</f>
        <v>J086PW</v>
      </c>
      <c r="E99" s="4" t="s">
        <v>77</v>
      </c>
      <c r="F99" s="4" t="s">
        <v>174</v>
      </c>
      <c r="G99" s="5">
        <v>4996297346326</v>
      </c>
      <c r="H99" s="5"/>
      <c r="I99" s="5"/>
      <c r="J99" s="5">
        <v>1</v>
      </c>
      <c r="K99" s="5">
        <v>1</v>
      </c>
      <c r="L99" s="4">
        <v>0</v>
      </c>
      <c r="M99" s="4">
        <v>261</v>
      </c>
      <c r="N99" s="4">
        <v>142</v>
      </c>
      <c r="O99" s="6">
        <f>IFERROR(1-N99/M99,"-")</f>
        <v>0.45593869731800762</v>
      </c>
      <c r="P99" s="4" t="s">
        <v>422</v>
      </c>
      <c r="Q99" s="4" t="s">
        <v>422</v>
      </c>
      <c r="R99" s="4" t="s">
        <v>422</v>
      </c>
      <c r="S99" s="4" t="s">
        <v>422</v>
      </c>
      <c r="T99" s="4" t="s">
        <v>422</v>
      </c>
      <c r="U99" s="4" t="s">
        <v>422</v>
      </c>
      <c r="V99" s="4" t="s">
        <v>422</v>
      </c>
      <c r="W99" s="4" t="s">
        <v>422</v>
      </c>
      <c r="X99" s="4" t="s">
        <v>422</v>
      </c>
      <c r="Y99" s="4">
        <v>0</v>
      </c>
      <c r="Z99" s="4">
        <f>IF(AC99="",Y99,Y99*AC99)</f>
        <v>0</v>
      </c>
      <c r="AA99" s="4">
        <v>156</v>
      </c>
      <c r="AB99" s="4">
        <f>IF(AC99="",AA99,AA99*AC99)</f>
        <v>156</v>
      </c>
      <c r="AC99" s="4"/>
      <c r="AD99" s="21">
        <f>ROUND(M99*AR99,0)</f>
        <v>287</v>
      </c>
      <c r="AE99" s="6">
        <f>IFERROR(1-AB99/AD99,"-")</f>
        <v>0.45644599303135891</v>
      </c>
      <c r="AF99" s="33">
        <v>1</v>
      </c>
      <c r="AG99" s="4">
        <f>BI99</f>
        <v>321</v>
      </c>
      <c r="AH99" s="33">
        <f>IFERROR(AG99*AR99,"-")</f>
        <v>352.64788732394368</v>
      </c>
      <c r="AI99" s="6">
        <f>IFERROR(1-AB99/AH99,"-")</f>
        <v>0.55763239875389403</v>
      </c>
      <c r="AJ99" s="7">
        <v>250</v>
      </c>
      <c r="AK99" s="6">
        <f>1-AB99/AJ99</f>
        <v>0.376</v>
      </c>
      <c r="AL99" s="4">
        <f>AJ99-AB99</f>
        <v>94</v>
      </c>
      <c r="AM99" s="28"/>
      <c r="AN99" s="6"/>
      <c r="AO99" s="6"/>
      <c r="AP99" s="6" t="str">
        <f>IFERROR(Z99/L99,"-")</f>
        <v>-</v>
      </c>
      <c r="AQ99" s="6">
        <f>IFERROR(AJ99/M99,"-")</f>
        <v>0.95785440613026818</v>
      </c>
      <c r="AR99" s="6">
        <f>IFERROR(AB99/N99,"-")</f>
        <v>1.0985915492957747</v>
      </c>
      <c r="AS99" s="4" t="str">
        <f t="shared" si="11"/>
        <v>-</v>
      </c>
      <c r="AT99" s="4"/>
      <c r="AU99" s="4" t="str">
        <f t="shared" si="12"/>
        <v>-</v>
      </c>
      <c r="AV99" s="4" t="str">
        <f t="shared" si="13"/>
        <v>-</v>
      </c>
      <c r="AW99" s="4" t="str">
        <f t="shared" si="14"/>
        <v>-</v>
      </c>
      <c r="AX99" s="4" t="str">
        <f t="shared" si="15"/>
        <v>-</v>
      </c>
      <c r="AY99" s="4" t="str">
        <f t="shared" si="16"/>
        <v>-</v>
      </c>
      <c r="AZ99" s="4" t="str">
        <f t="shared" si="17"/>
        <v>-</v>
      </c>
      <c r="BA99" s="4" t="str">
        <f t="shared" si="18"/>
        <v>-</v>
      </c>
      <c r="BB99" s="4" t="str">
        <f t="shared" si="19"/>
        <v>-</v>
      </c>
      <c r="BC99" s="4">
        <v>0</v>
      </c>
      <c r="BD99" s="4" t="s">
        <v>621</v>
      </c>
      <c r="BE99" s="4"/>
      <c r="BF99" s="4"/>
      <c r="BG99" s="4" t="s">
        <v>563</v>
      </c>
      <c r="BH99" s="4">
        <v>321</v>
      </c>
      <c r="BI99" s="4">
        <f>IF(BE99="",BH99,BE99/BF99*BH99)</f>
        <v>321</v>
      </c>
      <c r="BJ99" s="19">
        <v>4</v>
      </c>
      <c r="BK99" s="19">
        <v>1</v>
      </c>
      <c r="BL99" s="16">
        <v>3</v>
      </c>
      <c r="BM99">
        <v>217</v>
      </c>
      <c r="BN99">
        <f t="shared" si="20"/>
        <v>238.39436619718313</v>
      </c>
      <c r="BO99">
        <v>314</v>
      </c>
      <c r="BP99">
        <f t="shared" si="21"/>
        <v>344.95774647887328</v>
      </c>
      <c r="BQ99" t="s">
        <v>475</v>
      </c>
    </row>
    <row r="100" spans="1:69" x14ac:dyDescent="0.4">
      <c r="A100" s="3">
        <v>59</v>
      </c>
      <c r="B100" s="3">
        <v>59</v>
      </c>
      <c r="C100" s="4" t="s">
        <v>76</v>
      </c>
      <c r="D100" s="4" t="str">
        <f>TEXT(C100,"000000")</f>
        <v>J087PW</v>
      </c>
      <c r="E100" s="4" t="s">
        <v>76</v>
      </c>
      <c r="F100" s="4" t="s">
        <v>173</v>
      </c>
      <c r="G100" s="5">
        <v>4996297346302</v>
      </c>
      <c r="H100" s="5"/>
      <c r="I100" s="5"/>
      <c r="J100" s="5">
        <v>1</v>
      </c>
      <c r="K100" s="5">
        <v>1</v>
      </c>
      <c r="L100" s="4">
        <v>0</v>
      </c>
      <c r="M100" s="4">
        <v>215</v>
      </c>
      <c r="N100" s="4">
        <v>142</v>
      </c>
      <c r="O100" s="6">
        <f>IFERROR(1-N100/M100,"-")</f>
        <v>0.33953488372093021</v>
      </c>
      <c r="P100" s="4" t="s">
        <v>422</v>
      </c>
      <c r="Q100" s="4" t="s">
        <v>422</v>
      </c>
      <c r="R100" s="4" t="s">
        <v>422</v>
      </c>
      <c r="S100" s="4" t="s">
        <v>422</v>
      </c>
      <c r="T100" s="4" t="s">
        <v>422</v>
      </c>
      <c r="U100" s="4" t="s">
        <v>422</v>
      </c>
      <c r="V100" s="4" t="s">
        <v>422</v>
      </c>
      <c r="W100" s="4" t="s">
        <v>422</v>
      </c>
      <c r="X100" s="4" t="s">
        <v>422</v>
      </c>
      <c r="Y100" s="4">
        <v>0</v>
      </c>
      <c r="Z100" s="4">
        <f>IF(AC100="",Y100,Y100*AC100)</f>
        <v>0</v>
      </c>
      <c r="AA100" s="4">
        <v>156</v>
      </c>
      <c r="AB100" s="4">
        <f>IF(AC100="",AA100,AA100*AC100)</f>
        <v>156</v>
      </c>
      <c r="AC100" s="4"/>
      <c r="AD100" s="21">
        <f>ROUND(M100*AR100,0)</f>
        <v>236</v>
      </c>
      <c r="AE100" s="6">
        <f>IFERROR(1-AB100/AD100,"-")</f>
        <v>0.33898305084745761</v>
      </c>
      <c r="AF100" s="33">
        <v>1.5</v>
      </c>
      <c r="AG100" s="4">
        <f>BI100</f>
        <v>321</v>
      </c>
      <c r="AH100" s="33">
        <f>IFERROR(AG100*AR100,"-")</f>
        <v>352.64788732394368</v>
      </c>
      <c r="AI100" s="6">
        <f>IFERROR(1-AB100/AH100,"-")</f>
        <v>0.55763239875389403</v>
      </c>
      <c r="AJ100" s="7">
        <v>250</v>
      </c>
      <c r="AK100" s="6">
        <f>1-AB100/AJ100</f>
        <v>0.376</v>
      </c>
      <c r="AL100" s="4">
        <f>AJ100-AB100</f>
        <v>94</v>
      </c>
      <c r="AM100" s="28"/>
      <c r="AN100" s="6"/>
      <c r="AO100" s="6"/>
      <c r="AP100" s="6" t="str">
        <f>IFERROR(Z100/L100,"-")</f>
        <v>-</v>
      </c>
      <c r="AQ100" s="6">
        <f>IFERROR(AJ100/M100,"-")</f>
        <v>1.1627906976744187</v>
      </c>
      <c r="AR100" s="6">
        <f>IFERROR(AB100/N100,"-")</f>
        <v>1.0985915492957747</v>
      </c>
      <c r="AS100" s="4" t="str">
        <f t="shared" si="11"/>
        <v>-</v>
      </c>
      <c r="AT100" s="4"/>
      <c r="AU100" s="4" t="str">
        <f t="shared" si="12"/>
        <v>-</v>
      </c>
      <c r="AV100" s="4" t="str">
        <f t="shared" si="13"/>
        <v>-</v>
      </c>
      <c r="AW100" s="4" t="str">
        <f t="shared" si="14"/>
        <v>-</v>
      </c>
      <c r="AX100" s="4" t="str">
        <f t="shared" si="15"/>
        <v>-</v>
      </c>
      <c r="AY100" s="4" t="str">
        <f t="shared" si="16"/>
        <v>-</v>
      </c>
      <c r="AZ100" s="4" t="str">
        <f t="shared" si="17"/>
        <v>-</v>
      </c>
      <c r="BA100" s="4" t="str">
        <f t="shared" si="18"/>
        <v>-</v>
      </c>
      <c r="BB100" s="4" t="str">
        <f t="shared" si="19"/>
        <v>-</v>
      </c>
      <c r="BC100" s="4">
        <v>0</v>
      </c>
      <c r="BD100" s="4" t="s">
        <v>622</v>
      </c>
      <c r="BE100" s="4"/>
      <c r="BF100" s="4"/>
      <c r="BG100" s="4" t="s">
        <v>563</v>
      </c>
      <c r="BH100" s="4">
        <v>321</v>
      </c>
      <c r="BI100" s="4">
        <f>IF(BE100="",BH100,BE100/BF100*BH100)</f>
        <v>321</v>
      </c>
      <c r="BJ100" s="19">
        <v>4</v>
      </c>
      <c r="BK100" s="19">
        <v>1</v>
      </c>
      <c r="BL100" s="16">
        <v>3</v>
      </c>
      <c r="BM100">
        <v>217</v>
      </c>
      <c r="BN100">
        <f t="shared" si="20"/>
        <v>238.39436619718313</v>
      </c>
      <c r="BO100">
        <v>314</v>
      </c>
      <c r="BP100">
        <f t="shared" si="21"/>
        <v>344.95774647887328</v>
      </c>
      <c r="BQ100" t="s">
        <v>476</v>
      </c>
    </row>
    <row r="101" spans="1:69" x14ac:dyDescent="0.4">
      <c r="A101" s="3">
        <v>155</v>
      </c>
      <c r="B101" s="3">
        <v>155</v>
      </c>
      <c r="C101" s="46">
        <v>679187</v>
      </c>
      <c r="D101" s="4" t="str">
        <f>TEXT(C101,"000000")</f>
        <v>679187</v>
      </c>
      <c r="E101" s="4">
        <v>679187</v>
      </c>
      <c r="F101" s="4" t="s">
        <v>269</v>
      </c>
      <c r="G101" s="5">
        <v>4996297473244</v>
      </c>
      <c r="H101" s="5"/>
      <c r="I101" s="5"/>
      <c r="J101" s="5">
        <v>2</v>
      </c>
      <c r="K101" s="5">
        <v>2</v>
      </c>
      <c r="L101" s="4">
        <v>0</v>
      </c>
      <c r="M101" s="4">
        <v>240</v>
      </c>
      <c r="N101" s="4">
        <v>144</v>
      </c>
      <c r="O101" s="6">
        <f>IFERROR(1-N101/M101,"-")</f>
        <v>0.4</v>
      </c>
      <c r="P101" s="4" t="s">
        <v>422</v>
      </c>
      <c r="Q101" s="4" t="s">
        <v>422</v>
      </c>
      <c r="R101" s="4" t="s">
        <v>422</v>
      </c>
      <c r="S101" s="4" t="s">
        <v>422</v>
      </c>
      <c r="T101" s="4" t="s">
        <v>422</v>
      </c>
      <c r="U101" s="4" t="s">
        <v>422</v>
      </c>
      <c r="V101" s="4" t="s">
        <v>422</v>
      </c>
      <c r="W101" s="4" t="s">
        <v>422</v>
      </c>
      <c r="X101" s="4" t="s">
        <v>422</v>
      </c>
      <c r="Y101" s="4">
        <v>0</v>
      </c>
      <c r="Z101" s="4">
        <f>IF(AC101="",Y101,Y101*AC101)</f>
        <v>0</v>
      </c>
      <c r="AA101" s="4">
        <v>158</v>
      </c>
      <c r="AB101" s="4">
        <f>IF(AC101="",AA101,AA101*AC101)</f>
        <v>158</v>
      </c>
      <c r="AC101" s="4"/>
      <c r="AD101" s="21">
        <f>ROUND(M101*AR101,0)</f>
        <v>263</v>
      </c>
      <c r="AE101" s="6">
        <f>IFERROR(1-AB101/AD101,"-")</f>
        <v>0.39923954372623571</v>
      </c>
      <c r="AF101" s="33">
        <v>71.25</v>
      </c>
      <c r="AG101" s="4">
        <f>BI101</f>
        <v>240</v>
      </c>
      <c r="AH101" s="33">
        <f>IFERROR(AG101*AR101,"-")</f>
        <v>263.33333333333337</v>
      </c>
      <c r="AI101" s="6">
        <f>IFERROR(1-AB101/AH101,"-")</f>
        <v>0.40000000000000013</v>
      </c>
      <c r="AJ101" s="7">
        <v>260</v>
      </c>
      <c r="AK101" s="6">
        <f>1-AB101/AJ101</f>
        <v>0.39230769230769236</v>
      </c>
      <c r="AL101" s="4">
        <f>AJ101-AB101</f>
        <v>102</v>
      </c>
      <c r="AM101" s="28"/>
      <c r="AN101" s="6"/>
      <c r="AO101" s="6"/>
      <c r="AP101" s="6" t="str">
        <f>IFERROR(Z101/L101,"-")</f>
        <v>-</v>
      </c>
      <c r="AQ101" s="6">
        <f>IFERROR(AJ101/M101,"-")</f>
        <v>1.0833333333333333</v>
      </c>
      <c r="AR101" s="6">
        <f>IFERROR(AB101/N101,"-")</f>
        <v>1.0972222222222223</v>
      </c>
      <c r="AS101" s="4" t="str">
        <f t="shared" si="11"/>
        <v>-</v>
      </c>
      <c r="AT101" s="4"/>
      <c r="AU101" s="4" t="str">
        <f t="shared" si="12"/>
        <v>-</v>
      </c>
      <c r="AV101" s="4" t="str">
        <f t="shared" si="13"/>
        <v>-</v>
      </c>
      <c r="AW101" s="4" t="str">
        <f t="shared" si="14"/>
        <v>-</v>
      </c>
      <c r="AX101" s="4" t="str">
        <f t="shared" si="15"/>
        <v>-</v>
      </c>
      <c r="AY101" s="4" t="str">
        <f t="shared" si="16"/>
        <v>-</v>
      </c>
      <c r="AZ101" s="4" t="str">
        <f t="shared" si="17"/>
        <v>-</v>
      </c>
      <c r="BA101" s="4" t="str">
        <f t="shared" si="18"/>
        <v>-</v>
      </c>
      <c r="BB101" s="4" t="str">
        <f t="shared" si="19"/>
        <v>-</v>
      </c>
      <c r="BC101" s="4">
        <v>12451</v>
      </c>
      <c r="BD101" s="4" t="s">
        <v>623</v>
      </c>
      <c r="BE101" s="4"/>
      <c r="BF101" s="4"/>
      <c r="BG101" s="4" t="s">
        <v>563</v>
      </c>
      <c r="BH101" s="4">
        <v>240</v>
      </c>
      <c r="BI101" s="4">
        <f>IF(BE101="",BH101,BE101/BF101*BH101)</f>
        <v>240</v>
      </c>
      <c r="BJ101" s="19">
        <v>4</v>
      </c>
      <c r="BK101" s="19">
        <v>1</v>
      </c>
      <c r="BL101" s="16">
        <v>3</v>
      </c>
      <c r="BM101">
        <v>216</v>
      </c>
      <c r="BN101">
        <f t="shared" si="20"/>
        <v>237.00000000000003</v>
      </c>
      <c r="BO101">
        <v>361</v>
      </c>
      <c r="BP101">
        <f t="shared" si="21"/>
        <v>396.09722222222229</v>
      </c>
      <c r="BQ101" t="s">
        <v>477</v>
      </c>
    </row>
    <row r="102" spans="1:69" x14ac:dyDescent="0.4">
      <c r="A102" s="3">
        <v>249</v>
      </c>
      <c r="B102" s="3">
        <v>155</v>
      </c>
      <c r="C102" s="46">
        <v>679187</v>
      </c>
      <c r="D102" s="4" t="str">
        <f>TEXT(C102,"000000")</f>
        <v>679187</v>
      </c>
      <c r="E102" s="4">
        <v>679188</v>
      </c>
      <c r="F102" s="4" t="s">
        <v>389</v>
      </c>
      <c r="G102" s="5">
        <v>4996297473244</v>
      </c>
      <c r="H102" s="5">
        <v>8</v>
      </c>
      <c r="I102" s="5" t="str">
        <f>C102&amp;H102</f>
        <v>6791878</v>
      </c>
      <c r="J102" s="5"/>
      <c r="K102" s="5"/>
      <c r="L102" s="4">
        <v>0</v>
      </c>
      <c r="M102" s="4">
        <v>4228</v>
      </c>
      <c r="N102" s="4">
        <v>2880</v>
      </c>
      <c r="O102" s="6">
        <f>IFERROR(1-N102/M102,"-")</f>
        <v>0.31882686849574271</v>
      </c>
      <c r="P102" s="4" t="s">
        <v>422</v>
      </c>
      <c r="Q102" s="4" t="s">
        <v>422</v>
      </c>
      <c r="R102" s="4" t="s">
        <v>422</v>
      </c>
      <c r="S102" s="4" t="s">
        <v>422</v>
      </c>
      <c r="T102" s="4" t="s">
        <v>422</v>
      </c>
      <c r="U102" s="4" t="s">
        <v>422</v>
      </c>
      <c r="V102" s="4" t="s">
        <v>422</v>
      </c>
      <c r="W102" s="4" t="s">
        <v>422</v>
      </c>
      <c r="X102" s="4" t="s">
        <v>422</v>
      </c>
      <c r="Y102" s="4">
        <v>0</v>
      </c>
      <c r="Z102" s="4">
        <f>IF(AC102="",Y102,Y102*AC102)</f>
        <v>0</v>
      </c>
      <c r="AA102" s="4">
        <v>158</v>
      </c>
      <c r="AB102" s="4">
        <f>IF(AC102="",AA102,AA102*AC102)</f>
        <v>3160</v>
      </c>
      <c r="AC102" s="4">
        <v>20</v>
      </c>
      <c r="AD102" s="21">
        <f>ROUND(M102*AR102,0)</f>
        <v>4639</v>
      </c>
      <c r="AE102" s="6">
        <f>IFERROR(1-AB102/AD102,"-")</f>
        <v>0.31881871092907954</v>
      </c>
      <c r="AF102" s="33">
        <v>71.25</v>
      </c>
      <c r="AG102" s="4">
        <f>BI102</f>
        <v>6279</v>
      </c>
      <c r="AH102" s="33">
        <f>IFERROR(AG102*AR102,"-")</f>
        <v>6889.4583333333339</v>
      </c>
      <c r="AI102" s="6">
        <f>IFERROR(1-AB102/AH102,"-")</f>
        <v>0.54132823698041088</v>
      </c>
      <c r="AJ102" s="7">
        <v>4900</v>
      </c>
      <c r="AK102" s="6">
        <f>1-AB102/AJ102</f>
        <v>0.35510204081632657</v>
      </c>
      <c r="AL102" s="4">
        <f>AJ102-AB102</f>
        <v>1740</v>
      </c>
      <c r="AM102" s="28"/>
      <c r="AN102" s="6"/>
      <c r="AO102" s="6"/>
      <c r="AP102" s="6" t="str">
        <f>IFERROR(Z102/L102,"-")</f>
        <v>-</v>
      </c>
      <c r="AQ102" s="6">
        <f>IFERROR(AJ102/M102,"-")</f>
        <v>1.1589403973509933</v>
      </c>
      <c r="AR102" s="6">
        <f>IFERROR(AB102/N102,"-")</f>
        <v>1.0972222222222223</v>
      </c>
      <c r="AS102" s="4" t="str">
        <f t="shared" si="11"/>
        <v>-</v>
      </c>
      <c r="AT102" s="4"/>
      <c r="AU102" s="4" t="str">
        <f t="shared" si="12"/>
        <v>-</v>
      </c>
      <c r="AV102" s="4" t="str">
        <f t="shared" si="13"/>
        <v>-</v>
      </c>
      <c r="AW102" s="4" t="str">
        <f t="shared" si="14"/>
        <v>-</v>
      </c>
      <c r="AX102" s="4" t="str">
        <f t="shared" si="15"/>
        <v>-</v>
      </c>
      <c r="AY102" s="4" t="str">
        <f t="shared" si="16"/>
        <v>-</v>
      </c>
      <c r="AZ102" s="4" t="str">
        <f t="shared" si="17"/>
        <v>-</v>
      </c>
      <c r="BA102" s="4" t="str">
        <f t="shared" si="18"/>
        <v>-</v>
      </c>
      <c r="BB102" s="4" t="str">
        <f t="shared" si="19"/>
        <v>-</v>
      </c>
      <c r="BC102" s="4">
        <v>12451</v>
      </c>
      <c r="BD102" s="4" t="s">
        <v>624</v>
      </c>
      <c r="BE102" s="4"/>
      <c r="BF102" s="4"/>
      <c r="BG102" s="4" t="s">
        <v>609</v>
      </c>
      <c r="BH102" s="4">
        <v>6279</v>
      </c>
      <c r="BI102" s="4">
        <f>IF(BE102="",BH102,BE102/BF102*BH102)</f>
        <v>6279</v>
      </c>
      <c r="BJ102" s="19">
        <v>4</v>
      </c>
      <c r="BK102" s="19">
        <v>1</v>
      </c>
      <c r="BL102" s="16">
        <v>3</v>
      </c>
      <c r="BM102">
        <v>216</v>
      </c>
      <c r="BN102">
        <f t="shared" si="20"/>
        <v>237.00000000000003</v>
      </c>
      <c r="BO102">
        <v>361</v>
      </c>
      <c r="BP102">
        <f t="shared" si="21"/>
        <v>396.09722222222229</v>
      </c>
      <c r="BQ102" t="s">
        <v>478</v>
      </c>
    </row>
    <row r="103" spans="1:69" x14ac:dyDescent="0.4">
      <c r="A103" s="3">
        <v>52</v>
      </c>
      <c r="B103" s="3">
        <v>52</v>
      </c>
      <c r="C103" s="46">
        <v>745875</v>
      </c>
      <c r="D103" s="4" t="str">
        <f>TEXT(C103,"000000")</f>
        <v>745875</v>
      </c>
      <c r="E103" s="4">
        <v>745875</v>
      </c>
      <c r="F103" s="4" t="s">
        <v>167</v>
      </c>
      <c r="G103" s="5">
        <v>4996297343141</v>
      </c>
      <c r="H103" s="5"/>
      <c r="I103" s="5"/>
      <c r="J103" s="5">
        <v>2</v>
      </c>
      <c r="K103" s="5">
        <v>2</v>
      </c>
      <c r="L103" s="4">
        <v>0</v>
      </c>
      <c r="M103" s="4">
        <v>188</v>
      </c>
      <c r="N103" s="4">
        <v>140</v>
      </c>
      <c r="O103" s="6">
        <f>IFERROR(1-N103/M103,"-")</f>
        <v>0.25531914893617025</v>
      </c>
      <c r="P103" s="4" t="s">
        <v>422</v>
      </c>
      <c r="Q103" s="4" t="s">
        <v>422</v>
      </c>
      <c r="R103" s="4" t="s">
        <v>422</v>
      </c>
      <c r="S103" s="4" t="s">
        <v>422</v>
      </c>
      <c r="T103" s="4" t="s">
        <v>422</v>
      </c>
      <c r="U103" s="4" t="s">
        <v>422</v>
      </c>
      <c r="V103" s="4" t="s">
        <v>422</v>
      </c>
      <c r="W103" s="4" t="s">
        <v>422</v>
      </c>
      <c r="X103" s="4" t="s">
        <v>422</v>
      </c>
      <c r="Y103" s="4">
        <v>0</v>
      </c>
      <c r="Z103" s="4">
        <f>IF(AC103="",Y103,Y103*AC103)</f>
        <v>0</v>
      </c>
      <c r="AA103" s="4">
        <v>161</v>
      </c>
      <c r="AB103" s="4">
        <f>IF(AC103="",AA103,AA103*AC103)</f>
        <v>161</v>
      </c>
      <c r="AC103" s="4"/>
      <c r="AD103" s="21">
        <f>ROUND(M103*AR103,0)</f>
        <v>216</v>
      </c>
      <c r="AE103" s="6">
        <f>IFERROR(1-AB103/AD103,"-")</f>
        <v>0.25462962962962965</v>
      </c>
      <c r="AF103" s="33">
        <v>124</v>
      </c>
      <c r="AG103" s="4" t="str">
        <f>BI103</f>
        <v>-</v>
      </c>
      <c r="AH103" s="33" t="str">
        <f>IFERROR(AG103*AR103,"-")</f>
        <v>-</v>
      </c>
      <c r="AI103" s="6" t="str">
        <f>IFERROR(1-AB103/AH103,"-")</f>
        <v>-</v>
      </c>
      <c r="AJ103" s="7">
        <v>240</v>
      </c>
      <c r="AK103" s="6">
        <f>1-AB103/AJ103</f>
        <v>0.32916666666666672</v>
      </c>
      <c r="AL103" s="4">
        <f>AJ103-AB103</f>
        <v>79</v>
      </c>
      <c r="AM103" s="28"/>
      <c r="AN103" s="6"/>
      <c r="AO103" s="6"/>
      <c r="AP103" s="6" t="str">
        <f>IFERROR(Z103/L103,"-")</f>
        <v>-</v>
      </c>
      <c r="AQ103" s="6">
        <f>IFERROR(AJ103/M103,"-")</f>
        <v>1.2765957446808511</v>
      </c>
      <c r="AR103" s="6">
        <f>IFERROR(AB103/N103,"-")</f>
        <v>1.1499999999999999</v>
      </c>
      <c r="AS103" s="4" t="str">
        <f t="shared" si="11"/>
        <v>-</v>
      </c>
      <c r="AT103" s="4"/>
      <c r="AU103" s="4" t="str">
        <f t="shared" si="12"/>
        <v>-</v>
      </c>
      <c r="AV103" s="4" t="str">
        <f t="shared" si="13"/>
        <v>-</v>
      </c>
      <c r="AW103" s="4" t="str">
        <f t="shared" si="14"/>
        <v>-</v>
      </c>
      <c r="AX103" s="4" t="str">
        <f t="shared" si="15"/>
        <v>-</v>
      </c>
      <c r="AY103" s="4" t="str">
        <f t="shared" si="16"/>
        <v>-</v>
      </c>
      <c r="AZ103" s="4" t="str">
        <f t="shared" si="17"/>
        <v>-</v>
      </c>
      <c r="BA103" s="4" t="str">
        <f t="shared" si="18"/>
        <v>-</v>
      </c>
      <c r="BB103" s="4" t="str">
        <f t="shared" si="19"/>
        <v>-</v>
      </c>
      <c r="BC103" s="4">
        <v>12451</v>
      </c>
      <c r="BD103" s="4" t="s">
        <v>422</v>
      </c>
      <c r="BE103" s="4"/>
      <c r="BF103" s="4"/>
      <c r="BG103" s="4" t="s">
        <v>422</v>
      </c>
      <c r="BH103" s="4" t="s">
        <v>422</v>
      </c>
      <c r="BI103" s="4" t="str">
        <f>IF(BE103="",BH103,BE103/BF103*BH103)</f>
        <v>-</v>
      </c>
      <c r="BJ103" s="19">
        <v>4</v>
      </c>
      <c r="BK103" s="19">
        <v>1</v>
      </c>
      <c r="BL103" s="16">
        <v>3</v>
      </c>
      <c r="BM103">
        <v>168</v>
      </c>
      <c r="BN103">
        <f t="shared" si="20"/>
        <v>193.2</v>
      </c>
      <c r="BO103" t="s">
        <v>422</v>
      </c>
      <c r="BP103" t="str">
        <f t="shared" si="21"/>
        <v>-</v>
      </c>
      <c r="BQ103" t="s">
        <v>422</v>
      </c>
    </row>
    <row r="104" spans="1:69" x14ac:dyDescent="0.4">
      <c r="A104" s="3">
        <v>199</v>
      </c>
      <c r="B104" s="3">
        <v>52</v>
      </c>
      <c r="C104" s="46">
        <v>745875</v>
      </c>
      <c r="D104" s="4" t="str">
        <f>TEXT(C104,"000000")</f>
        <v>745875</v>
      </c>
      <c r="E104" s="4">
        <v>629696</v>
      </c>
      <c r="F104" s="4" t="s">
        <v>339</v>
      </c>
      <c r="G104" s="5">
        <v>4996297343141</v>
      </c>
      <c r="H104" s="5">
        <v>8</v>
      </c>
      <c r="I104" s="5" t="str">
        <f>C104&amp;H104</f>
        <v>7458758</v>
      </c>
      <c r="J104" s="5"/>
      <c r="K104" s="5"/>
      <c r="L104" s="4">
        <v>0</v>
      </c>
      <c r="M104" s="4">
        <v>1743</v>
      </c>
      <c r="N104" s="4">
        <v>1400</v>
      </c>
      <c r="O104" s="6">
        <f>IFERROR(1-N104/M104,"-")</f>
        <v>0.19678714859437751</v>
      </c>
      <c r="P104" s="4" t="s">
        <v>422</v>
      </c>
      <c r="Q104" s="4" t="s">
        <v>422</v>
      </c>
      <c r="R104" s="4" t="s">
        <v>422</v>
      </c>
      <c r="S104" s="4" t="s">
        <v>422</v>
      </c>
      <c r="T104" s="4" t="s">
        <v>422</v>
      </c>
      <c r="U104" s="4" t="s">
        <v>422</v>
      </c>
      <c r="V104" s="4" t="s">
        <v>422</v>
      </c>
      <c r="W104" s="4" t="s">
        <v>422</v>
      </c>
      <c r="X104" s="4" t="s">
        <v>422</v>
      </c>
      <c r="Y104" s="4">
        <v>0</v>
      </c>
      <c r="Z104" s="4">
        <f>IF(AC104="",Y104,Y104*AC104)</f>
        <v>0</v>
      </c>
      <c r="AA104" s="4">
        <v>161</v>
      </c>
      <c r="AB104" s="4">
        <f>IF(AC104="",AA104,AA104*AC104)</f>
        <v>1610</v>
      </c>
      <c r="AC104" s="4">
        <v>10</v>
      </c>
      <c r="AD104" s="21">
        <f>ROUND(M104*AR104,0)</f>
        <v>2004</v>
      </c>
      <c r="AE104" s="6">
        <f>IFERROR(1-AB104/AD104,"-")</f>
        <v>0.19660678642714569</v>
      </c>
      <c r="AF104" s="33">
        <v>124</v>
      </c>
      <c r="AG104" s="4" t="str">
        <f>BI104</f>
        <v>-</v>
      </c>
      <c r="AH104" s="33" t="str">
        <f>IFERROR(AG104*AR104,"-")</f>
        <v>-</v>
      </c>
      <c r="AI104" s="6" t="str">
        <f>IFERROR(1-AB104/AH104,"-")</f>
        <v>-</v>
      </c>
      <c r="AJ104" s="7">
        <v>2250</v>
      </c>
      <c r="AK104" s="6">
        <f>1-AB104/AJ104</f>
        <v>0.2844444444444445</v>
      </c>
      <c r="AL104" s="4">
        <f>AJ104-AB104</f>
        <v>640</v>
      </c>
      <c r="AM104" s="28"/>
      <c r="AN104" s="6"/>
      <c r="AO104" s="6"/>
      <c r="AP104" s="6" t="str">
        <f>IFERROR(Z104/L104,"-")</f>
        <v>-</v>
      </c>
      <c r="AQ104" s="6">
        <f>IFERROR(AJ104/M104,"-")</f>
        <v>1.2908777969018932</v>
      </c>
      <c r="AR104" s="6">
        <f>IFERROR(AB104/N104,"-")</f>
        <v>1.1499999999999999</v>
      </c>
      <c r="AS104" s="4" t="str">
        <f t="shared" si="11"/>
        <v>-</v>
      </c>
      <c r="AT104" s="4"/>
      <c r="AU104" s="4" t="str">
        <f t="shared" si="12"/>
        <v>-</v>
      </c>
      <c r="AV104" s="4" t="str">
        <f t="shared" si="13"/>
        <v>-</v>
      </c>
      <c r="AW104" s="4" t="str">
        <f t="shared" si="14"/>
        <v>-</v>
      </c>
      <c r="AX104" s="4" t="str">
        <f t="shared" si="15"/>
        <v>-</v>
      </c>
      <c r="AY104" s="4" t="str">
        <f t="shared" si="16"/>
        <v>-</v>
      </c>
      <c r="AZ104" s="4" t="str">
        <f t="shared" si="17"/>
        <v>-</v>
      </c>
      <c r="BA104" s="4" t="str">
        <f t="shared" si="18"/>
        <v>-</v>
      </c>
      <c r="BB104" s="4" t="str">
        <f t="shared" si="19"/>
        <v>-</v>
      </c>
      <c r="BC104" s="4">
        <v>12451</v>
      </c>
      <c r="BD104" s="4" t="s">
        <v>422</v>
      </c>
      <c r="BE104" s="4"/>
      <c r="BF104" s="4"/>
      <c r="BG104" s="4" t="s">
        <v>422</v>
      </c>
      <c r="BH104" s="4" t="s">
        <v>422</v>
      </c>
      <c r="BI104" s="4" t="str">
        <f>IF(BE104="",BH104,BE104/BF104*BH104)</f>
        <v>-</v>
      </c>
      <c r="BJ104" s="19">
        <v>4</v>
      </c>
      <c r="BK104" s="19">
        <v>1</v>
      </c>
      <c r="BL104" s="16">
        <v>3</v>
      </c>
      <c r="BM104">
        <v>168</v>
      </c>
      <c r="BN104">
        <f t="shared" si="20"/>
        <v>193.2</v>
      </c>
      <c r="BO104" t="s">
        <v>422</v>
      </c>
      <c r="BP104" t="str">
        <f t="shared" si="21"/>
        <v>-</v>
      </c>
      <c r="BQ104" t="s">
        <v>422</v>
      </c>
    </row>
    <row r="105" spans="1:69" x14ac:dyDescent="0.4">
      <c r="A105" s="3">
        <v>69</v>
      </c>
      <c r="B105" s="3">
        <v>69</v>
      </c>
      <c r="C105" s="46">
        <v>733374</v>
      </c>
      <c r="D105" s="4" t="str">
        <f>TEXT(C105,"000000")</f>
        <v>733374</v>
      </c>
      <c r="E105" s="4">
        <v>733374</v>
      </c>
      <c r="F105" s="4" t="s">
        <v>183</v>
      </c>
      <c r="G105" s="5">
        <v>4996297364023</v>
      </c>
      <c r="H105" s="5"/>
      <c r="I105" s="5"/>
      <c r="J105" s="5">
        <v>2</v>
      </c>
      <c r="K105" s="5">
        <v>2</v>
      </c>
      <c r="L105" s="4">
        <v>0</v>
      </c>
      <c r="M105" s="4">
        <v>270</v>
      </c>
      <c r="N105" s="4">
        <v>148</v>
      </c>
      <c r="O105" s="6">
        <f>IFERROR(1-N105/M105,"-")</f>
        <v>0.45185185185185184</v>
      </c>
      <c r="P105" s="4" t="s">
        <v>422</v>
      </c>
      <c r="Q105" s="4" t="s">
        <v>422</v>
      </c>
      <c r="R105" s="4" t="s">
        <v>422</v>
      </c>
      <c r="S105" s="4" t="s">
        <v>422</v>
      </c>
      <c r="T105" s="4" t="s">
        <v>422</v>
      </c>
      <c r="U105" s="4" t="s">
        <v>422</v>
      </c>
      <c r="V105" s="4" t="s">
        <v>422</v>
      </c>
      <c r="W105" s="4" t="s">
        <v>422</v>
      </c>
      <c r="X105" s="4" t="s">
        <v>422</v>
      </c>
      <c r="Y105" s="4">
        <v>0</v>
      </c>
      <c r="Z105" s="4">
        <f>IF(AC105="",Y105,Y105*AC105)</f>
        <v>0</v>
      </c>
      <c r="AA105" s="4">
        <v>163</v>
      </c>
      <c r="AB105" s="4">
        <f>IF(AC105="",AA105,AA105*AC105)</f>
        <v>163</v>
      </c>
      <c r="AC105" s="4"/>
      <c r="AD105" s="21">
        <f>ROUND(M105*AR105,0)</f>
        <v>297</v>
      </c>
      <c r="AE105" s="6">
        <f>IFERROR(1-AB105/AD105,"-")</f>
        <v>0.45117845117845112</v>
      </c>
      <c r="AF105" s="33">
        <v>75.75</v>
      </c>
      <c r="AG105" s="4">
        <f>BI105</f>
        <v>551</v>
      </c>
      <c r="AH105" s="33">
        <f>IFERROR(AG105*AR105,"-")</f>
        <v>606.84459459459458</v>
      </c>
      <c r="AI105" s="6">
        <f>IFERROR(1-AB105/AH105,"-")</f>
        <v>0.7313974591651542</v>
      </c>
      <c r="AJ105" s="7">
        <v>290</v>
      </c>
      <c r="AK105" s="6">
        <f>1-AB105/AJ105</f>
        <v>0.43793103448275861</v>
      </c>
      <c r="AL105" s="4">
        <f>AJ105-AB105</f>
        <v>127</v>
      </c>
      <c r="AM105" s="28"/>
      <c r="AN105" s="6"/>
      <c r="AO105" s="6"/>
      <c r="AP105" s="6" t="str">
        <f>IFERROR(Z105/L105,"-")</f>
        <v>-</v>
      </c>
      <c r="AQ105" s="6">
        <f>IFERROR(AJ105/M105,"-")</f>
        <v>1.0740740740740742</v>
      </c>
      <c r="AR105" s="6">
        <f>IFERROR(AB105/N105,"-")</f>
        <v>1.1013513513513513</v>
      </c>
      <c r="AS105" s="4" t="str">
        <f t="shared" si="11"/>
        <v>-</v>
      </c>
      <c r="AT105" s="4"/>
      <c r="AU105" s="4" t="str">
        <f t="shared" si="12"/>
        <v>-</v>
      </c>
      <c r="AV105" s="4" t="str">
        <f t="shared" si="13"/>
        <v>-</v>
      </c>
      <c r="AW105" s="4" t="str">
        <f t="shared" si="14"/>
        <v>-</v>
      </c>
      <c r="AX105" s="4" t="str">
        <f t="shared" si="15"/>
        <v>-</v>
      </c>
      <c r="AY105" s="4" t="str">
        <f t="shared" si="16"/>
        <v>-</v>
      </c>
      <c r="AZ105" s="4" t="str">
        <f t="shared" si="17"/>
        <v>-</v>
      </c>
      <c r="BA105" s="4" t="str">
        <f t="shared" si="18"/>
        <v>-</v>
      </c>
      <c r="BB105" s="4" t="str">
        <f t="shared" si="19"/>
        <v>-</v>
      </c>
      <c r="BC105" s="4" t="s">
        <v>411</v>
      </c>
      <c r="BD105" s="4" t="s">
        <v>625</v>
      </c>
      <c r="BE105" s="4"/>
      <c r="BF105" s="4"/>
      <c r="BG105" s="4" t="s">
        <v>626</v>
      </c>
      <c r="BH105" s="4">
        <v>551</v>
      </c>
      <c r="BI105" s="4">
        <f>IF(BE105="",BH105,BE105/BF105*BH105)</f>
        <v>551</v>
      </c>
      <c r="BJ105" s="19">
        <v>4</v>
      </c>
      <c r="BK105" s="19">
        <v>1</v>
      </c>
      <c r="BL105" s="16">
        <v>3</v>
      </c>
      <c r="BM105">
        <v>209</v>
      </c>
      <c r="BN105">
        <f t="shared" si="20"/>
        <v>230.18243243243242</v>
      </c>
      <c r="BO105">
        <v>466</v>
      </c>
      <c r="BP105">
        <f t="shared" si="21"/>
        <v>513.22972972972968</v>
      </c>
      <c r="BQ105" t="s">
        <v>479</v>
      </c>
    </row>
    <row r="106" spans="1:69" x14ac:dyDescent="0.4">
      <c r="A106" s="3">
        <v>208</v>
      </c>
      <c r="B106" s="3">
        <v>69</v>
      </c>
      <c r="C106" s="46">
        <v>733374</v>
      </c>
      <c r="D106" s="4" t="str">
        <f>TEXT(C106,"000000")</f>
        <v>733374</v>
      </c>
      <c r="E106" s="4">
        <v>736497</v>
      </c>
      <c r="F106" s="4" t="s">
        <v>348</v>
      </c>
      <c r="G106" s="5">
        <v>4996297364023</v>
      </c>
      <c r="H106" s="5">
        <v>8</v>
      </c>
      <c r="I106" s="5" t="str">
        <f>C106&amp;H106</f>
        <v>7333748</v>
      </c>
      <c r="J106" s="5"/>
      <c r="K106" s="5"/>
      <c r="L106" s="4">
        <v>0</v>
      </c>
      <c r="M106" s="4">
        <v>2481</v>
      </c>
      <c r="N106" s="4">
        <v>1480</v>
      </c>
      <c r="O106" s="6">
        <f>IFERROR(1-N106/M106,"-")</f>
        <v>0.40346634421604188</v>
      </c>
      <c r="P106" s="4" t="s">
        <v>422</v>
      </c>
      <c r="Q106" s="4" t="s">
        <v>422</v>
      </c>
      <c r="R106" s="4" t="s">
        <v>422</v>
      </c>
      <c r="S106" s="4" t="s">
        <v>422</v>
      </c>
      <c r="T106" s="4" t="s">
        <v>422</v>
      </c>
      <c r="U106" s="4" t="s">
        <v>422</v>
      </c>
      <c r="V106" s="4" t="s">
        <v>422</v>
      </c>
      <c r="W106" s="4" t="s">
        <v>422</v>
      </c>
      <c r="X106" s="4" t="s">
        <v>422</v>
      </c>
      <c r="Y106" s="4">
        <v>0</v>
      </c>
      <c r="Z106" s="4">
        <f>IF(AC106="",Y106,Y106*AC106)</f>
        <v>0</v>
      </c>
      <c r="AA106" s="4">
        <v>163</v>
      </c>
      <c r="AB106" s="4">
        <f>IF(AC106="",AA106,AA106*AC106)</f>
        <v>1630</v>
      </c>
      <c r="AC106" s="4">
        <v>10</v>
      </c>
      <c r="AD106" s="21">
        <f>ROUND(M106*AR106,0)</f>
        <v>2732</v>
      </c>
      <c r="AE106" s="6">
        <f>IFERROR(1-AB106/AD106,"-")</f>
        <v>0.40336749633967794</v>
      </c>
      <c r="AF106" s="33">
        <v>75.75</v>
      </c>
      <c r="AG106" s="4">
        <f>BI106</f>
        <v>5510</v>
      </c>
      <c r="AH106" s="33">
        <f>IFERROR(AG106*AR106,"-")</f>
        <v>6068.4459459459458</v>
      </c>
      <c r="AI106" s="6">
        <f>IFERROR(1-AB106/AH106,"-")</f>
        <v>0.7313974591651542</v>
      </c>
      <c r="AJ106" s="7">
        <v>2700</v>
      </c>
      <c r="AK106" s="6">
        <f>1-AB106/AJ106</f>
        <v>0.39629629629629626</v>
      </c>
      <c r="AL106" s="4">
        <f>AJ106-AB106</f>
        <v>1070</v>
      </c>
      <c r="AM106" s="28"/>
      <c r="AN106" s="6"/>
      <c r="AO106" s="6"/>
      <c r="AP106" s="6" t="str">
        <f>IFERROR(Z106/L106,"-")</f>
        <v>-</v>
      </c>
      <c r="AQ106" s="6">
        <f>IFERROR(AJ106/M106,"-")</f>
        <v>1.0882708585247884</v>
      </c>
      <c r="AR106" s="6">
        <f>IFERROR(AB106/N106,"-")</f>
        <v>1.1013513513513513</v>
      </c>
      <c r="AS106" s="4" t="str">
        <f t="shared" si="11"/>
        <v>-</v>
      </c>
      <c r="AT106" s="4"/>
      <c r="AU106" s="4" t="str">
        <f t="shared" si="12"/>
        <v>-</v>
      </c>
      <c r="AV106" s="4" t="str">
        <f t="shared" si="13"/>
        <v>-</v>
      </c>
      <c r="AW106" s="4" t="str">
        <f t="shared" si="14"/>
        <v>-</v>
      </c>
      <c r="AX106" s="4" t="str">
        <f t="shared" si="15"/>
        <v>-</v>
      </c>
      <c r="AY106" s="4" t="str">
        <f t="shared" si="16"/>
        <v>-</v>
      </c>
      <c r="AZ106" s="4" t="str">
        <f t="shared" si="17"/>
        <v>-</v>
      </c>
      <c r="BA106" s="4" t="str">
        <f t="shared" si="18"/>
        <v>-</v>
      </c>
      <c r="BB106" s="4" t="str">
        <f t="shared" si="19"/>
        <v>-</v>
      </c>
      <c r="BC106" s="4" t="s">
        <v>411</v>
      </c>
      <c r="BD106" s="4" t="s">
        <v>625</v>
      </c>
      <c r="BE106" s="4">
        <v>10</v>
      </c>
      <c r="BF106" s="4">
        <v>1</v>
      </c>
      <c r="BG106" s="4" t="s">
        <v>626</v>
      </c>
      <c r="BH106" s="4">
        <v>551</v>
      </c>
      <c r="BI106" s="4">
        <f>IF(BE106="",BH106,BE106/BF106*BH106)</f>
        <v>5510</v>
      </c>
      <c r="BJ106" s="19">
        <v>4</v>
      </c>
      <c r="BK106" s="19">
        <v>1</v>
      </c>
      <c r="BL106" s="16">
        <v>3</v>
      </c>
      <c r="BM106">
        <v>209</v>
      </c>
      <c r="BN106">
        <f t="shared" si="20"/>
        <v>230.18243243243242</v>
      </c>
      <c r="BO106">
        <v>466</v>
      </c>
      <c r="BP106">
        <f t="shared" si="21"/>
        <v>513.22972972972968</v>
      </c>
      <c r="BQ106" t="s">
        <v>479</v>
      </c>
    </row>
    <row r="107" spans="1:69" x14ac:dyDescent="0.4">
      <c r="A107" s="3">
        <v>68</v>
      </c>
      <c r="B107" s="3">
        <v>68</v>
      </c>
      <c r="C107" s="4">
        <v>735669</v>
      </c>
      <c r="D107" s="4" t="str">
        <f>TEXT(C107,"000000")</f>
        <v>735669</v>
      </c>
      <c r="E107" s="4">
        <v>735669</v>
      </c>
      <c r="F107" s="4" t="s">
        <v>182</v>
      </c>
      <c r="G107" s="5">
        <v>4996297364009</v>
      </c>
      <c r="H107" s="5"/>
      <c r="I107" s="5"/>
      <c r="J107" s="5">
        <v>1</v>
      </c>
      <c r="K107" s="5">
        <v>1</v>
      </c>
      <c r="L107" s="4">
        <v>0</v>
      </c>
      <c r="M107" s="4">
        <v>270</v>
      </c>
      <c r="N107" s="4">
        <v>148</v>
      </c>
      <c r="O107" s="6">
        <f>IFERROR(1-N107/M107,"-")</f>
        <v>0.45185185185185184</v>
      </c>
      <c r="P107" s="4" t="s">
        <v>422</v>
      </c>
      <c r="Q107" s="4" t="s">
        <v>422</v>
      </c>
      <c r="R107" s="4" t="s">
        <v>422</v>
      </c>
      <c r="S107" s="4" t="s">
        <v>422</v>
      </c>
      <c r="T107" s="4" t="s">
        <v>422</v>
      </c>
      <c r="U107" s="4" t="s">
        <v>422</v>
      </c>
      <c r="V107" s="4" t="s">
        <v>422</v>
      </c>
      <c r="W107" s="4" t="s">
        <v>422</v>
      </c>
      <c r="X107" s="4" t="s">
        <v>422</v>
      </c>
      <c r="Y107" s="4">
        <v>0</v>
      </c>
      <c r="Z107" s="4">
        <f>IF(AC107="",Y107,Y107*AC107)</f>
        <v>0</v>
      </c>
      <c r="AA107" s="4">
        <v>163</v>
      </c>
      <c r="AB107" s="4">
        <f>IF(AC107="",AA107,AA107*AC107)</f>
        <v>163</v>
      </c>
      <c r="AC107" s="4"/>
      <c r="AD107" s="21">
        <f>ROUND(M107*AR107,0)</f>
        <v>297</v>
      </c>
      <c r="AE107" s="6">
        <f>IFERROR(1-AB107/AD107,"-")</f>
        <v>0.45117845117845112</v>
      </c>
      <c r="AF107" s="33">
        <v>9.25</v>
      </c>
      <c r="AG107" s="4">
        <f>BI107</f>
        <v>551</v>
      </c>
      <c r="AH107" s="33">
        <f>IFERROR(AG107*AR107,"-")</f>
        <v>606.84459459459458</v>
      </c>
      <c r="AI107" s="6">
        <f>IFERROR(1-AB107/AH107,"-")</f>
        <v>0.7313974591651542</v>
      </c>
      <c r="AJ107" s="7">
        <v>290</v>
      </c>
      <c r="AK107" s="6">
        <f>1-AB107/AJ107</f>
        <v>0.43793103448275861</v>
      </c>
      <c r="AL107" s="4">
        <f>AJ107-AB107</f>
        <v>127</v>
      </c>
      <c r="AM107" s="28"/>
      <c r="AN107" s="6"/>
      <c r="AO107" s="6"/>
      <c r="AP107" s="6" t="str">
        <f>IFERROR(Z107/L107,"-")</f>
        <v>-</v>
      </c>
      <c r="AQ107" s="6">
        <f>IFERROR(AJ107/M107,"-")</f>
        <v>1.0740740740740742</v>
      </c>
      <c r="AR107" s="6">
        <f>IFERROR(AB107/N107,"-")</f>
        <v>1.1013513513513513</v>
      </c>
      <c r="AS107" s="4" t="str">
        <f t="shared" si="11"/>
        <v>-</v>
      </c>
      <c r="AT107" s="4"/>
      <c r="AU107" s="4" t="str">
        <f t="shared" si="12"/>
        <v>-</v>
      </c>
      <c r="AV107" s="4" t="str">
        <f t="shared" si="13"/>
        <v>-</v>
      </c>
      <c r="AW107" s="4" t="str">
        <f t="shared" si="14"/>
        <v>-</v>
      </c>
      <c r="AX107" s="4" t="str">
        <f t="shared" si="15"/>
        <v>-</v>
      </c>
      <c r="AY107" s="4" t="str">
        <f t="shared" si="16"/>
        <v>-</v>
      </c>
      <c r="AZ107" s="4" t="str">
        <f t="shared" si="17"/>
        <v>-</v>
      </c>
      <c r="BA107" s="4" t="str">
        <f t="shared" si="18"/>
        <v>-</v>
      </c>
      <c r="BB107" s="4" t="str">
        <f t="shared" si="19"/>
        <v>-</v>
      </c>
      <c r="BC107" s="4" t="s">
        <v>411</v>
      </c>
      <c r="BD107" s="4" t="s">
        <v>627</v>
      </c>
      <c r="BE107" s="4"/>
      <c r="BF107" s="4"/>
      <c r="BG107" s="4" t="s">
        <v>626</v>
      </c>
      <c r="BH107" s="4">
        <v>551</v>
      </c>
      <c r="BI107" s="4">
        <f>IF(BE107="",BH107,BE107/BF107*BH107)</f>
        <v>551</v>
      </c>
      <c r="BJ107" s="19">
        <v>4</v>
      </c>
      <c r="BK107" s="19">
        <v>1</v>
      </c>
      <c r="BL107" s="16">
        <v>3</v>
      </c>
      <c r="BM107" t="s">
        <v>422</v>
      </c>
      <c r="BN107" t="str">
        <f t="shared" si="20"/>
        <v>-</v>
      </c>
      <c r="BO107">
        <v>466</v>
      </c>
      <c r="BP107">
        <f t="shared" si="21"/>
        <v>513.22972972972968</v>
      </c>
      <c r="BQ107" t="s">
        <v>480</v>
      </c>
    </row>
    <row r="108" spans="1:69" x14ac:dyDescent="0.4">
      <c r="A108" s="3">
        <v>70</v>
      </c>
      <c r="B108" s="3">
        <v>70</v>
      </c>
      <c r="C108" s="4">
        <v>736245</v>
      </c>
      <c r="D108" s="4" t="str">
        <f>TEXT(C108,"000000")</f>
        <v>736245</v>
      </c>
      <c r="E108" s="4">
        <v>736245</v>
      </c>
      <c r="F108" s="4" t="s">
        <v>184</v>
      </c>
      <c r="G108" s="5">
        <v>4996297364030</v>
      </c>
      <c r="H108" s="5"/>
      <c r="I108" s="5"/>
      <c r="J108" s="5">
        <v>1</v>
      </c>
      <c r="K108" s="5">
        <v>1</v>
      </c>
      <c r="L108" s="4">
        <v>0</v>
      </c>
      <c r="M108" s="4">
        <v>270</v>
      </c>
      <c r="N108" s="4">
        <v>148</v>
      </c>
      <c r="O108" s="6">
        <f>IFERROR(1-N108/M108,"-")</f>
        <v>0.45185185185185184</v>
      </c>
      <c r="P108" s="4" t="s">
        <v>422</v>
      </c>
      <c r="Q108" s="4" t="s">
        <v>422</v>
      </c>
      <c r="R108" s="4" t="s">
        <v>422</v>
      </c>
      <c r="S108" s="4" t="s">
        <v>422</v>
      </c>
      <c r="T108" s="4" t="s">
        <v>422</v>
      </c>
      <c r="U108" s="4" t="s">
        <v>422</v>
      </c>
      <c r="V108" s="4" t="s">
        <v>422</v>
      </c>
      <c r="W108" s="4" t="s">
        <v>422</v>
      </c>
      <c r="X108" s="4" t="s">
        <v>422</v>
      </c>
      <c r="Y108" s="4">
        <v>0</v>
      </c>
      <c r="Z108" s="4">
        <f>IF(AC108="",Y108,Y108*AC108)</f>
        <v>0</v>
      </c>
      <c r="AA108" s="4">
        <v>163</v>
      </c>
      <c r="AB108" s="4">
        <f>IF(AC108="",AA108,AA108*AC108)</f>
        <v>163</v>
      </c>
      <c r="AC108" s="4"/>
      <c r="AD108" s="21">
        <f>ROUND(M108*AR108,0)</f>
        <v>297</v>
      </c>
      <c r="AE108" s="6">
        <f>IFERROR(1-AB108/AD108,"-")</f>
        <v>0.45117845117845112</v>
      </c>
      <c r="AF108" s="33">
        <v>6</v>
      </c>
      <c r="AG108" s="4">
        <f>BI108</f>
        <v>551</v>
      </c>
      <c r="AH108" s="33">
        <f>IFERROR(AG108*AR108,"-")</f>
        <v>606.84459459459458</v>
      </c>
      <c r="AI108" s="6">
        <f>IFERROR(1-AB108/AH108,"-")</f>
        <v>0.7313974591651542</v>
      </c>
      <c r="AJ108" s="7">
        <v>290</v>
      </c>
      <c r="AK108" s="6">
        <f>1-AB108/AJ108</f>
        <v>0.43793103448275861</v>
      </c>
      <c r="AL108" s="4">
        <f>AJ108-AB108</f>
        <v>127</v>
      </c>
      <c r="AM108" s="28"/>
      <c r="AN108" s="6"/>
      <c r="AO108" s="6"/>
      <c r="AP108" s="6" t="str">
        <f>IFERROR(Z108/L108,"-")</f>
        <v>-</v>
      </c>
      <c r="AQ108" s="6">
        <f>IFERROR(AJ108/M108,"-")</f>
        <v>1.0740740740740742</v>
      </c>
      <c r="AR108" s="6">
        <f>IFERROR(AB108/N108,"-")</f>
        <v>1.1013513513513513</v>
      </c>
      <c r="AS108" s="4" t="str">
        <f t="shared" si="11"/>
        <v>-</v>
      </c>
      <c r="AT108" s="4"/>
      <c r="AU108" s="4" t="str">
        <f t="shared" si="12"/>
        <v>-</v>
      </c>
      <c r="AV108" s="4" t="str">
        <f t="shared" si="13"/>
        <v>-</v>
      </c>
      <c r="AW108" s="4" t="str">
        <f t="shared" si="14"/>
        <v>-</v>
      </c>
      <c r="AX108" s="4" t="str">
        <f t="shared" si="15"/>
        <v>-</v>
      </c>
      <c r="AY108" s="4" t="str">
        <f t="shared" si="16"/>
        <v>-</v>
      </c>
      <c r="AZ108" s="4" t="str">
        <f t="shared" si="17"/>
        <v>-</v>
      </c>
      <c r="BA108" s="4" t="str">
        <f t="shared" si="18"/>
        <v>-</v>
      </c>
      <c r="BB108" s="4" t="str">
        <f t="shared" si="19"/>
        <v>-</v>
      </c>
      <c r="BC108" s="4" t="s">
        <v>411</v>
      </c>
      <c r="BD108" s="4" t="s">
        <v>628</v>
      </c>
      <c r="BE108" s="4"/>
      <c r="BF108" s="4"/>
      <c r="BG108" s="4" t="s">
        <v>626</v>
      </c>
      <c r="BH108" s="4">
        <v>551</v>
      </c>
      <c r="BI108" s="4">
        <f>IF(BE108="",BH108,BE108/BF108*BH108)</f>
        <v>551</v>
      </c>
      <c r="BJ108" s="19">
        <v>4</v>
      </c>
      <c r="BK108" s="19">
        <v>1</v>
      </c>
      <c r="BL108" s="16">
        <v>3</v>
      </c>
      <c r="BM108" t="s">
        <v>422</v>
      </c>
      <c r="BN108" t="str">
        <f t="shared" si="20"/>
        <v>-</v>
      </c>
      <c r="BO108">
        <v>466</v>
      </c>
      <c r="BP108">
        <f t="shared" si="21"/>
        <v>513.22972972972968</v>
      </c>
      <c r="BQ108" t="s">
        <v>481</v>
      </c>
    </row>
    <row r="109" spans="1:69" x14ac:dyDescent="0.4">
      <c r="A109" s="3">
        <v>71</v>
      </c>
      <c r="B109" s="3">
        <v>71</v>
      </c>
      <c r="C109" s="46">
        <v>736389</v>
      </c>
      <c r="D109" s="4" t="str">
        <f>TEXT(C109,"000000")</f>
        <v>736389</v>
      </c>
      <c r="E109" s="4">
        <v>736389</v>
      </c>
      <c r="F109" s="4" t="s">
        <v>185</v>
      </c>
      <c r="G109" s="5">
        <v>4996297364054</v>
      </c>
      <c r="H109" s="5"/>
      <c r="I109" s="5"/>
      <c r="J109" s="5">
        <v>2</v>
      </c>
      <c r="K109" s="5">
        <v>2</v>
      </c>
      <c r="L109" s="4">
        <v>0</v>
      </c>
      <c r="M109" s="4">
        <v>270</v>
      </c>
      <c r="N109" s="4">
        <v>148</v>
      </c>
      <c r="O109" s="6">
        <f>IFERROR(1-N109/M109,"-")</f>
        <v>0.45185185185185184</v>
      </c>
      <c r="P109" s="4" t="s">
        <v>422</v>
      </c>
      <c r="Q109" s="4" t="s">
        <v>422</v>
      </c>
      <c r="R109" s="4" t="s">
        <v>422</v>
      </c>
      <c r="S109" s="4" t="s">
        <v>422</v>
      </c>
      <c r="T109" s="4" t="s">
        <v>422</v>
      </c>
      <c r="U109" s="4" t="s">
        <v>422</v>
      </c>
      <c r="V109" s="4" t="s">
        <v>422</v>
      </c>
      <c r="W109" s="4" t="s">
        <v>422</v>
      </c>
      <c r="X109" s="4" t="s">
        <v>422</v>
      </c>
      <c r="Y109" s="4">
        <v>0</v>
      </c>
      <c r="Z109" s="4">
        <f>IF(AC109="",Y109,Y109*AC109)</f>
        <v>0</v>
      </c>
      <c r="AA109" s="4">
        <v>163</v>
      </c>
      <c r="AB109" s="4">
        <f>IF(AC109="",AA109,AA109*AC109)</f>
        <v>163</v>
      </c>
      <c r="AC109" s="4"/>
      <c r="AD109" s="21">
        <f>ROUND(M109*AR109,0)</f>
        <v>297</v>
      </c>
      <c r="AE109" s="6">
        <f>IFERROR(1-AB109/AD109,"-")</f>
        <v>0.45117845117845112</v>
      </c>
      <c r="AF109" s="33">
        <v>9</v>
      </c>
      <c r="AG109" s="4">
        <f>BI109</f>
        <v>551</v>
      </c>
      <c r="AH109" s="33">
        <f>IFERROR(AG109*AR109,"-")</f>
        <v>606.84459459459458</v>
      </c>
      <c r="AI109" s="6">
        <f>IFERROR(1-AB109/AH109,"-")</f>
        <v>0.7313974591651542</v>
      </c>
      <c r="AJ109" s="7">
        <v>290</v>
      </c>
      <c r="AK109" s="6">
        <f>1-AB109/AJ109</f>
        <v>0.43793103448275861</v>
      </c>
      <c r="AL109" s="4">
        <f>AJ109-AB109</f>
        <v>127</v>
      </c>
      <c r="AM109" s="28"/>
      <c r="AN109" s="6"/>
      <c r="AO109" s="6"/>
      <c r="AP109" s="6" t="str">
        <f>IFERROR(Z109/L109,"-")</f>
        <v>-</v>
      </c>
      <c r="AQ109" s="6">
        <f>IFERROR(AJ109/M109,"-")</f>
        <v>1.0740740740740742</v>
      </c>
      <c r="AR109" s="6">
        <f>IFERROR(AB109/N109,"-")</f>
        <v>1.1013513513513513</v>
      </c>
      <c r="AS109" s="4" t="str">
        <f t="shared" si="11"/>
        <v>-</v>
      </c>
      <c r="AT109" s="4"/>
      <c r="AU109" s="4" t="str">
        <f t="shared" si="12"/>
        <v>-</v>
      </c>
      <c r="AV109" s="4" t="str">
        <f t="shared" si="13"/>
        <v>-</v>
      </c>
      <c r="AW109" s="4" t="str">
        <f t="shared" si="14"/>
        <v>-</v>
      </c>
      <c r="AX109" s="4" t="str">
        <f t="shared" si="15"/>
        <v>-</v>
      </c>
      <c r="AY109" s="4" t="str">
        <f t="shared" si="16"/>
        <v>-</v>
      </c>
      <c r="AZ109" s="4" t="str">
        <f t="shared" si="17"/>
        <v>-</v>
      </c>
      <c r="BA109" s="4" t="str">
        <f t="shared" si="18"/>
        <v>-</v>
      </c>
      <c r="BB109" s="4" t="str">
        <f t="shared" si="19"/>
        <v>-</v>
      </c>
      <c r="BC109" s="4" t="s">
        <v>411</v>
      </c>
      <c r="BD109" s="4" t="s">
        <v>629</v>
      </c>
      <c r="BE109" s="4"/>
      <c r="BF109" s="4"/>
      <c r="BG109" s="4" t="s">
        <v>626</v>
      </c>
      <c r="BH109" s="4">
        <v>551</v>
      </c>
      <c r="BI109" s="4">
        <f>IF(BE109="",BH109,BE109/BF109*BH109)</f>
        <v>551</v>
      </c>
      <c r="BJ109" s="19">
        <v>4</v>
      </c>
      <c r="BK109" s="19">
        <v>1</v>
      </c>
      <c r="BL109" s="16">
        <v>3</v>
      </c>
      <c r="BM109" t="s">
        <v>422</v>
      </c>
      <c r="BN109" t="str">
        <f t="shared" si="20"/>
        <v>-</v>
      </c>
      <c r="BO109">
        <v>466</v>
      </c>
      <c r="BP109">
        <f t="shared" si="21"/>
        <v>513.22972972972968</v>
      </c>
      <c r="BQ109" t="s">
        <v>482</v>
      </c>
    </row>
    <row r="110" spans="1:69" x14ac:dyDescent="0.4">
      <c r="A110" s="3">
        <v>209</v>
      </c>
      <c r="B110" s="3">
        <v>71</v>
      </c>
      <c r="C110" s="46">
        <v>736389</v>
      </c>
      <c r="D110" s="4" t="str">
        <f>TEXT(C110,"000000")</f>
        <v>736389</v>
      </c>
      <c r="E110" s="4">
        <v>736551</v>
      </c>
      <c r="F110" s="4" t="s">
        <v>349</v>
      </c>
      <c r="G110" s="5">
        <v>4996297364054</v>
      </c>
      <c r="H110" s="5">
        <v>8</v>
      </c>
      <c r="I110" s="5" t="str">
        <f>C110&amp;H110</f>
        <v>7363898</v>
      </c>
      <c r="J110" s="5"/>
      <c r="K110" s="5"/>
      <c r="L110" s="4">
        <v>0</v>
      </c>
      <c r="M110" s="4">
        <v>2481</v>
      </c>
      <c r="N110" s="4">
        <v>1480</v>
      </c>
      <c r="O110" s="6">
        <f>IFERROR(1-N110/M110,"-")</f>
        <v>0.40346634421604188</v>
      </c>
      <c r="P110" s="4" t="s">
        <v>422</v>
      </c>
      <c r="Q110" s="4" t="s">
        <v>422</v>
      </c>
      <c r="R110" s="4" t="s">
        <v>422</v>
      </c>
      <c r="S110" s="4" t="s">
        <v>422</v>
      </c>
      <c r="T110" s="4" t="s">
        <v>422</v>
      </c>
      <c r="U110" s="4" t="s">
        <v>422</v>
      </c>
      <c r="V110" s="4" t="s">
        <v>422</v>
      </c>
      <c r="W110" s="4" t="s">
        <v>422</v>
      </c>
      <c r="X110" s="4" t="s">
        <v>422</v>
      </c>
      <c r="Y110" s="4">
        <v>0</v>
      </c>
      <c r="Z110" s="4">
        <f>IF(AC110="",Y110,Y110*AC110)</f>
        <v>0</v>
      </c>
      <c r="AA110" s="4">
        <v>163</v>
      </c>
      <c r="AB110" s="4">
        <f>IF(AC110="",AA110,AA110*AC110)</f>
        <v>1630</v>
      </c>
      <c r="AC110" s="4">
        <v>10</v>
      </c>
      <c r="AD110" s="21">
        <f>ROUND(M110*AR110,0)</f>
        <v>2732</v>
      </c>
      <c r="AE110" s="6">
        <f>IFERROR(1-AB110/AD110,"-")</f>
        <v>0.40336749633967794</v>
      </c>
      <c r="AF110" s="33">
        <v>9</v>
      </c>
      <c r="AG110" s="4">
        <f>BI110</f>
        <v>5510</v>
      </c>
      <c r="AH110" s="33">
        <f>IFERROR(AG110*AR110,"-")</f>
        <v>6068.4459459459458</v>
      </c>
      <c r="AI110" s="6">
        <f>IFERROR(1-AB110/AH110,"-")</f>
        <v>0.7313974591651542</v>
      </c>
      <c r="AJ110" s="7">
        <v>2700</v>
      </c>
      <c r="AK110" s="6">
        <f>1-AB110/AJ110</f>
        <v>0.39629629629629626</v>
      </c>
      <c r="AL110" s="4">
        <f>AJ110-AB110</f>
        <v>1070</v>
      </c>
      <c r="AM110" s="28"/>
      <c r="AN110" s="6"/>
      <c r="AO110" s="6"/>
      <c r="AP110" s="6" t="str">
        <f>IFERROR(Z110/L110,"-")</f>
        <v>-</v>
      </c>
      <c r="AQ110" s="6">
        <f>IFERROR(AJ110/M110,"-")</f>
        <v>1.0882708585247884</v>
      </c>
      <c r="AR110" s="6">
        <f>IFERROR(AB110/N110,"-")</f>
        <v>1.1013513513513513</v>
      </c>
      <c r="AS110" s="4" t="str">
        <f t="shared" si="11"/>
        <v>-</v>
      </c>
      <c r="AT110" s="4"/>
      <c r="AU110" s="4" t="str">
        <f t="shared" si="12"/>
        <v>-</v>
      </c>
      <c r="AV110" s="4" t="str">
        <f t="shared" si="13"/>
        <v>-</v>
      </c>
      <c r="AW110" s="4" t="str">
        <f t="shared" si="14"/>
        <v>-</v>
      </c>
      <c r="AX110" s="4" t="str">
        <f t="shared" si="15"/>
        <v>-</v>
      </c>
      <c r="AY110" s="4" t="str">
        <f t="shared" si="16"/>
        <v>-</v>
      </c>
      <c r="AZ110" s="4" t="str">
        <f t="shared" si="17"/>
        <v>-</v>
      </c>
      <c r="BA110" s="4" t="str">
        <f t="shared" si="18"/>
        <v>-</v>
      </c>
      <c r="BB110" s="4" t="str">
        <f t="shared" si="19"/>
        <v>-</v>
      </c>
      <c r="BC110" s="4" t="s">
        <v>411</v>
      </c>
      <c r="BD110" s="4" t="s">
        <v>629</v>
      </c>
      <c r="BE110" s="4">
        <v>10</v>
      </c>
      <c r="BF110" s="4">
        <v>1</v>
      </c>
      <c r="BG110" s="4" t="s">
        <v>626</v>
      </c>
      <c r="BH110" s="4">
        <v>551</v>
      </c>
      <c r="BI110" s="4">
        <f>IF(BE110="",BH110,BE110/BF110*BH110)</f>
        <v>5510</v>
      </c>
      <c r="BJ110" s="19">
        <v>4</v>
      </c>
      <c r="BK110" s="19">
        <v>1</v>
      </c>
      <c r="BL110" s="16">
        <v>3</v>
      </c>
      <c r="BM110" t="s">
        <v>422</v>
      </c>
      <c r="BN110" t="str">
        <f t="shared" si="20"/>
        <v>-</v>
      </c>
      <c r="BO110">
        <v>466</v>
      </c>
      <c r="BP110">
        <f t="shared" si="21"/>
        <v>513.22972972972968</v>
      </c>
      <c r="BQ110" t="s">
        <v>482</v>
      </c>
    </row>
    <row r="111" spans="1:69" x14ac:dyDescent="0.4">
      <c r="A111" s="3">
        <v>49</v>
      </c>
      <c r="B111" s="3">
        <v>49</v>
      </c>
      <c r="C111" s="4">
        <v>663990</v>
      </c>
      <c r="D111" s="4" t="str">
        <f>TEXT(C111,"000000")</f>
        <v>663990</v>
      </c>
      <c r="E111" s="4">
        <v>663990</v>
      </c>
      <c r="F111" s="4" t="s">
        <v>164</v>
      </c>
      <c r="G111" s="5">
        <v>4996297327462</v>
      </c>
      <c r="H111" s="5"/>
      <c r="I111" s="5"/>
      <c r="J111" s="5">
        <v>1</v>
      </c>
      <c r="K111" s="5">
        <v>1</v>
      </c>
      <c r="L111" s="4">
        <v>0</v>
      </c>
      <c r="M111" s="4">
        <v>234</v>
      </c>
      <c r="N111" s="4">
        <v>154</v>
      </c>
      <c r="O111" s="6">
        <f>IFERROR(1-N111/M111,"-")</f>
        <v>0.34188034188034189</v>
      </c>
      <c r="P111" s="4" t="s">
        <v>422</v>
      </c>
      <c r="Q111" s="4" t="s">
        <v>422</v>
      </c>
      <c r="R111" s="4" t="s">
        <v>422</v>
      </c>
      <c r="S111" s="4" t="s">
        <v>422</v>
      </c>
      <c r="T111" s="4" t="s">
        <v>422</v>
      </c>
      <c r="U111" s="4" t="s">
        <v>422</v>
      </c>
      <c r="V111" s="4" t="s">
        <v>422</v>
      </c>
      <c r="W111" s="4" t="s">
        <v>422</v>
      </c>
      <c r="X111" s="4" t="s">
        <v>422</v>
      </c>
      <c r="Y111" s="4">
        <v>0</v>
      </c>
      <c r="Z111" s="4">
        <f>IF(AC111="",Y111,Y111*AC111)</f>
        <v>0</v>
      </c>
      <c r="AA111" s="4">
        <v>164</v>
      </c>
      <c r="AB111" s="4">
        <f>IF(AC111="",AA111,AA111*AC111)</f>
        <v>164</v>
      </c>
      <c r="AC111" s="4"/>
      <c r="AD111" s="21">
        <f>ROUND(M111*AR111,0)</f>
        <v>249</v>
      </c>
      <c r="AE111" s="6">
        <f>IFERROR(1-AB111/AD111,"-")</f>
        <v>0.34136546184738958</v>
      </c>
      <c r="AF111" s="33">
        <v>24.25</v>
      </c>
      <c r="AG111" s="4" t="str">
        <f>BI111</f>
        <v>-</v>
      </c>
      <c r="AH111" s="33" t="str">
        <f>IFERROR(AG111*AR111,"-")</f>
        <v>-</v>
      </c>
      <c r="AI111" s="6" t="str">
        <f>IFERROR(1-AB111/AH111,"-")</f>
        <v>-</v>
      </c>
      <c r="AJ111" s="7">
        <v>270</v>
      </c>
      <c r="AK111" s="6">
        <f>1-AB111/AJ111</f>
        <v>0.3925925925925926</v>
      </c>
      <c r="AL111" s="4">
        <f>AJ111-AB111</f>
        <v>106</v>
      </c>
      <c r="AM111" s="28"/>
      <c r="AN111" s="6"/>
      <c r="AO111" s="6"/>
      <c r="AP111" s="6" t="str">
        <f>IFERROR(Z111/L111,"-")</f>
        <v>-</v>
      </c>
      <c r="AQ111" s="6">
        <f>IFERROR(AJ111/M111,"-")</f>
        <v>1.1538461538461537</v>
      </c>
      <c r="AR111" s="6">
        <f>IFERROR(AB111/N111,"-")</f>
        <v>1.0649350649350648</v>
      </c>
      <c r="AS111" s="4" t="str">
        <f t="shared" si="11"/>
        <v>-</v>
      </c>
      <c r="AT111" s="4"/>
      <c r="AU111" s="4" t="str">
        <f t="shared" si="12"/>
        <v>-</v>
      </c>
      <c r="AV111" s="4" t="str">
        <f t="shared" si="13"/>
        <v>-</v>
      </c>
      <c r="AW111" s="4" t="str">
        <f t="shared" si="14"/>
        <v>-</v>
      </c>
      <c r="AX111" s="4" t="str">
        <f t="shared" si="15"/>
        <v>-</v>
      </c>
      <c r="AY111" s="4" t="str">
        <f t="shared" si="16"/>
        <v>-</v>
      </c>
      <c r="AZ111" s="4" t="str">
        <f t="shared" si="17"/>
        <v>-</v>
      </c>
      <c r="BA111" s="4" t="str">
        <f t="shared" si="18"/>
        <v>-</v>
      </c>
      <c r="BB111" s="4" t="str">
        <f t="shared" si="19"/>
        <v>-</v>
      </c>
      <c r="BC111" s="4" t="s">
        <v>410</v>
      </c>
      <c r="BD111" s="4" t="s">
        <v>422</v>
      </c>
      <c r="BE111" s="4"/>
      <c r="BF111" s="4"/>
      <c r="BG111" s="4" t="s">
        <v>422</v>
      </c>
      <c r="BH111" s="4" t="s">
        <v>422</v>
      </c>
      <c r="BI111" s="4" t="str">
        <f>IF(BE111="",BH111,BE111/BF111*BH111)</f>
        <v>-</v>
      </c>
      <c r="BJ111" s="19">
        <v>4</v>
      </c>
      <c r="BK111" s="19">
        <v>1</v>
      </c>
      <c r="BL111" s="16">
        <v>3</v>
      </c>
      <c r="BM111">
        <v>264</v>
      </c>
      <c r="BN111">
        <f t="shared" si="20"/>
        <v>281.14285714285711</v>
      </c>
      <c r="BO111" t="s">
        <v>422</v>
      </c>
      <c r="BP111" t="str">
        <f t="shared" si="21"/>
        <v>-</v>
      </c>
      <c r="BQ111" t="s">
        <v>422</v>
      </c>
    </row>
    <row r="112" spans="1:69" x14ac:dyDescent="0.4">
      <c r="A112" s="3">
        <v>143</v>
      </c>
      <c r="B112" s="3">
        <v>143</v>
      </c>
      <c r="C112" s="4">
        <v>166031</v>
      </c>
      <c r="D112" s="4" t="str">
        <f>TEXT(C112,"000000")</f>
        <v>166031</v>
      </c>
      <c r="E112" s="4">
        <v>166031</v>
      </c>
      <c r="F112" s="4" t="s">
        <v>257</v>
      </c>
      <c r="G112" s="5">
        <v>4996297472803</v>
      </c>
      <c r="H112" s="5"/>
      <c r="I112" s="5"/>
      <c r="J112" s="5">
        <v>1</v>
      </c>
      <c r="K112" s="5">
        <v>1</v>
      </c>
      <c r="L112" s="4">
        <v>0</v>
      </c>
      <c r="M112" s="4">
        <v>185</v>
      </c>
      <c r="N112" s="4">
        <v>146</v>
      </c>
      <c r="O112" s="6">
        <f>IFERROR(1-N112/M112,"-")</f>
        <v>0.21081081081081077</v>
      </c>
      <c r="P112" s="4" t="s">
        <v>422</v>
      </c>
      <c r="Q112" s="4" t="s">
        <v>422</v>
      </c>
      <c r="R112" s="4" t="s">
        <v>422</v>
      </c>
      <c r="S112" s="4" t="s">
        <v>422</v>
      </c>
      <c r="T112" s="4" t="s">
        <v>422</v>
      </c>
      <c r="U112" s="4" t="s">
        <v>422</v>
      </c>
      <c r="V112" s="4" t="s">
        <v>422</v>
      </c>
      <c r="W112" s="4" t="s">
        <v>422</v>
      </c>
      <c r="X112" s="4" t="s">
        <v>422</v>
      </c>
      <c r="Y112" s="4">
        <v>0</v>
      </c>
      <c r="Z112" s="4">
        <f>IF(AC112="",Y112,Y112*AC112)</f>
        <v>0</v>
      </c>
      <c r="AA112" s="4">
        <v>165</v>
      </c>
      <c r="AB112" s="4">
        <f>IF(AC112="",AA112,AA112*AC112)</f>
        <v>165</v>
      </c>
      <c r="AC112" s="4"/>
      <c r="AD112" s="21">
        <f>ROUND(M112*AR112,0)</f>
        <v>209</v>
      </c>
      <c r="AE112" s="6">
        <f>IFERROR(1-AB112/AD112,"-")</f>
        <v>0.21052631578947367</v>
      </c>
      <c r="AF112" s="33">
        <v>1.5</v>
      </c>
      <c r="AG112" s="4">
        <f>BI112</f>
        <v>300</v>
      </c>
      <c r="AH112" s="33">
        <f>IFERROR(AG112*AR112,"-")</f>
        <v>339.04109589041099</v>
      </c>
      <c r="AI112" s="6">
        <f>IFERROR(1-AB112/AH112,"-")</f>
        <v>0.51333333333333342</v>
      </c>
      <c r="AJ112" s="7">
        <v>270</v>
      </c>
      <c r="AK112" s="6">
        <f>1-AB112/AJ112</f>
        <v>0.38888888888888884</v>
      </c>
      <c r="AL112" s="4">
        <f>AJ112-AB112</f>
        <v>105</v>
      </c>
      <c r="AM112" s="28"/>
      <c r="AN112" s="6"/>
      <c r="AO112" s="6"/>
      <c r="AP112" s="6" t="str">
        <f>IFERROR(Z112/L112,"-")</f>
        <v>-</v>
      </c>
      <c r="AQ112" s="6">
        <f>IFERROR(AJ112/M112,"-")</f>
        <v>1.4594594594594594</v>
      </c>
      <c r="AR112" s="6">
        <f>IFERROR(AB112/N112,"-")</f>
        <v>1.1301369863013699</v>
      </c>
      <c r="AS112" s="4" t="str">
        <f t="shared" si="11"/>
        <v>-</v>
      </c>
      <c r="AT112" s="4"/>
      <c r="AU112" s="4" t="str">
        <f t="shared" si="12"/>
        <v>-</v>
      </c>
      <c r="AV112" s="4" t="str">
        <f t="shared" si="13"/>
        <v>-</v>
      </c>
      <c r="AW112" s="4" t="str">
        <f t="shared" si="14"/>
        <v>-</v>
      </c>
      <c r="AX112" s="4" t="str">
        <f t="shared" si="15"/>
        <v>-</v>
      </c>
      <c r="AY112" s="4" t="str">
        <f t="shared" si="16"/>
        <v>-</v>
      </c>
      <c r="AZ112" s="4" t="str">
        <f t="shared" si="17"/>
        <v>-</v>
      </c>
      <c r="BA112" s="4" t="str">
        <f t="shared" si="18"/>
        <v>-</v>
      </c>
      <c r="BB112" s="4" t="str">
        <f t="shared" si="19"/>
        <v>-</v>
      </c>
      <c r="BC112" s="4">
        <v>0</v>
      </c>
      <c r="BD112" s="4" t="s">
        <v>630</v>
      </c>
      <c r="BE112" s="4">
        <v>1</v>
      </c>
      <c r="BF112" s="4">
        <v>15</v>
      </c>
      <c r="BG112" s="4" t="s">
        <v>631</v>
      </c>
      <c r="BH112" s="4">
        <v>4500</v>
      </c>
      <c r="BI112" s="4">
        <f>IF(BE112="",BH112,BE112/BF112*BH112)</f>
        <v>300</v>
      </c>
      <c r="BJ112" s="19">
        <v>4</v>
      </c>
      <c r="BK112" s="19">
        <v>1</v>
      </c>
      <c r="BL112" s="16">
        <v>3</v>
      </c>
      <c r="BM112" t="s">
        <v>422</v>
      </c>
      <c r="BN112" t="str">
        <f t="shared" si="20"/>
        <v>-</v>
      </c>
      <c r="BO112">
        <v>285</v>
      </c>
      <c r="BP112">
        <f t="shared" si="21"/>
        <v>322.08904109589042</v>
      </c>
      <c r="BQ112" t="s">
        <v>483</v>
      </c>
    </row>
    <row r="113" spans="1:69" x14ac:dyDescent="0.4">
      <c r="A113" s="3">
        <v>147</v>
      </c>
      <c r="B113" s="3">
        <v>147</v>
      </c>
      <c r="C113" s="4">
        <v>166032</v>
      </c>
      <c r="D113" s="4" t="str">
        <f>TEXT(C113,"000000")</f>
        <v>166032</v>
      </c>
      <c r="E113" s="4">
        <v>166032</v>
      </c>
      <c r="F113" s="4" t="s">
        <v>261</v>
      </c>
      <c r="G113" s="5">
        <v>4996297472865</v>
      </c>
      <c r="H113" s="5"/>
      <c r="I113" s="5"/>
      <c r="J113" s="5">
        <v>1</v>
      </c>
      <c r="K113" s="5">
        <v>1</v>
      </c>
      <c r="L113" s="4">
        <v>0</v>
      </c>
      <c r="M113" s="4">
        <v>210</v>
      </c>
      <c r="N113" s="4">
        <v>146</v>
      </c>
      <c r="O113" s="6">
        <f>IFERROR(1-N113/M113,"-")</f>
        <v>0.30476190476190479</v>
      </c>
      <c r="P113" s="4" t="s">
        <v>422</v>
      </c>
      <c r="Q113" s="4" t="s">
        <v>422</v>
      </c>
      <c r="R113" s="4" t="s">
        <v>422</v>
      </c>
      <c r="S113" s="4" t="s">
        <v>422</v>
      </c>
      <c r="T113" s="4" t="s">
        <v>422</v>
      </c>
      <c r="U113" s="4" t="s">
        <v>422</v>
      </c>
      <c r="V113" s="4" t="s">
        <v>422</v>
      </c>
      <c r="W113" s="4" t="s">
        <v>422</v>
      </c>
      <c r="X113" s="4" t="s">
        <v>422</v>
      </c>
      <c r="Y113" s="4">
        <v>0</v>
      </c>
      <c r="Z113" s="4">
        <f>IF(AC113="",Y113,Y113*AC113)</f>
        <v>0</v>
      </c>
      <c r="AA113" s="4">
        <v>165</v>
      </c>
      <c r="AB113" s="4">
        <f>IF(AC113="",AA113,AA113*AC113)</f>
        <v>165</v>
      </c>
      <c r="AC113" s="4"/>
      <c r="AD113" s="21">
        <f>ROUND(M113*AR113,0)</f>
        <v>237</v>
      </c>
      <c r="AE113" s="6">
        <f>IFERROR(1-AB113/AD113,"-")</f>
        <v>0.30379746835443033</v>
      </c>
      <c r="AF113" s="33">
        <v>0.5</v>
      </c>
      <c r="AG113" s="4">
        <f>BI113</f>
        <v>300</v>
      </c>
      <c r="AH113" s="33">
        <f>IFERROR(AG113*AR113,"-")</f>
        <v>339.04109589041099</v>
      </c>
      <c r="AI113" s="6">
        <f>IFERROR(1-AB113/AH113,"-")</f>
        <v>0.51333333333333342</v>
      </c>
      <c r="AJ113" s="7">
        <v>270</v>
      </c>
      <c r="AK113" s="6">
        <f>1-AB113/AJ113</f>
        <v>0.38888888888888884</v>
      </c>
      <c r="AL113" s="4">
        <f>AJ113-AB113</f>
        <v>105</v>
      </c>
      <c r="AM113" s="28"/>
      <c r="AN113" s="6"/>
      <c r="AO113" s="6"/>
      <c r="AP113" s="6" t="str">
        <f>IFERROR(Z113/L113,"-")</f>
        <v>-</v>
      </c>
      <c r="AQ113" s="6">
        <f>IFERROR(AJ113/M113,"-")</f>
        <v>1.2857142857142858</v>
      </c>
      <c r="AR113" s="6">
        <f>IFERROR(AB113/N113,"-")</f>
        <v>1.1301369863013699</v>
      </c>
      <c r="AS113" s="4" t="str">
        <f t="shared" si="11"/>
        <v>-</v>
      </c>
      <c r="AT113" s="4"/>
      <c r="AU113" s="4" t="str">
        <f t="shared" si="12"/>
        <v>-</v>
      </c>
      <c r="AV113" s="4" t="str">
        <f t="shared" si="13"/>
        <v>-</v>
      </c>
      <c r="AW113" s="4" t="str">
        <f t="shared" si="14"/>
        <v>-</v>
      </c>
      <c r="AX113" s="4" t="str">
        <f t="shared" si="15"/>
        <v>-</v>
      </c>
      <c r="AY113" s="4" t="str">
        <f t="shared" si="16"/>
        <v>-</v>
      </c>
      <c r="AZ113" s="4" t="str">
        <f t="shared" si="17"/>
        <v>-</v>
      </c>
      <c r="BA113" s="4" t="str">
        <f t="shared" si="18"/>
        <v>-</v>
      </c>
      <c r="BB113" s="4" t="str">
        <f t="shared" si="19"/>
        <v>-</v>
      </c>
      <c r="BC113" s="4">
        <v>0</v>
      </c>
      <c r="BD113" s="4" t="s">
        <v>632</v>
      </c>
      <c r="BE113" s="4">
        <v>1</v>
      </c>
      <c r="BF113" s="4">
        <v>15</v>
      </c>
      <c r="BG113" s="4" t="s">
        <v>631</v>
      </c>
      <c r="BH113" s="4">
        <v>4500</v>
      </c>
      <c r="BI113" s="4">
        <f>IF(BE113="",BH113,BE113/BF113*BH113)</f>
        <v>300</v>
      </c>
      <c r="BJ113" s="19">
        <v>4</v>
      </c>
      <c r="BK113" s="19">
        <v>1</v>
      </c>
      <c r="BL113" s="16">
        <v>3</v>
      </c>
      <c r="BM113" t="s">
        <v>422</v>
      </c>
      <c r="BN113" t="str">
        <f t="shared" si="20"/>
        <v>-</v>
      </c>
      <c r="BO113">
        <v>285</v>
      </c>
      <c r="BP113">
        <f t="shared" si="21"/>
        <v>322.08904109589042</v>
      </c>
      <c r="BQ113" t="s">
        <v>484</v>
      </c>
    </row>
    <row r="114" spans="1:69" x14ac:dyDescent="0.4">
      <c r="A114" s="3">
        <v>144</v>
      </c>
      <c r="B114" s="3">
        <v>144</v>
      </c>
      <c r="C114" s="4">
        <v>166034</v>
      </c>
      <c r="D114" s="4" t="str">
        <f>TEXT(C114,"000000")</f>
        <v>166034</v>
      </c>
      <c r="E114" s="4">
        <v>166034</v>
      </c>
      <c r="F114" s="4" t="s">
        <v>258</v>
      </c>
      <c r="G114" s="5">
        <v>4996297472810</v>
      </c>
      <c r="H114" s="5"/>
      <c r="I114" s="5"/>
      <c r="J114" s="5">
        <v>1</v>
      </c>
      <c r="K114" s="5">
        <v>1</v>
      </c>
      <c r="L114" s="4">
        <v>0</v>
      </c>
      <c r="M114" s="4">
        <v>206</v>
      </c>
      <c r="N114" s="4">
        <v>146</v>
      </c>
      <c r="O114" s="6">
        <f>IFERROR(1-N114/M114,"-")</f>
        <v>0.29126213592233008</v>
      </c>
      <c r="P114" s="4" t="s">
        <v>422</v>
      </c>
      <c r="Q114" s="4" t="s">
        <v>422</v>
      </c>
      <c r="R114" s="4" t="s">
        <v>422</v>
      </c>
      <c r="S114" s="4" t="s">
        <v>422</v>
      </c>
      <c r="T114" s="4" t="s">
        <v>422</v>
      </c>
      <c r="U114" s="4" t="s">
        <v>422</v>
      </c>
      <c r="V114" s="4" t="s">
        <v>422</v>
      </c>
      <c r="W114" s="4" t="s">
        <v>422</v>
      </c>
      <c r="X114" s="4" t="s">
        <v>422</v>
      </c>
      <c r="Y114" s="4">
        <v>0</v>
      </c>
      <c r="Z114" s="4">
        <f>IF(AC114="",Y114,Y114*AC114)</f>
        <v>0</v>
      </c>
      <c r="AA114" s="4">
        <v>165</v>
      </c>
      <c r="AB114" s="4">
        <f>IF(AC114="",AA114,AA114*AC114)</f>
        <v>165</v>
      </c>
      <c r="AC114" s="4"/>
      <c r="AD114" s="21">
        <f>ROUND(M114*AR114,0)</f>
        <v>233</v>
      </c>
      <c r="AE114" s="6">
        <f>IFERROR(1-AB114/AD114,"-")</f>
        <v>0.29184549356223177</v>
      </c>
      <c r="AF114" s="33">
        <v>2.75</v>
      </c>
      <c r="AG114" s="4">
        <f>BI114</f>
        <v>300</v>
      </c>
      <c r="AH114" s="33">
        <f>IFERROR(AG114*AR114,"-")</f>
        <v>339.04109589041099</v>
      </c>
      <c r="AI114" s="6">
        <f>IFERROR(1-AB114/AH114,"-")</f>
        <v>0.51333333333333342</v>
      </c>
      <c r="AJ114" s="7">
        <v>270</v>
      </c>
      <c r="AK114" s="6">
        <f>1-AB114/AJ114</f>
        <v>0.38888888888888884</v>
      </c>
      <c r="AL114" s="4">
        <f>AJ114-AB114</f>
        <v>105</v>
      </c>
      <c r="AM114" s="28"/>
      <c r="AN114" s="6"/>
      <c r="AO114" s="6"/>
      <c r="AP114" s="6" t="str">
        <f>IFERROR(Z114/L114,"-")</f>
        <v>-</v>
      </c>
      <c r="AQ114" s="6">
        <f>IFERROR(AJ114/M114,"-")</f>
        <v>1.3106796116504855</v>
      </c>
      <c r="AR114" s="6">
        <f>IFERROR(AB114/N114,"-")</f>
        <v>1.1301369863013699</v>
      </c>
      <c r="AS114" s="4" t="str">
        <f t="shared" si="11"/>
        <v>-</v>
      </c>
      <c r="AT114" s="4"/>
      <c r="AU114" s="4" t="str">
        <f t="shared" si="12"/>
        <v>-</v>
      </c>
      <c r="AV114" s="4" t="str">
        <f t="shared" si="13"/>
        <v>-</v>
      </c>
      <c r="AW114" s="4" t="str">
        <f t="shared" si="14"/>
        <v>-</v>
      </c>
      <c r="AX114" s="4" t="str">
        <f t="shared" si="15"/>
        <v>-</v>
      </c>
      <c r="AY114" s="4" t="str">
        <f t="shared" si="16"/>
        <v>-</v>
      </c>
      <c r="AZ114" s="4" t="str">
        <f t="shared" si="17"/>
        <v>-</v>
      </c>
      <c r="BA114" s="4" t="str">
        <f t="shared" si="18"/>
        <v>-</v>
      </c>
      <c r="BB114" s="4" t="str">
        <f t="shared" si="19"/>
        <v>-</v>
      </c>
      <c r="BC114" s="4">
        <v>0</v>
      </c>
      <c r="BD114" s="4" t="s">
        <v>633</v>
      </c>
      <c r="BE114" s="4">
        <v>1</v>
      </c>
      <c r="BF114" s="4">
        <v>15</v>
      </c>
      <c r="BG114" s="4" t="s">
        <v>631</v>
      </c>
      <c r="BH114" s="4">
        <v>4500</v>
      </c>
      <c r="BI114" s="4">
        <f>IF(BE114="",BH114,BE114/BF114*BH114)</f>
        <v>300</v>
      </c>
      <c r="BJ114" s="19">
        <v>4</v>
      </c>
      <c r="BK114" s="19">
        <v>1</v>
      </c>
      <c r="BL114" s="16">
        <v>3</v>
      </c>
      <c r="BM114" t="s">
        <v>422</v>
      </c>
      <c r="BN114" t="str">
        <f t="shared" si="20"/>
        <v>-</v>
      </c>
      <c r="BO114">
        <v>285</v>
      </c>
      <c r="BP114">
        <f t="shared" si="21"/>
        <v>322.08904109589042</v>
      </c>
      <c r="BQ114" t="s">
        <v>485</v>
      </c>
    </row>
    <row r="115" spans="1:69" x14ac:dyDescent="0.4">
      <c r="A115" s="3">
        <v>146</v>
      </c>
      <c r="B115" s="3">
        <v>146</v>
      </c>
      <c r="C115" s="4">
        <v>166035</v>
      </c>
      <c r="D115" s="4" t="str">
        <f>TEXT(C115,"000000")</f>
        <v>166035</v>
      </c>
      <c r="E115" s="4">
        <v>166035</v>
      </c>
      <c r="F115" s="4" t="s">
        <v>260</v>
      </c>
      <c r="G115" s="5">
        <v>4996297472834</v>
      </c>
      <c r="H115" s="5"/>
      <c r="I115" s="5"/>
      <c r="J115" s="5">
        <v>1</v>
      </c>
      <c r="K115" s="5">
        <v>1</v>
      </c>
      <c r="L115" s="4">
        <v>0</v>
      </c>
      <c r="M115" s="4">
        <v>188</v>
      </c>
      <c r="N115" s="4">
        <v>146</v>
      </c>
      <c r="O115" s="6">
        <f>IFERROR(1-N115/M115,"-")</f>
        <v>0.22340425531914898</v>
      </c>
      <c r="P115" s="4" t="s">
        <v>422</v>
      </c>
      <c r="Q115" s="4" t="s">
        <v>422</v>
      </c>
      <c r="R115" s="4" t="s">
        <v>422</v>
      </c>
      <c r="S115" s="4" t="s">
        <v>422</v>
      </c>
      <c r="T115" s="4" t="s">
        <v>422</v>
      </c>
      <c r="U115" s="4" t="s">
        <v>422</v>
      </c>
      <c r="V115" s="4" t="s">
        <v>422</v>
      </c>
      <c r="W115" s="4" t="s">
        <v>422</v>
      </c>
      <c r="X115" s="4" t="s">
        <v>422</v>
      </c>
      <c r="Y115" s="4">
        <v>0</v>
      </c>
      <c r="Z115" s="4">
        <f>IF(AC115="",Y115,Y115*AC115)</f>
        <v>0</v>
      </c>
      <c r="AA115" s="4">
        <v>165</v>
      </c>
      <c r="AB115" s="4">
        <f>IF(AC115="",AA115,AA115*AC115)</f>
        <v>165</v>
      </c>
      <c r="AC115" s="4"/>
      <c r="AD115" s="21">
        <f>ROUND(M115*AR115,0)</f>
        <v>212</v>
      </c>
      <c r="AE115" s="6">
        <f>IFERROR(1-AB115/AD115,"-")</f>
        <v>0.22169811320754718</v>
      </c>
      <c r="AF115" s="33">
        <v>0.25</v>
      </c>
      <c r="AG115" s="4">
        <f>BI115</f>
        <v>300</v>
      </c>
      <c r="AH115" s="33">
        <f>IFERROR(AG115*AR115,"-")</f>
        <v>339.04109589041099</v>
      </c>
      <c r="AI115" s="6">
        <f>IFERROR(1-AB115/AH115,"-")</f>
        <v>0.51333333333333342</v>
      </c>
      <c r="AJ115" s="7">
        <v>270</v>
      </c>
      <c r="AK115" s="6">
        <f>1-AB115/AJ115</f>
        <v>0.38888888888888884</v>
      </c>
      <c r="AL115" s="4">
        <f>AJ115-AB115</f>
        <v>105</v>
      </c>
      <c r="AM115" s="28"/>
      <c r="AN115" s="6"/>
      <c r="AO115" s="6"/>
      <c r="AP115" s="6" t="str">
        <f>IFERROR(Z115/L115,"-")</f>
        <v>-</v>
      </c>
      <c r="AQ115" s="6">
        <f>IFERROR(AJ115/M115,"-")</f>
        <v>1.4361702127659575</v>
      </c>
      <c r="AR115" s="6">
        <f>IFERROR(AB115/N115,"-")</f>
        <v>1.1301369863013699</v>
      </c>
      <c r="AS115" s="4" t="str">
        <f t="shared" si="11"/>
        <v>-</v>
      </c>
      <c r="AT115" s="4"/>
      <c r="AU115" s="4" t="str">
        <f t="shared" si="12"/>
        <v>-</v>
      </c>
      <c r="AV115" s="4" t="str">
        <f t="shared" si="13"/>
        <v>-</v>
      </c>
      <c r="AW115" s="4" t="str">
        <f t="shared" si="14"/>
        <v>-</v>
      </c>
      <c r="AX115" s="4" t="str">
        <f t="shared" si="15"/>
        <v>-</v>
      </c>
      <c r="AY115" s="4" t="str">
        <f t="shared" si="16"/>
        <v>-</v>
      </c>
      <c r="AZ115" s="4" t="str">
        <f t="shared" si="17"/>
        <v>-</v>
      </c>
      <c r="BA115" s="4" t="str">
        <f t="shared" si="18"/>
        <v>-</v>
      </c>
      <c r="BB115" s="4" t="str">
        <f t="shared" si="19"/>
        <v>-</v>
      </c>
      <c r="BC115" s="4">
        <v>0</v>
      </c>
      <c r="BD115" s="4" t="s">
        <v>634</v>
      </c>
      <c r="BE115" s="4">
        <v>1</v>
      </c>
      <c r="BF115" s="4">
        <v>15</v>
      </c>
      <c r="BG115" s="4" t="s">
        <v>631</v>
      </c>
      <c r="BH115" s="4">
        <v>4500</v>
      </c>
      <c r="BI115" s="4">
        <f>IF(BE115="",BH115,BE115/BF115*BH115)</f>
        <v>300</v>
      </c>
      <c r="BJ115" s="19">
        <v>4</v>
      </c>
      <c r="BK115" s="19">
        <v>1</v>
      </c>
      <c r="BL115" s="16">
        <v>3</v>
      </c>
      <c r="BM115" t="s">
        <v>422</v>
      </c>
      <c r="BN115" t="str">
        <f t="shared" si="20"/>
        <v>-</v>
      </c>
      <c r="BO115">
        <v>285</v>
      </c>
      <c r="BP115">
        <f t="shared" si="21"/>
        <v>322.08904109589042</v>
      </c>
      <c r="BQ115" t="s">
        <v>486</v>
      </c>
    </row>
    <row r="116" spans="1:69" x14ac:dyDescent="0.4">
      <c r="A116" s="3">
        <v>145</v>
      </c>
      <c r="B116" s="3">
        <v>145</v>
      </c>
      <c r="C116" s="4">
        <v>166036</v>
      </c>
      <c r="D116" s="4" t="str">
        <f>TEXT(C116,"000000")</f>
        <v>166036</v>
      </c>
      <c r="E116" s="4">
        <v>166036</v>
      </c>
      <c r="F116" s="4" t="s">
        <v>259</v>
      </c>
      <c r="G116" s="5">
        <v>4996297472827</v>
      </c>
      <c r="H116" s="5"/>
      <c r="I116" s="5"/>
      <c r="J116" s="5">
        <v>1</v>
      </c>
      <c r="K116" s="5">
        <v>1</v>
      </c>
      <c r="L116" s="4">
        <v>0</v>
      </c>
      <c r="M116" s="4">
        <v>161</v>
      </c>
      <c r="N116" s="4">
        <v>146</v>
      </c>
      <c r="O116" s="6">
        <f>IFERROR(1-N116/M116,"-")</f>
        <v>9.3167701863353991E-2</v>
      </c>
      <c r="P116" s="4" t="s">
        <v>422</v>
      </c>
      <c r="Q116" s="4" t="s">
        <v>422</v>
      </c>
      <c r="R116" s="4" t="s">
        <v>422</v>
      </c>
      <c r="S116" s="4" t="s">
        <v>422</v>
      </c>
      <c r="T116" s="4" t="s">
        <v>422</v>
      </c>
      <c r="U116" s="4" t="s">
        <v>422</v>
      </c>
      <c r="V116" s="4" t="s">
        <v>422</v>
      </c>
      <c r="W116" s="4" t="s">
        <v>422</v>
      </c>
      <c r="X116" s="4" t="s">
        <v>422</v>
      </c>
      <c r="Y116" s="4">
        <v>0</v>
      </c>
      <c r="Z116" s="4">
        <f>IF(AC116="",Y116,Y116*AC116)</f>
        <v>0</v>
      </c>
      <c r="AA116" s="4">
        <v>165</v>
      </c>
      <c r="AB116" s="4">
        <f>IF(AC116="",AA116,AA116*AC116)</f>
        <v>165</v>
      </c>
      <c r="AC116" s="4"/>
      <c r="AD116" s="21">
        <f>ROUND(M116*AR116,0)</f>
        <v>182</v>
      </c>
      <c r="AE116" s="6">
        <f>IFERROR(1-AB116/AD116,"-")</f>
        <v>9.3406593406593408E-2</v>
      </c>
      <c r="AF116" s="33">
        <v>2</v>
      </c>
      <c r="AG116" s="4">
        <f>BI116</f>
        <v>300</v>
      </c>
      <c r="AH116" s="33">
        <f>IFERROR(AG116*AR116,"-")</f>
        <v>339.04109589041099</v>
      </c>
      <c r="AI116" s="6">
        <f>IFERROR(1-AB116/AH116,"-")</f>
        <v>0.51333333333333342</v>
      </c>
      <c r="AJ116" s="7">
        <v>270</v>
      </c>
      <c r="AK116" s="6">
        <f>1-AB116/AJ116</f>
        <v>0.38888888888888884</v>
      </c>
      <c r="AL116" s="4">
        <f>AJ116-AB116</f>
        <v>105</v>
      </c>
      <c r="AM116" s="28"/>
      <c r="AN116" s="6"/>
      <c r="AO116" s="6"/>
      <c r="AP116" s="6" t="str">
        <f>IFERROR(Z116/L116,"-")</f>
        <v>-</v>
      </c>
      <c r="AQ116" s="6">
        <f>IFERROR(AJ116/M116,"-")</f>
        <v>1.6770186335403727</v>
      </c>
      <c r="AR116" s="6">
        <f>IFERROR(AB116/N116,"-")</f>
        <v>1.1301369863013699</v>
      </c>
      <c r="AS116" s="4" t="str">
        <f t="shared" si="11"/>
        <v>-</v>
      </c>
      <c r="AT116" s="4"/>
      <c r="AU116" s="4" t="str">
        <f t="shared" si="12"/>
        <v>-</v>
      </c>
      <c r="AV116" s="4" t="str">
        <f t="shared" si="13"/>
        <v>-</v>
      </c>
      <c r="AW116" s="4" t="str">
        <f t="shared" si="14"/>
        <v>-</v>
      </c>
      <c r="AX116" s="4" t="str">
        <f t="shared" si="15"/>
        <v>-</v>
      </c>
      <c r="AY116" s="4" t="str">
        <f t="shared" si="16"/>
        <v>-</v>
      </c>
      <c r="AZ116" s="4" t="str">
        <f t="shared" si="17"/>
        <v>-</v>
      </c>
      <c r="BA116" s="4" t="str">
        <f t="shared" si="18"/>
        <v>-</v>
      </c>
      <c r="BB116" s="4" t="str">
        <f t="shared" si="19"/>
        <v>-</v>
      </c>
      <c r="BC116" s="4">
        <v>0</v>
      </c>
      <c r="BD116" s="4" t="s">
        <v>635</v>
      </c>
      <c r="BE116" s="4">
        <v>1</v>
      </c>
      <c r="BF116" s="4">
        <v>15</v>
      </c>
      <c r="BG116" s="4" t="s">
        <v>631</v>
      </c>
      <c r="BH116" s="4">
        <v>4500</v>
      </c>
      <c r="BI116" s="4">
        <f>IF(BE116="",BH116,BE116/BF116*BH116)</f>
        <v>300</v>
      </c>
      <c r="BJ116" s="19">
        <v>4</v>
      </c>
      <c r="BK116" s="19">
        <v>1</v>
      </c>
      <c r="BL116" s="16">
        <v>3</v>
      </c>
      <c r="BM116" t="s">
        <v>422</v>
      </c>
      <c r="BN116" t="str">
        <f t="shared" si="20"/>
        <v>-</v>
      </c>
      <c r="BO116">
        <v>285</v>
      </c>
      <c r="BP116">
        <f t="shared" si="21"/>
        <v>322.08904109589042</v>
      </c>
      <c r="BQ116" t="s">
        <v>487</v>
      </c>
    </row>
    <row r="117" spans="1:69" x14ac:dyDescent="0.4">
      <c r="A117" s="3">
        <v>63</v>
      </c>
      <c r="B117" s="3">
        <v>63</v>
      </c>
      <c r="C117" s="4" t="s">
        <v>80</v>
      </c>
      <c r="D117" s="4" t="str">
        <f>TEXT(C117,"000000")</f>
        <v>J1082X</v>
      </c>
      <c r="E117" s="4" t="s">
        <v>80</v>
      </c>
      <c r="F117" s="4" t="s">
        <v>177</v>
      </c>
      <c r="G117" s="5">
        <v>4996297351726</v>
      </c>
      <c r="H117" s="5"/>
      <c r="I117" s="5"/>
      <c r="J117" s="5">
        <v>1</v>
      </c>
      <c r="K117" s="5">
        <v>1</v>
      </c>
      <c r="L117" s="4">
        <v>0</v>
      </c>
      <c r="M117" s="4">
        <v>195</v>
      </c>
      <c r="N117" s="4">
        <v>144</v>
      </c>
      <c r="O117" s="6">
        <f>IFERROR(1-N117/M117,"-")</f>
        <v>0.2615384615384615</v>
      </c>
      <c r="P117" s="4" t="s">
        <v>422</v>
      </c>
      <c r="Q117" s="4" t="s">
        <v>422</v>
      </c>
      <c r="R117" s="4" t="s">
        <v>422</v>
      </c>
      <c r="S117" s="4" t="s">
        <v>422</v>
      </c>
      <c r="T117" s="4" t="s">
        <v>422</v>
      </c>
      <c r="U117" s="4" t="s">
        <v>422</v>
      </c>
      <c r="V117" s="4" t="s">
        <v>422</v>
      </c>
      <c r="W117" s="4" t="s">
        <v>422</v>
      </c>
      <c r="X117" s="4" t="s">
        <v>422</v>
      </c>
      <c r="Y117" s="4">
        <v>0</v>
      </c>
      <c r="Z117" s="4">
        <f>IF(AC117="",Y117,Y117*AC117)</f>
        <v>0</v>
      </c>
      <c r="AA117" s="4">
        <v>166</v>
      </c>
      <c r="AB117" s="4">
        <f>IF(AC117="",AA117,AA117*AC117)</f>
        <v>166</v>
      </c>
      <c r="AC117" s="4"/>
      <c r="AD117" s="21">
        <f>ROUND(M117*AR117,0)</f>
        <v>225</v>
      </c>
      <c r="AE117" s="6">
        <f>IFERROR(1-AB117/AD117,"-")</f>
        <v>0.26222222222222225</v>
      </c>
      <c r="AF117" s="33">
        <v>0.5</v>
      </c>
      <c r="AG117" s="4">
        <f>BI117</f>
        <v>360</v>
      </c>
      <c r="AH117" s="33">
        <f>IFERROR(AG117*AR117,"-")</f>
        <v>414.99999999999994</v>
      </c>
      <c r="AI117" s="6">
        <f>IFERROR(1-AB117/AH117,"-")</f>
        <v>0.59999999999999987</v>
      </c>
      <c r="AJ117" s="7">
        <v>270</v>
      </c>
      <c r="AK117" s="6">
        <f>1-AB117/AJ117</f>
        <v>0.38518518518518519</v>
      </c>
      <c r="AL117" s="4">
        <f>AJ117-AB117</f>
        <v>104</v>
      </c>
      <c r="AM117" s="28"/>
      <c r="AN117" s="6"/>
      <c r="AO117" s="6"/>
      <c r="AP117" s="6" t="str">
        <f>IFERROR(Z117/L117,"-")</f>
        <v>-</v>
      </c>
      <c r="AQ117" s="6">
        <f>IFERROR(AJ117/M117,"-")</f>
        <v>1.3846153846153846</v>
      </c>
      <c r="AR117" s="6">
        <f>IFERROR(AB117/N117,"-")</f>
        <v>1.1527777777777777</v>
      </c>
      <c r="AS117" s="4" t="str">
        <f t="shared" si="11"/>
        <v>-</v>
      </c>
      <c r="AT117" s="4"/>
      <c r="AU117" s="4" t="str">
        <f t="shared" si="12"/>
        <v>-</v>
      </c>
      <c r="AV117" s="4" t="str">
        <f t="shared" si="13"/>
        <v>-</v>
      </c>
      <c r="AW117" s="4" t="str">
        <f t="shared" si="14"/>
        <v>-</v>
      </c>
      <c r="AX117" s="4" t="str">
        <f t="shared" si="15"/>
        <v>-</v>
      </c>
      <c r="AY117" s="4" t="str">
        <f t="shared" si="16"/>
        <v>-</v>
      </c>
      <c r="AZ117" s="4" t="str">
        <f t="shared" si="17"/>
        <v>-</v>
      </c>
      <c r="BA117" s="4" t="str">
        <f t="shared" si="18"/>
        <v>-</v>
      </c>
      <c r="BB117" s="4" t="str">
        <f t="shared" si="19"/>
        <v>-</v>
      </c>
      <c r="BC117" s="4">
        <v>0</v>
      </c>
      <c r="BD117" s="4" t="s">
        <v>636</v>
      </c>
      <c r="BE117" s="4">
        <v>1</v>
      </c>
      <c r="BF117" s="4">
        <v>10</v>
      </c>
      <c r="BG117" s="4" t="s">
        <v>637</v>
      </c>
      <c r="BH117" s="4">
        <v>3600</v>
      </c>
      <c r="BI117" s="4">
        <f>IF(BE117="",BH117,BE117/BF117*BH117)</f>
        <v>360</v>
      </c>
      <c r="BJ117" s="19">
        <v>4</v>
      </c>
      <c r="BK117" s="19">
        <v>1</v>
      </c>
      <c r="BL117" s="16">
        <v>3</v>
      </c>
      <c r="BM117" t="s">
        <v>422</v>
      </c>
      <c r="BN117" t="str">
        <f t="shared" si="20"/>
        <v>-</v>
      </c>
      <c r="BO117">
        <v>342</v>
      </c>
      <c r="BP117">
        <f t="shared" si="21"/>
        <v>394.24999999999994</v>
      </c>
      <c r="BQ117" t="s">
        <v>488</v>
      </c>
    </row>
    <row r="118" spans="1:69" x14ac:dyDescent="0.4">
      <c r="A118" s="3">
        <v>117</v>
      </c>
      <c r="B118" s="3">
        <v>117</v>
      </c>
      <c r="C118" s="46">
        <v>11350</v>
      </c>
      <c r="D118" s="4" t="str">
        <f>TEXT(C118,"000000")</f>
        <v>011350</v>
      </c>
      <c r="E118" s="4">
        <v>583479</v>
      </c>
      <c r="F118" s="4" t="s">
        <v>231</v>
      </c>
      <c r="G118" s="5">
        <v>4996297430056</v>
      </c>
      <c r="H118" s="5"/>
      <c r="I118" s="5"/>
      <c r="J118" s="5">
        <v>2</v>
      </c>
      <c r="K118" s="5">
        <v>2</v>
      </c>
      <c r="L118" s="4">
        <v>0</v>
      </c>
      <c r="M118" s="4">
        <v>325</v>
      </c>
      <c r="N118" s="4">
        <v>152</v>
      </c>
      <c r="O118" s="6">
        <f>IFERROR(1-N118/M118,"-")</f>
        <v>0.53230769230769237</v>
      </c>
      <c r="P118" s="4" t="s">
        <v>422</v>
      </c>
      <c r="Q118" s="4" t="s">
        <v>422</v>
      </c>
      <c r="R118" s="4" t="s">
        <v>422</v>
      </c>
      <c r="S118" s="4" t="s">
        <v>422</v>
      </c>
      <c r="T118" s="4" t="s">
        <v>422</v>
      </c>
      <c r="U118" s="4" t="s">
        <v>422</v>
      </c>
      <c r="V118" s="4" t="s">
        <v>422</v>
      </c>
      <c r="W118" s="4" t="s">
        <v>422</v>
      </c>
      <c r="X118" s="4" t="s">
        <v>422</v>
      </c>
      <c r="Y118" s="4">
        <v>0</v>
      </c>
      <c r="Z118" s="4">
        <f>IF(AC118="",Y118,Y118*AC118)</f>
        <v>0</v>
      </c>
      <c r="AA118" s="4">
        <v>167</v>
      </c>
      <c r="AB118" s="4">
        <f>IF(AC118="",AA118,AA118*AC118)</f>
        <v>167</v>
      </c>
      <c r="AC118" s="4"/>
      <c r="AD118" s="21">
        <f>ROUND(M118*AR118,0)</f>
        <v>357</v>
      </c>
      <c r="AE118" s="6">
        <f>IFERROR(1-AB118/AD118,"-")</f>
        <v>0.53221288515406162</v>
      </c>
      <c r="AF118" s="33">
        <v>5.75</v>
      </c>
      <c r="AG118" s="4" t="str">
        <f>BI118</f>
        <v>-</v>
      </c>
      <c r="AH118" s="33" t="str">
        <f>IFERROR(AG118*AR118,"-")</f>
        <v>-</v>
      </c>
      <c r="AI118" s="6" t="str">
        <f>IFERROR(1-AB118/AH118,"-")</f>
        <v>-</v>
      </c>
      <c r="AJ118" s="7">
        <v>325</v>
      </c>
      <c r="AK118" s="6">
        <f>1-AB118/AJ118</f>
        <v>0.48615384615384616</v>
      </c>
      <c r="AL118" s="4">
        <f>AJ118-AB118</f>
        <v>158</v>
      </c>
      <c r="AM118" s="28"/>
      <c r="AN118" s="6"/>
      <c r="AO118" s="6"/>
      <c r="AP118" s="6" t="str">
        <f>IFERROR(Z118/L118,"-")</f>
        <v>-</v>
      </c>
      <c r="AQ118" s="6">
        <f>IFERROR(AJ118/M118,"-")</f>
        <v>1</v>
      </c>
      <c r="AR118" s="6">
        <f>IFERROR(AB118/N118,"-")</f>
        <v>1.0986842105263157</v>
      </c>
      <c r="AS118" s="4" t="str">
        <f t="shared" si="11"/>
        <v>-</v>
      </c>
      <c r="AT118" s="4"/>
      <c r="AU118" s="4" t="str">
        <f t="shared" si="12"/>
        <v>-</v>
      </c>
      <c r="AV118" s="4" t="str">
        <f t="shared" si="13"/>
        <v>-</v>
      </c>
      <c r="AW118" s="4" t="str">
        <f t="shared" si="14"/>
        <v>-</v>
      </c>
      <c r="AX118" s="4" t="str">
        <f t="shared" si="15"/>
        <v>-</v>
      </c>
      <c r="AY118" s="4" t="str">
        <f t="shared" si="16"/>
        <v>-</v>
      </c>
      <c r="AZ118" s="4" t="str">
        <f t="shared" si="17"/>
        <v>-</v>
      </c>
      <c r="BA118" s="4" t="str">
        <f t="shared" si="18"/>
        <v>-</v>
      </c>
      <c r="BB118" s="4" t="str">
        <f t="shared" si="19"/>
        <v>-</v>
      </c>
      <c r="BC118" s="4" t="s">
        <v>417</v>
      </c>
      <c r="BD118" s="4" t="s">
        <v>422</v>
      </c>
      <c r="BE118" s="4"/>
      <c r="BF118" s="4"/>
      <c r="BG118" s="4" t="s">
        <v>422</v>
      </c>
      <c r="BH118" s="4" t="s">
        <v>422</v>
      </c>
      <c r="BI118" s="4" t="str">
        <f>IF(BE118="",BH118,BE118/BF118*BH118)</f>
        <v>-</v>
      </c>
      <c r="BJ118" s="19">
        <v>4</v>
      </c>
      <c r="BK118" s="19">
        <v>1</v>
      </c>
      <c r="BL118" s="16">
        <v>3</v>
      </c>
      <c r="BM118" t="s">
        <v>422</v>
      </c>
      <c r="BN118" t="str">
        <f t="shared" si="20"/>
        <v>-</v>
      </c>
      <c r="BO118" t="s">
        <v>422</v>
      </c>
      <c r="BP118" t="str">
        <f t="shared" si="21"/>
        <v>-</v>
      </c>
      <c r="BQ118" t="s">
        <v>422</v>
      </c>
    </row>
    <row r="119" spans="1:69" x14ac:dyDescent="0.4">
      <c r="A119" s="3">
        <v>231</v>
      </c>
      <c r="B119" s="3">
        <v>117</v>
      </c>
      <c r="C119" s="46">
        <v>11350</v>
      </c>
      <c r="D119" s="4" t="str">
        <f>TEXT(C119,"000000")</f>
        <v>011350</v>
      </c>
      <c r="E119" s="4">
        <v>583506</v>
      </c>
      <c r="F119" s="4" t="s">
        <v>371</v>
      </c>
      <c r="G119" s="5">
        <v>4996297430056</v>
      </c>
      <c r="H119" s="5">
        <v>8</v>
      </c>
      <c r="I119" s="5" t="str">
        <f>C119&amp;H119</f>
        <v>113508</v>
      </c>
      <c r="J119" s="5"/>
      <c r="K119" s="5"/>
      <c r="L119" s="4">
        <v>0</v>
      </c>
      <c r="M119" s="4">
        <v>2771</v>
      </c>
      <c r="N119" s="4">
        <v>1520</v>
      </c>
      <c r="O119" s="6">
        <f>IFERROR(1-N119/M119,"-")</f>
        <v>0.45146156622158062</v>
      </c>
      <c r="P119" s="4" t="s">
        <v>422</v>
      </c>
      <c r="Q119" s="4" t="s">
        <v>422</v>
      </c>
      <c r="R119" s="4" t="s">
        <v>422</v>
      </c>
      <c r="S119" s="4" t="s">
        <v>422</v>
      </c>
      <c r="T119" s="4" t="s">
        <v>422</v>
      </c>
      <c r="U119" s="4" t="s">
        <v>422</v>
      </c>
      <c r="V119" s="4" t="s">
        <v>422</v>
      </c>
      <c r="W119" s="4" t="s">
        <v>422</v>
      </c>
      <c r="X119" s="4" t="s">
        <v>422</v>
      </c>
      <c r="Y119" s="4">
        <v>0</v>
      </c>
      <c r="Z119" s="4">
        <f>IF(AC119="",Y119,Y119*AC119)</f>
        <v>0</v>
      </c>
      <c r="AA119" s="4">
        <v>167</v>
      </c>
      <c r="AB119" s="4">
        <f>IF(AC119="",AA119,AA119*AC119)</f>
        <v>1670</v>
      </c>
      <c r="AC119" s="4">
        <v>10</v>
      </c>
      <c r="AD119" s="21">
        <f>ROUND(M119*AR119,0)</f>
        <v>3044</v>
      </c>
      <c r="AE119" s="6">
        <f>IFERROR(1-AB119/AD119,"-")</f>
        <v>0.45137976346911957</v>
      </c>
      <c r="AF119" s="33">
        <v>5.75</v>
      </c>
      <c r="AG119" s="4" t="str">
        <f>BI119</f>
        <v>-</v>
      </c>
      <c r="AH119" s="33" t="str">
        <f>IFERROR(AG119*AR119,"-")</f>
        <v>-</v>
      </c>
      <c r="AI119" s="6" t="str">
        <f>IFERROR(1-AB119/AH119,"-")</f>
        <v>-</v>
      </c>
      <c r="AJ119" s="7">
        <v>3000</v>
      </c>
      <c r="AK119" s="6">
        <f>1-AB119/AJ119</f>
        <v>0.44333333333333336</v>
      </c>
      <c r="AL119" s="4">
        <f>AJ119-AB119</f>
        <v>1330</v>
      </c>
      <c r="AM119" s="28"/>
      <c r="AN119" s="6"/>
      <c r="AO119" s="6"/>
      <c r="AP119" s="6" t="str">
        <f>IFERROR(Z119/L119,"-")</f>
        <v>-</v>
      </c>
      <c r="AQ119" s="6">
        <f>IFERROR(AJ119/M119,"-")</f>
        <v>1.0826416456153014</v>
      </c>
      <c r="AR119" s="6">
        <f>IFERROR(AB119/N119,"-")</f>
        <v>1.0986842105263157</v>
      </c>
      <c r="AS119" s="4" t="str">
        <f t="shared" si="11"/>
        <v>-</v>
      </c>
      <c r="AT119" s="4"/>
      <c r="AU119" s="4" t="str">
        <f t="shared" si="12"/>
        <v>-</v>
      </c>
      <c r="AV119" s="4" t="str">
        <f t="shared" si="13"/>
        <v>-</v>
      </c>
      <c r="AW119" s="4" t="str">
        <f t="shared" si="14"/>
        <v>-</v>
      </c>
      <c r="AX119" s="4" t="str">
        <f t="shared" si="15"/>
        <v>-</v>
      </c>
      <c r="AY119" s="4" t="str">
        <f t="shared" si="16"/>
        <v>-</v>
      </c>
      <c r="AZ119" s="4" t="str">
        <f t="shared" si="17"/>
        <v>-</v>
      </c>
      <c r="BA119" s="4" t="str">
        <f t="shared" si="18"/>
        <v>-</v>
      </c>
      <c r="BB119" s="4" t="str">
        <f t="shared" si="19"/>
        <v>-</v>
      </c>
      <c r="BC119" s="4" t="s">
        <v>417</v>
      </c>
      <c r="BD119" s="4" t="s">
        <v>422</v>
      </c>
      <c r="BE119" s="4"/>
      <c r="BF119" s="4"/>
      <c r="BG119" s="4" t="s">
        <v>422</v>
      </c>
      <c r="BH119" s="4" t="s">
        <v>422</v>
      </c>
      <c r="BI119" s="4" t="str">
        <f>IF(BE119="",BH119,BE119/BF119*BH119)</f>
        <v>-</v>
      </c>
      <c r="BJ119" s="19">
        <v>4</v>
      </c>
      <c r="BK119" s="19">
        <v>1</v>
      </c>
      <c r="BL119" s="16">
        <v>3</v>
      </c>
      <c r="BM119" t="s">
        <v>422</v>
      </c>
      <c r="BN119" t="str">
        <f t="shared" si="20"/>
        <v>-</v>
      </c>
      <c r="BO119" t="s">
        <v>422</v>
      </c>
      <c r="BP119" t="str">
        <f t="shared" si="21"/>
        <v>-</v>
      </c>
      <c r="BQ119" t="s">
        <v>422</v>
      </c>
    </row>
    <row r="120" spans="1:69" x14ac:dyDescent="0.4">
      <c r="A120" s="3">
        <v>116</v>
      </c>
      <c r="B120" s="3">
        <v>116</v>
      </c>
      <c r="C120" s="46">
        <v>11351</v>
      </c>
      <c r="D120" s="4" t="str">
        <f>TEXT(C120,"000000")</f>
        <v>011351</v>
      </c>
      <c r="E120" s="4">
        <v>583488</v>
      </c>
      <c r="F120" s="4" t="s">
        <v>230</v>
      </c>
      <c r="G120" s="5">
        <v>4996297430018</v>
      </c>
      <c r="H120" s="5"/>
      <c r="I120" s="5"/>
      <c r="J120" s="5">
        <v>2</v>
      </c>
      <c r="K120" s="5">
        <v>2</v>
      </c>
      <c r="L120" s="4">
        <v>0</v>
      </c>
      <c r="M120" s="4">
        <v>325</v>
      </c>
      <c r="N120" s="4">
        <v>152</v>
      </c>
      <c r="O120" s="6">
        <f>IFERROR(1-N120/M120,"-")</f>
        <v>0.53230769230769237</v>
      </c>
      <c r="P120" s="4" t="s">
        <v>422</v>
      </c>
      <c r="Q120" s="4" t="s">
        <v>422</v>
      </c>
      <c r="R120" s="4" t="s">
        <v>422</v>
      </c>
      <c r="S120" s="4" t="s">
        <v>422</v>
      </c>
      <c r="T120" s="4" t="s">
        <v>422</v>
      </c>
      <c r="U120" s="4" t="s">
        <v>422</v>
      </c>
      <c r="V120" s="4" t="s">
        <v>422</v>
      </c>
      <c r="W120" s="4" t="s">
        <v>422</v>
      </c>
      <c r="X120" s="4" t="s">
        <v>422</v>
      </c>
      <c r="Y120" s="4">
        <v>0</v>
      </c>
      <c r="Z120" s="4">
        <f>IF(AC120="",Y120,Y120*AC120)</f>
        <v>0</v>
      </c>
      <c r="AA120" s="4">
        <v>167</v>
      </c>
      <c r="AB120" s="4">
        <f>IF(AC120="",AA120,AA120*AC120)</f>
        <v>167</v>
      </c>
      <c r="AC120" s="4"/>
      <c r="AD120" s="21">
        <f>ROUND(M120*AR120,0)</f>
        <v>357</v>
      </c>
      <c r="AE120" s="6">
        <f>IFERROR(1-AB120/AD120,"-")</f>
        <v>0.53221288515406162</v>
      </c>
      <c r="AF120" s="33">
        <v>26.5</v>
      </c>
      <c r="AG120" s="4" t="str">
        <f>BI120</f>
        <v>-</v>
      </c>
      <c r="AH120" s="33" t="str">
        <f>IFERROR(AG120*AR120,"-")</f>
        <v>-</v>
      </c>
      <c r="AI120" s="6" t="str">
        <f>IFERROR(1-AB120/AH120,"-")</f>
        <v>-</v>
      </c>
      <c r="AJ120" s="7">
        <v>325</v>
      </c>
      <c r="AK120" s="6">
        <f>1-AB120/AJ120</f>
        <v>0.48615384615384616</v>
      </c>
      <c r="AL120" s="4">
        <f>AJ120-AB120</f>
        <v>158</v>
      </c>
      <c r="AM120" s="28"/>
      <c r="AN120" s="6"/>
      <c r="AO120" s="6"/>
      <c r="AP120" s="6" t="str">
        <f>IFERROR(Z120/L120,"-")</f>
        <v>-</v>
      </c>
      <c r="AQ120" s="6">
        <f>IFERROR(AJ120/M120,"-")</f>
        <v>1</v>
      </c>
      <c r="AR120" s="6">
        <f>IFERROR(AB120/N120,"-")</f>
        <v>1.0986842105263157</v>
      </c>
      <c r="AS120" s="4" t="str">
        <f t="shared" si="11"/>
        <v>-</v>
      </c>
      <c r="AT120" s="4"/>
      <c r="AU120" s="4" t="str">
        <f t="shared" si="12"/>
        <v>-</v>
      </c>
      <c r="AV120" s="4" t="str">
        <f t="shared" si="13"/>
        <v>-</v>
      </c>
      <c r="AW120" s="4" t="str">
        <f t="shared" si="14"/>
        <v>-</v>
      </c>
      <c r="AX120" s="4" t="str">
        <f t="shared" si="15"/>
        <v>-</v>
      </c>
      <c r="AY120" s="4" t="str">
        <f t="shared" si="16"/>
        <v>-</v>
      </c>
      <c r="AZ120" s="4" t="str">
        <f t="shared" si="17"/>
        <v>-</v>
      </c>
      <c r="BA120" s="4" t="str">
        <f t="shared" si="18"/>
        <v>-</v>
      </c>
      <c r="BB120" s="4" t="str">
        <f t="shared" si="19"/>
        <v>-</v>
      </c>
      <c r="BC120" s="4" t="s">
        <v>417</v>
      </c>
      <c r="BD120" s="4" t="s">
        <v>422</v>
      </c>
      <c r="BE120" s="4"/>
      <c r="BF120" s="4"/>
      <c r="BG120" s="4" t="s">
        <v>422</v>
      </c>
      <c r="BH120" s="4" t="s">
        <v>422</v>
      </c>
      <c r="BI120" s="4" t="str">
        <f>IF(BE120="",BH120,BE120/BF120*BH120)</f>
        <v>-</v>
      </c>
      <c r="BJ120" s="19">
        <v>4</v>
      </c>
      <c r="BK120" s="19">
        <v>1</v>
      </c>
      <c r="BL120" s="16">
        <v>3</v>
      </c>
      <c r="BM120" t="s">
        <v>422</v>
      </c>
      <c r="BN120" t="str">
        <f t="shared" si="20"/>
        <v>-</v>
      </c>
      <c r="BO120" t="s">
        <v>422</v>
      </c>
      <c r="BP120" t="str">
        <f t="shared" si="21"/>
        <v>-</v>
      </c>
      <c r="BQ120" t="s">
        <v>422</v>
      </c>
    </row>
    <row r="121" spans="1:69" x14ac:dyDescent="0.4">
      <c r="A121" s="3">
        <v>230</v>
      </c>
      <c r="B121" s="3">
        <v>116</v>
      </c>
      <c r="C121" s="46">
        <v>11351</v>
      </c>
      <c r="D121" s="4" t="str">
        <f>TEXT(C121,"000000")</f>
        <v>011351</v>
      </c>
      <c r="E121" s="4">
        <v>583515</v>
      </c>
      <c r="F121" s="4" t="s">
        <v>370</v>
      </c>
      <c r="G121" s="5">
        <v>4996297430018</v>
      </c>
      <c r="H121" s="5">
        <v>8</v>
      </c>
      <c r="I121" s="5" t="str">
        <f>C121&amp;H121</f>
        <v>113518</v>
      </c>
      <c r="J121" s="5"/>
      <c r="K121" s="5"/>
      <c r="L121" s="4">
        <v>0</v>
      </c>
      <c r="M121" s="4">
        <v>2771</v>
      </c>
      <c r="N121" s="4">
        <v>1520</v>
      </c>
      <c r="O121" s="6">
        <f>IFERROR(1-N121/M121,"-")</f>
        <v>0.45146156622158062</v>
      </c>
      <c r="P121" s="4" t="s">
        <v>422</v>
      </c>
      <c r="Q121" s="4" t="s">
        <v>422</v>
      </c>
      <c r="R121" s="4" t="s">
        <v>422</v>
      </c>
      <c r="S121" s="4" t="s">
        <v>422</v>
      </c>
      <c r="T121" s="4" t="s">
        <v>422</v>
      </c>
      <c r="U121" s="4" t="s">
        <v>422</v>
      </c>
      <c r="V121" s="4" t="s">
        <v>422</v>
      </c>
      <c r="W121" s="4" t="s">
        <v>422</v>
      </c>
      <c r="X121" s="4" t="s">
        <v>422</v>
      </c>
      <c r="Y121" s="4">
        <v>0</v>
      </c>
      <c r="Z121" s="4">
        <f>IF(AC121="",Y121,Y121*AC121)</f>
        <v>0</v>
      </c>
      <c r="AA121" s="4">
        <v>167</v>
      </c>
      <c r="AB121" s="4">
        <f>IF(AC121="",AA121,AA121*AC121)</f>
        <v>1670</v>
      </c>
      <c r="AC121" s="4">
        <v>10</v>
      </c>
      <c r="AD121" s="21">
        <f>ROUND(M121*AR121,0)</f>
        <v>3044</v>
      </c>
      <c r="AE121" s="6">
        <f>IFERROR(1-AB121/AD121,"-")</f>
        <v>0.45137976346911957</v>
      </c>
      <c r="AF121" s="33">
        <v>26.5</v>
      </c>
      <c r="AG121" s="4" t="str">
        <f>BI121</f>
        <v>-</v>
      </c>
      <c r="AH121" s="33" t="str">
        <f>IFERROR(AG121*AR121,"-")</f>
        <v>-</v>
      </c>
      <c r="AI121" s="6" t="str">
        <f>IFERROR(1-AB121/AH121,"-")</f>
        <v>-</v>
      </c>
      <c r="AJ121" s="7">
        <v>3000</v>
      </c>
      <c r="AK121" s="6">
        <f>1-AB121/AJ121</f>
        <v>0.44333333333333336</v>
      </c>
      <c r="AL121" s="4">
        <f>AJ121-AB121</f>
        <v>1330</v>
      </c>
      <c r="AM121" s="28"/>
      <c r="AN121" s="6"/>
      <c r="AO121" s="6"/>
      <c r="AP121" s="6" t="str">
        <f>IFERROR(Z121/L121,"-")</f>
        <v>-</v>
      </c>
      <c r="AQ121" s="6">
        <f>IFERROR(AJ121/M121,"-")</f>
        <v>1.0826416456153014</v>
      </c>
      <c r="AR121" s="6">
        <f>IFERROR(AB121/N121,"-")</f>
        <v>1.0986842105263157</v>
      </c>
      <c r="AS121" s="4" t="str">
        <f t="shared" si="11"/>
        <v>-</v>
      </c>
      <c r="AT121" s="4"/>
      <c r="AU121" s="4" t="str">
        <f t="shared" si="12"/>
        <v>-</v>
      </c>
      <c r="AV121" s="4" t="str">
        <f t="shared" si="13"/>
        <v>-</v>
      </c>
      <c r="AW121" s="4" t="str">
        <f t="shared" si="14"/>
        <v>-</v>
      </c>
      <c r="AX121" s="4" t="str">
        <f t="shared" si="15"/>
        <v>-</v>
      </c>
      <c r="AY121" s="4" t="str">
        <f t="shared" si="16"/>
        <v>-</v>
      </c>
      <c r="AZ121" s="4" t="str">
        <f t="shared" si="17"/>
        <v>-</v>
      </c>
      <c r="BA121" s="4" t="str">
        <f t="shared" si="18"/>
        <v>-</v>
      </c>
      <c r="BB121" s="4" t="str">
        <f t="shared" si="19"/>
        <v>-</v>
      </c>
      <c r="BC121" s="4" t="s">
        <v>417</v>
      </c>
      <c r="BD121" s="4" t="s">
        <v>422</v>
      </c>
      <c r="BE121" s="4"/>
      <c r="BF121" s="4"/>
      <c r="BG121" s="4" t="s">
        <v>422</v>
      </c>
      <c r="BH121" s="4" t="s">
        <v>422</v>
      </c>
      <c r="BI121" s="4" t="str">
        <f>IF(BE121="",BH121,BE121/BF121*BH121)</f>
        <v>-</v>
      </c>
      <c r="BJ121" s="19">
        <v>4</v>
      </c>
      <c r="BK121" s="19">
        <v>1</v>
      </c>
      <c r="BL121" s="16">
        <v>3</v>
      </c>
      <c r="BM121" t="s">
        <v>422</v>
      </c>
      <c r="BN121" t="str">
        <f t="shared" si="20"/>
        <v>-</v>
      </c>
      <c r="BO121" t="s">
        <v>422</v>
      </c>
      <c r="BP121" t="str">
        <f t="shared" si="21"/>
        <v>-</v>
      </c>
      <c r="BQ121" t="s">
        <v>422</v>
      </c>
    </row>
    <row r="122" spans="1:69" x14ac:dyDescent="0.4">
      <c r="A122" s="3">
        <v>75</v>
      </c>
      <c r="B122" s="3">
        <v>75</v>
      </c>
      <c r="C122" s="46">
        <v>111659</v>
      </c>
      <c r="D122" s="4" t="str">
        <f>TEXT(C122,"000000")</f>
        <v>111659</v>
      </c>
      <c r="E122" s="4">
        <v>111659</v>
      </c>
      <c r="F122" s="4" t="s">
        <v>189</v>
      </c>
      <c r="G122" s="5">
        <v>4996297365105</v>
      </c>
      <c r="H122" s="5"/>
      <c r="I122" s="5"/>
      <c r="J122" s="5">
        <v>2</v>
      </c>
      <c r="K122" s="5">
        <v>2</v>
      </c>
      <c r="L122" s="4">
        <v>0</v>
      </c>
      <c r="M122" s="4">
        <v>303</v>
      </c>
      <c r="N122" s="4">
        <v>163</v>
      </c>
      <c r="O122" s="6">
        <f>IFERROR(1-N122/M122,"-")</f>
        <v>0.46204620462046209</v>
      </c>
      <c r="P122" s="4" t="s">
        <v>422</v>
      </c>
      <c r="Q122" s="4" t="s">
        <v>422</v>
      </c>
      <c r="R122" s="4" t="s">
        <v>422</v>
      </c>
      <c r="S122" s="4" t="s">
        <v>422</v>
      </c>
      <c r="T122" s="4" t="s">
        <v>422</v>
      </c>
      <c r="U122" s="4" t="s">
        <v>422</v>
      </c>
      <c r="V122" s="4" t="s">
        <v>422</v>
      </c>
      <c r="W122" s="4" t="s">
        <v>422</v>
      </c>
      <c r="X122" s="4" t="s">
        <v>422</v>
      </c>
      <c r="Y122" s="4">
        <v>0</v>
      </c>
      <c r="Z122" s="4">
        <f>IF(AC122="",Y122,Y122*AC122)</f>
        <v>0</v>
      </c>
      <c r="AA122" s="4">
        <v>172</v>
      </c>
      <c r="AB122" s="4">
        <f>IF(AC122="",AA122,AA122*AC122)</f>
        <v>172</v>
      </c>
      <c r="AC122" s="4"/>
      <c r="AD122" s="21">
        <f>ROUND(M122*AR122,0)</f>
        <v>320</v>
      </c>
      <c r="AE122" s="6">
        <f>IFERROR(1-AB122/AD122,"-")</f>
        <v>0.46250000000000002</v>
      </c>
      <c r="AF122" s="33">
        <v>35.25</v>
      </c>
      <c r="AG122" s="4">
        <f>BI122</f>
        <v>370</v>
      </c>
      <c r="AH122" s="33">
        <f>IFERROR(AG122*AR122,"-")</f>
        <v>390.42944785276069</v>
      </c>
      <c r="AI122" s="6">
        <f>IFERROR(1-AB122/AH122,"-")</f>
        <v>0.55945945945945941</v>
      </c>
      <c r="AJ122" s="7">
        <v>305</v>
      </c>
      <c r="AK122" s="6">
        <f>1-AB122/AJ122</f>
        <v>0.43606557377049182</v>
      </c>
      <c r="AL122" s="4">
        <f>AJ122-AB122</f>
        <v>133</v>
      </c>
      <c r="AM122" s="28"/>
      <c r="AN122" s="6"/>
      <c r="AO122" s="6"/>
      <c r="AP122" s="6" t="str">
        <f>IFERROR(Z122/L122,"-")</f>
        <v>-</v>
      </c>
      <c r="AQ122" s="6">
        <f>IFERROR(AJ122/M122,"-")</f>
        <v>1.0066006600660067</v>
      </c>
      <c r="AR122" s="6">
        <f>IFERROR(AB122/N122,"-")</f>
        <v>1.0552147239263803</v>
      </c>
      <c r="AS122" s="4" t="str">
        <f t="shared" si="11"/>
        <v>-</v>
      </c>
      <c r="AT122" s="4"/>
      <c r="AU122" s="4" t="str">
        <f t="shared" si="12"/>
        <v>-</v>
      </c>
      <c r="AV122" s="4" t="str">
        <f t="shared" si="13"/>
        <v>-</v>
      </c>
      <c r="AW122" s="4" t="str">
        <f t="shared" si="14"/>
        <v>-</v>
      </c>
      <c r="AX122" s="4" t="str">
        <f t="shared" si="15"/>
        <v>-</v>
      </c>
      <c r="AY122" s="4" t="str">
        <f t="shared" si="16"/>
        <v>-</v>
      </c>
      <c r="AZ122" s="4" t="str">
        <f t="shared" si="17"/>
        <v>-</v>
      </c>
      <c r="BA122" s="4" t="str">
        <f t="shared" si="18"/>
        <v>-</v>
      </c>
      <c r="BB122" s="4" t="str">
        <f t="shared" si="19"/>
        <v>-</v>
      </c>
      <c r="BC122" s="4" t="s">
        <v>413</v>
      </c>
      <c r="BD122" s="4" t="s">
        <v>638</v>
      </c>
      <c r="BE122" s="4"/>
      <c r="BF122" s="4"/>
      <c r="BG122" s="4" t="s">
        <v>639</v>
      </c>
      <c r="BH122" s="4">
        <v>370</v>
      </c>
      <c r="BI122" s="4">
        <f>IF(BE122="",BH122,BE122/BF122*BH122)</f>
        <v>370</v>
      </c>
      <c r="BJ122" s="19">
        <v>4</v>
      </c>
      <c r="BK122" s="19">
        <v>1</v>
      </c>
      <c r="BL122" s="16">
        <v>3</v>
      </c>
      <c r="BM122" t="s">
        <v>422</v>
      </c>
      <c r="BN122" t="str">
        <f t="shared" si="20"/>
        <v>-</v>
      </c>
      <c r="BO122">
        <v>390</v>
      </c>
      <c r="BP122">
        <f t="shared" si="21"/>
        <v>411.53374233128829</v>
      </c>
      <c r="BQ122" t="s">
        <v>489</v>
      </c>
    </row>
    <row r="123" spans="1:69" x14ac:dyDescent="0.4">
      <c r="A123" s="3">
        <v>210</v>
      </c>
      <c r="B123" s="3">
        <v>75</v>
      </c>
      <c r="C123" s="46">
        <v>111659</v>
      </c>
      <c r="D123" s="4" t="str">
        <f>TEXT(C123,"000000")</f>
        <v>111659</v>
      </c>
      <c r="E123" s="4">
        <v>173854</v>
      </c>
      <c r="F123" s="4" t="s">
        <v>350</v>
      </c>
      <c r="G123" s="5">
        <v>4996297365105</v>
      </c>
      <c r="H123" s="5">
        <v>8</v>
      </c>
      <c r="I123" s="5" t="str">
        <f>C123&amp;H123</f>
        <v>1116598</v>
      </c>
      <c r="J123" s="5"/>
      <c r="K123" s="5"/>
      <c r="L123" s="4">
        <v>0</v>
      </c>
      <c r="M123" s="4">
        <v>4803</v>
      </c>
      <c r="N123" s="4">
        <v>3260</v>
      </c>
      <c r="O123" s="6">
        <f>IFERROR(1-N123/M123,"-")</f>
        <v>0.32125754736622947</v>
      </c>
      <c r="P123" s="4" t="s">
        <v>422</v>
      </c>
      <c r="Q123" s="4" t="s">
        <v>422</v>
      </c>
      <c r="R123" s="4" t="s">
        <v>422</v>
      </c>
      <c r="S123" s="4" t="s">
        <v>422</v>
      </c>
      <c r="T123" s="4" t="s">
        <v>422</v>
      </c>
      <c r="U123" s="4" t="s">
        <v>422</v>
      </c>
      <c r="V123" s="4" t="s">
        <v>422</v>
      </c>
      <c r="W123" s="4" t="s">
        <v>422</v>
      </c>
      <c r="X123" s="4" t="s">
        <v>422</v>
      </c>
      <c r="Y123" s="4">
        <v>0</v>
      </c>
      <c r="Z123" s="4">
        <f>IF(AC123="",Y123,Y123*AC123)</f>
        <v>0</v>
      </c>
      <c r="AA123" s="4">
        <v>172</v>
      </c>
      <c r="AB123" s="4">
        <f>IF(AC123="",AA123,AA123*AC123)</f>
        <v>3440</v>
      </c>
      <c r="AC123" s="4">
        <v>20</v>
      </c>
      <c r="AD123" s="21">
        <f>ROUND(M123*AR123,0)</f>
        <v>5068</v>
      </c>
      <c r="AE123" s="6">
        <f>IFERROR(1-AB123/AD123,"-")</f>
        <v>0.32123125493291238</v>
      </c>
      <c r="AF123" s="33">
        <v>35.25</v>
      </c>
      <c r="AG123" s="4">
        <f>BI123</f>
        <v>7400</v>
      </c>
      <c r="AH123" s="33">
        <f>IFERROR(AG123*AR123,"-")</f>
        <v>7808.5889570552145</v>
      </c>
      <c r="AI123" s="6">
        <f>IFERROR(1-AB123/AH123,"-")</f>
        <v>0.55945945945945952</v>
      </c>
      <c r="AJ123" s="7">
        <v>5700</v>
      </c>
      <c r="AK123" s="6">
        <f>1-AB123/AJ123</f>
        <v>0.39649122807017545</v>
      </c>
      <c r="AL123" s="4">
        <f>AJ123-AB123</f>
        <v>2260</v>
      </c>
      <c r="AM123" s="28"/>
      <c r="AN123" s="6"/>
      <c r="AO123" s="6"/>
      <c r="AP123" s="6" t="str">
        <f>IFERROR(Z123/L123,"-")</f>
        <v>-</v>
      </c>
      <c r="AQ123" s="6">
        <f>IFERROR(AJ123/M123,"-")</f>
        <v>1.1867582760774515</v>
      </c>
      <c r="AR123" s="6">
        <f>IFERROR(AB123/N123,"-")</f>
        <v>1.0552147239263803</v>
      </c>
      <c r="AS123" s="4" t="str">
        <f t="shared" si="11"/>
        <v>-</v>
      </c>
      <c r="AT123" s="4"/>
      <c r="AU123" s="4" t="str">
        <f t="shared" si="12"/>
        <v>-</v>
      </c>
      <c r="AV123" s="4" t="str">
        <f t="shared" si="13"/>
        <v>-</v>
      </c>
      <c r="AW123" s="4" t="str">
        <f t="shared" si="14"/>
        <v>-</v>
      </c>
      <c r="AX123" s="4" t="str">
        <f t="shared" si="15"/>
        <v>-</v>
      </c>
      <c r="AY123" s="4" t="str">
        <f t="shared" si="16"/>
        <v>-</v>
      </c>
      <c r="AZ123" s="4" t="str">
        <f t="shared" si="17"/>
        <v>-</v>
      </c>
      <c r="BA123" s="4" t="str">
        <f t="shared" si="18"/>
        <v>-</v>
      </c>
      <c r="BB123" s="4" t="str">
        <f t="shared" si="19"/>
        <v>-</v>
      </c>
      <c r="BC123" s="4" t="s">
        <v>413</v>
      </c>
      <c r="BD123" s="4" t="s">
        <v>638</v>
      </c>
      <c r="BE123" s="4">
        <v>20</v>
      </c>
      <c r="BF123" s="4">
        <v>1</v>
      </c>
      <c r="BG123" s="4" t="s">
        <v>639</v>
      </c>
      <c r="BH123" s="4">
        <v>370</v>
      </c>
      <c r="BI123" s="4">
        <f>IF(BE123="",BH123,BE123/BF123*BH123)</f>
        <v>7400</v>
      </c>
      <c r="BJ123" s="19">
        <v>4</v>
      </c>
      <c r="BK123" s="19">
        <v>1</v>
      </c>
      <c r="BL123" s="16">
        <v>3</v>
      </c>
      <c r="BM123" t="s">
        <v>422</v>
      </c>
      <c r="BN123" t="str">
        <f t="shared" si="20"/>
        <v>-</v>
      </c>
      <c r="BO123">
        <v>390</v>
      </c>
      <c r="BP123">
        <f t="shared" si="21"/>
        <v>411.53374233128829</v>
      </c>
      <c r="BQ123" t="s">
        <v>489</v>
      </c>
    </row>
    <row r="124" spans="1:69" x14ac:dyDescent="0.4">
      <c r="A124" s="3">
        <v>11</v>
      </c>
      <c r="B124" s="3">
        <v>11</v>
      </c>
      <c r="C124" s="46">
        <v>169462</v>
      </c>
      <c r="D124" s="4" t="str">
        <f>TEXT(C124,"000000")</f>
        <v>169462</v>
      </c>
      <c r="E124" s="4">
        <v>169462</v>
      </c>
      <c r="F124" s="4" t="s">
        <v>126</v>
      </c>
      <c r="G124" s="5">
        <v>4996297200109</v>
      </c>
      <c r="H124" s="5"/>
      <c r="I124" s="5"/>
      <c r="J124" s="5">
        <v>2</v>
      </c>
      <c r="K124" s="5">
        <v>2</v>
      </c>
      <c r="L124" s="4">
        <v>500</v>
      </c>
      <c r="M124" s="4">
        <v>228</v>
      </c>
      <c r="N124" s="4">
        <v>153</v>
      </c>
      <c r="O124" s="6">
        <f>IFERROR(1-N124/M124,"-")</f>
        <v>0.32894736842105265</v>
      </c>
      <c r="P124" s="4" t="s">
        <v>422</v>
      </c>
      <c r="Q124" s="4" t="s">
        <v>422</v>
      </c>
      <c r="R124" s="4" t="s">
        <v>422</v>
      </c>
      <c r="S124" s="4" t="s">
        <v>422</v>
      </c>
      <c r="T124" s="4" t="s">
        <v>422</v>
      </c>
      <c r="U124" s="4" t="s">
        <v>422</v>
      </c>
      <c r="V124" s="4" t="s">
        <v>422</v>
      </c>
      <c r="W124" s="4" t="s">
        <v>422</v>
      </c>
      <c r="X124" s="4" t="s">
        <v>422</v>
      </c>
      <c r="Y124" s="4">
        <v>0</v>
      </c>
      <c r="Z124" s="4">
        <f>IF(AC124="",Y124,Y124*AC124)</f>
        <v>0</v>
      </c>
      <c r="AA124" s="4">
        <v>172</v>
      </c>
      <c r="AB124" s="4">
        <f>IF(AC124="",AA124,AA124*AC124)</f>
        <v>172</v>
      </c>
      <c r="AC124" s="4"/>
      <c r="AD124" s="21">
        <f>ROUND(M124*AR124,0)</f>
        <v>256</v>
      </c>
      <c r="AE124" s="6">
        <f>IFERROR(1-AB124/AD124,"-")</f>
        <v>0.328125</v>
      </c>
      <c r="AF124" s="33">
        <v>120.24999999999999</v>
      </c>
      <c r="AG124" s="4">
        <f>BI124</f>
        <v>550</v>
      </c>
      <c r="AH124" s="33">
        <f>IFERROR(AG124*AR124,"-")</f>
        <v>618.30065359477123</v>
      </c>
      <c r="AI124" s="6">
        <f>IFERROR(1-AB124/AH124,"-")</f>
        <v>0.7218181818181818</v>
      </c>
      <c r="AJ124" s="7">
        <v>300</v>
      </c>
      <c r="AK124" s="6">
        <f>1-AB124/AJ124</f>
        <v>0.42666666666666664</v>
      </c>
      <c r="AL124" s="4">
        <f>AJ124-AB124</f>
        <v>128</v>
      </c>
      <c r="AM124" s="28"/>
      <c r="AN124" s="6"/>
      <c r="AO124" s="6"/>
      <c r="AP124" s="6">
        <f>IFERROR(Z124/L124,"-")</f>
        <v>0</v>
      </c>
      <c r="AQ124" s="6">
        <f>IFERROR(AJ124/M124,"-")</f>
        <v>1.3157894736842106</v>
      </c>
      <c r="AR124" s="6">
        <f>IFERROR(AB124/N124,"-")</f>
        <v>1.1241830065359477</v>
      </c>
      <c r="AS124" s="4" t="str">
        <f t="shared" si="11"/>
        <v>-</v>
      </c>
      <c r="AT124" s="4"/>
      <c r="AU124" s="4" t="str">
        <f t="shared" si="12"/>
        <v>-</v>
      </c>
      <c r="AV124" s="4" t="str">
        <f t="shared" si="13"/>
        <v>-</v>
      </c>
      <c r="AW124" s="4" t="str">
        <f t="shared" si="14"/>
        <v>-</v>
      </c>
      <c r="AX124" s="4" t="str">
        <f t="shared" si="15"/>
        <v>-</v>
      </c>
      <c r="AY124" s="4" t="str">
        <f t="shared" si="16"/>
        <v>-</v>
      </c>
      <c r="AZ124" s="4" t="str">
        <f t="shared" si="17"/>
        <v>-</v>
      </c>
      <c r="BA124" s="4" t="str">
        <f t="shared" si="18"/>
        <v>-</v>
      </c>
      <c r="BB124" s="4" t="str">
        <f t="shared" si="19"/>
        <v>-</v>
      </c>
      <c r="BC124" s="4" t="s">
        <v>405</v>
      </c>
      <c r="BD124" s="4" t="s">
        <v>640</v>
      </c>
      <c r="BE124" s="4"/>
      <c r="BF124" s="4"/>
      <c r="BG124" s="4" t="s">
        <v>563</v>
      </c>
      <c r="BH124" s="4">
        <v>550</v>
      </c>
      <c r="BI124" s="4">
        <f>IF(BE124="",BH124,BE124/BF124*BH124)</f>
        <v>550</v>
      </c>
      <c r="BJ124" s="19">
        <v>4</v>
      </c>
      <c r="BK124" s="19">
        <v>1</v>
      </c>
      <c r="BL124" s="16">
        <v>3</v>
      </c>
      <c r="BM124" t="s">
        <v>422</v>
      </c>
      <c r="BN124" t="str">
        <f t="shared" si="20"/>
        <v>-</v>
      </c>
      <c r="BO124">
        <v>437</v>
      </c>
      <c r="BP124">
        <f t="shared" si="21"/>
        <v>491.26797385620915</v>
      </c>
      <c r="BQ124" t="s">
        <v>490</v>
      </c>
    </row>
    <row r="125" spans="1:69" x14ac:dyDescent="0.4">
      <c r="A125" s="3">
        <v>186</v>
      </c>
      <c r="B125" s="3">
        <v>11</v>
      </c>
      <c r="C125" s="46">
        <v>169462</v>
      </c>
      <c r="D125" s="4" t="str">
        <f>TEXT(C125,"000000")</f>
        <v>169462</v>
      </c>
      <c r="E125" s="4">
        <v>169472</v>
      </c>
      <c r="F125" s="4" t="s">
        <v>326</v>
      </c>
      <c r="G125" s="5">
        <v>4996297200109</v>
      </c>
      <c r="H125" s="5">
        <v>8</v>
      </c>
      <c r="I125" s="5" t="str">
        <f>C125&amp;H125</f>
        <v>1694628</v>
      </c>
      <c r="J125" s="5"/>
      <c r="K125" s="5"/>
      <c r="L125" s="4">
        <v>5000</v>
      </c>
      <c r="M125" s="4">
        <v>2080</v>
      </c>
      <c r="N125" s="4">
        <v>1530</v>
      </c>
      <c r="O125" s="6">
        <f>IFERROR(1-N125/M125,"-")</f>
        <v>0.26442307692307687</v>
      </c>
      <c r="P125" s="4" t="s">
        <v>422</v>
      </c>
      <c r="Q125" s="4" t="s">
        <v>422</v>
      </c>
      <c r="R125" s="4" t="s">
        <v>422</v>
      </c>
      <c r="S125" s="4" t="s">
        <v>422</v>
      </c>
      <c r="T125" s="4" t="s">
        <v>422</v>
      </c>
      <c r="U125" s="4" t="s">
        <v>422</v>
      </c>
      <c r="V125" s="4" t="s">
        <v>422</v>
      </c>
      <c r="W125" s="4" t="s">
        <v>422</v>
      </c>
      <c r="X125" s="4" t="s">
        <v>422</v>
      </c>
      <c r="Y125" s="4">
        <v>0</v>
      </c>
      <c r="Z125" s="4">
        <f>IF(AC125="",Y125,Y125*AC125)</f>
        <v>0</v>
      </c>
      <c r="AA125" s="4">
        <v>172</v>
      </c>
      <c r="AB125" s="4">
        <f>IF(AC125="",AA125,AA125*AC125)</f>
        <v>1720</v>
      </c>
      <c r="AC125" s="4">
        <v>10</v>
      </c>
      <c r="AD125" s="21">
        <f>ROUND(M125*AR125,0)</f>
        <v>2338</v>
      </c>
      <c r="AE125" s="6">
        <f>IFERROR(1-AB125/AD125,"-")</f>
        <v>0.26432848588537217</v>
      </c>
      <c r="AF125" s="33">
        <v>120.24999999999999</v>
      </c>
      <c r="AG125" s="4">
        <f>BI125</f>
        <v>5002</v>
      </c>
      <c r="AH125" s="33">
        <f>IFERROR(AG125*AR125,"-")</f>
        <v>5623.1633986928109</v>
      </c>
      <c r="AI125" s="6">
        <f>IFERROR(1-AB125/AH125,"-")</f>
        <v>0.6941223510595762</v>
      </c>
      <c r="AJ125" s="7">
        <v>2750</v>
      </c>
      <c r="AK125" s="6">
        <f>1-AB125/AJ125</f>
        <v>0.37454545454545451</v>
      </c>
      <c r="AL125" s="4">
        <f>AJ125-AB125</f>
        <v>1030</v>
      </c>
      <c r="AM125" s="28"/>
      <c r="AN125" s="6"/>
      <c r="AO125" s="6"/>
      <c r="AP125" s="6">
        <f>IFERROR(Z125/L125,"-")</f>
        <v>0</v>
      </c>
      <c r="AQ125" s="6">
        <f>IFERROR(AJ125/M125,"-")</f>
        <v>1.3221153846153846</v>
      </c>
      <c r="AR125" s="6">
        <f>IFERROR(AB125/N125,"-")</f>
        <v>1.1241830065359477</v>
      </c>
      <c r="AS125" s="4" t="str">
        <f t="shared" si="11"/>
        <v>-</v>
      </c>
      <c r="AT125" s="4"/>
      <c r="AU125" s="4" t="str">
        <f t="shared" si="12"/>
        <v>-</v>
      </c>
      <c r="AV125" s="4" t="str">
        <f t="shared" si="13"/>
        <v>-</v>
      </c>
      <c r="AW125" s="4" t="str">
        <f t="shared" si="14"/>
        <v>-</v>
      </c>
      <c r="AX125" s="4" t="str">
        <f t="shared" si="15"/>
        <v>-</v>
      </c>
      <c r="AY125" s="4" t="str">
        <f t="shared" si="16"/>
        <v>-</v>
      </c>
      <c r="AZ125" s="4" t="str">
        <f t="shared" si="17"/>
        <v>-</v>
      </c>
      <c r="BA125" s="4" t="str">
        <f t="shared" si="18"/>
        <v>-</v>
      </c>
      <c r="BB125" s="4" t="str">
        <f t="shared" si="19"/>
        <v>-</v>
      </c>
      <c r="BC125" s="4" t="s">
        <v>405</v>
      </c>
      <c r="BD125" s="4" t="s">
        <v>641</v>
      </c>
      <c r="BE125" s="4"/>
      <c r="BF125" s="4"/>
      <c r="BG125" s="4" t="s">
        <v>642</v>
      </c>
      <c r="BH125" s="4">
        <v>5002</v>
      </c>
      <c r="BI125" s="4">
        <f>IF(BE125="",BH125,BE125/BF125*BH125)</f>
        <v>5002</v>
      </c>
      <c r="BJ125" s="19">
        <v>4</v>
      </c>
      <c r="BK125" s="19">
        <v>1</v>
      </c>
      <c r="BL125" s="16">
        <v>3</v>
      </c>
      <c r="BM125" t="s">
        <v>422</v>
      </c>
      <c r="BN125" t="str">
        <f t="shared" si="20"/>
        <v>-</v>
      </c>
      <c r="BO125">
        <v>437</v>
      </c>
      <c r="BP125">
        <f t="shared" si="21"/>
        <v>491.26797385620915</v>
      </c>
      <c r="BQ125" t="s">
        <v>491</v>
      </c>
    </row>
    <row r="126" spans="1:69" x14ac:dyDescent="0.4">
      <c r="A126" s="3">
        <v>12</v>
      </c>
      <c r="B126" s="3">
        <v>12</v>
      </c>
      <c r="C126" s="46">
        <v>169463</v>
      </c>
      <c r="D126" s="4" t="str">
        <f>TEXT(C126,"000000")</f>
        <v>169463</v>
      </c>
      <c r="E126" s="4">
        <v>169463</v>
      </c>
      <c r="F126" s="4" t="s">
        <v>127</v>
      </c>
      <c r="G126" s="5">
        <v>4996297200116</v>
      </c>
      <c r="H126" s="5"/>
      <c r="I126" s="5"/>
      <c r="J126" s="5">
        <v>2</v>
      </c>
      <c r="K126" s="5">
        <v>2</v>
      </c>
      <c r="L126" s="4">
        <v>500</v>
      </c>
      <c r="M126" s="4">
        <v>228</v>
      </c>
      <c r="N126" s="4">
        <v>153</v>
      </c>
      <c r="O126" s="6">
        <f>IFERROR(1-N126/M126,"-")</f>
        <v>0.32894736842105265</v>
      </c>
      <c r="P126" s="4" t="s">
        <v>422</v>
      </c>
      <c r="Q126" s="4" t="s">
        <v>422</v>
      </c>
      <c r="R126" s="4" t="s">
        <v>422</v>
      </c>
      <c r="S126" s="4" t="s">
        <v>422</v>
      </c>
      <c r="T126" s="4" t="s">
        <v>422</v>
      </c>
      <c r="U126" s="4" t="s">
        <v>422</v>
      </c>
      <c r="V126" s="4" t="s">
        <v>422</v>
      </c>
      <c r="W126" s="4" t="s">
        <v>422</v>
      </c>
      <c r="X126" s="4" t="s">
        <v>422</v>
      </c>
      <c r="Y126" s="4">
        <v>0</v>
      </c>
      <c r="Z126" s="4">
        <f>IF(AC126="",Y126,Y126*AC126)</f>
        <v>0</v>
      </c>
      <c r="AA126" s="4">
        <v>172</v>
      </c>
      <c r="AB126" s="4">
        <f>IF(AC126="",AA126,AA126*AC126)</f>
        <v>172</v>
      </c>
      <c r="AC126" s="4"/>
      <c r="AD126" s="21">
        <f>ROUND(M126*AR126,0)</f>
        <v>256</v>
      </c>
      <c r="AE126" s="6">
        <f>IFERROR(1-AB126/AD126,"-")</f>
        <v>0.328125</v>
      </c>
      <c r="AF126" s="33">
        <v>163.5</v>
      </c>
      <c r="AG126" s="4">
        <f>BI126</f>
        <v>526</v>
      </c>
      <c r="AH126" s="33">
        <f>IFERROR(AG126*AR126,"-")</f>
        <v>591.32026143790847</v>
      </c>
      <c r="AI126" s="6">
        <f>IFERROR(1-AB126/AH126,"-")</f>
        <v>0.70912547528517111</v>
      </c>
      <c r="AJ126" s="7">
        <v>300</v>
      </c>
      <c r="AK126" s="6">
        <f>1-AB126/AJ126</f>
        <v>0.42666666666666664</v>
      </c>
      <c r="AL126" s="4">
        <f>AJ126-AB126</f>
        <v>128</v>
      </c>
      <c r="AM126" s="28"/>
      <c r="AN126" s="6"/>
      <c r="AO126" s="6"/>
      <c r="AP126" s="6">
        <f>IFERROR(Z126/L126,"-")</f>
        <v>0</v>
      </c>
      <c r="AQ126" s="6">
        <f>IFERROR(AJ126/M126,"-")</f>
        <v>1.3157894736842106</v>
      </c>
      <c r="AR126" s="6">
        <f>IFERROR(AB126/N126,"-")</f>
        <v>1.1241830065359477</v>
      </c>
      <c r="AS126" s="4" t="str">
        <f t="shared" si="11"/>
        <v>-</v>
      </c>
      <c r="AT126" s="4"/>
      <c r="AU126" s="4" t="str">
        <f t="shared" si="12"/>
        <v>-</v>
      </c>
      <c r="AV126" s="4" t="str">
        <f t="shared" si="13"/>
        <v>-</v>
      </c>
      <c r="AW126" s="4" t="str">
        <f t="shared" si="14"/>
        <v>-</v>
      </c>
      <c r="AX126" s="4" t="str">
        <f t="shared" si="15"/>
        <v>-</v>
      </c>
      <c r="AY126" s="4" t="str">
        <f t="shared" si="16"/>
        <v>-</v>
      </c>
      <c r="AZ126" s="4" t="str">
        <f t="shared" si="17"/>
        <v>-</v>
      </c>
      <c r="BA126" s="4" t="str">
        <f t="shared" si="18"/>
        <v>-</v>
      </c>
      <c r="BB126" s="4" t="str">
        <f t="shared" si="19"/>
        <v>-</v>
      </c>
      <c r="BC126" s="4" t="s">
        <v>405</v>
      </c>
      <c r="BD126" s="4" t="s">
        <v>643</v>
      </c>
      <c r="BE126" s="4"/>
      <c r="BF126" s="4"/>
      <c r="BG126" s="4" t="s">
        <v>563</v>
      </c>
      <c r="BH126" s="4">
        <v>526</v>
      </c>
      <c r="BI126" s="4">
        <f>IF(BE126="",BH126,BE126/BF126*BH126)</f>
        <v>526</v>
      </c>
      <c r="BJ126" s="19">
        <v>4</v>
      </c>
      <c r="BK126" s="19">
        <v>1</v>
      </c>
      <c r="BL126" s="16">
        <v>3</v>
      </c>
      <c r="BM126">
        <v>246</v>
      </c>
      <c r="BN126">
        <f t="shared" si="20"/>
        <v>276.54901960784315</v>
      </c>
      <c r="BO126">
        <v>437</v>
      </c>
      <c r="BP126">
        <f t="shared" si="21"/>
        <v>491.26797385620915</v>
      </c>
      <c r="BQ126" t="s">
        <v>492</v>
      </c>
    </row>
    <row r="127" spans="1:69" x14ac:dyDescent="0.4">
      <c r="A127" s="3">
        <v>187</v>
      </c>
      <c r="B127" s="3">
        <v>12</v>
      </c>
      <c r="C127" s="46">
        <v>169463</v>
      </c>
      <c r="D127" s="4" t="str">
        <f>TEXT(C127,"000000")</f>
        <v>169463</v>
      </c>
      <c r="E127" s="4">
        <v>169473</v>
      </c>
      <c r="F127" s="4" t="s">
        <v>327</v>
      </c>
      <c r="G127" s="5">
        <v>4996297200116</v>
      </c>
      <c r="H127" s="5">
        <v>8</v>
      </c>
      <c r="I127" s="5" t="str">
        <f>C127&amp;H127</f>
        <v>1694638</v>
      </c>
      <c r="J127" s="5"/>
      <c r="K127" s="5"/>
      <c r="L127" s="4">
        <v>5000</v>
      </c>
      <c r="M127" s="4">
        <v>2080</v>
      </c>
      <c r="N127" s="4">
        <v>1530</v>
      </c>
      <c r="O127" s="6">
        <f>IFERROR(1-N127/M127,"-")</f>
        <v>0.26442307692307687</v>
      </c>
      <c r="P127" s="4" t="s">
        <v>422</v>
      </c>
      <c r="Q127" s="4" t="s">
        <v>422</v>
      </c>
      <c r="R127" s="4" t="s">
        <v>422</v>
      </c>
      <c r="S127" s="4" t="s">
        <v>422</v>
      </c>
      <c r="T127" s="4" t="s">
        <v>422</v>
      </c>
      <c r="U127" s="4" t="s">
        <v>422</v>
      </c>
      <c r="V127" s="4" t="s">
        <v>422</v>
      </c>
      <c r="W127" s="4" t="s">
        <v>422</v>
      </c>
      <c r="X127" s="4" t="s">
        <v>422</v>
      </c>
      <c r="Y127" s="4">
        <v>0</v>
      </c>
      <c r="Z127" s="4">
        <f>IF(AC127="",Y127,Y127*AC127)</f>
        <v>0</v>
      </c>
      <c r="AA127" s="4">
        <v>172</v>
      </c>
      <c r="AB127" s="4">
        <f>IF(AC127="",AA127,AA127*AC127)</f>
        <v>1720</v>
      </c>
      <c r="AC127" s="4">
        <v>10</v>
      </c>
      <c r="AD127" s="21">
        <f>ROUND(M127*AR127,0)</f>
        <v>2338</v>
      </c>
      <c r="AE127" s="6">
        <f>IFERROR(1-AB127/AD127,"-")</f>
        <v>0.26432848588537217</v>
      </c>
      <c r="AF127" s="33">
        <v>163.5</v>
      </c>
      <c r="AG127" s="4">
        <f>BI127</f>
        <v>4887</v>
      </c>
      <c r="AH127" s="33">
        <f>IFERROR(AG127*AR127,"-")</f>
        <v>5493.8823529411766</v>
      </c>
      <c r="AI127" s="6">
        <f>IFERROR(1-AB127/AH127,"-")</f>
        <v>0.68692449355432783</v>
      </c>
      <c r="AJ127" s="7">
        <v>2750</v>
      </c>
      <c r="AK127" s="6">
        <f>1-AB127/AJ127</f>
        <v>0.37454545454545451</v>
      </c>
      <c r="AL127" s="4">
        <f>AJ127-AB127</f>
        <v>1030</v>
      </c>
      <c r="AM127" s="28"/>
      <c r="AN127" s="6"/>
      <c r="AO127" s="6"/>
      <c r="AP127" s="6">
        <f>IFERROR(Z127/L127,"-")</f>
        <v>0</v>
      </c>
      <c r="AQ127" s="6">
        <f>IFERROR(AJ127/M127,"-")</f>
        <v>1.3221153846153846</v>
      </c>
      <c r="AR127" s="6">
        <f>IFERROR(AB127/N127,"-")</f>
        <v>1.1241830065359477</v>
      </c>
      <c r="AS127" s="4" t="str">
        <f t="shared" si="11"/>
        <v>-</v>
      </c>
      <c r="AT127" s="4"/>
      <c r="AU127" s="4" t="str">
        <f t="shared" si="12"/>
        <v>-</v>
      </c>
      <c r="AV127" s="4" t="str">
        <f t="shared" si="13"/>
        <v>-</v>
      </c>
      <c r="AW127" s="4" t="str">
        <f t="shared" si="14"/>
        <v>-</v>
      </c>
      <c r="AX127" s="4" t="str">
        <f t="shared" si="15"/>
        <v>-</v>
      </c>
      <c r="AY127" s="4" t="str">
        <f t="shared" si="16"/>
        <v>-</v>
      </c>
      <c r="AZ127" s="4" t="str">
        <f t="shared" si="17"/>
        <v>-</v>
      </c>
      <c r="BA127" s="4" t="str">
        <f t="shared" si="18"/>
        <v>-</v>
      </c>
      <c r="BB127" s="4" t="str">
        <f t="shared" si="19"/>
        <v>-</v>
      </c>
      <c r="BC127" s="4" t="s">
        <v>405</v>
      </c>
      <c r="BD127" s="4" t="s">
        <v>644</v>
      </c>
      <c r="BE127" s="4"/>
      <c r="BF127" s="4"/>
      <c r="BG127" s="4" t="s">
        <v>642</v>
      </c>
      <c r="BH127" s="4">
        <v>4887</v>
      </c>
      <c r="BI127" s="4">
        <f>IF(BE127="",BH127,BE127/BF127*BH127)</f>
        <v>4887</v>
      </c>
      <c r="BJ127" s="19">
        <v>4</v>
      </c>
      <c r="BK127" s="19">
        <v>1</v>
      </c>
      <c r="BL127" s="16">
        <v>3</v>
      </c>
      <c r="BM127">
        <v>246</v>
      </c>
      <c r="BN127">
        <f t="shared" si="20"/>
        <v>276.54901960784315</v>
      </c>
      <c r="BO127">
        <v>437</v>
      </c>
      <c r="BP127">
        <f t="shared" si="21"/>
        <v>491.26797385620915</v>
      </c>
      <c r="BQ127" t="s">
        <v>493</v>
      </c>
    </row>
    <row r="128" spans="1:69" x14ac:dyDescent="0.4">
      <c r="A128" s="3">
        <v>14</v>
      </c>
      <c r="B128" s="3">
        <v>14</v>
      </c>
      <c r="C128" s="46">
        <v>169464</v>
      </c>
      <c r="D128" s="4" t="str">
        <f>TEXT(C128,"000000")</f>
        <v>169464</v>
      </c>
      <c r="E128" s="4">
        <v>169464</v>
      </c>
      <c r="F128" s="4" t="s">
        <v>129</v>
      </c>
      <c r="G128" s="5">
        <v>4996297200130</v>
      </c>
      <c r="H128" s="5"/>
      <c r="I128" s="5"/>
      <c r="J128" s="5">
        <v>2</v>
      </c>
      <c r="K128" s="5">
        <v>2</v>
      </c>
      <c r="L128" s="4">
        <v>500</v>
      </c>
      <c r="M128" s="4">
        <v>228</v>
      </c>
      <c r="N128" s="4">
        <v>153</v>
      </c>
      <c r="O128" s="6">
        <f>IFERROR(1-N128/M128,"-")</f>
        <v>0.32894736842105265</v>
      </c>
      <c r="P128" s="4" t="s">
        <v>422</v>
      </c>
      <c r="Q128" s="4" t="s">
        <v>422</v>
      </c>
      <c r="R128" s="4" t="s">
        <v>422</v>
      </c>
      <c r="S128" s="4" t="s">
        <v>422</v>
      </c>
      <c r="T128" s="4" t="s">
        <v>422</v>
      </c>
      <c r="U128" s="4" t="s">
        <v>422</v>
      </c>
      <c r="V128" s="4" t="s">
        <v>422</v>
      </c>
      <c r="W128" s="4" t="s">
        <v>422</v>
      </c>
      <c r="X128" s="4" t="s">
        <v>422</v>
      </c>
      <c r="Y128" s="4">
        <v>0</v>
      </c>
      <c r="Z128" s="4">
        <f>IF(AC128="",Y128,Y128*AC128)</f>
        <v>0</v>
      </c>
      <c r="AA128" s="4">
        <v>172</v>
      </c>
      <c r="AB128" s="4">
        <f>IF(AC128="",AA128,AA128*AC128)</f>
        <v>172</v>
      </c>
      <c r="AC128" s="4"/>
      <c r="AD128" s="21">
        <f>ROUND(M128*AR128,0)</f>
        <v>256</v>
      </c>
      <c r="AE128" s="6">
        <f>IFERROR(1-AB128/AD128,"-")</f>
        <v>0.328125</v>
      </c>
      <c r="AF128" s="33">
        <v>146</v>
      </c>
      <c r="AG128" s="4">
        <f>BI128</f>
        <v>550</v>
      </c>
      <c r="AH128" s="33">
        <f>IFERROR(AG128*AR128,"-")</f>
        <v>618.30065359477123</v>
      </c>
      <c r="AI128" s="6">
        <f>IFERROR(1-AB128/AH128,"-")</f>
        <v>0.7218181818181818</v>
      </c>
      <c r="AJ128" s="7">
        <v>300</v>
      </c>
      <c r="AK128" s="6">
        <f>1-AB128/AJ128</f>
        <v>0.42666666666666664</v>
      </c>
      <c r="AL128" s="4">
        <f>AJ128-AB128</f>
        <v>128</v>
      </c>
      <c r="AM128" s="28"/>
      <c r="AN128" s="6"/>
      <c r="AO128" s="6"/>
      <c r="AP128" s="6">
        <f>IFERROR(Z128/L128,"-")</f>
        <v>0</v>
      </c>
      <c r="AQ128" s="6">
        <f>IFERROR(AJ128/M128,"-")</f>
        <v>1.3157894736842106</v>
      </c>
      <c r="AR128" s="6">
        <f>IFERROR(AB128/N128,"-")</f>
        <v>1.1241830065359477</v>
      </c>
      <c r="AS128" s="4" t="str">
        <f t="shared" si="11"/>
        <v>-</v>
      </c>
      <c r="AT128" s="4"/>
      <c r="AU128" s="4" t="str">
        <f t="shared" si="12"/>
        <v>-</v>
      </c>
      <c r="AV128" s="4" t="str">
        <f t="shared" si="13"/>
        <v>-</v>
      </c>
      <c r="AW128" s="4" t="str">
        <f t="shared" si="14"/>
        <v>-</v>
      </c>
      <c r="AX128" s="4" t="str">
        <f t="shared" si="15"/>
        <v>-</v>
      </c>
      <c r="AY128" s="4" t="str">
        <f t="shared" si="16"/>
        <v>-</v>
      </c>
      <c r="AZ128" s="4" t="str">
        <f t="shared" si="17"/>
        <v>-</v>
      </c>
      <c r="BA128" s="4" t="str">
        <f t="shared" si="18"/>
        <v>-</v>
      </c>
      <c r="BB128" s="4" t="str">
        <f t="shared" si="19"/>
        <v>-</v>
      </c>
      <c r="BC128" s="4" t="s">
        <v>405</v>
      </c>
      <c r="BD128" s="4" t="s">
        <v>645</v>
      </c>
      <c r="BE128" s="4"/>
      <c r="BF128" s="4"/>
      <c r="BG128" s="4" t="s">
        <v>563</v>
      </c>
      <c r="BH128" s="4">
        <v>550</v>
      </c>
      <c r="BI128" s="4">
        <f>IF(BE128="",BH128,BE128/BF128*BH128)</f>
        <v>550</v>
      </c>
      <c r="BJ128" s="19">
        <v>4</v>
      </c>
      <c r="BK128" s="19">
        <v>1</v>
      </c>
      <c r="BL128" s="16">
        <v>3</v>
      </c>
      <c r="BM128">
        <v>246</v>
      </c>
      <c r="BN128">
        <f t="shared" si="20"/>
        <v>276.54901960784315</v>
      </c>
      <c r="BO128">
        <v>437</v>
      </c>
      <c r="BP128">
        <f t="shared" si="21"/>
        <v>491.26797385620915</v>
      </c>
      <c r="BQ128" t="s">
        <v>494</v>
      </c>
    </row>
    <row r="129" spans="1:69" x14ac:dyDescent="0.4">
      <c r="A129" s="3">
        <v>189</v>
      </c>
      <c r="B129" s="3">
        <v>14</v>
      </c>
      <c r="C129" s="46">
        <v>169464</v>
      </c>
      <c r="D129" s="4" t="str">
        <f>TEXT(C129,"000000")</f>
        <v>169464</v>
      </c>
      <c r="E129" s="4">
        <v>169474</v>
      </c>
      <c r="F129" s="4" t="s">
        <v>329</v>
      </c>
      <c r="G129" s="5">
        <v>4996297200130</v>
      </c>
      <c r="H129" s="5">
        <v>8</v>
      </c>
      <c r="I129" s="5" t="str">
        <f>C129&amp;H129</f>
        <v>1694648</v>
      </c>
      <c r="J129" s="5"/>
      <c r="K129" s="5"/>
      <c r="L129" s="4">
        <v>5000</v>
      </c>
      <c r="M129" s="4">
        <v>2080</v>
      </c>
      <c r="N129" s="4">
        <v>1530</v>
      </c>
      <c r="O129" s="6">
        <f>IFERROR(1-N129/M129,"-")</f>
        <v>0.26442307692307687</v>
      </c>
      <c r="P129" s="4" t="s">
        <v>422</v>
      </c>
      <c r="Q129" s="4" t="s">
        <v>422</v>
      </c>
      <c r="R129" s="4" t="s">
        <v>422</v>
      </c>
      <c r="S129" s="4" t="s">
        <v>422</v>
      </c>
      <c r="T129" s="4" t="s">
        <v>422</v>
      </c>
      <c r="U129" s="4" t="s">
        <v>422</v>
      </c>
      <c r="V129" s="4" t="s">
        <v>422</v>
      </c>
      <c r="W129" s="4" t="s">
        <v>422</v>
      </c>
      <c r="X129" s="4" t="s">
        <v>422</v>
      </c>
      <c r="Y129" s="4">
        <v>0</v>
      </c>
      <c r="Z129" s="4">
        <f>IF(AC129="",Y129,Y129*AC129)</f>
        <v>0</v>
      </c>
      <c r="AA129" s="4">
        <v>172</v>
      </c>
      <c r="AB129" s="4">
        <f>IF(AC129="",AA129,AA129*AC129)</f>
        <v>1720</v>
      </c>
      <c r="AC129" s="4">
        <v>10</v>
      </c>
      <c r="AD129" s="21">
        <f>ROUND(M129*AR129,0)</f>
        <v>2338</v>
      </c>
      <c r="AE129" s="6">
        <f>IFERROR(1-AB129/AD129,"-")</f>
        <v>0.26432848588537217</v>
      </c>
      <c r="AF129" s="33">
        <v>146</v>
      </c>
      <c r="AG129" s="4">
        <f>BI129</f>
        <v>5006</v>
      </c>
      <c r="AH129" s="33">
        <f>IFERROR(AG129*AR129,"-")</f>
        <v>5627.660130718954</v>
      </c>
      <c r="AI129" s="6">
        <f>IFERROR(1-AB129/AH129,"-")</f>
        <v>0.69436675988813423</v>
      </c>
      <c r="AJ129" s="7">
        <v>2750</v>
      </c>
      <c r="AK129" s="6">
        <f>1-AB129/AJ129</f>
        <v>0.37454545454545451</v>
      </c>
      <c r="AL129" s="4">
        <f>AJ129-AB129</f>
        <v>1030</v>
      </c>
      <c r="AM129" s="28"/>
      <c r="AN129" s="6"/>
      <c r="AO129" s="6"/>
      <c r="AP129" s="6">
        <f>IFERROR(Z129/L129,"-")</f>
        <v>0</v>
      </c>
      <c r="AQ129" s="6">
        <f>IFERROR(AJ129/M129,"-")</f>
        <v>1.3221153846153846</v>
      </c>
      <c r="AR129" s="6">
        <f>IFERROR(AB129/N129,"-")</f>
        <v>1.1241830065359477</v>
      </c>
      <c r="AS129" s="4" t="str">
        <f t="shared" si="11"/>
        <v>-</v>
      </c>
      <c r="AT129" s="4"/>
      <c r="AU129" s="4" t="str">
        <f t="shared" si="12"/>
        <v>-</v>
      </c>
      <c r="AV129" s="4" t="str">
        <f t="shared" si="13"/>
        <v>-</v>
      </c>
      <c r="AW129" s="4" t="str">
        <f t="shared" si="14"/>
        <v>-</v>
      </c>
      <c r="AX129" s="4" t="str">
        <f t="shared" si="15"/>
        <v>-</v>
      </c>
      <c r="AY129" s="4" t="str">
        <f t="shared" si="16"/>
        <v>-</v>
      </c>
      <c r="AZ129" s="4" t="str">
        <f t="shared" si="17"/>
        <v>-</v>
      </c>
      <c r="BA129" s="4" t="str">
        <f t="shared" si="18"/>
        <v>-</v>
      </c>
      <c r="BB129" s="4" t="str">
        <f t="shared" si="19"/>
        <v>-</v>
      </c>
      <c r="BC129" s="4" t="s">
        <v>405</v>
      </c>
      <c r="BD129" s="4" t="s">
        <v>646</v>
      </c>
      <c r="BE129" s="4"/>
      <c r="BF129" s="4"/>
      <c r="BG129" s="4" t="s">
        <v>642</v>
      </c>
      <c r="BH129" s="4">
        <v>5006</v>
      </c>
      <c r="BI129" s="4">
        <f>IF(BE129="",BH129,BE129/BF129*BH129)</f>
        <v>5006</v>
      </c>
      <c r="BJ129" s="19">
        <v>4</v>
      </c>
      <c r="BK129" s="19">
        <v>1</v>
      </c>
      <c r="BL129" s="16">
        <v>3</v>
      </c>
      <c r="BM129">
        <v>246</v>
      </c>
      <c r="BN129">
        <f t="shared" si="20"/>
        <v>276.54901960784315</v>
      </c>
      <c r="BO129">
        <v>437</v>
      </c>
      <c r="BP129">
        <f t="shared" si="21"/>
        <v>491.26797385620915</v>
      </c>
      <c r="BQ129" t="s">
        <v>495</v>
      </c>
    </row>
    <row r="130" spans="1:69" x14ac:dyDescent="0.4">
      <c r="A130" s="3">
        <v>13</v>
      </c>
      <c r="B130" s="3">
        <v>13</v>
      </c>
      <c r="C130" s="46">
        <v>169465</v>
      </c>
      <c r="D130" s="4" t="str">
        <f>TEXT(C130,"000000")</f>
        <v>169465</v>
      </c>
      <c r="E130" s="4">
        <v>169465</v>
      </c>
      <c r="F130" s="4" t="s">
        <v>128</v>
      </c>
      <c r="G130" s="5">
        <v>4996297200123</v>
      </c>
      <c r="H130" s="5"/>
      <c r="I130" s="5"/>
      <c r="J130" s="5">
        <v>2</v>
      </c>
      <c r="K130" s="5">
        <v>2</v>
      </c>
      <c r="L130" s="4">
        <v>500</v>
      </c>
      <c r="M130" s="4">
        <v>228</v>
      </c>
      <c r="N130" s="4">
        <v>153</v>
      </c>
      <c r="O130" s="6">
        <f>IFERROR(1-N130/M130,"-")</f>
        <v>0.32894736842105265</v>
      </c>
      <c r="P130" s="4" t="s">
        <v>422</v>
      </c>
      <c r="Q130" s="4" t="s">
        <v>422</v>
      </c>
      <c r="R130" s="4" t="s">
        <v>422</v>
      </c>
      <c r="S130" s="4" t="s">
        <v>422</v>
      </c>
      <c r="T130" s="4" t="s">
        <v>422</v>
      </c>
      <c r="U130" s="4" t="s">
        <v>422</v>
      </c>
      <c r="V130" s="4" t="s">
        <v>422</v>
      </c>
      <c r="W130" s="4" t="s">
        <v>422</v>
      </c>
      <c r="X130" s="4" t="s">
        <v>422</v>
      </c>
      <c r="Y130" s="4">
        <v>0</v>
      </c>
      <c r="Z130" s="4">
        <f>IF(AC130="",Y130,Y130*AC130)</f>
        <v>0</v>
      </c>
      <c r="AA130" s="4">
        <v>172</v>
      </c>
      <c r="AB130" s="4">
        <f>IF(AC130="",AA130,AA130*AC130)</f>
        <v>172</v>
      </c>
      <c r="AC130" s="4"/>
      <c r="AD130" s="21">
        <f>ROUND(M130*AR130,0)</f>
        <v>256</v>
      </c>
      <c r="AE130" s="6">
        <f>IFERROR(1-AB130/AD130,"-")</f>
        <v>0.328125</v>
      </c>
      <c r="AF130" s="33">
        <v>386</v>
      </c>
      <c r="AG130" s="4">
        <f>BI130</f>
        <v>526</v>
      </c>
      <c r="AH130" s="33">
        <f>IFERROR(AG130*AR130,"-")</f>
        <v>591.32026143790847</v>
      </c>
      <c r="AI130" s="6">
        <f>IFERROR(1-AB130/AH130,"-")</f>
        <v>0.70912547528517111</v>
      </c>
      <c r="AJ130" s="7">
        <v>300</v>
      </c>
      <c r="AK130" s="6">
        <f>1-AB130/AJ130</f>
        <v>0.42666666666666664</v>
      </c>
      <c r="AL130" s="4">
        <f>AJ130-AB130</f>
        <v>128</v>
      </c>
      <c r="AM130" s="28"/>
      <c r="AN130" s="6"/>
      <c r="AO130" s="6"/>
      <c r="AP130" s="6">
        <f>IFERROR(Z130/L130,"-")</f>
        <v>0</v>
      </c>
      <c r="AQ130" s="6">
        <f>IFERROR(AJ130/M130,"-")</f>
        <v>1.3157894736842106</v>
      </c>
      <c r="AR130" s="6">
        <f>IFERROR(AB130/N130,"-")</f>
        <v>1.1241830065359477</v>
      </c>
      <c r="AS130" s="4" t="str">
        <f t="shared" si="11"/>
        <v>-</v>
      </c>
      <c r="AT130" s="4"/>
      <c r="AU130" s="4" t="str">
        <f t="shared" si="12"/>
        <v>-</v>
      </c>
      <c r="AV130" s="4" t="str">
        <f t="shared" si="13"/>
        <v>-</v>
      </c>
      <c r="AW130" s="4" t="str">
        <f t="shared" si="14"/>
        <v>-</v>
      </c>
      <c r="AX130" s="4" t="str">
        <f t="shared" si="15"/>
        <v>-</v>
      </c>
      <c r="AY130" s="4" t="str">
        <f t="shared" si="16"/>
        <v>-</v>
      </c>
      <c r="AZ130" s="4" t="str">
        <f t="shared" si="17"/>
        <v>-</v>
      </c>
      <c r="BA130" s="4" t="str">
        <f t="shared" si="18"/>
        <v>-</v>
      </c>
      <c r="BB130" s="4" t="str">
        <f t="shared" si="19"/>
        <v>-</v>
      </c>
      <c r="BC130" s="4" t="s">
        <v>405</v>
      </c>
      <c r="BD130" s="4" t="s">
        <v>647</v>
      </c>
      <c r="BE130" s="4"/>
      <c r="BF130" s="4"/>
      <c r="BG130" s="4" t="s">
        <v>563</v>
      </c>
      <c r="BH130" s="4">
        <v>526</v>
      </c>
      <c r="BI130" s="4">
        <f>IF(BE130="",BH130,BE130/BF130*BH130)</f>
        <v>526</v>
      </c>
      <c r="BJ130" s="19">
        <v>4</v>
      </c>
      <c r="BK130" s="19">
        <v>1</v>
      </c>
      <c r="BL130" s="16">
        <v>3</v>
      </c>
      <c r="BM130">
        <v>246</v>
      </c>
      <c r="BN130">
        <f t="shared" si="20"/>
        <v>276.54901960784315</v>
      </c>
      <c r="BO130">
        <v>437</v>
      </c>
      <c r="BP130">
        <f t="shared" si="21"/>
        <v>491.26797385620915</v>
      </c>
      <c r="BQ130" t="s">
        <v>496</v>
      </c>
    </row>
    <row r="131" spans="1:69" x14ac:dyDescent="0.4">
      <c r="A131" s="3">
        <v>188</v>
      </c>
      <c r="B131" s="3">
        <v>13</v>
      </c>
      <c r="C131" s="46">
        <v>169465</v>
      </c>
      <c r="D131" s="4" t="str">
        <f>TEXT(C131,"000000")</f>
        <v>169465</v>
      </c>
      <c r="E131" s="4">
        <v>169475</v>
      </c>
      <c r="F131" s="4" t="s">
        <v>328</v>
      </c>
      <c r="G131" s="5">
        <v>4996297200123</v>
      </c>
      <c r="H131" s="5">
        <v>8</v>
      </c>
      <c r="I131" s="5" t="str">
        <f>C131&amp;H131</f>
        <v>1694658</v>
      </c>
      <c r="J131" s="5"/>
      <c r="K131" s="5"/>
      <c r="L131" s="4">
        <v>5000</v>
      </c>
      <c r="M131" s="4">
        <v>2080</v>
      </c>
      <c r="N131" s="4">
        <v>1530</v>
      </c>
      <c r="O131" s="6">
        <f>IFERROR(1-N131/M131,"-")</f>
        <v>0.26442307692307687</v>
      </c>
      <c r="P131" s="4" t="s">
        <v>422</v>
      </c>
      <c r="Q131" s="4" t="s">
        <v>422</v>
      </c>
      <c r="R131" s="4" t="s">
        <v>422</v>
      </c>
      <c r="S131" s="4" t="s">
        <v>422</v>
      </c>
      <c r="T131" s="4" t="s">
        <v>422</v>
      </c>
      <c r="U131" s="4" t="s">
        <v>422</v>
      </c>
      <c r="V131" s="4" t="s">
        <v>422</v>
      </c>
      <c r="W131" s="4" t="s">
        <v>422</v>
      </c>
      <c r="X131" s="4" t="s">
        <v>422</v>
      </c>
      <c r="Y131" s="4">
        <v>0</v>
      </c>
      <c r="Z131" s="4">
        <f>IF(AC131="",Y131,Y131*AC131)</f>
        <v>0</v>
      </c>
      <c r="AA131" s="4">
        <v>172</v>
      </c>
      <c r="AB131" s="4">
        <f>IF(AC131="",AA131,AA131*AC131)</f>
        <v>1720</v>
      </c>
      <c r="AC131" s="4">
        <v>10</v>
      </c>
      <c r="AD131" s="21">
        <f>ROUND(M131*AR131,0)</f>
        <v>2338</v>
      </c>
      <c r="AE131" s="6">
        <f>IFERROR(1-AB131/AD131,"-")</f>
        <v>0.26432848588537217</v>
      </c>
      <c r="AF131" s="33">
        <v>386</v>
      </c>
      <c r="AG131" s="4">
        <f>BI131</f>
        <v>4887</v>
      </c>
      <c r="AH131" s="33">
        <f>IFERROR(AG131*AR131,"-")</f>
        <v>5493.8823529411766</v>
      </c>
      <c r="AI131" s="6">
        <f>IFERROR(1-AB131/AH131,"-")</f>
        <v>0.68692449355432783</v>
      </c>
      <c r="AJ131" s="7">
        <v>2750</v>
      </c>
      <c r="AK131" s="6">
        <f>1-AB131/AJ131</f>
        <v>0.37454545454545451</v>
      </c>
      <c r="AL131" s="4">
        <f>AJ131-AB131</f>
        <v>1030</v>
      </c>
      <c r="AM131" s="28"/>
      <c r="AN131" s="6"/>
      <c r="AO131" s="6"/>
      <c r="AP131" s="6">
        <f>IFERROR(Z131/L131,"-")</f>
        <v>0</v>
      </c>
      <c r="AQ131" s="6">
        <f>IFERROR(AJ131/M131,"-")</f>
        <v>1.3221153846153846</v>
      </c>
      <c r="AR131" s="6">
        <f>IFERROR(AB131/N131,"-")</f>
        <v>1.1241830065359477</v>
      </c>
      <c r="AS131" s="4" t="str">
        <f t="shared" si="11"/>
        <v>-</v>
      </c>
      <c r="AT131" s="4"/>
      <c r="AU131" s="4" t="str">
        <f t="shared" si="12"/>
        <v>-</v>
      </c>
      <c r="AV131" s="4" t="str">
        <f t="shared" si="13"/>
        <v>-</v>
      </c>
      <c r="AW131" s="4" t="str">
        <f t="shared" si="14"/>
        <v>-</v>
      </c>
      <c r="AX131" s="4" t="str">
        <f t="shared" si="15"/>
        <v>-</v>
      </c>
      <c r="AY131" s="4" t="str">
        <f t="shared" si="16"/>
        <v>-</v>
      </c>
      <c r="AZ131" s="4" t="str">
        <f t="shared" si="17"/>
        <v>-</v>
      </c>
      <c r="BA131" s="4" t="str">
        <f t="shared" si="18"/>
        <v>-</v>
      </c>
      <c r="BB131" s="4" t="str">
        <f t="shared" si="19"/>
        <v>-</v>
      </c>
      <c r="BC131" s="4" t="s">
        <v>405</v>
      </c>
      <c r="BD131" s="4" t="s">
        <v>648</v>
      </c>
      <c r="BE131" s="4"/>
      <c r="BF131" s="4"/>
      <c r="BG131" s="4" t="s">
        <v>642</v>
      </c>
      <c r="BH131" s="4">
        <v>4887</v>
      </c>
      <c r="BI131" s="4">
        <f>IF(BE131="",BH131,BE131/BF131*BH131)</f>
        <v>4887</v>
      </c>
      <c r="BJ131" s="19">
        <v>4</v>
      </c>
      <c r="BK131" s="19">
        <v>1</v>
      </c>
      <c r="BL131" s="16">
        <v>3</v>
      </c>
      <c r="BM131">
        <v>246</v>
      </c>
      <c r="BN131">
        <f t="shared" si="20"/>
        <v>276.54901960784315</v>
      </c>
      <c r="BO131">
        <v>437</v>
      </c>
      <c r="BP131">
        <f t="shared" si="21"/>
        <v>491.26797385620915</v>
      </c>
      <c r="BQ131" t="s">
        <v>497</v>
      </c>
    </row>
    <row r="132" spans="1:69" x14ac:dyDescent="0.4">
      <c r="A132" s="3">
        <v>15</v>
      </c>
      <c r="B132" s="3">
        <v>15</v>
      </c>
      <c r="C132" s="46">
        <v>169466</v>
      </c>
      <c r="D132" s="4" t="str">
        <f>TEXT(C132,"000000")</f>
        <v>169466</v>
      </c>
      <c r="E132" s="4">
        <v>169466</v>
      </c>
      <c r="F132" s="4" t="s">
        <v>130</v>
      </c>
      <c r="G132" s="5">
        <v>4996297200154</v>
      </c>
      <c r="H132" s="5"/>
      <c r="I132" s="5"/>
      <c r="J132" s="5">
        <v>2</v>
      </c>
      <c r="K132" s="5">
        <v>2</v>
      </c>
      <c r="L132" s="4">
        <v>500</v>
      </c>
      <c r="M132" s="4">
        <v>228</v>
      </c>
      <c r="N132" s="4">
        <v>153</v>
      </c>
      <c r="O132" s="6">
        <f>IFERROR(1-N132/M132,"-")</f>
        <v>0.32894736842105265</v>
      </c>
      <c r="P132" s="4" t="s">
        <v>422</v>
      </c>
      <c r="Q132" s="4" t="s">
        <v>422</v>
      </c>
      <c r="R132" s="4" t="s">
        <v>422</v>
      </c>
      <c r="S132" s="4" t="s">
        <v>422</v>
      </c>
      <c r="T132" s="4" t="s">
        <v>422</v>
      </c>
      <c r="U132" s="4" t="s">
        <v>422</v>
      </c>
      <c r="V132" s="4" t="s">
        <v>422</v>
      </c>
      <c r="W132" s="4" t="s">
        <v>422</v>
      </c>
      <c r="X132" s="4" t="s">
        <v>422</v>
      </c>
      <c r="Y132" s="4">
        <v>0</v>
      </c>
      <c r="Z132" s="4">
        <f>IF(AC132="",Y132,Y132*AC132)</f>
        <v>0</v>
      </c>
      <c r="AA132" s="4">
        <v>172</v>
      </c>
      <c r="AB132" s="4">
        <f>IF(AC132="",AA132,AA132*AC132)</f>
        <v>172</v>
      </c>
      <c r="AC132" s="4"/>
      <c r="AD132" s="21">
        <f>ROUND(M132*AR132,0)</f>
        <v>256</v>
      </c>
      <c r="AE132" s="6">
        <f>IFERROR(1-AB132/AD132,"-")</f>
        <v>0.328125</v>
      </c>
      <c r="AF132" s="33">
        <v>89.25</v>
      </c>
      <c r="AG132" s="4">
        <f>BI132</f>
        <v>550</v>
      </c>
      <c r="AH132" s="33">
        <f>IFERROR(AG132*AR132,"-")</f>
        <v>618.30065359477123</v>
      </c>
      <c r="AI132" s="6">
        <f>IFERROR(1-AB132/AH132,"-")</f>
        <v>0.7218181818181818</v>
      </c>
      <c r="AJ132" s="7">
        <v>300</v>
      </c>
      <c r="AK132" s="6">
        <f>1-AB132/AJ132</f>
        <v>0.42666666666666664</v>
      </c>
      <c r="AL132" s="4">
        <f>AJ132-AB132</f>
        <v>128</v>
      </c>
      <c r="AM132" s="28"/>
      <c r="AN132" s="6"/>
      <c r="AO132" s="6"/>
      <c r="AP132" s="6">
        <f>IFERROR(Z132/L132,"-")</f>
        <v>0</v>
      </c>
      <c r="AQ132" s="6">
        <f>IFERROR(AJ132/M132,"-")</f>
        <v>1.3157894736842106</v>
      </c>
      <c r="AR132" s="6">
        <f>IFERROR(AB132/N132,"-")</f>
        <v>1.1241830065359477</v>
      </c>
      <c r="AS132" s="4" t="str">
        <f t="shared" si="11"/>
        <v>-</v>
      </c>
      <c r="AT132" s="4"/>
      <c r="AU132" s="4" t="str">
        <f t="shared" si="12"/>
        <v>-</v>
      </c>
      <c r="AV132" s="4" t="str">
        <f t="shared" si="13"/>
        <v>-</v>
      </c>
      <c r="AW132" s="4" t="str">
        <f t="shared" si="14"/>
        <v>-</v>
      </c>
      <c r="AX132" s="4" t="str">
        <f t="shared" si="15"/>
        <v>-</v>
      </c>
      <c r="AY132" s="4" t="str">
        <f t="shared" si="16"/>
        <v>-</v>
      </c>
      <c r="AZ132" s="4" t="str">
        <f t="shared" si="17"/>
        <v>-</v>
      </c>
      <c r="BA132" s="4" t="str">
        <f t="shared" si="18"/>
        <v>-</v>
      </c>
      <c r="BB132" s="4" t="str">
        <f t="shared" si="19"/>
        <v>-</v>
      </c>
      <c r="BC132" s="4" t="s">
        <v>405</v>
      </c>
      <c r="BD132" s="4" t="s">
        <v>649</v>
      </c>
      <c r="BE132" s="4"/>
      <c r="BF132" s="4"/>
      <c r="BG132" s="4" t="s">
        <v>563</v>
      </c>
      <c r="BH132" s="4">
        <v>550</v>
      </c>
      <c r="BI132" s="4">
        <f>IF(BE132="",BH132,BE132/BF132*BH132)</f>
        <v>550</v>
      </c>
      <c r="BJ132" s="19">
        <v>4</v>
      </c>
      <c r="BK132" s="19">
        <v>1</v>
      </c>
      <c r="BL132" s="16">
        <v>3</v>
      </c>
      <c r="BM132">
        <v>246</v>
      </c>
      <c r="BN132">
        <f t="shared" si="20"/>
        <v>276.54901960784315</v>
      </c>
      <c r="BO132">
        <v>437</v>
      </c>
      <c r="BP132">
        <f t="shared" si="21"/>
        <v>491.26797385620915</v>
      </c>
      <c r="BQ132" t="s">
        <v>498</v>
      </c>
    </row>
    <row r="133" spans="1:69" x14ac:dyDescent="0.4">
      <c r="A133" s="3">
        <v>190</v>
      </c>
      <c r="B133" s="3">
        <v>15</v>
      </c>
      <c r="C133" s="46">
        <v>169466</v>
      </c>
      <c r="D133" s="4" t="str">
        <f>TEXT(C133,"000000")</f>
        <v>169466</v>
      </c>
      <c r="E133" s="4">
        <v>169476</v>
      </c>
      <c r="F133" s="4" t="s">
        <v>330</v>
      </c>
      <c r="G133" s="5">
        <v>4996297200154</v>
      </c>
      <c r="H133" s="5">
        <v>8</v>
      </c>
      <c r="I133" s="5" t="str">
        <f>C133&amp;H133</f>
        <v>1694668</v>
      </c>
      <c r="J133" s="5"/>
      <c r="K133" s="5"/>
      <c r="L133" s="4">
        <v>5000</v>
      </c>
      <c r="M133" s="4">
        <v>2080</v>
      </c>
      <c r="N133" s="4">
        <v>1530</v>
      </c>
      <c r="O133" s="6">
        <f>IFERROR(1-N133/M133,"-")</f>
        <v>0.26442307692307687</v>
      </c>
      <c r="P133" s="4" t="s">
        <v>422</v>
      </c>
      <c r="Q133" s="4" t="s">
        <v>422</v>
      </c>
      <c r="R133" s="4" t="s">
        <v>422</v>
      </c>
      <c r="S133" s="4" t="s">
        <v>422</v>
      </c>
      <c r="T133" s="4" t="s">
        <v>422</v>
      </c>
      <c r="U133" s="4" t="s">
        <v>422</v>
      </c>
      <c r="V133" s="4" t="s">
        <v>422</v>
      </c>
      <c r="W133" s="4" t="s">
        <v>422</v>
      </c>
      <c r="X133" s="4" t="s">
        <v>422</v>
      </c>
      <c r="Y133" s="4">
        <v>0</v>
      </c>
      <c r="Z133" s="4">
        <f>IF(AC133="",Y133,Y133*AC133)</f>
        <v>0</v>
      </c>
      <c r="AA133" s="4">
        <v>172</v>
      </c>
      <c r="AB133" s="4">
        <f>IF(AC133="",AA133,AA133*AC133)</f>
        <v>1720</v>
      </c>
      <c r="AC133" s="4">
        <v>10</v>
      </c>
      <c r="AD133" s="21">
        <f>ROUND(M133*AR133,0)</f>
        <v>2338</v>
      </c>
      <c r="AE133" s="6">
        <f>IFERROR(1-AB133/AD133,"-")</f>
        <v>0.26432848588537217</v>
      </c>
      <c r="AF133" s="33">
        <v>89.25</v>
      </c>
      <c r="AG133" s="4">
        <f>BI133</f>
        <v>5002</v>
      </c>
      <c r="AH133" s="33">
        <f>IFERROR(AG133*AR133,"-")</f>
        <v>5623.1633986928109</v>
      </c>
      <c r="AI133" s="6">
        <f>IFERROR(1-AB133/AH133,"-")</f>
        <v>0.6941223510595762</v>
      </c>
      <c r="AJ133" s="7">
        <v>2750</v>
      </c>
      <c r="AK133" s="6">
        <f>1-AB133/AJ133</f>
        <v>0.37454545454545451</v>
      </c>
      <c r="AL133" s="4">
        <f>AJ133-AB133</f>
        <v>1030</v>
      </c>
      <c r="AM133" s="28"/>
      <c r="AN133" s="6"/>
      <c r="AO133" s="6"/>
      <c r="AP133" s="6">
        <f>IFERROR(Z133/L133,"-")</f>
        <v>0</v>
      </c>
      <c r="AQ133" s="6">
        <f>IFERROR(AJ133/M133,"-")</f>
        <v>1.3221153846153846</v>
      </c>
      <c r="AR133" s="6">
        <f>IFERROR(AB133/N133,"-")</f>
        <v>1.1241830065359477</v>
      </c>
      <c r="AS133" s="4" t="str">
        <f t="shared" ref="AS133:AS196" si="22">IFERROR(ROUND($AJ133*P133/$M133,0),"-")</f>
        <v>-</v>
      </c>
      <c r="AT133" s="4"/>
      <c r="AU133" s="4" t="str">
        <f t="shared" ref="AU133:AU196" si="23">IF(Q133="","-",Q133)</f>
        <v>-</v>
      </c>
      <c r="AV133" s="4" t="str">
        <f t="shared" ref="AV133:AV196" si="24">IF(R133="","-",R133)</f>
        <v>-</v>
      </c>
      <c r="AW133" s="4" t="str">
        <f t="shared" ref="AW133:AW196" si="25">IFERROR(ROUND($AJ133*S133/$M133,0),"-")</f>
        <v>-</v>
      </c>
      <c r="AX133" s="4" t="str">
        <f t="shared" ref="AX133:AX196" si="26">IF(T133="","-",T133)</f>
        <v>-</v>
      </c>
      <c r="AY133" s="4" t="str">
        <f t="shared" ref="AY133:AY196" si="27">IF(U133="","-",U133)</f>
        <v>-</v>
      </c>
      <c r="AZ133" s="4" t="str">
        <f t="shared" ref="AZ133:AZ196" si="28">IFERROR(ROUND($AJ133*V133/$M133,0),"-")</f>
        <v>-</v>
      </c>
      <c r="BA133" s="4" t="str">
        <f t="shared" ref="BA133:BA196" si="29">IF(W133="","-",W133)</f>
        <v>-</v>
      </c>
      <c r="BB133" s="4" t="str">
        <f t="shared" ref="BB133:BB196" si="30">IF(X133="","-",X133)</f>
        <v>-</v>
      </c>
      <c r="BC133" s="4" t="s">
        <v>405</v>
      </c>
      <c r="BD133" s="4" t="s">
        <v>650</v>
      </c>
      <c r="BE133" s="4"/>
      <c r="BF133" s="4"/>
      <c r="BG133" s="4" t="s">
        <v>642</v>
      </c>
      <c r="BH133" s="4">
        <v>5002</v>
      </c>
      <c r="BI133" s="4">
        <f>IF(BE133="",BH133,BE133/BF133*BH133)</f>
        <v>5002</v>
      </c>
      <c r="BJ133" s="19">
        <v>4</v>
      </c>
      <c r="BK133" s="19">
        <v>1</v>
      </c>
      <c r="BL133" s="16">
        <v>3</v>
      </c>
      <c r="BM133">
        <v>246</v>
      </c>
      <c r="BN133">
        <f t="shared" ref="BN133:BN196" si="31">IFERROR(BM133*AR133,"-")</f>
        <v>276.54901960784315</v>
      </c>
      <c r="BO133">
        <v>437</v>
      </c>
      <c r="BP133">
        <f t="shared" ref="BP133:BP196" si="32">IFERROR(BO133*AR133,"-")</f>
        <v>491.26797385620915</v>
      </c>
      <c r="BQ133" t="s">
        <v>499</v>
      </c>
    </row>
    <row r="134" spans="1:69" x14ac:dyDescent="0.4">
      <c r="A134" s="3">
        <v>85</v>
      </c>
      <c r="B134" s="3">
        <v>85</v>
      </c>
      <c r="C134" s="46">
        <v>583760</v>
      </c>
      <c r="D134" s="4" t="str">
        <f>TEXT(C134,"000000")</f>
        <v>583760</v>
      </c>
      <c r="E134" s="4">
        <v>583760</v>
      </c>
      <c r="F134" s="4" t="s">
        <v>199</v>
      </c>
      <c r="G134" s="5">
        <v>4996297385929</v>
      </c>
      <c r="H134" s="5"/>
      <c r="I134" s="5"/>
      <c r="J134" s="5">
        <v>2</v>
      </c>
      <c r="K134" s="5">
        <v>2</v>
      </c>
      <c r="L134" s="4">
        <v>0</v>
      </c>
      <c r="M134" s="4">
        <v>276</v>
      </c>
      <c r="N134" s="4">
        <v>158</v>
      </c>
      <c r="O134" s="6">
        <f>IFERROR(1-N134/M134,"-")</f>
        <v>0.42753623188405798</v>
      </c>
      <c r="P134" s="4" t="s">
        <v>422</v>
      </c>
      <c r="Q134" s="4" t="s">
        <v>422</v>
      </c>
      <c r="R134" s="4" t="s">
        <v>422</v>
      </c>
      <c r="S134" s="4" t="s">
        <v>422</v>
      </c>
      <c r="T134" s="4" t="s">
        <v>422</v>
      </c>
      <c r="U134" s="4" t="s">
        <v>422</v>
      </c>
      <c r="V134" s="4" t="s">
        <v>422</v>
      </c>
      <c r="W134" s="4" t="s">
        <v>422</v>
      </c>
      <c r="X134" s="4" t="s">
        <v>422</v>
      </c>
      <c r="Y134" s="4">
        <v>0</v>
      </c>
      <c r="Z134" s="4">
        <f>IF(AC134="",Y134,Y134*AC134)</f>
        <v>0</v>
      </c>
      <c r="AA134" s="4">
        <v>182</v>
      </c>
      <c r="AB134" s="4">
        <f>IF(AC134="",AA134,AA134*AC134)</f>
        <v>182</v>
      </c>
      <c r="AC134" s="4"/>
      <c r="AD134" s="21">
        <f>ROUND(M134*AR134,0)</f>
        <v>318</v>
      </c>
      <c r="AE134" s="6">
        <f>IFERROR(1-AB134/AD134,"-")</f>
        <v>0.42767295597484278</v>
      </c>
      <c r="AF134" s="33">
        <v>12.5</v>
      </c>
      <c r="AG134" s="4">
        <f>BI134</f>
        <v>487</v>
      </c>
      <c r="AH134" s="33">
        <f>IFERROR(AG134*AR134,"-")</f>
        <v>560.97468354430373</v>
      </c>
      <c r="AI134" s="6">
        <f>IFERROR(1-AB134/AH134,"-")</f>
        <v>0.67556468172484596</v>
      </c>
      <c r="AJ134" s="7">
        <v>320</v>
      </c>
      <c r="AK134" s="6">
        <f>1-AB134/AJ134</f>
        <v>0.43125000000000002</v>
      </c>
      <c r="AL134" s="4">
        <f>AJ134-AB134</f>
        <v>138</v>
      </c>
      <c r="AM134" s="28"/>
      <c r="AN134" s="6"/>
      <c r="AO134" s="6"/>
      <c r="AP134" s="6" t="str">
        <f>IFERROR(Z134/L134,"-")</f>
        <v>-</v>
      </c>
      <c r="AQ134" s="6">
        <f>IFERROR(AJ134/M134,"-")</f>
        <v>1.1594202898550725</v>
      </c>
      <c r="AR134" s="6">
        <f>IFERROR(AB134/N134,"-")</f>
        <v>1.1518987341772151</v>
      </c>
      <c r="AS134" s="4" t="str">
        <f t="shared" si="22"/>
        <v>-</v>
      </c>
      <c r="AT134" s="4"/>
      <c r="AU134" s="4" t="str">
        <f t="shared" si="23"/>
        <v>-</v>
      </c>
      <c r="AV134" s="4" t="str">
        <f t="shared" si="24"/>
        <v>-</v>
      </c>
      <c r="AW134" s="4" t="str">
        <f t="shared" si="25"/>
        <v>-</v>
      </c>
      <c r="AX134" s="4" t="str">
        <f t="shared" si="26"/>
        <v>-</v>
      </c>
      <c r="AY134" s="4" t="str">
        <f t="shared" si="27"/>
        <v>-</v>
      </c>
      <c r="AZ134" s="4" t="str">
        <f t="shared" si="28"/>
        <v>-</v>
      </c>
      <c r="BA134" s="4" t="str">
        <f t="shared" si="29"/>
        <v>-</v>
      </c>
      <c r="BB134" s="4" t="str">
        <f t="shared" si="30"/>
        <v>-</v>
      </c>
      <c r="BC134" s="4" t="s">
        <v>415</v>
      </c>
      <c r="BD134" s="4" t="s">
        <v>651</v>
      </c>
      <c r="BE134" s="4"/>
      <c r="BF134" s="4"/>
      <c r="BG134" s="4" t="s">
        <v>639</v>
      </c>
      <c r="BH134" s="4">
        <v>487</v>
      </c>
      <c r="BI134" s="4">
        <f>IF(BE134="",BH134,BE134/BF134*BH134)</f>
        <v>487</v>
      </c>
      <c r="BJ134" s="19">
        <v>4</v>
      </c>
      <c r="BK134" s="19">
        <v>1</v>
      </c>
      <c r="BL134" s="16">
        <v>3</v>
      </c>
      <c r="BM134">
        <v>298</v>
      </c>
      <c r="BN134">
        <f t="shared" si="31"/>
        <v>343.2658227848101</v>
      </c>
      <c r="BO134">
        <v>418</v>
      </c>
      <c r="BP134">
        <f t="shared" si="32"/>
        <v>481.4936708860759</v>
      </c>
      <c r="BQ134" t="s">
        <v>500</v>
      </c>
    </row>
    <row r="135" spans="1:69" x14ac:dyDescent="0.4">
      <c r="A135" s="3">
        <v>215</v>
      </c>
      <c r="B135" s="3">
        <v>85</v>
      </c>
      <c r="C135" s="46">
        <v>583760</v>
      </c>
      <c r="D135" s="4" t="str">
        <f>TEXT(C135,"000000")</f>
        <v>583760</v>
      </c>
      <c r="E135" s="4">
        <v>583761</v>
      </c>
      <c r="F135" s="4" t="s">
        <v>355</v>
      </c>
      <c r="G135" s="5">
        <v>4996297385929</v>
      </c>
      <c r="H135" s="5">
        <v>8</v>
      </c>
      <c r="I135" s="5" t="str">
        <f>C135&amp;H135</f>
        <v>5837608</v>
      </c>
      <c r="J135" s="5"/>
      <c r="K135" s="5"/>
      <c r="L135" s="4">
        <v>0</v>
      </c>
      <c r="M135" s="4">
        <v>2643</v>
      </c>
      <c r="N135" s="4">
        <v>1580</v>
      </c>
      <c r="O135" s="6">
        <f>IFERROR(1-N135/M135,"-")</f>
        <v>0.40219447597427171</v>
      </c>
      <c r="P135" s="4" t="s">
        <v>422</v>
      </c>
      <c r="Q135" s="4" t="s">
        <v>422</v>
      </c>
      <c r="R135" s="4" t="s">
        <v>422</v>
      </c>
      <c r="S135" s="4" t="s">
        <v>422</v>
      </c>
      <c r="T135" s="4" t="s">
        <v>422</v>
      </c>
      <c r="U135" s="4" t="s">
        <v>422</v>
      </c>
      <c r="V135" s="4" t="s">
        <v>422</v>
      </c>
      <c r="W135" s="4" t="s">
        <v>422</v>
      </c>
      <c r="X135" s="4" t="s">
        <v>422</v>
      </c>
      <c r="Y135" s="4">
        <v>0</v>
      </c>
      <c r="Z135" s="4">
        <f>IF(AC135="",Y135,Y135*AC135)</f>
        <v>0</v>
      </c>
      <c r="AA135" s="4">
        <v>182</v>
      </c>
      <c r="AB135" s="4">
        <f>IF(AC135="",AA135,AA135*AC135)</f>
        <v>1820</v>
      </c>
      <c r="AC135" s="4">
        <v>10</v>
      </c>
      <c r="AD135" s="21">
        <f>ROUND(M135*AR135,0)</f>
        <v>3044</v>
      </c>
      <c r="AE135" s="6">
        <f>IFERROR(1-AB135/AD135,"-")</f>
        <v>0.40210249671484888</v>
      </c>
      <c r="AF135" s="33">
        <v>12.5</v>
      </c>
      <c r="AG135" s="4">
        <f>BI135</f>
        <v>4870</v>
      </c>
      <c r="AH135" s="33">
        <f>IFERROR(AG135*AR135,"-")</f>
        <v>5609.7468354430375</v>
      </c>
      <c r="AI135" s="6">
        <f>IFERROR(1-AB135/AH135,"-")</f>
        <v>0.67556468172484596</v>
      </c>
      <c r="AJ135" s="7">
        <v>3000</v>
      </c>
      <c r="AK135" s="6">
        <f>1-AB135/AJ135</f>
        <v>0.39333333333333331</v>
      </c>
      <c r="AL135" s="4">
        <f>AJ135-AB135</f>
        <v>1180</v>
      </c>
      <c r="AM135" s="28"/>
      <c r="AN135" s="6"/>
      <c r="AO135" s="6"/>
      <c r="AP135" s="6" t="str">
        <f>IFERROR(Z135/L135,"-")</f>
        <v>-</v>
      </c>
      <c r="AQ135" s="6">
        <f>IFERROR(AJ135/M135,"-")</f>
        <v>1.1350737797956867</v>
      </c>
      <c r="AR135" s="6">
        <f>IFERROR(AB135/N135,"-")</f>
        <v>1.1518987341772151</v>
      </c>
      <c r="AS135" s="4" t="str">
        <f t="shared" si="22"/>
        <v>-</v>
      </c>
      <c r="AT135" s="4"/>
      <c r="AU135" s="4" t="str">
        <f t="shared" si="23"/>
        <v>-</v>
      </c>
      <c r="AV135" s="4" t="str">
        <f t="shared" si="24"/>
        <v>-</v>
      </c>
      <c r="AW135" s="4" t="str">
        <f t="shared" si="25"/>
        <v>-</v>
      </c>
      <c r="AX135" s="4" t="str">
        <f t="shared" si="26"/>
        <v>-</v>
      </c>
      <c r="AY135" s="4" t="str">
        <f t="shared" si="27"/>
        <v>-</v>
      </c>
      <c r="AZ135" s="4" t="str">
        <f t="shared" si="28"/>
        <v>-</v>
      </c>
      <c r="BA135" s="4" t="str">
        <f t="shared" si="29"/>
        <v>-</v>
      </c>
      <c r="BB135" s="4" t="str">
        <f t="shared" si="30"/>
        <v>-</v>
      </c>
      <c r="BC135" s="4" t="s">
        <v>415</v>
      </c>
      <c r="BD135" s="4" t="s">
        <v>651</v>
      </c>
      <c r="BE135" s="4">
        <v>10</v>
      </c>
      <c r="BF135" s="4">
        <v>1</v>
      </c>
      <c r="BG135" s="4" t="s">
        <v>639</v>
      </c>
      <c r="BH135" s="4">
        <v>487</v>
      </c>
      <c r="BI135" s="4">
        <f>IF(BE135="",BH135,BE135/BF135*BH135)</f>
        <v>4870</v>
      </c>
      <c r="BJ135" s="19">
        <v>4</v>
      </c>
      <c r="BK135" s="19">
        <v>1</v>
      </c>
      <c r="BL135" s="16">
        <v>3</v>
      </c>
      <c r="BM135">
        <v>298</v>
      </c>
      <c r="BN135">
        <f t="shared" si="31"/>
        <v>343.2658227848101</v>
      </c>
      <c r="BO135">
        <v>418</v>
      </c>
      <c r="BP135">
        <f t="shared" si="32"/>
        <v>481.4936708860759</v>
      </c>
      <c r="BQ135" t="s">
        <v>500</v>
      </c>
    </row>
    <row r="136" spans="1:69" x14ac:dyDescent="0.4">
      <c r="A136" s="3">
        <v>32</v>
      </c>
      <c r="B136" s="3">
        <v>32</v>
      </c>
      <c r="C136" s="46">
        <v>190916</v>
      </c>
      <c r="D136" s="4" t="str">
        <f>TEXT(C136,"000000")</f>
        <v>190916</v>
      </c>
      <c r="E136" s="4">
        <v>190916</v>
      </c>
      <c r="F136" s="4" t="s">
        <v>147</v>
      </c>
      <c r="G136" s="5">
        <v>4996297301677</v>
      </c>
      <c r="H136" s="5"/>
      <c r="I136" s="5"/>
      <c r="J136" s="5">
        <v>2</v>
      </c>
      <c r="K136" s="5">
        <v>2</v>
      </c>
      <c r="L136" s="4">
        <v>0</v>
      </c>
      <c r="M136" s="4">
        <v>270</v>
      </c>
      <c r="N136" s="4">
        <v>171</v>
      </c>
      <c r="O136" s="6">
        <f>IFERROR(1-N136/M136,"-")</f>
        <v>0.3666666666666667</v>
      </c>
      <c r="P136" s="4" t="s">
        <v>422</v>
      </c>
      <c r="Q136" s="4" t="s">
        <v>422</v>
      </c>
      <c r="R136" s="4" t="s">
        <v>422</v>
      </c>
      <c r="S136" s="4" t="s">
        <v>422</v>
      </c>
      <c r="T136" s="4" t="s">
        <v>422</v>
      </c>
      <c r="U136" s="4" t="s">
        <v>422</v>
      </c>
      <c r="V136" s="4" t="s">
        <v>422</v>
      </c>
      <c r="W136" s="4" t="s">
        <v>422</v>
      </c>
      <c r="X136" s="4" t="s">
        <v>422</v>
      </c>
      <c r="Y136" s="4">
        <v>0</v>
      </c>
      <c r="Z136" s="4">
        <f>IF(AC136="",Y136,Y136*AC136)</f>
        <v>0</v>
      </c>
      <c r="AA136" s="4">
        <v>184</v>
      </c>
      <c r="AB136" s="4">
        <f>IF(AC136="",AA136,AA136*AC136)</f>
        <v>184</v>
      </c>
      <c r="AC136" s="4"/>
      <c r="AD136" s="21">
        <f>ROUND(M136*AR136,0)</f>
        <v>291</v>
      </c>
      <c r="AE136" s="6">
        <f>IFERROR(1-AB136/AD136,"-")</f>
        <v>0.36769759450171824</v>
      </c>
      <c r="AF136" s="33">
        <v>1</v>
      </c>
      <c r="AG136" s="4">
        <f>BI136</f>
        <v>453</v>
      </c>
      <c r="AH136" s="33">
        <f>IFERROR(AG136*AR136,"-")</f>
        <v>487.43859649122805</v>
      </c>
      <c r="AI136" s="6">
        <f>IFERROR(1-AB136/AH136,"-")</f>
        <v>0.6225165562913908</v>
      </c>
      <c r="AJ136" s="7">
        <v>320</v>
      </c>
      <c r="AK136" s="6">
        <f>1-AB136/AJ136</f>
        <v>0.42500000000000004</v>
      </c>
      <c r="AL136" s="4">
        <f>AJ136-AB136</f>
        <v>136</v>
      </c>
      <c r="AM136" s="28"/>
      <c r="AN136" s="6"/>
      <c r="AO136" s="6"/>
      <c r="AP136" s="6" t="str">
        <f>IFERROR(Z136/L136,"-")</f>
        <v>-</v>
      </c>
      <c r="AQ136" s="6">
        <f>IFERROR(AJ136/M136,"-")</f>
        <v>1.1851851851851851</v>
      </c>
      <c r="AR136" s="6">
        <f>IFERROR(AB136/N136,"-")</f>
        <v>1.0760233918128654</v>
      </c>
      <c r="AS136" s="4" t="str">
        <f t="shared" si="22"/>
        <v>-</v>
      </c>
      <c r="AT136" s="4"/>
      <c r="AU136" s="4" t="str">
        <f t="shared" si="23"/>
        <v>-</v>
      </c>
      <c r="AV136" s="4" t="str">
        <f t="shared" si="24"/>
        <v>-</v>
      </c>
      <c r="AW136" s="4" t="str">
        <f t="shared" si="25"/>
        <v>-</v>
      </c>
      <c r="AX136" s="4" t="str">
        <f t="shared" si="26"/>
        <v>-</v>
      </c>
      <c r="AY136" s="4" t="str">
        <f t="shared" si="27"/>
        <v>-</v>
      </c>
      <c r="AZ136" s="4" t="str">
        <f t="shared" si="28"/>
        <v>-</v>
      </c>
      <c r="BA136" s="4" t="str">
        <f t="shared" si="29"/>
        <v>-</v>
      </c>
      <c r="BB136" s="4" t="str">
        <f t="shared" si="30"/>
        <v>-</v>
      </c>
      <c r="BC136" s="4">
        <v>0</v>
      </c>
      <c r="BD136" s="4" t="s">
        <v>652</v>
      </c>
      <c r="BE136" s="4"/>
      <c r="BF136" s="4"/>
      <c r="BG136" s="4" t="s">
        <v>563</v>
      </c>
      <c r="BH136" s="4">
        <v>453</v>
      </c>
      <c r="BI136" s="4">
        <f>IF(BE136="",BH136,BE136/BF136*BH136)</f>
        <v>453</v>
      </c>
      <c r="BJ136" s="19">
        <v>4</v>
      </c>
      <c r="BK136" s="19">
        <v>1</v>
      </c>
      <c r="BL136" s="16">
        <v>3</v>
      </c>
      <c r="BM136" t="s">
        <v>422</v>
      </c>
      <c r="BN136" t="str">
        <f t="shared" si="31"/>
        <v>-</v>
      </c>
      <c r="BO136">
        <v>437</v>
      </c>
      <c r="BP136">
        <f t="shared" si="32"/>
        <v>470.22222222222217</v>
      </c>
      <c r="BQ136" t="s">
        <v>501</v>
      </c>
    </row>
    <row r="137" spans="1:69" x14ac:dyDescent="0.4">
      <c r="A137" s="3">
        <v>197</v>
      </c>
      <c r="B137" s="3">
        <v>32</v>
      </c>
      <c r="C137" s="46">
        <v>190916</v>
      </c>
      <c r="D137" s="4" t="str">
        <f>TEXT(C137,"000000")</f>
        <v>190916</v>
      </c>
      <c r="E137" s="4">
        <v>190917</v>
      </c>
      <c r="F137" s="4" t="s">
        <v>337</v>
      </c>
      <c r="G137" s="5">
        <v>4996297301677</v>
      </c>
      <c r="H137" s="5">
        <v>8</v>
      </c>
      <c r="I137" s="5" t="str">
        <f>C137&amp;H137</f>
        <v>1909168</v>
      </c>
      <c r="J137" s="5"/>
      <c r="K137" s="5"/>
      <c r="L137" s="4">
        <v>0</v>
      </c>
      <c r="M137" s="4">
        <v>2556</v>
      </c>
      <c r="N137" s="4">
        <v>1710</v>
      </c>
      <c r="O137" s="6">
        <f>IFERROR(1-N137/M137,"-")</f>
        <v>0.33098591549295775</v>
      </c>
      <c r="P137" s="4" t="s">
        <v>422</v>
      </c>
      <c r="Q137" s="4" t="s">
        <v>422</v>
      </c>
      <c r="R137" s="4" t="s">
        <v>422</v>
      </c>
      <c r="S137" s="4" t="s">
        <v>422</v>
      </c>
      <c r="T137" s="4" t="s">
        <v>422</v>
      </c>
      <c r="U137" s="4" t="s">
        <v>422</v>
      </c>
      <c r="V137" s="4" t="s">
        <v>422</v>
      </c>
      <c r="W137" s="4" t="s">
        <v>422</v>
      </c>
      <c r="X137" s="4" t="s">
        <v>422</v>
      </c>
      <c r="Y137" s="4">
        <v>0</v>
      </c>
      <c r="Z137" s="4">
        <f>IF(AC137="",Y137,Y137*AC137)</f>
        <v>0</v>
      </c>
      <c r="AA137" s="4">
        <v>184</v>
      </c>
      <c r="AB137" s="4">
        <f>IF(AC137="",AA137,AA137*AC137)</f>
        <v>1840</v>
      </c>
      <c r="AC137" s="4">
        <v>10</v>
      </c>
      <c r="AD137" s="21">
        <f>ROUND(M137*AR137,0)</f>
        <v>2750</v>
      </c>
      <c r="AE137" s="6">
        <f>IFERROR(1-AB137/AD137,"-")</f>
        <v>0.33090909090909093</v>
      </c>
      <c r="AF137" s="33">
        <v>1</v>
      </c>
      <c r="AG137" s="4">
        <f>BI137</f>
        <v>4530</v>
      </c>
      <c r="AH137" s="33">
        <f>IFERROR(AG137*AR137,"-")</f>
        <v>4874.3859649122805</v>
      </c>
      <c r="AI137" s="6">
        <f>IFERROR(1-AB137/AH137,"-")</f>
        <v>0.6225165562913908</v>
      </c>
      <c r="AJ137" s="7">
        <v>3000</v>
      </c>
      <c r="AK137" s="6">
        <f>1-AB137/AJ137</f>
        <v>0.38666666666666671</v>
      </c>
      <c r="AL137" s="4">
        <f>AJ137-AB137</f>
        <v>1160</v>
      </c>
      <c r="AM137" s="28"/>
      <c r="AN137" s="6"/>
      <c r="AO137" s="6"/>
      <c r="AP137" s="6" t="str">
        <f>IFERROR(Z137/L137,"-")</f>
        <v>-</v>
      </c>
      <c r="AQ137" s="6">
        <f>IFERROR(AJ137/M137,"-")</f>
        <v>1.1737089201877935</v>
      </c>
      <c r="AR137" s="6">
        <f>IFERROR(AB137/N137,"-")</f>
        <v>1.0760233918128654</v>
      </c>
      <c r="AS137" s="4" t="str">
        <f t="shared" si="22"/>
        <v>-</v>
      </c>
      <c r="AT137" s="4"/>
      <c r="AU137" s="4" t="str">
        <f t="shared" si="23"/>
        <v>-</v>
      </c>
      <c r="AV137" s="4" t="str">
        <f t="shared" si="24"/>
        <v>-</v>
      </c>
      <c r="AW137" s="4" t="str">
        <f t="shared" si="25"/>
        <v>-</v>
      </c>
      <c r="AX137" s="4" t="str">
        <f t="shared" si="26"/>
        <v>-</v>
      </c>
      <c r="AY137" s="4" t="str">
        <f t="shared" si="27"/>
        <v>-</v>
      </c>
      <c r="AZ137" s="4" t="str">
        <f t="shared" si="28"/>
        <v>-</v>
      </c>
      <c r="BA137" s="4" t="str">
        <f t="shared" si="29"/>
        <v>-</v>
      </c>
      <c r="BB137" s="4" t="str">
        <f t="shared" si="30"/>
        <v>-</v>
      </c>
      <c r="BC137" s="4">
        <v>0</v>
      </c>
      <c r="BD137" s="4" t="s">
        <v>652</v>
      </c>
      <c r="BE137" s="4">
        <v>10</v>
      </c>
      <c r="BF137" s="4">
        <v>1</v>
      </c>
      <c r="BG137" s="4" t="s">
        <v>563</v>
      </c>
      <c r="BH137" s="4">
        <v>453</v>
      </c>
      <c r="BI137" s="4">
        <f>IF(BE137="",BH137,BE137/BF137*BH137)</f>
        <v>4530</v>
      </c>
      <c r="BJ137" s="19">
        <v>4</v>
      </c>
      <c r="BK137" s="19">
        <v>1</v>
      </c>
      <c r="BL137" s="16">
        <v>3</v>
      </c>
      <c r="BM137" t="s">
        <v>422</v>
      </c>
      <c r="BN137" t="str">
        <f t="shared" si="31"/>
        <v>-</v>
      </c>
      <c r="BO137">
        <v>437</v>
      </c>
      <c r="BP137">
        <f t="shared" si="32"/>
        <v>470.22222222222217</v>
      </c>
      <c r="BQ137" t="s">
        <v>501</v>
      </c>
    </row>
    <row r="138" spans="1:69" x14ac:dyDescent="0.4">
      <c r="A138" s="3">
        <v>108</v>
      </c>
      <c r="B138" s="3">
        <v>108</v>
      </c>
      <c r="C138" s="4">
        <v>410599</v>
      </c>
      <c r="D138" s="4" t="str">
        <f>TEXT(C138,"000000")</f>
        <v>410599</v>
      </c>
      <c r="E138" s="4">
        <v>410599</v>
      </c>
      <c r="F138" s="4" t="s">
        <v>222</v>
      </c>
      <c r="G138" s="5">
        <v>4996297406129</v>
      </c>
      <c r="H138" s="5"/>
      <c r="I138" s="5"/>
      <c r="J138" s="5">
        <v>1</v>
      </c>
      <c r="K138" s="5">
        <v>1</v>
      </c>
      <c r="L138" s="4">
        <v>0</v>
      </c>
      <c r="M138" s="4">
        <v>16278</v>
      </c>
      <c r="N138" s="4">
        <v>6400</v>
      </c>
      <c r="O138" s="6">
        <f>IFERROR(1-N138/M138,"-")</f>
        <v>0.60683130605725522</v>
      </c>
      <c r="P138" s="4" t="s">
        <v>422</v>
      </c>
      <c r="Q138" s="4" t="s">
        <v>422</v>
      </c>
      <c r="R138" s="4" t="s">
        <v>422</v>
      </c>
      <c r="S138" s="4" t="s">
        <v>422</v>
      </c>
      <c r="T138" s="4" t="s">
        <v>422</v>
      </c>
      <c r="U138" s="4" t="s">
        <v>422</v>
      </c>
      <c r="V138" s="4" t="s">
        <v>422</v>
      </c>
      <c r="W138" s="4" t="s">
        <v>422</v>
      </c>
      <c r="X138" s="4" t="s">
        <v>422</v>
      </c>
      <c r="Y138" s="4">
        <v>0</v>
      </c>
      <c r="Z138" s="4">
        <f>IF(AC138="",Y138,Y138*AC138)</f>
        <v>0</v>
      </c>
      <c r="AA138" s="4">
        <v>184</v>
      </c>
      <c r="AB138" s="4">
        <f>IF(AC138="",AA138,AA138*AC138)</f>
        <v>7360</v>
      </c>
      <c r="AC138" s="4">
        <v>40</v>
      </c>
      <c r="AD138" s="21">
        <f>ROUND(M138*AR138,0)</f>
        <v>18720</v>
      </c>
      <c r="AE138" s="6">
        <f>IFERROR(1-AB138/AD138,"-")</f>
        <v>0.6068376068376069</v>
      </c>
      <c r="AF138" s="33">
        <v>0</v>
      </c>
      <c r="AG138" s="4" t="str">
        <f>BI138</f>
        <v>-</v>
      </c>
      <c r="AH138" s="33" t="str">
        <f>IFERROR(AG138*AR138,"-")</f>
        <v>-</v>
      </c>
      <c r="AI138" s="6" t="str">
        <f>IFERROR(1-AB138/AH138,"-")</f>
        <v>-</v>
      </c>
      <c r="AJ138" s="7">
        <v>16300</v>
      </c>
      <c r="AK138" s="6">
        <f>1-AB138/AJ138</f>
        <v>0.5484662576687116</v>
      </c>
      <c r="AL138" s="4">
        <f>AJ138-AB138</f>
        <v>8940</v>
      </c>
      <c r="AM138" s="28"/>
      <c r="AN138" s="6"/>
      <c r="AO138" s="6"/>
      <c r="AP138" s="6" t="str">
        <f>IFERROR(Z138/L138,"-")</f>
        <v>-</v>
      </c>
      <c r="AQ138" s="6">
        <f>IFERROR(AJ138/M138,"-")</f>
        <v>1.0013515173854282</v>
      </c>
      <c r="AR138" s="6">
        <f>IFERROR(AB138/N138,"-")</f>
        <v>1.1499999999999999</v>
      </c>
      <c r="AS138" s="4" t="str">
        <f t="shared" si="22"/>
        <v>-</v>
      </c>
      <c r="AT138" s="4"/>
      <c r="AU138" s="4" t="str">
        <f t="shared" si="23"/>
        <v>-</v>
      </c>
      <c r="AV138" s="4" t="str">
        <f t="shared" si="24"/>
        <v>-</v>
      </c>
      <c r="AW138" s="4" t="str">
        <f t="shared" si="25"/>
        <v>-</v>
      </c>
      <c r="AX138" s="4" t="str">
        <f t="shared" si="26"/>
        <v>-</v>
      </c>
      <c r="AY138" s="4" t="str">
        <f t="shared" si="27"/>
        <v>-</v>
      </c>
      <c r="AZ138" s="4" t="str">
        <f t="shared" si="28"/>
        <v>-</v>
      </c>
      <c r="BA138" s="4" t="str">
        <f t="shared" si="29"/>
        <v>-</v>
      </c>
      <c r="BB138" s="4" t="str">
        <f t="shared" si="30"/>
        <v>-</v>
      </c>
      <c r="BC138" s="4">
        <v>0</v>
      </c>
      <c r="BD138" s="4" t="s">
        <v>422</v>
      </c>
      <c r="BE138" s="4"/>
      <c r="BF138" s="4"/>
      <c r="BG138" s="4" t="s">
        <v>422</v>
      </c>
      <c r="BH138" s="4" t="s">
        <v>422</v>
      </c>
      <c r="BI138" s="4" t="str">
        <f>IF(BE138="",BH138,BE138/BF138*BH138)</f>
        <v>-</v>
      </c>
      <c r="BJ138" s="19">
        <v>8</v>
      </c>
      <c r="BK138" s="19">
        <v>8</v>
      </c>
      <c r="BL138" s="16">
        <v>3</v>
      </c>
      <c r="BM138" t="s">
        <v>422</v>
      </c>
      <c r="BN138" t="str">
        <f t="shared" si="31"/>
        <v>-</v>
      </c>
      <c r="BO138" t="s">
        <v>422</v>
      </c>
      <c r="BP138" t="str">
        <f t="shared" si="32"/>
        <v>-</v>
      </c>
      <c r="BQ138" t="s">
        <v>422</v>
      </c>
    </row>
    <row r="139" spans="1:69" x14ac:dyDescent="0.4">
      <c r="A139" s="3">
        <v>29</v>
      </c>
      <c r="B139" s="3">
        <v>29</v>
      </c>
      <c r="C139" s="46">
        <v>758034</v>
      </c>
      <c r="D139" s="4" t="str">
        <f>TEXT(C139,"000000")</f>
        <v>758034</v>
      </c>
      <c r="E139" s="4">
        <v>758034</v>
      </c>
      <c r="F139" s="4" t="s">
        <v>144</v>
      </c>
      <c r="G139" s="5">
        <v>4996297301622</v>
      </c>
      <c r="H139" s="5"/>
      <c r="I139" s="5"/>
      <c r="J139" s="5">
        <v>2</v>
      </c>
      <c r="K139" s="5">
        <v>2</v>
      </c>
      <c r="L139" s="4">
        <v>0</v>
      </c>
      <c r="M139" s="4">
        <v>270</v>
      </c>
      <c r="N139" s="4">
        <v>171</v>
      </c>
      <c r="O139" s="6">
        <f>IFERROR(1-N139/M139,"-")</f>
        <v>0.3666666666666667</v>
      </c>
      <c r="P139" s="4" t="s">
        <v>422</v>
      </c>
      <c r="Q139" s="4" t="s">
        <v>422</v>
      </c>
      <c r="R139" s="4" t="s">
        <v>422</v>
      </c>
      <c r="S139" s="4" t="s">
        <v>422</v>
      </c>
      <c r="T139" s="4" t="s">
        <v>422</v>
      </c>
      <c r="U139" s="4" t="s">
        <v>422</v>
      </c>
      <c r="V139" s="4" t="s">
        <v>422</v>
      </c>
      <c r="W139" s="4" t="s">
        <v>422</v>
      </c>
      <c r="X139" s="4" t="s">
        <v>422</v>
      </c>
      <c r="Y139" s="4">
        <v>0</v>
      </c>
      <c r="Z139" s="4">
        <f>IF(AC139="",Y139,Y139*AC139)</f>
        <v>0</v>
      </c>
      <c r="AA139" s="4">
        <v>184</v>
      </c>
      <c r="AB139" s="4">
        <f>IF(AC139="",AA139,AA139*AC139)</f>
        <v>184</v>
      </c>
      <c r="AC139" s="4"/>
      <c r="AD139" s="21">
        <f>ROUND(M139*AR139,0)</f>
        <v>291</v>
      </c>
      <c r="AE139" s="6">
        <f>IFERROR(1-AB139/AD139,"-")</f>
        <v>0.36769759450171824</v>
      </c>
      <c r="AF139" s="33">
        <v>25.25</v>
      </c>
      <c r="AG139" s="4">
        <f>BI139</f>
        <v>453</v>
      </c>
      <c r="AH139" s="33">
        <f>IFERROR(AG139*AR139,"-")</f>
        <v>487.43859649122805</v>
      </c>
      <c r="AI139" s="6">
        <f>IFERROR(1-AB139/AH139,"-")</f>
        <v>0.6225165562913908</v>
      </c>
      <c r="AJ139" s="7">
        <v>320</v>
      </c>
      <c r="AK139" s="6">
        <f>1-AB139/AJ139</f>
        <v>0.42500000000000004</v>
      </c>
      <c r="AL139" s="4">
        <f>AJ139-AB139</f>
        <v>136</v>
      </c>
      <c r="AM139" s="28"/>
      <c r="AN139" s="6"/>
      <c r="AO139" s="6"/>
      <c r="AP139" s="6" t="str">
        <f>IFERROR(Z139/L139,"-")</f>
        <v>-</v>
      </c>
      <c r="AQ139" s="6">
        <f>IFERROR(AJ139/M139,"-")</f>
        <v>1.1851851851851851</v>
      </c>
      <c r="AR139" s="6">
        <f>IFERROR(AB139/N139,"-")</f>
        <v>1.0760233918128654</v>
      </c>
      <c r="AS139" s="4" t="str">
        <f t="shared" si="22"/>
        <v>-</v>
      </c>
      <c r="AT139" s="4"/>
      <c r="AU139" s="4" t="str">
        <f t="shared" si="23"/>
        <v>-</v>
      </c>
      <c r="AV139" s="4" t="str">
        <f t="shared" si="24"/>
        <v>-</v>
      </c>
      <c r="AW139" s="4" t="str">
        <f t="shared" si="25"/>
        <v>-</v>
      </c>
      <c r="AX139" s="4" t="str">
        <f t="shared" si="26"/>
        <v>-</v>
      </c>
      <c r="AY139" s="4" t="str">
        <f t="shared" si="27"/>
        <v>-</v>
      </c>
      <c r="AZ139" s="4" t="str">
        <f t="shared" si="28"/>
        <v>-</v>
      </c>
      <c r="BA139" s="4" t="str">
        <f t="shared" si="29"/>
        <v>-</v>
      </c>
      <c r="BB139" s="4" t="str">
        <f t="shared" si="30"/>
        <v>-</v>
      </c>
      <c r="BC139" s="4" t="s">
        <v>407</v>
      </c>
      <c r="BD139" s="4" t="s">
        <v>653</v>
      </c>
      <c r="BE139" s="4"/>
      <c r="BF139" s="4"/>
      <c r="BG139" s="4" t="s">
        <v>563</v>
      </c>
      <c r="BH139" s="4">
        <v>453</v>
      </c>
      <c r="BI139" s="4">
        <f>IF(BE139="",BH139,BE139/BF139*BH139)</f>
        <v>453</v>
      </c>
      <c r="BJ139" s="19">
        <v>4</v>
      </c>
      <c r="BK139" s="19">
        <v>1</v>
      </c>
      <c r="BL139" s="16">
        <v>3</v>
      </c>
      <c r="BM139" t="s">
        <v>422</v>
      </c>
      <c r="BN139" t="str">
        <f t="shared" si="31"/>
        <v>-</v>
      </c>
      <c r="BO139">
        <v>437</v>
      </c>
      <c r="BP139">
        <f t="shared" si="32"/>
        <v>470.22222222222217</v>
      </c>
      <c r="BQ139" t="s">
        <v>502</v>
      </c>
    </row>
    <row r="140" spans="1:69" x14ac:dyDescent="0.4">
      <c r="A140" s="3">
        <v>194</v>
      </c>
      <c r="B140" s="3">
        <v>29</v>
      </c>
      <c r="C140" s="46">
        <v>758034</v>
      </c>
      <c r="D140" s="4" t="str">
        <f>TEXT(C140,"000000")</f>
        <v>758034</v>
      </c>
      <c r="E140" s="4">
        <v>629497</v>
      </c>
      <c r="F140" s="4" t="s">
        <v>334</v>
      </c>
      <c r="G140" s="5">
        <v>4996297301622</v>
      </c>
      <c r="H140" s="5">
        <v>8</v>
      </c>
      <c r="I140" s="5" t="str">
        <f>C140&amp;H140</f>
        <v>7580348</v>
      </c>
      <c r="J140" s="5"/>
      <c r="K140" s="5"/>
      <c r="L140" s="4">
        <v>0</v>
      </c>
      <c r="M140" s="4">
        <v>2607</v>
      </c>
      <c r="N140" s="4">
        <v>1710</v>
      </c>
      <c r="O140" s="6">
        <f>IFERROR(1-N140/M140,"-")</f>
        <v>0.34407364787111627</v>
      </c>
      <c r="P140" s="4" t="s">
        <v>422</v>
      </c>
      <c r="Q140" s="4" t="s">
        <v>422</v>
      </c>
      <c r="R140" s="4" t="s">
        <v>422</v>
      </c>
      <c r="S140" s="4" t="s">
        <v>422</v>
      </c>
      <c r="T140" s="4" t="s">
        <v>422</v>
      </c>
      <c r="U140" s="4" t="s">
        <v>422</v>
      </c>
      <c r="V140" s="4" t="s">
        <v>422</v>
      </c>
      <c r="W140" s="4" t="s">
        <v>422</v>
      </c>
      <c r="X140" s="4" t="s">
        <v>422</v>
      </c>
      <c r="Y140" s="4">
        <v>0</v>
      </c>
      <c r="Z140" s="4">
        <f>IF(AC140="",Y140,Y140*AC140)</f>
        <v>0</v>
      </c>
      <c r="AA140" s="4">
        <v>184</v>
      </c>
      <c r="AB140" s="4">
        <f>IF(AC140="",AA140,AA140*AC140)</f>
        <v>1840</v>
      </c>
      <c r="AC140" s="4">
        <v>10</v>
      </c>
      <c r="AD140" s="21">
        <f>ROUND(M140*AR140,0)</f>
        <v>2805</v>
      </c>
      <c r="AE140" s="6">
        <f>IFERROR(1-AB140/AD140,"-")</f>
        <v>0.3440285204991087</v>
      </c>
      <c r="AF140" s="33">
        <v>25.25</v>
      </c>
      <c r="AG140" s="4">
        <f>BI140</f>
        <v>4530</v>
      </c>
      <c r="AH140" s="33">
        <f>IFERROR(AG140*AR140,"-")</f>
        <v>4874.3859649122805</v>
      </c>
      <c r="AI140" s="6">
        <f>IFERROR(1-AB140/AH140,"-")</f>
        <v>0.6225165562913908</v>
      </c>
      <c r="AJ140" s="7">
        <v>3000</v>
      </c>
      <c r="AK140" s="6">
        <f>1-AB140/AJ140</f>
        <v>0.38666666666666671</v>
      </c>
      <c r="AL140" s="4">
        <f>AJ140-AB140</f>
        <v>1160</v>
      </c>
      <c r="AM140" s="28"/>
      <c r="AN140" s="6"/>
      <c r="AO140" s="6"/>
      <c r="AP140" s="6" t="str">
        <f>IFERROR(Z140/L140,"-")</f>
        <v>-</v>
      </c>
      <c r="AQ140" s="6">
        <f>IFERROR(AJ140/M140,"-")</f>
        <v>1.1507479861910241</v>
      </c>
      <c r="AR140" s="6">
        <f>IFERROR(AB140/N140,"-")</f>
        <v>1.0760233918128654</v>
      </c>
      <c r="AS140" s="4" t="str">
        <f t="shared" si="22"/>
        <v>-</v>
      </c>
      <c r="AT140" s="4"/>
      <c r="AU140" s="4" t="str">
        <f t="shared" si="23"/>
        <v>-</v>
      </c>
      <c r="AV140" s="4" t="str">
        <f t="shared" si="24"/>
        <v>-</v>
      </c>
      <c r="AW140" s="4" t="str">
        <f t="shared" si="25"/>
        <v>-</v>
      </c>
      <c r="AX140" s="4" t="str">
        <f t="shared" si="26"/>
        <v>-</v>
      </c>
      <c r="AY140" s="4" t="str">
        <f t="shared" si="27"/>
        <v>-</v>
      </c>
      <c r="AZ140" s="4" t="str">
        <f t="shared" si="28"/>
        <v>-</v>
      </c>
      <c r="BA140" s="4" t="str">
        <f t="shared" si="29"/>
        <v>-</v>
      </c>
      <c r="BB140" s="4" t="str">
        <f t="shared" si="30"/>
        <v>-</v>
      </c>
      <c r="BC140" s="4" t="s">
        <v>407</v>
      </c>
      <c r="BD140" s="4" t="s">
        <v>653</v>
      </c>
      <c r="BE140" s="4">
        <v>10</v>
      </c>
      <c r="BF140" s="4">
        <v>1</v>
      </c>
      <c r="BG140" s="4" t="s">
        <v>563</v>
      </c>
      <c r="BH140" s="4">
        <v>453</v>
      </c>
      <c r="BI140" s="4">
        <f>IF(BE140="",BH140,BE140/BF140*BH140)</f>
        <v>4530</v>
      </c>
      <c r="BJ140" s="19">
        <v>4</v>
      </c>
      <c r="BK140" s="19">
        <v>1</v>
      </c>
      <c r="BL140" s="16">
        <v>3</v>
      </c>
      <c r="BM140" t="s">
        <v>422</v>
      </c>
      <c r="BN140" t="str">
        <f t="shared" si="31"/>
        <v>-</v>
      </c>
      <c r="BO140">
        <v>437</v>
      </c>
      <c r="BP140">
        <f t="shared" si="32"/>
        <v>470.22222222222217</v>
      </c>
      <c r="BQ140" t="s">
        <v>502</v>
      </c>
    </row>
    <row r="141" spans="1:69" x14ac:dyDescent="0.4">
      <c r="A141" s="3">
        <v>30</v>
      </c>
      <c r="B141" s="3">
        <v>30</v>
      </c>
      <c r="C141" s="46">
        <v>758043</v>
      </c>
      <c r="D141" s="4" t="str">
        <f>TEXT(C141,"000000")</f>
        <v>758043</v>
      </c>
      <c r="E141" s="4">
        <v>758043</v>
      </c>
      <c r="F141" s="4" t="s">
        <v>145</v>
      </c>
      <c r="G141" s="5">
        <v>4996297301639</v>
      </c>
      <c r="H141" s="5"/>
      <c r="I141" s="5"/>
      <c r="J141" s="5">
        <v>2</v>
      </c>
      <c r="K141" s="5">
        <v>2</v>
      </c>
      <c r="L141" s="4">
        <v>0</v>
      </c>
      <c r="M141" s="4">
        <v>270</v>
      </c>
      <c r="N141" s="4">
        <v>171</v>
      </c>
      <c r="O141" s="6">
        <f>IFERROR(1-N141/M141,"-")</f>
        <v>0.3666666666666667</v>
      </c>
      <c r="P141" s="4" t="s">
        <v>422</v>
      </c>
      <c r="Q141" s="4" t="s">
        <v>422</v>
      </c>
      <c r="R141" s="4" t="s">
        <v>422</v>
      </c>
      <c r="S141" s="4" t="s">
        <v>422</v>
      </c>
      <c r="T141" s="4" t="s">
        <v>422</v>
      </c>
      <c r="U141" s="4" t="s">
        <v>422</v>
      </c>
      <c r="V141" s="4" t="s">
        <v>422</v>
      </c>
      <c r="W141" s="4" t="s">
        <v>422</v>
      </c>
      <c r="X141" s="4" t="s">
        <v>422</v>
      </c>
      <c r="Y141" s="4">
        <v>0</v>
      </c>
      <c r="Z141" s="4">
        <f>IF(AC141="",Y141,Y141*AC141)</f>
        <v>0</v>
      </c>
      <c r="AA141" s="4">
        <v>184</v>
      </c>
      <c r="AB141" s="4">
        <f>IF(AC141="",AA141,AA141*AC141)</f>
        <v>184</v>
      </c>
      <c r="AC141" s="4"/>
      <c r="AD141" s="21">
        <f>ROUND(M141*AR141,0)</f>
        <v>291</v>
      </c>
      <c r="AE141" s="6">
        <f>IFERROR(1-AB141/AD141,"-")</f>
        <v>0.36769759450171824</v>
      </c>
      <c r="AF141" s="33">
        <v>4</v>
      </c>
      <c r="AG141" s="4">
        <f>BI141</f>
        <v>453</v>
      </c>
      <c r="AH141" s="33">
        <f>IFERROR(AG141*AR141,"-")</f>
        <v>487.43859649122805</v>
      </c>
      <c r="AI141" s="6">
        <f>IFERROR(1-AB141/AH141,"-")</f>
        <v>0.6225165562913908</v>
      </c>
      <c r="AJ141" s="7">
        <v>320</v>
      </c>
      <c r="AK141" s="6">
        <f>1-AB141/AJ141</f>
        <v>0.42500000000000004</v>
      </c>
      <c r="AL141" s="4">
        <f>AJ141-AB141</f>
        <v>136</v>
      </c>
      <c r="AM141" s="28"/>
      <c r="AN141" s="6"/>
      <c r="AO141" s="6"/>
      <c r="AP141" s="6" t="str">
        <f>IFERROR(Z141/L141,"-")</f>
        <v>-</v>
      </c>
      <c r="AQ141" s="6">
        <f>IFERROR(AJ141/M141,"-")</f>
        <v>1.1851851851851851</v>
      </c>
      <c r="AR141" s="6">
        <f>IFERROR(AB141/N141,"-")</f>
        <v>1.0760233918128654</v>
      </c>
      <c r="AS141" s="4" t="str">
        <f t="shared" si="22"/>
        <v>-</v>
      </c>
      <c r="AT141" s="4"/>
      <c r="AU141" s="4" t="str">
        <f t="shared" si="23"/>
        <v>-</v>
      </c>
      <c r="AV141" s="4" t="str">
        <f t="shared" si="24"/>
        <v>-</v>
      </c>
      <c r="AW141" s="4" t="str">
        <f t="shared" si="25"/>
        <v>-</v>
      </c>
      <c r="AX141" s="4" t="str">
        <f t="shared" si="26"/>
        <v>-</v>
      </c>
      <c r="AY141" s="4" t="str">
        <f t="shared" si="27"/>
        <v>-</v>
      </c>
      <c r="AZ141" s="4" t="str">
        <f t="shared" si="28"/>
        <v>-</v>
      </c>
      <c r="BA141" s="4" t="str">
        <f t="shared" si="29"/>
        <v>-</v>
      </c>
      <c r="BB141" s="4" t="str">
        <f t="shared" si="30"/>
        <v>-</v>
      </c>
      <c r="BC141" s="4" t="s">
        <v>407</v>
      </c>
      <c r="BD141" s="4" t="s">
        <v>654</v>
      </c>
      <c r="BE141" s="4"/>
      <c r="BF141" s="4"/>
      <c r="BG141" s="4" t="s">
        <v>563</v>
      </c>
      <c r="BH141" s="4">
        <v>453</v>
      </c>
      <c r="BI141" s="4">
        <f>IF(BE141="",BH141,BE141/BF141*BH141)</f>
        <v>453</v>
      </c>
      <c r="BJ141" s="19">
        <v>4</v>
      </c>
      <c r="BK141" s="19">
        <v>1</v>
      </c>
      <c r="BL141" s="16">
        <v>3</v>
      </c>
      <c r="BM141" t="s">
        <v>422</v>
      </c>
      <c r="BN141" t="str">
        <f t="shared" si="31"/>
        <v>-</v>
      </c>
      <c r="BO141">
        <v>437</v>
      </c>
      <c r="BP141">
        <f t="shared" si="32"/>
        <v>470.22222222222217</v>
      </c>
      <c r="BQ141" t="s">
        <v>503</v>
      </c>
    </row>
    <row r="142" spans="1:69" x14ac:dyDescent="0.4">
      <c r="A142" s="3">
        <v>195</v>
      </c>
      <c r="B142" s="3">
        <v>30</v>
      </c>
      <c r="C142" s="46">
        <v>758043</v>
      </c>
      <c r="D142" s="4" t="str">
        <f>TEXT(C142,"000000")</f>
        <v>758043</v>
      </c>
      <c r="E142" s="4">
        <v>629498</v>
      </c>
      <c r="F142" s="4" t="s">
        <v>335</v>
      </c>
      <c r="G142" s="5">
        <v>4996297301639</v>
      </c>
      <c r="H142" s="5">
        <v>8</v>
      </c>
      <c r="I142" s="5" t="str">
        <f>C142&amp;H142</f>
        <v>7580438</v>
      </c>
      <c r="J142" s="5"/>
      <c r="K142" s="5"/>
      <c r="L142" s="4">
        <v>0</v>
      </c>
      <c r="M142" s="4">
        <v>2607</v>
      </c>
      <c r="N142" s="4">
        <v>1710</v>
      </c>
      <c r="O142" s="6">
        <f>IFERROR(1-N142/M142,"-")</f>
        <v>0.34407364787111627</v>
      </c>
      <c r="P142" s="4" t="s">
        <v>422</v>
      </c>
      <c r="Q142" s="4" t="s">
        <v>422</v>
      </c>
      <c r="R142" s="4" t="s">
        <v>422</v>
      </c>
      <c r="S142" s="4" t="s">
        <v>422</v>
      </c>
      <c r="T142" s="4" t="s">
        <v>422</v>
      </c>
      <c r="U142" s="4" t="s">
        <v>422</v>
      </c>
      <c r="V142" s="4" t="s">
        <v>422</v>
      </c>
      <c r="W142" s="4" t="s">
        <v>422</v>
      </c>
      <c r="X142" s="4" t="s">
        <v>422</v>
      </c>
      <c r="Y142" s="4">
        <v>0</v>
      </c>
      <c r="Z142" s="4">
        <f>IF(AC142="",Y142,Y142*AC142)</f>
        <v>0</v>
      </c>
      <c r="AA142" s="4">
        <v>184</v>
      </c>
      <c r="AB142" s="4">
        <f>IF(AC142="",AA142,AA142*AC142)</f>
        <v>1840</v>
      </c>
      <c r="AC142" s="4">
        <v>10</v>
      </c>
      <c r="AD142" s="21">
        <f>ROUND(M142*AR142,0)</f>
        <v>2805</v>
      </c>
      <c r="AE142" s="6">
        <f>IFERROR(1-AB142/AD142,"-")</f>
        <v>0.3440285204991087</v>
      </c>
      <c r="AF142" s="33">
        <v>4</v>
      </c>
      <c r="AG142" s="4">
        <f>BI142</f>
        <v>4530</v>
      </c>
      <c r="AH142" s="33">
        <f>IFERROR(AG142*AR142,"-")</f>
        <v>4874.3859649122805</v>
      </c>
      <c r="AI142" s="6">
        <f>IFERROR(1-AB142/AH142,"-")</f>
        <v>0.6225165562913908</v>
      </c>
      <c r="AJ142" s="7">
        <v>3000</v>
      </c>
      <c r="AK142" s="6">
        <f>1-AB142/AJ142</f>
        <v>0.38666666666666671</v>
      </c>
      <c r="AL142" s="4">
        <f>AJ142-AB142</f>
        <v>1160</v>
      </c>
      <c r="AM142" s="28"/>
      <c r="AN142" s="6"/>
      <c r="AO142" s="6"/>
      <c r="AP142" s="6" t="str">
        <f>IFERROR(Z142/L142,"-")</f>
        <v>-</v>
      </c>
      <c r="AQ142" s="6">
        <f>IFERROR(AJ142/M142,"-")</f>
        <v>1.1507479861910241</v>
      </c>
      <c r="AR142" s="6">
        <f>IFERROR(AB142/N142,"-")</f>
        <v>1.0760233918128654</v>
      </c>
      <c r="AS142" s="4" t="str">
        <f t="shared" si="22"/>
        <v>-</v>
      </c>
      <c r="AT142" s="4"/>
      <c r="AU142" s="4" t="str">
        <f t="shared" si="23"/>
        <v>-</v>
      </c>
      <c r="AV142" s="4" t="str">
        <f t="shared" si="24"/>
        <v>-</v>
      </c>
      <c r="AW142" s="4" t="str">
        <f t="shared" si="25"/>
        <v>-</v>
      </c>
      <c r="AX142" s="4" t="str">
        <f t="shared" si="26"/>
        <v>-</v>
      </c>
      <c r="AY142" s="4" t="str">
        <f t="shared" si="27"/>
        <v>-</v>
      </c>
      <c r="AZ142" s="4" t="str">
        <f t="shared" si="28"/>
        <v>-</v>
      </c>
      <c r="BA142" s="4" t="str">
        <f t="shared" si="29"/>
        <v>-</v>
      </c>
      <c r="BB142" s="4" t="str">
        <f t="shared" si="30"/>
        <v>-</v>
      </c>
      <c r="BC142" s="4" t="s">
        <v>407</v>
      </c>
      <c r="BD142" s="4" t="s">
        <v>654</v>
      </c>
      <c r="BE142" s="4">
        <v>10</v>
      </c>
      <c r="BF142" s="4">
        <v>1</v>
      </c>
      <c r="BG142" s="4" t="s">
        <v>563</v>
      </c>
      <c r="BH142" s="4">
        <v>453</v>
      </c>
      <c r="BI142" s="4">
        <f>IF(BE142="",BH142,BE142/BF142*BH142)</f>
        <v>4530</v>
      </c>
      <c r="BJ142" s="19">
        <v>4</v>
      </c>
      <c r="BK142" s="19">
        <v>1</v>
      </c>
      <c r="BL142" s="16">
        <v>3</v>
      </c>
      <c r="BM142" t="s">
        <v>422</v>
      </c>
      <c r="BN142" t="str">
        <f t="shared" si="31"/>
        <v>-</v>
      </c>
      <c r="BO142">
        <v>437</v>
      </c>
      <c r="BP142">
        <f t="shared" si="32"/>
        <v>470.22222222222217</v>
      </c>
      <c r="BQ142" t="s">
        <v>503</v>
      </c>
    </row>
    <row r="143" spans="1:69" x14ac:dyDescent="0.4">
      <c r="A143" s="3">
        <v>31</v>
      </c>
      <c r="B143" s="3">
        <v>31</v>
      </c>
      <c r="C143" s="46">
        <v>758052</v>
      </c>
      <c r="D143" s="4" t="str">
        <f>TEXT(C143,"000000")</f>
        <v>758052</v>
      </c>
      <c r="E143" s="4">
        <v>758052</v>
      </c>
      <c r="F143" s="4" t="s">
        <v>146</v>
      </c>
      <c r="G143" s="5">
        <v>4996297301646</v>
      </c>
      <c r="H143" s="5"/>
      <c r="I143" s="5"/>
      <c r="J143" s="5">
        <v>2</v>
      </c>
      <c r="K143" s="5">
        <v>2</v>
      </c>
      <c r="L143" s="4">
        <v>0</v>
      </c>
      <c r="M143" s="4">
        <v>270</v>
      </c>
      <c r="N143" s="4">
        <v>171</v>
      </c>
      <c r="O143" s="6">
        <f>IFERROR(1-N143/M143,"-")</f>
        <v>0.3666666666666667</v>
      </c>
      <c r="P143" s="4" t="s">
        <v>422</v>
      </c>
      <c r="Q143" s="4" t="s">
        <v>422</v>
      </c>
      <c r="R143" s="4" t="s">
        <v>422</v>
      </c>
      <c r="S143" s="4" t="s">
        <v>422</v>
      </c>
      <c r="T143" s="4" t="s">
        <v>422</v>
      </c>
      <c r="U143" s="4" t="s">
        <v>422</v>
      </c>
      <c r="V143" s="4" t="s">
        <v>422</v>
      </c>
      <c r="W143" s="4" t="s">
        <v>422</v>
      </c>
      <c r="X143" s="4" t="s">
        <v>422</v>
      </c>
      <c r="Y143" s="4">
        <v>0</v>
      </c>
      <c r="Z143" s="4">
        <f>IF(AC143="",Y143,Y143*AC143)</f>
        <v>0</v>
      </c>
      <c r="AA143" s="4">
        <v>184</v>
      </c>
      <c r="AB143" s="4">
        <f>IF(AC143="",AA143,AA143*AC143)</f>
        <v>184</v>
      </c>
      <c r="AC143" s="4"/>
      <c r="AD143" s="21">
        <f>ROUND(M143*AR143,0)</f>
        <v>291</v>
      </c>
      <c r="AE143" s="6">
        <f>IFERROR(1-AB143/AD143,"-")</f>
        <v>0.36769759450171824</v>
      </c>
      <c r="AF143" s="33">
        <v>33.25</v>
      </c>
      <c r="AG143" s="4">
        <f>BI143</f>
        <v>453</v>
      </c>
      <c r="AH143" s="33">
        <f>IFERROR(AG143*AR143,"-")</f>
        <v>487.43859649122805</v>
      </c>
      <c r="AI143" s="6">
        <f>IFERROR(1-AB143/AH143,"-")</f>
        <v>0.6225165562913908</v>
      </c>
      <c r="AJ143" s="7">
        <v>320</v>
      </c>
      <c r="AK143" s="6">
        <f>1-AB143/AJ143</f>
        <v>0.42500000000000004</v>
      </c>
      <c r="AL143" s="4">
        <f>AJ143-AB143</f>
        <v>136</v>
      </c>
      <c r="AM143" s="28"/>
      <c r="AN143" s="6"/>
      <c r="AO143" s="6"/>
      <c r="AP143" s="6" t="str">
        <f>IFERROR(Z143/L143,"-")</f>
        <v>-</v>
      </c>
      <c r="AQ143" s="6">
        <f>IFERROR(AJ143/M143,"-")</f>
        <v>1.1851851851851851</v>
      </c>
      <c r="AR143" s="6">
        <f>IFERROR(AB143/N143,"-")</f>
        <v>1.0760233918128654</v>
      </c>
      <c r="AS143" s="4" t="str">
        <f t="shared" si="22"/>
        <v>-</v>
      </c>
      <c r="AT143" s="4"/>
      <c r="AU143" s="4" t="str">
        <f t="shared" si="23"/>
        <v>-</v>
      </c>
      <c r="AV143" s="4" t="str">
        <f t="shared" si="24"/>
        <v>-</v>
      </c>
      <c r="AW143" s="4" t="str">
        <f t="shared" si="25"/>
        <v>-</v>
      </c>
      <c r="AX143" s="4" t="str">
        <f t="shared" si="26"/>
        <v>-</v>
      </c>
      <c r="AY143" s="4" t="str">
        <f t="shared" si="27"/>
        <v>-</v>
      </c>
      <c r="AZ143" s="4" t="str">
        <f t="shared" si="28"/>
        <v>-</v>
      </c>
      <c r="BA143" s="4" t="str">
        <f t="shared" si="29"/>
        <v>-</v>
      </c>
      <c r="BB143" s="4" t="str">
        <f t="shared" si="30"/>
        <v>-</v>
      </c>
      <c r="BC143" s="4" t="s">
        <v>407</v>
      </c>
      <c r="BD143" s="4" t="s">
        <v>655</v>
      </c>
      <c r="BE143" s="4"/>
      <c r="BF143" s="4"/>
      <c r="BG143" s="4" t="s">
        <v>563</v>
      </c>
      <c r="BH143" s="4">
        <v>453</v>
      </c>
      <c r="BI143" s="4">
        <f>IF(BE143="",BH143,BE143/BF143*BH143)</f>
        <v>453</v>
      </c>
      <c r="BJ143" s="19">
        <v>4</v>
      </c>
      <c r="BK143" s="19">
        <v>1</v>
      </c>
      <c r="BL143" s="16">
        <v>3</v>
      </c>
      <c r="BM143" t="s">
        <v>422</v>
      </c>
      <c r="BN143" t="str">
        <f t="shared" si="31"/>
        <v>-</v>
      </c>
      <c r="BO143">
        <v>437</v>
      </c>
      <c r="BP143">
        <f t="shared" si="32"/>
        <v>470.22222222222217</v>
      </c>
      <c r="BQ143" t="s">
        <v>504</v>
      </c>
    </row>
    <row r="144" spans="1:69" x14ac:dyDescent="0.4">
      <c r="A144" s="3">
        <v>196</v>
      </c>
      <c r="B144" s="3">
        <v>31</v>
      </c>
      <c r="C144" s="46">
        <v>758052</v>
      </c>
      <c r="D144" s="4" t="str">
        <f>TEXT(C144,"000000")</f>
        <v>758052</v>
      </c>
      <c r="E144" s="4">
        <v>629499</v>
      </c>
      <c r="F144" s="4" t="s">
        <v>336</v>
      </c>
      <c r="G144" s="5">
        <v>4996297301646</v>
      </c>
      <c r="H144" s="5">
        <v>8</v>
      </c>
      <c r="I144" s="5" t="str">
        <f>C144&amp;H144</f>
        <v>7580528</v>
      </c>
      <c r="J144" s="5"/>
      <c r="K144" s="5"/>
      <c r="L144" s="4">
        <v>0</v>
      </c>
      <c r="M144" s="4">
        <v>2607</v>
      </c>
      <c r="N144" s="4">
        <v>1710</v>
      </c>
      <c r="O144" s="6">
        <f>IFERROR(1-N144/M144,"-")</f>
        <v>0.34407364787111627</v>
      </c>
      <c r="P144" s="4" t="s">
        <v>422</v>
      </c>
      <c r="Q144" s="4" t="s">
        <v>422</v>
      </c>
      <c r="R144" s="4" t="s">
        <v>422</v>
      </c>
      <c r="S144" s="4" t="s">
        <v>422</v>
      </c>
      <c r="T144" s="4" t="s">
        <v>422</v>
      </c>
      <c r="U144" s="4" t="s">
        <v>422</v>
      </c>
      <c r="V144" s="4" t="s">
        <v>422</v>
      </c>
      <c r="W144" s="4" t="s">
        <v>422</v>
      </c>
      <c r="X144" s="4" t="s">
        <v>422</v>
      </c>
      <c r="Y144" s="4">
        <v>0</v>
      </c>
      <c r="Z144" s="4">
        <f>IF(AC144="",Y144,Y144*AC144)</f>
        <v>0</v>
      </c>
      <c r="AA144" s="4">
        <v>184</v>
      </c>
      <c r="AB144" s="4">
        <f>IF(AC144="",AA144,AA144*AC144)</f>
        <v>1840</v>
      </c>
      <c r="AC144" s="4">
        <v>10</v>
      </c>
      <c r="AD144" s="21">
        <f>ROUND(M144*AR144,0)</f>
        <v>2805</v>
      </c>
      <c r="AE144" s="6">
        <f>IFERROR(1-AB144/AD144,"-")</f>
        <v>0.3440285204991087</v>
      </c>
      <c r="AF144" s="33">
        <v>33.25</v>
      </c>
      <c r="AG144" s="4">
        <f>BI144</f>
        <v>4530</v>
      </c>
      <c r="AH144" s="33">
        <f>IFERROR(AG144*AR144,"-")</f>
        <v>4874.3859649122805</v>
      </c>
      <c r="AI144" s="6">
        <f>IFERROR(1-AB144/AH144,"-")</f>
        <v>0.6225165562913908</v>
      </c>
      <c r="AJ144" s="7">
        <v>3000</v>
      </c>
      <c r="AK144" s="6">
        <f>1-AB144/AJ144</f>
        <v>0.38666666666666671</v>
      </c>
      <c r="AL144" s="4">
        <f>AJ144-AB144</f>
        <v>1160</v>
      </c>
      <c r="AM144" s="28"/>
      <c r="AN144" s="6"/>
      <c r="AO144" s="6"/>
      <c r="AP144" s="6" t="str">
        <f>IFERROR(Z144/L144,"-")</f>
        <v>-</v>
      </c>
      <c r="AQ144" s="6">
        <f>IFERROR(AJ144/M144,"-")</f>
        <v>1.1507479861910241</v>
      </c>
      <c r="AR144" s="6">
        <f>IFERROR(AB144/N144,"-")</f>
        <v>1.0760233918128654</v>
      </c>
      <c r="AS144" s="4" t="str">
        <f t="shared" si="22"/>
        <v>-</v>
      </c>
      <c r="AT144" s="4"/>
      <c r="AU144" s="4" t="str">
        <f t="shared" si="23"/>
        <v>-</v>
      </c>
      <c r="AV144" s="4" t="str">
        <f t="shared" si="24"/>
        <v>-</v>
      </c>
      <c r="AW144" s="4" t="str">
        <f t="shared" si="25"/>
        <v>-</v>
      </c>
      <c r="AX144" s="4" t="str">
        <f t="shared" si="26"/>
        <v>-</v>
      </c>
      <c r="AY144" s="4" t="str">
        <f t="shared" si="27"/>
        <v>-</v>
      </c>
      <c r="AZ144" s="4" t="str">
        <f t="shared" si="28"/>
        <v>-</v>
      </c>
      <c r="BA144" s="4" t="str">
        <f t="shared" si="29"/>
        <v>-</v>
      </c>
      <c r="BB144" s="4" t="str">
        <f t="shared" si="30"/>
        <v>-</v>
      </c>
      <c r="BC144" s="4" t="s">
        <v>407</v>
      </c>
      <c r="BD144" s="4" t="s">
        <v>655</v>
      </c>
      <c r="BE144" s="4">
        <v>10</v>
      </c>
      <c r="BF144" s="4">
        <v>1</v>
      </c>
      <c r="BG144" s="4" t="s">
        <v>563</v>
      </c>
      <c r="BH144" s="4">
        <v>453</v>
      </c>
      <c r="BI144" s="4">
        <f>IF(BE144="",BH144,BE144/BF144*BH144)</f>
        <v>4530</v>
      </c>
      <c r="BJ144" s="19">
        <v>4</v>
      </c>
      <c r="BK144" s="19">
        <v>1</v>
      </c>
      <c r="BL144" s="16">
        <v>3</v>
      </c>
      <c r="BM144" t="s">
        <v>422</v>
      </c>
      <c r="BN144" t="str">
        <f t="shared" si="31"/>
        <v>-</v>
      </c>
      <c r="BO144">
        <v>437</v>
      </c>
      <c r="BP144">
        <f t="shared" si="32"/>
        <v>470.22222222222217</v>
      </c>
      <c r="BQ144" t="s">
        <v>504</v>
      </c>
    </row>
    <row r="145" spans="1:69" x14ac:dyDescent="0.4">
      <c r="A145" s="3">
        <v>28</v>
      </c>
      <c r="B145" s="3">
        <v>28</v>
      </c>
      <c r="C145" s="46">
        <v>758061</v>
      </c>
      <c r="D145" s="4" t="str">
        <f>TEXT(C145,"000000")</f>
        <v>758061</v>
      </c>
      <c r="E145" s="4">
        <v>758061</v>
      </c>
      <c r="F145" s="4" t="s">
        <v>143</v>
      </c>
      <c r="G145" s="5">
        <v>4996297301615</v>
      </c>
      <c r="H145" s="5"/>
      <c r="I145" s="5"/>
      <c r="J145" s="5">
        <v>2</v>
      </c>
      <c r="K145" s="5">
        <v>2</v>
      </c>
      <c r="L145" s="4">
        <v>0</v>
      </c>
      <c r="M145" s="4">
        <v>270</v>
      </c>
      <c r="N145" s="4">
        <v>171</v>
      </c>
      <c r="O145" s="6">
        <f>IFERROR(1-N145/M145,"-")</f>
        <v>0.3666666666666667</v>
      </c>
      <c r="P145" s="4" t="s">
        <v>422</v>
      </c>
      <c r="Q145" s="4" t="s">
        <v>422</v>
      </c>
      <c r="R145" s="4" t="s">
        <v>422</v>
      </c>
      <c r="S145" s="4" t="s">
        <v>422</v>
      </c>
      <c r="T145" s="4" t="s">
        <v>422</v>
      </c>
      <c r="U145" s="4" t="s">
        <v>422</v>
      </c>
      <c r="V145" s="4" t="s">
        <v>422</v>
      </c>
      <c r="W145" s="4" t="s">
        <v>422</v>
      </c>
      <c r="X145" s="4" t="s">
        <v>422</v>
      </c>
      <c r="Y145" s="4">
        <v>0</v>
      </c>
      <c r="Z145" s="4">
        <f>IF(AC145="",Y145,Y145*AC145)</f>
        <v>0</v>
      </c>
      <c r="AA145" s="4">
        <v>184</v>
      </c>
      <c r="AB145" s="4">
        <f>IF(AC145="",AA145,AA145*AC145)</f>
        <v>184</v>
      </c>
      <c r="AC145" s="4"/>
      <c r="AD145" s="21">
        <f>ROUND(M145*AR145,0)</f>
        <v>291</v>
      </c>
      <c r="AE145" s="6">
        <f>IFERROR(1-AB145/AD145,"-")</f>
        <v>0.36769759450171824</v>
      </c>
      <c r="AF145" s="33">
        <v>9</v>
      </c>
      <c r="AG145" s="4">
        <f>BI145</f>
        <v>453</v>
      </c>
      <c r="AH145" s="33">
        <f>IFERROR(AG145*AR145,"-")</f>
        <v>487.43859649122805</v>
      </c>
      <c r="AI145" s="6">
        <f>IFERROR(1-AB145/AH145,"-")</f>
        <v>0.6225165562913908</v>
      </c>
      <c r="AJ145" s="7">
        <v>320</v>
      </c>
      <c r="AK145" s="6">
        <f>1-AB145/AJ145</f>
        <v>0.42500000000000004</v>
      </c>
      <c r="AL145" s="4">
        <f>AJ145-AB145</f>
        <v>136</v>
      </c>
      <c r="AM145" s="28"/>
      <c r="AN145" s="6"/>
      <c r="AO145" s="6"/>
      <c r="AP145" s="6" t="str">
        <f>IFERROR(Z145/L145,"-")</f>
        <v>-</v>
      </c>
      <c r="AQ145" s="6">
        <f>IFERROR(AJ145/M145,"-")</f>
        <v>1.1851851851851851</v>
      </c>
      <c r="AR145" s="6">
        <f>IFERROR(AB145/N145,"-")</f>
        <v>1.0760233918128654</v>
      </c>
      <c r="AS145" s="4" t="str">
        <f t="shared" si="22"/>
        <v>-</v>
      </c>
      <c r="AT145" s="4"/>
      <c r="AU145" s="4" t="str">
        <f t="shared" si="23"/>
        <v>-</v>
      </c>
      <c r="AV145" s="4" t="str">
        <f t="shared" si="24"/>
        <v>-</v>
      </c>
      <c r="AW145" s="4" t="str">
        <f t="shared" si="25"/>
        <v>-</v>
      </c>
      <c r="AX145" s="4" t="str">
        <f t="shared" si="26"/>
        <v>-</v>
      </c>
      <c r="AY145" s="4" t="str">
        <f t="shared" si="27"/>
        <v>-</v>
      </c>
      <c r="AZ145" s="4" t="str">
        <f t="shared" si="28"/>
        <v>-</v>
      </c>
      <c r="BA145" s="4" t="str">
        <f t="shared" si="29"/>
        <v>-</v>
      </c>
      <c r="BB145" s="4" t="str">
        <f t="shared" si="30"/>
        <v>-</v>
      </c>
      <c r="BC145" s="4" t="s">
        <v>407</v>
      </c>
      <c r="BD145" s="4" t="s">
        <v>656</v>
      </c>
      <c r="BE145" s="4"/>
      <c r="BF145" s="4"/>
      <c r="BG145" s="4" t="s">
        <v>563</v>
      </c>
      <c r="BH145" s="4">
        <v>453</v>
      </c>
      <c r="BI145" s="4">
        <f>IF(BE145="",BH145,BE145/BF145*BH145)</f>
        <v>453</v>
      </c>
      <c r="BJ145" s="19">
        <v>4</v>
      </c>
      <c r="BK145" s="19">
        <v>1</v>
      </c>
      <c r="BL145" s="16">
        <v>3</v>
      </c>
      <c r="BM145" t="s">
        <v>422</v>
      </c>
      <c r="BN145" t="str">
        <f t="shared" si="31"/>
        <v>-</v>
      </c>
      <c r="BO145">
        <v>437</v>
      </c>
      <c r="BP145">
        <f t="shared" si="32"/>
        <v>470.22222222222217</v>
      </c>
      <c r="BQ145" t="s">
        <v>505</v>
      </c>
    </row>
    <row r="146" spans="1:69" x14ac:dyDescent="0.4">
      <c r="A146" s="3">
        <v>193</v>
      </c>
      <c r="B146" s="3">
        <v>28</v>
      </c>
      <c r="C146" s="46">
        <v>758061</v>
      </c>
      <c r="D146" s="4" t="str">
        <f>TEXT(C146,"000000")</f>
        <v>758061</v>
      </c>
      <c r="E146" s="4">
        <v>629500</v>
      </c>
      <c r="F146" s="4" t="s">
        <v>333</v>
      </c>
      <c r="G146" s="5">
        <v>4996297301615</v>
      </c>
      <c r="H146" s="5">
        <v>8</v>
      </c>
      <c r="I146" s="5" t="str">
        <f>C146&amp;H146</f>
        <v>7580618</v>
      </c>
      <c r="J146" s="5"/>
      <c r="K146" s="5"/>
      <c r="L146" s="4">
        <v>0</v>
      </c>
      <c r="M146" s="4">
        <v>2607</v>
      </c>
      <c r="N146" s="4">
        <v>1710</v>
      </c>
      <c r="O146" s="6">
        <f>IFERROR(1-N146/M146,"-")</f>
        <v>0.34407364787111627</v>
      </c>
      <c r="P146" s="4" t="s">
        <v>422</v>
      </c>
      <c r="Q146" s="4" t="s">
        <v>422</v>
      </c>
      <c r="R146" s="4" t="s">
        <v>422</v>
      </c>
      <c r="S146" s="4" t="s">
        <v>422</v>
      </c>
      <c r="T146" s="4" t="s">
        <v>422</v>
      </c>
      <c r="U146" s="4" t="s">
        <v>422</v>
      </c>
      <c r="V146" s="4" t="s">
        <v>422</v>
      </c>
      <c r="W146" s="4" t="s">
        <v>422</v>
      </c>
      <c r="X146" s="4" t="s">
        <v>422</v>
      </c>
      <c r="Y146" s="4">
        <v>0</v>
      </c>
      <c r="Z146" s="4">
        <f>IF(AC146="",Y146,Y146*AC146)</f>
        <v>0</v>
      </c>
      <c r="AA146" s="4">
        <v>184</v>
      </c>
      <c r="AB146" s="4">
        <f>IF(AC146="",AA146,AA146*AC146)</f>
        <v>1840</v>
      </c>
      <c r="AC146" s="4">
        <v>10</v>
      </c>
      <c r="AD146" s="21">
        <f>ROUND(M146*AR146,0)</f>
        <v>2805</v>
      </c>
      <c r="AE146" s="6">
        <f>IFERROR(1-AB146/AD146,"-")</f>
        <v>0.3440285204991087</v>
      </c>
      <c r="AF146" s="33">
        <v>9</v>
      </c>
      <c r="AG146" s="4">
        <f>BI146</f>
        <v>4530</v>
      </c>
      <c r="AH146" s="33">
        <f>IFERROR(AG146*AR146,"-")</f>
        <v>4874.3859649122805</v>
      </c>
      <c r="AI146" s="6">
        <f>IFERROR(1-AB146/AH146,"-")</f>
        <v>0.6225165562913908</v>
      </c>
      <c r="AJ146" s="7">
        <v>3000</v>
      </c>
      <c r="AK146" s="6">
        <f>1-AB146/AJ146</f>
        <v>0.38666666666666671</v>
      </c>
      <c r="AL146" s="4">
        <f>AJ146-AB146</f>
        <v>1160</v>
      </c>
      <c r="AM146" s="28"/>
      <c r="AN146" s="6"/>
      <c r="AO146" s="6"/>
      <c r="AP146" s="6" t="str">
        <f>IFERROR(Z146/L146,"-")</f>
        <v>-</v>
      </c>
      <c r="AQ146" s="6">
        <f>IFERROR(AJ146/M146,"-")</f>
        <v>1.1507479861910241</v>
      </c>
      <c r="AR146" s="6">
        <f>IFERROR(AB146/N146,"-")</f>
        <v>1.0760233918128654</v>
      </c>
      <c r="AS146" s="4" t="str">
        <f t="shared" si="22"/>
        <v>-</v>
      </c>
      <c r="AT146" s="4"/>
      <c r="AU146" s="4" t="str">
        <f t="shared" si="23"/>
        <v>-</v>
      </c>
      <c r="AV146" s="4" t="str">
        <f t="shared" si="24"/>
        <v>-</v>
      </c>
      <c r="AW146" s="4" t="str">
        <f t="shared" si="25"/>
        <v>-</v>
      </c>
      <c r="AX146" s="4" t="str">
        <f t="shared" si="26"/>
        <v>-</v>
      </c>
      <c r="AY146" s="4" t="str">
        <f t="shared" si="27"/>
        <v>-</v>
      </c>
      <c r="AZ146" s="4" t="str">
        <f t="shared" si="28"/>
        <v>-</v>
      </c>
      <c r="BA146" s="4" t="str">
        <f t="shared" si="29"/>
        <v>-</v>
      </c>
      <c r="BB146" s="4" t="str">
        <f t="shared" si="30"/>
        <v>-</v>
      </c>
      <c r="BC146" s="4" t="s">
        <v>407</v>
      </c>
      <c r="BD146" s="4" t="s">
        <v>656</v>
      </c>
      <c r="BE146" s="4">
        <v>10</v>
      </c>
      <c r="BF146" s="4">
        <v>1</v>
      </c>
      <c r="BG146" s="4" t="s">
        <v>563</v>
      </c>
      <c r="BH146" s="4">
        <v>453</v>
      </c>
      <c r="BI146" s="4">
        <f>IF(BE146="",BH146,BE146/BF146*BH146)</f>
        <v>4530</v>
      </c>
      <c r="BJ146" s="19">
        <v>4</v>
      </c>
      <c r="BK146" s="19">
        <v>1</v>
      </c>
      <c r="BL146" s="16">
        <v>3</v>
      </c>
      <c r="BM146" t="s">
        <v>422</v>
      </c>
      <c r="BN146" t="str">
        <f t="shared" si="31"/>
        <v>-</v>
      </c>
      <c r="BO146">
        <v>437</v>
      </c>
      <c r="BP146">
        <f t="shared" si="32"/>
        <v>470.22222222222217</v>
      </c>
      <c r="BQ146" t="s">
        <v>505</v>
      </c>
    </row>
    <row r="147" spans="1:69" x14ac:dyDescent="0.4">
      <c r="A147" s="3">
        <v>27</v>
      </c>
      <c r="B147" s="3">
        <v>27</v>
      </c>
      <c r="C147" s="46">
        <v>758079</v>
      </c>
      <c r="D147" s="4" t="str">
        <f>TEXT(C147,"000000")</f>
        <v>758079</v>
      </c>
      <c r="E147" s="4">
        <v>758079</v>
      </c>
      <c r="F147" s="4" t="s">
        <v>142</v>
      </c>
      <c r="G147" s="5">
        <v>4996297301608</v>
      </c>
      <c r="H147" s="5"/>
      <c r="I147" s="5"/>
      <c r="J147" s="5">
        <v>2</v>
      </c>
      <c r="K147" s="5">
        <v>2</v>
      </c>
      <c r="L147" s="4">
        <v>0</v>
      </c>
      <c r="M147" s="4">
        <v>270</v>
      </c>
      <c r="N147" s="4">
        <v>171</v>
      </c>
      <c r="O147" s="6">
        <f>IFERROR(1-N147/M147,"-")</f>
        <v>0.3666666666666667</v>
      </c>
      <c r="P147" s="4" t="s">
        <v>422</v>
      </c>
      <c r="Q147" s="4" t="s">
        <v>422</v>
      </c>
      <c r="R147" s="4" t="s">
        <v>422</v>
      </c>
      <c r="S147" s="4" t="s">
        <v>422</v>
      </c>
      <c r="T147" s="4" t="s">
        <v>422</v>
      </c>
      <c r="U147" s="4" t="s">
        <v>422</v>
      </c>
      <c r="V147" s="4" t="s">
        <v>422</v>
      </c>
      <c r="W147" s="4" t="s">
        <v>422</v>
      </c>
      <c r="X147" s="4" t="s">
        <v>422</v>
      </c>
      <c r="Y147" s="4">
        <v>0</v>
      </c>
      <c r="Z147" s="4">
        <f>IF(AC147="",Y147,Y147*AC147)</f>
        <v>0</v>
      </c>
      <c r="AA147" s="4">
        <v>184</v>
      </c>
      <c r="AB147" s="4">
        <f>IF(AC147="",AA147,AA147*AC147)</f>
        <v>184</v>
      </c>
      <c r="AC147" s="4"/>
      <c r="AD147" s="21">
        <f>ROUND(M147*AR147,0)</f>
        <v>291</v>
      </c>
      <c r="AE147" s="6">
        <f>IFERROR(1-AB147/AD147,"-")</f>
        <v>0.36769759450171824</v>
      </c>
      <c r="AF147" s="33">
        <v>5</v>
      </c>
      <c r="AG147" s="4">
        <f>BI147</f>
        <v>453</v>
      </c>
      <c r="AH147" s="33">
        <f>IFERROR(AG147*AR147,"-")</f>
        <v>487.43859649122805</v>
      </c>
      <c r="AI147" s="6">
        <f>IFERROR(1-AB147/AH147,"-")</f>
        <v>0.6225165562913908</v>
      </c>
      <c r="AJ147" s="7">
        <v>320</v>
      </c>
      <c r="AK147" s="6">
        <f>1-AB147/AJ147</f>
        <v>0.42500000000000004</v>
      </c>
      <c r="AL147" s="4">
        <f>AJ147-AB147</f>
        <v>136</v>
      </c>
      <c r="AM147" s="28"/>
      <c r="AN147" s="6"/>
      <c r="AO147" s="6"/>
      <c r="AP147" s="6" t="str">
        <f>IFERROR(Z147/L147,"-")</f>
        <v>-</v>
      </c>
      <c r="AQ147" s="6">
        <f>IFERROR(AJ147/M147,"-")</f>
        <v>1.1851851851851851</v>
      </c>
      <c r="AR147" s="6">
        <f>IFERROR(AB147/N147,"-")</f>
        <v>1.0760233918128654</v>
      </c>
      <c r="AS147" s="4" t="str">
        <f t="shared" si="22"/>
        <v>-</v>
      </c>
      <c r="AT147" s="4"/>
      <c r="AU147" s="4" t="str">
        <f t="shared" si="23"/>
        <v>-</v>
      </c>
      <c r="AV147" s="4" t="str">
        <f t="shared" si="24"/>
        <v>-</v>
      </c>
      <c r="AW147" s="4" t="str">
        <f t="shared" si="25"/>
        <v>-</v>
      </c>
      <c r="AX147" s="4" t="str">
        <f t="shared" si="26"/>
        <v>-</v>
      </c>
      <c r="AY147" s="4" t="str">
        <f t="shared" si="27"/>
        <v>-</v>
      </c>
      <c r="AZ147" s="4" t="str">
        <f t="shared" si="28"/>
        <v>-</v>
      </c>
      <c r="BA147" s="4" t="str">
        <f t="shared" si="29"/>
        <v>-</v>
      </c>
      <c r="BB147" s="4" t="str">
        <f t="shared" si="30"/>
        <v>-</v>
      </c>
      <c r="BC147" s="4" t="s">
        <v>407</v>
      </c>
      <c r="BD147" s="4" t="s">
        <v>657</v>
      </c>
      <c r="BE147" s="4"/>
      <c r="BF147" s="4"/>
      <c r="BG147" s="4" t="s">
        <v>563</v>
      </c>
      <c r="BH147" s="4">
        <v>453</v>
      </c>
      <c r="BI147" s="4">
        <f>IF(BE147="",BH147,BE147/BF147*BH147)</f>
        <v>453</v>
      </c>
      <c r="BJ147" s="19">
        <v>4</v>
      </c>
      <c r="BK147" s="19">
        <v>1</v>
      </c>
      <c r="BL147" s="16">
        <v>3</v>
      </c>
      <c r="BM147" t="s">
        <v>422</v>
      </c>
      <c r="BN147" t="str">
        <f t="shared" si="31"/>
        <v>-</v>
      </c>
      <c r="BO147">
        <v>437</v>
      </c>
      <c r="BP147">
        <f t="shared" si="32"/>
        <v>470.22222222222217</v>
      </c>
      <c r="BQ147" t="s">
        <v>506</v>
      </c>
    </row>
    <row r="148" spans="1:69" x14ac:dyDescent="0.4">
      <c r="A148" s="3">
        <v>192</v>
      </c>
      <c r="B148" s="3">
        <v>27</v>
      </c>
      <c r="C148" s="46">
        <v>758079</v>
      </c>
      <c r="D148" s="4" t="str">
        <f>TEXT(C148,"000000")</f>
        <v>758079</v>
      </c>
      <c r="E148" s="4">
        <v>629501</v>
      </c>
      <c r="F148" s="4" t="s">
        <v>332</v>
      </c>
      <c r="G148" s="5">
        <v>4996297301608</v>
      </c>
      <c r="H148" s="5">
        <v>8</v>
      </c>
      <c r="I148" s="5" t="str">
        <f>C148&amp;H148</f>
        <v>7580798</v>
      </c>
      <c r="J148" s="5"/>
      <c r="K148" s="5"/>
      <c r="L148" s="4">
        <v>0</v>
      </c>
      <c r="M148" s="4">
        <v>2607</v>
      </c>
      <c r="N148" s="4">
        <v>1710</v>
      </c>
      <c r="O148" s="6">
        <f>IFERROR(1-N148/M148,"-")</f>
        <v>0.34407364787111627</v>
      </c>
      <c r="P148" s="4" t="s">
        <v>422</v>
      </c>
      <c r="Q148" s="4" t="s">
        <v>422</v>
      </c>
      <c r="R148" s="4" t="s">
        <v>422</v>
      </c>
      <c r="S148" s="4" t="s">
        <v>422</v>
      </c>
      <c r="T148" s="4" t="s">
        <v>422</v>
      </c>
      <c r="U148" s="4" t="s">
        <v>422</v>
      </c>
      <c r="V148" s="4" t="s">
        <v>422</v>
      </c>
      <c r="W148" s="4" t="s">
        <v>422</v>
      </c>
      <c r="X148" s="4" t="s">
        <v>422</v>
      </c>
      <c r="Y148" s="4">
        <v>0</v>
      </c>
      <c r="Z148" s="4">
        <f>IF(AC148="",Y148,Y148*AC148)</f>
        <v>0</v>
      </c>
      <c r="AA148" s="4">
        <v>184</v>
      </c>
      <c r="AB148" s="4">
        <f>IF(AC148="",AA148,AA148*AC148)</f>
        <v>1840</v>
      </c>
      <c r="AC148" s="4">
        <v>10</v>
      </c>
      <c r="AD148" s="21">
        <f>ROUND(M148*AR148,0)</f>
        <v>2805</v>
      </c>
      <c r="AE148" s="6">
        <f>IFERROR(1-AB148/AD148,"-")</f>
        <v>0.3440285204991087</v>
      </c>
      <c r="AF148" s="33">
        <v>5</v>
      </c>
      <c r="AG148" s="4">
        <f>BI148</f>
        <v>4530</v>
      </c>
      <c r="AH148" s="33">
        <f>IFERROR(AG148*AR148,"-")</f>
        <v>4874.3859649122805</v>
      </c>
      <c r="AI148" s="6">
        <f>IFERROR(1-AB148/AH148,"-")</f>
        <v>0.6225165562913908</v>
      </c>
      <c r="AJ148" s="7">
        <v>3000</v>
      </c>
      <c r="AK148" s="6">
        <f>1-AB148/AJ148</f>
        <v>0.38666666666666671</v>
      </c>
      <c r="AL148" s="4">
        <f>AJ148-AB148</f>
        <v>1160</v>
      </c>
      <c r="AM148" s="28"/>
      <c r="AN148" s="6"/>
      <c r="AO148" s="6"/>
      <c r="AP148" s="6" t="str">
        <f>IFERROR(Z148/L148,"-")</f>
        <v>-</v>
      </c>
      <c r="AQ148" s="6">
        <f>IFERROR(AJ148/M148,"-")</f>
        <v>1.1507479861910241</v>
      </c>
      <c r="AR148" s="6">
        <f>IFERROR(AB148/N148,"-")</f>
        <v>1.0760233918128654</v>
      </c>
      <c r="AS148" s="4" t="str">
        <f t="shared" si="22"/>
        <v>-</v>
      </c>
      <c r="AT148" s="4"/>
      <c r="AU148" s="4" t="str">
        <f t="shared" si="23"/>
        <v>-</v>
      </c>
      <c r="AV148" s="4" t="str">
        <f t="shared" si="24"/>
        <v>-</v>
      </c>
      <c r="AW148" s="4" t="str">
        <f t="shared" si="25"/>
        <v>-</v>
      </c>
      <c r="AX148" s="4" t="str">
        <f t="shared" si="26"/>
        <v>-</v>
      </c>
      <c r="AY148" s="4" t="str">
        <f t="shared" si="27"/>
        <v>-</v>
      </c>
      <c r="AZ148" s="4" t="str">
        <f t="shared" si="28"/>
        <v>-</v>
      </c>
      <c r="BA148" s="4" t="str">
        <f t="shared" si="29"/>
        <v>-</v>
      </c>
      <c r="BB148" s="4" t="str">
        <f t="shared" si="30"/>
        <v>-</v>
      </c>
      <c r="BC148" s="4" t="s">
        <v>407</v>
      </c>
      <c r="BD148" s="4" t="s">
        <v>657</v>
      </c>
      <c r="BE148" s="4">
        <v>10</v>
      </c>
      <c r="BF148" s="4">
        <v>1</v>
      </c>
      <c r="BG148" s="4" t="s">
        <v>563</v>
      </c>
      <c r="BH148" s="4">
        <v>453</v>
      </c>
      <c r="BI148" s="4">
        <f>IF(BE148="",BH148,BE148/BF148*BH148)</f>
        <v>4530</v>
      </c>
      <c r="BJ148" s="19">
        <v>4</v>
      </c>
      <c r="BK148" s="19">
        <v>1</v>
      </c>
      <c r="BL148" s="16">
        <v>3</v>
      </c>
      <c r="BM148" t="s">
        <v>422</v>
      </c>
      <c r="BN148" t="str">
        <f t="shared" si="31"/>
        <v>-</v>
      </c>
      <c r="BO148">
        <v>437</v>
      </c>
      <c r="BP148">
        <f t="shared" si="32"/>
        <v>470.22222222222217</v>
      </c>
      <c r="BQ148" t="s">
        <v>506</v>
      </c>
    </row>
    <row r="149" spans="1:69" x14ac:dyDescent="0.4">
      <c r="A149" s="3">
        <v>3</v>
      </c>
      <c r="B149" s="3">
        <v>3</v>
      </c>
      <c r="C149" s="46">
        <v>3992</v>
      </c>
      <c r="D149" s="4" t="str">
        <f>TEXT(C149,"000000")</f>
        <v>003992</v>
      </c>
      <c r="E149" s="4">
        <v>588933</v>
      </c>
      <c r="F149" s="4" t="s">
        <v>118</v>
      </c>
      <c r="G149" s="5">
        <v>4710581344078</v>
      </c>
      <c r="H149" s="5"/>
      <c r="I149" s="5"/>
      <c r="J149" s="5">
        <v>2</v>
      </c>
      <c r="K149" s="5">
        <v>2</v>
      </c>
      <c r="L149" s="4">
        <v>0</v>
      </c>
      <c r="M149" s="4">
        <v>320</v>
      </c>
      <c r="N149" s="4">
        <v>163</v>
      </c>
      <c r="O149" s="6">
        <f>IFERROR(1-N149/M149,"-")</f>
        <v>0.49062499999999998</v>
      </c>
      <c r="P149" s="4" t="s">
        <v>422</v>
      </c>
      <c r="Q149" s="4" t="s">
        <v>422</v>
      </c>
      <c r="R149" s="4" t="s">
        <v>422</v>
      </c>
      <c r="S149" s="4" t="s">
        <v>422</v>
      </c>
      <c r="T149" s="4" t="s">
        <v>422</v>
      </c>
      <c r="U149" s="4" t="s">
        <v>422</v>
      </c>
      <c r="V149" s="4" t="s">
        <v>422</v>
      </c>
      <c r="W149" s="4" t="s">
        <v>422</v>
      </c>
      <c r="X149" s="4" t="s">
        <v>422</v>
      </c>
      <c r="Y149" s="4">
        <v>0</v>
      </c>
      <c r="Z149" s="4">
        <f>IF(AC149="",Y149,Y149*AC149)</f>
        <v>0</v>
      </c>
      <c r="AA149" s="4">
        <v>187</v>
      </c>
      <c r="AB149" s="4">
        <f>IF(AC149="",AA149,AA149*AC149)</f>
        <v>187</v>
      </c>
      <c r="AC149" s="4"/>
      <c r="AD149" s="21">
        <f>ROUND(M149*AR149,0)</f>
        <v>367</v>
      </c>
      <c r="AE149" s="6">
        <f>IFERROR(1-AB149/AD149,"-")</f>
        <v>0.49046321525885561</v>
      </c>
      <c r="AF149" s="33">
        <v>254.99999999999997</v>
      </c>
      <c r="AG149" s="4">
        <f>BI149</f>
        <v>336</v>
      </c>
      <c r="AH149" s="33">
        <f>IFERROR(AG149*AR149,"-")</f>
        <v>385.47239263803681</v>
      </c>
      <c r="AI149" s="6">
        <f>IFERROR(1-AB149/AH149,"-")</f>
        <v>0.51488095238095233</v>
      </c>
      <c r="AJ149" s="7">
        <v>330</v>
      </c>
      <c r="AK149" s="6">
        <f>1-AB149/AJ149</f>
        <v>0.43333333333333335</v>
      </c>
      <c r="AL149" s="4">
        <f>AJ149-AB149</f>
        <v>143</v>
      </c>
      <c r="AM149" s="28"/>
      <c r="AN149" s="6"/>
      <c r="AO149" s="6"/>
      <c r="AP149" s="6" t="str">
        <f>IFERROR(Z149/L149,"-")</f>
        <v>-</v>
      </c>
      <c r="AQ149" s="6">
        <f>IFERROR(AJ149/M149,"-")</f>
        <v>1.03125</v>
      </c>
      <c r="AR149" s="6">
        <f>IFERROR(AB149/N149,"-")</f>
        <v>1.147239263803681</v>
      </c>
      <c r="AS149" s="4" t="str">
        <f t="shared" si="22"/>
        <v>-</v>
      </c>
      <c r="AT149" s="4"/>
      <c r="AU149" s="4" t="str">
        <f t="shared" si="23"/>
        <v>-</v>
      </c>
      <c r="AV149" s="4" t="str">
        <f t="shared" si="24"/>
        <v>-</v>
      </c>
      <c r="AW149" s="4" t="str">
        <f t="shared" si="25"/>
        <v>-</v>
      </c>
      <c r="AX149" s="4" t="str">
        <f t="shared" si="26"/>
        <v>-</v>
      </c>
      <c r="AY149" s="4" t="str">
        <f t="shared" si="27"/>
        <v>-</v>
      </c>
      <c r="AZ149" s="4" t="str">
        <f t="shared" si="28"/>
        <v>-</v>
      </c>
      <c r="BA149" s="4" t="str">
        <f t="shared" si="29"/>
        <v>-</v>
      </c>
      <c r="BB149" s="4" t="str">
        <f t="shared" si="30"/>
        <v>-</v>
      </c>
      <c r="BC149" s="4">
        <v>12479</v>
      </c>
      <c r="BD149" s="4" t="s">
        <v>658</v>
      </c>
      <c r="BE149" s="4"/>
      <c r="BF149" s="4"/>
      <c r="BG149" s="4" t="s">
        <v>639</v>
      </c>
      <c r="BH149" s="4">
        <v>336</v>
      </c>
      <c r="BI149" s="4">
        <f>IF(BE149="",BH149,BE149/BF149*BH149)</f>
        <v>336</v>
      </c>
      <c r="BJ149" s="19">
        <v>4</v>
      </c>
      <c r="BK149" s="19">
        <v>1</v>
      </c>
      <c r="BL149" s="16">
        <v>3</v>
      </c>
      <c r="BM149">
        <v>240</v>
      </c>
      <c r="BN149">
        <f t="shared" si="31"/>
        <v>275.33742331288346</v>
      </c>
      <c r="BO149">
        <v>504</v>
      </c>
      <c r="BP149">
        <f t="shared" si="32"/>
        <v>578.20858895705521</v>
      </c>
      <c r="BQ149" t="s">
        <v>507</v>
      </c>
    </row>
    <row r="150" spans="1:69" x14ac:dyDescent="0.4">
      <c r="A150" s="3">
        <v>179</v>
      </c>
      <c r="B150" s="3">
        <v>3</v>
      </c>
      <c r="C150" s="46">
        <v>3992</v>
      </c>
      <c r="D150" s="4" t="str">
        <f>TEXT(C150,"000000")</f>
        <v>003992</v>
      </c>
      <c r="E150" s="4">
        <v>629701</v>
      </c>
      <c r="F150" s="4" t="s">
        <v>319</v>
      </c>
      <c r="G150" s="5">
        <v>4710581344078</v>
      </c>
      <c r="H150" s="5">
        <v>8</v>
      </c>
      <c r="I150" s="5" t="str">
        <f>C150&amp;H150</f>
        <v>39928</v>
      </c>
      <c r="J150" s="5"/>
      <c r="K150" s="5"/>
      <c r="L150" s="4">
        <v>0</v>
      </c>
      <c r="M150" s="4">
        <v>2980</v>
      </c>
      <c r="N150" s="4">
        <v>1630</v>
      </c>
      <c r="O150" s="6">
        <f>IFERROR(1-N150/M150,"-")</f>
        <v>0.45302013422818788</v>
      </c>
      <c r="P150" s="4" t="s">
        <v>422</v>
      </c>
      <c r="Q150" s="4" t="s">
        <v>422</v>
      </c>
      <c r="R150" s="4" t="s">
        <v>422</v>
      </c>
      <c r="S150" s="4" t="s">
        <v>422</v>
      </c>
      <c r="T150" s="4" t="s">
        <v>422</v>
      </c>
      <c r="U150" s="4" t="s">
        <v>422</v>
      </c>
      <c r="V150" s="4" t="s">
        <v>422</v>
      </c>
      <c r="W150" s="4" t="s">
        <v>422</v>
      </c>
      <c r="X150" s="4" t="s">
        <v>422</v>
      </c>
      <c r="Y150" s="4">
        <v>0</v>
      </c>
      <c r="Z150" s="4">
        <f>IF(AC150="",Y150,Y150*AC150)</f>
        <v>0</v>
      </c>
      <c r="AA150" s="4">
        <v>187</v>
      </c>
      <c r="AB150" s="4">
        <f>IF(AC150="",AA150,AA150*AC150)</f>
        <v>1870</v>
      </c>
      <c r="AC150" s="4">
        <v>10</v>
      </c>
      <c r="AD150" s="21">
        <f>ROUND(M150*AR150,0)</f>
        <v>3419</v>
      </c>
      <c r="AE150" s="6">
        <f>IFERROR(1-AB150/AD150,"-")</f>
        <v>0.45305644925416788</v>
      </c>
      <c r="AF150" s="33">
        <v>254.99999999999997</v>
      </c>
      <c r="AG150" s="4">
        <f>BI150</f>
        <v>3205</v>
      </c>
      <c r="AH150" s="33">
        <f>IFERROR(AG150*AR150,"-")</f>
        <v>3676.9018404907979</v>
      </c>
      <c r="AI150" s="6">
        <f>IFERROR(1-AB150/AH150,"-")</f>
        <v>0.49141965678627153</v>
      </c>
      <c r="AJ150" s="7">
        <v>3100</v>
      </c>
      <c r="AK150" s="6">
        <f>1-AB150/AJ150</f>
        <v>0.39677419354838706</v>
      </c>
      <c r="AL150" s="4">
        <f>AJ150-AB150</f>
        <v>1230</v>
      </c>
      <c r="AM150" s="28"/>
      <c r="AN150" s="6"/>
      <c r="AO150" s="6"/>
      <c r="AP150" s="6" t="str">
        <f>IFERROR(Z150/L150,"-")</f>
        <v>-</v>
      </c>
      <c r="AQ150" s="6">
        <f>IFERROR(AJ150/M150,"-")</f>
        <v>1.0402684563758389</v>
      </c>
      <c r="AR150" s="6">
        <f>IFERROR(AB150/N150,"-")</f>
        <v>1.147239263803681</v>
      </c>
      <c r="AS150" s="4" t="str">
        <f t="shared" si="22"/>
        <v>-</v>
      </c>
      <c r="AT150" s="4"/>
      <c r="AU150" s="4" t="str">
        <f t="shared" si="23"/>
        <v>-</v>
      </c>
      <c r="AV150" s="4" t="str">
        <f t="shared" si="24"/>
        <v>-</v>
      </c>
      <c r="AW150" s="4" t="str">
        <f t="shared" si="25"/>
        <v>-</v>
      </c>
      <c r="AX150" s="4" t="str">
        <f t="shared" si="26"/>
        <v>-</v>
      </c>
      <c r="AY150" s="4" t="str">
        <f t="shared" si="27"/>
        <v>-</v>
      </c>
      <c r="AZ150" s="4" t="str">
        <f t="shared" si="28"/>
        <v>-</v>
      </c>
      <c r="BA150" s="4" t="str">
        <f t="shared" si="29"/>
        <v>-</v>
      </c>
      <c r="BB150" s="4" t="str">
        <f t="shared" si="30"/>
        <v>-</v>
      </c>
      <c r="BC150" s="4">
        <v>12479</v>
      </c>
      <c r="BD150" s="4" t="s">
        <v>659</v>
      </c>
      <c r="BE150" s="4"/>
      <c r="BF150" s="4"/>
      <c r="BG150" s="4" t="s">
        <v>660</v>
      </c>
      <c r="BH150" s="4">
        <v>3205</v>
      </c>
      <c r="BI150" s="4">
        <f>IF(BE150="",BH150,BE150/BF150*BH150)</f>
        <v>3205</v>
      </c>
      <c r="BJ150" s="19">
        <v>4</v>
      </c>
      <c r="BK150" s="19">
        <v>1</v>
      </c>
      <c r="BL150" s="16">
        <v>3</v>
      </c>
      <c r="BM150">
        <v>240</v>
      </c>
      <c r="BN150">
        <f t="shared" si="31"/>
        <v>275.33742331288346</v>
      </c>
      <c r="BO150">
        <v>504</v>
      </c>
      <c r="BP150">
        <f t="shared" si="32"/>
        <v>578.20858895705521</v>
      </c>
      <c r="BQ150" t="s">
        <v>508</v>
      </c>
    </row>
    <row r="151" spans="1:69" x14ac:dyDescent="0.4">
      <c r="A151" s="3">
        <v>57</v>
      </c>
      <c r="B151" s="3">
        <v>57</v>
      </c>
      <c r="C151" s="46">
        <v>399303</v>
      </c>
      <c r="D151" s="4" t="str">
        <f>TEXT(C151,"000000")</f>
        <v>399303</v>
      </c>
      <c r="E151" s="4">
        <v>588951</v>
      </c>
      <c r="F151" s="4" t="s">
        <v>171</v>
      </c>
      <c r="G151" s="5">
        <v>4996297344032</v>
      </c>
      <c r="H151" s="5"/>
      <c r="I151" s="5"/>
      <c r="J151" s="5">
        <v>2</v>
      </c>
      <c r="K151" s="5">
        <v>2</v>
      </c>
      <c r="L151" s="4">
        <v>0</v>
      </c>
      <c r="M151" s="4">
        <v>283</v>
      </c>
      <c r="N151" s="4">
        <v>163</v>
      </c>
      <c r="O151" s="6">
        <f>IFERROR(1-N151/M151,"-")</f>
        <v>0.42402826855123676</v>
      </c>
      <c r="P151" s="4" t="s">
        <v>422</v>
      </c>
      <c r="Q151" s="4" t="s">
        <v>422</v>
      </c>
      <c r="R151" s="4" t="s">
        <v>422</v>
      </c>
      <c r="S151" s="4" t="s">
        <v>422</v>
      </c>
      <c r="T151" s="4" t="s">
        <v>422</v>
      </c>
      <c r="U151" s="4" t="s">
        <v>422</v>
      </c>
      <c r="V151" s="4" t="s">
        <v>422</v>
      </c>
      <c r="W151" s="4" t="s">
        <v>422</v>
      </c>
      <c r="X151" s="4" t="s">
        <v>422</v>
      </c>
      <c r="Y151" s="4">
        <v>0</v>
      </c>
      <c r="Z151" s="4">
        <f>IF(AC151="",Y151,Y151*AC151)</f>
        <v>0</v>
      </c>
      <c r="AA151" s="4">
        <v>187</v>
      </c>
      <c r="AB151" s="4">
        <f>IF(AC151="",AA151,AA151*AC151)</f>
        <v>187</v>
      </c>
      <c r="AC151" s="4"/>
      <c r="AD151" s="21">
        <f>ROUND(M151*AR151,0)</f>
        <v>325</v>
      </c>
      <c r="AE151" s="6">
        <f>IFERROR(1-AB151/AD151,"-")</f>
        <v>0.42461538461538462</v>
      </c>
      <c r="AF151" s="33">
        <v>60</v>
      </c>
      <c r="AG151" s="4">
        <f>BI151</f>
        <v>360</v>
      </c>
      <c r="AH151" s="33">
        <f>IFERROR(AG151*AR151,"-")</f>
        <v>413.00613496932516</v>
      </c>
      <c r="AI151" s="6">
        <f>IFERROR(1-AB151/AH151,"-")</f>
        <v>0.54722222222222228</v>
      </c>
      <c r="AJ151" s="7">
        <v>330</v>
      </c>
      <c r="AK151" s="6">
        <f>1-AB151/AJ151</f>
        <v>0.43333333333333335</v>
      </c>
      <c r="AL151" s="4">
        <f>AJ151-AB151</f>
        <v>143</v>
      </c>
      <c r="AM151" s="28"/>
      <c r="AN151" s="6"/>
      <c r="AO151" s="6"/>
      <c r="AP151" s="6" t="str">
        <f>IFERROR(Z151/L151,"-")</f>
        <v>-</v>
      </c>
      <c r="AQ151" s="6">
        <f>IFERROR(AJ151/M151,"-")</f>
        <v>1.1660777385159011</v>
      </c>
      <c r="AR151" s="6">
        <f>IFERROR(AB151/N151,"-")</f>
        <v>1.147239263803681</v>
      </c>
      <c r="AS151" s="4" t="str">
        <f t="shared" si="22"/>
        <v>-</v>
      </c>
      <c r="AT151" s="4"/>
      <c r="AU151" s="4" t="str">
        <f t="shared" si="23"/>
        <v>-</v>
      </c>
      <c r="AV151" s="4" t="str">
        <f t="shared" si="24"/>
        <v>-</v>
      </c>
      <c r="AW151" s="4" t="str">
        <f t="shared" si="25"/>
        <v>-</v>
      </c>
      <c r="AX151" s="4" t="str">
        <f t="shared" si="26"/>
        <v>-</v>
      </c>
      <c r="AY151" s="4" t="str">
        <f t="shared" si="27"/>
        <v>-</v>
      </c>
      <c r="AZ151" s="4" t="str">
        <f t="shared" si="28"/>
        <v>-</v>
      </c>
      <c r="BA151" s="4" t="str">
        <f t="shared" si="29"/>
        <v>-</v>
      </c>
      <c r="BB151" s="4" t="str">
        <f t="shared" si="30"/>
        <v>-</v>
      </c>
      <c r="BC151" s="4">
        <v>12479</v>
      </c>
      <c r="BD151" s="4" t="s">
        <v>661</v>
      </c>
      <c r="BE151" s="4"/>
      <c r="BF151" s="4"/>
      <c r="BG151" s="4" t="s">
        <v>639</v>
      </c>
      <c r="BH151" s="4">
        <v>360</v>
      </c>
      <c r="BI151" s="4">
        <f>IF(BE151="",BH151,BE151/BF151*BH151)</f>
        <v>360</v>
      </c>
      <c r="BJ151" s="19">
        <v>4</v>
      </c>
      <c r="BK151" s="19">
        <v>1</v>
      </c>
      <c r="BL151" s="16">
        <v>3</v>
      </c>
      <c r="BM151">
        <v>240</v>
      </c>
      <c r="BN151">
        <f t="shared" si="31"/>
        <v>275.33742331288346</v>
      </c>
      <c r="BO151">
        <v>561</v>
      </c>
      <c r="BP151">
        <f t="shared" si="32"/>
        <v>643.601226993865</v>
      </c>
      <c r="BQ151" t="s">
        <v>509</v>
      </c>
    </row>
    <row r="152" spans="1:69" x14ac:dyDescent="0.4">
      <c r="A152" s="3">
        <v>203</v>
      </c>
      <c r="B152" s="3">
        <v>57</v>
      </c>
      <c r="C152" s="46">
        <v>399303</v>
      </c>
      <c r="D152" s="4" t="str">
        <f>TEXT(C152,"000000")</f>
        <v>399303</v>
      </c>
      <c r="E152" s="4">
        <v>629699</v>
      </c>
      <c r="F152" s="4" t="s">
        <v>343</v>
      </c>
      <c r="G152" s="5">
        <v>4996297344032</v>
      </c>
      <c r="H152" s="5">
        <v>8</v>
      </c>
      <c r="I152" s="5" t="str">
        <f>C152&amp;H152</f>
        <v>3993038</v>
      </c>
      <c r="J152" s="5"/>
      <c r="K152" s="5"/>
      <c r="L152" s="4">
        <v>0</v>
      </c>
      <c r="M152" s="4">
        <v>2781</v>
      </c>
      <c r="N152" s="4">
        <v>1630</v>
      </c>
      <c r="O152" s="6">
        <f>IFERROR(1-N152/M152,"-")</f>
        <v>0.41387989931679248</v>
      </c>
      <c r="P152" s="4" t="s">
        <v>422</v>
      </c>
      <c r="Q152" s="4" t="s">
        <v>422</v>
      </c>
      <c r="R152" s="4" t="s">
        <v>422</v>
      </c>
      <c r="S152" s="4" t="s">
        <v>422</v>
      </c>
      <c r="T152" s="4" t="s">
        <v>422</v>
      </c>
      <c r="U152" s="4" t="s">
        <v>422</v>
      </c>
      <c r="V152" s="4" t="s">
        <v>422</v>
      </c>
      <c r="W152" s="4" t="s">
        <v>422</v>
      </c>
      <c r="X152" s="4" t="s">
        <v>422</v>
      </c>
      <c r="Y152" s="4">
        <v>0</v>
      </c>
      <c r="Z152" s="4">
        <f>IF(AC152="",Y152,Y152*AC152)</f>
        <v>0</v>
      </c>
      <c r="AA152" s="4">
        <v>187</v>
      </c>
      <c r="AB152" s="4">
        <f>IF(AC152="",AA152,AA152*AC152)</f>
        <v>1870</v>
      </c>
      <c r="AC152" s="4">
        <v>10</v>
      </c>
      <c r="AD152" s="21">
        <f>ROUND(M152*AR152,0)</f>
        <v>3190</v>
      </c>
      <c r="AE152" s="6">
        <f>IFERROR(1-AB152/AD152,"-")</f>
        <v>0.41379310344827591</v>
      </c>
      <c r="AF152" s="33">
        <v>60</v>
      </c>
      <c r="AG152" s="4">
        <f>BI152</f>
        <v>3430</v>
      </c>
      <c r="AH152" s="33">
        <f>IFERROR(AG152*AR152,"-")</f>
        <v>3935.030674846626</v>
      </c>
      <c r="AI152" s="6">
        <f>IFERROR(1-AB152/AH152,"-")</f>
        <v>0.52478134110787167</v>
      </c>
      <c r="AJ152" s="7">
        <v>3100</v>
      </c>
      <c r="AK152" s="6">
        <f>1-AB152/AJ152</f>
        <v>0.39677419354838706</v>
      </c>
      <c r="AL152" s="4">
        <f>AJ152-AB152</f>
        <v>1230</v>
      </c>
      <c r="AM152" s="28"/>
      <c r="AN152" s="6"/>
      <c r="AO152" s="6"/>
      <c r="AP152" s="6" t="str">
        <f>IFERROR(Z152/L152,"-")</f>
        <v>-</v>
      </c>
      <c r="AQ152" s="6">
        <f>IFERROR(AJ152/M152,"-")</f>
        <v>1.1147069399496583</v>
      </c>
      <c r="AR152" s="6">
        <f>IFERROR(AB152/N152,"-")</f>
        <v>1.147239263803681</v>
      </c>
      <c r="AS152" s="4" t="str">
        <f t="shared" si="22"/>
        <v>-</v>
      </c>
      <c r="AT152" s="4"/>
      <c r="AU152" s="4" t="str">
        <f t="shared" si="23"/>
        <v>-</v>
      </c>
      <c r="AV152" s="4" t="str">
        <f t="shared" si="24"/>
        <v>-</v>
      </c>
      <c r="AW152" s="4" t="str">
        <f t="shared" si="25"/>
        <v>-</v>
      </c>
      <c r="AX152" s="4" t="str">
        <f t="shared" si="26"/>
        <v>-</v>
      </c>
      <c r="AY152" s="4" t="str">
        <f t="shared" si="27"/>
        <v>-</v>
      </c>
      <c r="AZ152" s="4" t="str">
        <f t="shared" si="28"/>
        <v>-</v>
      </c>
      <c r="BA152" s="4" t="str">
        <f t="shared" si="29"/>
        <v>-</v>
      </c>
      <c r="BB152" s="4" t="str">
        <f t="shared" si="30"/>
        <v>-</v>
      </c>
      <c r="BC152" s="4">
        <v>12479</v>
      </c>
      <c r="BD152" s="4" t="s">
        <v>662</v>
      </c>
      <c r="BE152" s="4"/>
      <c r="BF152" s="4"/>
      <c r="BG152" s="4" t="s">
        <v>660</v>
      </c>
      <c r="BH152" s="4">
        <v>3430</v>
      </c>
      <c r="BI152" s="4">
        <f>IF(BE152="",BH152,BE152/BF152*BH152)</f>
        <v>3430</v>
      </c>
      <c r="BJ152" s="19">
        <v>4</v>
      </c>
      <c r="BK152" s="19">
        <v>1</v>
      </c>
      <c r="BL152" s="16">
        <v>3</v>
      </c>
      <c r="BM152">
        <v>240</v>
      </c>
      <c r="BN152">
        <f t="shared" si="31"/>
        <v>275.33742331288346</v>
      </c>
      <c r="BO152">
        <v>561</v>
      </c>
      <c r="BP152">
        <f t="shared" si="32"/>
        <v>643.601226993865</v>
      </c>
      <c r="BQ152" t="s">
        <v>510</v>
      </c>
    </row>
    <row r="153" spans="1:69" x14ac:dyDescent="0.4">
      <c r="A153" s="3">
        <v>54</v>
      </c>
      <c r="B153" s="3">
        <v>54</v>
      </c>
      <c r="C153" s="46">
        <v>399305</v>
      </c>
      <c r="D153" s="4" t="str">
        <f>TEXT(C153,"000000")</f>
        <v>399305</v>
      </c>
      <c r="E153" s="4">
        <v>588969</v>
      </c>
      <c r="F153" s="4" t="s">
        <v>169</v>
      </c>
      <c r="G153" s="5">
        <v>4996297344001</v>
      </c>
      <c r="H153" s="5"/>
      <c r="I153" s="5"/>
      <c r="J153" s="5">
        <v>2</v>
      </c>
      <c r="K153" s="5">
        <v>2</v>
      </c>
      <c r="L153" s="4">
        <v>0</v>
      </c>
      <c r="M153" s="4">
        <v>283</v>
      </c>
      <c r="N153" s="4">
        <v>163</v>
      </c>
      <c r="O153" s="6">
        <f>IFERROR(1-N153/M153,"-")</f>
        <v>0.42402826855123676</v>
      </c>
      <c r="P153" s="4" t="s">
        <v>422</v>
      </c>
      <c r="Q153" s="4" t="s">
        <v>422</v>
      </c>
      <c r="R153" s="4" t="s">
        <v>422</v>
      </c>
      <c r="S153" s="4" t="s">
        <v>422</v>
      </c>
      <c r="T153" s="4" t="s">
        <v>422</v>
      </c>
      <c r="U153" s="4" t="s">
        <v>422</v>
      </c>
      <c r="V153" s="4" t="s">
        <v>422</v>
      </c>
      <c r="W153" s="4" t="s">
        <v>422</v>
      </c>
      <c r="X153" s="4" t="s">
        <v>422</v>
      </c>
      <c r="Y153" s="4">
        <v>0</v>
      </c>
      <c r="Z153" s="4">
        <f>IF(AC153="",Y153,Y153*AC153)</f>
        <v>0</v>
      </c>
      <c r="AA153" s="4">
        <v>187</v>
      </c>
      <c r="AB153" s="4">
        <f>IF(AC153="",AA153,AA153*AC153)</f>
        <v>187</v>
      </c>
      <c r="AC153" s="4"/>
      <c r="AD153" s="21">
        <f>ROUND(M153*AR153,0)</f>
        <v>325</v>
      </c>
      <c r="AE153" s="6">
        <f>IFERROR(1-AB153/AD153,"-")</f>
        <v>0.42461538461538462</v>
      </c>
      <c r="AF153" s="33">
        <v>119.24999999999999</v>
      </c>
      <c r="AG153" s="4">
        <f>BI153</f>
        <v>396</v>
      </c>
      <c r="AH153" s="33">
        <f>IFERROR(AG153*AR153,"-")</f>
        <v>454.30674846625766</v>
      </c>
      <c r="AI153" s="6">
        <f>IFERROR(1-AB153/AH153,"-")</f>
        <v>0.58838383838383845</v>
      </c>
      <c r="AJ153" s="7">
        <v>330</v>
      </c>
      <c r="AK153" s="6">
        <f>1-AB153/AJ153</f>
        <v>0.43333333333333335</v>
      </c>
      <c r="AL153" s="4">
        <f>AJ153-AB153</f>
        <v>143</v>
      </c>
      <c r="AM153" s="28"/>
      <c r="AN153" s="6"/>
      <c r="AO153" s="6"/>
      <c r="AP153" s="6" t="str">
        <f>IFERROR(Z153/L153,"-")</f>
        <v>-</v>
      </c>
      <c r="AQ153" s="6">
        <f>IFERROR(AJ153/M153,"-")</f>
        <v>1.1660777385159011</v>
      </c>
      <c r="AR153" s="6">
        <f>IFERROR(AB153/N153,"-")</f>
        <v>1.147239263803681</v>
      </c>
      <c r="AS153" s="4" t="str">
        <f t="shared" si="22"/>
        <v>-</v>
      </c>
      <c r="AT153" s="4"/>
      <c r="AU153" s="4" t="str">
        <f t="shared" si="23"/>
        <v>-</v>
      </c>
      <c r="AV153" s="4" t="str">
        <f t="shared" si="24"/>
        <v>-</v>
      </c>
      <c r="AW153" s="4" t="str">
        <f t="shared" si="25"/>
        <v>-</v>
      </c>
      <c r="AX153" s="4" t="str">
        <f t="shared" si="26"/>
        <v>-</v>
      </c>
      <c r="AY153" s="4" t="str">
        <f t="shared" si="27"/>
        <v>-</v>
      </c>
      <c r="AZ153" s="4" t="str">
        <f t="shared" si="28"/>
        <v>-</v>
      </c>
      <c r="BA153" s="4" t="str">
        <f t="shared" si="29"/>
        <v>-</v>
      </c>
      <c r="BB153" s="4" t="str">
        <f t="shared" si="30"/>
        <v>-</v>
      </c>
      <c r="BC153" s="4">
        <v>12479</v>
      </c>
      <c r="BD153" s="4" t="s">
        <v>663</v>
      </c>
      <c r="BE153" s="4"/>
      <c r="BF153" s="4"/>
      <c r="BG153" s="4" t="s">
        <v>664</v>
      </c>
      <c r="BH153" s="4">
        <v>396</v>
      </c>
      <c r="BI153" s="4">
        <f>IF(BE153="",BH153,BE153/BF153*BH153)</f>
        <v>396</v>
      </c>
      <c r="BJ153" s="19">
        <v>4</v>
      </c>
      <c r="BK153" s="19">
        <v>1</v>
      </c>
      <c r="BL153" s="16">
        <v>3</v>
      </c>
      <c r="BM153">
        <v>240</v>
      </c>
      <c r="BN153">
        <f t="shared" si="31"/>
        <v>275.33742331288346</v>
      </c>
      <c r="BO153">
        <v>561</v>
      </c>
      <c r="BP153">
        <f t="shared" si="32"/>
        <v>643.601226993865</v>
      </c>
      <c r="BQ153" t="s">
        <v>511</v>
      </c>
    </row>
    <row r="154" spans="1:69" x14ac:dyDescent="0.4">
      <c r="A154" s="3">
        <v>201</v>
      </c>
      <c r="B154" s="3">
        <v>54</v>
      </c>
      <c r="C154" s="46">
        <v>399305</v>
      </c>
      <c r="D154" s="4" t="str">
        <f>TEXT(C154,"000000")</f>
        <v>399305</v>
      </c>
      <c r="E154" s="4">
        <v>629698</v>
      </c>
      <c r="F154" s="4" t="s">
        <v>341</v>
      </c>
      <c r="G154" s="5">
        <v>4996297344001</v>
      </c>
      <c r="H154" s="5">
        <v>8</v>
      </c>
      <c r="I154" s="5" t="str">
        <f>C154&amp;H154</f>
        <v>3993058</v>
      </c>
      <c r="J154" s="5"/>
      <c r="K154" s="5"/>
      <c r="L154" s="4">
        <v>0</v>
      </c>
      <c r="M154" s="4">
        <v>2781</v>
      </c>
      <c r="N154" s="4">
        <v>1630</v>
      </c>
      <c r="O154" s="6">
        <f>IFERROR(1-N154/M154,"-")</f>
        <v>0.41387989931679248</v>
      </c>
      <c r="P154" s="4" t="s">
        <v>422</v>
      </c>
      <c r="Q154" s="4" t="s">
        <v>422</v>
      </c>
      <c r="R154" s="4" t="s">
        <v>422</v>
      </c>
      <c r="S154" s="4" t="s">
        <v>422</v>
      </c>
      <c r="T154" s="4" t="s">
        <v>422</v>
      </c>
      <c r="U154" s="4" t="s">
        <v>422</v>
      </c>
      <c r="V154" s="4" t="s">
        <v>422</v>
      </c>
      <c r="W154" s="4" t="s">
        <v>422</v>
      </c>
      <c r="X154" s="4" t="s">
        <v>422</v>
      </c>
      <c r="Y154" s="4">
        <v>0</v>
      </c>
      <c r="Z154" s="4">
        <f>IF(AC154="",Y154,Y154*AC154)</f>
        <v>0</v>
      </c>
      <c r="AA154" s="4">
        <v>187</v>
      </c>
      <c r="AB154" s="4">
        <f>IF(AC154="",AA154,AA154*AC154)</f>
        <v>1870</v>
      </c>
      <c r="AC154" s="4">
        <v>10</v>
      </c>
      <c r="AD154" s="21">
        <f>ROUND(M154*AR154,0)</f>
        <v>3190</v>
      </c>
      <c r="AE154" s="6">
        <f>IFERROR(1-AB154/AD154,"-")</f>
        <v>0.41379310344827591</v>
      </c>
      <c r="AF154" s="33">
        <v>119.24999999999999</v>
      </c>
      <c r="AG154" s="4">
        <f>BI154</f>
        <v>3737</v>
      </c>
      <c r="AH154" s="33">
        <f>IFERROR(AG154*AR154,"-")</f>
        <v>4287.2331288343557</v>
      </c>
      <c r="AI154" s="6">
        <f>IFERROR(1-AB154/AH154,"-")</f>
        <v>0.56382124698956382</v>
      </c>
      <c r="AJ154" s="7">
        <v>3100</v>
      </c>
      <c r="AK154" s="6">
        <f>1-AB154/AJ154</f>
        <v>0.39677419354838706</v>
      </c>
      <c r="AL154" s="4">
        <f>AJ154-AB154</f>
        <v>1230</v>
      </c>
      <c r="AM154" s="28"/>
      <c r="AN154" s="6"/>
      <c r="AO154" s="6"/>
      <c r="AP154" s="6" t="str">
        <f>IFERROR(Z154/L154,"-")</f>
        <v>-</v>
      </c>
      <c r="AQ154" s="6">
        <f>IFERROR(AJ154/M154,"-")</f>
        <v>1.1147069399496583</v>
      </c>
      <c r="AR154" s="6">
        <f>IFERROR(AB154/N154,"-")</f>
        <v>1.147239263803681</v>
      </c>
      <c r="AS154" s="4" t="str">
        <f t="shared" si="22"/>
        <v>-</v>
      </c>
      <c r="AT154" s="4"/>
      <c r="AU154" s="4" t="str">
        <f t="shared" si="23"/>
        <v>-</v>
      </c>
      <c r="AV154" s="4" t="str">
        <f t="shared" si="24"/>
        <v>-</v>
      </c>
      <c r="AW154" s="4" t="str">
        <f t="shared" si="25"/>
        <v>-</v>
      </c>
      <c r="AX154" s="4" t="str">
        <f t="shared" si="26"/>
        <v>-</v>
      </c>
      <c r="AY154" s="4" t="str">
        <f t="shared" si="27"/>
        <v>-</v>
      </c>
      <c r="AZ154" s="4" t="str">
        <f t="shared" si="28"/>
        <v>-</v>
      </c>
      <c r="BA154" s="4" t="str">
        <f t="shared" si="29"/>
        <v>-</v>
      </c>
      <c r="BB154" s="4" t="str">
        <f t="shared" si="30"/>
        <v>-</v>
      </c>
      <c r="BC154" s="4">
        <v>12479</v>
      </c>
      <c r="BD154" s="4" t="s">
        <v>665</v>
      </c>
      <c r="BE154" s="4"/>
      <c r="BF154" s="4"/>
      <c r="BG154" s="4" t="s">
        <v>666</v>
      </c>
      <c r="BH154" s="4">
        <v>3737</v>
      </c>
      <c r="BI154" s="4">
        <f>IF(BE154="",BH154,BE154/BF154*BH154)</f>
        <v>3737</v>
      </c>
      <c r="BJ154" s="19">
        <v>4</v>
      </c>
      <c r="BK154" s="19">
        <v>1</v>
      </c>
      <c r="BL154" s="16">
        <v>3</v>
      </c>
      <c r="BM154">
        <v>240</v>
      </c>
      <c r="BN154">
        <f t="shared" si="31"/>
        <v>275.33742331288346</v>
      </c>
      <c r="BO154">
        <v>561</v>
      </c>
      <c r="BP154">
        <f t="shared" si="32"/>
        <v>643.601226993865</v>
      </c>
      <c r="BQ154" t="s">
        <v>512</v>
      </c>
    </row>
    <row r="155" spans="1:69" x14ac:dyDescent="0.4">
      <c r="A155" s="3">
        <v>55</v>
      </c>
      <c r="B155" s="3">
        <v>55</v>
      </c>
      <c r="C155" s="46">
        <v>399307</v>
      </c>
      <c r="D155" s="4" t="str">
        <f>TEXT(C155,"000000")</f>
        <v>399307</v>
      </c>
      <c r="E155" s="4">
        <v>588978</v>
      </c>
      <c r="F155" s="4" t="s">
        <v>170</v>
      </c>
      <c r="G155" s="5">
        <v>4996297344018</v>
      </c>
      <c r="H155" s="5"/>
      <c r="I155" s="5"/>
      <c r="J155" s="5">
        <v>2</v>
      </c>
      <c r="K155" s="5">
        <v>2</v>
      </c>
      <c r="L155" s="4">
        <v>0</v>
      </c>
      <c r="M155" s="4">
        <v>283</v>
      </c>
      <c r="N155" s="4">
        <v>163</v>
      </c>
      <c r="O155" s="6">
        <f>IFERROR(1-N155/M155,"-")</f>
        <v>0.42402826855123676</v>
      </c>
      <c r="P155" s="4" t="s">
        <v>422</v>
      </c>
      <c r="Q155" s="4" t="s">
        <v>422</v>
      </c>
      <c r="R155" s="4" t="s">
        <v>422</v>
      </c>
      <c r="S155" s="4" t="s">
        <v>422</v>
      </c>
      <c r="T155" s="4" t="s">
        <v>422</v>
      </c>
      <c r="U155" s="4" t="s">
        <v>422</v>
      </c>
      <c r="V155" s="4" t="s">
        <v>422</v>
      </c>
      <c r="W155" s="4" t="s">
        <v>422</v>
      </c>
      <c r="X155" s="4" t="s">
        <v>422</v>
      </c>
      <c r="Y155" s="4">
        <v>0</v>
      </c>
      <c r="Z155" s="4">
        <f>IF(AC155="",Y155,Y155*AC155)</f>
        <v>0</v>
      </c>
      <c r="AA155" s="4">
        <v>187</v>
      </c>
      <c r="AB155" s="4">
        <f>IF(AC155="",AA155,AA155*AC155)</f>
        <v>187</v>
      </c>
      <c r="AC155" s="4"/>
      <c r="AD155" s="21">
        <f>ROUND(M155*AR155,0)</f>
        <v>325</v>
      </c>
      <c r="AE155" s="6">
        <f>IFERROR(1-AB155/AD155,"-")</f>
        <v>0.42461538461538462</v>
      </c>
      <c r="AF155" s="33">
        <v>70</v>
      </c>
      <c r="AG155" s="4">
        <f>BI155</f>
        <v>590</v>
      </c>
      <c r="AH155" s="33">
        <f>IFERROR(AG155*AR155,"-")</f>
        <v>676.87116564417181</v>
      </c>
      <c r="AI155" s="6">
        <f>IFERROR(1-AB155/AH155,"-")</f>
        <v>0.72372881355932206</v>
      </c>
      <c r="AJ155" s="7">
        <v>330</v>
      </c>
      <c r="AK155" s="6">
        <f>1-AB155/AJ155</f>
        <v>0.43333333333333335</v>
      </c>
      <c r="AL155" s="4">
        <f>AJ155-AB155</f>
        <v>143</v>
      </c>
      <c r="AM155" s="28"/>
      <c r="AN155" s="6"/>
      <c r="AO155" s="6"/>
      <c r="AP155" s="6" t="str">
        <f>IFERROR(Z155/L155,"-")</f>
        <v>-</v>
      </c>
      <c r="AQ155" s="6">
        <f>IFERROR(AJ155/M155,"-")</f>
        <v>1.1660777385159011</v>
      </c>
      <c r="AR155" s="6">
        <f>IFERROR(AB155/N155,"-")</f>
        <v>1.147239263803681</v>
      </c>
      <c r="AS155" s="4" t="str">
        <f t="shared" si="22"/>
        <v>-</v>
      </c>
      <c r="AT155" s="4"/>
      <c r="AU155" s="4" t="str">
        <f t="shared" si="23"/>
        <v>-</v>
      </c>
      <c r="AV155" s="4" t="str">
        <f t="shared" si="24"/>
        <v>-</v>
      </c>
      <c r="AW155" s="4" t="str">
        <f t="shared" si="25"/>
        <v>-</v>
      </c>
      <c r="AX155" s="4" t="str">
        <f t="shared" si="26"/>
        <v>-</v>
      </c>
      <c r="AY155" s="4" t="str">
        <f t="shared" si="27"/>
        <v>-</v>
      </c>
      <c r="AZ155" s="4" t="str">
        <f t="shared" si="28"/>
        <v>-</v>
      </c>
      <c r="BA155" s="4" t="str">
        <f t="shared" si="29"/>
        <v>-</v>
      </c>
      <c r="BB155" s="4" t="str">
        <f t="shared" si="30"/>
        <v>-</v>
      </c>
      <c r="BC155" s="4">
        <v>12479</v>
      </c>
      <c r="BD155" s="4" t="s">
        <v>667</v>
      </c>
      <c r="BE155" s="4">
        <v>1</v>
      </c>
      <c r="BF155" s="4">
        <v>10</v>
      </c>
      <c r="BG155" s="4" t="s">
        <v>668</v>
      </c>
      <c r="BH155" s="4">
        <v>5900</v>
      </c>
      <c r="BI155" s="4">
        <f>IF(BE155="",BH155,BE155/BF155*BH155)</f>
        <v>590</v>
      </c>
      <c r="BJ155" s="19">
        <v>4</v>
      </c>
      <c r="BK155" s="19">
        <v>1</v>
      </c>
      <c r="BL155" s="16">
        <v>3</v>
      </c>
      <c r="BM155">
        <v>240</v>
      </c>
      <c r="BN155">
        <f t="shared" si="31"/>
        <v>275.33742331288346</v>
      </c>
      <c r="BO155" t="s">
        <v>422</v>
      </c>
      <c r="BP155" t="str">
        <f t="shared" si="32"/>
        <v>-</v>
      </c>
      <c r="BQ155" t="s">
        <v>513</v>
      </c>
    </row>
    <row r="156" spans="1:69" x14ac:dyDescent="0.4">
      <c r="A156" s="3">
        <v>202</v>
      </c>
      <c r="B156" s="3">
        <v>55</v>
      </c>
      <c r="C156" s="46">
        <v>399307</v>
      </c>
      <c r="D156" s="4" t="str">
        <f>TEXT(C156,"000000")</f>
        <v>399307</v>
      </c>
      <c r="E156" s="4">
        <v>629697</v>
      </c>
      <c r="F156" s="4" t="s">
        <v>342</v>
      </c>
      <c r="G156" s="5">
        <v>4996297344018</v>
      </c>
      <c r="H156" s="5">
        <v>8</v>
      </c>
      <c r="I156" s="5" t="str">
        <f>C156&amp;H156</f>
        <v>3993078</v>
      </c>
      <c r="J156" s="5"/>
      <c r="K156" s="5"/>
      <c r="L156" s="4">
        <v>0</v>
      </c>
      <c r="M156" s="4">
        <v>2781</v>
      </c>
      <c r="N156" s="4">
        <v>1630</v>
      </c>
      <c r="O156" s="6">
        <f>IFERROR(1-N156/M156,"-")</f>
        <v>0.41387989931679248</v>
      </c>
      <c r="P156" s="4" t="s">
        <v>422</v>
      </c>
      <c r="Q156" s="4" t="s">
        <v>422</v>
      </c>
      <c r="R156" s="4" t="s">
        <v>422</v>
      </c>
      <c r="S156" s="4" t="s">
        <v>422</v>
      </c>
      <c r="T156" s="4" t="s">
        <v>422</v>
      </c>
      <c r="U156" s="4" t="s">
        <v>422</v>
      </c>
      <c r="V156" s="4" t="s">
        <v>422</v>
      </c>
      <c r="W156" s="4" t="s">
        <v>422</v>
      </c>
      <c r="X156" s="4" t="s">
        <v>422</v>
      </c>
      <c r="Y156" s="4">
        <v>0</v>
      </c>
      <c r="Z156" s="4">
        <f>IF(AC156="",Y156,Y156*AC156)</f>
        <v>0</v>
      </c>
      <c r="AA156" s="4">
        <v>187</v>
      </c>
      <c r="AB156" s="4">
        <f>IF(AC156="",AA156,AA156*AC156)</f>
        <v>1870</v>
      </c>
      <c r="AC156" s="4">
        <v>10</v>
      </c>
      <c r="AD156" s="21">
        <f>ROUND(M156*AR156,0)</f>
        <v>3190</v>
      </c>
      <c r="AE156" s="6">
        <f>IFERROR(1-AB156/AD156,"-")</f>
        <v>0.41379310344827591</v>
      </c>
      <c r="AF156" s="33">
        <v>70</v>
      </c>
      <c r="AG156" s="4">
        <f>BI156</f>
        <v>5900</v>
      </c>
      <c r="AH156" s="33">
        <f>IFERROR(AG156*AR156,"-")</f>
        <v>6768.7116564417183</v>
      </c>
      <c r="AI156" s="6">
        <f>IFERROR(1-AB156/AH156,"-")</f>
        <v>0.72372881355932206</v>
      </c>
      <c r="AJ156" s="7">
        <v>3100</v>
      </c>
      <c r="AK156" s="6">
        <f>1-AB156/AJ156</f>
        <v>0.39677419354838706</v>
      </c>
      <c r="AL156" s="4">
        <f>AJ156-AB156</f>
        <v>1230</v>
      </c>
      <c r="AM156" s="28"/>
      <c r="AN156" s="6"/>
      <c r="AO156" s="6"/>
      <c r="AP156" s="6" t="str">
        <f>IFERROR(Z156/L156,"-")</f>
        <v>-</v>
      </c>
      <c r="AQ156" s="6">
        <f>IFERROR(AJ156/M156,"-")</f>
        <v>1.1147069399496583</v>
      </c>
      <c r="AR156" s="6">
        <f>IFERROR(AB156/N156,"-")</f>
        <v>1.147239263803681</v>
      </c>
      <c r="AS156" s="4" t="str">
        <f t="shared" si="22"/>
        <v>-</v>
      </c>
      <c r="AT156" s="4"/>
      <c r="AU156" s="4" t="str">
        <f t="shared" si="23"/>
        <v>-</v>
      </c>
      <c r="AV156" s="4" t="str">
        <f t="shared" si="24"/>
        <v>-</v>
      </c>
      <c r="AW156" s="4" t="str">
        <f t="shared" si="25"/>
        <v>-</v>
      </c>
      <c r="AX156" s="4" t="str">
        <f t="shared" si="26"/>
        <v>-</v>
      </c>
      <c r="AY156" s="4" t="str">
        <f t="shared" si="27"/>
        <v>-</v>
      </c>
      <c r="AZ156" s="4" t="str">
        <f t="shared" si="28"/>
        <v>-</v>
      </c>
      <c r="BA156" s="4" t="str">
        <f t="shared" si="29"/>
        <v>-</v>
      </c>
      <c r="BB156" s="4" t="str">
        <f t="shared" si="30"/>
        <v>-</v>
      </c>
      <c r="BC156" s="4">
        <v>12479</v>
      </c>
      <c r="BD156" s="4" t="s">
        <v>667</v>
      </c>
      <c r="BE156" s="4"/>
      <c r="BF156" s="4"/>
      <c r="BG156" s="4" t="s">
        <v>668</v>
      </c>
      <c r="BH156" s="4">
        <v>5900</v>
      </c>
      <c r="BI156" s="4">
        <f>IF(BE156="",BH156,BE156/BF156*BH156)</f>
        <v>5900</v>
      </c>
      <c r="BJ156" s="19">
        <v>4</v>
      </c>
      <c r="BK156" s="19">
        <v>1</v>
      </c>
      <c r="BL156" s="16">
        <v>3</v>
      </c>
      <c r="BM156">
        <v>240</v>
      </c>
      <c r="BN156">
        <f t="shared" si="31"/>
        <v>275.33742331288346</v>
      </c>
      <c r="BO156" t="s">
        <v>422</v>
      </c>
      <c r="BP156" t="str">
        <f t="shared" si="32"/>
        <v>-</v>
      </c>
      <c r="BQ156" t="s">
        <v>513</v>
      </c>
    </row>
    <row r="157" spans="1:69" x14ac:dyDescent="0.4">
      <c r="A157" s="3">
        <v>120</v>
      </c>
      <c r="B157" s="3">
        <v>120</v>
      </c>
      <c r="C157" s="46">
        <v>11327</v>
      </c>
      <c r="D157" s="4" t="str">
        <f>TEXT(C157,"000000")</f>
        <v>011327</v>
      </c>
      <c r="E157" s="4">
        <v>579915</v>
      </c>
      <c r="F157" s="4" t="s">
        <v>234</v>
      </c>
      <c r="G157" s="5">
        <v>4996297430254</v>
      </c>
      <c r="H157" s="5"/>
      <c r="I157" s="5"/>
      <c r="J157" s="5">
        <v>2</v>
      </c>
      <c r="K157" s="5">
        <v>2</v>
      </c>
      <c r="L157" s="4">
        <v>0</v>
      </c>
      <c r="M157" s="4">
        <v>246</v>
      </c>
      <c r="N157" s="4">
        <v>171</v>
      </c>
      <c r="O157" s="6">
        <f>IFERROR(1-N157/M157,"-")</f>
        <v>0.30487804878048785</v>
      </c>
      <c r="P157" s="4" t="s">
        <v>422</v>
      </c>
      <c r="Q157" s="4" t="s">
        <v>422</v>
      </c>
      <c r="R157" s="4" t="s">
        <v>422</v>
      </c>
      <c r="S157" s="4" t="s">
        <v>422</v>
      </c>
      <c r="T157" s="4" t="s">
        <v>422</v>
      </c>
      <c r="U157" s="4" t="s">
        <v>422</v>
      </c>
      <c r="V157" s="4" t="s">
        <v>422</v>
      </c>
      <c r="W157" s="4" t="s">
        <v>422</v>
      </c>
      <c r="X157" s="4" t="s">
        <v>422</v>
      </c>
      <c r="Y157" s="4">
        <v>0</v>
      </c>
      <c r="Z157" s="4">
        <f>IF(AC157="",Y157,Y157*AC157)</f>
        <v>0</v>
      </c>
      <c r="AA157" s="4">
        <v>197</v>
      </c>
      <c r="AB157" s="4">
        <f>IF(AC157="",AA157,AA157*AC157)</f>
        <v>197</v>
      </c>
      <c r="AC157" s="4"/>
      <c r="AD157" s="21">
        <f>ROUND(M157*AR157,0)</f>
        <v>283</v>
      </c>
      <c r="AE157" s="6">
        <f>IFERROR(1-AB157/AD157,"-")</f>
        <v>0.30388692579505305</v>
      </c>
      <c r="AF157" s="33">
        <v>21.75</v>
      </c>
      <c r="AG157" s="4" t="str">
        <f>BI157</f>
        <v>-</v>
      </c>
      <c r="AH157" s="33" t="str">
        <f>IFERROR(AG157*AR157,"-")</f>
        <v>-</v>
      </c>
      <c r="AI157" s="6" t="str">
        <f>IFERROR(1-AB157/AH157,"-")</f>
        <v>-</v>
      </c>
      <c r="AJ157" s="7">
        <v>300</v>
      </c>
      <c r="AK157" s="6">
        <f>1-AB157/AJ157</f>
        <v>0.34333333333333338</v>
      </c>
      <c r="AL157" s="4">
        <f>AJ157-AB157</f>
        <v>103</v>
      </c>
      <c r="AM157" s="28"/>
      <c r="AN157" s="6"/>
      <c r="AO157" s="6"/>
      <c r="AP157" s="6" t="str">
        <f>IFERROR(Z157/L157,"-")</f>
        <v>-</v>
      </c>
      <c r="AQ157" s="6">
        <f>IFERROR(AJ157/M157,"-")</f>
        <v>1.2195121951219512</v>
      </c>
      <c r="AR157" s="6">
        <f>IFERROR(AB157/N157,"-")</f>
        <v>1.1520467836257311</v>
      </c>
      <c r="AS157" s="4" t="str">
        <f t="shared" si="22"/>
        <v>-</v>
      </c>
      <c r="AT157" s="4"/>
      <c r="AU157" s="4" t="str">
        <f t="shared" si="23"/>
        <v>-</v>
      </c>
      <c r="AV157" s="4" t="str">
        <f t="shared" si="24"/>
        <v>-</v>
      </c>
      <c r="AW157" s="4" t="str">
        <f t="shared" si="25"/>
        <v>-</v>
      </c>
      <c r="AX157" s="4" t="str">
        <f t="shared" si="26"/>
        <v>-</v>
      </c>
      <c r="AY157" s="4" t="str">
        <f t="shared" si="27"/>
        <v>-</v>
      </c>
      <c r="AZ157" s="4" t="str">
        <f t="shared" si="28"/>
        <v>-</v>
      </c>
      <c r="BA157" s="4" t="str">
        <f t="shared" si="29"/>
        <v>-</v>
      </c>
      <c r="BB157" s="4" t="str">
        <f t="shared" si="30"/>
        <v>-</v>
      </c>
      <c r="BC157" s="4" t="s">
        <v>418</v>
      </c>
      <c r="BD157" s="4" t="s">
        <v>422</v>
      </c>
      <c r="BE157" s="4"/>
      <c r="BF157" s="4"/>
      <c r="BG157" s="4" t="s">
        <v>422</v>
      </c>
      <c r="BH157" s="4" t="s">
        <v>422</v>
      </c>
      <c r="BI157" s="4" t="str">
        <f>IF(BE157="",BH157,BE157/BF157*BH157)</f>
        <v>-</v>
      </c>
      <c r="BJ157" s="19">
        <v>4</v>
      </c>
      <c r="BK157" s="19">
        <v>1</v>
      </c>
      <c r="BL157" s="16">
        <v>3</v>
      </c>
      <c r="BM157" t="s">
        <v>422</v>
      </c>
      <c r="BN157" t="str">
        <f t="shared" si="31"/>
        <v>-</v>
      </c>
      <c r="BO157" t="s">
        <v>422</v>
      </c>
      <c r="BP157" t="str">
        <f t="shared" si="32"/>
        <v>-</v>
      </c>
      <c r="BQ157" t="s">
        <v>422</v>
      </c>
    </row>
    <row r="158" spans="1:69" x14ac:dyDescent="0.4">
      <c r="A158" s="3">
        <v>234</v>
      </c>
      <c r="B158" s="3">
        <v>120</v>
      </c>
      <c r="C158" s="46">
        <v>11327</v>
      </c>
      <c r="D158" s="4" t="str">
        <f>TEXT(C158,"000000")</f>
        <v>011327</v>
      </c>
      <c r="E158" s="4">
        <v>629000</v>
      </c>
      <c r="F158" s="4" t="s">
        <v>374</v>
      </c>
      <c r="G158" s="5">
        <v>4996297430254</v>
      </c>
      <c r="H158" s="5">
        <v>8</v>
      </c>
      <c r="I158" s="5" t="str">
        <f>C158&amp;H158</f>
        <v>113278</v>
      </c>
      <c r="J158" s="5"/>
      <c r="K158" s="5"/>
      <c r="L158" s="4">
        <v>0</v>
      </c>
      <c r="M158" s="4">
        <v>2229</v>
      </c>
      <c r="N158" s="4">
        <v>1710</v>
      </c>
      <c r="O158" s="6">
        <f>IFERROR(1-N158/M158,"-")</f>
        <v>0.2328398384925976</v>
      </c>
      <c r="P158" s="4" t="s">
        <v>422</v>
      </c>
      <c r="Q158" s="4" t="s">
        <v>422</v>
      </c>
      <c r="R158" s="4" t="s">
        <v>422</v>
      </c>
      <c r="S158" s="4" t="s">
        <v>422</v>
      </c>
      <c r="T158" s="4" t="s">
        <v>422</v>
      </c>
      <c r="U158" s="4" t="s">
        <v>422</v>
      </c>
      <c r="V158" s="4" t="s">
        <v>422</v>
      </c>
      <c r="W158" s="4" t="s">
        <v>422</v>
      </c>
      <c r="X158" s="4" t="s">
        <v>422</v>
      </c>
      <c r="Y158" s="4">
        <v>0</v>
      </c>
      <c r="Z158" s="4">
        <f>IF(AC158="",Y158,Y158*AC158)</f>
        <v>0</v>
      </c>
      <c r="AA158" s="4">
        <v>197</v>
      </c>
      <c r="AB158" s="4">
        <f>IF(AC158="",AA158,AA158*AC158)</f>
        <v>1970</v>
      </c>
      <c r="AC158" s="4">
        <v>10</v>
      </c>
      <c r="AD158" s="21">
        <f>ROUND(M158*AR158,0)</f>
        <v>2568</v>
      </c>
      <c r="AE158" s="6">
        <f>IFERROR(1-AB158/AD158,"-")</f>
        <v>0.23286604361370722</v>
      </c>
      <c r="AF158" s="33">
        <v>21.75</v>
      </c>
      <c r="AG158" s="4" t="str">
        <f>BI158</f>
        <v>-</v>
      </c>
      <c r="AH158" s="33" t="str">
        <f>IFERROR(AG158*AR158,"-")</f>
        <v>-</v>
      </c>
      <c r="AI158" s="6" t="str">
        <f>IFERROR(1-AB158/AH158,"-")</f>
        <v>-</v>
      </c>
      <c r="AJ158" s="7">
        <v>2800</v>
      </c>
      <c r="AK158" s="6">
        <f>1-AB158/AJ158</f>
        <v>0.29642857142857137</v>
      </c>
      <c r="AL158" s="4">
        <f>AJ158-AB158</f>
        <v>830</v>
      </c>
      <c r="AM158" s="28"/>
      <c r="AN158" s="6"/>
      <c r="AO158" s="6"/>
      <c r="AP158" s="6" t="str">
        <f>IFERROR(Z158/L158,"-")</f>
        <v>-</v>
      </c>
      <c r="AQ158" s="6">
        <f>IFERROR(AJ158/M158,"-")</f>
        <v>1.2561686855091969</v>
      </c>
      <c r="AR158" s="6">
        <f>IFERROR(AB158/N158,"-")</f>
        <v>1.1520467836257311</v>
      </c>
      <c r="AS158" s="4" t="str">
        <f t="shared" si="22"/>
        <v>-</v>
      </c>
      <c r="AT158" s="4"/>
      <c r="AU158" s="4" t="str">
        <f t="shared" si="23"/>
        <v>-</v>
      </c>
      <c r="AV158" s="4" t="str">
        <f t="shared" si="24"/>
        <v>-</v>
      </c>
      <c r="AW158" s="4" t="str">
        <f t="shared" si="25"/>
        <v>-</v>
      </c>
      <c r="AX158" s="4" t="str">
        <f t="shared" si="26"/>
        <v>-</v>
      </c>
      <c r="AY158" s="4" t="str">
        <f t="shared" si="27"/>
        <v>-</v>
      </c>
      <c r="AZ158" s="4" t="str">
        <f t="shared" si="28"/>
        <v>-</v>
      </c>
      <c r="BA158" s="4" t="str">
        <f t="shared" si="29"/>
        <v>-</v>
      </c>
      <c r="BB158" s="4" t="str">
        <f t="shared" si="30"/>
        <v>-</v>
      </c>
      <c r="BC158" s="4" t="s">
        <v>418</v>
      </c>
      <c r="BD158" s="4" t="s">
        <v>422</v>
      </c>
      <c r="BE158" s="4"/>
      <c r="BF158" s="4"/>
      <c r="BG158" s="4" t="s">
        <v>422</v>
      </c>
      <c r="BH158" s="4" t="s">
        <v>422</v>
      </c>
      <c r="BI158" s="4" t="str">
        <f>IF(BE158="",BH158,BE158/BF158*BH158)</f>
        <v>-</v>
      </c>
      <c r="BJ158" s="19">
        <v>4</v>
      </c>
      <c r="BK158" s="19">
        <v>1</v>
      </c>
      <c r="BL158" s="16">
        <v>3</v>
      </c>
      <c r="BM158" t="s">
        <v>422</v>
      </c>
      <c r="BN158" t="str">
        <f t="shared" si="31"/>
        <v>-</v>
      </c>
      <c r="BO158" t="s">
        <v>422</v>
      </c>
      <c r="BP158" t="str">
        <f t="shared" si="32"/>
        <v>-</v>
      </c>
      <c r="BQ158" t="s">
        <v>422</v>
      </c>
    </row>
    <row r="159" spans="1:69" x14ac:dyDescent="0.4">
      <c r="A159" s="3">
        <v>119</v>
      </c>
      <c r="B159" s="3">
        <v>119</v>
      </c>
      <c r="C159" s="46">
        <v>11328</v>
      </c>
      <c r="D159" s="4" t="str">
        <f>TEXT(C159,"000000")</f>
        <v>011328</v>
      </c>
      <c r="E159" s="4">
        <v>579924</v>
      </c>
      <c r="F159" s="4" t="s">
        <v>233</v>
      </c>
      <c r="G159" s="5">
        <v>4996297430223</v>
      </c>
      <c r="H159" s="5"/>
      <c r="I159" s="5"/>
      <c r="J159" s="5">
        <v>2</v>
      </c>
      <c r="K159" s="5">
        <v>2</v>
      </c>
      <c r="L159" s="4">
        <v>0</v>
      </c>
      <c r="M159" s="4">
        <v>246</v>
      </c>
      <c r="N159" s="4">
        <v>171</v>
      </c>
      <c r="O159" s="6">
        <f>IFERROR(1-N159/M159,"-")</f>
        <v>0.30487804878048785</v>
      </c>
      <c r="P159" s="4" t="s">
        <v>422</v>
      </c>
      <c r="Q159" s="4" t="s">
        <v>422</v>
      </c>
      <c r="R159" s="4" t="s">
        <v>422</v>
      </c>
      <c r="S159" s="4" t="s">
        <v>422</v>
      </c>
      <c r="T159" s="4" t="s">
        <v>422</v>
      </c>
      <c r="U159" s="4" t="s">
        <v>422</v>
      </c>
      <c r="V159" s="4" t="s">
        <v>422</v>
      </c>
      <c r="W159" s="4" t="s">
        <v>422</v>
      </c>
      <c r="X159" s="4" t="s">
        <v>422</v>
      </c>
      <c r="Y159" s="4">
        <v>0</v>
      </c>
      <c r="Z159" s="4">
        <f>IF(AC159="",Y159,Y159*AC159)</f>
        <v>0</v>
      </c>
      <c r="AA159" s="4">
        <v>197</v>
      </c>
      <c r="AB159" s="4">
        <f>IF(AC159="",AA159,AA159*AC159)</f>
        <v>197</v>
      </c>
      <c r="AC159" s="4"/>
      <c r="AD159" s="21">
        <f>ROUND(M159*AR159,0)</f>
        <v>283</v>
      </c>
      <c r="AE159" s="6">
        <f>IFERROR(1-AB159/AD159,"-")</f>
        <v>0.30388692579505305</v>
      </c>
      <c r="AF159" s="33">
        <v>119.5</v>
      </c>
      <c r="AG159" s="4" t="str">
        <f>BI159</f>
        <v>-</v>
      </c>
      <c r="AH159" s="33" t="str">
        <f>IFERROR(AG159*AR159,"-")</f>
        <v>-</v>
      </c>
      <c r="AI159" s="6" t="str">
        <f>IFERROR(1-AB159/AH159,"-")</f>
        <v>-</v>
      </c>
      <c r="AJ159" s="7">
        <v>300</v>
      </c>
      <c r="AK159" s="6">
        <f>1-AB159/AJ159</f>
        <v>0.34333333333333338</v>
      </c>
      <c r="AL159" s="4">
        <f>AJ159-AB159</f>
        <v>103</v>
      </c>
      <c r="AM159" s="28"/>
      <c r="AN159" s="6"/>
      <c r="AO159" s="6"/>
      <c r="AP159" s="6" t="str">
        <f>IFERROR(Z159/L159,"-")</f>
        <v>-</v>
      </c>
      <c r="AQ159" s="6">
        <f>IFERROR(AJ159/M159,"-")</f>
        <v>1.2195121951219512</v>
      </c>
      <c r="AR159" s="6">
        <f>IFERROR(AB159/N159,"-")</f>
        <v>1.1520467836257311</v>
      </c>
      <c r="AS159" s="4" t="str">
        <f t="shared" si="22"/>
        <v>-</v>
      </c>
      <c r="AT159" s="4"/>
      <c r="AU159" s="4" t="str">
        <f t="shared" si="23"/>
        <v>-</v>
      </c>
      <c r="AV159" s="4" t="str">
        <f t="shared" si="24"/>
        <v>-</v>
      </c>
      <c r="AW159" s="4" t="str">
        <f t="shared" si="25"/>
        <v>-</v>
      </c>
      <c r="AX159" s="4" t="str">
        <f t="shared" si="26"/>
        <v>-</v>
      </c>
      <c r="AY159" s="4" t="str">
        <f t="shared" si="27"/>
        <v>-</v>
      </c>
      <c r="AZ159" s="4" t="str">
        <f t="shared" si="28"/>
        <v>-</v>
      </c>
      <c r="BA159" s="4" t="str">
        <f t="shared" si="29"/>
        <v>-</v>
      </c>
      <c r="BB159" s="4" t="str">
        <f t="shared" si="30"/>
        <v>-</v>
      </c>
      <c r="BC159" s="4" t="s">
        <v>418</v>
      </c>
      <c r="BD159" s="4" t="s">
        <v>422</v>
      </c>
      <c r="BE159" s="4"/>
      <c r="BF159" s="4"/>
      <c r="BG159" s="4" t="s">
        <v>422</v>
      </c>
      <c r="BH159" s="4" t="s">
        <v>422</v>
      </c>
      <c r="BI159" s="4" t="str">
        <f>IF(BE159="",BH159,BE159/BF159*BH159)</f>
        <v>-</v>
      </c>
      <c r="BJ159" s="19">
        <v>4</v>
      </c>
      <c r="BK159" s="19">
        <v>1</v>
      </c>
      <c r="BL159" s="16">
        <v>3</v>
      </c>
      <c r="BM159" t="s">
        <v>422</v>
      </c>
      <c r="BN159" t="str">
        <f t="shared" si="31"/>
        <v>-</v>
      </c>
      <c r="BO159" t="s">
        <v>422</v>
      </c>
      <c r="BP159" t="str">
        <f t="shared" si="32"/>
        <v>-</v>
      </c>
      <c r="BQ159" t="s">
        <v>422</v>
      </c>
    </row>
    <row r="160" spans="1:69" x14ac:dyDescent="0.4">
      <c r="A160" s="3">
        <v>233</v>
      </c>
      <c r="B160" s="3">
        <v>119</v>
      </c>
      <c r="C160" s="46">
        <v>11328</v>
      </c>
      <c r="D160" s="4" t="str">
        <f>TEXT(C160,"000000")</f>
        <v>011328</v>
      </c>
      <c r="E160" s="4">
        <v>788292</v>
      </c>
      <c r="F160" s="4" t="s">
        <v>373</v>
      </c>
      <c r="G160" s="5">
        <v>4996297430223</v>
      </c>
      <c r="H160" s="5">
        <v>8</v>
      </c>
      <c r="I160" s="5" t="str">
        <f>C160&amp;H160</f>
        <v>113288</v>
      </c>
      <c r="J160" s="5"/>
      <c r="K160" s="5"/>
      <c r="L160" s="4">
        <v>0</v>
      </c>
      <c r="M160" s="4">
        <v>2155</v>
      </c>
      <c r="N160" s="4">
        <v>1710</v>
      </c>
      <c r="O160" s="6">
        <f>IFERROR(1-N160/M160,"-")</f>
        <v>0.20649651972157768</v>
      </c>
      <c r="P160" s="4" t="s">
        <v>422</v>
      </c>
      <c r="Q160" s="4" t="s">
        <v>422</v>
      </c>
      <c r="R160" s="4" t="s">
        <v>422</v>
      </c>
      <c r="S160" s="4" t="s">
        <v>422</v>
      </c>
      <c r="T160" s="4" t="s">
        <v>422</v>
      </c>
      <c r="U160" s="4" t="s">
        <v>422</v>
      </c>
      <c r="V160" s="4" t="s">
        <v>422</v>
      </c>
      <c r="W160" s="4" t="s">
        <v>422</v>
      </c>
      <c r="X160" s="4" t="s">
        <v>422</v>
      </c>
      <c r="Y160" s="4">
        <v>0</v>
      </c>
      <c r="Z160" s="4">
        <f>IF(AC160="",Y160,Y160*AC160)</f>
        <v>0</v>
      </c>
      <c r="AA160" s="4">
        <v>197</v>
      </c>
      <c r="AB160" s="4">
        <f>IF(AC160="",AA160,AA160*AC160)</f>
        <v>1970</v>
      </c>
      <c r="AC160" s="4">
        <v>10</v>
      </c>
      <c r="AD160" s="21">
        <f>ROUND(M160*AR160,0)</f>
        <v>2483</v>
      </c>
      <c r="AE160" s="6">
        <f>IFERROR(1-AB160/AD160,"-")</f>
        <v>0.20660491341119613</v>
      </c>
      <c r="AF160" s="33">
        <v>119.5</v>
      </c>
      <c r="AG160" s="4" t="str">
        <f>BI160</f>
        <v>-</v>
      </c>
      <c r="AH160" s="33" t="str">
        <f>IFERROR(AG160*AR160,"-")</f>
        <v>-</v>
      </c>
      <c r="AI160" s="6" t="str">
        <f>IFERROR(1-AB160/AH160,"-")</f>
        <v>-</v>
      </c>
      <c r="AJ160" s="7">
        <v>2800</v>
      </c>
      <c r="AK160" s="6">
        <f>1-AB160/AJ160</f>
        <v>0.29642857142857137</v>
      </c>
      <c r="AL160" s="4">
        <f>AJ160-AB160</f>
        <v>830</v>
      </c>
      <c r="AM160" s="28"/>
      <c r="AN160" s="6"/>
      <c r="AO160" s="6"/>
      <c r="AP160" s="6" t="str">
        <f>IFERROR(Z160/L160,"-")</f>
        <v>-</v>
      </c>
      <c r="AQ160" s="6">
        <f>IFERROR(AJ160/M160,"-")</f>
        <v>1.2993039443155452</v>
      </c>
      <c r="AR160" s="6">
        <f>IFERROR(AB160/N160,"-")</f>
        <v>1.1520467836257311</v>
      </c>
      <c r="AS160" s="4" t="str">
        <f t="shared" si="22"/>
        <v>-</v>
      </c>
      <c r="AT160" s="4"/>
      <c r="AU160" s="4" t="str">
        <f t="shared" si="23"/>
        <v>-</v>
      </c>
      <c r="AV160" s="4" t="str">
        <f t="shared" si="24"/>
        <v>-</v>
      </c>
      <c r="AW160" s="4" t="str">
        <f t="shared" si="25"/>
        <v>-</v>
      </c>
      <c r="AX160" s="4" t="str">
        <f t="shared" si="26"/>
        <v>-</v>
      </c>
      <c r="AY160" s="4" t="str">
        <f t="shared" si="27"/>
        <v>-</v>
      </c>
      <c r="AZ160" s="4" t="str">
        <f t="shared" si="28"/>
        <v>-</v>
      </c>
      <c r="BA160" s="4" t="str">
        <f t="shared" si="29"/>
        <v>-</v>
      </c>
      <c r="BB160" s="4" t="str">
        <f t="shared" si="30"/>
        <v>-</v>
      </c>
      <c r="BC160" s="4" t="s">
        <v>418</v>
      </c>
      <c r="BD160" s="4" t="s">
        <v>422</v>
      </c>
      <c r="BE160" s="4"/>
      <c r="BF160" s="4"/>
      <c r="BG160" s="4" t="s">
        <v>422</v>
      </c>
      <c r="BH160" s="4" t="s">
        <v>422</v>
      </c>
      <c r="BI160" s="4" t="str">
        <f>IF(BE160="",BH160,BE160/BF160*BH160)</f>
        <v>-</v>
      </c>
      <c r="BJ160" s="19">
        <v>4</v>
      </c>
      <c r="BK160" s="19">
        <v>1</v>
      </c>
      <c r="BL160" s="16">
        <v>3</v>
      </c>
      <c r="BM160" t="s">
        <v>422</v>
      </c>
      <c r="BN160" t="str">
        <f t="shared" si="31"/>
        <v>-</v>
      </c>
      <c r="BO160" t="s">
        <v>422</v>
      </c>
      <c r="BP160" t="str">
        <f t="shared" si="32"/>
        <v>-</v>
      </c>
      <c r="BQ160" t="s">
        <v>422</v>
      </c>
    </row>
    <row r="161" spans="1:69" x14ac:dyDescent="0.4">
      <c r="A161" s="3">
        <v>118</v>
      </c>
      <c r="B161" s="3">
        <v>118</v>
      </c>
      <c r="C161" s="46">
        <v>11329</v>
      </c>
      <c r="D161" s="4" t="str">
        <f>TEXT(C161,"000000")</f>
        <v>011329</v>
      </c>
      <c r="E161" s="4">
        <v>579933</v>
      </c>
      <c r="F161" s="4" t="s">
        <v>232</v>
      </c>
      <c r="G161" s="5">
        <v>4996297430209</v>
      </c>
      <c r="H161" s="5"/>
      <c r="I161" s="5"/>
      <c r="J161" s="5">
        <v>2</v>
      </c>
      <c r="K161" s="5">
        <v>2</v>
      </c>
      <c r="L161" s="4">
        <v>0</v>
      </c>
      <c r="M161" s="4">
        <v>246</v>
      </c>
      <c r="N161" s="4">
        <v>171</v>
      </c>
      <c r="O161" s="6">
        <f>IFERROR(1-N161/M161,"-")</f>
        <v>0.30487804878048785</v>
      </c>
      <c r="P161" s="4" t="s">
        <v>422</v>
      </c>
      <c r="Q161" s="4" t="s">
        <v>422</v>
      </c>
      <c r="R161" s="4" t="s">
        <v>422</v>
      </c>
      <c r="S161" s="4" t="s">
        <v>422</v>
      </c>
      <c r="T161" s="4" t="s">
        <v>422</v>
      </c>
      <c r="U161" s="4" t="s">
        <v>422</v>
      </c>
      <c r="V161" s="4" t="s">
        <v>422</v>
      </c>
      <c r="W161" s="4" t="s">
        <v>422</v>
      </c>
      <c r="X161" s="4" t="s">
        <v>422</v>
      </c>
      <c r="Y161" s="4">
        <v>0</v>
      </c>
      <c r="Z161" s="4">
        <f>IF(AC161="",Y161,Y161*AC161)</f>
        <v>0</v>
      </c>
      <c r="AA161" s="4">
        <v>197</v>
      </c>
      <c r="AB161" s="4">
        <f>IF(AC161="",AA161,AA161*AC161)</f>
        <v>197</v>
      </c>
      <c r="AC161" s="4"/>
      <c r="AD161" s="21">
        <f>ROUND(M161*AR161,0)</f>
        <v>283</v>
      </c>
      <c r="AE161" s="6">
        <f>IFERROR(1-AB161/AD161,"-")</f>
        <v>0.30388692579505305</v>
      </c>
      <c r="AF161" s="33">
        <v>35.25</v>
      </c>
      <c r="AG161" s="4" t="str">
        <f>BI161</f>
        <v>-</v>
      </c>
      <c r="AH161" s="33" t="str">
        <f>IFERROR(AG161*AR161,"-")</f>
        <v>-</v>
      </c>
      <c r="AI161" s="6" t="str">
        <f>IFERROR(1-AB161/AH161,"-")</f>
        <v>-</v>
      </c>
      <c r="AJ161" s="7">
        <v>300</v>
      </c>
      <c r="AK161" s="6">
        <f>1-AB161/AJ161</f>
        <v>0.34333333333333338</v>
      </c>
      <c r="AL161" s="4">
        <f>AJ161-AB161</f>
        <v>103</v>
      </c>
      <c r="AM161" s="28"/>
      <c r="AN161" s="6"/>
      <c r="AO161" s="6"/>
      <c r="AP161" s="6" t="str">
        <f>IFERROR(Z161/L161,"-")</f>
        <v>-</v>
      </c>
      <c r="AQ161" s="6">
        <f>IFERROR(AJ161/M161,"-")</f>
        <v>1.2195121951219512</v>
      </c>
      <c r="AR161" s="6">
        <f>IFERROR(AB161/N161,"-")</f>
        <v>1.1520467836257311</v>
      </c>
      <c r="AS161" s="4" t="str">
        <f t="shared" si="22"/>
        <v>-</v>
      </c>
      <c r="AT161" s="4"/>
      <c r="AU161" s="4" t="str">
        <f t="shared" si="23"/>
        <v>-</v>
      </c>
      <c r="AV161" s="4" t="str">
        <f t="shared" si="24"/>
        <v>-</v>
      </c>
      <c r="AW161" s="4" t="str">
        <f t="shared" si="25"/>
        <v>-</v>
      </c>
      <c r="AX161" s="4" t="str">
        <f t="shared" si="26"/>
        <v>-</v>
      </c>
      <c r="AY161" s="4" t="str">
        <f t="shared" si="27"/>
        <v>-</v>
      </c>
      <c r="AZ161" s="4" t="str">
        <f t="shared" si="28"/>
        <v>-</v>
      </c>
      <c r="BA161" s="4" t="str">
        <f t="shared" si="29"/>
        <v>-</v>
      </c>
      <c r="BB161" s="4" t="str">
        <f t="shared" si="30"/>
        <v>-</v>
      </c>
      <c r="BC161" s="4" t="s">
        <v>418</v>
      </c>
      <c r="BD161" s="4" t="s">
        <v>422</v>
      </c>
      <c r="BE161" s="4"/>
      <c r="BF161" s="4"/>
      <c r="BG161" s="4" t="s">
        <v>422</v>
      </c>
      <c r="BH161" s="4" t="s">
        <v>422</v>
      </c>
      <c r="BI161" s="4" t="str">
        <f>IF(BE161="",BH161,BE161/BF161*BH161)</f>
        <v>-</v>
      </c>
      <c r="BJ161" s="19">
        <v>4</v>
      </c>
      <c r="BK161" s="19">
        <v>1</v>
      </c>
      <c r="BL161" s="16">
        <v>3</v>
      </c>
      <c r="BM161" t="s">
        <v>422</v>
      </c>
      <c r="BN161" t="str">
        <f t="shared" si="31"/>
        <v>-</v>
      </c>
      <c r="BO161" t="s">
        <v>422</v>
      </c>
      <c r="BP161" t="str">
        <f t="shared" si="32"/>
        <v>-</v>
      </c>
      <c r="BQ161" t="s">
        <v>422</v>
      </c>
    </row>
    <row r="162" spans="1:69" x14ac:dyDescent="0.4">
      <c r="A162" s="3">
        <v>232</v>
      </c>
      <c r="B162" s="3">
        <v>118</v>
      </c>
      <c r="C162" s="46">
        <v>11329</v>
      </c>
      <c r="D162" s="4" t="str">
        <f>TEXT(C162,"000000")</f>
        <v>011329</v>
      </c>
      <c r="E162" s="4">
        <v>629002</v>
      </c>
      <c r="F162" s="4" t="s">
        <v>372</v>
      </c>
      <c r="G162" s="5">
        <v>4996297430209</v>
      </c>
      <c r="H162" s="5">
        <v>8</v>
      </c>
      <c r="I162" s="5" t="str">
        <f>C162&amp;H162</f>
        <v>113298</v>
      </c>
      <c r="J162" s="5"/>
      <c r="K162" s="5"/>
      <c r="L162" s="4">
        <v>0</v>
      </c>
      <c r="M162" s="4">
        <v>2229</v>
      </c>
      <c r="N162" s="4">
        <v>1710</v>
      </c>
      <c r="O162" s="6">
        <f>IFERROR(1-N162/M162,"-")</f>
        <v>0.2328398384925976</v>
      </c>
      <c r="P162" s="4" t="s">
        <v>422</v>
      </c>
      <c r="Q162" s="4" t="s">
        <v>422</v>
      </c>
      <c r="R162" s="4" t="s">
        <v>422</v>
      </c>
      <c r="S162" s="4" t="s">
        <v>422</v>
      </c>
      <c r="T162" s="4" t="s">
        <v>422</v>
      </c>
      <c r="U162" s="4" t="s">
        <v>422</v>
      </c>
      <c r="V162" s="4" t="s">
        <v>422</v>
      </c>
      <c r="W162" s="4" t="s">
        <v>422</v>
      </c>
      <c r="X162" s="4" t="s">
        <v>422</v>
      </c>
      <c r="Y162" s="4">
        <v>0</v>
      </c>
      <c r="Z162" s="4">
        <f>IF(AC162="",Y162,Y162*AC162)</f>
        <v>0</v>
      </c>
      <c r="AA162" s="4">
        <v>197</v>
      </c>
      <c r="AB162" s="4">
        <f>IF(AC162="",AA162,AA162*AC162)</f>
        <v>1970</v>
      </c>
      <c r="AC162" s="4">
        <v>10</v>
      </c>
      <c r="AD162" s="21">
        <f>ROUND(M162*AR162,0)</f>
        <v>2568</v>
      </c>
      <c r="AE162" s="6">
        <f>IFERROR(1-AB162/AD162,"-")</f>
        <v>0.23286604361370722</v>
      </c>
      <c r="AF162" s="33">
        <v>35.25</v>
      </c>
      <c r="AG162" s="4" t="str">
        <f>BI162</f>
        <v>-</v>
      </c>
      <c r="AH162" s="33" t="str">
        <f>IFERROR(AG162*AR162,"-")</f>
        <v>-</v>
      </c>
      <c r="AI162" s="6" t="str">
        <f>IFERROR(1-AB162/AH162,"-")</f>
        <v>-</v>
      </c>
      <c r="AJ162" s="7">
        <v>2800</v>
      </c>
      <c r="AK162" s="6">
        <f>1-AB162/AJ162</f>
        <v>0.29642857142857137</v>
      </c>
      <c r="AL162" s="4">
        <f>AJ162-AB162</f>
        <v>830</v>
      </c>
      <c r="AM162" s="28"/>
      <c r="AN162" s="6"/>
      <c r="AO162" s="6"/>
      <c r="AP162" s="6" t="str">
        <f>IFERROR(Z162/L162,"-")</f>
        <v>-</v>
      </c>
      <c r="AQ162" s="6">
        <f>IFERROR(AJ162/M162,"-")</f>
        <v>1.2561686855091969</v>
      </c>
      <c r="AR162" s="6">
        <f>IFERROR(AB162/N162,"-")</f>
        <v>1.1520467836257311</v>
      </c>
      <c r="AS162" s="4" t="str">
        <f t="shared" si="22"/>
        <v>-</v>
      </c>
      <c r="AT162" s="4"/>
      <c r="AU162" s="4" t="str">
        <f t="shared" si="23"/>
        <v>-</v>
      </c>
      <c r="AV162" s="4" t="str">
        <f t="shared" si="24"/>
        <v>-</v>
      </c>
      <c r="AW162" s="4" t="str">
        <f t="shared" si="25"/>
        <v>-</v>
      </c>
      <c r="AX162" s="4" t="str">
        <f t="shared" si="26"/>
        <v>-</v>
      </c>
      <c r="AY162" s="4" t="str">
        <f t="shared" si="27"/>
        <v>-</v>
      </c>
      <c r="AZ162" s="4" t="str">
        <f t="shared" si="28"/>
        <v>-</v>
      </c>
      <c r="BA162" s="4" t="str">
        <f t="shared" si="29"/>
        <v>-</v>
      </c>
      <c r="BB162" s="4" t="str">
        <f t="shared" si="30"/>
        <v>-</v>
      </c>
      <c r="BC162" s="4" t="s">
        <v>418</v>
      </c>
      <c r="BD162" s="4" t="s">
        <v>422</v>
      </c>
      <c r="BE162" s="4"/>
      <c r="BF162" s="4"/>
      <c r="BG162" s="4" t="s">
        <v>422</v>
      </c>
      <c r="BH162" s="4" t="s">
        <v>422</v>
      </c>
      <c r="BI162" s="4" t="str">
        <f>IF(BE162="",BH162,BE162/BF162*BH162)</f>
        <v>-</v>
      </c>
      <c r="BJ162" s="19">
        <v>4</v>
      </c>
      <c r="BK162" s="19">
        <v>1</v>
      </c>
      <c r="BL162" s="16">
        <v>3</v>
      </c>
      <c r="BM162" t="s">
        <v>422</v>
      </c>
      <c r="BN162" t="str">
        <f t="shared" si="31"/>
        <v>-</v>
      </c>
      <c r="BO162" t="s">
        <v>422</v>
      </c>
      <c r="BP162" t="str">
        <f t="shared" si="32"/>
        <v>-</v>
      </c>
      <c r="BQ162" t="s">
        <v>422</v>
      </c>
    </row>
    <row r="163" spans="1:69" x14ac:dyDescent="0.4">
      <c r="A163" s="3">
        <v>73</v>
      </c>
      <c r="B163" s="3">
        <v>73</v>
      </c>
      <c r="C163" s="4">
        <v>895797</v>
      </c>
      <c r="D163" s="4" t="str">
        <f>TEXT(C163,"000000")</f>
        <v>895797</v>
      </c>
      <c r="E163" s="4">
        <v>895797</v>
      </c>
      <c r="F163" s="4" t="s">
        <v>187</v>
      </c>
      <c r="G163" s="5">
        <v>4996297364801</v>
      </c>
      <c r="H163" s="5"/>
      <c r="I163" s="5"/>
      <c r="J163" s="5">
        <v>1</v>
      </c>
      <c r="K163" s="5">
        <v>1</v>
      </c>
      <c r="L163" s="4">
        <v>0</v>
      </c>
      <c r="M163" s="4">
        <v>235</v>
      </c>
      <c r="N163" s="4">
        <v>173</v>
      </c>
      <c r="O163" s="6">
        <f>IFERROR(1-N163/M163,"-")</f>
        <v>0.2638297872340426</v>
      </c>
      <c r="P163" s="4" t="s">
        <v>422</v>
      </c>
      <c r="Q163" s="4" t="s">
        <v>422</v>
      </c>
      <c r="R163" s="4" t="s">
        <v>422</v>
      </c>
      <c r="S163" s="4" t="s">
        <v>422</v>
      </c>
      <c r="T163" s="4" t="s">
        <v>422</v>
      </c>
      <c r="U163" s="4" t="s">
        <v>422</v>
      </c>
      <c r="V163" s="4" t="s">
        <v>422</v>
      </c>
      <c r="W163" s="4" t="s">
        <v>422</v>
      </c>
      <c r="X163" s="4" t="s">
        <v>422</v>
      </c>
      <c r="Y163" s="4">
        <v>0</v>
      </c>
      <c r="Z163" s="4">
        <f>IF(AC163="",Y163,Y163*AC163)</f>
        <v>0</v>
      </c>
      <c r="AA163" s="4">
        <v>199</v>
      </c>
      <c r="AB163" s="4">
        <f>IF(AC163="",AA163,AA163*AC163)</f>
        <v>199</v>
      </c>
      <c r="AC163" s="4"/>
      <c r="AD163" s="21">
        <f>ROUND(M163*AR163,0)</f>
        <v>270</v>
      </c>
      <c r="AE163" s="6">
        <f>IFERROR(1-AB163/AD163,"-")</f>
        <v>0.26296296296296295</v>
      </c>
      <c r="AF163" s="33">
        <v>90</v>
      </c>
      <c r="AG163" s="4" t="str">
        <f>BI163</f>
        <v>-</v>
      </c>
      <c r="AH163" s="33" t="str">
        <f>IFERROR(AG163*AR163,"-")</f>
        <v>-</v>
      </c>
      <c r="AI163" s="6" t="str">
        <f>IFERROR(1-AB163/AH163,"-")</f>
        <v>-</v>
      </c>
      <c r="AJ163" s="7">
        <v>310</v>
      </c>
      <c r="AK163" s="6">
        <f>1-AB163/AJ163</f>
        <v>0.35806451612903223</v>
      </c>
      <c r="AL163" s="4">
        <f>AJ163-AB163</f>
        <v>111</v>
      </c>
      <c r="AM163" s="28"/>
      <c r="AN163" s="6"/>
      <c r="AO163" s="6"/>
      <c r="AP163" s="6" t="str">
        <f>IFERROR(Z163/L163,"-")</f>
        <v>-</v>
      </c>
      <c r="AQ163" s="6">
        <f>IFERROR(AJ163/M163,"-")</f>
        <v>1.3191489361702127</v>
      </c>
      <c r="AR163" s="6">
        <f>IFERROR(AB163/N163,"-")</f>
        <v>1.1502890173410405</v>
      </c>
      <c r="AS163" s="4" t="str">
        <f t="shared" si="22"/>
        <v>-</v>
      </c>
      <c r="AT163" s="4"/>
      <c r="AU163" s="4" t="str">
        <f t="shared" si="23"/>
        <v>-</v>
      </c>
      <c r="AV163" s="4" t="str">
        <f t="shared" si="24"/>
        <v>-</v>
      </c>
      <c r="AW163" s="4" t="str">
        <f t="shared" si="25"/>
        <v>-</v>
      </c>
      <c r="AX163" s="4" t="str">
        <f t="shared" si="26"/>
        <v>-</v>
      </c>
      <c r="AY163" s="4" t="str">
        <f t="shared" si="27"/>
        <v>-</v>
      </c>
      <c r="AZ163" s="4" t="str">
        <f t="shared" si="28"/>
        <v>-</v>
      </c>
      <c r="BA163" s="4" t="str">
        <f t="shared" si="29"/>
        <v>-</v>
      </c>
      <c r="BB163" s="4" t="str">
        <f t="shared" si="30"/>
        <v>-</v>
      </c>
      <c r="BC163" s="4" t="s">
        <v>409</v>
      </c>
      <c r="BD163" s="4" t="s">
        <v>422</v>
      </c>
      <c r="BE163" s="4"/>
      <c r="BF163" s="4"/>
      <c r="BG163" s="4" t="s">
        <v>422</v>
      </c>
      <c r="BH163" s="4" t="s">
        <v>422</v>
      </c>
      <c r="BI163" s="4" t="str">
        <f>IF(BE163="",BH163,BE163/BF163*BH163)</f>
        <v>-</v>
      </c>
      <c r="BJ163" s="19">
        <v>4</v>
      </c>
      <c r="BK163" s="19">
        <v>1</v>
      </c>
      <c r="BL163" s="16">
        <v>3</v>
      </c>
      <c r="BM163" t="s">
        <v>422</v>
      </c>
      <c r="BN163" t="str">
        <f t="shared" si="31"/>
        <v>-</v>
      </c>
      <c r="BO163" t="s">
        <v>422</v>
      </c>
      <c r="BP163" t="str">
        <f t="shared" si="32"/>
        <v>-</v>
      </c>
      <c r="BQ163" t="s">
        <v>422</v>
      </c>
    </row>
    <row r="164" spans="1:69" x14ac:dyDescent="0.4">
      <c r="A164" s="3">
        <v>170</v>
      </c>
      <c r="B164" s="3">
        <v>170</v>
      </c>
      <c r="C164" s="46">
        <v>583762</v>
      </c>
      <c r="D164" s="4" t="str">
        <f>TEXT(C164,"000000")</f>
        <v>583762</v>
      </c>
      <c r="E164" s="4">
        <v>583762</v>
      </c>
      <c r="F164" s="4" t="s">
        <v>284</v>
      </c>
      <c r="G164" s="5">
        <v>4996297702009</v>
      </c>
      <c r="H164" s="5"/>
      <c r="I164" s="5"/>
      <c r="J164" s="5">
        <v>2</v>
      </c>
      <c r="K164" s="5">
        <v>2</v>
      </c>
      <c r="L164" s="4">
        <v>0</v>
      </c>
      <c r="M164" s="4">
        <v>342</v>
      </c>
      <c r="N164" s="4">
        <v>190</v>
      </c>
      <c r="O164" s="6">
        <f>IFERROR(1-N164/M164,"-")</f>
        <v>0.44444444444444442</v>
      </c>
      <c r="P164" s="4" t="s">
        <v>422</v>
      </c>
      <c r="Q164" s="4" t="s">
        <v>422</v>
      </c>
      <c r="R164" s="4" t="s">
        <v>422</v>
      </c>
      <c r="S164" s="4" t="s">
        <v>422</v>
      </c>
      <c r="T164" s="4" t="s">
        <v>422</v>
      </c>
      <c r="U164" s="4" t="s">
        <v>422</v>
      </c>
      <c r="V164" s="4" t="s">
        <v>422</v>
      </c>
      <c r="W164" s="4" t="s">
        <v>422</v>
      </c>
      <c r="X164" s="4" t="s">
        <v>422</v>
      </c>
      <c r="Y164" s="4">
        <v>0</v>
      </c>
      <c r="Z164" s="4">
        <f>IF(AC164="",Y164,Y164*AC164)</f>
        <v>0</v>
      </c>
      <c r="AA164" s="4">
        <v>219</v>
      </c>
      <c r="AB164" s="4">
        <f>IF(AC164="",AA164,AA164*AC164)</f>
        <v>219</v>
      </c>
      <c r="AC164" s="4"/>
      <c r="AD164" s="21">
        <f>ROUND(M164*AR164,0)</f>
        <v>394</v>
      </c>
      <c r="AE164" s="6">
        <f>IFERROR(1-AB164/AD164,"-")</f>
        <v>0.4441624365482234</v>
      </c>
      <c r="AF164" s="33">
        <v>14.75</v>
      </c>
      <c r="AG164" s="4">
        <f>BI164</f>
        <v>598</v>
      </c>
      <c r="AH164" s="33">
        <f>IFERROR(AG164*AR164,"-")</f>
        <v>689.27368421052631</v>
      </c>
      <c r="AI164" s="6">
        <f>IFERROR(1-AB164/AH164,"-")</f>
        <v>0.68227424749163879</v>
      </c>
      <c r="AJ164" s="7">
        <v>390</v>
      </c>
      <c r="AK164" s="6">
        <f>1-AB164/AJ164</f>
        <v>0.43846153846153846</v>
      </c>
      <c r="AL164" s="4">
        <f>AJ164-AB164</f>
        <v>171</v>
      </c>
      <c r="AM164" s="28"/>
      <c r="AN164" s="6"/>
      <c r="AO164" s="6"/>
      <c r="AP164" s="6" t="str">
        <f>IFERROR(Z164/L164,"-")</f>
        <v>-</v>
      </c>
      <c r="AQ164" s="6">
        <f>IFERROR(AJ164/M164,"-")</f>
        <v>1.1403508771929824</v>
      </c>
      <c r="AR164" s="6">
        <f>IFERROR(AB164/N164,"-")</f>
        <v>1.1526315789473685</v>
      </c>
      <c r="AS164" s="4" t="str">
        <f t="shared" si="22"/>
        <v>-</v>
      </c>
      <c r="AT164" s="4"/>
      <c r="AU164" s="4" t="str">
        <f t="shared" si="23"/>
        <v>-</v>
      </c>
      <c r="AV164" s="4" t="str">
        <f t="shared" si="24"/>
        <v>-</v>
      </c>
      <c r="AW164" s="4" t="str">
        <f t="shared" si="25"/>
        <v>-</v>
      </c>
      <c r="AX164" s="4" t="str">
        <f t="shared" si="26"/>
        <v>-</v>
      </c>
      <c r="AY164" s="4" t="str">
        <f t="shared" si="27"/>
        <v>-</v>
      </c>
      <c r="AZ164" s="4" t="str">
        <f t="shared" si="28"/>
        <v>-</v>
      </c>
      <c r="BA164" s="4" t="str">
        <f t="shared" si="29"/>
        <v>-</v>
      </c>
      <c r="BB164" s="4" t="str">
        <f t="shared" si="30"/>
        <v>-</v>
      </c>
      <c r="BC164" s="4" t="s">
        <v>415</v>
      </c>
      <c r="BD164" s="4" t="s">
        <v>669</v>
      </c>
      <c r="BE164" s="4"/>
      <c r="BF164" s="4"/>
      <c r="BG164" s="4" t="s">
        <v>639</v>
      </c>
      <c r="BH164" s="4">
        <v>598</v>
      </c>
      <c r="BI164" s="4">
        <f>IF(BE164="",BH164,BE164/BF164*BH164)</f>
        <v>598</v>
      </c>
      <c r="BJ164" s="19">
        <v>4</v>
      </c>
      <c r="BK164" s="19">
        <v>1</v>
      </c>
      <c r="BL164" s="16">
        <v>3</v>
      </c>
      <c r="BM164">
        <v>372</v>
      </c>
      <c r="BN164">
        <f t="shared" si="31"/>
        <v>428.77894736842109</v>
      </c>
      <c r="BO164">
        <v>504</v>
      </c>
      <c r="BP164">
        <f t="shared" si="32"/>
        <v>580.92631578947373</v>
      </c>
      <c r="BQ164" t="s">
        <v>514</v>
      </c>
    </row>
    <row r="165" spans="1:69" x14ac:dyDescent="0.4">
      <c r="A165" s="3">
        <v>258</v>
      </c>
      <c r="B165" s="3">
        <v>170</v>
      </c>
      <c r="C165" s="46">
        <v>583762</v>
      </c>
      <c r="D165" s="4" t="str">
        <f>TEXT(C165,"000000")</f>
        <v>583762</v>
      </c>
      <c r="E165" s="4">
        <v>583763</v>
      </c>
      <c r="F165" s="4" t="s">
        <v>398</v>
      </c>
      <c r="G165" s="5">
        <v>4996297702009</v>
      </c>
      <c r="H165" s="5">
        <v>8</v>
      </c>
      <c r="I165" s="5" t="str">
        <f>C165&amp;H165</f>
        <v>5837628</v>
      </c>
      <c r="J165" s="5"/>
      <c r="K165" s="5"/>
      <c r="L165" s="4">
        <v>0</v>
      </c>
      <c r="M165" s="4">
        <v>2878</v>
      </c>
      <c r="N165" s="4">
        <v>1900</v>
      </c>
      <c r="O165" s="6">
        <f>IFERROR(1-N165/M165,"-")</f>
        <v>0.33981931897150797</v>
      </c>
      <c r="P165" s="4" t="s">
        <v>422</v>
      </c>
      <c r="Q165" s="4" t="s">
        <v>422</v>
      </c>
      <c r="R165" s="4" t="s">
        <v>422</v>
      </c>
      <c r="S165" s="4" t="s">
        <v>422</v>
      </c>
      <c r="T165" s="4" t="s">
        <v>422</v>
      </c>
      <c r="U165" s="4" t="s">
        <v>422</v>
      </c>
      <c r="V165" s="4" t="s">
        <v>422</v>
      </c>
      <c r="W165" s="4" t="s">
        <v>422</v>
      </c>
      <c r="X165" s="4" t="s">
        <v>422</v>
      </c>
      <c r="Y165" s="4">
        <v>0</v>
      </c>
      <c r="Z165" s="4">
        <f>IF(AC165="",Y165,Y165*AC165)</f>
        <v>0</v>
      </c>
      <c r="AA165" s="4">
        <v>219</v>
      </c>
      <c r="AB165" s="4">
        <f>IF(AC165="",AA165,AA165*AC165)</f>
        <v>2190</v>
      </c>
      <c r="AC165" s="4">
        <v>10</v>
      </c>
      <c r="AD165" s="21">
        <f>ROUND(M165*AR165,0)</f>
        <v>3317</v>
      </c>
      <c r="AE165" s="6">
        <f>IFERROR(1-AB165/AD165,"-")</f>
        <v>0.33976484775399463</v>
      </c>
      <c r="AF165" s="33">
        <v>14.75</v>
      </c>
      <c r="AG165" s="4">
        <f>BI165</f>
        <v>5980</v>
      </c>
      <c r="AH165" s="33">
        <f>IFERROR(AG165*AR165,"-")</f>
        <v>6892.7368421052633</v>
      </c>
      <c r="AI165" s="6">
        <f>IFERROR(1-AB165/AH165,"-")</f>
        <v>0.68227424749163879</v>
      </c>
      <c r="AJ165" s="7">
        <v>3600</v>
      </c>
      <c r="AK165" s="6">
        <f>1-AB165/AJ165</f>
        <v>0.39166666666666672</v>
      </c>
      <c r="AL165" s="4">
        <f>AJ165-AB165</f>
        <v>1410</v>
      </c>
      <c r="AM165" s="28"/>
      <c r="AN165" s="6"/>
      <c r="AO165" s="6"/>
      <c r="AP165" s="6" t="str">
        <f>IFERROR(Z165/L165,"-")</f>
        <v>-</v>
      </c>
      <c r="AQ165" s="6">
        <f>IFERROR(AJ165/M165,"-")</f>
        <v>1.2508686587908269</v>
      </c>
      <c r="AR165" s="6">
        <f>IFERROR(AB165/N165,"-")</f>
        <v>1.1526315789473685</v>
      </c>
      <c r="AS165" s="4" t="str">
        <f t="shared" si="22"/>
        <v>-</v>
      </c>
      <c r="AT165" s="4"/>
      <c r="AU165" s="4" t="str">
        <f t="shared" si="23"/>
        <v>-</v>
      </c>
      <c r="AV165" s="4" t="str">
        <f t="shared" si="24"/>
        <v>-</v>
      </c>
      <c r="AW165" s="4" t="str">
        <f t="shared" si="25"/>
        <v>-</v>
      </c>
      <c r="AX165" s="4" t="str">
        <f t="shared" si="26"/>
        <v>-</v>
      </c>
      <c r="AY165" s="4" t="str">
        <f t="shared" si="27"/>
        <v>-</v>
      </c>
      <c r="AZ165" s="4" t="str">
        <f t="shared" si="28"/>
        <v>-</v>
      </c>
      <c r="BA165" s="4" t="str">
        <f t="shared" si="29"/>
        <v>-</v>
      </c>
      <c r="BB165" s="4" t="str">
        <f t="shared" si="30"/>
        <v>-</v>
      </c>
      <c r="BC165" s="4" t="s">
        <v>415</v>
      </c>
      <c r="BD165" s="4" t="s">
        <v>669</v>
      </c>
      <c r="BE165" s="4">
        <v>10</v>
      </c>
      <c r="BF165" s="4">
        <v>1</v>
      </c>
      <c r="BG165" s="4" t="s">
        <v>639</v>
      </c>
      <c r="BH165" s="4">
        <v>598</v>
      </c>
      <c r="BI165" s="4">
        <f>IF(BE165="",BH165,BE165/BF165*BH165)</f>
        <v>5980</v>
      </c>
      <c r="BJ165" s="19">
        <v>4</v>
      </c>
      <c r="BK165" s="19">
        <v>1</v>
      </c>
      <c r="BL165" s="16">
        <v>3</v>
      </c>
      <c r="BM165">
        <v>372</v>
      </c>
      <c r="BN165">
        <f t="shared" si="31"/>
        <v>428.77894736842109</v>
      </c>
      <c r="BO165">
        <v>504</v>
      </c>
      <c r="BP165">
        <f t="shared" si="32"/>
        <v>580.92631578947373</v>
      </c>
      <c r="BQ165" t="s">
        <v>514</v>
      </c>
    </row>
    <row r="166" spans="1:69" x14ac:dyDescent="0.4">
      <c r="A166" s="3">
        <v>132</v>
      </c>
      <c r="B166" s="3">
        <v>132</v>
      </c>
      <c r="C166" s="4">
        <v>789957</v>
      </c>
      <c r="D166" s="4" t="str">
        <f>TEXT(C166,"000000")</f>
        <v>789957</v>
      </c>
      <c r="E166" s="4">
        <v>789957</v>
      </c>
      <c r="F166" s="4" t="s">
        <v>246</v>
      </c>
      <c r="G166" s="5">
        <v>4996297446927</v>
      </c>
      <c r="H166" s="5"/>
      <c r="I166" s="5"/>
      <c r="J166" s="5">
        <v>1</v>
      </c>
      <c r="K166" s="5">
        <v>1</v>
      </c>
      <c r="L166" s="4">
        <v>0</v>
      </c>
      <c r="M166" s="4">
        <v>301</v>
      </c>
      <c r="N166" s="4">
        <v>193</v>
      </c>
      <c r="O166" s="6">
        <f>IFERROR(1-N166/M166,"-")</f>
        <v>0.35880398671096347</v>
      </c>
      <c r="P166" s="4" t="s">
        <v>422</v>
      </c>
      <c r="Q166" s="4" t="s">
        <v>422</v>
      </c>
      <c r="R166" s="4" t="s">
        <v>422</v>
      </c>
      <c r="S166" s="4" t="s">
        <v>422</v>
      </c>
      <c r="T166" s="4" t="s">
        <v>422</v>
      </c>
      <c r="U166" s="4" t="s">
        <v>422</v>
      </c>
      <c r="V166" s="4" t="s">
        <v>422</v>
      </c>
      <c r="W166" s="4" t="s">
        <v>422</v>
      </c>
      <c r="X166" s="4" t="s">
        <v>422</v>
      </c>
      <c r="Y166" s="4">
        <v>0</v>
      </c>
      <c r="Z166" s="4">
        <f>IF(AC166="",Y166,Y166*AC166)</f>
        <v>0</v>
      </c>
      <c r="AA166" s="4">
        <v>222</v>
      </c>
      <c r="AB166" s="4">
        <f>IF(AC166="",AA166,AA166*AC166)</f>
        <v>222</v>
      </c>
      <c r="AC166" s="4"/>
      <c r="AD166" s="21">
        <f>ROUND(M166*AR166,0)</f>
        <v>346</v>
      </c>
      <c r="AE166" s="6">
        <f>IFERROR(1-AB166/AD166,"-")</f>
        <v>0.35838150289017345</v>
      </c>
      <c r="AF166" s="33">
        <v>17.75</v>
      </c>
      <c r="AG166" s="4" t="str">
        <f>BI166</f>
        <v>-</v>
      </c>
      <c r="AH166" s="33" t="str">
        <f>IFERROR(AG166*AR166,"-")</f>
        <v>-</v>
      </c>
      <c r="AI166" s="6" t="str">
        <f>IFERROR(1-AB166/AH166,"-")</f>
        <v>-</v>
      </c>
      <c r="AJ166" s="7">
        <v>360</v>
      </c>
      <c r="AK166" s="6">
        <f>1-AB166/AJ166</f>
        <v>0.3833333333333333</v>
      </c>
      <c r="AL166" s="4">
        <f>AJ166-AB166</f>
        <v>138</v>
      </c>
      <c r="AM166" s="28"/>
      <c r="AN166" s="6"/>
      <c r="AO166" s="6"/>
      <c r="AP166" s="6" t="str">
        <f>IFERROR(Z166/L166,"-")</f>
        <v>-</v>
      </c>
      <c r="AQ166" s="6">
        <f>IFERROR(AJ166/M166,"-")</f>
        <v>1.1960132890365449</v>
      </c>
      <c r="AR166" s="6">
        <f>IFERROR(AB166/N166,"-")</f>
        <v>1.150259067357513</v>
      </c>
      <c r="AS166" s="4" t="str">
        <f t="shared" si="22"/>
        <v>-</v>
      </c>
      <c r="AT166" s="4"/>
      <c r="AU166" s="4" t="str">
        <f t="shared" si="23"/>
        <v>-</v>
      </c>
      <c r="AV166" s="4" t="str">
        <f t="shared" si="24"/>
        <v>-</v>
      </c>
      <c r="AW166" s="4" t="str">
        <f t="shared" si="25"/>
        <v>-</v>
      </c>
      <c r="AX166" s="4" t="str">
        <f t="shared" si="26"/>
        <v>-</v>
      </c>
      <c r="AY166" s="4" t="str">
        <f t="shared" si="27"/>
        <v>-</v>
      </c>
      <c r="AZ166" s="4" t="str">
        <f t="shared" si="28"/>
        <v>-</v>
      </c>
      <c r="BA166" s="4" t="str">
        <f t="shared" si="29"/>
        <v>-</v>
      </c>
      <c r="BB166" s="4" t="str">
        <f t="shared" si="30"/>
        <v>-</v>
      </c>
      <c r="BC166" s="4" t="s">
        <v>421</v>
      </c>
      <c r="BD166" s="4" t="s">
        <v>422</v>
      </c>
      <c r="BE166" s="4"/>
      <c r="BF166" s="4"/>
      <c r="BG166" s="4" t="s">
        <v>422</v>
      </c>
      <c r="BH166" s="4" t="s">
        <v>422</v>
      </c>
      <c r="BI166" s="4" t="str">
        <f>IF(BE166="",BH166,BE166/BF166*BH166)</f>
        <v>-</v>
      </c>
      <c r="BJ166" s="19">
        <v>4</v>
      </c>
      <c r="BK166" s="19">
        <v>1</v>
      </c>
      <c r="BL166" s="16">
        <v>3</v>
      </c>
      <c r="BM166" t="s">
        <v>422</v>
      </c>
      <c r="BN166" t="str">
        <f t="shared" si="31"/>
        <v>-</v>
      </c>
      <c r="BO166" t="s">
        <v>422</v>
      </c>
      <c r="BP166" t="str">
        <f t="shared" si="32"/>
        <v>-</v>
      </c>
      <c r="BQ166" t="s">
        <v>422</v>
      </c>
    </row>
    <row r="167" spans="1:69" x14ac:dyDescent="0.4">
      <c r="A167" s="3">
        <v>133</v>
      </c>
      <c r="B167" s="3">
        <v>133</v>
      </c>
      <c r="C167" s="4">
        <v>789984</v>
      </c>
      <c r="D167" s="4" t="str">
        <f>TEXT(C167,"000000")</f>
        <v>789984</v>
      </c>
      <c r="E167" s="4">
        <v>789984</v>
      </c>
      <c r="F167" s="4" t="s">
        <v>247</v>
      </c>
      <c r="G167" s="5">
        <v>4996297446941</v>
      </c>
      <c r="H167" s="5"/>
      <c r="I167" s="5"/>
      <c r="J167" s="5">
        <v>1</v>
      </c>
      <c r="K167" s="5">
        <v>1</v>
      </c>
      <c r="L167" s="4">
        <v>0</v>
      </c>
      <c r="M167" s="4">
        <v>301</v>
      </c>
      <c r="N167" s="4">
        <v>193</v>
      </c>
      <c r="O167" s="6">
        <f>IFERROR(1-N167/M167,"-")</f>
        <v>0.35880398671096347</v>
      </c>
      <c r="P167" s="4" t="s">
        <v>422</v>
      </c>
      <c r="Q167" s="4" t="s">
        <v>422</v>
      </c>
      <c r="R167" s="4" t="s">
        <v>422</v>
      </c>
      <c r="S167" s="4" t="s">
        <v>422</v>
      </c>
      <c r="T167" s="4" t="s">
        <v>422</v>
      </c>
      <c r="U167" s="4" t="s">
        <v>422</v>
      </c>
      <c r="V167" s="4" t="s">
        <v>422</v>
      </c>
      <c r="W167" s="4" t="s">
        <v>422</v>
      </c>
      <c r="X167" s="4" t="s">
        <v>422</v>
      </c>
      <c r="Y167" s="4">
        <v>0</v>
      </c>
      <c r="Z167" s="4">
        <f>IF(AC167="",Y167,Y167*AC167)</f>
        <v>0</v>
      </c>
      <c r="AA167" s="4">
        <v>222</v>
      </c>
      <c r="AB167" s="4">
        <f>IF(AC167="",AA167,AA167*AC167)</f>
        <v>222</v>
      </c>
      <c r="AC167" s="4"/>
      <c r="AD167" s="21">
        <f>ROUND(M167*AR167,0)</f>
        <v>346</v>
      </c>
      <c r="AE167" s="6">
        <f>IFERROR(1-AB167/AD167,"-")</f>
        <v>0.35838150289017345</v>
      </c>
      <c r="AF167" s="33">
        <v>6</v>
      </c>
      <c r="AG167" s="4" t="str">
        <f>BI167</f>
        <v>-</v>
      </c>
      <c r="AH167" s="33" t="str">
        <f>IFERROR(AG167*AR167,"-")</f>
        <v>-</v>
      </c>
      <c r="AI167" s="6" t="str">
        <f>IFERROR(1-AB167/AH167,"-")</f>
        <v>-</v>
      </c>
      <c r="AJ167" s="7">
        <v>360</v>
      </c>
      <c r="AK167" s="6">
        <f>1-AB167/AJ167</f>
        <v>0.3833333333333333</v>
      </c>
      <c r="AL167" s="4">
        <f>AJ167-AB167</f>
        <v>138</v>
      </c>
      <c r="AM167" s="28"/>
      <c r="AN167" s="6"/>
      <c r="AO167" s="6"/>
      <c r="AP167" s="6" t="str">
        <f>IFERROR(Z167/L167,"-")</f>
        <v>-</v>
      </c>
      <c r="AQ167" s="6">
        <f>IFERROR(AJ167/M167,"-")</f>
        <v>1.1960132890365449</v>
      </c>
      <c r="AR167" s="6">
        <f>IFERROR(AB167/N167,"-")</f>
        <v>1.150259067357513</v>
      </c>
      <c r="AS167" s="4" t="str">
        <f t="shared" si="22"/>
        <v>-</v>
      </c>
      <c r="AT167" s="4"/>
      <c r="AU167" s="4" t="str">
        <f t="shared" si="23"/>
        <v>-</v>
      </c>
      <c r="AV167" s="4" t="str">
        <f t="shared" si="24"/>
        <v>-</v>
      </c>
      <c r="AW167" s="4" t="str">
        <f t="shared" si="25"/>
        <v>-</v>
      </c>
      <c r="AX167" s="4" t="str">
        <f t="shared" si="26"/>
        <v>-</v>
      </c>
      <c r="AY167" s="4" t="str">
        <f t="shared" si="27"/>
        <v>-</v>
      </c>
      <c r="AZ167" s="4" t="str">
        <f t="shared" si="28"/>
        <v>-</v>
      </c>
      <c r="BA167" s="4" t="str">
        <f t="shared" si="29"/>
        <v>-</v>
      </c>
      <c r="BB167" s="4" t="str">
        <f t="shared" si="30"/>
        <v>-</v>
      </c>
      <c r="BC167" s="4" t="s">
        <v>421</v>
      </c>
      <c r="BD167" s="4" t="s">
        <v>422</v>
      </c>
      <c r="BE167" s="4"/>
      <c r="BF167" s="4"/>
      <c r="BG167" s="4" t="s">
        <v>422</v>
      </c>
      <c r="BH167" s="4" t="s">
        <v>422</v>
      </c>
      <c r="BI167" s="4" t="str">
        <f>IF(BE167="",BH167,BE167/BF167*BH167)</f>
        <v>-</v>
      </c>
      <c r="BJ167" s="19">
        <v>4</v>
      </c>
      <c r="BK167" s="19">
        <v>1</v>
      </c>
      <c r="BL167" s="16">
        <v>3</v>
      </c>
      <c r="BM167" t="s">
        <v>422</v>
      </c>
      <c r="BN167" t="str">
        <f t="shared" si="31"/>
        <v>-</v>
      </c>
      <c r="BO167" t="s">
        <v>422</v>
      </c>
      <c r="BP167" t="str">
        <f t="shared" si="32"/>
        <v>-</v>
      </c>
      <c r="BQ167" t="s">
        <v>422</v>
      </c>
    </row>
    <row r="168" spans="1:69" x14ac:dyDescent="0.4">
      <c r="A168" s="3">
        <v>53</v>
      </c>
      <c r="B168" s="3">
        <v>53</v>
      </c>
      <c r="C168" s="46">
        <v>745866</v>
      </c>
      <c r="D168" s="4" t="str">
        <f>TEXT(C168,"000000")</f>
        <v>745866</v>
      </c>
      <c r="E168" s="4">
        <v>745866</v>
      </c>
      <c r="F168" s="4" t="s">
        <v>168</v>
      </c>
      <c r="G168" s="5">
        <v>4996297343745</v>
      </c>
      <c r="H168" s="5"/>
      <c r="I168" s="5"/>
      <c r="J168" s="5">
        <v>2</v>
      </c>
      <c r="K168" s="5">
        <v>2</v>
      </c>
      <c r="L168" s="4">
        <v>0</v>
      </c>
      <c r="M168" s="4">
        <v>280</v>
      </c>
      <c r="N168" s="4">
        <v>204</v>
      </c>
      <c r="O168" s="6">
        <f>IFERROR(1-N168/M168,"-")</f>
        <v>0.27142857142857146</v>
      </c>
      <c r="P168" s="4" t="s">
        <v>422</v>
      </c>
      <c r="Q168" s="4" t="s">
        <v>422</v>
      </c>
      <c r="R168" s="4" t="s">
        <v>422</v>
      </c>
      <c r="S168" s="4" t="s">
        <v>422</v>
      </c>
      <c r="T168" s="4" t="s">
        <v>422</v>
      </c>
      <c r="U168" s="4" t="s">
        <v>422</v>
      </c>
      <c r="V168" s="4" t="s">
        <v>422</v>
      </c>
      <c r="W168" s="4" t="s">
        <v>422</v>
      </c>
      <c r="X168" s="4" t="s">
        <v>422</v>
      </c>
      <c r="Y168" s="4">
        <v>0</v>
      </c>
      <c r="Z168" s="4">
        <f>IF(AC168="",Y168,Y168*AC168)</f>
        <v>0</v>
      </c>
      <c r="AA168" s="4">
        <v>235</v>
      </c>
      <c r="AB168" s="4">
        <f>IF(AC168="",AA168,AA168*AC168)</f>
        <v>235</v>
      </c>
      <c r="AC168" s="4"/>
      <c r="AD168" s="21">
        <f>ROUND(M168*AR168,0)</f>
        <v>323</v>
      </c>
      <c r="AE168" s="6">
        <f>IFERROR(1-AB168/AD168,"-")</f>
        <v>0.27244582043343657</v>
      </c>
      <c r="AF168" s="33">
        <v>376</v>
      </c>
      <c r="AG168" s="4" t="str">
        <f>BI168</f>
        <v>-</v>
      </c>
      <c r="AH168" s="33" t="str">
        <f>IFERROR(AG168*AR168,"-")</f>
        <v>-</v>
      </c>
      <c r="AI168" s="6" t="str">
        <f>IFERROR(1-AB168/AH168,"-")</f>
        <v>-</v>
      </c>
      <c r="AJ168" s="7">
        <v>380</v>
      </c>
      <c r="AK168" s="6">
        <f>1-AB168/AJ168</f>
        <v>0.38157894736842102</v>
      </c>
      <c r="AL168" s="4">
        <f>AJ168-AB168</f>
        <v>145</v>
      </c>
      <c r="AM168" s="28"/>
      <c r="AN168" s="6"/>
      <c r="AO168" s="6"/>
      <c r="AP168" s="6" t="str">
        <f>IFERROR(Z168/L168,"-")</f>
        <v>-</v>
      </c>
      <c r="AQ168" s="6">
        <f>IFERROR(AJ168/M168,"-")</f>
        <v>1.3571428571428572</v>
      </c>
      <c r="AR168" s="6">
        <f>IFERROR(AB168/N168,"-")</f>
        <v>1.1519607843137254</v>
      </c>
      <c r="AS168" s="4" t="str">
        <f t="shared" si="22"/>
        <v>-</v>
      </c>
      <c r="AT168" s="4"/>
      <c r="AU168" s="4" t="str">
        <f t="shared" si="23"/>
        <v>-</v>
      </c>
      <c r="AV168" s="4" t="str">
        <f t="shared" si="24"/>
        <v>-</v>
      </c>
      <c r="AW168" s="4" t="str">
        <f t="shared" si="25"/>
        <v>-</v>
      </c>
      <c r="AX168" s="4" t="str">
        <f t="shared" si="26"/>
        <v>-</v>
      </c>
      <c r="AY168" s="4" t="str">
        <f t="shared" si="27"/>
        <v>-</v>
      </c>
      <c r="AZ168" s="4" t="str">
        <f t="shared" si="28"/>
        <v>-</v>
      </c>
      <c r="BA168" s="4" t="str">
        <f t="shared" si="29"/>
        <v>-</v>
      </c>
      <c r="BB168" s="4" t="str">
        <f t="shared" si="30"/>
        <v>-</v>
      </c>
      <c r="BC168" s="4">
        <v>12451</v>
      </c>
      <c r="BD168" s="4" t="s">
        <v>422</v>
      </c>
      <c r="BE168" s="4"/>
      <c r="BF168" s="4"/>
      <c r="BG168" s="4" t="s">
        <v>422</v>
      </c>
      <c r="BH168" s="4" t="s">
        <v>422</v>
      </c>
      <c r="BI168" s="4" t="str">
        <f>IF(BE168="",BH168,BE168/BF168*BH168)</f>
        <v>-</v>
      </c>
      <c r="BJ168" s="19">
        <v>4</v>
      </c>
      <c r="BK168" s="19">
        <v>1</v>
      </c>
      <c r="BL168" s="16">
        <v>3</v>
      </c>
      <c r="BM168">
        <v>392</v>
      </c>
      <c r="BN168">
        <f t="shared" si="31"/>
        <v>451.56862745098033</v>
      </c>
      <c r="BO168" t="s">
        <v>422</v>
      </c>
      <c r="BP168" t="str">
        <f t="shared" si="32"/>
        <v>-</v>
      </c>
      <c r="BQ168" t="s">
        <v>422</v>
      </c>
    </row>
    <row r="169" spans="1:69" x14ac:dyDescent="0.4">
      <c r="A169" s="3">
        <v>200</v>
      </c>
      <c r="B169" s="3">
        <v>53</v>
      </c>
      <c r="C169" s="46">
        <v>745866</v>
      </c>
      <c r="D169" s="4" t="str">
        <f>TEXT(C169,"000000")</f>
        <v>745866</v>
      </c>
      <c r="E169" s="4">
        <v>629693</v>
      </c>
      <c r="F169" s="4" t="s">
        <v>340</v>
      </c>
      <c r="G169" s="5">
        <v>4996297343745</v>
      </c>
      <c r="H169" s="5">
        <v>8</v>
      </c>
      <c r="I169" s="5" t="str">
        <f>C169&amp;H169</f>
        <v>7458668</v>
      </c>
      <c r="J169" s="5"/>
      <c r="K169" s="5"/>
      <c r="L169" s="4">
        <v>0</v>
      </c>
      <c r="M169" s="4">
        <v>5880</v>
      </c>
      <c r="N169" s="4">
        <v>4080</v>
      </c>
      <c r="O169" s="6">
        <f>IFERROR(1-N169/M169,"-")</f>
        <v>0.30612244897959184</v>
      </c>
      <c r="P169" s="4" t="s">
        <v>422</v>
      </c>
      <c r="Q169" s="4" t="s">
        <v>422</v>
      </c>
      <c r="R169" s="4" t="s">
        <v>422</v>
      </c>
      <c r="S169" s="4" t="s">
        <v>422</v>
      </c>
      <c r="T169" s="4" t="s">
        <v>422</v>
      </c>
      <c r="U169" s="4" t="s">
        <v>422</v>
      </c>
      <c r="V169" s="4" t="s">
        <v>422</v>
      </c>
      <c r="W169" s="4" t="s">
        <v>422</v>
      </c>
      <c r="X169" s="4" t="s">
        <v>422</v>
      </c>
      <c r="Y169" s="4">
        <v>0</v>
      </c>
      <c r="Z169" s="4">
        <f>IF(AC169="",Y169,Y169*AC169)</f>
        <v>0</v>
      </c>
      <c r="AA169" s="4">
        <v>235</v>
      </c>
      <c r="AB169" s="4">
        <f>IF(AC169="",AA169,AA169*AC169)</f>
        <v>4700</v>
      </c>
      <c r="AC169" s="4">
        <v>20</v>
      </c>
      <c r="AD169" s="21">
        <f>ROUND(M169*AR169,0)</f>
        <v>6774</v>
      </c>
      <c r="AE169" s="6">
        <f>IFERROR(1-AB169/AD169,"-")</f>
        <v>0.30617065249483322</v>
      </c>
      <c r="AF169" s="33">
        <v>376</v>
      </c>
      <c r="AG169" s="4" t="str">
        <f>BI169</f>
        <v>-</v>
      </c>
      <c r="AH169" s="33" t="str">
        <f>IFERROR(AG169*AR169,"-")</f>
        <v>-</v>
      </c>
      <c r="AI169" s="6" t="str">
        <f>IFERROR(1-AB169/AH169,"-")</f>
        <v>-</v>
      </c>
      <c r="AJ169" s="7">
        <v>7200</v>
      </c>
      <c r="AK169" s="6">
        <f>1-AB169/AJ169</f>
        <v>0.34722222222222221</v>
      </c>
      <c r="AL169" s="4">
        <f>AJ169-AB169</f>
        <v>2500</v>
      </c>
      <c r="AM169" s="28"/>
      <c r="AN169" s="6"/>
      <c r="AO169" s="6"/>
      <c r="AP169" s="6" t="str">
        <f>IFERROR(Z169/L169,"-")</f>
        <v>-</v>
      </c>
      <c r="AQ169" s="6">
        <f>IFERROR(AJ169/M169,"-")</f>
        <v>1.2244897959183674</v>
      </c>
      <c r="AR169" s="6">
        <f>IFERROR(AB169/N169,"-")</f>
        <v>1.1519607843137254</v>
      </c>
      <c r="AS169" s="4" t="str">
        <f t="shared" si="22"/>
        <v>-</v>
      </c>
      <c r="AT169" s="4"/>
      <c r="AU169" s="4" t="str">
        <f t="shared" si="23"/>
        <v>-</v>
      </c>
      <c r="AV169" s="4" t="str">
        <f t="shared" si="24"/>
        <v>-</v>
      </c>
      <c r="AW169" s="4" t="str">
        <f t="shared" si="25"/>
        <v>-</v>
      </c>
      <c r="AX169" s="4" t="str">
        <f t="shared" si="26"/>
        <v>-</v>
      </c>
      <c r="AY169" s="4" t="str">
        <f t="shared" si="27"/>
        <v>-</v>
      </c>
      <c r="AZ169" s="4" t="str">
        <f t="shared" si="28"/>
        <v>-</v>
      </c>
      <c r="BA169" s="4" t="str">
        <f t="shared" si="29"/>
        <v>-</v>
      </c>
      <c r="BB169" s="4" t="str">
        <f t="shared" si="30"/>
        <v>-</v>
      </c>
      <c r="BC169" s="4">
        <v>12451</v>
      </c>
      <c r="BD169" s="4" t="s">
        <v>422</v>
      </c>
      <c r="BE169" s="4"/>
      <c r="BF169" s="4"/>
      <c r="BG169" s="4" t="s">
        <v>422</v>
      </c>
      <c r="BH169" s="4" t="s">
        <v>422</v>
      </c>
      <c r="BI169" s="4" t="str">
        <f>IF(BE169="",BH169,BE169/BF169*BH169)</f>
        <v>-</v>
      </c>
      <c r="BJ169" s="19">
        <v>4</v>
      </c>
      <c r="BK169" s="19">
        <v>1</v>
      </c>
      <c r="BL169" s="16">
        <v>3</v>
      </c>
      <c r="BM169">
        <v>392</v>
      </c>
      <c r="BN169">
        <f t="shared" si="31"/>
        <v>451.56862745098033</v>
      </c>
      <c r="BO169" t="s">
        <v>422</v>
      </c>
      <c r="BP169" t="str">
        <f t="shared" si="32"/>
        <v>-</v>
      </c>
      <c r="BQ169" t="s">
        <v>422</v>
      </c>
    </row>
    <row r="170" spans="1:69" x14ac:dyDescent="0.4">
      <c r="A170" s="3">
        <v>173</v>
      </c>
      <c r="B170" s="3">
        <v>173</v>
      </c>
      <c r="C170" s="46">
        <v>583755</v>
      </c>
      <c r="D170" s="4" t="str">
        <f>TEXT(C170,"000000")</f>
        <v>583755</v>
      </c>
      <c r="E170" s="4">
        <v>583755</v>
      </c>
      <c r="F170" s="4" t="s">
        <v>287</v>
      </c>
      <c r="G170" s="5">
        <v>4996297703013</v>
      </c>
      <c r="H170" s="5"/>
      <c r="I170" s="5"/>
      <c r="J170" s="5">
        <v>2</v>
      </c>
      <c r="K170" s="5">
        <v>2</v>
      </c>
      <c r="L170" s="4">
        <v>0</v>
      </c>
      <c r="M170" s="4">
        <v>298</v>
      </c>
      <c r="N170" s="4">
        <v>205</v>
      </c>
      <c r="O170" s="6">
        <f>IFERROR(1-N170/M170,"-")</f>
        <v>0.31208053691275173</v>
      </c>
      <c r="P170" s="4" t="s">
        <v>422</v>
      </c>
      <c r="Q170" s="4" t="s">
        <v>422</v>
      </c>
      <c r="R170" s="4" t="s">
        <v>422</v>
      </c>
      <c r="S170" s="4" t="s">
        <v>422</v>
      </c>
      <c r="T170" s="4" t="s">
        <v>422</v>
      </c>
      <c r="U170" s="4" t="s">
        <v>422</v>
      </c>
      <c r="V170" s="4" t="s">
        <v>422</v>
      </c>
      <c r="W170" s="4" t="s">
        <v>422</v>
      </c>
      <c r="X170" s="4" t="s">
        <v>422</v>
      </c>
      <c r="Y170" s="4">
        <v>0</v>
      </c>
      <c r="Z170" s="4">
        <f>IF(AC170="",Y170,Y170*AC170)</f>
        <v>0</v>
      </c>
      <c r="AA170" s="4">
        <v>236</v>
      </c>
      <c r="AB170" s="4">
        <f>IF(AC170="",AA170,AA170*AC170)</f>
        <v>236</v>
      </c>
      <c r="AC170" s="4"/>
      <c r="AD170" s="21">
        <f>ROUND(M170*AR170,0)</f>
        <v>343</v>
      </c>
      <c r="AE170" s="6">
        <f>IFERROR(1-AB170/AD170,"-")</f>
        <v>0.31195335276967928</v>
      </c>
      <c r="AF170" s="33">
        <v>74.5</v>
      </c>
      <c r="AG170" s="4">
        <f>BI170</f>
        <v>467</v>
      </c>
      <c r="AH170" s="33">
        <f>IFERROR(AG170*AR170,"-")</f>
        <v>537.61951219512196</v>
      </c>
      <c r="AI170" s="6">
        <f>IFERROR(1-AB170/AH170,"-")</f>
        <v>0.56102783725910066</v>
      </c>
      <c r="AJ170" s="7">
        <v>380</v>
      </c>
      <c r="AK170" s="6">
        <f>1-AB170/AJ170</f>
        <v>0.37894736842105259</v>
      </c>
      <c r="AL170" s="4">
        <f>AJ170-AB170</f>
        <v>144</v>
      </c>
      <c r="AM170" s="28"/>
      <c r="AN170" s="6"/>
      <c r="AO170" s="6"/>
      <c r="AP170" s="6" t="str">
        <f>IFERROR(Z170/L170,"-")</f>
        <v>-</v>
      </c>
      <c r="AQ170" s="6">
        <f>IFERROR(AJ170/M170,"-")</f>
        <v>1.2751677852348993</v>
      </c>
      <c r="AR170" s="6">
        <f>IFERROR(AB170/N170,"-")</f>
        <v>1.1512195121951219</v>
      </c>
      <c r="AS170" s="4" t="str">
        <f t="shared" si="22"/>
        <v>-</v>
      </c>
      <c r="AT170" s="4"/>
      <c r="AU170" s="4" t="str">
        <f t="shared" si="23"/>
        <v>-</v>
      </c>
      <c r="AV170" s="4" t="str">
        <f t="shared" si="24"/>
        <v>-</v>
      </c>
      <c r="AW170" s="4" t="str">
        <f t="shared" si="25"/>
        <v>-</v>
      </c>
      <c r="AX170" s="4" t="str">
        <f t="shared" si="26"/>
        <v>-</v>
      </c>
      <c r="AY170" s="4" t="str">
        <f t="shared" si="27"/>
        <v>-</v>
      </c>
      <c r="AZ170" s="4" t="str">
        <f t="shared" si="28"/>
        <v>-</v>
      </c>
      <c r="BA170" s="4" t="str">
        <f t="shared" si="29"/>
        <v>-</v>
      </c>
      <c r="BB170" s="4" t="str">
        <f t="shared" si="30"/>
        <v>-</v>
      </c>
      <c r="BC170" s="4">
        <v>12540</v>
      </c>
      <c r="BD170" s="4" t="s">
        <v>670</v>
      </c>
      <c r="BE170" s="4"/>
      <c r="BF170" s="4"/>
      <c r="BG170" s="4" t="s">
        <v>639</v>
      </c>
      <c r="BH170" s="4">
        <v>467</v>
      </c>
      <c r="BI170" s="4">
        <f>IF(BE170="",BH170,BE170/BF170*BH170)</f>
        <v>467</v>
      </c>
      <c r="BJ170" s="19">
        <v>4</v>
      </c>
      <c r="BK170" s="19">
        <v>1</v>
      </c>
      <c r="BL170" s="16">
        <v>3</v>
      </c>
      <c r="BM170">
        <v>315</v>
      </c>
      <c r="BN170">
        <f t="shared" si="31"/>
        <v>362.63414634146341</v>
      </c>
      <c r="BO170">
        <v>551</v>
      </c>
      <c r="BP170">
        <f t="shared" si="32"/>
        <v>634.32195121951213</v>
      </c>
      <c r="BQ170" t="s">
        <v>515</v>
      </c>
    </row>
    <row r="171" spans="1:69" x14ac:dyDescent="0.4">
      <c r="A171" s="3">
        <v>261</v>
      </c>
      <c r="B171" s="3">
        <v>173</v>
      </c>
      <c r="C171" s="46">
        <v>583755</v>
      </c>
      <c r="D171" s="4" t="str">
        <f>TEXT(C171,"000000")</f>
        <v>583755</v>
      </c>
      <c r="E171" s="4">
        <v>583756</v>
      </c>
      <c r="F171" s="4" t="s">
        <v>401</v>
      </c>
      <c r="G171" s="5">
        <v>4996297703013</v>
      </c>
      <c r="H171" s="5">
        <v>8</v>
      </c>
      <c r="I171" s="5" t="str">
        <f>C171&amp;H171</f>
        <v>5837558</v>
      </c>
      <c r="J171" s="5"/>
      <c r="K171" s="5"/>
      <c r="L171" s="4">
        <v>0</v>
      </c>
      <c r="M171" s="4">
        <v>2884</v>
      </c>
      <c r="N171" s="4">
        <v>2050</v>
      </c>
      <c r="O171" s="6">
        <f>IFERROR(1-N171/M171,"-")</f>
        <v>0.28918169209431344</v>
      </c>
      <c r="P171" s="4" t="s">
        <v>422</v>
      </c>
      <c r="Q171" s="4" t="s">
        <v>422</v>
      </c>
      <c r="R171" s="4" t="s">
        <v>422</v>
      </c>
      <c r="S171" s="4" t="s">
        <v>422</v>
      </c>
      <c r="T171" s="4" t="s">
        <v>422</v>
      </c>
      <c r="U171" s="4" t="s">
        <v>422</v>
      </c>
      <c r="V171" s="4" t="s">
        <v>422</v>
      </c>
      <c r="W171" s="4" t="s">
        <v>422</v>
      </c>
      <c r="X171" s="4" t="s">
        <v>422</v>
      </c>
      <c r="Y171" s="4">
        <v>0</v>
      </c>
      <c r="Z171" s="4">
        <f>IF(AC171="",Y171,Y171*AC171)</f>
        <v>0</v>
      </c>
      <c r="AA171" s="4">
        <v>236</v>
      </c>
      <c r="AB171" s="4">
        <f>IF(AC171="",AA171,AA171*AC171)</f>
        <v>2360</v>
      </c>
      <c r="AC171" s="4">
        <v>10</v>
      </c>
      <c r="AD171" s="21">
        <f>ROUND(M171*AR171,0)</f>
        <v>3320</v>
      </c>
      <c r="AE171" s="6">
        <f>IFERROR(1-AB171/AD171,"-")</f>
        <v>0.28915662650602414</v>
      </c>
      <c r="AF171" s="33">
        <v>74.5</v>
      </c>
      <c r="AG171" s="4">
        <f>BI171</f>
        <v>3861</v>
      </c>
      <c r="AH171" s="33">
        <f>IFERROR(AG171*AR171,"-")</f>
        <v>4444.8585365853651</v>
      </c>
      <c r="AI171" s="6">
        <f>IFERROR(1-AB171/AH171,"-")</f>
        <v>0.46904946904946898</v>
      </c>
      <c r="AJ171" s="7">
        <v>3600</v>
      </c>
      <c r="AK171" s="6">
        <f>1-AB171/AJ171</f>
        <v>0.34444444444444444</v>
      </c>
      <c r="AL171" s="4">
        <f>AJ171-AB171</f>
        <v>1240</v>
      </c>
      <c r="AM171" s="28"/>
      <c r="AN171" s="6"/>
      <c r="AO171" s="6"/>
      <c r="AP171" s="6" t="str">
        <f>IFERROR(Z171/L171,"-")</f>
        <v>-</v>
      </c>
      <c r="AQ171" s="6">
        <f>IFERROR(AJ171/M171,"-")</f>
        <v>1.248266296809986</v>
      </c>
      <c r="AR171" s="6">
        <f>IFERROR(AB171/N171,"-")</f>
        <v>1.1512195121951219</v>
      </c>
      <c r="AS171" s="4" t="str">
        <f t="shared" si="22"/>
        <v>-</v>
      </c>
      <c r="AT171" s="4"/>
      <c r="AU171" s="4" t="str">
        <f t="shared" si="23"/>
        <v>-</v>
      </c>
      <c r="AV171" s="4" t="str">
        <f t="shared" si="24"/>
        <v>-</v>
      </c>
      <c r="AW171" s="4" t="str">
        <f t="shared" si="25"/>
        <v>-</v>
      </c>
      <c r="AX171" s="4" t="str">
        <f t="shared" si="26"/>
        <v>-</v>
      </c>
      <c r="AY171" s="4" t="str">
        <f t="shared" si="27"/>
        <v>-</v>
      </c>
      <c r="AZ171" s="4" t="str">
        <f t="shared" si="28"/>
        <v>-</v>
      </c>
      <c r="BA171" s="4" t="str">
        <f t="shared" si="29"/>
        <v>-</v>
      </c>
      <c r="BB171" s="4" t="str">
        <f t="shared" si="30"/>
        <v>-</v>
      </c>
      <c r="BC171" s="4">
        <v>12540</v>
      </c>
      <c r="BD171" s="4" t="s">
        <v>671</v>
      </c>
      <c r="BE171" s="4"/>
      <c r="BF171" s="4"/>
      <c r="BG171" s="4" t="s">
        <v>660</v>
      </c>
      <c r="BH171" s="4">
        <v>3861</v>
      </c>
      <c r="BI171" s="4">
        <f>IF(BE171="",BH171,BE171/BF171*BH171)</f>
        <v>3861</v>
      </c>
      <c r="BJ171" s="19">
        <v>4</v>
      </c>
      <c r="BK171" s="19">
        <v>1</v>
      </c>
      <c r="BL171" s="16">
        <v>3</v>
      </c>
      <c r="BM171">
        <v>315</v>
      </c>
      <c r="BN171">
        <f t="shared" si="31"/>
        <v>362.63414634146341</v>
      </c>
      <c r="BO171">
        <v>551</v>
      </c>
      <c r="BP171">
        <f t="shared" si="32"/>
        <v>634.32195121951213</v>
      </c>
      <c r="BQ171" t="s">
        <v>516</v>
      </c>
    </row>
    <row r="172" spans="1:69" x14ac:dyDescent="0.4">
      <c r="A172" s="3">
        <v>50</v>
      </c>
      <c r="B172" s="3">
        <v>50</v>
      </c>
      <c r="C172" s="4">
        <v>663991</v>
      </c>
      <c r="D172" s="4" t="str">
        <f>TEXT(C172,"000000")</f>
        <v>663991</v>
      </c>
      <c r="E172" s="4">
        <v>663991</v>
      </c>
      <c r="F172" s="4" t="s">
        <v>165</v>
      </c>
      <c r="G172" s="5">
        <v>4996297327561</v>
      </c>
      <c r="H172" s="5"/>
      <c r="I172" s="5"/>
      <c r="J172" s="5">
        <v>1</v>
      </c>
      <c r="K172" s="5">
        <v>1</v>
      </c>
      <c r="L172" s="4">
        <v>0</v>
      </c>
      <c r="M172" s="4">
        <v>340</v>
      </c>
      <c r="N172" s="4">
        <v>224</v>
      </c>
      <c r="O172" s="6">
        <f>IFERROR(1-N172/M172,"-")</f>
        <v>0.3411764705882353</v>
      </c>
      <c r="P172" s="4" t="s">
        <v>422</v>
      </c>
      <c r="Q172" s="4" t="s">
        <v>422</v>
      </c>
      <c r="R172" s="4" t="s">
        <v>422</v>
      </c>
      <c r="S172" s="4" t="s">
        <v>422</v>
      </c>
      <c r="T172" s="4" t="s">
        <v>422</v>
      </c>
      <c r="U172" s="4" t="s">
        <v>422</v>
      </c>
      <c r="V172" s="4" t="s">
        <v>422</v>
      </c>
      <c r="W172" s="4" t="s">
        <v>422</v>
      </c>
      <c r="X172" s="4" t="s">
        <v>422</v>
      </c>
      <c r="Y172" s="4">
        <v>0</v>
      </c>
      <c r="Z172" s="4">
        <f>IF(AC172="",Y172,Y172*AC172)</f>
        <v>0</v>
      </c>
      <c r="AA172" s="4">
        <v>246</v>
      </c>
      <c r="AB172" s="4">
        <f>IF(AC172="",AA172,AA172*AC172)</f>
        <v>246</v>
      </c>
      <c r="AC172" s="4"/>
      <c r="AD172" s="21">
        <f>ROUND(M172*AR172,0)</f>
        <v>373</v>
      </c>
      <c r="AE172" s="6">
        <f>IFERROR(1-AB172/AD172,"-")</f>
        <v>0.34048257372654156</v>
      </c>
      <c r="AF172" s="33">
        <v>5.75</v>
      </c>
      <c r="AG172" s="4" t="str">
        <f>BI172</f>
        <v>-</v>
      </c>
      <c r="AH172" s="33" t="str">
        <f>IFERROR(AG172*AR172,"-")</f>
        <v>-</v>
      </c>
      <c r="AI172" s="6" t="str">
        <f>IFERROR(1-AB172/AH172,"-")</f>
        <v>-</v>
      </c>
      <c r="AJ172" s="7">
        <v>405</v>
      </c>
      <c r="AK172" s="6">
        <f>1-AB172/AJ172</f>
        <v>0.3925925925925926</v>
      </c>
      <c r="AL172" s="4">
        <f>AJ172-AB172</f>
        <v>159</v>
      </c>
      <c r="AM172" s="28"/>
      <c r="AN172" s="6"/>
      <c r="AO172" s="6"/>
      <c r="AP172" s="6" t="str">
        <f>IFERROR(Z172/L172,"-")</f>
        <v>-</v>
      </c>
      <c r="AQ172" s="6">
        <f>IFERROR(AJ172/M172,"-")</f>
        <v>1.1911764705882353</v>
      </c>
      <c r="AR172" s="6">
        <f>IFERROR(AB172/N172,"-")</f>
        <v>1.0982142857142858</v>
      </c>
      <c r="AS172" s="4" t="str">
        <f t="shared" si="22"/>
        <v>-</v>
      </c>
      <c r="AT172" s="4"/>
      <c r="AU172" s="4" t="str">
        <f t="shared" si="23"/>
        <v>-</v>
      </c>
      <c r="AV172" s="4" t="str">
        <f t="shared" si="24"/>
        <v>-</v>
      </c>
      <c r="AW172" s="4" t="str">
        <f t="shared" si="25"/>
        <v>-</v>
      </c>
      <c r="AX172" s="4" t="str">
        <f t="shared" si="26"/>
        <v>-</v>
      </c>
      <c r="AY172" s="4" t="str">
        <f t="shared" si="27"/>
        <v>-</v>
      </c>
      <c r="AZ172" s="4" t="str">
        <f t="shared" si="28"/>
        <v>-</v>
      </c>
      <c r="BA172" s="4" t="str">
        <f t="shared" si="29"/>
        <v>-</v>
      </c>
      <c r="BB172" s="4" t="str">
        <f t="shared" si="30"/>
        <v>-</v>
      </c>
      <c r="BC172" s="4" t="s">
        <v>410</v>
      </c>
      <c r="BD172" s="4" t="s">
        <v>422</v>
      </c>
      <c r="BE172" s="4"/>
      <c r="BF172" s="4"/>
      <c r="BG172" s="4" t="s">
        <v>422</v>
      </c>
      <c r="BH172" s="4" t="s">
        <v>422</v>
      </c>
      <c r="BI172" s="4" t="str">
        <f>IF(BE172="",BH172,BE172/BF172*BH172)</f>
        <v>-</v>
      </c>
      <c r="BJ172" s="19">
        <v>4</v>
      </c>
      <c r="BK172" s="19">
        <v>1</v>
      </c>
      <c r="BL172" s="16">
        <v>3</v>
      </c>
      <c r="BM172">
        <v>370</v>
      </c>
      <c r="BN172">
        <f t="shared" si="31"/>
        <v>406.33928571428572</v>
      </c>
      <c r="BO172" t="s">
        <v>422</v>
      </c>
      <c r="BP172" t="str">
        <f t="shared" si="32"/>
        <v>-</v>
      </c>
      <c r="BQ172" t="s">
        <v>422</v>
      </c>
    </row>
    <row r="173" spans="1:69" x14ac:dyDescent="0.4">
      <c r="A173" s="3">
        <v>58</v>
      </c>
      <c r="B173" s="3">
        <v>58</v>
      </c>
      <c r="C173" s="4">
        <v>173571</v>
      </c>
      <c r="D173" s="4" t="str">
        <f>TEXT(C173,"000000")</f>
        <v>173571</v>
      </c>
      <c r="E173" s="4">
        <v>173571</v>
      </c>
      <c r="F173" s="4" t="s">
        <v>172</v>
      </c>
      <c r="G173" s="5">
        <v>4996297344087</v>
      </c>
      <c r="H173" s="5"/>
      <c r="I173" s="5"/>
      <c r="J173" s="5">
        <v>1</v>
      </c>
      <c r="K173" s="5">
        <v>1</v>
      </c>
      <c r="L173" s="4">
        <v>0</v>
      </c>
      <c r="M173" s="4">
        <v>390</v>
      </c>
      <c r="N173" s="4">
        <v>234</v>
      </c>
      <c r="O173" s="6">
        <f>IFERROR(1-N173/M173,"-")</f>
        <v>0.4</v>
      </c>
      <c r="P173" s="4" t="s">
        <v>422</v>
      </c>
      <c r="Q173" s="4" t="s">
        <v>422</v>
      </c>
      <c r="R173" s="4" t="s">
        <v>422</v>
      </c>
      <c r="S173" s="4" t="s">
        <v>422</v>
      </c>
      <c r="T173" s="4" t="s">
        <v>422</v>
      </c>
      <c r="U173" s="4" t="s">
        <v>422</v>
      </c>
      <c r="V173" s="4" t="s">
        <v>422</v>
      </c>
      <c r="W173" s="4" t="s">
        <v>422</v>
      </c>
      <c r="X173" s="4" t="s">
        <v>422</v>
      </c>
      <c r="Y173" s="4">
        <v>0</v>
      </c>
      <c r="Z173" s="4">
        <f>IF(AC173="",Y173,Y173*AC173)</f>
        <v>0</v>
      </c>
      <c r="AA173" s="4">
        <v>269</v>
      </c>
      <c r="AB173" s="4">
        <f>IF(AC173="",AA173,AA173*AC173)</f>
        <v>269</v>
      </c>
      <c r="AC173" s="4"/>
      <c r="AD173" s="21">
        <f>ROUND(M173*AR173,0)</f>
        <v>448</v>
      </c>
      <c r="AE173" s="6">
        <f>IFERROR(1-AB173/AD173,"-")</f>
        <v>0.3995535714285714</v>
      </c>
      <c r="AF173" s="33">
        <v>22.25</v>
      </c>
      <c r="AG173" s="4" t="str">
        <f>BI173</f>
        <v>-</v>
      </c>
      <c r="AH173" s="33" t="str">
        <f>IFERROR(AG173*AR173,"-")</f>
        <v>-</v>
      </c>
      <c r="AI173" s="6" t="str">
        <f>IFERROR(1-AB173/AH173,"-")</f>
        <v>-</v>
      </c>
      <c r="AJ173" s="7">
        <v>450</v>
      </c>
      <c r="AK173" s="6">
        <f>1-AB173/AJ173</f>
        <v>0.40222222222222226</v>
      </c>
      <c r="AL173" s="4">
        <f>AJ173-AB173</f>
        <v>181</v>
      </c>
      <c r="AM173" s="28"/>
      <c r="AN173" s="6"/>
      <c r="AO173" s="6"/>
      <c r="AP173" s="6" t="str">
        <f>IFERROR(Z173/L173,"-")</f>
        <v>-</v>
      </c>
      <c r="AQ173" s="6">
        <f>IFERROR(AJ173/M173,"-")</f>
        <v>1.1538461538461537</v>
      </c>
      <c r="AR173" s="6">
        <f>IFERROR(AB173/N173,"-")</f>
        <v>1.1495726495726495</v>
      </c>
      <c r="AS173" s="4" t="str">
        <f t="shared" si="22"/>
        <v>-</v>
      </c>
      <c r="AT173" s="4"/>
      <c r="AU173" s="4" t="str">
        <f t="shared" si="23"/>
        <v>-</v>
      </c>
      <c r="AV173" s="4" t="str">
        <f t="shared" si="24"/>
        <v>-</v>
      </c>
      <c r="AW173" s="4" t="str">
        <f t="shared" si="25"/>
        <v>-</v>
      </c>
      <c r="AX173" s="4" t="str">
        <f t="shared" si="26"/>
        <v>-</v>
      </c>
      <c r="AY173" s="4" t="str">
        <f t="shared" si="27"/>
        <v>-</v>
      </c>
      <c r="AZ173" s="4" t="str">
        <f t="shared" si="28"/>
        <v>-</v>
      </c>
      <c r="BA173" s="4" t="str">
        <f t="shared" si="29"/>
        <v>-</v>
      </c>
      <c r="BB173" s="4" t="str">
        <f t="shared" si="30"/>
        <v>-</v>
      </c>
      <c r="BC173" s="4">
        <v>0</v>
      </c>
      <c r="BD173" s="4" t="s">
        <v>422</v>
      </c>
      <c r="BE173" s="4"/>
      <c r="BF173" s="4"/>
      <c r="BG173" s="4" t="s">
        <v>422</v>
      </c>
      <c r="BH173" s="4" t="s">
        <v>422</v>
      </c>
      <c r="BI173" s="4" t="str">
        <f>IF(BE173="",BH173,BE173/BF173*BH173)</f>
        <v>-</v>
      </c>
      <c r="BJ173" s="19">
        <v>4</v>
      </c>
      <c r="BK173" s="19">
        <v>1</v>
      </c>
      <c r="BL173" s="16">
        <v>3</v>
      </c>
      <c r="BM173">
        <v>392</v>
      </c>
      <c r="BN173">
        <f t="shared" si="31"/>
        <v>450.63247863247858</v>
      </c>
      <c r="BO173" t="s">
        <v>422</v>
      </c>
      <c r="BP173" t="str">
        <f t="shared" si="32"/>
        <v>-</v>
      </c>
      <c r="BQ173" t="s">
        <v>422</v>
      </c>
    </row>
    <row r="174" spans="1:69" x14ac:dyDescent="0.4">
      <c r="A174" s="3">
        <v>122</v>
      </c>
      <c r="B174" s="3">
        <v>122</v>
      </c>
      <c r="C174" s="46">
        <v>625516</v>
      </c>
      <c r="D174" s="4" t="str">
        <f>TEXT(C174,"000000")</f>
        <v>625516</v>
      </c>
      <c r="E174" s="4">
        <v>625516</v>
      </c>
      <c r="F174" s="4" t="s">
        <v>236</v>
      </c>
      <c r="G174" s="5">
        <v>4996297435242</v>
      </c>
      <c r="H174" s="5"/>
      <c r="I174" s="5"/>
      <c r="J174" s="5">
        <v>2</v>
      </c>
      <c r="K174" s="5">
        <v>2</v>
      </c>
      <c r="L174" s="4">
        <v>0</v>
      </c>
      <c r="M174" s="4">
        <v>364</v>
      </c>
      <c r="N174" s="4">
        <v>240</v>
      </c>
      <c r="O174" s="6">
        <f>IFERROR(1-N174/M174,"-")</f>
        <v>0.34065934065934067</v>
      </c>
      <c r="P174" s="4" t="s">
        <v>422</v>
      </c>
      <c r="Q174" s="4" t="s">
        <v>422</v>
      </c>
      <c r="R174" s="4" t="s">
        <v>422</v>
      </c>
      <c r="S174" s="4" t="s">
        <v>422</v>
      </c>
      <c r="T174" s="4" t="s">
        <v>422</v>
      </c>
      <c r="U174" s="4" t="s">
        <v>422</v>
      </c>
      <c r="V174" s="4" t="s">
        <v>422</v>
      </c>
      <c r="W174" s="4" t="s">
        <v>422</v>
      </c>
      <c r="X174" s="4" t="s">
        <v>422</v>
      </c>
      <c r="Y174" s="4">
        <v>0</v>
      </c>
      <c r="Z174" s="4">
        <f>IF(AC174="",Y174,Y174*AC174)</f>
        <v>0</v>
      </c>
      <c r="AA174" s="4">
        <v>276</v>
      </c>
      <c r="AB174" s="4">
        <f>IF(AC174="",AA174,AA174*AC174)</f>
        <v>276</v>
      </c>
      <c r="AC174" s="4"/>
      <c r="AD174" s="21">
        <f>ROUND(M174*AR174,0)</f>
        <v>419</v>
      </c>
      <c r="AE174" s="6">
        <f>IFERROR(1-AB174/AD174,"-")</f>
        <v>0.3412887828162291</v>
      </c>
      <c r="AF174" s="33">
        <v>3</v>
      </c>
      <c r="AG174" s="4" t="str">
        <f>BI174</f>
        <v>-</v>
      </c>
      <c r="AH174" s="33" t="str">
        <f>IFERROR(AG174*AR174,"-")</f>
        <v>-</v>
      </c>
      <c r="AI174" s="6" t="str">
        <f>IFERROR(1-AB174/AH174,"-")</f>
        <v>-</v>
      </c>
      <c r="AJ174" s="7">
        <v>470</v>
      </c>
      <c r="AK174" s="6">
        <f>1-AB174/AJ174</f>
        <v>0.41276595744680855</v>
      </c>
      <c r="AL174" s="4">
        <f>AJ174-AB174</f>
        <v>194</v>
      </c>
      <c r="AM174" s="28"/>
      <c r="AN174" s="6"/>
      <c r="AO174" s="6"/>
      <c r="AP174" s="6" t="str">
        <f>IFERROR(Z174/L174,"-")</f>
        <v>-</v>
      </c>
      <c r="AQ174" s="6">
        <f>IFERROR(AJ174/M174,"-")</f>
        <v>1.2912087912087913</v>
      </c>
      <c r="AR174" s="6">
        <f>IFERROR(AB174/N174,"-")</f>
        <v>1.1499999999999999</v>
      </c>
      <c r="AS174" s="4" t="str">
        <f t="shared" si="22"/>
        <v>-</v>
      </c>
      <c r="AT174" s="4"/>
      <c r="AU174" s="4" t="str">
        <f t="shared" si="23"/>
        <v>-</v>
      </c>
      <c r="AV174" s="4" t="str">
        <f t="shared" si="24"/>
        <v>-</v>
      </c>
      <c r="AW174" s="4" t="str">
        <f t="shared" si="25"/>
        <v>-</v>
      </c>
      <c r="AX174" s="4" t="str">
        <f t="shared" si="26"/>
        <v>-</v>
      </c>
      <c r="AY174" s="4" t="str">
        <f t="shared" si="27"/>
        <v>-</v>
      </c>
      <c r="AZ174" s="4" t="str">
        <f t="shared" si="28"/>
        <v>-</v>
      </c>
      <c r="BA174" s="4" t="str">
        <f t="shared" si="29"/>
        <v>-</v>
      </c>
      <c r="BB174" s="4" t="str">
        <f t="shared" si="30"/>
        <v>-</v>
      </c>
      <c r="BC174" s="4" t="s">
        <v>419</v>
      </c>
      <c r="BD174" s="4" t="s">
        <v>422</v>
      </c>
      <c r="BE174" s="4"/>
      <c r="BF174" s="4"/>
      <c r="BG174" s="4" t="s">
        <v>422</v>
      </c>
      <c r="BH174" s="4" t="s">
        <v>422</v>
      </c>
      <c r="BI174" s="4" t="str">
        <f>IF(BE174="",BH174,BE174/BF174*BH174)</f>
        <v>-</v>
      </c>
      <c r="BJ174" s="19">
        <v>4</v>
      </c>
      <c r="BK174" s="19">
        <v>1</v>
      </c>
      <c r="BL174" s="16">
        <v>3</v>
      </c>
      <c r="BM174">
        <v>470</v>
      </c>
      <c r="BN174">
        <f t="shared" si="31"/>
        <v>540.5</v>
      </c>
      <c r="BO174" t="s">
        <v>422</v>
      </c>
      <c r="BP174" t="str">
        <f t="shared" si="32"/>
        <v>-</v>
      </c>
      <c r="BQ174" t="s">
        <v>422</v>
      </c>
    </row>
    <row r="175" spans="1:69" x14ac:dyDescent="0.4">
      <c r="A175" s="3">
        <v>236</v>
      </c>
      <c r="B175" s="3">
        <v>122</v>
      </c>
      <c r="C175" s="46">
        <v>625516</v>
      </c>
      <c r="D175" s="4" t="str">
        <f>TEXT(C175,"000000")</f>
        <v>625516</v>
      </c>
      <c r="E175" s="4">
        <v>625520</v>
      </c>
      <c r="F175" s="4" t="s">
        <v>376</v>
      </c>
      <c r="G175" s="5">
        <v>4996297435242</v>
      </c>
      <c r="H175" s="5">
        <v>8</v>
      </c>
      <c r="I175" s="5" t="str">
        <f>C175&amp;H175</f>
        <v>6255168</v>
      </c>
      <c r="J175" s="5"/>
      <c r="K175" s="5"/>
      <c r="L175" s="4">
        <v>0</v>
      </c>
      <c r="M175" s="4">
        <v>2416</v>
      </c>
      <c r="N175" s="4">
        <v>1440</v>
      </c>
      <c r="O175" s="6">
        <f>IFERROR(1-N175/M175,"-")</f>
        <v>0.40397350993377479</v>
      </c>
      <c r="P175" s="4" t="s">
        <v>422</v>
      </c>
      <c r="Q175" s="4" t="s">
        <v>422</v>
      </c>
      <c r="R175" s="4" t="s">
        <v>422</v>
      </c>
      <c r="S175" s="4" t="s">
        <v>422</v>
      </c>
      <c r="T175" s="4" t="s">
        <v>422</v>
      </c>
      <c r="U175" s="4" t="s">
        <v>422</v>
      </c>
      <c r="V175" s="4" t="s">
        <v>422</v>
      </c>
      <c r="W175" s="4" t="s">
        <v>422</v>
      </c>
      <c r="X175" s="4" t="s">
        <v>422</v>
      </c>
      <c r="Y175" s="4">
        <v>0</v>
      </c>
      <c r="Z175" s="4">
        <f>IF(AC175="",Y175,Y175*AC175)</f>
        <v>0</v>
      </c>
      <c r="AA175" s="4">
        <v>276</v>
      </c>
      <c r="AB175" s="4">
        <f>IF(AC175="",AA175,AA175*AC175)</f>
        <v>1656</v>
      </c>
      <c r="AC175" s="4">
        <v>6</v>
      </c>
      <c r="AD175" s="21">
        <f>ROUND(M175*AR175,0)</f>
        <v>2778</v>
      </c>
      <c r="AE175" s="6">
        <f>IFERROR(1-AB175/AD175,"-")</f>
        <v>0.40388768898488125</v>
      </c>
      <c r="AF175" s="33">
        <v>3</v>
      </c>
      <c r="AG175" s="4" t="str">
        <f>BI175</f>
        <v>-</v>
      </c>
      <c r="AH175" s="33" t="str">
        <f>IFERROR(AG175*AR175,"-")</f>
        <v>-</v>
      </c>
      <c r="AI175" s="6" t="str">
        <f>IFERROR(1-AB175/AH175,"-")</f>
        <v>-</v>
      </c>
      <c r="AJ175" s="7">
        <v>2650</v>
      </c>
      <c r="AK175" s="6">
        <f>1-AB175/AJ175</f>
        <v>0.37509433962264149</v>
      </c>
      <c r="AL175" s="4">
        <f>AJ175-AB175</f>
        <v>994</v>
      </c>
      <c r="AM175" s="28"/>
      <c r="AN175" s="6"/>
      <c r="AO175" s="6"/>
      <c r="AP175" s="6" t="str">
        <f>IFERROR(Z175/L175,"-")</f>
        <v>-</v>
      </c>
      <c r="AQ175" s="6">
        <f>IFERROR(AJ175/M175,"-")</f>
        <v>1.0968543046357615</v>
      </c>
      <c r="AR175" s="6">
        <f>IFERROR(AB175/N175,"-")</f>
        <v>1.1499999999999999</v>
      </c>
      <c r="AS175" s="4" t="str">
        <f t="shared" si="22"/>
        <v>-</v>
      </c>
      <c r="AT175" s="4"/>
      <c r="AU175" s="4" t="str">
        <f t="shared" si="23"/>
        <v>-</v>
      </c>
      <c r="AV175" s="4" t="str">
        <f t="shared" si="24"/>
        <v>-</v>
      </c>
      <c r="AW175" s="4" t="str">
        <f t="shared" si="25"/>
        <v>-</v>
      </c>
      <c r="AX175" s="4" t="str">
        <f t="shared" si="26"/>
        <v>-</v>
      </c>
      <c r="AY175" s="4" t="str">
        <f t="shared" si="27"/>
        <v>-</v>
      </c>
      <c r="AZ175" s="4" t="str">
        <f t="shared" si="28"/>
        <v>-</v>
      </c>
      <c r="BA175" s="4" t="str">
        <f t="shared" si="29"/>
        <v>-</v>
      </c>
      <c r="BB175" s="4" t="str">
        <f t="shared" si="30"/>
        <v>-</v>
      </c>
      <c r="BC175" s="4" t="s">
        <v>419</v>
      </c>
      <c r="BD175" s="4" t="s">
        <v>422</v>
      </c>
      <c r="BE175" s="4"/>
      <c r="BF175" s="4"/>
      <c r="BG175" s="4" t="s">
        <v>422</v>
      </c>
      <c r="BH175" s="4" t="s">
        <v>422</v>
      </c>
      <c r="BI175" s="4" t="str">
        <f>IF(BE175="",BH175,BE175/BF175*BH175)</f>
        <v>-</v>
      </c>
      <c r="BJ175" s="19">
        <v>4</v>
      </c>
      <c r="BK175" s="19">
        <v>1</v>
      </c>
      <c r="BL175" s="16">
        <v>3</v>
      </c>
      <c r="BM175">
        <v>470</v>
      </c>
      <c r="BN175">
        <f t="shared" si="31"/>
        <v>540.5</v>
      </c>
      <c r="BO175" t="s">
        <v>422</v>
      </c>
      <c r="BP175" t="str">
        <f t="shared" si="32"/>
        <v>-</v>
      </c>
      <c r="BQ175" t="s">
        <v>422</v>
      </c>
    </row>
    <row r="176" spans="1:69" x14ac:dyDescent="0.4">
      <c r="A176" s="3">
        <v>35</v>
      </c>
      <c r="B176" s="3">
        <v>35</v>
      </c>
      <c r="C176" s="4">
        <v>758088</v>
      </c>
      <c r="D176" s="4" t="str">
        <f>TEXT(C176,"000000")</f>
        <v>758088</v>
      </c>
      <c r="E176" s="4">
        <v>758088</v>
      </c>
      <c r="F176" s="4" t="s">
        <v>150</v>
      </c>
      <c r="G176" s="5">
        <v>4996297301721</v>
      </c>
      <c r="H176" s="5"/>
      <c r="I176" s="5"/>
      <c r="J176" s="5">
        <v>1</v>
      </c>
      <c r="K176" s="5">
        <v>1</v>
      </c>
      <c r="L176" s="4">
        <v>0</v>
      </c>
      <c r="M176" s="4">
        <v>484</v>
      </c>
      <c r="N176" s="4">
        <v>248</v>
      </c>
      <c r="O176" s="6">
        <f>IFERROR(1-N176/M176,"-")</f>
        <v>0.48760330578512401</v>
      </c>
      <c r="P176" s="4" t="s">
        <v>422</v>
      </c>
      <c r="Q176" s="4" t="s">
        <v>422</v>
      </c>
      <c r="R176" s="4" t="s">
        <v>422</v>
      </c>
      <c r="S176" s="4" t="s">
        <v>422</v>
      </c>
      <c r="T176" s="4" t="s">
        <v>422</v>
      </c>
      <c r="U176" s="4" t="s">
        <v>422</v>
      </c>
      <c r="V176" s="4" t="s">
        <v>422</v>
      </c>
      <c r="W176" s="4" t="s">
        <v>422</v>
      </c>
      <c r="X176" s="4" t="s">
        <v>422</v>
      </c>
      <c r="Y176" s="4">
        <v>0</v>
      </c>
      <c r="Z176" s="4">
        <f>IF(AC176="",Y176,Y176*AC176)</f>
        <v>0</v>
      </c>
      <c r="AA176" s="4">
        <v>276</v>
      </c>
      <c r="AB176" s="4">
        <f>IF(AC176="",AA176,AA176*AC176)</f>
        <v>276</v>
      </c>
      <c r="AC176" s="4"/>
      <c r="AD176" s="21">
        <f>ROUND(M176*AR176,0)</f>
        <v>539</v>
      </c>
      <c r="AE176" s="6">
        <f>IFERROR(1-AB176/AD176,"-")</f>
        <v>0.48794063079777361</v>
      </c>
      <c r="AF176" s="33">
        <v>3.25</v>
      </c>
      <c r="AG176" s="4">
        <f>BI176</f>
        <v>668</v>
      </c>
      <c r="AH176" s="33">
        <f>IFERROR(AG176*AR176,"-")</f>
        <v>743.41935483870964</v>
      </c>
      <c r="AI176" s="6">
        <f>IFERROR(1-AB176/AH176,"-")</f>
        <v>0.62874251497005984</v>
      </c>
      <c r="AJ176" s="7">
        <v>490</v>
      </c>
      <c r="AK176" s="6">
        <f>1-AB176/AJ176</f>
        <v>0.43673469387755104</v>
      </c>
      <c r="AL176" s="4">
        <f>AJ176-AB176</f>
        <v>214</v>
      </c>
      <c r="AM176" s="28"/>
      <c r="AN176" s="6"/>
      <c r="AO176" s="6"/>
      <c r="AP176" s="6" t="str">
        <f>IFERROR(Z176/L176,"-")</f>
        <v>-</v>
      </c>
      <c r="AQ176" s="6">
        <f>IFERROR(AJ176/M176,"-")</f>
        <v>1.0123966942148761</v>
      </c>
      <c r="AR176" s="6">
        <f>IFERROR(AB176/N176,"-")</f>
        <v>1.1129032258064515</v>
      </c>
      <c r="AS176" s="4" t="str">
        <f t="shared" si="22"/>
        <v>-</v>
      </c>
      <c r="AT176" s="4"/>
      <c r="AU176" s="4" t="str">
        <f t="shared" si="23"/>
        <v>-</v>
      </c>
      <c r="AV176" s="4" t="str">
        <f t="shared" si="24"/>
        <v>-</v>
      </c>
      <c r="AW176" s="4" t="str">
        <f t="shared" si="25"/>
        <v>-</v>
      </c>
      <c r="AX176" s="4" t="str">
        <f t="shared" si="26"/>
        <v>-</v>
      </c>
      <c r="AY176" s="4" t="str">
        <f t="shared" si="27"/>
        <v>-</v>
      </c>
      <c r="AZ176" s="4" t="str">
        <f t="shared" si="28"/>
        <v>-</v>
      </c>
      <c r="BA176" s="4" t="str">
        <f t="shared" si="29"/>
        <v>-</v>
      </c>
      <c r="BB176" s="4" t="str">
        <f t="shared" si="30"/>
        <v>-</v>
      </c>
      <c r="BC176" s="4" t="s">
        <v>407</v>
      </c>
      <c r="BD176" s="4" t="s">
        <v>672</v>
      </c>
      <c r="BE176" s="4"/>
      <c r="BF176" s="4"/>
      <c r="BG176" s="4" t="s">
        <v>563</v>
      </c>
      <c r="BH176" s="4">
        <v>668</v>
      </c>
      <c r="BI176" s="4">
        <f>IF(BE176="",BH176,BE176/BF176*BH176)</f>
        <v>668</v>
      </c>
      <c r="BJ176" s="19">
        <v>4</v>
      </c>
      <c r="BK176" s="19">
        <v>1</v>
      </c>
      <c r="BL176" s="16">
        <v>3</v>
      </c>
      <c r="BM176">
        <v>2808</v>
      </c>
      <c r="BN176">
        <f t="shared" si="31"/>
        <v>3125.0322580645156</v>
      </c>
      <c r="BO176">
        <v>637</v>
      </c>
      <c r="BP176">
        <f t="shared" si="32"/>
        <v>708.91935483870964</v>
      </c>
      <c r="BQ176" t="s">
        <v>517</v>
      </c>
    </row>
    <row r="177" spans="1:69" x14ac:dyDescent="0.4">
      <c r="A177" s="3">
        <v>36</v>
      </c>
      <c r="B177" s="3">
        <v>36</v>
      </c>
      <c r="C177" s="4">
        <v>758097</v>
      </c>
      <c r="D177" s="4" t="str">
        <f>TEXT(C177,"000000")</f>
        <v>758097</v>
      </c>
      <c r="E177" s="4">
        <v>758097</v>
      </c>
      <c r="F177" s="4" t="s">
        <v>151</v>
      </c>
      <c r="G177" s="5">
        <v>4996297301738</v>
      </c>
      <c r="H177" s="5"/>
      <c r="I177" s="5"/>
      <c r="J177" s="5">
        <v>1</v>
      </c>
      <c r="K177" s="5">
        <v>1</v>
      </c>
      <c r="L177" s="4">
        <v>0</v>
      </c>
      <c r="M177" s="4">
        <v>484</v>
      </c>
      <c r="N177" s="4">
        <v>248</v>
      </c>
      <c r="O177" s="6">
        <f>IFERROR(1-N177/M177,"-")</f>
        <v>0.48760330578512401</v>
      </c>
      <c r="P177" s="4" t="s">
        <v>422</v>
      </c>
      <c r="Q177" s="4" t="s">
        <v>422</v>
      </c>
      <c r="R177" s="4" t="s">
        <v>422</v>
      </c>
      <c r="S177" s="4" t="s">
        <v>422</v>
      </c>
      <c r="T177" s="4" t="s">
        <v>422</v>
      </c>
      <c r="U177" s="4" t="s">
        <v>422</v>
      </c>
      <c r="V177" s="4" t="s">
        <v>422</v>
      </c>
      <c r="W177" s="4" t="s">
        <v>422</v>
      </c>
      <c r="X177" s="4" t="s">
        <v>422</v>
      </c>
      <c r="Y177" s="4">
        <v>0</v>
      </c>
      <c r="Z177" s="4">
        <f>IF(AC177="",Y177,Y177*AC177)</f>
        <v>0</v>
      </c>
      <c r="AA177" s="4">
        <v>276</v>
      </c>
      <c r="AB177" s="4">
        <f>IF(AC177="",AA177,AA177*AC177)</f>
        <v>276</v>
      </c>
      <c r="AC177" s="4"/>
      <c r="AD177" s="21">
        <f>ROUND(M177*AR177,0)</f>
        <v>539</v>
      </c>
      <c r="AE177" s="6">
        <f>IFERROR(1-AB177/AD177,"-")</f>
        <v>0.48794063079777361</v>
      </c>
      <c r="AF177" s="33">
        <v>2.25</v>
      </c>
      <c r="AG177" s="4">
        <f>BI177</f>
        <v>668</v>
      </c>
      <c r="AH177" s="33">
        <f>IFERROR(AG177*AR177,"-")</f>
        <v>743.41935483870964</v>
      </c>
      <c r="AI177" s="6">
        <f>IFERROR(1-AB177/AH177,"-")</f>
        <v>0.62874251497005984</v>
      </c>
      <c r="AJ177" s="7">
        <v>490</v>
      </c>
      <c r="AK177" s="6">
        <f>1-AB177/AJ177</f>
        <v>0.43673469387755104</v>
      </c>
      <c r="AL177" s="4">
        <f>AJ177-AB177</f>
        <v>214</v>
      </c>
      <c r="AM177" s="28"/>
      <c r="AN177" s="6"/>
      <c r="AO177" s="6"/>
      <c r="AP177" s="6" t="str">
        <f>IFERROR(Z177/L177,"-")</f>
        <v>-</v>
      </c>
      <c r="AQ177" s="6">
        <f>IFERROR(AJ177/M177,"-")</f>
        <v>1.0123966942148761</v>
      </c>
      <c r="AR177" s="6">
        <f>IFERROR(AB177/N177,"-")</f>
        <v>1.1129032258064515</v>
      </c>
      <c r="AS177" s="4" t="str">
        <f t="shared" si="22"/>
        <v>-</v>
      </c>
      <c r="AT177" s="4"/>
      <c r="AU177" s="4" t="str">
        <f t="shared" si="23"/>
        <v>-</v>
      </c>
      <c r="AV177" s="4" t="str">
        <f t="shared" si="24"/>
        <v>-</v>
      </c>
      <c r="AW177" s="4" t="str">
        <f t="shared" si="25"/>
        <v>-</v>
      </c>
      <c r="AX177" s="4" t="str">
        <f t="shared" si="26"/>
        <v>-</v>
      </c>
      <c r="AY177" s="4" t="str">
        <f t="shared" si="27"/>
        <v>-</v>
      </c>
      <c r="AZ177" s="4" t="str">
        <f t="shared" si="28"/>
        <v>-</v>
      </c>
      <c r="BA177" s="4" t="str">
        <f t="shared" si="29"/>
        <v>-</v>
      </c>
      <c r="BB177" s="4" t="str">
        <f t="shared" si="30"/>
        <v>-</v>
      </c>
      <c r="BC177" s="4" t="s">
        <v>407</v>
      </c>
      <c r="BD177" s="4" t="s">
        <v>673</v>
      </c>
      <c r="BE177" s="4"/>
      <c r="BF177" s="4"/>
      <c r="BG177" s="4" t="s">
        <v>563</v>
      </c>
      <c r="BH177" s="4">
        <v>668</v>
      </c>
      <c r="BI177" s="4">
        <f>IF(BE177="",BH177,BE177/BF177*BH177)</f>
        <v>668</v>
      </c>
      <c r="BJ177" s="19">
        <v>4</v>
      </c>
      <c r="BK177" s="19">
        <v>1</v>
      </c>
      <c r="BL177" s="16">
        <v>3</v>
      </c>
      <c r="BM177">
        <v>2808</v>
      </c>
      <c r="BN177">
        <f t="shared" si="31"/>
        <v>3125.0322580645156</v>
      </c>
      <c r="BO177">
        <v>637</v>
      </c>
      <c r="BP177">
        <f t="shared" si="32"/>
        <v>708.91935483870964</v>
      </c>
      <c r="BQ177" t="s">
        <v>518</v>
      </c>
    </row>
    <row r="178" spans="1:69" x14ac:dyDescent="0.4">
      <c r="A178" s="3">
        <v>37</v>
      </c>
      <c r="B178" s="3">
        <v>37</v>
      </c>
      <c r="C178" s="4">
        <v>758106</v>
      </c>
      <c r="D178" s="4" t="str">
        <f>TEXT(C178,"000000")</f>
        <v>758106</v>
      </c>
      <c r="E178" s="4">
        <v>758106</v>
      </c>
      <c r="F178" s="4" t="s">
        <v>152</v>
      </c>
      <c r="G178" s="5">
        <v>4996297301745</v>
      </c>
      <c r="H178" s="5"/>
      <c r="I178" s="5"/>
      <c r="J178" s="5">
        <v>1</v>
      </c>
      <c r="K178" s="5">
        <v>1</v>
      </c>
      <c r="L178" s="4">
        <v>0</v>
      </c>
      <c r="M178" s="4">
        <v>484</v>
      </c>
      <c r="N178" s="4">
        <v>248</v>
      </c>
      <c r="O178" s="6">
        <f>IFERROR(1-N178/M178,"-")</f>
        <v>0.48760330578512401</v>
      </c>
      <c r="P178" s="4" t="s">
        <v>422</v>
      </c>
      <c r="Q178" s="4" t="s">
        <v>422</v>
      </c>
      <c r="R178" s="4" t="s">
        <v>422</v>
      </c>
      <c r="S178" s="4" t="s">
        <v>422</v>
      </c>
      <c r="T178" s="4" t="s">
        <v>422</v>
      </c>
      <c r="U178" s="4" t="s">
        <v>422</v>
      </c>
      <c r="V178" s="4" t="s">
        <v>422</v>
      </c>
      <c r="W178" s="4" t="s">
        <v>422</v>
      </c>
      <c r="X178" s="4" t="s">
        <v>422</v>
      </c>
      <c r="Y178" s="4">
        <v>0</v>
      </c>
      <c r="Z178" s="4">
        <f>IF(AC178="",Y178,Y178*AC178)</f>
        <v>0</v>
      </c>
      <c r="AA178" s="4">
        <v>276</v>
      </c>
      <c r="AB178" s="4">
        <f>IF(AC178="",AA178,AA178*AC178)</f>
        <v>276</v>
      </c>
      <c r="AC178" s="4"/>
      <c r="AD178" s="21">
        <f>ROUND(M178*AR178,0)</f>
        <v>539</v>
      </c>
      <c r="AE178" s="6">
        <f>IFERROR(1-AB178/AD178,"-")</f>
        <v>0.48794063079777361</v>
      </c>
      <c r="AF178" s="33">
        <v>2.25</v>
      </c>
      <c r="AG178" s="4">
        <f>BI178</f>
        <v>668</v>
      </c>
      <c r="AH178" s="33">
        <f>IFERROR(AG178*AR178,"-")</f>
        <v>743.41935483870964</v>
      </c>
      <c r="AI178" s="6">
        <f>IFERROR(1-AB178/AH178,"-")</f>
        <v>0.62874251497005984</v>
      </c>
      <c r="AJ178" s="7">
        <v>490</v>
      </c>
      <c r="AK178" s="6">
        <f>1-AB178/AJ178</f>
        <v>0.43673469387755104</v>
      </c>
      <c r="AL178" s="4">
        <f>AJ178-AB178</f>
        <v>214</v>
      </c>
      <c r="AM178" s="28"/>
      <c r="AN178" s="6"/>
      <c r="AO178" s="6"/>
      <c r="AP178" s="6" t="str">
        <f>IFERROR(Z178/L178,"-")</f>
        <v>-</v>
      </c>
      <c r="AQ178" s="6">
        <f>IFERROR(AJ178/M178,"-")</f>
        <v>1.0123966942148761</v>
      </c>
      <c r="AR178" s="6">
        <f>IFERROR(AB178/N178,"-")</f>
        <v>1.1129032258064515</v>
      </c>
      <c r="AS178" s="4" t="str">
        <f t="shared" si="22"/>
        <v>-</v>
      </c>
      <c r="AT178" s="4"/>
      <c r="AU178" s="4" t="str">
        <f t="shared" si="23"/>
        <v>-</v>
      </c>
      <c r="AV178" s="4" t="str">
        <f t="shared" si="24"/>
        <v>-</v>
      </c>
      <c r="AW178" s="4" t="str">
        <f t="shared" si="25"/>
        <v>-</v>
      </c>
      <c r="AX178" s="4" t="str">
        <f t="shared" si="26"/>
        <v>-</v>
      </c>
      <c r="AY178" s="4" t="str">
        <f t="shared" si="27"/>
        <v>-</v>
      </c>
      <c r="AZ178" s="4" t="str">
        <f t="shared" si="28"/>
        <v>-</v>
      </c>
      <c r="BA178" s="4" t="str">
        <f t="shared" si="29"/>
        <v>-</v>
      </c>
      <c r="BB178" s="4" t="str">
        <f t="shared" si="30"/>
        <v>-</v>
      </c>
      <c r="BC178" s="4" t="s">
        <v>407</v>
      </c>
      <c r="BD178" s="4" t="s">
        <v>674</v>
      </c>
      <c r="BE178" s="4"/>
      <c r="BF178" s="4"/>
      <c r="BG178" s="4" t="s">
        <v>563</v>
      </c>
      <c r="BH178" s="4">
        <v>668</v>
      </c>
      <c r="BI178" s="4">
        <f>IF(BE178="",BH178,BE178/BF178*BH178)</f>
        <v>668</v>
      </c>
      <c r="BJ178" s="19">
        <v>4</v>
      </c>
      <c r="BK178" s="19">
        <v>1</v>
      </c>
      <c r="BL178" s="16">
        <v>3</v>
      </c>
      <c r="BM178" t="s">
        <v>422</v>
      </c>
      <c r="BN178" t="str">
        <f t="shared" si="31"/>
        <v>-</v>
      </c>
      <c r="BO178">
        <v>637</v>
      </c>
      <c r="BP178">
        <f t="shared" si="32"/>
        <v>708.91935483870964</v>
      </c>
      <c r="BQ178" t="s">
        <v>519</v>
      </c>
    </row>
    <row r="179" spans="1:69" x14ac:dyDescent="0.4">
      <c r="A179" s="3">
        <v>34</v>
      </c>
      <c r="B179" s="3">
        <v>34</v>
      </c>
      <c r="C179" s="4">
        <v>758115</v>
      </c>
      <c r="D179" s="4" t="str">
        <f>TEXT(C179,"000000")</f>
        <v>758115</v>
      </c>
      <c r="E179" s="4">
        <v>758115</v>
      </c>
      <c r="F179" s="4" t="s">
        <v>149</v>
      </c>
      <c r="G179" s="5">
        <v>4996297301714</v>
      </c>
      <c r="H179" s="5"/>
      <c r="I179" s="5"/>
      <c r="J179" s="5">
        <v>1</v>
      </c>
      <c r="K179" s="5">
        <v>1</v>
      </c>
      <c r="L179" s="4">
        <v>0</v>
      </c>
      <c r="M179" s="4">
        <v>484</v>
      </c>
      <c r="N179" s="4">
        <v>248</v>
      </c>
      <c r="O179" s="6">
        <f>IFERROR(1-N179/M179,"-")</f>
        <v>0.48760330578512401</v>
      </c>
      <c r="P179" s="4" t="s">
        <v>422</v>
      </c>
      <c r="Q179" s="4" t="s">
        <v>422</v>
      </c>
      <c r="R179" s="4" t="s">
        <v>422</v>
      </c>
      <c r="S179" s="4" t="s">
        <v>422</v>
      </c>
      <c r="T179" s="4" t="s">
        <v>422</v>
      </c>
      <c r="U179" s="4" t="s">
        <v>422</v>
      </c>
      <c r="V179" s="4" t="s">
        <v>422</v>
      </c>
      <c r="W179" s="4" t="s">
        <v>422</v>
      </c>
      <c r="X179" s="4" t="s">
        <v>422</v>
      </c>
      <c r="Y179" s="4">
        <v>0</v>
      </c>
      <c r="Z179" s="4">
        <f>IF(AC179="",Y179,Y179*AC179)</f>
        <v>0</v>
      </c>
      <c r="AA179" s="4">
        <v>276</v>
      </c>
      <c r="AB179" s="4">
        <f>IF(AC179="",AA179,AA179*AC179)</f>
        <v>276</v>
      </c>
      <c r="AC179" s="4"/>
      <c r="AD179" s="21">
        <f>ROUND(M179*AR179,0)</f>
        <v>539</v>
      </c>
      <c r="AE179" s="6">
        <f>IFERROR(1-AB179/AD179,"-")</f>
        <v>0.48794063079777361</v>
      </c>
      <c r="AF179" s="33">
        <v>5.75</v>
      </c>
      <c r="AG179" s="4">
        <f>BI179</f>
        <v>668</v>
      </c>
      <c r="AH179" s="33">
        <f>IFERROR(AG179*AR179,"-")</f>
        <v>743.41935483870964</v>
      </c>
      <c r="AI179" s="6">
        <f>IFERROR(1-AB179/AH179,"-")</f>
        <v>0.62874251497005984</v>
      </c>
      <c r="AJ179" s="7">
        <v>490</v>
      </c>
      <c r="AK179" s="6">
        <f>1-AB179/AJ179</f>
        <v>0.43673469387755104</v>
      </c>
      <c r="AL179" s="4">
        <f>AJ179-AB179</f>
        <v>214</v>
      </c>
      <c r="AM179" s="28"/>
      <c r="AN179" s="6"/>
      <c r="AO179" s="6"/>
      <c r="AP179" s="6" t="str">
        <f>IFERROR(Z179/L179,"-")</f>
        <v>-</v>
      </c>
      <c r="AQ179" s="6">
        <f>IFERROR(AJ179/M179,"-")</f>
        <v>1.0123966942148761</v>
      </c>
      <c r="AR179" s="6">
        <f>IFERROR(AB179/N179,"-")</f>
        <v>1.1129032258064515</v>
      </c>
      <c r="AS179" s="4" t="str">
        <f t="shared" si="22"/>
        <v>-</v>
      </c>
      <c r="AT179" s="4"/>
      <c r="AU179" s="4" t="str">
        <f t="shared" si="23"/>
        <v>-</v>
      </c>
      <c r="AV179" s="4" t="str">
        <f t="shared" si="24"/>
        <v>-</v>
      </c>
      <c r="AW179" s="4" t="str">
        <f t="shared" si="25"/>
        <v>-</v>
      </c>
      <c r="AX179" s="4" t="str">
        <f t="shared" si="26"/>
        <v>-</v>
      </c>
      <c r="AY179" s="4" t="str">
        <f t="shared" si="27"/>
        <v>-</v>
      </c>
      <c r="AZ179" s="4" t="str">
        <f t="shared" si="28"/>
        <v>-</v>
      </c>
      <c r="BA179" s="4" t="str">
        <f t="shared" si="29"/>
        <v>-</v>
      </c>
      <c r="BB179" s="4" t="str">
        <f t="shared" si="30"/>
        <v>-</v>
      </c>
      <c r="BC179" s="4" t="s">
        <v>407</v>
      </c>
      <c r="BD179" s="4" t="s">
        <v>675</v>
      </c>
      <c r="BE179" s="4"/>
      <c r="BF179" s="4"/>
      <c r="BG179" s="4" t="s">
        <v>563</v>
      </c>
      <c r="BH179" s="4">
        <v>668</v>
      </c>
      <c r="BI179" s="4">
        <f>IF(BE179="",BH179,BE179/BF179*BH179)</f>
        <v>668</v>
      </c>
      <c r="BJ179" s="19">
        <v>4</v>
      </c>
      <c r="BK179" s="19">
        <v>1</v>
      </c>
      <c r="BL179" s="16">
        <v>3</v>
      </c>
      <c r="BM179">
        <v>2808</v>
      </c>
      <c r="BN179">
        <f t="shared" si="31"/>
        <v>3125.0322580645156</v>
      </c>
      <c r="BO179">
        <v>637</v>
      </c>
      <c r="BP179">
        <f t="shared" si="32"/>
        <v>708.91935483870964</v>
      </c>
      <c r="BQ179" t="s">
        <v>520</v>
      </c>
    </row>
    <row r="180" spans="1:69" x14ac:dyDescent="0.4">
      <c r="A180" s="3">
        <v>33</v>
      </c>
      <c r="B180" s="3">
        <v>33</v>
      </c>
      <c r="C180" s="4">
        <v>758124</v>
      </c>
      <c r="D180" s="4" t="str">
        <f>TEXT(C180,"000000")</f>
        <v>758124</v>
      </c>
      <c r="E180" s="4">
        <v>758124</v>
      </c>
      <c r="F180" s="4" t="s">
        <v>148</v>
      </c>
      <c r="G180" s="5">
        <v>4996297301707</v>
      </c>
      <c r="H180" s="5"/>
      <c r="I180" s="5"/>
      <c r="J180" s="5">
        <v>1</v>
      </c>
      <c r="K180" s="5">
        <v>1</v>
      </c>
      <c r="L180" s="4">
        <v>0</v>
      </c>
      <c r="M180" s="4">
        <v>484</v>
      </c>
      <c r="N180" s="4">
        <v>248</v>
      </c>
      <c r="O180" s="6">
        <f>IFERROR(1-N180/M180,"-")</f>
        <v>0.48760330578512401</v>
      </c>
      <c r="P180" s="4" t="s">
        <v>422</v>
      </c>
      <c r="Q180" s="4" t="s">
        <v>422</v>
      </c>
      <c r="R180" s="4" t="s">
        <v>422</v>
      </c>
      <c r="S180" s="4" t="s">
        <v>422</v>
      </c>
      <c r="T180" s="4" t="s">
        <v>422</v>
      </c>
      <c r="U180" s="4" t="s">
        <v>422</v>
      </c>
      <c r="V180" s="4" t="s">
        <v>422</v>
      </c>
      <c r="W180" s="4" t="s">
        <v>422</v>
      </c>
      <c r="X180" s="4" t="s">
        <v>422</v>
      </c>
      <c r="Y180" s="4">
        <v>0</v>
      </c>
      <c r="Z180" s="4">
        <f>IF(AC180="",Y180,Y180*AC180)</f>
        <v>0</v>
      </c>
      <c r="AA180" s="4">
        <v>276</v>
      </c>
      <c r="AB180" s="4">
        <f>IF(AC180="",AA180,AA180*AC180)</f>
        <v>276</v>
      </c>
      <c r="AC180" s="4"/>
      <c r="AD180" s="21">
        <f>ROUND(M180*AR180,0)</f>
        <v>539</v>
      </c>
      <c r="AE180" s="6">
        <f>IFERROR(1-AB180/AD180,"-")</f>
        <v>0.48794063079777361</v>
      </c>
      <c r="AF180" s="33">
        <v>2</v>
      </c>
      <c r="AG180" s="4">
        <f>BI180</f>
        <v>668</v>
      </c>
      <c r="AH180" s="33">
        <f>IFERROR(AG180*AR180,"-")</f>
        <v>743.41935483870964</v>
      </c>
      <c r="AI180" s="6">
        <f>IFERROR(1-AB180/AH180,"-")</f>
        <v>0.62874251497005984</v>
      </c>
      <c r="AJ180" s="7">
        <v>490</v>
      </c>
      <c r="AK180" s="6">
        <f>1-AB180/AJ180</f>
        <v>0.43673469387755104</v>
      </c>
      <c r="AL180" s="4">
        <f>AJ180-AB180</f>
        <v>214</v>
      </c>
      <c r="AM180" s="28"/>
      <c r="AN180" s="6"/>
      <c r="AO180" s="6"/>
      <c r="AP180" s="6" t="str">
        <f>IFERROR(Z180/L180,"-")</f>
        <v>-</v>
      </c>
      <c r="AQ180" s="6">
        <f>IFERROR(AJ180/M180,"-")</f>
        <v>1.0123966942148761</v>
      </c>
      <c r="AR180" s="6">
        <f>IFERROR(AB180/N180,"-")</f>
        <v>1.1129032258064515</v>
      </c>
      <c r="AS180" s="4" t="str">
        <f t="shared" si="22"/>
        <v>-</v>
      </c>
      <c r="AT180" s="4"/>
      <c r="AU180" s="4" t="str">
        <f t="shared" si="23"/>
        <v>-</v>
      </c>
      <c r="AV180" s="4" t="str">
        <f t="shared" si="24"/>
        <v>-</v>
      </c>
      <c r="AW180" s="4" t="str">
        <f t="shared" si="25"/>
        <v>-</v>
      </c>
      <c r="AX180" s="4" t="str">
        <f t="shared" si="26"/>
        <v>-</v>
      </c>
      <c r="AY180" s="4" t="str">
        <f t="shared" si="27"/>
        <v>-</v>
      </c>
      <c r="AZ180" s="4" t="str">
        <f t="shared" si="28"/>
        <v>-</v>
      </c>
      <c r="BA180" s="4" t="str">
        <f t="shared" si="29"/>
        <v>-</v>
      </c>
      <c r="BB180" s="4" t="str">
        <f t="shared" si="30"/>
        <v>-</v>
      </c>
      <c r="BC180" s="4" t="s">
        <v>407</v>
      </c>
      <c r="BD180" s="4" t="s">
        <v>676</v>
      </c>
      <c r="BE180" s="4"/>
      <c r="BF180" s="4"/>
      <c r="BG180" s="4" t="s">
        <v>563</v>
      </c>
      <c r="BH180" s="4">
        <v>668</v>
      </c>
      <c r="BI180" s="4">
        <f>IF(BE180="",BH180,BE180/BF180*BH180)</f>
        <v>668</v>
      </c>
      <c r="BJ180" s="19">
        <v>4</v>
      </c>
      <c r="BK180" s="19">
        <v>1</v>
      </c>
      <c r="BL180" s="16">
        <v>3</v>
      </c>
      <c r="BM180">
        <v>2808</v>
      </c>
      <c r="BN180">
        <f t="shared" si="31"/>
        <v>3125.0322580645156</v>
      </c>
      <c r="BO180">
        <v>637</v>
      </c>
      <c r="BP180">
        <f t="shared" si="32"/>
        <v>708.91935483870964</v>
      </c>
      <c r="BQ180" t="s">
        <v>521</v>
      </c>
    </row>
    <row r="181" spans="1:69" x14ac:dyDescent="0.4">
      <c r="A181" s="3">
        <v>76</v>
      </c>
      <c r="B181" s="3">
        <v>76</v>
      </c>
      <c r="C181" s="4">
        <v>628391</v>
      </c>
      <c r="D181" s="4" t="str">
        <f>TEXT(C181,"000000")</f>
        <v>628391</v>
      </c>
      <c r="E181" s="4">
        <v>628391</v>
      </c>
      <c r="F181" s="4" t="s">
        <v>190</v>
      </c>
      <c r="G181" s="5">
        <v>4996297369448</v>
      </c>
      <c r="H181" s="5"/>
      <c r="I181" s="5"/>
      <c r="J181" s="5">
        <v>1</v>
      </c>
      <c r="K181" s="5">
        <v>1</v>
      </c>
      <c r="L181" s="4">
        <v>0</v>
      </c>
      <c r="M181" s="4">
        <v>460</v>
      </c>
      <c r="N181" s="4">
        <v>253</v>
      </c>
      <c r="O181" s="6">
        <f>IFERROR(1-N181/M181,"-")</f>
        <v>0.44999999999999996</v>
      </c>
      <c r="P181" s="4" t="s">
        <v>422</v>
      </c>
      <c r="Q181" s="4" t="s">
        <v>422</v>
      </c>
      <c r="R181" s="4" t="s">
        <v>422</v>
      </c>
      <c r="S181" s="4" t="s">
        <v>422</v>
      </c>
      <c r="T181" s="4" t="s">
        <v>422</v>
      </c>
      <c r="U181" s="4" t="s">
        <v>422</v>
      </c>
      <c r="V181" s="4" t="s">
        <v>422</v>
      </c>
      <c r="W181" s="4" t="s">
        <v>422</v>
      </c>
      <c r="X181" s="4" t="s">
        <v>422</v>
      </c>
      <c r="Y181" s="4">
        <v>0</v>
      </c>
      <c r="Z181" s="4">
        <f>IF(AC181="",Y181,Y181*AC181)</f>
        <v>0</v>
      </c>
      <c r="AA181" s="4">
        <v>284</v>
      </c>
      <c r="AB181" s="4">
        <f>IF(AC181="",AA181,AA181*AC181)</f>
        <v>284</v>
      </c>
      <c r="AC181" s="4"/>
      <c r="AD181" s="21">
        <f>ROUND(M181*AR181,0)</f>
        <v>516</v>
      </c>
      <c r="AE181" s="6">
        <f>IFERROR(1-AB181/AD181,"-")</f>
        <v>0.44961240310077522</v>
      </c>
      <c r="AF181" s="33">
        <v>14.249999999999998</v>
      </c>
      <c r="AG181" s="4">
        <f>BI181</f>
        <v>513</v>
      </c>
      <c r="AH181" s="33">
        <f>IFERROR(AG181*AR181,"-")</f>
        <v>575.85770750988138</v>
      </c>
      <c r="AI181" s="6">
        <f>IFERROR(1-AB181/AH181,"-")</f>
        <v>0.50682261208576995</v>
      </c>
      <c r="AJ181" s="7">
        <v>500</v>
      </c>
      <c r="AK181" s="6">
        <f>1-AB181/AJ181</f>
        <v>0.43200000000000005</v>
      </c>
      <c r="AL181" s="4">
        <f>AJ181-AB181</f>
        <v>216</v>
      </c>
      <c r="AM181" s="28"/>
      <c r="AN181" s="6"/>
      <c r="AO181" s="6"/>
      <c r="AP181" s="6" t="str">
        <f>IFERROR(Z181/L181,"-")</f>
        <v>-</v>
      </c>
      <c r="AQ181" s="6">
        <f>IFERROR(AJ181/M181,"-")</f>
        <v>1.0869565217391304</v>
      </c>
      <c r="AR181" s="6">
        <f>IFERROR(AB181/N181,"-")</f>
        <v>1.1225296442687747</v>
      </c>
      <c r="AS181" s="4" t="str">
        <f t="shared" si="22"/>
        <v>-</v>
      </c>
      <c r="AT181" s="4"/>
      <c r="AU181" s="4" t="str">
        <f t="shared" si="23"/>
        <v>-</v>
      </c>
      <c r="AV181" s="4" t="str">
        <f t="shared" si="24"/>
        <v>-</v>
      </c>
      <c r="AW181" s="4" t="str">
        <f t="shared" si="25"/>
        <v>-</v>
      </c>
      <c r="AX181" s="4" t="str">
        <f t="shared" si="26"/>
        <v>-</v>
      </c>
      <c r="AY181" s="4" t="str">
        <f t="shared" si="27"/>
        <v>-</v>
      </c>
      <c r="AZ181" s="4" t="str">
        <f t="shared" si="28"/>
        <v>-</v>
      </c>
      <c r="BA181" s="4" t="str">
        <f t="shared" si="29"/>
        <v>-</v>
      </c>
      <c r="BB181" s="4" t="str">
        <f t="shared" si="30"/>
        <v>-</v>
      </c>
      <c r="BC181" s="4">
        <v>0</v>
      </c>
      <c r="BD181" s="4" t="s">
        <v>677</v>
      </c>
      <c r="BE181" s="4"/>
      <c r="BF181" s="4"/>
      <c r="BG181" s="4" t="s">
        <v>563</v>
      </c>
      <c r="BH181" s="4">
        <v>513</v>
      </c>
      <c r="BI181" s="4">
        <f>IF(BE181="",BH181,BE181/BF181*BH181)</f>
        <v>513</v>
      </c>
      <c r="BJ181" s="19">
        <v>4</v>
      </c>
      <c r="BK181" s="19">
        <v>1</v>
      </c>
      <c r="BL181" s="16">
        <v>3</v>
      </c>
      <c r="BM181">
        <v>350</v>
      </c>
      <c r="BN181">
        <f t="shared" si="31"/>
        <v>392.88537549407113</v>
      </c>
      <c r="BO181">
        <v>646</v>
      </c>
      <c r="BP181">
        <f t="shared" si="32"/>
        <v>725.15415019762838</v>
      </c>
      <c r="BQ181" t="s">
        <v>522</v>
      </c>
    </row>
    <row r="182" spans="1:69" x14ac:dyDescent="0.4">
      <c r="A182" s="3">
        <v>121</v>
      </c>
      <c r="B182" s="3">
        <v>121</v>
      </c>
      <c r="C182" s="47">
        <v>757989</v>
      </c>
      <c r="D182" s="4" t="str">
        <f>TEXT(C182,"000000")</f>
        <v>757989</v>
      </c>
      <c r="E182" s="4">
        <v>757989</v>
      </c>
      <c r="F182" s="4" t="s">
        <v>235</v>
      </c>
      <c r="G182" s="5">
        <v>4996297435129</v>
      </c>
      <c r="H182" s="5"/>
      <c r="I182" s="5"/>
      <c r="J182" s="5">
        <v>2</v>
      </c>
      <c r="K182" s="5">
        <v>2</v>
      </c>
      <c r="L182" s="4">
        <v>0</v>
      </c>
      <c r="M182" s="4">
        <v>388</v>
      </c>
      <c r="N182" s="4">
        <v>261</v>
      </c>
      <c r="O182" s="6">
        <f>IFERROR(1-N182/M182,"-")</f>
        <v>0.32731958762886593</v>
      </c>
      <c r="P182" s="4" t="s">
        <v>422</v>
      </c>
      <c r="Q182" s="4" t="s">
        <v>422</v>
      </c>
      <c r="R182" s="4" t="s">
        <v>422</v>
      </c>
      <c r="S182" s="4" t="s">
        <v>422</v>
      </c>
      <c r="T182" s="4" t="s">
        <v>422</v>
      </c>
      <c r="U182" s="4" t="s">
        <v>422</v>
      </c>
      <c r="V182" s="4" t="s">
        <v>422</v>
      </c>
      <c r="W182" s="4" t="s">
        <v>422</v>
      </c>
      <c r="X182" s="4" t="s">
        <v>422</v>
      </c>
      <c r="Y182" s="4">
        <v>0</v>
      </c>
      <c r="Z182" s="4">
        <f>IF(AC182="",Y182,Y182*AC182)</f>
        <v>0</v>
      </c>
      <c r="AA182" s="4">
        <v>290</v>
      </c>
      <c r="AB182" s="4">
        <f>IF(AC182="",AA182,AA182*AC182)</f>
        <v>290</v>
      </c>
      <c r="AC182" s="4"/>
      <c r="AD182" s="21">
        <f>ROUND(M182*AR182,0)</f>
        <v>431</v>
      </c>
      <c r="AE182" s="6">
        <f>IFERROR(1-AB182/AD182,"-")</f>
        <v>0.3271461716937355</v>
      </c>
      <c r="AF182" s="33">
        <v>8.75</v>
      </c>
      <c r="AG182" s="4" t="str">
        <f>BI182</f>
        <v>-</v>
      </c>
      <c r="AH182" s="33" t="str">
        <f>IFERROR(AG182*AR182,"-")</f>
        <v>-</v>
      </c>
      <c r="AI182" s="6" t="str">
        <f>IFERROR(1-AB182/AH182,"-")</f>
        <v>-</v>
      </c>
      <c r="AJ182" s="7">
        <v>480</v>
      </c>
      <c r="AK182" s="6">
        <f>1-AB182/AJ182</f>
        <v>0.39583333333333337</v>
      </c>
      <c r="AL182" s="4">
        <f>AJ182-AB182</f>
        <v>190</v>
      </c>
      <c r="AM182" s="28"/>
      <c r="AN182" s="6"/>
      <c r="AO182" s="6"/>
      <c r="AP182" s="6" t="str">
        <f>IFERROR(Z182/L182,"-")</f>
        <v>-</v>
      </c>
      <c r="AQ182" s="6">
        <f>IFERROR(AJ182/M182,"-")</f>
        <v>1.2371134020618557</v>
      </c>
      <c r="AR182" s="6">
        <f>IFERROR(AB182/N182,"-")</f>
        <v>1.1111111111111112</v>
      </c>
      <c r="AS182" s="4" t="str">
        <f t="shared" si="22"/>
        <v>-</v>
      </c>
      <c r="AT182" s="4"/>
      <c r="AU182" s="4" t="str">
        <f t="shared" si="23"/>
        <v>-</v>
      </c>
      <c r="AV182" s="4" t="str">
        <f t="shared" si="24"/>
        <v>-</v>
      </c>
      <c r="AW182" s="4" t="str">
        <f t="shared" si="25"/>
        <v>-</v>
      </c>
      <c r="AX182" s="4" t="str">
        <f t="shared" si="26"/>
        <v>-</v>
      </c>
      <c r="AY182" s="4" t="str">
        <f t="shared" si="27"/>
        <v>-</v>
      </c>
      <c r="AZ182" s="4" t="str">
        <f t="shared" si="28"/>
        <v>-</v>
      </c>
      <c r="BA182" s="4" t="str">
        <f t="shared" si="29"/>
        <v>-</v>
      </c>
      <c r="BB182" s="4" t="str">
        <f t="shared" si="30"/>
        <v>-</v>
      </c>
      <c r="BC182" s="4" t="s">
        <v>419</v>
      </c>
      <c r="BD182" s="4" t="s">
        <v>422</v>
      </c>
      <c r="BE182" s="4"/>
      <c r="BF182" s="4"/>
      <c r="BG182" s="4" t="s">
        <v>422</v>
      </c>
      <c r="BH182" s="4" t="s">
        <v>422</v>
      </c>
      <c r="BI182" s="4" t="str">
        <f>IF(BE182="",BH182,BE182/BF182*BH182)</f>
        <v>-</v>
      </c>
      <c r="BJ182" s="19">
        <v>4</v>
      </c>
      <c r="BK182" s="19">
        <v>1</v>
      </c>
      <c r="BL182" s="16">
        <v>3</v>
      </c>
      <c r="BM182">
        <v>470</v>
      </c>
      <c r="BN182">
        <f t="shared" si="31"/>
        <v>522.22222222222229</v>
      </c>
      <c r="BO182" t="s">
        <v>422</v>
      </c>
      <c r="BP182" t="str">
        <f t="shared" si="32"/>
        <v>-</v>
      </c>
      <c r="BQ182" t="s">
        <v>422</v>
      </c>
    </row>
    <row r="183" spans="1:69" x14ac:dyDescent="0.4">
      <c r="A183" s="3">
        <v>235</v>
      </c>
      <c r="B183" s="3">
        <v>121</v>
      </c>
      <c r="C183" s="47">
        <v>757989</v>
      </c>
      <c r="D183" s="4" t="str">
        <f>TEXT(C183,"000000")</f>
        <v>757989</v>
      </c>
      <c r="E183" s="4">
        <v>629084</v>
      </c>
      <c r="F183" s="4" t="s">
        <v>375</v>
      </c>
      <c r="G183" s="5">
        <v>4996297435129</v>
      </c>
      <c r="H183" s="5">
        <v>8</v>
      </c>
      <c r="I183" s="5" t="str">
        <f>C183&amp;H183</f>
        <v>7579898</v>
      </c>
      <c r="J183" s="5"/>
      <c r="K183" s="5"/>
      <c r="L183" s="4">
        <v>0</v>
      </c>
      <c r="M183" s="4">
        <v>2472</v>
      </c>
      <c r="N183" s="4">
        <v>1566</v>
      </c>
      <c r="O183" s="6">
        <f>IFERROR(1-N183/M183,"-")</f>
        <v>0.36650485436893199</v>
      </c>
      <c r="P183" s="4" t="s">
        <v>422</v>
      </c>
      <c r="Q183" s="4" t="s">
        <v>422</v>
      </c>
      <c r="R183" s="4" t="s">
        <v>422</v>
      </c>
      <c r="S183" s="4" t="s">
        <v>422</v>
      </c>
      <c r="T183" s="4" t="s">
        <v>422</v>
      </c>
      <c r="U183" s="4" t="s">
        <v>422</v>
      </c>
      <c r="V183" s="4" t="s">
        <v>422</v>
      </c>
      <c r="W183" s="4" t="s">
        <v>422</v>
      </c>
      <c r="X183" s="4" t="s">
        <v>422</v>
      </c>
      <c r="Y183" s="4">
        <v>0</v>
      </c>
      <c r="Z183" s="4">
        <f>IF(AC183="",Y183,Y183*AC183)</f>
        <v>0</v>
      </c>
      <c r="AA183" s="4">
        <v>290</v>
      </c>
      <c r="AB183" s="4">
        <f>IF(AC183="",AA183,AA183*AC183)</f>
        <v>1740</v>
      </c>
      <c r="AC183" s="4">
        <v>6</v>
      </c>
      <c r="AD183" s="21">
        <f>ROUND(M183*AR183,0)</f>
        <v>2747</v>
      </c>
      <c r="AE183" s="6">
        <f>IFERROR(1-AB183/AD183,"-")</f>
        <v>0.36658172551874768</v>
      </c>
      <c r="AF183" s="33">
        <v>8.75</v>
      </c>
      <c r="AG183" s="4" t="str">
        <f>BI183</f>
        <v>-</v>
      </c>
      <c r="AH183" s="33" t="str">
        <f>IFERROR(AG183*AR183,"-")</f>
        <v>-</v>
      </c>
      <c r="AI183" s="6" t="str">
        <f>IFERROR(1-AB183/AH183,"-")</f>
        <v>-</v>
      </c>
      <c r="AJ183" s="7">
        <v>2700</v>
      </c>
      <c r="AK183" s="6">
        <f>1-AB183/AJ183</f>
        <v>0.35555555555555551</v>
      </c>
      <c r="AL183" s="4">
        <f>AJ183-AB183</f>
        <v>960</v>
      </c>
      <c r="AM183" s="28"/>
      <c r="AN183" s="6"/>
      <c r="AO183" s="6"/>
      <c r="AP183" s="6" t="str">
        <f>IFERROR(Z183/L183,"-")</f>
        <v>-</v>
      </c>
      <c r="AQ183" s="6">
        <f>IFERROR(AJ183/M183,"-")</f>
        <v>1.0922330097087378</v>
      </c>
      <c r="AR183" s="6">
        <f>IFERROR(AB183/N183,"-")</f>
        <v>1.1111111111111112</v>
      </c>
      <c r="AS183" s="4" t="str">
        <f t="shared" si="22"/>
        <v>-</v>
      </c>
      <c r="AT183" s="4"/>
      <c r="AU183" s="4" t="str">
        <f t="shared" si="23"/>
        <v>-</v>
      </c>
      <c r="AV183" s="4" t="str">
        <f t="shared" si="24"/>
        <v>-</v>
      </c>
      <c r="AW183" s="4" t="str">
        <f t="shared" si="25"/>
        <v>-</v>
      </c>
      <c r="AX183" s="4" t="str">
        <f t="shared" si="26"/>
        <v>-</v>
      </c>
      <c r="AY183" s="4" t="str">
        <f t="shared" si="27"/>
        <v>-</v>
      </c>
      <c r="AZ183" s="4" t="str">
        <f t="shared" si="28"/>
        <v>-</v>
      </c>
      <c r="BA183" s="4" t="str">
        <f t="shared" si="29"/>
        <v>-</v>
      </c>
      <c r="BB183" s="4" t="str">
        <f t="shared" si="30"/>
        <v>-</v>
      </c>
      <c r="BC183" s="4" t="s">
        <v>419</v>
      </c>
      <c r="BD183" s="4" t="s">
        <v>422</v>
      </c>
      <c r="BE183" s="4"/>
      <c r="BF183" s="4"/>
      <c r="BG183" s="4" t="s">
        <v>422</v>
      </c>
      <c r="BH183" s="4" t="s">
        <v>422</v>
      </c>
      <c r="BI183" s="4" t="str">
        <f>IF(BE183="",BH183,BE183/BF183*BH183)</f>
        <v>-</v>
      </c>
      <c r="BJ183" s="19">
        <v>4</v>
      </c>
      <c r="BK183" s="19">
        <v>1</v>
      </c>
      <c r="BL183" s="16">
        <v>3</v>
      </c>
      <c r="BM183">
        <v>470</v>
      </c>
      <c r="BN183">
        <f t="shared" si="31"/>
        <v>522.22222222222229</v>
      </c>
      <c r="BO183" t="s">
        <v>422</v>
      </c>
      <c r="BP183" t="str">
        <f t="shared" si="32"/>
        <v>-</v>
      </c>
      <c r="BQ183" t="s">
        <v>422</v>
      </c>
    </row>
    <row r="184" spans="1:69" x14ac:dyDescent="0.4">
      <c r="A184" s="3">
        <v>48</v>
      </c>
      <c r="B184" s="3">
        <v>48</v>
      </c>
      <c r="C184" s="17">
        <v>663992</v>
      </c>
      <c r="D184" s="4" t="str">
        <f>TEXT(C184,"000000")</f>
        <v>663992</v>
      </c>
      <c r="E184" s="4">
        <v>663992</v>
      </c>
      <c r="F184" s="4" t="s">
        <v>163</v>
      </c>
      <c r="G184" s="5">
        <v>4996297327363</v>
      </c>
      <c r="H184" s="5"/>
      <c r="I184" s="5"/>
      <c r="J184" s="5">
        <v>1</v>
      </c>
      <c r="K184" s="5">
        <v>1</v>
      </c>
      <c r="L184" s="4">
        <v>0</v>
      </c>
      <c r="M184" s="4">
        <v>426</v>
      </c>
      <c r="N184" s="4">
        <v>274</v>
      </c>
      <c r="O184" s="6">
        <f>IFERROR(1-N184/M184,"-")</f>
        <v>0.35680751173708924</v>
      </c>
      <c r="P184" s="4" t="s">
        <v>422</v>
      </c>
      <c r="Q184" s="4" t="s">
        <v>422</v>
      </c>
      <c r="R184" s="4" t="s">
        <v>422</v>
      </c>
      <c r="S184" s="4" t="s">
        <v>422</v>
      </c>
      <c r="T184" s="4" t="s">
        <v>422</v>
      </c>
      <c r="U184" s="4" t="s">
        <v>422</v>
      </c>
      <c r="V184" s="4" t="s">
        <v>422</v>
      </c>
      <c r="W184" s="4" t="s">
        <v>422</v>
      </c>
      <c r="X184" s="4" t="s">
        <v>422</v>
      </c>
      <c r="Y184" s="4">
        <v>0</v>
      </c>
      <c r="Z184" s="4">
        <f>IF(AC184="",Y184,Y184*AC184)</f>
        <v>0</v>
      </c>
      <c r="AA184" s="4">
        <v>301</v>
      </c>
      <c r="AB184" s="4">
        <f>IF(AC184="",AA184,AA184*AC184)</f>
        <v>301</v>
      </c>
      <c r="AC184" s="4"/>
      <c r="AD184" s="21">
        <f>ROUND(M184*AR184,0)</f>
        <v>468</v>
      </c>
      <c r="AE184" s="6">
        <f>IFERROR(1-AB184/AD184,"-")</f>
        <v>0.35683760683760679</v>
      </c>
      <c r="AF184" s="33">
        <v>12</v>
      </c>
      <c r="AG184" s="4" t="str">
        <f>BI184</f>
        <v>-</v>
      </c>
      <c r="AH184" s="33" t="str">
        <f>IFERROR(AG184*AR184,"-")</f>
        <v>-</v>
      </c>
      <c r="AI184" s="6" t="str">
        <f>IFERROR(1-AB184/AH184,"-")</f>
        <v>-</v>
      </c>
      <c r="AJ184" s="7">
        <v>500</v>
      </c>
      <c r="AK184" s="6">
        <f>1-AB184/AJ184</f>
        <v>0.39800000000000002</v>
      </c>
      <c r="AL184" s="4">
        <f>AJ184-AB184</f>
        <v>199</v>
      </c>
      <c r="AM184" s="28"/>
      <c r="AN184" s="6"/>
      <c r="AO184" s="6"/>
      <c r="AP184" s="6" t="str">
        <f>IFERROR(Z184/L184,"-")</f>
        <v>-</v>
      </c>
      <c r="AQ184" s="6">
        <f>IFERROR(AJ184/M184,"-")</f>
        <v>1.1737089201877935</v>
      </c>
      <c r="AR184" s="6">
        <f>IFERROR(AB184/N184,"-")</f>
        <v>1.0985401459854014</v>
      </c>
      <c r="AS184" s="4" t="str">
        <f t="shared" si="22"/>
        <v>-</v>
      </c>
      <c r="AT184" s="4"/>
      <c r="AU184" s="4" t="str">
        <f t="shared" si="23"/>
        <v>-</v>
      </c>
      <c r="AV184" s="4" t="str">
        <f t="shared" si="24"/>
        <v>-</v>
      </c>
      <c r="AW184" s="4" t="str">
        <f t="shared" si="25"/>
        <v>-</v>
      </c>
      <c r="AX184" s="4" t="str">
        <f t="shared" si="26"/>
        <v>-</v>
      </c>
      <c r="AY184" s="4" t="str">
        <f t="shared" si="27"/>
        <v>-</v>
      </c>
      <c r="AZ184" s="4" t="str">
        <f t="shared" si="28"/>
        <v>-</v>
      </c>
      <c r="BA184" s="4" t="str">
        <f t="shared" si="29"/>
        <v>-</v>
      </c>
      <c r="BB184" s="4" t="str">
        <f t="shared" si="30"/>
        <v>-</v>
      </c>
      <c r="BC184" s="4" t="s">
        <v>410</v>
      </c>
      <c r="BD184" s="4" t="s">
        <v>422</v>
      </c>
      <c r="BE184" s="4"/>
      <c r="BF184" s="4"/>
      <c r="BG184" s="4" t="s">
        <v>422</v>
      </c>
      <c r="BH184" s="4" t="s">
        <v>422</v>
      </c>
      <c r="BI184" s="4" t="str">
        <f>IF(BE184="",BH184,BE184/BF184*BH184)</f>
        <v>-</v>
      </c>
      <c r="BJ184" s="19">
        <v>4</v>
      </c>
      <c r="BK184" s="19">
        <v>1</v>
      </c>
      <c r="BL184" s="16">
        <v>3</v>
      </c>
      <c r="BM184" t="s">
        <v>422</v>
      </c>
      <c r="BN184" t="str">
        <f t="shared" si="31"/>
        <v>-</v>
      </c>
      <c r="BO184" t="s">
        <v>422</v>
      </c>
      <c r="BP184" t="str">
        <f t="shared" si="32"/>
        <v>-</v>
      </c>
      <c r="BQ184" t="s">
        <v>422</v>
      </c>
    </row>
    <row r="185" spans="1:69" x14ac:dyDescent="0.4">
      <c r="A185" s="3">
        <v>123</v>
      </c>
      <c r="B185" s="3">
        <v>123</v>
      </c>
      <c r="C185" s="46">
        <v>665114</v>
      </c>
      <c r="D185" s="4" t="str">
        <f>TEXT(C185,"000000")</f>
        <v>665114</v>
      </c>
      <c r="E185" s="4">
        <v>665114</v>
      </c>
      <c r="F185" s="4" t="s">
        <v>237</v>
      </c>
      <c r="G185" s="5">
        <v>4996297435426</v>
      </c>
      <c r="H185" s="5"/>
      <c r="I185" s="5"/>
      <c r="J185" s="5">
        <v>2</v>
      </c>
      <c r="K185" s="5">
        <v>2</v>
      </c>
      <c r="L185" s="4">
        <v>0</v>
      </c>
      <c r="M185" s="4">
        <v>448</v>
      </c>
      <c r="N185" s="4">
        <v>270</v>
      </c>
      <c r="O185" s="6">
        <f>IFERROR(1-N185/M185,"-")</f>
        <v>0.3973214285714286</v>
      </c>
      <c r="P185" s="4" t="s">
        <v>422</v>
      </c>
      <c r="Q185" s="4" t="s">
        <v>422</v>
      </c>
      <c r="R185" s="4" t="s">
        <v>422</v>
      </c>
      <c r="S185" s="4" t="s">
        <v>422</v>
      </c>
      <c r="T185" s="4" t="s">
        <v>422</v>
      </c>
      <c r="U185" s="4" t="s">
        <v>422</v>
      </c>
      <c r="V185" s="4" t="s">
        <v>422</v>
      </c>
      <c r="W185" s="4" t="s">
        <v>422</v>
      </c>
      <c r="X185" s="4" t="s">
        <v>422</v>
      </c>
      <c r="Y185" s="4">
        <v>0</v>
      </c>
      <c r="Z185" s="4">
        <f>IF(AC185="",Y185,Y185*AC185)</f>
        <v>0</v>
      </c>
      <c r="AA185" s="4">
        <v>311</v>
      </c>
      <c r="AB185" s="4">
        <f>IF(AC185="",AA185,AA185*AC185)</f>
        <v>311</v>
      </c>
      <c r="AC185" s="4"/>
      <c r="AD185" s="21">
        <f>ROUND(M185*AR185,0)</f>
        <v>516</v>
      </c>
      <c r="AE185" s="6">
        <f>IFERROR(1-AB185/AD185,"-")</f>
        <v>0.3972868217054264</v>
      </c>
      <c r="AF185" s="33">
        <v>4.5</v>
      </c>
      <c r="AG185" s="4">
        <f>BI185</f>
        <v>1934.3000000000002</v>
      </c>
      <c r="AH185" s="33">
        <f>IFERROR(AG185*AR185,"-")</f>
        <v>2228.0270370370372</v>
      </c>
      <c r="AI185" s="6">
        <f>IFERROR(1-AB185/AH185,"-")</f>
        <v>0.86041462027606885</v>
      </c>
      <c r="AJ185" s="7">
        <v>530</v>
      </c>
      <c r="AK185" s="6">
        <f>1-AB185/AJ185</f>
        <v>0.41320754716981134</v>
      </c>
      <c r="AL185" s="4">
        <f>AJ185-AB185</f>
        <v>219</v>
      </c>
      <c r="AM185" s="28"/>
      <c r="AN185" s="6"/>
      <c r="AO185" s="6"/>
      <c r="AP185" s="6" t="str">
        <f>IFERROR(Z185/L185,"-")</f>
        <v>-</v>
      </c>
      <c r="AQ185" s="6">
        <f>IFERROR(AJ185/M185,"-")</f>
        <v>1.1830357142857142</v>
      </c>
      <c r="AR185" s="6">
        <f>IFERROR(AB185/N185,"-")</f>
        <v>1.1518518518518519</v>
      </c>
      <c r="AS185" s="4" t="str">
        <f t="shared" si="22"/>
        <v>-</v>
      </c>
      <c r="AT185" s="4"/>
      <c r="AU185" s="4" t="str">
        <f t="shared" si="23"/>
        <v>-</v>
      </c>
      <c r="AV185" s="4" t="str">
        <f t="shared" si="24"/>
        <v>-</v>
      </c>
      <c r="AW185" s="4" t="str">
        <f t="shared" si="25"/>
        <v>-</v>
      </c>
      <c r="AX185" s="4" t="str">
        <f t="shared" si="26"/>
        <v>-</v>
      </c>
      <c r="AY185" s="4" t="str">
        <f t="shared" si="27"/>
        <v>-</v>
      </c>
      <c r="AZ185" s="4" t="str">
        <f t="shared" si="28"/>
        <v>-</v>
      </c>
      <c r="BA185" s="4" t="str">
        <f t="shared" si="29"/>
        <v>-</v>
      </c>
      <c r="BB185" s="4" t="str">
        <f t="shared" si="30"/>
        <v>-</v>
      </c>
      <c r="BC185" s="4" t="s">
        <v>420</v>
      </c>
      <c r="BD185" s="4" t="s">
        <v>678</v>
      </c>
      <c r="BE185" s="4">
        <v>1</v>
      </c>
      <c r="BF185" s="4">
        <v>10</v>
      </c>
      <c r="BG185" s="4" t="s">
        <v>612</v>
      </c>
      <c r="BH185" s="4">
        <v>19343</v>
      </c>
      <c r="BI185" s="4">
        <f>IF(BE185="",BH185,BE185/BF185*BH185)</f>
        <v>1934.3000000000002</v>
      </c>
      <c r="BJ185" s="19">
        <v>4</v>
      </c>
      <c r="BK185" s="19">
        <v>1</v>
      </c>
      <c r="BL185" s="16">
        <v>3</v>
      </c>
      <c r="BM185" t="s">
        <v>422</v>
      </c>
      <c r="BN185" t="str">
        <f t="shared" si="31"/>
        <v>-</v>
      </c>
      <c r="BO185">
        <v>732</v>
      </c>
      <c r="BP185">
        <f t="shared" si="32"/>
        <v>843.15555555555557</v>
      </c>
      <c r="BQ185" t="s">
        <v>523</v>
      </c>
    </row>
    <row r="186" spans="1:69" x14ac:dyDescent="0.4">
      <c r="A186" s="3">
        <v>237</v>
      </c>
      <c r="B186" s="3">
        <v>123</v>
      </c>
      <c r="C186" s="46">
        <v>665114</v>
      </c>
      <c r="D186" s="4" t="str">
        <f>TEXT(C186,"000000")</f>
        <v>665114</v>
      </c>
      <c r="E186" s="4">
        <v>665115</v>
      </c>
      <c r="F186" s="4" t="s">
        <v>377</v>
      </c>
      <c r="G186" s="5">
        <v>4996297435426</v>
      </c>
      <c r="H186" s="5">
        <v>8</v>
      </c>
      <c r="I186" s="5" t="str">
        <f>C186&amp;H186</f>
        <v>6651148</v>
      </c>
      <c r="J186" s="5"/>
      <c r="K186" s="5"/>
      <c r="L186" s="4">
        <v>0</v>
      </c>
      <c r="M186" s="4">
        <v>4023</v>
      </c>
      <c r="N186" s="4">
        <v>2700</v>
      </c>
      <c r="O186" s="6">
        <f>IFERROR(1-N186/M186,"-")</f>
        <v>0.32885906040268453</v>
      </c>
      <c r="P186" s="4">
        <v>3848</v>
      </c>
      <c r="Q186" s="4">
        <v>3</v>
      </c>
      <c r="R186" s="4">
        <v>99999</v>
      </c>
      <c r="S186" s="4" t="s">
        <v>422</v>
      </c>
      <c r="T186" s="4" t="s">
        <v>422</v>
      </c>
      <c r="U186" s="4" t="s">
        <v>422</v>
      </c>
      <c r="V186" s="4" t="s">
        <v>422</v>
      </c>
      <c r="W186" s="4" t="s">
        <v>422</v>
      </c>
      <c r="X186" s="4" t="s">
        <v>422</v>
      </c>
      <c r="Y186" s="4">
        <v>0</v>
      </c>
      <c r="Z186" s="4">
        <f>IF(AC186="",Y186,Y186*AC186)</f>
        <v>0</v>
      </c>
      <c r="AA186" s="4">
        <v>311</v>
      </c>
      <c r="AB186" s="4">
        <f>IF(AC186="",AA186,AA186*AC186)</f>
        <v>3110</v>
      </c>
      <c r="AC186" s="4">
        <v>10</v>
      </c>
      <c r="AD186" s="21">
        <f>ROUND(M186*AR186,0)</f>
        <v>4634</v>
      </c>
      <c r="AE186" s="6">
        <f>IFERROR(1-AB186/AD186,"-")</f>
        <v>0.32887354337505392</v>
      </c>
      <c r="AF186" s="33">
        <v>4.5</v>
      </c>
      <c r="AG186" s="4">
        <f>BI186</f>
        <v>19343.333333333332</v>
      </c>
      <c r="AH186" s="33">
        <f>IFERROR(AG186*AR186,"-")</f>
        <v>22280.654320987655</v>
      </c>
      <c r="AI186" s="6">
        <f>IFERROR(1-AB186/AH186,"-")</f>
        <v>0.86041702567637435</v>
      </c>
      <c r="AJ186" s="7">
        <v>5000</v>
      </c>
      <c r="AK186" s="6">
        <f>1-AB186/AJ186</f>
        <v>0.378</v>
      </c>
      <c r="AL186" s="4">
        <f>AJ186-AB186</f>
        <v>1890</v>
      </c>
      <c r="AM186" s="28"/>
      <c r="AN186" s="6"/>
      <c r="AO186" s="6"/>
      <c r="AP186" s="6" t="str">
        <f>IFERROR(Z186/L186,"-")</f>
        <v>-</v>
      </c>
      <c r="AQ186" s="6">
        <f>IFERROR(AJ186/M186,"-")</f>
        <v>1.2428535918468804</v>
      </c>
      <c r="AR186" s="6">
        <f>IFERROR(AB186/N186,"-")</f>
        <v>1.1518518518518519</v>
      </c>
      <c r="AS186" s="4">
        <v>4750</v>
      </c>
      <c r="AT186" s="6">
        <f>1-AB186/AS186</f>
        <v>0.34526315789473683</v>
      </c>
      <c r="AU186" s="4">
        <f t="shared" si="23"/>
        <v>3</v>
      </c>
      <c r="AV186" s="4">
        <f t="shared" si="24"/>
        <v>99999</v>
      </c>
      <c r="AW186" s="4" t="str">
        <f t="shared" si="25"/>
        <v>-</v>
      </c>
      <c r="AX186" s="4" t="str">
        <f t="shared" si="26"/>
        <v>-</v>
      </c>
      <c r="AY186" s="4" t="str">
        <f t="shared" si="27"/>
        <v>-</v>
      </c>
      <c r="AZ186" s="4" t="str">
        <f t="shared" si="28"/>
        <v>-</v>
      </c>
      <c r="BA186" s="4" t="str">
        <f t="shared" si="29"/>
        <v>-</v>
      </c>
      <c r="BB186" s="4" t="str">
        <f t="shared" si="30"/>
        <v>-</v>
      </c>
      <c r="BC186" s="4" t="s">
        <v>420</v>
      </c>
      <c r="BD186" s="4" t="s">
        <v>679</v>
      </c>
      <c r="BE186" s="4">
        <v>10</v>
      </c>
      <c r="BF186" s="4">
        <v>30</v>
      </c>
      <c r="BG186" s="4" t="s">
        <v>680</v>
      </c>
      <c r="BH186" s="4">
        <v>58030</v>
      </c>
      <c r="BI186" s="4">
        <f>IF(BE186="",BH186,BE186/BF186*BH186)</f>
        <v>19343.333333333332</v>
      </c>
      <c r="BJ186" s="19">
        <v>4</v>
      </c>
      <c r="BK186" s="19">
        <v>1</v>
      </c>
      <c r="BL186" s="16">
        <v>3</v>
      </c>
      <c r="BM186" t="s">
        <v>422</v>
      </c>
      <c r="BN186" t="str">
        <f t="shared" si="31"/>
        <v>-</v>
      </c>
      <c r="BO186">
        <v>732</v>
      </c>
      <c r="BP186">
        <f t="shared" si="32"/>
        <v>843.15555555555557</v>
      </c>
      <c r="BQ186" t="s">
        <v>524</v>
      </c>
    </row>
    <row r="187" spans="1:69" x14ac:dyDescent="0.4">
      <c r="A187" s="3">
        <v>124</v>
      </c>
      <c r="B187" s="3">
        <v>124</v>
      </c>
      <c r="C187" s="46">
        <v>665116</v>
      </c>
      <c r="D187" s="4" t="str">
        <f>TEXT(C187,"000000")</f>
        <v>665116</v>
      </c>
      <c r="E187" s="4">
        <v>665116</v>
      </c>
      <c r="F187" s="4" t="s">
        <v>238</v>
      </c>
      <c r="G187" s="5">
        <v>4996297435464</v>
      </c>
      <c r="H187" s="5"/>
      <c r="I187" s="5"/>
      <c r="J187" s="5">
        <v>2</v>
      </c>
      <c r="K187" s="5">
        <v>2</v>
      </c>
      <c r="L187" s="4">
        <v>0</v>
      </c>
      <c r="M187" s="4">
        <v>448</v>
      </c>
      <c r="N187" s="4">
        <v>270</v>
      </c>
      <c r="O187" s="6">
        <f>IFERROR(1-N187/M187,"-")</f>
        <v>0.3973214285714286</v>
      </c>
      <c r="P187" s="4" t="s">
        <v>422</v>
      </c>
      <c r="Q187" s="4" t="s">
        <v>422</v>
      </c>
      <c r="R187" s="4" t="s">
        <v>422</v>
      </c>
      <c r="S187" s="4" t="s">
        <v>422</v>
      </c>
      <c r="T187" s="4" t="s">
        <v>422</v>
      </c>
      <c r="U187" s="4" t="s">
        <v>422</v>
      </c>
      <c r="V187" s="4" t="s">
        <v>422</v>
      </c>
      <c r="W187" s="4" t="s">
        <v>422</v>
      </c>
      <c r="X187" s="4" t="s">
        <v>422</v>
      </c>
      <c r="Y187" s="4">
        <v>0</v>
      </c>
      <c r="Z187" s="4">
        <f>IF(AC187="",Y187,Y187*AC187)</f>
        <v>0</v>
      </c>
      <c r="AA187" s="4">
        <v>311</v>
      </c>
      <c r="AB187" s="4">
        <f>IF(AC187="",AA187,AA187*AC187)</f>
        <v>311</v>
      </c>
      <c r="AC187" s="4"/>
      <c r="AD187" s="21">
        <f>ROUND(M187*AR187,0)</f>
        <v>516</v>
      </c>
      <c r="AE187" s="6">
        <f>IFERROR(1-AB187/AD187,"-")</f>
        <v>0.3972868217054264</v>
      </c>
      <c r="AF187" s="33">
        <v>5.75</v>
      </c>
      <c r="AG187" s="4">
        <f>BI187</f>
        <v>978</v>
      </c>
      <c r="AH187" s="33">
        <f>IFERROR(AG187*AR187,"-")</f>
        <v>1126.5111111111112</v>
      </c>
      <c r="AI187" s="6">
        <f>IFERROR(1-AB187/AH187,"-")</f>
        <v>0.7239263803680982</v>
      </c>
      <c r="AJ187" s="7">
        <v>530</v>
      </c>
      <c r="AK187" s="6">
        <f>1-AB187/AJ187</f>
        <v>0.41320754716981134</v>
      </c>
      <c r="AL187" s="4">
        <f>AJ187-AB187</f>
        <v>219</v>
      </c>
      <c r="AM187" s="28"/>
      <c r="AN187" s="6"/>
      <c r="AO187" s="6"/>
      <c r="AP187" s="6" t="str">
        <f>IFERROR(Z187/L187,"-")</f>
        <v>-</v>
      </c>
      <c r="AQ187" s="6">
        <f>IFERROR(AJ187/M187,"-")</f>
        <v>1.1830357142857142</v>
      </c>
      <c r="AR187" s="6">
        <f>IFERROR(AB187/N187,"-")</f>
        <v>1.1518518518518519</v>
      </c>
      <c r="AS187" s="4" t="str">
        <f t="shared" si="22"/>
        <v>-</v>
      </c>
      <c r="AT187" s="4"/>
      <c r="AU187" s="4" t="str">
        <f t="shared" si="23"/>
        <v>-</v>
      </c>
      <c r="AV187" s="4" t="str">
        <f t="shared" si="24"/>
        <v>-</v>
      </c>
      <c r="AW187" s="4" t="str">
        <f t="shared" si="25"/>
        <v>-</v>
      </c>
      <c r="AX187" s="4" t="str">
        <f t="shared" si="26"/>
        <v>-</v>
      </c>
      <c r="AY187" s="4" t="str">
        <f t="shared" si="27"/>
        <v>-</v>
      </c>
      <c r="AZ187" s="4" t="str">
        <f t="shared" si="28"/>
        <v>-</v>
      </c>
      <c r="BA187" s="4" t="str">
        <f t="shared" si="29"/>
        <v>-</v>
      </c>
      <c r="BB187" s="4" t="str">
        <f t="shared" si="30"/>
        <v>-</v>
      </c>
      <c r="BC187" s="4" t="s">
        <v>420</v>
      </c>
      <c r="BD187" s="4" t="s">
        <v>681</v>
      </c>
      <c r="BE187" s="4">
        <v>1</v>
      </c>
      <c r="BF187" s="4">
        <v>3</v>
      </c>
      <c r="BG187" s="4" t="s">
        <v>682</v>
      </c>
      <c r="BH187" s="4">
        <v>2934</v>
      </c>
      <c r="BI187" s="4">
        <f>IF(BE187="",BH187,BE187/BF187*BH187)</f>
        <v>978</v>
      </c>
      <c r="BJ187" s="19">
        <v>4</v>
      </c>
      <c r="BK187" s="19">
        <v>1</v>
      </c>
      <c r="BL187" s="16">
        <v>3</v>
      </c>
      <c r="BM187" t="s">
        <v>422</v>
      </c>
      <c r="BN187" t="str">
        <f t="shared" si="31"/>
        <v>-</v>
      </c>
      <c r="BO187">
        <v>732</v>
      </c>
      <c r="BP187">
        <f t="shared" si="32"/>
        <v>843.15555555555557</v>
      </c>
      <c r="BQ187" t="s">
        <v>525</v>
      </c>
    </row>
    <row r="188" spans="1:69" x14ac:dyDescent="0.4">
      <c r="A188" s="3">
        <v>238</v>
      </c>
      <c r="B188" s="3">
        <v>124</v>
      </c>
      <c r="C188" s="46">
        <v>665116</v>
      </c>
      <c r="D188" s="4" t="str">
        <f>TEXT(C188,"000000")</f>
        <v>665116</v>
      </c>
      <c r="E188" s="4">
        <v>665117</v>
      </c>
      <c r="F188" s="4" t="s">
        <v>378</v>
      </c>
      <c r="G188" s="5">
        <v>4996297435464</v>
      </c>
      <c r="H188" s="5">
        <v>8</v>
      </c>
      <c r="I188" s="5" t="str">
        <f>C188&amp;H188</f>
        <v>6651168</v>
      </c>
      <c r="J188" s="5"/>
      <c r="K188" s="5"/>
      <c r="L188" s="4">
        <v>0</v>
      </c>
      <c r="M188" s="4">
        <v>4103</v>
      </c>
      <c r="N188" s="4">
        <v>2700</v>
      </c>
      <c r="O188" s="6">
        <f>IFERROR(1-N188/M188,"-")</f>
        <v>0.34194491835242502</v>
      </c>
      <c r="P188" s="4">
        <v>3848</v>
      </c>
      <c r="Q188" s="4">
        <v>3</v>
      </c>
      <c r="R188" s="4">
        <v>99999</v>
      </c>
      <c r="S188" s="4" t="s">
        <v>422</v>
      </c>
      <c r="T188" s="4" t="s">
        <v>422</v>
      </c>
      <c r="U188" s="4" t="s">
        <v>422</v>
      </c>
      <c r="V188" s="4" t="s">
        <v>422</v>
      </c>
      <c r="W188" s="4" t="s">
        <v>422</v>
      </c>
      <c r="X188" s="4" t="s">
        <v>422</v>
      </c>
      <c r="Y188" s="4">
        <v>0</v>
      </c>
      <c r="Z188" s="4">
        <f>IF(AC188="",Y188,Y188*AC188)</f>
        <v>0</v>
      </c>
      <c r="AA188" s="4">
        <v>311</v>
      </c>
      <c r="AB188" s="4">
        <f>IF(AC188="",AA188,AA188*AC188)</f>
        <v>3110</v>
      </c>
      <c r="AC188" s="4">
        <v>10</v>
      </c>
      <c r="AD188" s="21">
        <f>ROUND(M188*AR188,0)</f>
        <v>4726</v>
      </c>
      <c r="AE188" s="6">
        <f>IFERROR(1-AB188/AD188,"-")</f>
        <v>0.3419382141345747</v>
      </c>
      <c r="AF188" s="33">
        <v>5.75</v>
      </c>
      <c r="AG188" s="4">
        <f>BI188</f>
        <v>9780</v>
      </c>
      <c r="AH188" s="33">
        <f>IFERROR(AG188*AR188,"-")</f>
        <v>11265.111111111111</v>
      </c>
      <c r="AI188" s="6">
        <f>IFERROR(1-AB188/AH188,"-")</f>
        <v>0.7239263803680982</v>
      </c>
      <c r="AJ188" s="7">
        <v>5000</v>
      </c>
      <c r="AK188" s="6">
        <f>1-AB188/AJ188</f>
        <v>0.378</v>
      </c>
      <c r="AL188" s="4">
        <f>AJ188-AB188</f>
        <v>1890</v>
      </c>
      <c r="AM188" s="28"/>
      <c r="AN188" s="6"/>
      <c r="AO188" s="6"/>
      <c r="AP188" s="6" t="str">
        <f>IFERROR(Z188/L188,"-")</f>
        <v>-</v>
      </c>
      <c r="AQ188" s="6">
        <f>IFERROR(AJ188/M188,"-")</f>
        <v>1.2186205215695833</v>
      </c>
      <c r="AR188" s="6">
        <f>IFERROR(AB188/N188,"-")</f>
        <v>1.1518518518518519</v>
      </c>
      <c r="AS188" s="4">
        <v>4750</v>
      </c>
      <c r="AT188" s="6">
        <f>1-AB188/AS188</f>
        <v>0.34526315789473683</v>
      </c>
      <c r="AU188" s="4">
        <f t="shared" si="23"/>
        <v>3</v>
      </c>
      <c r="AV188" s="4">
        <f t="shared" si="24"/>
        <v>99999</v>
      </c>
      <c r="AW188" s="4" t="str">
        <f t="shared" si="25"/>
        <v>-</v>
      </c>
      <c r="AX188" s="4" t="str">
        <f t="shared" si="26"/>
        <v>-</v>
      </c>
      <c r="AY188" s="4" t="str">
        <f t="shared" si="27"/>
        <v>-</v>
      </c>
      <c r="AZ188" s="4" t="str">
        <f t="shared" si="28"/>
        <v>-</v>
      </c>
      <c r="BA188" s="4" t="str">
        <f t="shared" si="29"/>
        <v>-</v>
      </c>
      <c r="BB188" s="4" t="str">
        <f t="shared" si="30"/>
        <v>-</v>
      </c>
      <c r="BC188" s="4" t="s">
        <v>420</v>
      </c>
      <c r="BD188" s="4" t="s">
        <v>681</v>
      </c>
      <c r="BE188" s="4">
        <v>10</v>
      </c>
      <c r="BF188" s="4">
        <v>3</v>
      </c>
      <c r="BG188" s="4" t="s">
        <v>682</v>
      </c>
      <c r="BH188" s="4">
        <v>2934</v>
      </c>
      <c r="BI188" s="4">
        <f>IF(BE188="",BH188,BE188/BF188*BH188)</f>
        <v>9780</v>
      </c>
      <c r="BJ188" s="19">
        <v>4</v>
      </c>
      <c r="BK188" s="19">
        <v>1</v>
      </c>
      <c r="BL188" s="16">
        <v>3</v>
      </c>
      <c r="BM188" t="s">
        <v>422</v>
      </c>
      <c r="BN188" t="str">
        <f t="shared" si="31"/>
        <v>-</v>
      </c>
      <c r="BO188">
        <v>732</v>
      </c>
      <c r="BP188">
        <f t="shared" si="32"/>
        <v>843.15555555555557</v>
      </c>
      <c r="BQ188" t="s">
        <v>525</v>
      </c>
    </row>
    <row r="189" spans="1:69" x14ac:dyDescent="0.4">
      <c r="A189" s="3">
        <v>126</v>
      </c>
      <c r="B189" s="3">
        <v>126</v>
      </c>
      <c r="C189" s="4" t="s">
        <v>99</v>
      </c>
      <c r="D189" s="4" t="str">
        <f>TEXT(C189,"000000")</f>
        <v>J1080X</v>
      </c>
      <c r="E189" s="4" t="s">
        <v>99</v>
      </c>
      <c r="F189" s="4" t="s">
        <v>240</v>
      </c>
      <c r="G189" s="5">
        <v>4996297444282</v>
      </c>
      <c r="H189" s="5"/>
      <c r="I189" s="5"/>
      <c r="J189" s="5">
        <v>1</v>
      </c>
      <c r="K189" s="5">
        <v>1</v>
      </c>
      <c r="L189" s="4">
        <v>0</v>
      </c>
      <c r="M189" s="4">
        <v>371</v>
      </c>
      <c r="N189" s="4">
        <v>274</v>
      </c>
      <c r="O189" s="6">
        <f>IFERROR(1-N189/M189,"-")</f>
        <v>0.26145552560646901</v>
      </c>
      <c r="P189" s="4" t="s">
        <v>422</v>
      </c>
      <c r="Q189" s="4" t="s">
        <v>422</v>
      </c>
      <c r="R189" s="4" t="s">
        <v>422</v>
      </c>
      <c r="S189" s="4" t="s">
        <v>422</v>
      </c>
      <c r="T189" s="4" t="s">
        <v>422</v>
      </c>
      <c r="U189" s="4" t="s">
        <v>422</v>
      </c>
      <c r="V189" s="4" t="s">
        <v>422</v>
      </c>
      <c r="W189" s="4" t="s">
        <v>422</v>
      </c>
      <c r="X189" s="4" t="s">
        <v>422</v>
      </c>
      <c r="Y189" s="4">
        <v>0</v>
      </c>
      <c r="Z189" s="4">
        <f>IF(AC189="",Y189,Y189*AC189)</f>
        <v>0</v>
      </c>
      <c r="AA189" s="4">
        <v>315</v>
      </c>
      <c r="AB189" s="4">
        <f>IF(AC189="",AA189,AA189*AC189)</f>
        <v>315</v>
      </c>
      <c r="AC189" s="4"/>
      <c r="AD189" s="21">
        <f>ROUND(M189*AR189,0)</f>
        <v>427</v>
      </c>
      <c r="AE189" s="6">
        <f>IFERROR(1-AB189/AD189,"-")</f>
        <v>0.26229508196721307</v>
      </c>
      <c r="AF189" s="33">
        <v>1.7500000000000002</v>
      </c>
      <c r="AG189" s="4" t="str">
        <f>BI189</f>
        <v>-</v>
      </c>
      <c r="AH189" s="33" t="str">
        <f>IFERROR(AG189*AR189,"-")</f>
        <v>-</v>
      </c>
      <c r="AI189" s="6" t="str">
        <f>IFERROR(1-AB189/AH189,"-")</f>
        <v>-</v>
      </c>
      <c r="AJ189" s="7">
        <v>520</v>
      </c>
      <c r="AK189" s="6">
        <f>1-AB189/AJ189</f>
        <v>0.39423076923076927</v>
      </c>
      <c r="AL189" s="4">
        <f>AJ189-AB189</f>
        <v>205</v>
      </c>
      <c r="AM189" s="28"/>
      <c r="AN189" s="6"/>
      <c r="AO189" s="6"/>
      <c r="AP189" s="6" t="str">
        <f>IFERROR(Z189/L189,"-")</f>
        <v>-</v>
      </c>
      <c r="AQ189" s="6">
        <f>IFERROR(AJ189/M189,"-")</f>
        <v>1.4016172506738545</v>
      </c>
      <c r="AR189" s="6">
        <f>IFERROR(AB189/N189,"-")</f>
        <v>1.1496350364963503</v>
      </c>
      <c r="AS189" s="4" t="str">
        <f t="shared" si="22"/>
        <v>-</v>
      </c>
      <c r="AT189" s="4"/>
      <c r="AU189" s="4" t="str">
        <f t="shared" si="23"/>
        <v>-</v>
      </c>
      <c r="AV189" s="4" t="str">
        <f t="shared" si="24"/>
        <v>-</v>
      </c>
      <c r="AW189" s="4" t="str">
        <f t="shared" si="25"/>
        <v>-</v>
      </c>
      <c r="AX189" s="4" t="str">
        <f t="shared" si="26"/>
        <v>-</v>
      </c>
      <c r="AY189" s="4" t="str">
        <f t="shared" si="27"/>
        <v>-</v>
      </c>
      <c r="AZ189" s="4" t="str">
        <f t="shared" si="28"/>
        <v>-</v>
      </c>
      <c r="BA189" s="4" t="str">
        <f t="shared" si="29"/>
        <v>-</v>
      </c>
      <c r="BB189" s="4" t="str">
        <f t="shared" si="30"/>
        <v>-</v>
      </c>
      <c r="BC189" s="4">
        <v>0</v>
      </c>
      <c r="BD189" s="4" t="s">
        <v>422</v>
      </c>
      <c r="BE189" s="4"/>
      <c r="BF189" s="4"/>
      <c r="BG189" s="4" t="s">
        <v>422</v>
      </c>
      <c r="BH189" s="4" t="s">
        <v>422</v>
      </c>
      <c r="BI189" s="4" t="str">
        <f>IF(BE189="",BH189,BE189/BF189*BH189)</f>
        <v>-</v>
      </c>
      <c r="BJ189" s="19">
        <v>4</v>
      </c>
      <c r="BK189" s="19">
        <v>1</v>
      </c>
      <c r="BL189" s="16">
        <v>3</v>
      </c>
      <c r="BM189">
        <v>458</v>
      </c>
      <c r="BN189">
        <f t="shared" si="31"/>
        <v>526.53284671532845</v>
      </c>
      <c r="BO189" t="s">
        <v>422</v>
      </c>
      <c r="BP189" t="str">
        <f t="shared" si="32"/>
        <v>-</v>
      </c>
      <c r="BQ189" t="s">
        <v>422</v>
      </c>
    </row>
    <row r="190" spans="1:69" x14ac:dyDescent="0.4">
      <c r="A190" s="3">
        <v>142</v>
      </c>
      <c r="B190" s="3">
        <v>142</v>
      </c>
      <c r="C190" s="4">
        <v>111657</v>
      </c>
      <c r="D190" s="4" t="str">
        <f>TEXT(C190,"000000")</f>
        <v>111657</v>
      </c>
      <c r="E190" s="4">
        <v>111657</v>
      </c>
      <c r="F190" s="4" t="s">
        <v>256</v>
      </c>
      <c r="G190" s="5">
        <v>4996297450948</v>
      </c>
      <c r="H190" s="5"/>
      <c r="I190" s="5"/>
      <c r="J190" s="5">
        <v>1</v>
      </c>
      <c r="K190" s="5">
        <v>1</v>
      </c>
      <c r="L190" s="4">
        <v>0</v>
      </c>
      <c r="M190" s="4">
        <v>585</v>
      </c>
      <c r="N190" s="4">
        <v>291</v>
      </c>
      <c r="O190" s="6">
        <f>IFERROR(1-N190/M190,"-")</f>
        <v>0.50256410256410255</v>
      </c>
      <c r="P190" s="4" t="s">
        <v>422</v>
      </c>
      <c r="Q190" s="4" t="s">
        <v>422</v>
      </c>
      <c r="R190" s="4" t="s">
        <v>422</v>
      </c>
      <c r="S190" s="4" t="s">
        <v>422</v>
      </c>
      <c r="T190" s="4" t="s">
        <v>422</v>
      </c>
      <c r="U190" s="4" t="s">
        <v>422</v>
      </c>
      <c r="V190" s="4" t="s">
        <v>422</v>
      </c>
      <c r="W190" s="4" t="s">
        <v>422</v>
      </c>
      <c r="X190" s="4" t="s">
        <v>422</v>
      </c>
      <c r="Y190" s="4">
        <v>0</v>
      </c>
      <c r="Z190" s="4">
        <f>IF(AC190="",Y190,Y190*AC190)</f>
        <v>0</v>
      </c>
      <c r="AA190" s="4">
        <v>320</v>
      </c>
      <c r="AB190" s="4">
        <f>IF(AC190="",AA190,AA190*AC190)</f>
        <v>320</v>
      </c>
      <c r="AC190" s="4"/>
      <c r="AD190" s="21">
        <f>ROUND(M190*AR190,0)</f>
        <v>643</v>
      </c>
      <c r="AE190" s="6">
        <f>IFERROR(1-AB190/AD190,"-")</f>
        <v>0.50233281493001547</v>
      </c>
      <c r="AF190" s="33">
        <v>0.5</v>
      </c>
      <c r="AG190" s="4">
        <f>BI190</f>
        <v>680</v>
      </c>
      <c r="AH190" s="33">
        <f>IFERROR(AG190*AR190,"-")</f>
        <v>747.76632302405505</v>
      </c>
      <c r="AI190" s="6">
        <f>IFERROR(1-AB190/AH190,"-")</f>
        <v>0.57205882352941173</v>
      </c>
      <c r="AJ190" s="7">
        <v>530</v>
      </c>
      <c r="AK190" s="6">
        <f>1-AB190/AJ190</f>
        <v>0.39622641509433965</v>
      </c>
      <c r="AL190" s="4">
        <f>AJ190-AB190</f>
        <v>210</v>
      </c>
      <c r="AM190" s="28"/>
      <c r="AN190" s="6"/>
      <c r="AO190" s="6"/>
      <c r="AP190" s="6" t="str">
        <f>IFERROR(Z190/L190,"-")</f>
        <v>-</v>
      </c>
      <c r="AQ190" s="6">
        <f>IFERROR(AJ190/M190,"-")</f>
        <v>0.90598290598290598</v>
      </c>
      <c r="AR190" s="6">
        <f>IFERROR(AB190/N190,"-")</f>
        <v>1.0996563573883162</v>
      </c>
      <c r="AS190" s="4" t="str">
        <f t="shared" si="22"/>
        <v>-</v>
      </c>
      <c r="AT190" s="4"/>
      <c r="AU190" s="4" t="str">
        <f t="shared" si="23"/>
        <v>-</v>
      </c>
      <c r="AV190" s="4" t="str">
        <f t="shared" si="24"/>
        <v>-</v>
      </c>
      <c r="AW190" s="4" t="str">
        <f t="shared" si="25"/>
        <v>-</v>
      </c>
      <c r="AX190" s="4" t="str">
        <f t="shared" si="26"/>
        <v>-</v>
      </c>
      <c r="AY190" s="4" t="str">
        <f t="shared" si="27"/>
        <v>-</v>
      </c>
      <c r="AZ190" s="4" t="str">
        <f t="shared" si="28"/>
        <v>-</v>
      </c>
      <c r="BA190" s="4" t="str">
        <f t="shared" si="29"/>
        <v>-</v>
      </c>
      <c r="BB190" s="4" t="str">
        <f t="shared" si="30"/>
        <v>-</v>
      </c>
      <c r="BC190" s="4">
        <v>12693</v>
      </c>
      <c r="BD190" s="4" t="s">
        <v>683</v>
      </c>
      <c r="BE190" s="4">
        <v>1</v>
      </c>
      <c r="BF190" s="4">
        <v>3</v>
      </c>
      <c r="BG190" s="4" t="s">
        <v>684</v>
      </c>
      <c r="BH190" s="4">
        <v>2040</v>
      </c>
      <c r="BI190" s="4">
        <f>IF(BE190="",BH190,BE190/BF190*BH190)</f>
        <v>680</v>
      </c>
      <c r="BJ190" s="19">
        <v>4</v>
      </c>
      <c r="BK190" s="19">
        <v>1</v>
      </c>
      <c r="BL190" s="16">
        <v>3</v>
      </c>
      <c r="BM190">
        <v>409</v>
      </c>
      <c r="BN190">
        <f t="shared" si="31"/>
        <v>449.75945017182136</v>
      </c>
      <c r="BO190">
        <v>656</v>
      </c>
      <c r="BP190">
        <f t="shared" si="32"/>
        <v>721.37457044673545</v>
      </c>
      <c r="BQ190" t="s">
        <v>526</v>
      </c>
    </row>
    <row r="191" spans="1:69" x14ac:dyDescent="0.4">
      <c r="A191" s="3">
        <v>74</v>
      </c>
      <c r="B191" s="3">
        <v>74</v>
      </c>
      <c r="C191" s="4">
        <v>732474</v>
      </c>
      <c r="D191" s="4" t="str">
        <f>TEXT(C191,"000000")</f>
        <v>732474</v>
      </c>
      <c r="E191" s="4">
        <v>763857</v>
      </c>
      <c r="F191" s="4" t="s">
        <v>188</v>
      </c>
      <c r="G191" s="5">
        <v>4996297365082</v>
      </c>
      <c r="H191" s="5"/>
      <c r="I191" s="5"/>
      <c r="J191" s="5">
        <v>1</v>
      </c>
      <c r="K191" s="5">
        <v>1</v>
      </c>
      <c r="L191" s="4">
        <v>0</v>
      </c>
      <c r="M191" s="4">
        <v>624</v>
      </c>
      <c r="N191" s="4">
        <v>299</v>
      </c>
      <c r="O191" s="6">
        <f>IFERROR(1-N191/M191,"-")</f>
        <v>0.52083333333333326</v>
      </c>
      <c r="P191" s="4" t="s">
        <v>422</v>
      </c>
      <c r="Q191" s="4" t="s">
        <v>422</v>
      </c>
      <c r="R191" s="4" t="s">
        <v>422</v>
      </c>
      <c r="S191" s="4" t="s">
        <v>422</v>
      </c>
      <c r="T191" s="4" t="s">
        <v>422</v>
      </c>
      <c r="U191" s="4" t="s">
        <v>422</v>
      </c>
      <c r="V191" s="4" t="s">
        <v>422</v>
      </c>
      <c r="W191" s="4" t="s">
        <v>422</v>
      </c>
      <c r="X191" s="4" t="s">
        <v>422</v>
      </c>
      <c r="Y191" s="4">
        <v>0</v>
      </c>
      <c r="Z191" s="4">
        <f>IF(AC191="",Y191,Y191*AC191)</f>
        <v>0</v>
      </c>
      <c r="AA191" s="4">
        <v>344</v>
      </c>
      <c r="AB191" s="4">
        <f>IF(AC191="",AA191,AA191*AC191)</f>
        <v>344</v>
      </c>
      <c r="AC191" s="4"/>
      <c r="AD191" s="21">
        <f>ROUND(M191*AR191,0)</f>
        <v>718</v>
      </c>
      <c r="AE191" s="6">
        <f>IFERROR(1-AB191/AD191,"-")</f>
        <v>0.52089136490250698</v>
      </c>
      <c r="AF191" s="33">
        <v>29.5</v>
      </c>
      <c r="AG191" s="4">
        <f>BI191</f>
        <v>872</v>
      </c>
      <c r="AH191" s="33">
        <f>IFERROR(AG191*AR191,"-")</f>
        <v>1003.2374581939798</v>
      </c>
      <c r="AI191" s="6">
        <f>IFERROR(1-AB191/AH191,"-")</f>
        <v>0.65711009174311918</v>
      </c>
      <c r="AJ191" s="7">
        <v>700</v>
      </c>
      <c r="AK191" s="6">
        <f>1-AB191/AJ191</f>
        <v>0.50857142857142856</v>
      </c>
      <c r="AL191" s="4">
        <f>AJ191-AB191</f>
        <v>356</v>
      </c>
      <c r="AM191" s="28"/>
      <c r="AN191" s="6"/>
      <c r="AO191" s="6"/>
      <c r="AP191" s="6" t="str">
        <f>IFERROR(Z191/L191,"-")</f>
        <v>-</v>
      </c>
      <c r="AQ191" s="6">
        <f>IFERROR(AJ191/M191,"-")</f>
        <v>1.1217948717948718</v>
      </c>
      <c r="AR191" s="6">
        <f>IFERROR(AB191/N191,"-")</f>
        <v>1.1505016722408026</v>
      </c>
      <c r="AS191" s="4" t="str">
        <f t="shared" si="22"/>
        <v>-</v>
      </c>
      <c r="AT191" s="4"/>
      <c r="AU191" s="4" t="str">
        <f t="shared" si="23"/>
        <v>-</v>
      </c>
      <c r="AV191" s="4" t="str">
        <f t="shared" si="24"/>
        <v>-</v>
      </c>
      <c r="AW191" s="4" t="str">
        <f t="shared" si="25"/>
        <v>-</v>
      </c>
      <c r="AX191" s="4" t="str">
        <f t="shared" si="26"/>
        <v>-</v>
      </c>
      <c r="AY191" s="4" t="str">
        <f t="shared" si="27"/>
        <v>-</v>
      </c>
      <c r="AZ191" s="4" t="str">
        <f t="shared" si="28"/>
        <v>-</v>
      </c>
      <c r="BA191" s="4" t="str">
        <f t="shared" si="29"/>
        <v>-</v>
      </c>
      <c r="BB191" s="4" t="str">
        <f t="shared" si="30"/>
        <v>-</v>
      </c>
      <c r="BC191" s="4" t="s">
        <v>412</v>
      </c>
      <c r="BD191" s="4" t="s">
        <v>685</v>
      </c>
      <c r="BE191" s="4"/>
      <c r="BF191" s="4"/>
      <c r="BG191" s="4" t="s">
        <v>626</v>
      </c>
      <c r="BH191" s="4">
        <v>872</v>
      </c>
      <c r="BI191" s="4">
        <f>IF(BE191="",BH191,BE191/BF191*BH191)</f>
        <v>872</v>
      </c>
      <c r="BJ191" s="19">
        <v>4</v>
      </c>
      <c r="BK191" s="19">
        <v>1</v>
      </c>
      <c r="BL191" s="16">
        <v>3</v>
      </c>
      <c r="BM191">
        <v>618</v>
      </c>
      <c r="BN191">
        <f t="shared" si="31"/>
        <v>711.01003344481603</v>
      </c>
      <c r="BO191">
        <v>836</v>
      </c>
      <c r="BP191">
        <f t="shared" si="32"/>
        <v>961.81939799331099</v>
      </c>
      <c r="BQ191" t="s">
        <v>527</v>
      </c>
    </row>
    <row r="192" spans="1:69" x14ac:dyDescent="0.4">
      <c r="A192" s="3">
        <v>171</v>
      </c>
      <c r="B192" s="3">
        <v>171</v>
      </c>
      <c r="C192" s="46">
        <v>583764</v>
      </c>
      <c r="D192" s="4" t="str">
        <f>TEXT(C192,"000000")</f>
        <v>583764</v>
      </c>
      <c r="E192" s="4">
        <v>583764</v>
      </c>
      <c r="F192" s="4" t="s">
        <v>285</v>
      </c>
      <c r="G192" s="5">
        <v>4996297702016</v>
      </c>
      <c r="H192" s="5"/>
      <c r="I192" s="5"/>
      <c r="J192" s="5">
        <v>2</v>
      </c>
      <c r="K192" s="5">
        <v>2</v>
      </c>
      <c r="L192" s="4">
        <v>0</v>
      </c>
      <c r="M192" s="4">
        <v>549</v>
      </c>
      <c r="N192" s="4">
        <v>320</v>
      </c>
      <c r="O192" s="6">
        <f>IFERROR(1-N192/M192,"-")</f>
        <v>0.41712204007285969</v>
      </c>
      <c r="P192" s="4" t="s">
        <v>422</v>
      </c>
      <c r="Q192" s="4" t="s">
        <v>422</v>
      </c>
      <c r="R192" s="4" t="s">
        <v>422</v>
      </c>
      <c r="S192" s="4" t="s">
        <v>422</v>
      </c>
      <c r="T192" s="4" t="s">
        <v>422</v>
      </c>
      <c r="U192" s="4" t="s">
        <v>422</v>
      </c>
      <c r="V192" s="4" t="s">
        <v>422</v>
      </c>
      <c r="W192" s="4" t="s">
        <v>422</v>
      </c>
      <c r="X192" s="4" t="s">
        <v>422</v>
      </c>
      <c r="Y192" s="4">
        <v>0</v>
      </c>
      <c r="Z192" s="4">
        <f>IF(AC192="",Y192,Y192*AC192)</f>
        <v>0</v>
      </c>
      <c r="AA192" s="4">
        <v>352</v>
      </c>
      <c r="AB192" s="4">
        <f>IF(AC192="",AA192,AA192*AC192)</f>
        <v>352</v>
      </c>
      <c r="AC192" s="4"/>
      <c r="AD192" s="21">
        <f>ROUND(M192*AR192,0)</f>
        <v>604</v>
      </c>
      <c r="AE192" s="6">
        <f>IFERROR(1-AB192/AD192,"-")</f>
        <v>0.41721854304635764</v>
      </c>
      <c r="AF192" s="33">
        <v>4</v>
      </c>
      <c r="AG192" s="4">
        <f>BI192</f>
        <v>980</v>
      </c>
      <c r="AH192" s="33">
        <f>IFERROR(AG192*AR192,"-")</f>
        <v>1078</v>
      </c>
      <c r="AI192" s="6">
        <f>IFERROR(1-AB192/AH192,"-")</f>
        <v>0.67346938775510212</v>
      </c>
      <c r="AJ192" s="7">
        <v>610</v>
      </c>
      <c r="AK192" s="6">
        <f>1-AB192/AJ192</f>
        <v>0.42295081967213111</v>
      </c>
      <c r="AL192" s="4">
        <f>AJ192-AB192</f>
        <v>258</v>
      </c>
      <c r="AM192" s="28"/>
      <c r="AN192" s="6"/>
      <c r="AO192" s="6"/>
      <c r="AP192" s="6" t="str">
        <f>IFERROR(Z192/L192,"-")</f>
        <v>-</v>
      </c>
      <c r="AQ192" s="6">
        <f>IFERROR(AJ192/M192,"-")</f>
        <v>1.1111111111111112</v>
      </c>
      <c r="AR192" s="6">
        <f>IFERROR(AB192/N192,"-")</f>
        <v>1.1000000000000001</v>
      </c>
      <c r="AS192" s="4" t="str">
        <f t="shared" si="22"/>
        <v>-</v>
      </c>
      <c r="AT192" s="4"/>
      <c r="AU192" s="4" t="str">
        <f t="shared" si="23"/>
        <v>-</v>
      </c>
      <c r="AV192" s="4" t="str">
        <f t="shared" si="24"/>
        <v>-</v>
      </c>
      <c r="AW192" s="4" t="str">
        <f t="shared" si="25"/>
        <v>-</v>
      </c>
      <c r="AX192" s="4" t="str">
        <f t="shared" si="26"/>
        <v>-</v>
      </c>
      <c r="AY192" s="4" t="str">
        <f t="shared" si="27"/>
        <v>-</v>
      </c>
      <c r="AZ192" s="4" t="str">
        <f t="shared" si="28"/>
        <v>-</v>
      </c>
      <c r="BA192" s="4" t="str">
        <f t="shared" si="29"/>
        <v>-</v>
      </c>
      <c r="BB192" s="4" t="str">
        <f t="shared" si="30"/>
        <v>-</v>
      </c>
      <c r="BC192" s="4" t="s">
        <v>415</v>
      </c>
      <c r="BD192" s="4" t="s">
        <v>686</v>
      </c>
      <c r="BE192" s="4"/>
      <c r="BF192" s="4"/>
      <c r="BG192" s="4" t="s">
        <v>639</v>
      </c>
      <c r="BH192" s="4">
        <v>980</v>
      </c>
      <c r="BI192" s="4">
        <f>IF(BE192="",BH192,BE192/BF192*BH192)</f>
        <v>980</v>
      </c>
      <c r="BJ192" s="19">
        <v>4</v>
      </c>
      <c r="BK192" s="19">
        <v>1</v>
      </c>
      <c r="BL192" s="16">
        <v>3</v>
      </c>
      <c r="BM192">
        <v>598</v>
      </c>
      <c r="BN192">
        <f t="shared" si="31"/>
        <v>657.80000000000007</v>
      </c>
      <c r="BO192">
        <v>827</v>
      </c>
      <c r="BP192">
        <f t="shared" si="32"/>
        <v>909.7</v>
      </c>
      <c r="BQ192" t="s">
        <v>528</v>
      </c>
    </row>
    <row r="193" spans="1:69" x14ac:dyDescent="0.4">
      <c r="A193" s="3">
        <v>259</v>
      </c>
      <c r="B193" s="3">
        <v>171</v>
      </c>
      <c r="C193" s="46">
        <v>583764</v>
      </c>
      <c r="D193" s="4" t="str">
        <f>TEXT(C193,"000000")</f>
        <v>583764</v>
      </c>
      <c r="E193" s="4">
        <v>583765</v>
      </c>
      <c r="F193" s="4" t="s">
        <v>399</v>
      </c>
      <c r="G193" s="5">
        <v>4996297702016</v>
      </c>
      <c r="H193" s="5">
        <v>8</v>
      </c>
      <c r="I193" s="5" t="str">
        <f>C193&amp;H193</f>
        <v>5837648</v>
      </c>
      <c r="J193" s="5"/>
      <c r="K193" s="5"/>
      <c r="L193" s="4">
        <v>0</v>
      </c>
      <c r="M193" s="4">
        <v>2712</v>
      </c>
      <c r="N193" s="4">
        <v>1600</v>
      </c>
      <c r="O193" s="6">
        <f>IFERROR(1-N193/M193,"-")</f>
        <v>0.41002949852507375</v>
      </c>
      <c r="P193" s="4" t="s">
        <v>422</v>
      </c>
      <c r="Q193" s="4" t="s">
        <v>422</v>
      </c>
      <c r="R193" s="4" t="s">
        <v>422</v>
      </c>
      <c r="S193" s="4" t="s">
        <v>422</v>
      </c>
      <c r="T193" s="4" t="s">
        <v>422</v>
      </c>
      <c r="U193" s="4" t="s">
        <v>422</v>
      </c>
      <c r="V193" s="4" t="s">
        <v>422</v>
      </c>
      <c r="W193" s="4" t="s">
        <v>422</v>
      </c>
      <c r="X193" s="4" t="s">
        <v>422</v>
      </c>
      <c r="Y193" s="4">
        <v>0</v>
      </c>
      <c r="Z193" s="4">
        <f>IF(AC193="",Y193,Y193*AC193)</f>
        <v>0</v>
      </c>
      <c r="AA193" s="4">
        <v>352</v>
      </c>
      <c r="AB193" s="4">
        <f>IF(AC193="",AA193,AA193*AC193)</f>
        <v>1760</v>
      </c>
      <c r="AC193" s="4">
        <v>5</v>
      </c>
      <c r="AD193" s="21">
        <f>ROUND(M193*AR193,0)</f>
        <v>2983</v>
      </c>
      <c r="AE193" s="6">
        <f>IFERROR(1-AB193/AD193,"-")</f>
        <v>0.40998994301039227</v>
      </c>
      <c r="AF193" s="33">
        <v>4</v>
      </c>
      <c r="AG193" s="4">
        <f>BI193</f>
        <v>4900</v>
      </c>
      <c r="AH193" s="33">
        <f>IFERROR(AG193*AR193,"-")</f>
        <v>5390</v>
      </c>
      <c r="AI193" s="6">
        <f>IFERROR(1-AB193/AH193,"-")</f>
        <v>0.67346938775510212</v>
      </c>
      <c r="AJ193" s="7">
        <v>2800</v>
      </c>
      <c r="AK193" s="6">
        <f>1-AB193/AJ193</f>
        <v>0.37142857142857144</v>
      </c>
      <c r="AL193" s="4">
        <f>AJ193-AB193</f>
        <v>1040</v>
      </c>
      <c r="AM193" s="28"/>
      <c r="AN193" s="6"/>
      <c r="AO193" s="6"/>
      <c r="AP193" s="6" t="str">
        <f>IFERROR(Z193/L193,"-")</f>
        <v>-</v>
      </c>
      <c r="AQ193" s="6">
        <f>IFERROR(AJ193/M193,"-")</f>
        <v>1.0324483775811208</v>
      </c>
      <c r="AR193" s="6">
        <f>IFERROR(AB193/N193,"-")</f>
        <v>1.1000000000000001</v>
      </c>
      <c r="AS193" s="4" t="str">
        <f t="shared" si="22"/>
        <v>-</v>
      </c>
      <c r="AT193" s="4"/>
      <c r="AU193" s="4" t="str">
        <f t="shared" si="23"/>
        <v>-</v>
      </c>
      <c r="AV193" s="4" t="str">
        <f t="shared" si="24"/>
        <v>-</v>
      </c>
      <c r="AW193" s="4" t="str">
        <f t="shared" si="25"/>
        <v>-</v>
      </c>
      <c r="AX193" s="4" t="str">
        <f t="shared" si="26"/>
        <v>-</v>
      </c>
      <c r="AY193" s="4" t="str">
        <f t="shared" si="27"/>
        <v>-</v>
      </c>
      <c r="AZ193" s="4" t="str">
        <f t="shared" si="28"/>
        <v>-</v>
      </c>
      <c r="BA193" s="4" t="str">
        <f t="shared" si="29"/>
        <v>-</v>
      </c>
      <c r="BB193" s="4" t="str">
        <f t="shared" si="30"/>
        <v>-</v>
      </c>
      <c r="BC193" s="4" t="s">
        <v>415</v>
      </c>
      <c r="BD193" s="4" t="s">
        <v>686</v>
      </c>
      <c r="BE193" s="4">
        <v>5</v>
      </c>
      <c r="BF193" s="4">
        <v>1</v>
      </c>
      <c r="BG193" s="4" t="s">
        <v>639</v>
      </c>
      <c r="BH193" s="4">
        <v>980</v>
      </c>
      <c r="BI193" s="4">
        <f>IF(BE193="",BH193,BE193/BF193*BH193)</f>
        <v>4900</v>
      </c>
      <c r="BJ193" s="19">
        <v>4</v>
      </c>
      <c r="BK193" s="19">
        <v>1</v>
      </c>
      <c r="BL193" s="16">
        <v>3</v>
      </c>
      <c r="BM193">
        <v>598</v>
      </c>
      <c r="BN193">
        <f t="shared" si="31"/>
        <v>657.80000000000007</v>
      </c>
      <c r="BO193">
        <v>827</v>
      </c>
      <c r="BP193">
        <f t="shared" si="32"/>
        <v>909.7</v>
      </c>
      <c r="BQ193" t="s">
        <v>528</v>
      </c>
    </row>
    <row r="194" spans="1:69" x14ac:dyDescent="0.4">
      <c r="A194" s="3">
        <v>109</v>
      </c>
      <c r="B194" s="3">
        <v>109</v>
      </c>
      <c r="C194" s="4">
        <v>424828</v>
      </c>
      <c r="D194" s="4" t="str">
        <f>TEXT(C194,"000000")</f>
        <v>424828</v>
      </c>
      <c r="E194" s="4">
        <v>424828</v>
      </c>
      <c r="F194" s="4" t="s">
        <v>223</v>
      </c>
      <c r="G194" s="5">
        <v>4996297406327</v>
      </c>
      <c r="H194" s="5"/>
      <c r="I194" s="5"/>
      <c r="J194" s="5">
        <v>1</v>
      </c>
      <c r="K194" s="5">
        <v>1</v>
      </c>
      <c r="L194" s="4">
        <v>0</v>
      </c>
      <c r="M194" s="4">
        <v>4540</v>
      </c>
      <c r="N194" s="4">
        <v>1920</v>
      </c>
      <c r="O194" s="6">
        <f>IFERROR(1-N194/M194,"-")</f>
        <v>0.5770925110132159</v>
      </c>
      <c r="P194" s="4" t="s">
        <v>422</v>
      </c>
      <c r="Q194" s="4" t="s">
        <v>422</v>
      </c>
      <c r="R194" s="4" t="s">
        <v>422</v>
      </c>
      <c r="S194" s="4" t="s">
        <v>422</v>
      </c>
      <c r="T194" s="4" t="s">
        <v>422</v>
      </c>
      <c r="U194" s="4" t="s">
        <v>422</v>
      </c>
      <c r="V194" s="4" t="s">
        <v>422</v>
      </c>
      <c r="W194" s="4" t="s">
        <v>422</v>
      </c>
      <c r="X194" s="4" t="s">
        <v>422</v>
      </c>
      <c r="Y194" s="4">
        <v>0</v>
      </c>
      <c r="Z194" s="4">
        <f>IF(AC194="",Y194,Y194*AC194)</f>
        <v>0</v>
      </c>
      <c r="AA194" s="4">
        <v>368</v>
      </c>
      <c r="AB194" s="4">
        <f>IF(AC194="",AA194,AA194*AC194)</f>
        <v>2208</v>
      </c>
      <c r="AC194" s="4">
        <v>6</v>
      </c>
      <c r="AD194" s="21">
        <f>ROUND(M194*AR194,0)</f>
        <v>5221</v>
      </c>
      <c r="AE194" s="6">
        <f>IFERROR(1-AB194/AD194,"-")</f>
        <v>0.5770925110132159</v>
      </c>
      <c r="AF194" s="33">
        <v>0</v>
      </c>
      <c r="AG194" s="4" t="str">
        <f>BI194</f>
        <v>-</v>
      </c>
      <c r="AH194" s="33" t="str">
        <f>IFERROR(AG194*AR194,"-")</f>
        <v>-</v>
      </c>
      <c r="AI194" s="6" t="str">
        <f>IFERROR(1-AB194/AH194,"-")</f>
        <v>-</v>
      </c>
      <c r="AJ194" s="7">
        <v>4550</v>
      </c>
      <c r="AK194" s="6">
        <f>1-AB194/AJ194</f>
        <v>0.51472527472527474</v>
      </c>
      <c r="AL194" s="4">
        <f>AJ194-AB194</f>
        <v>2342</v>
      </c>
      <c r="AM194" s="28"/>
      <c r="AN194" s="6"/>
      <c r="AO194" s="6"/>
      <c r="AP194" s="6" t="str">
        <f>IFERROR(Z194/L194,"-")</f>
        <v>-</v>
      </c>
      <c r="AQ194" s="6">
        <f>IFERROR(AJ194/M194,"-")</f>
        <v>1.0022026431718061</v>
      </c>
      <c r="AR194" s="6">
        <f>IFERROR(AB194/N194,"-")</f>
        <v>1.1499999999999999</v>
      </c>
      <c r="AS194" s="4" t="str">
        <f t="shared" si="22"/>
        <v>-</v>
      </c>
      <c r="AT194" s="4"/>
      <c r="AU194" s="4" t="str">
        <f t="shared" si="23"/>
        <v>-</v>
      </c>
      <c r="AV194" s="4" t="str">
        <f t="shared" si="24"/>
        <v>-</v>
      </c>
      <c r="AW194" s="4" t="str">
        <f t="shared" si="25"/>
        <v>-</v>
      </c>
      <c r="AX194" s="4" t="str">
        <f t="shared" si="26"/>
        <v>-</v>
      </c>
      <c r="AY194" s="4" t="str">
        <f t="shared" si="27"/>
        <v>-</v>
      </c>
      <c r="AZ194" s="4" t="str">
        <f t="shared" si="28"/>
        <v>-</v>
      </c>
      <c r="BA194" s="4" t="str">
        <f t="shared" si="29"/>
        <v>-</v>
      </c>
      <c r="BB194" s="4" t="str">
        <f t="shared" si="30"/>
        <v>-</v>
      </c>
      <c r="BC194" s="4">
        <v>0</v>
      </c>
      <c r="BD194" s="4" t="s">
        <v>422</v>
      </c>
      <c r="BE194" s="4"/>
      <c r="BF194" s="4"/>
      <c r="BG194" s="4" t="s">
        <v>422</v>
      </c>
      <c r="BH194" s="4" t="s">
        <v>422</v>
      </c>
      <c r="BI194" s="4" t="str">
        <f>IF(BE194="",BH194,BE194/BF194*BH194)</f>
        <v>-</v>
      </c>
      <c r="BJ194" s="19">
        <v>8</v>
      </c>
      <c r="BK194" s="19">
        <v>8</v>
      </c>
      <c r="BL194" s="16">
        <v>3</v>
      </c>
      <c r="BM194" t="s">
        <v>422</v>
      </c>
      <c r="BN194" t="str">
        <f t="shared" si="31"/>
        <v>-</v>
      </c>
      <c r="BO194" t="s">
        <v>422</v>
      </c>
      <c r="BP194" t="str">
        <f t="shared" si="32"/>
        <v>-</v>
      </c>
      <c r="BQ194" t="s">
        <v>422</v>
      </c>
    </row>
    <row r="195" spans="1:69" x14ac:dyDescent="0.4">
      <c r="A195" s="3">
        <v>140</v>
      </c>
      <c r="B195" s="3">
        <v>140</v>
      </c>
      <c r="C195" s="46">
        <v>665119</v>
      </c>
      <c r="D195" s="4" t="str">
        <f>TEXT(C195,"000000")</f>
        <v>665119</v>
      </c>
      <c r="E195" s="4">
        <v>665119</v>
      </c>
      <c r="F195" s="4" t="s">
        <v>254</v>
      </c>
      <c r="G195" s="5">
        <v>4996297450627</v>
      </c>
      <c r="H195" s="5"/>
      <c r="I195" s="5"/>
      <c r="J195" s="5">
        <v>2</v>
      </c>
      <c r="K195" s="5">
        <v>2</v>
      </c>
      <c r="L195" s="4">
        <v>0</v>
      </c>
      <c r="M195" s="4">
        <v>508</v>
      </c>
      <c r="N195" s="4">
        <v>337</v>
      </c>
      <c r="O195" s="6">
        <f>IFERROR(1-N195/M195,"-")</f>
        <v>0.33661417322834641</v>
      </c>
      <c r="P195" s="4" t="s">
        <v>422</v>
      </c>
      <c r="Q195" s="4" t="s">
        <v>422</v>
      </c>
      <c r="R195" s="4" t="s">
        <v>422</v>
      </c>
      <c r="S195" s="4" t="s">
        <v>422</v>
      </c>
      <c r="T195" s="4" t="s">
        <v>422</v>
      </c>
      <c r="U195" s="4" t="s">
        <v>422</v>
      </c>
      <c r="V195" s="4" t="s">
        <v>422</v>
      </c>
      <c r="W195" s="4" t="s">
        <v>422</v>
      </c>
      <c r="X195" s="4" t="s">
        <v>422</v>
      </c>
      <c r="Y195" s="4">
        <v>0</v>
      </c>
      <c r="Z195" s="4">
        <f>IF(AC195="",Y195,Y195*AC195)</f>
        <v>0</v>
      </c>
      <c r="AA195" s="4">
        <v>371</v>
      </c>
      <c r="AB195" s="4">
        <f>IF(AC195="",AA195,AA195*AC195)</f>
        <v>371</v>
      </c>
      <c r="AC195" s="4"/>
      <c r="AD195" s="21">
        <f>ROUND(M195*AR195,0)</f>
        <v>559</v>
      </c>
      <c r="AE195" s="6">
        <f>IFERROR(1-AB195/AD195,"-")</f>
        <v>0.3363148479427549</v>
      </c>
      <c r="AF195" s="33">
        <v>189.25</v>
      </c>
      <c r="AG195" s="4">
        <f>BI195</f>
        <v>903</v>
      </c>
      <c r="AH195" s="33">
        <f>IFERROR(AG195*AR195,"-")</f>
        <v>994.10385756676556</v>
      </c>
      <c r="AI195" s="6">
        <f>IFERROR(1-AB195/AH195,"-")</f>
        <v>0.62679955703211521</v>
      </c>
      <c r="AJ195" s="7">
        <v>610</v>
      </c>
      <c r="AK195" s="6">
        <f>1-AB195/AJ195</f>
        <v>0.3918032786885246</v>
      </c>
      <c r="AL195" s="4">
        <f>AJ195-AB195</f>
        <v>239</v>
      </c>
      <c r="AM195" s="28"/>
      <c r="AN195" s="6"/>
      <c r="AO195" s="6"/>
      <c r="AP195" s="6" t="str">
        <f>IFERROR(Z195/L195,"-")</f>
        <v>-</v>
      </c>
      <c r="AQ195" s="6">
        <f>IFERROR(AJ195/M195,"-")</f>
        <v>1.2007874015748032</v>
      </c>
      <c r="AR195" s="6">
        <f>IFERROR(AB195/N195,"-")</f>
        <v>1.1008902077151335</v>
      </c>
      <c r="AS195" s="4" t="str">
        <f t="shared" si="22"/>
        <v>-</v>
      </c>
      <c r="AT195" s="4"/>
      <c r="AU195" s="4" t="str">
        <f t="shared" si="23"/>
        <v>-</v>
      </c>
      <c r="AV195" s="4" t="str">
        <f t="shared" si="24"/>
        <v>-</v>
      </c>
      <c r="AW195" s="4" t="str">
        <f t="shared" si="25"/>
        <v>-</v>
      </c>
      <c r="AX195" s="4" t="str">
        <f t="shared" si="26"/>
        <v>-</v>
      </c>
      <c r="AY195" s="4" t="str">
        <f t="shared" si="27"/>
        <v>-</v>
      </c>
      <c r="AZ195" s="4" t="str">
        <f t="shared" si="28"/>
        <v>-</v>
      </c>
      <c r="BA195" s="4" t="str">
        <f t="shared" si="29"/>
        <v>-</v>
      </c>
      <c r="BB195" s="4" t="str">
        <f t="shared" si="30"/>
        <v>-</v>
      </c>
      <c r="BC195" s="4">
        <v>12663</v>
      </c>
      <c r="BD195" s="4" t="s">
        <v>687</v>
      </c>
      <c r="BE195" s="4">
        <v>10</v>
      </c>
      <c r="BF195" s="4">
        <v>100</v>
      </c>
      <c r="BG195" s="4" t="s">
        <v>688</v>
      </c>
      <c r="BH195" s="4">
        <v>9030</v>
      </c>
      <c r="BI195" s="4">
        <f>IF(BE195="",BH195,BE195/BF195*BH195)</f>
        <v>903</v>
      </c>
      <c r="BJ195" s="19">
        <v>4</v>
      </c>
      <c r="BK195" s="19">
        <v>1</v>
      </c>
      <c r="BL195" s="16">
        <v>3</v>
      </c>
      <c r="BM195">
        <v>427</v>
      </c>
      <c r="BN195">
        <f t="shared" si="31"/>
        <v>470.080118694362</v>
      </c>
      <c r="BO195">
        <v>789</v>
      </c>
      <c r="BP195">
        <f t="shared" si="32"/>
        <v>868.60237388724033</v>
      </c>
      <c r="BQ195" t="s">
        <v>529</v>
      </c>
    </row>
    <row r="196" spans="1:69" x14ac:dyDescent="0.4">
      <c r="A196" s="3">
        <v>240</v>
      </c>
      <c r="B196" s="3">
        <v>140</v>
      </c>
      <c r="C196" s="46">
        <v>665119</v>
      </c>
      <c r="D196" s="4" t="str">
        <f>TEXT(C196,"000000")</f>
        <v>665119</v>
      </c>
      <c r="E196" s="4">
        <v>665120</v>
      </c>
      <c r="F196" s="4" t="s">
        <v>380</v>
      </c>
      <c r="G196" s="5">
        <v>4996297450627</v>
      </c>
      <c r="H196" s="5">
        <v>8</v>
      </c>
      <c r="I196" s="5" t="str">
        <f>C196&amp;H196</f>
        <v>6651198</v>
      </c>
      <c r="J196" s="5"/>
      <c r="K196" s="5"/>
      <c r="L196" s="4">
        <v>0</v>
      </c>
      <c r="M196" s="4">
        <v>4510</v>
      </c>
      <c r="N196" s="4">
        <v>3370</v>
      </c>
      <c r="O196" s="6">
        <f>IFERROR(1-N196/M196,"-")</f>
        <v>0.25277161862527719</v>
      </c>
      <c r="P196" s="4">
        <v>4218</v>
      </c>
      <c r="Q196" s="4">
        <v>2</v>
      </c>
      <c r="R196" s="4">
        <v>99999</v>
      </c>
      <c r="S196" s="4" t="s">
        <v>422</v>
      </c>
      <c r="T196" s="4" t="s">
        <v>422</v>
      </c>
      <c r="U196" s="4" t="s">
        <v>422</v>
      </c>
      <c r="V196" s="4" t="s">
        <v>422</v>
      </c>
      <c r="W196" s="4" t="s">
        <v>422</v>
      </c>
      <c r="X196" s="4" t="s">
        <v>422</v>
      </c>
      <c r="Y196" s="4">
        <v>0</v>
      </c>
      <c r="Z196" s="4">
        <f>IF(AC196="",Y196,Y196*AC196)</f>
        <v>0</v>
      </c>
      <c r="AA196" s="4">
        <v>371</v>
      </c>
      <c r="AB196" s="4">
        <f>IF(AC196="",AA196,AA196*AC196)</f>
        <v>3710</v>
      </c>
      <c r="AC196" s="4">
        <v>10</v>
      </c>
      <c r="AD196" s="21">
        <f>ROUND(M196*AR196,0)</f>
        <v>4965</v>
      </c>
      <c r="AE196" s="6">
        <f>IFERROR(1-AB196/AD196,"-")</f>
        <v>0.25276938569989926</v>
      </c>
      <c r="AF196" s="33">
        <v>189.25</v>
      </c>
      <c r="AG196" s="4">
        <f>BI196</f>
        <v>9030</v>
      </c>
      <c r="AH196" s="33">
        <f>IFERROR(AG196*AR196,"-")</f>
        <v>9941.0385756676551</v>
      </c>
      <c r="AI196" s="6">
        <f>IFERROR(1-AB196/AH196,"-")</f>
        <v>0.62679955703211521</v>
      </c>
      <c r="AJ196" s="7">
        <v>5700</v>
      </c>
      <c r="AK196" s="6">
        <f>1-AB196/AJ196</f>
        <v>0.34912280701754383</v>
      </c>
      <c r="AL196" s="4">
        <f>AJ196-AB196</f>
        <v>1990</v>
      </c>
      <c r="AM196" s="28"/>
      <c r="AN196" s="6"/>
      <c r="AO196" s="6"/>
      <c r="AP196" s="6" t="str">
        <f>IFERROR(Z196/L196,"-")</f>
        <v>-</v>
      </c>
      <c r="AQ196" s="6">
        <f>IFERROR(AJ196/M196,"-")</f>
        <v>1.2638580931263859</v>
      </c>
      <c r="AR196" s="6">
        <f>IFERROR(AB196/N196,"-")</f>
        <v>1.1008902077151335</v>
      </c>
      <c r="AS196" s="4">
        <v>5415</v>
      </c>
      <c r="AT196" s="6">
        <f>1-AB196/AS196</f>
        <v>0.31486611265004616</v>
      </c>
      <c r="AU196" s="4">
        <f t="shared" si="23"/>
        <v>2</v>
      </c>
      <c r="AV196" s="4">
        <f t="shared" si="24"/>
        <v>99999</v>
      </c>
      <c r="AW196" s="4" t="str">
        <f t="shared" si="25"/>
        <v>-</v>
      </c>
      <c r="AX196" s="4" t="str">
        <f t="shared" si="26"/>
        <v>-</v>
      </c>
      <c r="AY196" s="4" t="str">
        <f t="shared" si="27"/>
        <v>-</v>
      </c>
      <c r="AZ196" s="4" t="str">
        <f t="shared" si="28"/>
        <v>-</v>
      </c>
      <c r="BA196" s="4" t="str">
        <f t="shared" si="29"/>
        <v>-</v>
      </c>
      <c r="BB196" s="4" t="str">
        <f t="shared" si="30"/>
        <v>-</v>
      </c>
      <c r="BC196" s="4">
        <v>12663</v>
      </c>
      <c r="BD196" s="4" t="s">
        <v>687</v>
      </c>
      <c r="BE196" s="4"/>
      <c r="BF196" s="4"/>
      <c r="BG196" s="4" t="s">
        <v>688</v>
      </c>
      <c r="BH196" s="4">
        <v>9030</v>
      </c>
      <c r="BI196" s="4">
        <f>IF(BE196="",BH196,BE196/BF196*BH196)</f>
        <v>9030</v>
      </c>
      <c r="BJ196" s="19">
        <v>4</v>
      </c>
      <c r="BK196" s="19">
        <v>1</v>
      </c>
      <c r="BL196" s="16">
        <v>3</v>
      </c>
      <c r="BM196">
        <v>427</v>
      </c>
      <c r="BN196">
        <f t="shared" si="31"/>
        <v>470.080118694362</v>
      </c>
      <c r="BO196">
        <v>789</v>
      </c>
      <c r="BP196">
        <f t="shared" si="32"/>
        <v>868.60237388724033</v>
      </c>
      <c r="BQ196" t="s">
        <v>529</v>
      </c>
    </row>
    <row r="197" spans="1:69" x14ac:dyDescent="0.4">
      <c r="A197" s="3">
        <v>141</v>
      </c>
      <c r="B197" s="3">
        <v>141</v>
      </c>
      <c r="C197" s="46">
        <v>665121</v>
      </c>
      <c r="D197" s="4" t="str">
        <f>TEXT(C197,"000000")</f>
        <v>665121</v>
      </c>
      <c r="E197" s="4">
        <v>665121</v>
      </c>
      <c r="F197" s="4" t="s">
        <v>255</v>
      </c>
      <c r="G197" s="5">
        <v>4996297450641</v>
      </c>
      <c r="H197" s="5"/>
      <c r="I197" s="5"/>
      <c r="J197" s="5">
        <v>2</v>
      </c>
      <c r="K197" s="5">
        <v>2</v>
      </c>
      <c r="L197" s="4">
        <v>0</v>
      </c>
      <c r="M197" s="4">
        <v>508</v>
      </c>
      <c r="N197" s="4">
        <v>337</v>
      </c>
      <c r="O197" s="6">
        <f>IFERROR(1-N197/M197,"-")</f>
        <v>0.33661417322834641</v>
      </c>
      <c r="P197" s="4" t="s">
        <v>422</v>
      </c>
      <c r="Q197" s="4" t="s">
        <v>422</v>
      </c>
      <c r="R197" s="4" t="s">
        <v>422</v>
      </c>
      <c r="S197" s="4" t="s">
        <v>422</v>
      </c>
      <c r="T197" s="4" t="s">
        <v>422</v>
      </c>
      <c r="U197" s="4" t="s">
        <v>422</v>
      </c>
      <c r="V197" s="4" t="s">
        <v>422</v>
      </c>
      <c r="W197" s="4" t="s">
        <v>422</v>
      </c>
      <c r="X197" s="4" t="s">
        <v>422</v>
      </c>
      <c r="Y197" s="4">
        <v>0</v>
      </c>
      <c r="Z197" s="4">
        <f>IF(AC197="",Y197,Y197*AC197)</f>
        <v>0</v>
      </c>
      <c r="AA197" s="4">
        <v>371</v>
      </c>
      <c r="AB197" s="4">
        <f>IF(AC197="",AA197,AA197*AC197)</f>
        <v>371</v>
      </c>
      <c r="AC197" s="4"/>
      <c r="AD197" s="21">
        <f>ROUND(M197*AR197,0)</f>
        <v>559</v>
      </c>
      <c r="AE197" s="6">
        <f>IFERROR(1-AB197/AD197,"-")</f>
        <v>0.3363148479427549</v>
      </c>
      <c r="AF197" s="33">
        <v>466</v>
      </c>
      <c r="AG197" s="4">
        <f>BI197</f>
        <v>903</v>
      </c>
      <c r="AH197" s="33">
        <f>IFERROR(AG197*AR197,"-")</f>
        <v>994.10385756676556</v>
      </c>
      <c r="AI197" s="6">
        <f>IFERROR(1-AB197/AH197,"-")</f>
        <v>0.62679955703211521</v>
      </c>
      <c r="AJ197" s="7">
        <v>610</v>
      </c>
      <c r="AK197" s="6">
        <f>1-AB197/AJ197</f>
        <v>0.3918032786885246</v>
      </c>
      <c r="AL197" s="4">
        <f>AJ197-AB197</f>
        <v>239</v>
      </c>
      <c r="AM197" s="28"/>
      <c r="AN197" s="6"/>
      <c r="AO197" s="6"/>
      <c r="AP197" s="6" t="str">
        <f>IFERROR(Z197/L197,"-")</f>
        <v>-</v>
      </c>
      <c r="AQ197" s="6">
        <f>IFERROR(AJ197/M197,"-")</f>
        <v>1.2007874015748032</v>
      </c>
      <c r="AR197" s="6">
        <f>IFERROR(AB197/N197,"-")</f>
        <v>1.1008902077151335</v>
      </c>
      <c r="AS197" s="4" t="str">
        <f t="shared" ref="AS197:AS260" si="33">IFERROR(ROUND($AJ197*P197/$M197,0),"-")</f>
        <v>-</v>
      </c>
      <c r="AT197" s="4"/>
      <c r="AU197" s="4" t="str">
        <f t="shared" ref="AU197:AU260" si="34">IF(Q197="","-",Q197)</f>
        <v>-</v>
      </c>
      <c r="AV197" s="4" t="str">
        <f t="shared" ref="AV197:AV260" si="35">IF(R197="","-",R197)</f>
        <v>-</v>
      </c>
      <c r="AW197" s="4" t="str">
        <f t="shared" ref="AW197:AW260" si="36">IFERROR(ROUND($AJ197*S197/$M197,0),"-")</f>
        <v>-</v>
      </c>
      <c r="AX197" s="4" t="str">
        <f t="shared" ref="AX197:AX260" si="37">IF(T197="","-",T197)</f>
        <v>-</v>
      </c>
      <c r="AY197" s="4" t="str">
        <f t="shared" ref="AY197:AY260" si="38">IF(U197="","-",U197)</f>
        <v>-</v>
      </c>
      <c r="AZ197" s="4" t="str">
        <f t="shared" ref="AZ197:AZ260" si="39">IFERROR(ROUND($AJ197*V197/$M197,0),"-")</f>
        <v>-</v>
      </c>
      <c r="BA197" s="4" t="str">
        <f t="shared" ref="BA197:BA260" si="40">IF(W197="","-",W197)</f>
        <v>-</v>
      </c>
      <c r="BB197" s="4" t="str">
        <f t="shared" ref="BB197:BB260" si="41">IF(X197="","-",X197)</f>
        <v>-</v>
      </c>
      <c r="BC197" s="4">
        <v>12663</v>
      </c>
      <c r="BD197" s="4" t="s">
        <v>689</v>
      </c>
      <c r="BE197" s="4">
        <v>10</v>
      </c>
      <c r="BF197" s="4">
        <v>100</v>
      </c>
      <c r="BG197" s="4" t="s">
        <v>688</v>
      </c>
      <c r="BH197" s="4">
        <v>9030</v>
      </c>
      <c r="BI197" s="4">
        <f>IF(BE197="",BH197,BE197/BF197*BH197)</f>
        <v>903</v>
      </c>
      <c r="BJ197" s="19">
        <v>4</v>
      </c>
      <c r="BK197" s="19">
        <v>1</v>
      </c>
      <c r="BL197" s="16">
        <v>3</v>
      </c>
      <c r="BM197">
        <v>427</v>
      </c>
      <c r="BN197">
        <f t="shared" ref="BN197:BN260" si="42">IFERROR(BM197*AR197,"-")</f>
        <v>470.080118694362</v>
      </c>
      <c r="BO197">
        <v>789</v>
      </c>
      <c r="BP197">
        <f t="shared" ref="BP197:BP260" si="43">IFERROR(BO197*AR197,"-")</f>
        <v>868.60237388724033</v>
      </c>
      <c r="BQ197" t="s">
        <v>530</v>
      </c>
    </row>
    <row r="198" spans="1:69" x14ac:dyDescent="0.4">
      <c r="A198" s="3">
        <v>241</v>
      </c>
      <c r="B198" s="3">
        <v>141</v>
      </c>
      <c r="C198" s="46">
        <v>665121</v>
      </c>
      <c r="D198" s="4" t="str">
        <f>TEXT(C198,"000000")</f>
        <v>665121</v>
      </c>
      <c r="E198" s="4">
        <v>665122</v>
      </c>
      <c r="F198" s="4" t="s">
        <v>381</v>
      </c>
      <c r="G198" s="5">
        <v>4996297450641</v>
      </c>
      <c r="H198" s="5">
        <v>8</v>
      </c>
      <c r="I198" s="5" t="str">
        <f>C198&amp;H198</f>
        <v>6651218</v>
      </c>
      <c r="J198" s="5"/>
      <c r="K198" s="5"/>
      <c r="L198" s="4">
        <v>0</v>
      </c>
      <c r="M198" s="4">
        <v>4545</v>
      </c>
      <c r="N198" s="4">
        <v>3370</v>
      </c>
      <c r="O198" s="6">
        <f>IFERROR(1-N198/M198,"-")</f>
        <v>0.25852585258525851</v>
      </c>
      <c r="P198" s="4">
        <v>4252</v>
      </c>
      <c r="Q198" s="4">
        <v>2</v>
      </c>
      <c r="R198" s="4">
        <v>99999</v>
      </c>
      <c r="S198" s="4" t="s">
        <v>422</v>
      </c>
      <c r="T198" s="4" t="s">
        <v>422</v>
      </c>
      <c r="U198" s="4" t="s">
        <v>422</v>
      </c>
      <c r="V198" s="4" t="s">
        <v>422</v>
      </c>
      <c r="W198" s="4" t="s">
        <v>422</v>
      </c>
      <c r="X198" s="4" t="s">
        <v>422</v>
      </c>
      <c r="Y198" s="4">
        <v>0</v>
      </c>
      <c r="Z198" s="4">
        <f>IF(AC198="",Y198,Y198*AC198)</f>
        <v>0</v>
      </c>
      <c r="AA198" s="4">
        <v>371</v>
      </c>
      <c r="AB198" s="4">
        <f>IF(AC198="",AA198,AA198*AC198)</f>
        <v>3710</v>
      </c>
      <c r="AC198" s="4">
        <v>10</v>
      </c>
      <c r="AD198" s="21">
        <f>ROUND(M198*AR198,0)</f>
        <v>5004</v>
      </c>
      <c r="AE198" s="6">
        <f>IFERROR(1-AB198/AD198,"-")</f>
        <v>0.25859312549960034</v>
      </c>
      <c r="AF198" s="33">
        <v>466</v>
      </c>
      <c r="AG198" s="4">
        <f>BI198</f>
        <v>9030</v>
      </c>
      <c r="AH198" s="33">
        <f>IFERROR(AG198*AR198,"-")</f>
        <v>9941.0385756676551</v>
      </c>
      <c r="AI198" s="6">
        <f>IFERROR(1-AB198/AH198,"-")</f>
        <v>0.62679955703211521</v>
      </c>
      <c r="AJ198" s="7">
        <v>5700</v>
      </c>
      <c r="AK198" s="6">
        <f>1-AB198/AJ198</f>
        <v>0.34912280701754383</v>
      </c>
      <c r="AL198" s="4">
        <f>AJ198-AB198</f>
        <v>1990</v>
      </c>
      <c r="AM198" s="28"/>
      <c r="AN198" s="6"/>
      <c r="AO198" s="6"/>
      <c r="AP198" s="6" t="str">
        <f>IFERROR(Z198/L198,"-")</f>
        <v>-</v>
      </c>
      <c r="AQ198" s="6">
        <f>IFERROR(AJ198/M198,"-")</f>
        <v>1.2541254125412542</v>
      </c>
      <c r="AR198" s="6">
        <f>IFERROR(AB198/N198,"-")</f>
        <v>1.1008902077151335</v>
      </c>
      <c r="AS198" s="4">
        <v>5415</v>
      </c>
      <c r="AT198" s="6">
        <f>1-AB198/AS198</f>
        <v>0.31486611265004616</v>
      </c>
      <c r="AU198" s="4">
        <f t="shared" si="34"/>
        <v>2</v>
      </c>
      <c r="AV198" s="4">
        <f t="shared" si="35"/>
        <v>99999</v>
      </c>
      <c r="AW198" s="4" t="str">
        <f t="shared" si="36"/>
        <v>-</v>
      </c>
      <c r="AX198" s="4" t="str">
        <f t="shared" si="37"/>
        <v>-</v>
      </c>
      <c r="AY198" s="4" t="str">
        <f t="shared" si="38"/>
        <v>-</v>
      </c>
      <c r="AZ198" s="4" t="str">
        <f t="shared" si="39"/>
        <v>-</v>
      </c>
      <c r="BA198" s="4" t="str">
        <f t="shared" si="40"/>
        <v>-</v>
      </c>
      <c r="BB198" s="4" t="str">
        <f t="shared" si="41"/>
        <v>-</v>
      </c>
      <c r="BC198" s="4">
        <v>12663</v>
      </c>
      <c r="BD198" s="4" t="s">
        <v>689</v>
      </c>
      <c r="BE198" s="4"/>
      <c r="BF198" s="4"/>
      <c r="BG198" s="4" t="s">
        <v>688</v>
      </c>
      <c r="BH198" s="4">
        <v>9030</v>
      </c>
      <c r="BI198" s="4">
        <f>IF(BE198="",BH198,BE198/BF198*BH198)</f>
        <v>9030</v>
      </c>
      <c r="BJ198" s="19">
        <v>4</v>
      </c>
      <c r="BK198" s="19">
        <v>1</v>
      </c>
      <c r="BL198" s="16">
        <v>3</v>
      </c>
      <c r="BM198">
        <v>427</v>
      </c>
      <c r="BN198">
        <f t="shared" si="42"/>
        <v>470.080118694362</v>
      </c>
      <c r="BO198">
        <v>789</v>
      </c>
      <c r="BP198">
        <f t="shared" si="43"/>
        <v>868.60237388724033</v>
      </c>
      <c r="BQ198" t="s">
        <v>530</v>
      </c>
    </row>
    <row r="199" spans="1:69" x14ac:dyDescent="0.4">
      <c r="A199" s="3">
        <v>51</v>
      </c>
      <c r="B199" s="3">
        <v>51</v>
      </c>
      <c r="C199" s="46">
        <v>11300</v>
      </c>
      <c r="D199" s="4" t="str">
        <f>TEXT(C199,"000000")</f>
        <v>011300</v>
      </c>
      <c r="E199" s="4">
        <v>588996</v>
      </c>
      <c r="F199" s="4" t="s">
        <v>166</v>
      </c>
      <c r="G199" s="5">
        <v>4996297343073</v>
      </c>
      <c r="H199" s="5"/>
      <c r="I199" s="5"/>
      <c r="J199" s="5">
        <v>2</v>
      </c>
      <c r="K199" s="5">
        <v>2</v>
      </c>
      <c r="L199" s="4">
        <v>0</v>
      </c>
      <c r="M199" s="4">
        <v>464</v>
      </c>
      <c r="N199" s="4">
        <v>333</v>
      </c>
      <c r="O199" s="6">
        <f>IFERROR(1-N199/M199,"-")</f>
        <v>0.28232758620689657</v>
      </c>
      <c r="P199" s="4" t="s">
        <v>422</v>
      </c>
      <c r="Q199" s="4" t="s">
        <v>422</v>
      </c>
      <c r="R199" s="4" t="s">
        <v>422</v>
      </c>
      <c r="S199" s="4" t="s">
        <v>422</v>
      </c>
      <c r="T199" s="4" t="s">
        <v>422</v>
      </c>
      <c r="U199" s="4" t="s">
        <v>422</v>
      </c>
      <c r="V199" s="4" t="s">
        <v>422</v>
      </c>
      <c r="W199" s="4" t="s">
        <v>422</v>
      </c>
      <c r="X199" s="4" t="s">
        <v>422</v>
      </c>
      <c r="Y199" s="4">
        <v>0</v>
      </c>
      <c r="Z199" s="4">
        <f>IF(AC199="",Y199,Y199*AC199)</f>
        <v>0</v>
      </c>
      <c r="AA199" s="4">
        <v>383</v>
      </c>
      <c r="AB199" s="4">
        <f>IF(AC199="",AA199,AA199*AC199)</f>
        <v>383</v>
      </c>
      <c r="AC199" s="4"/>
      <c r="AD199" s="21">
        <f>ROUND(M199*AR199,0)</f>
        <v>534</v>
      </c>
      <c r="AE199" s="6">
        <f>IFERROR(1-AB199/AD199,"-")</f>
        <v>0.28277153558052437</v>
      </c>
      <c r="AF199" s="33">
        <v>35.75</v>
      </c>
      <c r="AG199" s="4" t="str">
        <f>BI199</f>
        <v>-</v>
      </c>
      <c r="AH199" s="33" t="str">
        <f>IFERROR(AG199*AR199,"-")</f>
        <v>-</v>
      </c>
      <c r="AI199" s="6" t="str">
        <f>IFERROR(1-AB199/AH199,"-")</f>
        <v>-</v>
      </c>
      <c r="AJ199" s="7">
        <v>630</v>
      </c>
      <c r="AK199" s="6">
        <f>1-AB199/AJ199</f>
        <v>0.39206349206349211</v>
      </c>
      <c r="AL199" s="4">
        <f>AJ199-AB199</f>
        <v>247</v>
      </c>
      <c r="AM199" s="28"/>
      <c r="AN199" s="6"/>
      <c r="AO199" s="6"/>
      <c r="AP199" s="6" t="str">
        <f>IFERROR(Z199/L199,"-")</f>
        <v>-</v>
      </c>
      <c r="AQ199" s="6">
        <f>IFERROR(AJ199/M199,"-")</f>
        <v>1.3577586206896552</v>
      </c>
      <c r="AR199" s="6">
        <f>IFERROR(AB199/N199,"-")</f>
        <v>1.1501501501501501</v>
      </c>
      <c r="AS199" s="4" t="str">
        <f t="shared" si="33"/>
        <v>-</v>
      </c>
      <c r="AT199" s="4"/>
      <c r="AU199" s="4" t="str">
        <f t="shared" si="34"/>
        <v>-</v>
      </c>
      <c r="AV199" s="4" t="str">
        <f t="shared" si="35"/>
        <v>-</v>
      </c>
      <c r="AW199" s="4" t="str">
        <f t="shared" si="36"/>
        <v>-</v>
      </c>
      <c r="AX199" s="4" t="str">
        <f t="shared" si="37"/>
        <v>-</v>
      </c>
      <c r="AY199" s="4" t="str">
        <f t="shared" si="38"/>
        <v>-</v>
      </c>
      <c r="AZ199" s="4" t="str">
        <f t="shared" si="39"/>
        <v>-</v>
      </c>
      <c r="BA199" s="4" t="str">
        <f t="shared" si="40"/>
        <v>-</v>
      </c>
      <c r="BB199" s="4" t="str">
        <f t="shared" si="41"/>
        <v>-</v>
      </c>
      <c r="BC199" s="4">
        <v>12451</v>
      </c>
      <c r="BD199" s="4" t="s">
        <v>422</v>
      </c>
      <c r="BE199" s="4"/>
      <c r="BF199" s="4"/>
      <c r="BG199" s="4" t="s">
        <v>422</v>
      </c>
      <c r="BH199" s="4" t="s">
        <v>422</v>
      </c>
      <c r="BI199" s="4" t="str">
        <f>IF(BE199="",BH199,BE199/BF199*BH199)</f>
        <v>-</v>
      </c>
      <c r="BJ199" s="19">
        <v>4</v>
      </c>
      <c r="BK199" s="19">
        <v>1</v>
      </c>
      <c r="BL199" s="16">
        <v>3</v>
      </c>
      <c r="BM199">
        <v>571</v>
      </c>
      <c r="BN199">
        <f t="shared" si="42"/>
        <v>656.73573573573572</v>
      </c>
      <c r="BO199" t="s">
        <v>422</v>
      </c>
      <c r="BP199" t="str">
        <f t="shared" si="43"/>
        <v>-</v>
      </c>
      <c r="BQ199" t="s">
        <v>422</v>
      </c>
    </row>
    <row r="200" spans="1:69" x14ac:dyDescent="0.4">
      <c r="A200" s="3">
        <v>198</v>
      </c>
      <c r="B200" s="3">
        <v>51</v>
      </c>
      <c r="C200" s="46">
        <v>11300</v>
      </c>
      <c r="D200" s="4" t="str">
        <f>TEXT(C200,"000000")</f>
        <v>011300</v>
      </c>
      <c r="E200" s="4">
        <v>629695</v>
      </c>
      <c r="F200" s="4" t="s">
        <v>338</v>
      </c>
      <c r="G200" s="5">
        <v>4996297343073</v>
      </c>
      <c r="H200" s="5">
        <v>8</v>
      </c>
      <c r="I200" s="5" t="str">
        <f>C200&amp;H200</f>
        <v>113008</v>
      </c>
      <c r="J200" s="5"/>
      <c r="K200" s="5"/>
      <c r="L200" s="4">
        <v>0</v>
      </c>
      <c r="M200" s="4">
        <v>4532</v>
      </c>
      <c r="N200" s="4">
        <v>3330</v>
      </c>
      <c r="O200" s="6">
        <f>IFERROR(1-N200/M200,"-")</f>
        <v>0.26522506619594</v>
      </c>
      <c r="P200" s="4" t="s">
        <v>422</v>
      </c>
      <c r="Q200" s="4" t="s">
        <v>422</v>
      </c>
      <c r="R200" s="4" t="s">
        <v>422</v>
      </c>
      <c r="S200" s="4" t="s">
        <v>422</v>
      </c>
      <c r="T200" s="4" t="s">
        <v>422</v>
      </c>
      <c r="U200" s="4" t="s">
        <v>422</v>
      </c>
      <c r="V200" s="4" t="s">
        <v>422</v>
      </c>
      <c r="W200" s="4" t="s">
        <v>422</v>
      </c>
      <c r="X200" s="4" t="s">
        <v>422</v>
      </c>
      <c r="Y200" s="4">
        <v>0</v>
      </c>
      <c r="Z200" s="4">
        <f>IF(AC200="",Y200,Y200*AC200)</f>
        <v>0</v>
      </c>
      <c r="AA200" s="4">
        <v>383</v>
      </c>
      <c r="AB200" s="4">
        <f>IF(AC200="",AA200,AA200*AC200)</f>
        <v>3830</v>
      </c>
      <c r="AC200" s="4">
        <v>10</v>
      </c>
      <c r="AD200" s="21">
        <f>ROUND(M200*AR200,0)</f>
        <v>5212</v>
      </c>
      <c r="AE200" s="6">
        <f>IFERROR(1-AB200/AD200,"-")</f>
        <v>0.26515732924021485</v>
      </c>
      <c r="AF200" s="33">
        <v>35.75</v>
      </c>
      <c r="AG200" s="4" t="str">
        <f>BI200</f>
        <v>-</v>
      </c>
      <c r="AH200" s="33" t="str">
        <f>IFERROR(AG200*AR200,"-")</f>
        <v>-</v>
      </c>
      <c r="AI200" s="6" t="str">
        <f>IFERROR(1-AB200/AH200,"-")</f>
        <v>-</v>
      </c>
      <c r="AJ200" s="7">
        <v>5900</v>
      </c>
      <c r="AK200" s="6">
        <f>1-AB200/AJ200</f>
        <v>0.35084745762711866</v>
      </c>
      <c r="AL200" s="4">
        <f>AJ200-AB200</f>
        <v>2070</v>
      </c>
      <c r="AM200" s="28"/>
      <c r="AN200" s="6"/>
      <c r="AO200" s="6"/>
      <c r="AP200" s="6" t="str">
        <f>IFERROR(Z200/L200,"-")</f>
        <v>-</v>
      </c>
      <c r="AQ200" s="6">
        <f>IFERROR(AJ200/M200,"-")</f>
        <v>1.3018534863195057</v>
      </c>
      <c r="AR200" s="6">
        <f>IFERROR(AB200/N200,"-")</f>
        <v>1.1501501501501501</v>
      </c>
      <c r="AS200" s="4" t="str">
        <f t="shared" si="33"/>
        <v>-</v>
      </c>
      <c r="AT200" s="4"/>
      <c r="AU200" s="4" t="str">
        <f t="shared" si="34"/>
        <v>-</v>
      </c>
      <c r="AV200" s="4" t="str">
        <f t="shared" si="35"/>
        <v>-</v>
      </c>
      <c r="AW200" s="4" t="str">
        <f t="shared" si="36"/>
        <v>-</v>
      </c>
      <c r="AX200" s="4" t="str">
        <f t="shared" si="37"/>
        <v>-</v>
      </c>
      <c r="AY200" s="4" t="str">
        <f t="shared" si="38"/>
        <v>-</v>
      </c>
      <c r="AZ200" s="4" t="str">
        <f t="shared" si="39"/>
        <v>-</v>
      </c>
      <c r="BA200" s="4" t="str">
        <f t="shared" si="40"/>
        <v>-</v>
      </c>
      <c r="BB200" s="4" t="str">
        <f t="shared" si="41"/>
        <v>-</v>
      </c>
      <c r="BC200" s="4">
        <v>12451</v>
      </c>
      <c r="BD200" s="4" t="s">
        <v>422</v>
      </c>
      <c r="BE200" s="4"/>
      <c r="BF200" s="4"/>
      <c r="BG200" s="4" t="s">
        <v>422</v>
      </c>
      <c r="BH200" s="4" t="s">
        <v>422</v>
      </c>
      <c r="BI200" s="4" t="str">
        <f>IF(BE200="",BH200,BE200/BF200*BH200)</f>
        <v>-</v>
      </c>
      <c r="BJ200" s="19">
        <v>4</v>
      </c>
      <c r="BK200" s="19">
        <v>1</v>
      </c>
      <c r="BL200" s="16">
        <v>3</v>
      </c>
      <c r="BM200">
        <v>571</v>
      </c>
      <c r="BN200">
        <f t="shared" si="42"/>
        <v>656.73573573573572</v>
      </c>
      <c r="BO200" t="s">
        <v>422</v>
      </c>
      <c r="BP200" t="str">
        <f t="shared" si="43"/>
        <v>-</v>
      </c>
      <c r="BQ200" t="s">
        <v>422</v>
      </c>
    </row>
    <row r="201" spans="1:69" x14ac:dyDescent="0.4">
      <c r="A201" s="3">
        <v>81</v>
      </c>
      <c r="B201" s="3">
        <v>81</v>
      </c>
      <c r="C201" s="46">
        <v>730908</v>
      </c>
      <c r="D201" s="4" t="str">
        <f>TEXT(C201,"000000")</f>
        <v>730908</v>
      </c>
      <c r="E201" s="4">
        <v>730908</v>
      </c>
      <c r="F201" s="4" t="s">
        <v>195</v>
      </c>
      <c r="G201" s="5">
        <v>4996297374220</v>
      </c>
      <c r="H201" s="5"/>
      <c r="I201" s="5"/>
      <c r="J201" s="5">
        <v>2</v>
      </c>
      <c r="K201" s="5">
        <v>2</v>
      </c>
      <c r="L201" s="4">
        <v>0</v>
      </c>
      <c r="M201" s="4">
        <v>508</v>
      </c>
      <c r="N201" s="4">
        <v>359</v>
      </c>
      <c r="O201" s="6">
        <f>IFERROR(1-N201/M201,"-")</f>
        <v>0.29330708661417326</v>
      </c>
      <c r="P201" s="4" t="s">
        <v>422</v>
      </c>
      <c r="Q201" s="4" t="s">
        <v>422</v>
      </c>
      <c r="R201" s="4" t="s">
        <v>422</v>
      </c>
      <c r="S201" s="4" t="s">
        <v>422</v>
      </c>
      <c r="T201" s="4" t="s">
        <v>422</v>
      </c>
      <c r="U201" s="4" t="s">
        <v>422</v>
      </c>
      <c r="V201" s="4" t="s">
        <v>422</v>
      </c>
      <c r="W201" s="4" t="s">
        <v>422</v>
      </c>
      <c r="X201" s="4" t="s">
        <v>422</v>
      </c>
      <c r="Y201" s="4">
        <v>0</v>
      </c>
      <c r="Z201" s="4">
        <f>IF(AC201="",Y201,Y201*AC201)</f>
        <v>0</v>
      </c>
      <c r="AA201" s="4">
        <v>395</v>
      </c>
      <c r="AB201" s="4">
        <f>IF(AC201="",AA201,AA201*AC201)</f>
        <v>395</v>
      </c>
      <c r="AC201" s="4"/>
      <c r="AD201" s="21">
        <f>ROUND(M201*AR201,0)</f>
        <v>559</v>
      </c>
      <c r="AE201" s="6">
        <f>IFERROR(1-AB201/AD201,"-")</f>
        <v>0.29338103756708411</v>
      </c>
      <c r="AF201" s="33">
        <v>48.25</v>
      </c>
      <c r="AG201" s="4">
        <f>BI201</f>
        <v>960</v>
      </c>
      <c r="AH201" s="33">
        <f>IFERROR(AG201*AR201,"-")</f>
        <v>1056.2674094707522</v>
      </c>
      <c r="AI201" s="6">
        <f>IFERROR(1-AB201/AH201,"-")</f>
        <v>0.62604166666666672</v>
      </c>
      <c r="AJ201" s="7">
        <v>650</v>
      </c>
      <c r="AK201" s="6">
        <f>1-AB201/AJ201</f>
        <v>0.39230769230769236</v>
      </c>
      <c r="AL201" s="4">
        <f>AJ201-AB201</f>
        <v>255</v>
      </c>
      <c r="AM201" s="28"/>
      <c r="AN201" s="6"/>
      <c r="AO201" s="6"/>
      <c r="AP201" s="6" t="str">
        <f>IFERROR(Z201/L201,"-")</f>
        <v>-</v>
      </c>
      <c r="AQ201" s="6">
        <f>IFERROR(AJ201/M201,"-")</f>
        <v>1.2795275590551181</v>
      </c>
      <c r="AR201" s="6">
        <f>IFERROR(AB201/N201,"-")</f>
        <v>1.1002785515320335</v>
      </c>
      <c r="AS201" s="4" t="str">
        <f t="shared" si="33"/>
        <v>-</v>
      </c>
      <c r="AT201" s="4"/>
      <c r="AU201" s="4" t="str">
        <f t="shared" si="34"/>
        <v>-</v>
      </c>
      <c r="AV201" s="4" t="str">
        <f t="shared" si="35"/>
        <v>-</v>
      </c>
      <c r="AW201" s="4" t="str">
        <f t="shared" si="36"/>
        <v>-</v>
      </c>
      <c r="AX201" s="4" t="str">
        <f t="shared" si="37"/>
        <v>-</v>
      </c>
      <c r="AY201" s="4" t="str">
        <f t="shared" si="38"/>
        <v>-</v>
      </c>
      <c r="AZ201" s="4" t="str">
        <f t="shared" si="39"/>
        <v>-</v>
      </c>
      <c r="BA201" s="4" t="str">
        <f t="shared" si="40"/>
        <v>-</v>
      </c>
      <c r="BB201" s="4" t="str">
        <f t="shared" si="41"/>
        <v>-</v>
      </c>
      <c r="BC201" s="4" t="s">
        <v>414</v>
      </c>
      <c r="BD201" s="4" t="s">
        <v>690</v>
      </c>
      <c r="BE201" s="4"/>
      <c r="BF201" s="4"/>
      <c r="BG201" s="4" t="s">
        <v>563</v>
      </c>
      <c r="BH201" s="4">
        <v>960</v>
      </c>
      <c r="BI201" s="4">
        <f>IF(BE201="",BH201,BE201/BF201*BH201)</f>
        <v>960</v>
      </c>
      <c r="BJ201" s="19">
        <v>4</v>
      </c>
      <c r="BK201" s="19">
        <v>1</v>
      </c>
      <c r="BL201" s="16">
        <v>3</v>
      </c>
      <c r="BM201">
        <v>482</v>
      </c>
      <c r="BN201">
        <f t="shared" si="42"/>
        <v>530.33426183844017</v>
      </c>
      <c r="BO201">
        <v>751</v>
      </c>
      <c r="BP201">
        <f t="shared" si="43"/>
        <v>826.30919220055716</v>
      </c>
      <c r="BQ201" t="s">
        <v>531</v>
      </c>
    </row>
    <row r="202" spans="1:69" x14ac:dyDescent="0.4">
      <c r="A202" s="3">
        <v>211</v>
      </c>
      <c r="B202" s="3">
        <v>81</v>
      </c>
      <c r="C202" s="46">
        <v>730908</v>
      </c>
      <c r="D202" s="4" t="str">
        <f>TEXT(C202,"000000")</f>
        <v>730908</v>
      </c>
      <c r="E202" s="4">
        <v>629600</v>
      </c>
      <c r="F202" s="4" t="s">
        <v>351</v>
      </c>
      <c r="G202" s="5">
        <v>4996297374220</v>
      </c>
      <c r="H202" s="5">
        <v>8</v>
      </c>
      <c r="I202" s="5" t="str">
        <f>C202&amp;H202</f>
        <v>7309088</v>
      </c>
      <c r="J202" s="5"/>
      <c r="K202" s="5"/>
      <c r="L202" s="4">
        <v>0</v>
      </c>
      <c r="M202" s="4">
        <v>2905</v>
      </c>
      <c r="N202" s="4">
        <v>2154</v>
      </c>
      <c r="O202" s="6">
        <f>IFERROR(1-N202/M202,"-")</f>
        <v>0.25851979345955245</v>
      </c>
      <c r="P202" s="4">
        <v>2670</v>
      </c>
      <c r="Q202" s="4">
        <v>2</v>
      </c>
      <c r="R202" s="4">
        <v>99999</v>
      </c>
      <c r="S202" s="4" t="s">
        <v>422</v>
      </c>
      <c r="T202" s="4" t="s">
        <v>422</v>
      </c>
      <c r="U202" s="4" t="s">
        <v>422</v>
      </c>
      <c r="V202" s="4" t="s">
        <v>422</v>
      </c>
      <c r="W202" s="4" t="s">
        <v>422</v>
      </c>
      <c r="X202" s="4" t="s">
        <v>422</v>
      </c>
      <c r="Y202" s="4">
        <v>0</v>
      </c>
      <c r="Z202" s="4">
        <f>IF(AC202="",Y202,Y202*AC202)</f>
        <v>0</v>
      </c>
      <c r="AA202" s="4">
        <v>395</v>
      </c>
      <c r="AB202" s="4">
        <f>IF(AC202="",AA202,AA202*AC202)</f>
        <v>2370</v>
      </c>
      <c r="AC202" s="4">
        <v>6</v>
      </c>
      <c r="AD202" s="21">
        <f>ROUND(M202*AR202,0)</f>
        <v>3196</v>
      </c>
      <c r="AE202" s="6">
        <f>IFERROR(1-AB202/AD202,"-")</f>
        <v>0.25844806007509391</v>
      </c>
      <c r="AF202" s="33">
        <v>48.25</v>
      </c>
      <c r="AG202" s="4">
        <f>BI202</f>
        <v>5760</v>
      </c>
      <c r="AH202" s="33">
        <f>IFERROR(AG202*AR202,"-")</f>
        <v>6337.6044568245125</v>
      </c>
      <c r="AI202" s="6">
        <f>IFERROR(1-AB202/AH202,"-")</f>
        <v>0.62604166666666661</v>
      </c>
      <c r="AJ202" s="7">
        <v>3600</v>
      </c>
      <c r="AK202" s="6">
        <f>1-AB202/AJ202</f>
        <v>0.34166666666666667</v>
      </c>
      <c r="AL202" s="4">
        <f>AJ202-AB202</f>
        <v>1230</v>
      </c>
      <c r="AM202" s="28"/>
      <c r="AN202" s="6"/>
      <c r="AO202" s="6"/>
      <c r="AP202" s="6" t="str">
        <f>IFERROR(Z202/L202,"-")</f>
        <v>-</v>
      </c>
      <c r="AQ202" s="6">
        <f>IFERROR(AJ202/M202,"-")</f>
        <v>1.2392426850258176</v>
      </c>
      <c r="AR202" s="6">
        <f>IFERROR(AB202/N202,"-")</f>
        <v>1.1002785515320335</v>
      </c>
      <c r="AS202" s="4">
        <v>3420</v>
      </c>
      <c r="AT202" s="6">
        <f>1-AB202/AS202</f>
        <v>0.30701754385964908</v>
      </c>
      <c r="AU202" s="4">
        <f t="shared" si="34"/>
        <v>2</v>
      </c>
      <c r="AV202" s="4">
        <f t="shared" si="35"/>
        <v>99999</v>
      </c>
      <c r="AW202" s="4" t="str">
        <f t="shared" si="36"/>
        <v>-</v>
      </c>
      <c r="AX202" s="4" t="str">
        <f t="shared" si="37"/>
        <v>-</v>
      </c>
      <c r="AY202" s="4" t="str">
        <f t="shared" si="38"/>
        <v>-</v>
      </c>
      <c r="AZ202" s="4" t="str">
        <f t="shared" si="39"/>
        <v>-</v>
      </c>
      <c r="BA202" s="4" t="str">
        <f t="shared" si="40"/>
        <v>-</v>
      </c>
      <c r="BB202" s="4" t="str">
        <f t="shared" si="41"/>
        <v>-</v>
      </c>
      <c r="BC202" s="4" t="s">
        <v>414</v>
      </c>
      <c r="BD202" s="4" t="s">
        <v>690</v>
      </c>
      <c r="BE202" s="4">
        <v>6</v>
      </c>
      <c r="BF202" s="4">
        <v>1</v>
      </c>
      <c r="BG202" s="4" t="s">
        <v>563</v>
      </c>
      <c r="BH202" s="4">
        <v>960</v>
      </c>
      <c r="BI202" s="4">
        <f>IF(BE202="",BH202,BE202/BF202*BH202)</f>
        <v>5760</v>
      </c>
      <c r="BJ202" s="19">
        <v>4</v>
      </c>
      <c r="BK202" s="19">
        <v>1</v>
      </c>
      <c r="BL202" s="16">
        <v>3</v>
      </c>
      <c r="BM202">
        <v>482</v>
      </c>
      <c r="BN202">
        <f t="shared" si="42"/>
        <v>530.33426183844017</v>
      </c>
      <c r="BO202">
        <v>751</v>
      </c>
      <c r="BP202">
        <f t="shared" si="43"/>
        <v>826.30919220055716</v>
      </c>
      <c r="BQ202" t="s">
        <v>531</v>
      </c>
    </row>
    <row r="203" spans="1:69" x14ac:dyDescent="0.4">
      <c r="A203" s="3">
        <v>82</v>
      </c>
      <c r="B203" s="3">
        <v>82</v>
      </c>
      <c r="C203" s="46">
        <v>730917</v>
      </c>
      <c r="D203" s="4" t="str">
        <f>TEXT(C203,"000000")</f>
        <v>730917</v>
      </c>
      <c r="E203" s="4">
        <v>730917</v>
      </c>
      <c r="F203" s="4" t="s">
        <v>196</v>
      </c>
      <c r="G203" s="5">
        <v>4996297374251</v>
      </c>
      <c r="H203" s="5"/>
      <c r="I203" s="5"/>
      <c r="J203" s="5">
        <v>2</v>
      </c>
      <c r="K203" s="5">
        <v>2</v>
      </c>
      <c r="L203" s="4">
        <v>0</v>
      </c>
      <c r="M203" s="4">
        <v>508</v>
      </c>
      <c r="N203" s="4">
        <v>359</v>
      </c>
      <c r="O203" s="6">
        <f>IFERROR(1-N203/M203,"-")</f>
        <v>0.29330708661417326</v>
      </c>
      <c r="P203" s="4" t="s">
        <v>422</v>
      </c>
      <c r="Q203" s="4" t="s">
        <v>422</v>
      </c>
      <c r="R203" s="4" t="s">
        <v>422</v>
      </c>
      <c r="S203" s="4" t="s">
        <v>422</v>
      </c>
      <c r="T203" s="4" t="s">
        <v>422</v>
      </c>
      <c r="U203" s="4" t="s">
        <v>422</v>
      </c>
      <c r="V203" s="4" t="s">
        <v>422</v>
      </c>
      <c r="W203" s="4" t="s">
        <v>422</v>
      </c>
      <c r="X203" s="4" t="s">
        <v>422</v>
      </c>
      <c r="Y203" s="4">
        <v>0</v>
      </c>
      <c r="Z203" s="4">
        <f>IF(AC203="",Y203,Y203*AC203)</f>
        <v>0</v>
      </c>
      <c r="AA203" s="4">
        <v>395</v>
      </c>
      <c r="AB203" s="4">
        <f>IF(AC203="",AA203,AA203*AC203)</f>
        <v>395</v>
      </c>
      <c r="AC203" s="4"/>
      <c r="AD203" s="21">
        <f>ROUND(M203*AR203,0)</f>
        <v>559</v>
      </c>
      <c r="AE203" s="6">
        <f>IFERROR(1-AB203/AD203,"-")</f>
        <v>0.29338103756708411</v>
      </c>
      <c r="AF203" s="33">
        <v>62.5</v>
      </c>
      <c r="AG203" s="4">
        <f>BI203</f>
        <v>960</v>
      </c>
      <c r="AH203" s="33">
        <f>IFERROR(AG203*AR203,"-")</f>
        <v>1056.2674094707522</v>
      </c>
      <c r="AI203" s="6">
        <f>IFERROR(1-AB203/AH203,"-")</f>
        <v>0.62604166666666672</v>
      </c>
      <c r="AJ203" s="7">
        <v>650</v>
      </c>
      <c r="AK203" s="6">
        <f>1-AB203/AJ203</f>
        <v>0.39230769230769236</v>
      </c>
      <c r="AL203" s="4">
        <f>AJ203-AB203</f>
        <v>255</v>
      </c>
      <c r="AM203" s="28"/>
      <c r="AN203" s="6"/>
      <c r="AO203" s="6"/>
      <c r="AP203" s="6" t="str">
        <f>IFERROR(Z203/L203,"-")</f>
        <v>-</v>
      </c>
      <c r="AQ203" s="6">
        <f>IFERROR(AJ203/M203,"-")</f>
        <v>1.2795275590551181</v>
      </c>
      <c r="AR203" s="6">
        <f>IFERROR(AB203/N203,"-")</f>
        <v>1.1002785515320335</v>
      </c>
      <c r="AS203" s="4" t="str">
        <f t="shared" si="33"/>
        <v>-</v>
      </c>
      <c r="AT203" s="4"/>
      <c r="AU203" s="4" t="str">
        <f t="shared" si="34"/>
        <v>-</v>
      </c>
      <c r="AV203" s="4" t="str">
        <f t="shared" si="35"/>
        <v>-</v>
      </c>
      <c r="AW203" s="4" t="str">
        <f t="shared" si="36"/>
        <v>-</v>
      </c>
      <c r="AX203" s="4" t="str">
        <f t="shared" si="37"/>
        <v>-</v>
      </c>
      <c r="AY203" s="4" t="str">
        <f t="shared" si="38"/>
        <v>-</v>
      </c>
      <c r="AZ203" s="4" t="str">
        <f t="shared" si="39"/>
        <v>-</v>
      </c>
      <c r="BA203" s="4" t="str">
        <f t="shared" si="40"/>
        <v>-</v>
      </c>
      <c r="BB203" s="4" t="str">
        <f t="shared" si="41"/>
        <v>-</v>
      </c>
      <c r="BC203" s="4" t="s">
        <v>414</v>
      </c>
      <c r="BD203" s="4" t="s">
        <v>691</v>
      </c>
      <c r="BE203" s="4"/>
      <c r="BF203" s="4"/>
      <c r="BG203" s="4" t="s">
        <v>563</v>
      </c>
      <c r="BH203" s="4">
        <v>960</v>
      </c>
      <c r="BI203" s="4">
        <f>IF(BE203="",BH203,BE203/BF203*BH203)</f>
        <v>960</v>
      </c>
      <c r="BJ203" s="19">
        <v>4</v>
      </c>
      <c r="BK203" s="19">
        <v>1</v>
      </c>
      <c r="BL203" s="16">
        <v>3</v>
      </c>
      <c r="BM203">
        <v>482</v>
      </c>
      <c r="BN203">
        <f t="shared" si="42"/>
        <v>530.33426183844017</v>
      </c>
      <c r="BO203">
        <v>751</v>
      </c>
      <c r="BP203">
        <f t="shared" si="43"/>
        <v>826.30919220055716</v>
      </c>
      <c r="BQ203" t="s">
        <v>532</v>
      </c>
    </row>
    <row r="204" spans="1:69" x14ac:dyDescent="0.4">
      <c r="A204" s="3">
        <v>212</v>
      </c>
      <c r="B204" s="3">
        <v>82</v>
      </c>
      <c r="C204" s="46">
        <v>730917</v>
      </c>
      <c r="D204" s="4" t="str">
        <f>TEXT(C204,"000000")</f>
        <v>730917</v>
      </c>
      <c r="E204" s="4">
        <v>629601</v>
      </c>
      <c r="F204" s="4" t="s">
        <v>352</v>
      </c>
      <c r="G204" s="5">
        <v>4996297374251</v>
      </c>
      <c r="H204" s="5">
        <v>8</v>
      </c>
      <c r="I204" s="5" t="str">
        <f>C204&amp;H204</f>
        <v>7309178</v>
      </c>
      <c r="J204" s="5"/>
      <c r="K204" s="5"/>
      <c r="L204" s="4">
        <v>0</v>
      </c>
      <c r="M204" s="4">
        <v>2905</v>
      </c>
      <c r="N204" s="4">
        <v>2154</v>
      </c>
      <c r="O204" s="6">
        <f>IFERROR(1-N204/M204,"-")</f>
        <v>0.25851979345955245</v>
      </c>
      <c r="P204" s="4">
        <v>2670</v>
      </c>
      <c r="Q204" s="4">
        <v>2</v>
      </c>
      <c r="R204" s="4">
        <v>99999</v>
      </c>
      <c r="S204" s="4" t="s">
        <v>422</v>
      </c>
      <c r="T204" s="4" t="s">
        <v>422</v>
      </c>
      <c r="U204" s="4" t="s">
        <v>422</v>
      </c>
      <c r="V204" s="4" t="s">
        <v>422</v>
      </c>
      <c r="W204" s="4" t="s">
        <v>422</v>
      </c>
      <c r="X204" s="4" t="s">
        <v>422</v>
      </c>
      <c r="Y204" s="4">
        <v>0</v>
      </c>
      <c r="Z204" s="4">
        <f>IF(AC204="",Y204,Y204*AC204)</f>
        <v>0</v>
      </c>
      <c r="AA204" s="4">
        <v>395</v>
      </c>
      <c r="AB204" s="4">
        <f>IF(AC204="",AA204,AA204*AC204)</f>
        <v>2370</v>
      </c>
      <c r="AC204" s="4">
        <v>6</v>
      </c>
      <c r="AD204" s="21">
        <f>ROUND(M204*AR204,0)</f>
        <v>3196</v>
      </c>
      <c r="AE204" s="6">
        <f>IFERROR(1-AB204/AD204,"-")</f>
        <v>0.25844806007509391</v>
      </c>
      <c r="AF204" s="33">
        <v>62.5</v>
      </c>
      <c r="AG204" s="4">
        <f>BI204</f>
        <v>5760</v>
      </c>
      <c r="AH204" s="33">
        <f>IFERROR(AG204*AR204,"-")</f>
        <v>6337.6044568245125</v>
      </c>
      <c r="AI204" s="6">
        <f>IFERROR(1-AB204/AH204,"-")</f>
        <v>0.62604166666666661</v>
      </c>
      <c r="AJ204" s="7">
        <v>3600</v>
      </c>
      <c r="AK204" s="6">
        <f>1-AB204/AJ204</f>
        <v>0.34166666666666667</v>
      </c>
      <c r="AL204" s="4">
        <f>AJ204-AB204</f>
        <v>1230</v>
      </c>
      <c r="AM204" s="28"/>
      <c r="AN204" s="6"/>
      <c r="AO204" s="6"/>
      <c r="AP204" s="6" t="str">
        <f>IFERROR(Z204/L204,"-")</f>
        <v>-</v>
      </c>
      <c r="AQ204" s="6">
        <f>IFERROR(AJ204/M204,"-")</f>
        <v>1.2392426850258176</v>
      </c>
      <c r="AR204" s="6">
        <f>IFERROR(AB204/N204,"-")</f>
        <v>1.1002785515320335</v>
      </c>
      <c r="AS204" s="4">
        <v>3420</v>
      </c>
      <c r="AT204" s="6">
        <f>1-AB204/AS204</f>
        <v>0.30701754385964908</v>
      </c>
      <c r="AU204" s="4">
        <f t="shared" si="34"/>
        <v>2</v>
      </c>
      <c r="AV204" s="4">
        <f t="shared" si="35"/>
        <v>99999</v>
      </c>
      <c r="AW204" s="4" t="str">
        <f t="shared" si="36"/>
        <v>-</v>
      </c>
      <c r="AX204" s="4" t="str">
        <f t="shared" si="37"/>
        <v>-</v>
      </c>
      <c r="AY204" s="4" t="str">
        <f t="shared" si="38"/>
        <v>-</v>
      </c>
      <c r="AZ204" s="4" t="str">
        <f t="shared" si="39"/>
        <v>-</v>
      </c>
      <c r="BA204" s="4" t="str">
        <f t="shared" si="40"/>
        <v>-</v>
      </c>
      <c r="BB204" s="4" t="str">
        <f t="shared" si="41"/>
        <v>-</v>
      </c>
      <c r="BC204" s="4" t="s">
        <v>414</v>
      </c>
      <c r="BD204" s="4" t="s">
        <v>691</v>
      </c>
      <c r="BE204" s="4">
        <v>6</v>
      </c>
      <c r="BF204" s="4">
        <v>1</v>
      </c>
      <c r="BG204" s="4" t="s">
        <v>563</v>
      </c>
      <c r="BH204" s="4">
        <v>960</v>
      </c>
      <c r="BI204" s="4">
        <f>IF(BE204="",BH204,BE204/BF204*BH204)</f>
        <v>5760</v>
      </c>
      <c r="BJ204" s="19">
        <v>4</v>
      </c>
      <c r="BK204" s="19">
        <v>1</v>
      </c>
      <c r="BL204" s="16">
        <v>3</v>
      </c>
      <c r="BM204">
        <v>482</v>
      </c>
      <c r="BN204">
        <f t="shared" si="42"/>
        <v>530.33426183844017</v>
      </c>
      <c r="BO204">
        <v>751</v>
      </c>
      <c r="BP204">
        <f t="shared" si="43"/>
        <v>826.30919220055716</v>
      </c>
      <c r="BQ204" t="s">
        <v>532</v>
      </c>
    </row>
    <row r="205" spans="1:69" x14ac:dyDescent="0.4">
      <c r="A205" s="3">
        <v>156</v>
      </c>
      <c r="B205" s="3">
        <v>156</v>
      </c>
      <c r="C205" s="4">
        <v>109146</v>
      </c>
      <c r="D205" s="4" t="str">
        <f>TEXT(C205,"000000")</f>
        <v>109146</v>
      </c>
      <c r="E205" s="4">
        <v>109146</v>
      </c>
      <c r="F205" s="4" t="s">
        <v>270</v>
      </c>
      <c r="G205" s="5">
        <v>4996297473343</v>
      </c>
      <c r="H205" s="5"/>
      <c r="I205" s="5"/>
      <c r="J205" s="5">
        <v>1</v>
      </c>
      <c r="K205" s="5">
        <v>1</v>
      </c>
      <c r="L205" s="4">
        <v>0</v>
      </c>
      <c r="M205" s="4">
        <v>709</v>
      </c>
      <c r="N205" s="4">
        <v>363</v>
      </c>
      <c r="O205" s="6">
        <f>IFERROR(1-N205/M205,"-")</f>
        <v>0.48801128349788436</v>
      </c>
      <c r="P205" s="4" t="s">
        <v>422</v>
      </c>
      <c r="Q205" s="4" t="s">
        <v>422</v>
      </c>
      <c r="R205" s="4" t="s">
        <v>422</v>
      </c>
      <c r="S205" s="4" t="s">
        <v>422</v>
      </c>
      <c r="T205" s="4" t="s">
        <v>422</v>
      </c>
      <c r="U205" s="4" t="s">
        <v>422</v>
      </c>
      <c r="V205" s="4" t="s">
        <v>422</v>
      </c>
      <c r="W205" s="4" t="s">
        <v>422</v>
      </c>
      <c r="X205" s="4" t="s">
        <v>422</v>
      </c>
      <c r="Y205" s="4">
        <v>0</v>
      </c>
      <c r="Z205" s="4">
        <f>IF(AC205="",Y205,Y205*AC205)</f>
        <v>0</v>
      </c>
      <c r="AA205" s="4">
        <v>399</v>
      </c>
      <c r="AB205" s="4">
        <f>IF(AC205="",AA205,AA205*AC205)</f>
        <v>399</v>
      </c>
      <c r="AC205" s="4"/>
      <c r="AD205" s="21">
        <f>ROUND(M205*AR205,0)</f>
        <v>779</v>
      </c>
      <c r="AE205" s="6">
        <f>IFERROR(1-AB205/AD205,"-")</f>
        <v>0.48780487804878048</v>
      </c>
      <c r="AF205" s="33">
        <v>2</v>
      </c>
      <c r="AG205" s="4" t="str">
        <f>BI205</f>
        <v>-</v>
      </c>
      <c r="AH205" s="33" t="str">
        <f>IFERROR(AG205*AR205,"-")</f>
        <v>-</v>
      </c>
      <c r="AI205" s="6" t="str">
        <f>IFERROR(1-AB205/AH205,"-")</f>
        <v>-</v>
      </c>
      <c r="AJ205" s="7">
        <v>710</v>
      </c>
      <c r="AK205" s="6">
        <f>1-AB205/AJ205</f>
        <v>0.43802816901408448</v>
      </c>
      <c r="AL205" s="4">
        <f>AJ205-AB205</f>
        <v>311</v>
      </c>
      <c r="AM205" s="28"/>
      <c r="AN205" s="6"/>
      <c r="AO205" s="6"/>
      <c r="AP205" s="6" t="str">
        <f>IFERROR(Z205/L205,"-")</f>
        <v>-</v>
      </c>
      <c r="AQ205" s="6">
        <f>IFERROR(AJ205/M205,"-")</f>
        <v>1.001410437235543</v>
      </c>
      <c r="AR205" s="6">
        <f>IFERROR(AB205/N205,"-")</f>
        <v>1.0991735537190082</v>
      </c>
      <c r="AS205" s="4" t="str">
        <f t="shared" si="33"/>
        <v>-</v>
      </c>
      <c r="AT205" s="4"/>
      <c r="AU205" s="4" t="str">
        <f t="shared" si="34"/>
        <v>-</v>
      </c>
      <c r="AV205" s="4" t="str">
        <f t="shared" si="35"/>
        <v>-</v>
      </c>
      <c r="AW205" s="4" t="str">
        <f t="shared" si="36"/>
        <v>-</v>
      </c>
      <c r="AX205" s="4" t="str">
        <f t="shared" si="37"/>
        <v>-</v>
      </c>
      <c r="AY205" s="4" t="str">
        <f t="shared" si="38"/>
        <v>-</v>
      </c>
      <c r="AZ205" s="4" t="str">
        <f t="shared" si="39"/>
        <v>-</v>
      </c>
      <c r="BA205" s="4" t="str">
        <f t="shared" si="40"/>
        <v>-</v>
      </c>
      <c r="BB205" s="4" t="str">
        <f t="shared" si="41"/>
        <v>-</v>
      </c>
      <c r="BC205" s="4">
        <v>0</v>
      </c>
      <c r="BD205" s="4" t="s">
        <v>422</v>
      </c>
      <c r="BE205" s="4"/>
      <c r="BF205" s="4"/>
      <c r="BG205" s="4" t="s">
        <v>422</v>
      </c>
      <c r="BH205" s="4" t="s">
        <v>422</v>
      </c>
      <c r="BI205" s="4" t="str">
        <f>IF(BE205="",BH205,BE205/BF205*BH205)</f>
        <v>-</v>
      </c>
      <c r="BJ205" s="19">
        <v>4</v>
      </c>
      <c r="BK205" s="19">
        <v>1</v>
      </c>
      <c r="BL205" s="16">
        <v>3</v>
      </c>
      <c r="BM205" t="s">
        <v>422</v>
      </c>
      <c r="BN205" t="str">
        <f t="shared" si="42"/>
        <v>-</v>
      </c>
      <c r="BO205" t="s">
        <v>422</v>
      </c>
      <c r="BP205" t="str">
        <f t="shared" si="43"/>
        <v>-</v>
      </c>
      <c r="BQ205" t="s">
        <v>422</v>
      </c>
    </row>
    <row r="206" spans="1:69" x14ac:dyDescent="0.4">
      <c r="A206" s="3">
        <v>175</v>
      </c>
      <c r="B206" s="3">
        <v>175</v>
      </c>
      <c r="C206" s="4">
        <v>397476</v>
      </c>
      <c r="D206" s="4" t="str">
        <f>TEXT(C206,"000000")</f>
        <v>397476</v>
      </c>
      <c r="E206" s="4">
        <v>397476</v>
      </c>
      <c r="F206" s="4" t="s">
        <v>289</v>
      </c>
      <c r="G206" s="5">
        <v>4996297703518</v>
      </c>
      <c r="H206" s="5"/>
      <c r="I206" s="5"/>
      <c r="J206" s="5">
        <v>1</v>
      </c>
      <c r="K206" s="5">
        <v>1</v>
      </c>
      <c r="L206" s="4">
        <v>0</v>
      </c>
      <c r="M206" s="4">
        <v>521</v>
      </c>
      <c r="N206" s="4">
        <v>372</v>
      </c>
      <c r="O206" s="6">
        <f>IFERROR(1-N206/M206,"-")</f>
        <v>0.28598848368522078</v>
      </c>
      <c r="P206" s="4" t="s">
        <v>422</v>
      </c>
      <c r="Q206" s="4" t="s">
        <v>422</v>
      </c>
      <c r="R206" s="4" t="s">
        <v>422</v>
      </c>
      <c r="S206" s="4" t="s">
        <v>422</v>
      </c>
      <c r="T206" s="4" t="s">
        <v>422</v>
      </c>
      <c r="U206" s="4" t="s">
        <v>422</v>
      </c>
      <c r="V206" s="4" t="s">
        <v>422</v>
      </c>
      <c r="W206" s="4" t="s">
        <v>422</v>
      </c>
      <c r="X206" s="4" t="s">
        <v>422</v>
      </c>
      <c r="Y206" s="4">
        <v>0</v>
      </c>
      <c r="Z206" s="4">
        <f>IF(AC206="",Y206,Y206*AC206)</f>
        <v>0</v>
      </c>
      <c r="AA206" s="4">
        <v>409</v>
      </c>
      <c r="AB206" s="4">
        <f>IF(AC206="",AA206,AA206*AC206)</f>
        <v>409</v>
      </c>
      <c r="AC206" s="4"/>
      <c r="AD206" s="21">
        <f>ROUND(M206*AR206,0)</f>
        <v>573</v>
      </c>
      <c r="AE206" s="6">
        <f>IFERROR(1-AB206/AD206,"-")</f>
        <v>0.28621291448516584</v>
      </c>
      <c r="AF206" s="33">
        <v>2.25</v>
      </c>
      <c r="AG206" s="4" t="str">
        <f>BI206</f>
        <v>-</v>
      </c>
      <c r="AH206" s="33" t="str">
        <f>IFERROR(AG206*AR206,"-")</f>
        <v>-</v>
      </c>
      <c r="AI206" s="6" t="str">
        <f>IFERROR(1-AB206/AH206,"-")</f>
        <v>-</v>
      </c>
      <c r="AJ206" s="7">
        <v>660</v>
      </c>
      <c r="AK206" s="6">
        <f>1-AB206/AJ206</f>
        <v>0.38030303030303025</v>
      </c>
      <c r="AL206" s="4">
        <f>AJ206-AB206</f>
        <v>251</v>
      </c>
      <c r="AM206" s="28"/>
      <c r="AN206" s="6"/>
      <c r="AO206" s="6"/>
      <c r="AP206" s="6" t="str">
        <f>IFERROR(Z206/L206,"-")</f>
        <v>-</v>
      </c>
      <c r="AQ206" s="6">
        <f>IFERROR(AJ206/M206,"-")</f>
        <v>1.2667946257197698</v>
      </c>
      <c r="AR206" s="6">
        <f>IFERROR(AB206/N206,"-")</f>
        <v>1.0994623655913978</v>
      </c>
      <c r="AS206" s="4" t="str">
        <f t="shared" si="33"/>
        <v>-</v>
      </c>
      <c r="AT206" s="4"/>
      <c r="AU206" s="4" t="str">
        <f t="shared" si="34"/>
        <v>-</v>
      </c>
      <c r="AV206" s="4" t="str">
        <f t="shared" si="35"/>
        <v>-</v>
      </c>
      <c r="AW206" s="4" t="str">
        <f t="shared" si="36"/>
        <v>-</v>
      </c>
      <c r="AX206" s="4" t="str">
        <f t="shared" si="37"/>
        <v>-</v>
      </c>
      <c r="AY206" s="4" t="str">
        <f t="shared" si="38"/>
        <v>-</v>
      </c>
      <c r="AZ206" s="4" t="str">
        <f t="shared" si="39"/>
        <v>-</v>
      </c>
      <c r="BA206" s="4" t="str">
        <f t="shared" si="40"/>
        <v>-</v>
      </c>
      <c r="BB206" s="4" t="str">
        <f t="shared" si="41"/>
        <v>-</v>
      </c>
      <c r="BC206" s="4">
        <v>0</v>
      </c>
      <c r="BD206" s="4" t="s">
        <v>422</v>
      </c>
      <c r="BE206" s="4"/>
      <c r="BF206" s="4"/>
      <c r="BG206" s="4" t="s">
        <v>422</v>
      </c>
      <c r="BH206" s="4" t="s">
        <v>422</v>
      </c>
      <c r="BI206" s="4" t="str">
        <f>IF(BE206="",BH206,BE206/BF206*BH206)</f>
        <v>-</v>
      </c>
      <c r="BJ206" s="19">
        <v>4</v>
      </c>
      <c r="BK206" s="19">
        <v>1</v>
      </c>
      <c r="BL206" s="16">
        <v>3</v>
      </c>
      <c r="BM206" t="s">
        <v>422</v>
      </c>
      <c r="BN206" t="str">
        <f t="shared" si="42"/>
        <v>-</v>
      </c>
      <c r="BO206" t="s">
        <v>422</v>
      </c>
      <c r="BP206" t="str">
        <f t="shared" si="43"/>
        <v>-</v>
      </c>
      <c r="BQ206" t="s">
        <v>422</v>
      </c>
    </row>
    <row r="207" spans="1:69" x14ac:dyDescent="0.4">
      <c r="A207" s="3">
        <v>110</v>
      </c>
      <c r="B207" s="3">
        <v>110</v>
      </c>
      <c r="C207" s="4">
        <v>193352</v>
      </c>
      <c r="D207" s="4" t="str">
        <f>TEXT(C207,"000000")</f>
        <v>193352</v>
      </c>
      <c r="E207" s="4">
        <v>193352</v>
      </c>
      <c r="F207" s="4" t="s">
        <v>224</v>
      </c>
      <c r="G207" s="5">
        <v>4996297407355</v>
      </c>
      <c r="H207" s="5"/>
      <c r="I207" s="5"/>
      <c r="J207" s="5">
        <v>1</v>
      </c>
      <c r="K207" s="5">
        <v>1</v>
      </c>
      <c r="L207" s="4">
        <v>0</v>
      </c>
      <c r="M207" s="4">
        <v>507</v>
      </c>
      <c r="N207" s="4">
        <v>359</v>
      </c>
      <c r="O207" s="6">
        <f>IFERROR(1-N207/M207,"-")</f>
        <v>0.29191321499013811</v>
      </c>
      <c r="P207" s="4" t="s">
        <v>422</v>
      </c>
      <c r="Q207" s="4" t="s">
        <v>422</v>
      </c>
      <c r="R207" s="4" t="s">
        <v>422</v>
      </c>
      <c r="S207" s="4" t="s">
        <v>422</v>
      </c>
      <c r="T207" s="4" t="s">
        <v>422</v>
      </c>
      <c r="U207" s="4" t="s">
        <v>422</v>
      </c>
      <c r="V207" s="4" t="s">
        <v>422</v>
      </c>
      <c r="W207" s="4" t="s">
        <v>422</v>
      </c>
      <c r="X207" s="4" t="s">
        <v>422</v>
      </c>
      <c r="Y207" s="4">
        <v>0</v>
      </c>
      <c r="Z207" s="4">
        <f>IF(AC207="",Y207,Y207*AC207)</f>
        <v>0</v>
      </c>
      <c r="AA207" s="4">
        <v>413</v>
      </c>
      <c r="AB207" s="4">
        <f>IF(AC207="",AA207,AA207*AC207)</f>
        <v>413</v>
      </c>
      <c r="AC207" s="4"/>
      <c r="AD207" s="21">
        <f>ROUND(M207*AR207,0)</f>
        <v>583</v>
      </c>
      <c r="AE207" s="6">
        <f>IFERROR(1-AB207/AD207,"-")</f>
        <v>0.29159519725557459</v>
      </c>
      <c r="AF207" s="33">
        <v>0.5</v>
      </c>
      <c r="AG207" s="4">
        <f>BI207</f>
        <v>1125</v>
      </c>
      <c r="AH207" s="33">
        <f>IFERROR(AG207*AR207,"-")</f>
        <v>1294.2200557103063</v>
      </c>
      <c r="AI207" s="6">
        <f>IFERROR(1-AB207/AH207,"-")</f>
        <v>0.68088888888888888</v>
      </c>
      <c r="AJ207" s="7">
        <v>670</v>
      </c>
      <c r="AK207" s="6">
        <f>1-AB207/AJ207</f>
        <v>0.38358208955223883</v>
      </c>
      <c r="AL207" s="4">
        <f>AJ207-AB207</f>
        <v>257</v>
      </c>
      <c r="AM207" s="28"/>
      <c r="AN207" s="6"/>
      <c r="AO207" s="6"/>
      <c r="AP207" s="6" t="str">
        <f>IFERROR(Z207/L207,"-")</f>
        <v>-</v>
      </c>
      <c r="AQ207" s="6">
        <f>IFERROR(AJ207/M207,"-")</f>
        <v>1.3214990138067062</v>
      </c>
      <c r="AR207" s="6">
        <f>IFERROR(AB207/N207,"-")</f>
        <v>1.1504178272980501</v>
      </c>
      <c r="AS207" s="4" t="str">
        <f t="shared" si="33"/>
        <v>-</v>
      </c>
      <c r="AT207" s="4"/>
      <c r="AU207" s="4" t="str">
        <f t="shared" si="34"/>
        <v>-</v>
      </c>
      <c r="AV207" s="4" t="str">
        <f t="shared" si="35"/>
        <v>-</v>
      </c>
      <c r="AW207" s="4" t="str">
        <f t="shared" si="36"/>
        <v>-</v>
      </c>
      <c r="AX207" s="4" t="str">
        <f t="shared" si="37"/>
        <v>-</v>
      </c>
      <c r="AY207" s="4" t="str">
        <f t="shared" si="38"/>
        <v>-</v>
      </c>
      <c r="AZ207" s="4" t="str">
        <f t="shared" si="39"/>
        <v>-</v>
      </c>
      <c r="BA207" s="4" t="str">
        <f t="shared" si="40"/>
        <v>-</v>
      </c>
      <c r="BB207" s="4" t="str">
        <f t="shared" si="41"/>
        <v>-</v>
      </c>
      <c r="BC207" s="4">
        <v>0</v>
      </c>
      <c r="BD207" s="4" t="s">
        <v>692</v>
      </c>
      <c r="BE207" s="4"/>
      <c r="BF207" s="4"/>
      <c r="BG207" s="4" t="s">
        <v>563</v>
      </c>
      <c r="BH207" s="4">
        <v>1125</v>
      </c>
      <c r="BI207" s="4">
        <f>IF(BE207="",BH207,BE207/BF207*BH207)</f>
        <v>1125</v>
      </c>
      <c r="BJ207" s="19">
        <v>4</v>
      </c>
      <c r="BK207" s="19">
        <v>1</v>
      </c>
      <c r="BL207" s="16">
        <v>3</v>
      </c>
      <c r="BM207" t="s">
        <v>422</v>
      </c>
      <c r="BN207" t="str">
        <f t="shared" si="42"/>
        <v>-</v>
      </c>
      <c r="BO207">
        <v>931</v>
      </c>
      <c r="BP207">
        <f t="shared" si="43"/>
        <v>1071.0389972144847</v>
      </c>
      <c r="BQ207" t="s">
        <v>533</v>
      </c>
    </row>
    <row r="208" spans="1:69" x14ac:dyDescent="0.4">
      <c r="A208" s="3">
        <v>172</v>
      </c>
      <c r="B208" s="3">
        <v>172</v>
      </c>
      <c r="C208" s="46">
        <v>583766</v>
      </c>
      <c r="D208" s="4" t="str">
        <f>TEXT(C208,"000000")</f>
        <v>583766</v>
      </c>
      <c r="E208" s="4">
        <v>583766</v>
      </c>
      <c r="F208" s="4" t="s">
        <v>286</v>
      </c>
      <c r="G208" s="5">
        <v>4996297702023</v>
      </c>
      <c r="H208" s="5"/>
      <c r="I208" s="5"/>
      <c r="J208" s="5">
        <v>2</v>
      </c>
      <c r="K208" s="5">
        <v>2</v>
      </c>
      <c r="L208" s="4">
        <v>0</v>
      </c>
      <c r="M208" s="4">
        <v>690</v>
      </c>
      <c r="N208" s="4">
        <v>380</v>
      </c>
      <c r="O208" s="6">
        <f>IFERROR(1-N208/M208,"-")</f>
        <v>0.44927536231884058</v>
      </c>
      <c r="P208" s="4" t="s">
        <v>422</v>
      </c>
      <c r="Q208" s="4" t="s">
        <v>422</v>
      </c>
      <c r="R208" s="4" t="s">
        <v>422</v>
      </c>
      <c r="S208" s="4" t="s">
        <v>422</v>
      </c>
      <c r="T208" s="4" t="s">
        <v>422</v>
      </c>
      <c r="U208" s="4" t="s">
        <v>422</v>
      </c>
      <c r="V208" s="4" t="s">
        <v>422</v>
      </c>
      <c r="W208" s="4" t="s">
        <v>422</v>
      </c>
      <c r="X208" s="4" t="s">
        <v>422</v>
      </c>
      <c r="Y208" s="4">
        <v>0</v>
      </c>
      <c r="Z208" s="4">
        <f>IF(AC208="",Y208,Y208*AC208)</f>
        <v>0</v>
      </c>
      <c r="AA208" s="4">
        <v>418</v>
      </c>
      <c r="AB208" s="4">
        <f>IF(AC208="",AA208,AA208*AC208)</f>
        <v>418</v>
      </c>
      <c r="AC208" s="4"/>
      <c r="AD208" s="21">
        <f>ROUND(M208*AR208,0)</f>
        <v>759</v>
      </c>
      <c r="AE208" s="6">
        <f>IFERROR(1-AB208/AD208,"-")</f>
        <v>0.44927536231884058</v>
      </c>
      <c r="AF208" s="33">
        <v>11</v>
      </c>
      <c r="AG208" s="4">
        <f>BI208</f>
        <v>979</v>
      </c>
      <c r="AH208" s="33">
        <f>IFERROR(AG208*AR208,"-")</f>
        <v>1076.9000000000001</v>
      </c>
      <c r="AI208" s="6">
        <f>IFERROR(1-AB208/AH208,"-")</f>
        <v>0.61184882533197138</v>
      </c>
      <c r="AJ208" s="7">
        <v>730</v>
      </c>
      <c r="AK208" s="6">
        <f>1-AB208/AJ208</f>
        <v>0.42739726027397262</v>
      </c>
      <c r="AL208" s="4">
        <f>AJ208-AB208</f>
        <v>312</v>
      </c>
      <c r="AM208" s="28"/>
      <c r="AN208" s="6"/>
      <c r="AO208" s="6"/>
      <c r="AP208" s="6" t="str">
        <f>IFERROR(Z208/L208,"-")</f>
        <v>-</v>
      </c>
      <c r="AQ208" s="6">
        <f>IFERROR(AJ208/M208,"-")</f>
        <v>1.0579710144927537</v>
      </c>
      <c r="AR208" s="6">
        <f>IFERROR(AB208/N208,"-")</f>
        <v>1.1000000000000001</v>
      </c>
      <c r="AS208" s="4" t="str">
        <f t="shared" si="33"/>
        <v>-</v>
      </c>
      <c r="AT208" s="4"/>
      <c r="AU208" s="4" t="str">
        <f t="shared" si="34"/>
        <v>-</v>
      </c>
      <c r="AV208" s="4" t="str">
        <f t="shared" si="35"/>
        <v>-</v>
      </c>
      <c r="AW208" s="4" t="str">
        <f t="shared" si="36"/>
        <v>-</v>
      </c>
      <c r="AX208" s="4" t="str">
        <f t="shared" si="37"/>
        <v>-</v>
      </c>
      <c r="AY208" s="4" t="str">
        <f t="shared" si="38"/>
        <v>-</v>
      </c>
      <c r="AZ208" s="4" t="str">
        <f t="shared" si="39"/>
        <v>-</v>
      </c>
      <c r="BA208" s="4" t="str">
        <f t="shared" si="40"/>
        <v>-</v>
      </c>
      <c r="BB208" s="4" t="str">
        <f t="shared" si="41"/>
        <v>-</v>
      </c>
      <c r="BC208" s="4" t="s">
        <v>415</v>
      </c>
      <c r="BD208" s="4" t="s">
        <v>693</v>
      </c>
      <c r="BE208" s="4">
        <v>1</v>
      </c>
      <c r="BF208" s="4">
        <v>2</v>
      </c>
      <c r="BG208" s="4" t="s">
        <v>694</v>
      </c>
      <c r="BH208" s="4">
        <v>1958</v>
      </c>
      <c r="BI208" s="4">
        <f>IF(BE208="",BH208,BE208/BF208*BH208)</f>
        <v>979</v>
      </c>
      <c r="BJ208" s="19">
        <v>4</v>
      </c>
      <c r="BK208" s="19">
        <v>1</v>
      </c>
      <c r="BL208" s="16">
        <v>3</v>
      </c>
      <c r="BM208" t="s">
        <v>422</v>
      </c>
      <c r="BN208" t="str">
        <f t="shared" si="42"/>
        <v>-</v>
      </c>
      <c r="BO208">
        <v>1007</v>
      </c>
      <c r="BP208">
        <f t="shared" si="43"/>
        <v>1107.7</v>
      </c>
      <c r="BQ208" t="s">
        <v>534</v>
      </c>
    </row>
    <row r="209" spans="1:69" x14ac:dyDescent="0.4">
      <c r="A209" s="3">
        <v>260</v>
      </c>
      <c r="B209" s="3">
        <v>172</v>
      </c>
      <c r="C209" s="46">
        <v>583766</v>
      </c>
      <c r="D209" s="4" t="str">
        <f>TEXT(C209,"000000")</f>
        <v>583766</v>
      </c>
      <c r="E209" s="4">
        <v>583768</v>
      </c>
      <c r="F209" s="4" t="s">
        <v>400</v>
      </c>
      <c r="G209" s="5">
        <v>4996297702023</v>
      </c>
      <c r="H209" s="5">
        <v>8</v>
      </c>
      <c r="I209" s="5" t="str">
        <f>C209&amp;H209</f>
        <v>5837668</v>
      </c>
      <c r="J209" s="5"/>
      <c r="K209" s="5"/>
      <c r="L209" s="4">
        <v>0</v>
      </c>
      <c r="M209" s="4">
        <v>2730</v>
      </c>
      <c r="N209" s="4">
        <v>1900</v>
      </c>
      <c r="O209" s="6">
        <f>IFERROR(1-N209/M209,"-")</f>
        <v>0.30402930402930406</v>
      </c>
      <c r="P209" s="4" t="s">
        <v>422</v>
      </c>
      <c r="Q209" s="4" t="s">
        <v>422</v>
      </c>
      <c r="R209" s="4" t="s">
        <v>422</v>
      </c>
      <c r="S209" s="4" t="s">
        <v>422</v>
      </c>
      <c r="T209" s="4" t="s">
        <v>422</v>
      </c>
      <c r="U209" s="4" t="s">
        <v>422</v>
      </c>
      <c r="V209" s="4" t="s">
        <v>422</v>
      </c>
      <c r="W209" s="4" t="s">
        <v>422</v>
      </c>
      <c r="X209" s="4" t="s">
        <v>422</v>
      </c>
      <c r="Y209" s="4">
        <v>0</v>
      </c>
      <c r="Z209" s="4">
        <f>IF(AC209="",Y209,Y209*AC209)</f>
        <v>0</v>
      </c>
      <c r="AA209" s="4">
        <v>418</v>
      </c>
      <c r="AB209" s="4">
        <f>IF(AC209="",AA209,AA209*AC209)</f>
        <v>2090</v>
      </c>
      <c r="AC209" s="4">
        <v>5</v>
      </c>
      <c r="AD209" s="21">
        <f>ROUND(M209*AR209,0)</f>
        <v>3003</v>
      </c>
      <c r="AE209" s="6">
        <f>IFERROR(1-AB209/AD209,"-")</f>
        <v>0.30402930402930406</v>
      </c>
      <c r="AF209" s="33">
        <v>11</v>
      </c>
      <c r="AG209" s="4">
        <f>BI209</f>
        <v>4895</v>
      </c>
      <c r="AH209" s="33">
        <f>IFERROR(AG209*AR209,"-")</f>
        <v>5384.5</v>
      </c>
      <c r="AI209" s="6">
        <f>IFERROR(1-AB209/AH209,"-")</f>
        <v>0.61184882533197138</v>
      </c>
      <c r="AJ209" s="7">
        <v>3400</v>
      </c>
      <c r="AK209" s="6">
        <f>1-AB209/AJ209</f>
        <v>0.38529411764705879</v>
      </c>
      <c r="AL209" s="4">
        <f>AJ209-AB209</f>
        <v>1310</v>
      </c>
      <c r="AM209" s="28"/>
      <c r="AN209" s="6"/>
      <c r="AO209" s="6"/>
      <c r="AP209" s="6" t="str">
        <f>IFERROR(Z209/L209,"-")</f>
        <v>-</v>
      </c>
      <c r="AQ209" s="6">
        <f>IFERROR(AJ209/M209,"-")</f>
        <v>1.2454212454212454</v>
      </c>
      <c r="AR209" s="6">
        <f>IFERROR(AB209/N209,"-")</f>
        <v>1.1000000000000001</v>
      </c>
      <c r="AS209" s="4" t="str">
        <f t="shared" si="33"/>
        <v>-</v>
      </c>
      <c r="AT209" s="4"/>
      <c r="AU209" s="4" t="str">
        <f t="shared" si="34"/>
        <v>-</v>
      </c>
      <c r="AV209" s="4" t="str">
        <f t="shared" si="35"/>
        <v>-</v>
      </c>
      <c r="AW209" s="4" t="str">
        <f t="shared" si="36"/>
        <v>-</v>
      </c>
      <c r="AX209" s="4" t="str">
        <f t="shared" si="37"/>
        <v>-</v>
      </c>
      <c r="AY209" s="4" t="str">
        <f t="shared" si="38"/>
        <v>-</v>
      </c>
      <c r="AZ209" s="4" t="str">
        <f t="shared" si="39"/>
        <v>-</v>
      </c>
      <c r="BA209" s="4" t="str">
        <f t="shared" si="40"/>
        <v>-</v>
      </c>
      <c r="BB209" s="4" t="str">
        <f t="shared" si="41"/>
        <v>-</v>
      </c>
      <c r="BC209" s="4" t="s">
        <v>415</v>
      </c>
      <c r="BD209" s="4" t="s">
        <v>693</v>
      </c>
      <c r="BE209" s="4">
        <v>5</v>
      </c>
      <c r="BF209" s="4">
        <v>2</v>
      </c>
      <c r="BG209" s="4" t="s">
        <v>694</v>
      </c>
      <c r="BH209" s="4">
        <v>1958</v>
      </c>
      <c r="BI209" s="4">
        <f>IF(BE209="",BH209,BE209/BF209*BH209)</f>
        <v>4895</v>
      </c>
      <c r="BJ209" s="19">
        <v>4</v>
      </c>
      <c r="BK209" s="19">
        <v>1</v>
      </c>
      <c r="BL209" s="16">
        <v>3</v>
      </c>
      <c r="BM209" t="s">
        <v>422</v>
      </c>
      <c r="BN209" t="str">
        <f t="shared" si="42"/>
        <v>-</v>
      </c>
      <c r="BO209">
        <v>1007</v>
      </c>
      <c r="BP209">
        <f t="shared" si="43"/>
        <v>1107.7</v>
      </c>
      <c r="BQ209" t="s">
        <v>534</v>
      </c>
    </row>
    <row r="210" spans="1:69" x14ac:dyDescent="0.4">
      <c r="A210" s="3">
        <v>127</v>
      </c>
      <c r="B210" s="3">
        <v>127</v>
      </c>
      <c r="C210" s="4">
        <v>698791</v>
      </c>
      <c r="D210" s="4" t="str">
        <f>TEXT(C210,"000000")</f>
        <v>698791</v>
      </c>
      <c r="E210" s="4">
        <v>698791</v>
      </c>
      <c r="F210" s="4" t="s">
        <v>241</v>
      </c>
      <c r="G210" s="5">
        <v>4996297446729</v>
      </c>
      <c r="H210" s="5"/>
      <c r="I210" s="5"/>
      <c r="J210" s="5">
        <v>1</v>
      </c>
      <c r="K210" s="5">
        <v>1</v>
      </c>
      <c r="L210" s="4">
        <v>0</v>
      </c>
      <c r="M210" s="4">
        <v>508</v>
      </c>
      <c r="N210" s="4">
        <v>372</v>
      </c>
      <c r="O210" s="6">
        <f>IFERROR(1-N210/M210,"-")</f>
        <v>0.26771653543307083</v>
      </c>
      <c r="P210" s="4" t="s">
        <v>422</v>
      </c>
      <c r="Q210" s="4" t="s">
        <v>422</v>
      </c>
      <c r="R210" s="4" t="s">
        <v>422</v>
      </c>
      <c r="S210" s="4" t="s">
        <v>422</v>
      </c>
      <c r="T210" s="4" t="s">
        <v>422</v>
      </c>
      <c r="U210" s="4" t="s">
        <v>422</v>
      </c>
      <c r="V210" s="4" t="s">
        <v>422</v>
      </c>
      <c r="W210" s="4" t="s">
        <v>422</v>
      </c>
      <c r="X210" s="4" t="s">
        <v>422</v>
      </c>
      <c r="Y210" s="4">
        <v>0</v>
      </c>
      <c r="Z210" s="4">
        <f>IF(AC210="",Y210,Y210*AC210)</f>
        <v>0</v>
      </c>
      <c r="AA210" s="4">
        <v>428</v>
      </c>
      <c r="AB210" s="4">
        <f>IF(AC210="",AA210,AA210*AC210)</f>
        <v>428</v>
      </c>
      <c r="AC210" s="4"/>
      <c r="AD210" s="21">
        <f>ROUND(M210*AR210,0)</f>
        <v>584</v>
      </c>
      <c r="AE210" s="6">
        <f>IFERROR(1-AB210/AD210,"-")</f>
        <v>0.26712328767123283</v>
      </c>
      <c r="AF210" s="33">
        <v>0.5</v>
      </c>
      <c r="AG210" s="4">
        <f>BI210</f>
        <v>1157</v>
      </c>
      <c r="AH210" s="33">
        <f>IFERROR(AG210*AR210,"-")</f>
        <v>1331.1720430107528</v>
      </c>
      <c r="AI210" s="6">
        <f>IFERROR(1-AB210/AH210,"-")</f>
        <v>0.67847882454624031</v>
      </c>
      <c r="AJ210" s="7">
        <v>680</v>
      </c>
      <c r="AK210" s="6">
        <f>1-AB210/AJ210</f>
        <v>0.37058823529411766</v>
      </c>
      <c r="AL210" s="4">
        <f>AJ210-AB210</f>
        <v>252</v>
      </c>
      <c r="AM210" s="28"/>
      <c r="AN210" s="6"/>
      <c r="AO210" s="6"/>
      <c r="AP210" s="6" t="str">
        <f>IFERROR(Z210/L210,"-")</f>
        <v>-</v>
      </c>
      <c r="AQ210" s="6">
        <f>IFERROR(AJ210/M210,"-")</f>
        <v>1.3385826771653544</v>
      </c>
      <c r="AR210" s="6">
        <f>IFERROR(AB210/N210,"-")</f>
        <v>1.1505376344086022</v>
      </c>
      <c r="AS210" s="4" t="str">
        <f t="shared" si="33"/>
        <v>-</v>
      </c>
      <c r="AT210" s="4"/>
      <c r="AU210" s="4" t="str">
        <f t="shared" si="34"/>
        <v>-</v>
      </c>
      <c r="AV210" s="4" t="str">
        <f t="shared" si="35"/>
        <v>-</v>
      </c>
      <c r="AW210" s="4" t="str">
        <f t="shared" si="36"/>
        <v>-</v>
      </c>
      <c r="AX210" s="4" t="str">
        <f t="shared" si="37"/>
        <v>-</v>
      </c>
      <c r="AY210" s="4" t="str">
        <f t="shared" si="38"/>
        <v>-</v>
      </c>
      <c r="AZ210" s="4" t="str">
        <f t="shared" si="39"/>
        <v>-</v>
      </c>
      <c r="BA210" s="4" t="str">
        <f t="shared" si="40"/>
        <v>-</v>
      </c>
      <c r="BB210" s="4" t="str">
        <f t="shared" si="41"/>
        <v>-</v>
      </c>
      <c r="BC210" s="4">
        <v>0</v>
      </c>
      <c r="BD210" s="4" t="s">
        <v>695</v>
      </c>
      <c r="BE210" s="4"/>
      <c r="BF210" s="4"/>
      <c r="BG210" s="4" t="s">
        <v>563</v>
      </c>
      <c r="BH210" s="4">
        <v>1157</v>
      </c>
      <c r="BI210" s="4">
        <f>IF(BE210="",BH210,BE210/BF210*BH210)</f>
        <v>1157</v>
      </c>
      <c r="BJ210" s="19">
        <v>4</v>
      </c>
      <c r="BK210" s="19">
        <v>1</v>
      </c>
      <c r="BL210" s="16">
        <v>3</v>
      </c>
      <c r="BM210">
        <v>3120</v>
      </c>
      <c r="BN210">
        <f t="shared" si="42"/>
        <v>3589.677419354839</v>
      </c>
      <c r="BO210">
        <v>931</v>
      </c>
      <c r="BP210">
        <f t="shared" si="43"/>
        <v>1071.1505376344087</v>
      </c>
      <c r="BQ210" t="s">
        <v>535</v>
      </c>
    </row>
    <row r="211" spans="1:69" x14ac:dyDescent="0.4">
      <c r="A211" s="3">
        <v>128</v>
      </c>
      <c r="B211" s="3">
        <v>128</v>
      </c>
      <c r="C211" s="4">
        <v>698793</v>
      </c>
      <c r="D211" s="4" t="str">
        <f>TEXT(C211,"000000")</f>
        <v>698793</v>
      </c>
      <c r="E211" s="4">
        <v>698793</v>
      </c>
      <c r="F211" s="4" t="s">
        <v>242</v>
      </c>
      <c r="G211" s="5">
        <v>4996297446743</v>
      </c>
      <c r="H211" s="5"/>
      <c r="I211" s="5"/>
      <c r="J211" s="5">
        <v>1</v>
      </c>
      <c r="K211" s="5">
        <v>1</v>
      </c>
      <c r="L211" s="4">
        <v>0</v>
      </c>
      <c r="M211" s="4">
        <v>570</v>
      </c>
      <c r="N211" s="4">
        <v>372</v>
      </c>
      <c r="O211" s="6">
        <f>IFERROR(1-N211/M211,"-")</f>
        <v>0.34736842105263155</v>
      </c>
      <c r="P211" s="4" t="s">
        <v>422</v>
      </c>
      <c r="Q211" s="4" t="s">
        <v>422</v>
      </c>
      <c r="R211" s="4" t="s">
        <v>422</v>
      </c>
      <c r="S211" s="4" t="s">
        <v>422</v>
      </c>
      <c r="T211" s="4" t="s">
        <v>422</v>
      </c>
      <c r="U211" s="4" t="s">
        <v>422</v>
      </c>
      <c r="V211" s="4" t="s">
        <v>422</v>
      </c>
      <c r="W211" s="4" t="s">
        <v>422</v>
      </c>
      <c r="X211" s="4" t="s">
        <v>422</v>
      </c>
      <c r="Y211" s="4">
        <v>0</v>
      </c>
      <c r="Z211" s="4">
        <f>IF(AC211="",Y211,Y211*AC211)</f>
        <v>0</v>
      </c>
      <c r="AA211" s="4">
        <v>428</v>
      </c>
      <c r="AB211" s="4">
        <f>IF(AC211="",AA211,AA211*AC211)</f>
        <v>428</v>
      </c>
      <c r="AC211" s="4"/>
      <c r="AD211" s="21">
        <f>ROUND(M211*AR211,0)</f>
        <v>656</v>
      </c>
      <c r="AE211" s="6">
        <f>IFERROR(1-AB211/AD211,"-")</f>
        <v>0.34756097560975607</v>
      </c>
      <c r="AF211" s="33">
        <v>122.50000000000001</v>
      </c>
      <c r="AG211" s="4">
        <f>BI211</f>
        <v>1157</v>
      </c>
      <c r="AH211" s="33">
        <f>IFERROR(AG211*AR211,"-")</f>
        <v>1331.1720430107528</v>
      </c>
      <c r="AI211" s="6">
        <f>IFERROR(1-AB211/AH211,"-")</f>
        <v>0.67847882454624031</v>
      </c>
      <c r="AJ211" s="7">
        <v>680</v>
      </c>
      <c r="AK211" s="6">
        <f>1-AB211/AJ211</f>
        <v>0.37058823529411766</v>
      </c>
      <c r="AL211" s="4">
        <f>AJ211-AB211</f>
        <v>252</v>
      </c>
      <c r="AM211" s="28"/>
      <c r="AN211" s="6"/>
      <c r="AO211" s="6"/>
      <c r="AP211" s="6" t="str">
        <f>IFERROR(Z211/L211,"-")</f>
        <v>-</v>
      </c>
      <c r="AQ211" s="6">
        <f>IFERROR(AJ211/M211,"-")</f>
        <v>1.1929824561403508</v>
      </c>
      <c r="AR211" s="6">
        <f>IFERROR(AB211/N211,"-")</f>
        <v>1.1505376344086022</v>
      </c>
      <c r="AS211" s="4" t="str">
        <f t="shared" si="33"/>
        <v>-</v>
      </c>
      <c r="AT211" s="4"/>
      <c r="AU211" s="4" t="str">
        <f t="shared" si="34"/>
        <v>-</v>
      </c>
      <c r="AV211" s="4" t="str">
        <f t="shared" si="35"/>
        <v>-</v>
      </c>
      <c r="AW211" s="4" t="str">
        <f t="shared" si="36"/>
        <v>-</v>
      </c>
      <c r="AX211" s="4" t="str">
        <f t="shared" si="37"/>
        <v>-</v>
      </c>
      <c r="AY211" s="4" t="str">
        <f t="shared" si="38"/>
        <v>-</v>
      </c>
      <c r="AZ211" s="4" t="str">
        <f t="shared" si="39"/>
        <v>-</v>
      </c>
      <c r="BA211" s="4" t="str">
        <f t="shared" si="40"/>
        <v>-</v>
      </c>
      <c r="BB211" s="4" t="str">
        <f t="shared" si="41"/>
        <v>-</v>
      </c>
      <c r="BC211" s="4">
        <v>0</v>
      </c>
      <c r="BD211" s="4" t="s">
        <v>696</v>
      </c>
      <c r="BE211" s="4"/>
      <c r="BF211" s="4"/>
      <c r="BG211" s="4" t="s">
        <v>563</v>
      </c>
      <c r="BH211" s="4">
        <v>1157</v>
      </c>
      <c r="BI211" s="4">
        <f>IF(BE211="",BH211,BE211/BF211*BH211)</f>
        <v>1157</v>
      </c>
      <c r="BJ211" s="19">
        <v>4</v>
      </c>
      <c r="BK211" s="19">
        <v>1</v>
      </c>
      <c r="BL211" s="16">
        <v>3</v>
      </c>
      <c r="BM211" t="s">
        <v>422</v>
      </c>
      <c r="BN211" t="str">
        <f t="shared" si="42"/>
        <v>-</v>
      </c>
      <c r="BO211">
        <v>931</v>
      </c>
      <c r="BP211">
        <f t="shared" si="43"/>
        <v>1071.1505376344087</v>
      </c>
      <c r="BQ211" t="s">
        <v>536</v>
      </c>
    </row>
    <row r="212" spans="1:69" x14ac:dyDescent="0.4">
      <c r="A212" s="3">
        <v>136</v>
      </c>
      <c r="B212" s="3">
        <v>136</v>
      </c>
      <c r="C212" s="4" t="s">
        <v>102</v>
      </c>
      <c r="D212" s="4" t="str">
        <f>TEXT(C212,"000000")</f>
        <v>J969WY</v>
      </c>
      <c r="E212" s="4" t="s">
        <v>102</v>
      </c>
      <c r="F212" s="4" t="s">
        <v>250</v>
      </c>
      <c r="G212" s="5">
        <v>4996297450047</v>
      </c>
      <c r="H212" s="5"/>
      <c r="I212" s="5"/>
      <c r="J212" s="5">
        <v>1</v>
      </c>
      <c r="K212" s="5">
        <v>1</v>
      </c>
      <c r="L212" s="4">
        <v>0</v>
      </c>
      <c r="M212" s="4">
        <v>963</v>
      </c>
      <c r="N212" s="4">
        <v>390</v>
      </c>
      <c r="O212" s="6">
        <f>IFERROR(1-N212/M212,"-")</f>
        <v>0.59501557632398749</v>
      </c>
      <c r="P212" s="4" t="s">
        <v>422</v>
      </c>
      <c r="Q212" s="4" t="s">
        <v>422</v>
      </c>
      <c r="R212" s="4" t="s">
        <v>422</v>
      </c>
      <c r="S212" s="4" t="s">
        <v>422</v>
      </c>
      <c r="T212" s="4" t="s">
        <v>422</v>
      </c>
      <c r="U212" s="4" t="s">
        <v>422</v>
      </c>
      <c r="V212" s="4" t="s">
        <v>422</v>
      </c>
      <c r="W212" s="4" t="s">
        <v>422</v>
      </c>
      <c r="X212" s="4" t="s">
        <v>422</v>
      </c>
      <c r="Y212" s="4">
        <v>0</v>
      </c>
      <c r="Z212" s="4">
        <f>IF(AC212="",Y212,Y212*AC212)</f>
        <v>0</v>
      </c>
      <c r="AA212" s="4">
        <v>441</v>
      </c>
      <c r="AB212" s="4">
        <f>IF(AC212="",AA212,AA212*AC212)</f>
        <v>441</v>
      </c>
      <c r="AC212" s="4"/>
      <c r="AD212" s="21">
        <f>ROUND(M212*AR212,0)</f>
        <v>1089</v>
      </c>
      <c r="AE212" s="6">
        <f>IFERROR(1-AB212/AD212,"-")</f>
        <v>0.5950413223140496</v>
      </c>
      <c r="AF212" s="33">
        <v>2.75</v>
      </c>
      <c r="AG212" s="4">
        <f>BI212</f>
        <v>963</v>
      </c>
      <c r="AH212" s="33">
        <f>IFERROR(AG212*AR212,"-")</f>
        <v>1088.9307692307691</v>
      </c>
      <c r="AI212" s="6">
        <f>IFERROR(1-AB212/AH212,"-")</f>
        <v>0.59501557632398749</v>
      </c>
      <c r="AJ212" s="7">
        <v>970</v>
      </c>
      <c r="AK212" s="6">
        <f>1-AB212/AJ212</f>
        <v>0.5453608247422681</v>
      </c>
      <c r="AL212" s="4">
        <f>AJ212-AB212</f>
        <v>529</v>
      </c>
      <c r="AM212" s="28"/>
      <c r="AN212" s="6"/>
      <c r="AO212" s="6"/>
      <c r="AP212" s="6" t="str">
        <f>IFERROR(Z212/L212,"-")</f>
        <v>-</v>
      </c>
      <c r="AQ212" s="6">
        <f>IFERROR(AJ212/M212,"-")</f>
        <v>1.0072689511941848</v>
      </c>
      <c r="AR212" s="6">
        <f>IFERROR(AB212/N212,"-")</f>
        <v>1.1307692307692307</v>
      </c>
      <c r="AS212" s="4" t="str">
        <f t="shared" si="33"/>
        <v>-</v>
      </c>
      <c r="AT212" s="4"/>
      <c r="AU212" s="4" t="str">
        <f t="shared" si="34"/>
        <v>-</v>
      </c>
      <c r="AV212" s="4" t="str">
        <f t="shared" si="35"/>
        <v>-</v>
      </c>
      <c r="AW212" s="4" t="str">
        <f t="shared" si="36"/>
        <v>-</v>
      </c>
      <c r="AX212" s="4" t="str">
        <f t="shared" si="37"/>
        <v>-</v>
      </c>
      <c r="AY212" s="4" t="str">
        <f t="shared" si="38"/>
        <v>-</v>
      </c>
      <c r="AZ212" s="4" t="str">
        <f t="shared" si="39"/>
        <v>-</v>
      </c>
      <c r="BA212" s="4" t="str">
        <f t="shared" si="40"/>
        <v>-</v>
      </c>
      <c r="BB212" s="4" t="str">
        <f t="shared" si="41"/>
        <v>-</v>
      </c>
      <c r="BC212" s="4">
        <v>0</v>
      </c>
      <c r="BD212" s="4" t="s">
        <v>697</v>
      </c>
      <c r="BE212" s="4"/>
      <c r="BF212" s="4"/>
      <c r="BG212" s="4" t="s">
        <v>664</v>
      </c>
      <c r="BH212" s="4">
        <v>963</v>
      </c>
      <c r="BI212" s="4">
        <f>IF(BE212="",BH212,BE212/BF212*BH212)</f>
        <v>963</v>
      </c>
      <c r="BJ212" s="19">
        <v>4</v>
      </c>
      <c r="BK212" s="19">
        <v>1</v>
      </c>
      <c r="BL212" s="16">
        <v>3</v>
      </c>
      <c r="BM212">
        <v>543</v>
      </c>
      <c r="BN212">
        <f t="shared" si="42"/>
        <v>614.00769230769231</v>
      </c>
      <c r="BO212">
        <v>979</v>
      </c>
      <c r="BP212">
        <f t="shared" si="43"/>
        <v>1107.0230769230768</v>
      </c>
      <c r="BQ212" t="s">
        <v>537</v>
      </c>
    </row>
    <row r="213" spans="1:69" x14ac:dyDescent="0.4">
      <c r="A213" s="3">
        <v>135</v>
      </c>
      <c r="B213" s="3">
        <v>135</v>
      </c>
      <c r="C213" s="4" t="s">
        <v>101</v>
      </c>
      <c r="D213" s="4" t="str">
        <f>TEXT(C213,"000000")</f>
        <v>J970WY</v>
      </c>
      <c r="E213" s="4" t="s">
        <v>101</v>
      </c>
      <c r="F213" s="4" t="s">
        <v>249</v>
      </c>
      <c r="G213" s="5">
        <v>4996297450030</v>
      </c>
      <c r="H213" s="5"/>
      <c r="I213" s="5"/>
      <c r="J213" s="5">
        <v>1</v>
      </c>
      <c r="K213" s="5">
        <v>1</v>
      </c>
      <c r="L213" s="4">
        <v>0</v>
      </c>
      <c r="M213" s="4">
        <v>1088</v>
      </c>
      <c r="N213" s="4">
        <v>390</v>
      </c>
      <c r="O213" s="6">
        <f>IFERROR(1-N213/M213,"-")</f>
        <v>0.64154411764705888</v>
      </c>
      <c r="P213" s="4" t="s">
        <v>422</v>
      </c>
      <c r="Q213" s="4" t="s">
        <v>422</v>
      </c>
      <c r="R213" s="4" t="s">
        <v>422</v>
      </c>
      <c r="S213" s="4" t="s">
        <v>422</v>
      </c>
      <c r="T213" s="4" t="s">
        <v>422</v>
      </c>
      <c r="U213" s="4" t="s">
        <v>422</v>
      </c>
      <c r="V213" s="4" t="s">
        <v>422</v>
      </c>
      <c r="W213" s="4" t="s">
        <v>422</v>
      </c>
      <c r="X213" s="4" t="s">
        <v>422</v>
      </c>
      <c r="Y213" s="4">
        <v>0</v>
      </c>
      <c r="Z213" s="4">
        <f>IF(AC213="",Y213,Y213*AC213)</f>
        <v>0</v>
      </c>
      <c r="AA213" s="4">
        <v>441</v>
      </c>
      <c r="AB213" s="4">
        <f>IF(AC213="",AA213,AA213*AC213)</f>
        <v>441</v>
      </c>
      <c r="AC213" s="4"/>
      <c r="AD213" s="21">
        <f>ROUND(M213*AR213,0)</f>
        <v>1230</v>
      </c>
      <c r="AE213" s="6">
        <f>IFERROR(1-AB213/AD213,"-")</f>
        <v>0.64146341463414636</v>
      </c>
      <c r="AF213" s="33">
        <v>2.5</v>
      </c>
      <c r="AG213" s="4">
        <f>BI213</f>
        <v>1088</v>
      </c>
      <c r="AH213" s="33">
        <f>IFERROR(AG213*AR213,"-")</f>
        <v>1230.2769230769231</v>
      </c>
      <c r="AI213" s="6">
        <f>IFERROR(1-AB213/AH213,"-")</f>
        <v>0.64154411764705888</v>
      </c>
      <c r="AJ213" s="7">
        <v>970</v>
      </c>
      <c r="AK213" s="6">
        <f>1-AB213/AJ213</f>
        <v>0.5453608247422681</v>
      </c>
      <c r="AL213" s="4">
        <f>AJ213-AB213</f>
        <v>529</v>
      </c>
      <c r="AM213" s="28"/>
      <c r="AN213" s="6"/>
      <c r="AO213" s="6"/>
      <c r="AP213" s="6" t="str">
        <f>IFERROR(Z213/L213,"-")</f>
        <v>-</v>
      </c>
      <c r="AQ213" s="6">
        <f>IFERROR(AJ213/M213,"-")</f>
        <v>0.89154411764705888</v>
      </c>
      <c r="AR213" s="6">
        <f>IFERROR(AB213/N213,"-")</f>
        <v>1.1307692307692307</v>
      </c>
      <c r="AS213" s="4" t="str">
        <f t="shared" si="33"/>
        <v>-</v>
      </c>
      <c r="AT213" s="4"/>
      <c r="AU213" s="4" t="str">
        <f t="shared" si="34"/>
        <v>-</v>
      </c>
      <c r="AV213" s="4" t="str">
        <f t="shared" si="35"/>
        <v>-</v>
      </c>
      <c r="AW213" s="4" t="str">
        <f t="shared" si="36"/>
        <v>-</v>
      </c>
      <c r="AX213" s="4" t="str">
        <f t="shared" si="37"/>
        <v>-</v>
      </c>
      <c r="AY213" s="4" t="str">
        <f t="shared" si="38"/>
        <v>-</v>
      </c>
      <c r="AZ213" s="4" t="str">
        <f t="shared" si="39"/>
        <v>-</v>
      </c>
      <c r="BA213" s="4" t="str">
        <f t="shared" si="40"/>
        <v>-</v>
      </c>
      <c r="BB213" s="4" t="str">
        <f t="shared" si="41"/>
        <v>-</v>
      </c>
      <c r="BC213" s="4">
        <v>0</v>
      </c>
      <c r="BD213" s="4" t="s">
        <v>698</v>
      </c>
      <c r="BE213" s="4"/>
      <c r="BF213" s="4"/>
      <c r="BG213" s="4" t="s">
        <v>639</v>
      </c>
      <c r="BH213" s="4">
        <v>1088</v>
      </c>
      <c r="BI213" s="4">
        <f>IF(BE213="",BH213,BE213/BF213*BH213)</f>
        <v>1088</v>
      </c>
      <c r="BJ213" s="19">
        <v>4</v>
      </c>
      <c r="BK213" s="19">
        <v>1</v>
      </c>
      <c r="BL213" s="16">
        <v>3</v>
      </c>
      <c r="BM213">
        <v>543</v>
      </c>
      <c r="BN213">
        <f t="shared" si="42"/>
        <v>614.00769230769231</v>
      </c>
      <c r="BO213">
        <v>979</v>
      </c>
      <c r="BP213">
        <f t="shared" si="43"/>
        <v>1107.0230769230768</v>
      </c>
      <c r="BQ213" t="s">
        <v>538</v>
      </c>
    </row>
    <row r="214" spans="1:69" x14ac:dyDescent="0.4">
      <c r="A214" s="3">
        <v>134</v>
      </c>
      <c r="B214" s="3">
        <v>134</v>
      </c>
      <c r="C214" s="4" t="s">
        <v>100</v>
      </c>
      <c r="D214" s="4" t="str">
        <f>TEXT(C214,"000000")</f>
        <v>J971WY</v>
      </c>
      <c r="E214" s="4" t="s">
        <v>100</v>
      </c>
      <c r="F214" s="4" t="s">
        <v>248</v>
      </c>
      <c r="G214" s="5">
        <v>4996297450009</v>
      </c>
      <c r="H214" s="5"/>
      <c r="I214" s="5"/>
      <c r="J214" s="5">
        <v>1</v>
      </c>
      <c r="K214" s="5">
        <v>1</v>
      </c>
      <c r="L214" s="4">
        <v>0</v>
      </c>
      <c r="M214" s="4">
        <v>961</v>
      </c>
      <c r="N214" s="4">
        <v>390</v>
      </c>
      <c r="O214" s="6">
        <f>IFERROR(1-N214/M214,"-")</f>
        <v>0.59417273673257021</v>
      </c>
      <c r="P214" s="4" t="s">
        <v>422</v>
      </c>
      <c r="Q214" s="4" t="s">
        <v>422</v>
      </c>
      <c r="R214" s="4" t="s">
        <v>422</v>
      </c>
      <c r="S214" s="4" t="s">
        <v>422</v>
      </c>
      <c r="T214" s="4" t="s">
        <v>422</v>
      </c>
      <c r="U214" s="4" t="s">
        <v>422</v>
      </c>
      <c r="V214" s="4" t="s">
        <v>422</v>
      </c>
      <c r="W214" s="4" t="s">
        <v>422</v>
      </c>
      <c r="X214" s="4" t="s">
        <v>422</v>
      </c>
      <c r="Y214" s="4">
        <v>0</v>
      </c>
      <c r="Z214" s="4">
        <f>IF(AC214="",Y214,Y214*AC214)</f>
        <v>0</v>
      </c>
      <c r="AA214" s="4">
        <v>441</v>
      </c>
      <c r="AB214" s="4">
        <f>IF(AC214="",AA214,AA214*AC214)</f>
        <v>441</v>
      </c>
      <c r="AC214" s="4"/>
      <c r="AD214" s="21">
        <f>ROUND(M214*AR214,0)</f>
        <v>1087</v>
      </c>
      <c r="AE214" s="6">
        <f>IFERROR(1-AB214/AD214,"-")</f>
        <v>0.59429622815087391</v>
      </c>
      <c r="AF214" s="33">
        <v>1</v>
      </c>
      <c r="AG214" s="4">
        <f>BI214</f>
        <v>961</v>
      </c>
      <c r="AH214" s="33">
        <f>IFERROR(AG214*AR214,"-")</f>
        <v>1086.6692307692308</v>
      </c>
      <c r="AI214" s="6">
        <f>IFERROR(1-AB214/AH214,"-")</f>
        <v>0.59417273673257021</v>
      </c>
      <c r="AJ214" s="7">
        <v>970</v>
      </c>
      <c r="AK214" s="6">
        <f>1-AB214/AJ214</f>
        <v>0.5453608247422681</v>
      </c>
      <c r="AL214" s="4">
        <f>AJ214-AB214</f>
        <v>529</v>
      </c>
      <c r="AM214" s="28"/>
      <c r="AN214" s="6"/>
      <c r="AO214" s="6"/>
      <c r="AP214" s="6" t="str">
        <f>IFERROR(Z214/L214,"-")</f>
        <v>-</v>
      </c>
      <c r="AQ214" s="6">
        <f>IFERROR(AJ214/M214,"-")</f>
        <v>1.0093652445369408</v>
      </c>
      <c r="AR214" s="6">
        <f>IFERROR(AB214/N214,"-")</f>
        <v>1.1307692307692307</v>
      </c>
      <c r="AS214" s="4" t="str">
        <f t="shared" si="33"/>
        <v>-</v>
      </c>
      <c r="AT214" s="4"/>
      <c r="AU214" s="4" t="str">
        <f t="shared" si="34"/>
        <v>-</v>
      </c>
      <c r="AV214" s="4" t="str">
        <f t="shared" si="35"/>
        <v>-</v>
      </c>
      <c r="AW214" s="4" t="str">
        <f t="shared" si="36"/>
        <v>-</v>
      </c>
      <c r="AX214" s="4" t="str">
        <f t="shared" si="37"/>
        <v>-</v>
      </c>
      <c r="AY214" s="4" t="str">
        <f t="shared" si="38"/>
        <v>-</v>
      </c>
      <c r="AZ214" s="4" t="str">
        <f t="shared" si="39"/>
        <v>-</v>
      </c>
      <c r="BA214" s="4" t="str">
        <f t="shared" si="40"/>
        <v>-</v>
      </c>
      <c r="BB214" s="4" t="str">
        <f t="shared" si="41"/>
        <v>-</v>
      </c>
      <c r="BC214" s="4">
        <v>0</v>
      </c>
      <c r="BD214" s="4" t="s">
        <v>699</v>
      </c>
      <c r="BE214" s="4"/>
      <c r="BF214" s="4"/>
      <c r="BG214" s="4" t="s">
        <v>639</v>
      </c>
      <c r="BH214" s="4">
        <v>961</v>
      </c>
      <c r="BI214" s="4">
        <f>IF(BE214="",BH214,BE214/BF214*BH214)</f>
        <v>961</v>
      </c>
      <c r="BJ214" s="19">
        <v>4</v>
      </c>
      <c r="BK214" s="19">
        <v>1</v>
      </c>
      <c r="BL214" s="16">
        <v>3</v>
      </c>
      <c r="BM214">
        <v>543</v>
      </c>
      <c r="BN214">
        <f t="shared" si="42"/>
        <v>614.00769230769231</v>
      </c>
      <c r="BO214">
        <v>979</v>
      </c>
      <c r="BP214">
        <f t="shared" si="43"/>
        <v>1107.0230769230768</v>
      </c>
      <c r="BQ214" t="s">
        <v>539</v>
      </c>
    </row>
    <row r="215" spans="1:69" x14ac:dyDescent="0.4">
      <c r="A215" s="3">
        <v>72</v>
      </c>
      <c r="B215" s="3">
        <v>72</v>
      </c>
      <c r="C215" s="4">
        <v>731016</v>
      </c>
      <c r="D215" s="4" t="str">
        <f>TEXT(C215,"000000")</f>
        <v>731016</v>
      </c>
      <c r="E215" s="4">
        <v>763848</v>
      </c>
      <c r="F215" s="4" t="s">
        <v>186</v>
      </c>
      <c r="G215" s="5">
        <v>4996297364085</v>
      </c>
      <c r="H215" s="5"/>
      <c r="I215" s="5"/>
      <c r="J215" s="5">
        <v>1</v>
      </c>
      <c r="K215" s="5">
        <v>1</v>
      </c>
      <c r="L215" s="4">
        <v>0</v>
      </c>
      <c r="M215" s="4">
        <v>688</v>
      </c>
      <c r="N215" s="4">
        <v>400</v>
      </c>
      <c r="O215" s="6">
        <f>IFERROR(1-N215/M215,"-")</f>
        <v>0.41860465116279066</v>
      </c>
      <c r="P215" s="4" t="s">
        <v>422</v>
      </c>
      <c r="Q215" s="4" t="s">
        <v>422</v>
      </c>
      <c r="R215" s="4" t="s">
        <v>422</v>
      </c>
      <c r="S215" s="4" t="s">
        <v>422</v>
      </c>
      <c r="T215" s="4" t="s">
        <v>422</v>
      </c>
      <c r="U215" s="4" t="s">
        <v>422</v>
      </c>
      <c r="V215" s="4" t="s">
        <v>422</v>
      </c>
      <c r="W215" s="4" t="s">
        <v>422</v>
      </c>
      <c r="X215" s="4" t="s">
        <v>422</v>
      </c>
      <c r="Y215" s="4">
        <v>0</v>
      </c>
      <c r="Z215" s="4">
        <f>IF(AC215="",Y215,Y215*AC215)</f>
        <v>0</v>
      </c>
      <c r="AA215" s="4">
        <v>460</v>
      </c>
      <c r="AB215" s="4">
        <f>IF(AC215="",AA215,AA215*AC215)</f>
        <v>460</v>
      </c>
      <c r="AC215" s="4"/>
      <c r="AD215" s="21">
        <f>ROUND(M215*AR215,0)</f>
        <v>791</v>
      </c>
      <c r="AE215" s="6">
        <f>IFERROR(1-AB215/AD215,"-")</f>
        <v>0.41845764854614409</v>
      </c>
      <c r="AF215" s="33">
        <v>156.25</v>
      </c>
      <c r="AG215" s="4">
        <f>BI215</f>
        <v>1172</v>
      </c>
      <c r="AH215" s="33">
        <f>IFERROR(AG215*AR215,"-")</f>
        <v>1347.8</v>
      </c>
      <c r="AI215" s="6">
        <f>IFERROR(1-AB215/AH215,"-")</f>
        <v>0.65870307167235498</v>
      </c>
      <c r="AJ215" s="7">
        <v>790</v>
      </c>
      <c r="AK215" s="6">
        <f>1-AB215/AJ215</f>
        <v>0.41772151898734178</v>
      </c>
      <c r="AL215" s="4">
        <f>AJ215-AB215</f>
        <v>330</v>
      </c>
      <c r="AM215" s="28"/>
      <c r="AN215" s="6"/>
      <c r="AO215" s="6"/>
      <c r="AP215" s="6" t="str">
        <f>IFERROR(Z215/L215,"-")</f>
        <v>-</v>
      </c>
      <c r="AQ215" s="6">
        <f>IFERROR(AJ215/M215,"-")</f>
        <v>1.1482558139534884</v>
      </c>
      <c r="AR215" s="6">
        <f>IFERROR(AB215/N215,"-")</f>
        <v>1.1499999999999999</v>
      </c>
      <c r="AS215" s="4" t="str">
        <f t="shared" si="33"/>
        <v>-</v>
      </c>
      <c r="AT215" s="4"/>
      <c r="AU215" s="4" t="str">
        <f t="shared" si="34"/>
        <v>-</v>
      </c>
      <c r="AV215" s="4" t="str">
        <f t="shared" si="35"/>
        <v>-</v>
      </c>
      <c r="AW215" s="4" t="str">
        <f t="shared" si="36"/>
        <v>-</v>
      </c>
      <c r="AX215" s="4" t="str">
        <f t="shared" si="37"/>
        <v>-</v>
      </c>
      <c r="AY215" s="4" t="str">
        <f t="shared" si="38"/>
        <v>-</v>
      </c>
      <c r="AZ215" s="4" t="str">
        <f t="shared" si="39"/>
        <v>-</v>
      </c>
      <c r="BA215" s="4" t="str">
        <f t="shared" si="40"/>
        <v>-</v>
      </c>
      <c r="BB215" s="4" t="str">
        <f t="shared" si="41"/>
        <v>-</v>
      </c>
      <c r="BC215" s="4" t="s">
        <v>412</v>
      </c>
      <c r="BD215" s="4" t="s">
        <v>700</v>
      </c>
      <c r="BE215" s="4"/>
      <c r="BF215" s="4"/>
      <c r="BG215" s="4" t="s">
        <v>626</v>
      </c>
      <c r="BH215" s="4">
        <v>1172</v>
      </c>
      <c r="BI215" s="4">
        <f>IF(BE215="",BH215,BE215/BF215*BH215)</f>
        <v>1172</v>
      </c>
      <c r="BJ215" s="19">
        <v>4</v>
      </c>
      <c r="BK215" s="19">
        <v>1</v>
      </c>
      <c r="BL215" s="16">
        <v>3</v>
      </c>
      <c r="BM215">
        <v>689</v>
      </c>
      <c r="BN215">
        <f t="shared" si="42"/>
        <v>792.34999999999991</v>
      </c>
      <c r="BO215" t="s">
        <v>422</v>
      </c>
      <c r="BP215" t="str">
        <f t="shared" si="43"/>
        <v>-</v>
      </c>
      <c r="BQ215" t="s">
        <v>540</v>
      </c>
    </row>
    <row r="216" spans="1:69" x14ac:dyDescent="0.4">
      <c r="A216" s="3">
        <v>92</v>
      </c>
      <c r="B216" s="3">
        <v>92</v>
      </c>
      <c r="C216" s="4">
        <v>731295</v>
      </c>
      <c r="D216" s="4" t="str">
        <f>TEXT(C216,"000000")</f>
        <v>731295</v>
      </c>
      <c r="E216" s="4">
        <v>731295</v>
      </c>
      <c r="F216" s="4" t="s">
        <v>206</v>
      </c>
      <c r="G216" s="5">
        <v>4996297388821</v>
      </c>
      <c r="H216" s="5"/>
      <c r="I216" s="5"/>
      <c r="J216" s="5">
        <v>1</v>
      </c>
      <c r="K216" s="5">
        <v>1</v>
      </c>
      <c r="L216" s="4">
        <v>0</v>
      </c>
      <c r="M216" s="4">
        <v>689</v>
      </c>
      <c r="N216" s="4">
        <v>427</v>
      </c>
      <c r="O216" s="6">
        <f>IFERROR(1-N216/M216,"-")</f>
        <v>0.38026124818577645</v>
      </c>
      <c r="P216" s="4" t="s">
        <v>422</v>
      </c>
      <c r="Q216" s="4" t="s">
        <v>422</v>
      </c>
      <c r="R216" s="4" t="s">
        <v>422</v>
      </c>
      <c r="S216" s="4" t="s">
        <v>422</v>
      </c>
      <c r="T216" s="4" t="s">
        <v>422</v>
      </c>
      <c r="U216" s="4" t="s">
        <v>422</v>
      </c>
      <c r="V216" s="4" t="s">
        <v>422</v>
      </c>
      <c r="W216" s="4" t="s">
        <v>422</v>
      </c>
      <c r="X216" s="4" t="s">
        <v>422</v>
      </c>
      <c r="Y216" s="4">
        <v>0</v>
      </c>
      <c r="Z216" s="4">
        <f>IF(AC216="",Y216,Y216*AC216)</f>
        <v>0</v>
      </c>
      <c r="AA216" s="4">
        <v>468</v>
      </c>
      <c r="AB216" s="4">
        <f>IF(AC216="",AA216,AA216*AC216)</f>
        <v>468</v>
      </c>
      <c r="AC216" s="4"/>
      <c r="AD216" s="21">
        <f>ROUND(M216*AR216,0)</f>
        <v>755</v>
      </c>
      <c r="AE216" s="6">
        <f>IFERROR(1-AB216/AD216,"-")</f>
        <v>0.38013245033112586</v>
      </c>
      <c r="AF216" s="33">
        <v>70</v>
      </c>
      <c r="AG216" s="4" t="str">
        <f>BI216</f>
        <v>-</v>
      </c>
      <c r="AH216" s="33" t="str">
        <f>IFERROR(AG216*AR216,"-")</f>
        <v>-</v>
      </c>
      <c r="AI216" s="6" t="str">
        <f>IFERROR(1-AB216/AH216,"-")</f>
        <v>-</v>
      </c>
      <c r="AJ216" s="7">
        <v>770</v>
      </c>
      <c r="AK216" s="6">
        <f>1-AB216/AJ216</f>
        <v>0.39220779220779223</v>
      </c>
      <c r="AL216" s="4">
        <f>AJ216-AB216</f>
        <v>302</v>
      </c>
      <c r="AM216" s="28"/>
      <c r="AN216" s="6"/>
      <c r="AO216" s="6"/>
      <c r="AP216" s="6" t="str">
        <f>IFERROR(Z216/L216,"-")</f>
        <v>-</v>
      </c>
      <c r="AQ216" s="6">
        <f>IFERROR(AJ216/M216,"-")</f>
        <v>1.1175616835994195</v>
      </c>
      <c r="AR216" s="6">
        <f>IFERROR(AB216/N216,"-")</f>
        <v>1.0960187353629978</v>
      </c>
      <c r="AS216" s="4" t="str">
        <f t="shared" si="33"/>
        <v>-</v>
      </c>
      <c r="AT216" s="4"/>
      <c r="AU216" s="4" t="str">
        <f t="shared" si="34"/>
        <v>-</v>
      </c>
      <c r="AV216" s="4" t="str">
        <f t="shared" si="35"/>
        <v>-</v>
      </c>
      <c r="AW216" s="4" t="str">
        <f t="shared" si="36"/>
        <v>-</v>
      </c>
      <c r="AX216" s="4" t="str">
        <f t="shared" si="37"/>
        <v>-</v>
      </c>
      <c r="AY216" s="4" t="str">
        <f t="shared" si="38"/>
        <v>-</v>
      </c>
      <c r="AZ216" s="4" t="str">
        <f t="shared" si="39"/>
        <v>-</v>
      </c>
      <c r="BA216" s="4" t="str">
        <f t="shared" si="40"/>
        <v>-</v>
      </c>
      <c r="BB216" s="4" t="str">
        <f t="shared" si="41"/>
        <v>-</v>
      </c>
      <c r="BC216" s="4" t="s">
        <v>416</v>
      </c>
      <c r="BD216" s="4" t="s">
        <v>422</v>
      </c>
      <c r="BE216" s="4"/>
      <c r="BF216" s="4"/>
      <c r="BG216" s="4" t="s">
        <v>422</v>
      </c>
      <c r="BH216" s="4" t="s">
        <v>422</v>
      </c>
      <c r="BI216" s="4" t="str">
        <f>IF(BE216="",BH216,BE216/BF216*BH216)</f>
        <v>-</v>
      </c>
      <c r="BJ216" s="19">
        <v>4</v>
      </c>
      <c r="BK216" s="19">
        <v>1</v>
      </c>
      <c r="BL216" s="16">
        <v>3</v>
      </c>
      <c r="BM216">
        <v>558</v>
      </c>
      <c r="BN216">
        <f t="shared" si="42"/>
        <v>611.57845433255272</v>
      </c>
      <c r="BO216" t="s">
        <v>422</v>
      </c>
      <c r="BP216" t="str">
        <f t="shared" si="43"/>
        <v>-</v>
      </c>
      <c r="BQ216" t="s">
        <v>422</v>
      </c>
    </row>
    <row r="217" spans="1:69" x14ac:dyDescent="0.4">
      <c r="A217" s="3">
        <v>93</v>
      </c>
      <c r="B217" s="3">
        <v>93</v>
      </c>
      <c r="C217" s="4">
        <v>731304</v>
      </c>
      <c r="D217" s="4" t="str">
        <f>TEXT(C217,"000000")</f>
        <v>731304</v>
      </c>
      <c r="E217" s="4">
        <v>731304</v>
      </c>
      <c r="F217" s="4" t="s">
        <v>207</v>
      </c>
      <c r="G217" s="5">
        <v>4996297388838</v>
      </c>
      <c r="H217" s="5"/>
      <c r="I217" s="5"/>
      <c r="J217" s="5">
        <v>1</v>
      </c>
      <c r="K217" s="5">
        <v>1</v>
      </c>
      <c r="L217" s="4">
        <v>0</v>
      </c>
      <c r="M217" s="4">
        <v>702</v>
      </c>
      <c r="N217" s="4">
        <v>427</v>
      </c>
      <c r="O217" s="6">
        <f>IFERROR(1-N217/M217,"-")</f>
        <v>0.39173789173789175</v>
      </c>
      <c r="P217" s="4" t="s">
        <v>422</v>
      </c>
      <c r="Q217" s="4" t="s">
        <v>422</v>
      </c>
      <c r="R217" s="4" t="s">
        <v>422</v>
      </c>
      <c r="S217" s="4" t="s">
        <v>422</v>
      </c>
      <c r="T217" s="4" t="s">
        <v>422</v>
      </c>
      <c r="U217" s="4" t="s">
        <v>422</v>
      </c>
      <c r="V217" s="4" t="s">
        <v>422</v>
      </c>
      <c r="W217" s="4" t="s">
        <v>422</v>
      </c>
      <c r="X217" s="4" t="s">
        <v>422</v>
      </c>
      <c r="Y217" s="4">
        <v>0</v>
      </c>
      <c r="Z217" s="4">
        <f>IF(AC217="",Y217,Y217*AC217)</f>
        <v>0</v>
      </c>
      <c r="AA217" s="4">
        <v>468</v>
      </c>
      <c r="AB217" s="4">
        <f>IF(AC217="",AA217,AA217*AC217)</f>
        <v>468</v>
      </c>
      <c r="AC217" s="4"/>
      <c r="AD217" s="21">
        <f>ROUND(M217*AR217,0)</f>
        <v>769</v>
      </c>
      <c r="AE217" s="6">
        <f>IFERROR(1-AB217/AD217,"-")</f>
        <v>0.39141742522756828</v>
      </c>
      <c r="AF217" s="33">
        <v>33.25</v>
      </c>
      <c r="AG217" s="4" t="str">
        <f>BI217</f>
        <v>-</v>
      </c>
      <c r="AH217" s="33" t="str">
        <f>IFERROR(AG217*AR217,"-")</f>
        <v>-</v>
      </c>
      <c r="AI217" s="6" t="str">
        <f>IFERROR(1-AB217/AH217,"-")</f>
        <v>-</v>
      </c>
      <c r="AJ217" s="7">
        <v>770</v>
      </c>
      <c r="AK217" s="6">
        <f>1-AB217/AJ217</f>
        <v>0.39220779220779223</v>
      </c>
      <c r="AL217" s="4">
        <f>AJ217-AB217</f>
        <v>302</v>
      </c>
      <c r="AM217" s="28"/>
      <c r="AN217" s="6"/>
      <c r="AO217" s="6"/>
      <c r="AP217" s="6" t="str">
        <f>IFERROR(Z217/L217,"-")</f>
        <v>-</v>
      </c>
      <c r="AQ217" s="6">
        <f>IFERROR(AJ217/M217,"-")</f>
        <v>1.0968660968660968</v>
      </c>
      <c r="AR217" s="6">
        <f>IFERROR(AB217/N217,"-")</f>
        <v>1.0960187353629978</v>
      </c>
      <c r="AS217" s="4" t="str">
        <f t="shared" si="33"/>
        <v>-</v>
      </c>
      <c r="AT217" s="4"/>
      <c r="AU217" s="4" t="str">
        <f t="shared" si="34"/>
        <v>-</v>
      </c>
      <c r="AV217" s="4" t="str">
        <f t="shared" si="35"/>
        <v>-</v>
      </c>
      <c r="AW217" s="4" t="str">
        <f t="shared" si="36"/>
        <v>-</v>
      </c>
      <c r="AX217" s="4" t="str">
        <f t="shared" si="37"/>
        <v>-</v>
      </c>
      <c r="AY217" s="4" t="str">
        <f t="shared" si="38"/>
        <v>-</v>
      </c>
      <c r="AZ217" s="4" t="str">
        <f t="shared" si="39"/>
        <v>-</v>
      </c>
      <c r="BA217" s="4" t="str">
        <f t="shared" si="40"/>
        <v>-</v>
      </c>
      <c r="BB217" s="4" t="str">
        <f t="shared" si="41"/>
        <v>-</v>
      </c>
      <c r="BC217" s="4" t="s">
        <v>416</v>
      </c>
      <c r="BD217" s="4" t="s">
        <v>422</v>
      </c>
      <c r="BE217" s="4"/>
      <c r="BF217" s="4"/>
      <c r="BG217" s="4" t="s">
        <v>422</v>
      </c>
      <c r="BH217" s="4" t="s">
        <v>422</v>
      </c>
      <c r="BI217" s="4" t="str">
        <f>IF(BE217="",BH217,BE217/BF217*BH217)</f>
        <v>-</v>
      </c>
      <c r="BJ217" s="19">
        <v>4</v>
      </c>
      <c r="BK217" s="19">
        <v>1</v>
      </c>
      <c r="BL217" s="16">
        <v>3</v>
      </c>
      <c r="BM217">
        <v>558</v>
      </c>
      <c r="BN217">
        <f t="shared" si="42"/>
        <v>611.57845433255272</v>
      </c>
      <c r="BO217" t="s">
        <v>422</v>
      </c>
      <c r="BP217" t="str">
        <f t="shared" si="43"/>
        <v>-</v>
      </c>
      <c r="BQ217" t="s">
        <v>422</v>
      </c>
    </row>
    <row r="218" spans="1:69" x14ac:dyDescent="0.4">
      <c r="A218" s="3">
        <v>90</v>
      </c>
      <c r="B218" s="3">
        <v>90</v>
      </c>
      <c r="C218" s="4">
        <v>731313</v>
      </c>
      <c r="D218" s="4" t="str">
        <f>TEXT(C218,"000000")</f>
        <v>731313</v>
      </c>
      <c r="E218" s="4">
        <v>731313</v>
      </c>
      <c r="F218" s="4" t="s">
        <v>204</v>
      </c>
      <c r="G218" s="5">
        <v>4996297388807</v>
      </c>
      <c r="H218" s="5"/>
      <c r="I218" s="5"/>
      <c r="J218" s="5">
        <v>1</v>
      </c>
      <c r="K218" s="5">
        <v>1</v>
      </c>
      <c r="L218" s="4">
        <v>0</v>
      </c>
      <c r="M218" s="4">
        <v>702</v>
      </c>
      <c r="N218" s="4">
        <v>427</v>
      </c>
      <c r="O218" s="6">
        <f>IFERROR(1-N218/M218,"-")</f>
        <v>0.39173789173789175</v>
      </c>
      <c r="P218" s="4" t="s">
        <v>422</v>
      </c>
      <c r="Q218" s="4" t="s">
        <v>422</v>
      </c>
      <c r="R218" s="4" t="s">
        <v>422</v>
      </c>
      <c r="S218" s="4" t="s">
        <v>422</v>
      </c>
      <c r="T218" s="4" t="s">
        <v>422</v>
      </c>
      <c r="U218" s="4" t="s">
        <v>422</v>
      </c>
      <c r="V218" s="4" t="s">
        <v>422</v>
      </c>
      <c r="W218" s="4" t="s">
        <v>422</v>
      </c>
      <c r="X218" s="4" t="s">
        <v>422</v>
      </c>
      <c r="Y218" s="4">
        <v>0</v>
      </c>
      <c r="Z218" s="4">
        <f>IF(AC218="",Y218,Y218*AC218)</f>
        <v>0</v>
      </c>
      <c r="AA218" s="4">
        <v>468</v>
      </c>
      <c r="AB218" s="4">
        <f>IF(AC218="",AA218,AA218*AC218)</f>
        <v>468</v>
      </c>
      <c r="AC218" s="4"/>
      <c r="AD218" s="21">
        <f>ROUND(M218*AR218,0)</f>
        <v>769</v>
      </c>
      <c r="AE218" s="6">
        <f>IFERROR(1-AB218/AD218,"-")</f>
        <v>0.39141742522756828</v>
      </c>
      <c r="AF218" s="33">
        <v>28.249999999999996</v>
      </c>
      <c r="AG218" s="4" t="str">
        <f>BI218</f>
        <v>-</v>
      </c>
      <c r="AH218" s="33" t="str">
        <f>IFERROR(AG218*AR218,"-")</f>
        <v>-</v>
      </c>
      <c r="AI218" s="6" t="str">
        <f>IFERROR(1-AB218/AH218,"-")</f>
        <v>-</v>
      </c>
      <c r="AJ218" s="7">
        <v>770</v>
      </c>
      <c r="AK218" s="6">
        <f>1-AB218/AJ218</f>
        <v>0.39220779220779223</v>
      </c>
      <c r="AL218" s="4">
        <f>AJ218-AB218</f>
        <v>302</v>
      </c>
      <c r="AM218" s="28"/>
      <c r="AN218" s="6"/>
      <c r="AO218" s="6"/>
      <c r="AP218" s="6" t="str">
        <f>IFERROR(Z218/L218,"-")</f>
        <v>-</v>
      </c>
      <c r="AQ218" s="6">
        <f>IFERROR(AJ218/M218,"-")</f>
        <v>1.0968660968660968</v>
      </c>
      <c r="AR218" s="6">
        <f>IFERROR(AB218/N218,"-")</f>
        <v>1.0960187353629978</v>
      </c>
      <c r="AS218" s="4" t="str">
        <f t="shared" si="33"/>
        <v>-</v>
      </c>
      <c r="AT218" s="4"/>
      <c r="AU218" s="4" t="str">
        <f t="shared" si="34"/>
        <v>-</v>
      </c>
      <c r="AV218" s="4" t="str">
        <f t="shared" si="35"/>
        <v>-</v>
      </c>
      <c r="AW218" s="4" t="str">
        <f t="shared" si="36"/>
        <v>-</v>
      </c>
      <c r="AX218" s="4" t="str">
        <f t="shared" si="37"/>
        <v>-</v>
      </c>
      <c r="AY218" s="4" t="str">
        <f t="shared" si="38"/>
        <v>-</v>
      </c>
      <c r="AZ218" s="4" t="str">
        <f t="shared" si="39"/>
        <v>-</v>
      </c>
      <c r="BA218" s="4" t="str">
        <f t="shared" si="40"/>
        <v>-</v>
      </c>
      <c r="BB218" s="4" t="str">
        <f t="shared" si="41"/>
        <v>-</v>
      </c>
      <c r="BC218" s="4" t="s">
        <v>416</v>
      </c>
      <c r="BD218" s="4" t="s">
        <v>422</v>
      </c>
      <c r="BE218" s="4"/>
      <c r="BF218" s="4"/>
      <c r="BG218" s="4" t="s">
        <v>422</v>
      </c>
      <c r="BH218" s="4" t="s">
        <v>422</v>
      </c>
      <c r="BI218" s="4" t="str">
        <f>IF(BE218="",BH218,BE218/BF218*BH218)</f>
        <v>-</v>
      </c>
      <c r="BJ218" s="19">
        <v>4</v>
      </c>
      <c r="BK218" s="19">
        <v>1</v>
      </c>
      <c r="BL218" s="16">
        <v>3</v>
      </c>
      <c r="BM218">
        <v>558</v>
      </c>
      <c r="BN218">
        <f t="shared" si="42"/>
        <v>611.57845433255272</v>
      </c>
      <c r="BO218" t="s">
        <v>422</v>
      </c>
      <c r="BP218" t="str">
        <f t="shared" si="43"/>
        <v>-</v>
      </c>
      <c r="BQ218" t="s">
        <v>422</v>
      </c>
    </row>
    <row r="219" spans="1:69" x14ac:dyDescent="0.4">
      <c r="A219" s="3">
        <v>91</v>
      </c>
      <c r="B219" s="3">
        <v>91</v>
      </c>
      <c r="C219" s="4">
        <v>731322</v>
      </c>
      <c r="D219" s="4" t="str">
        <f>TEXT(C219,"000000")</f>
        <v>731322</v>
      </c>
      <c r="E219" s="4">
        <v>731322</v>
      </c>
      <c r="F219" s="4" t="s">
        <v>205</v>
      </c>
      <c r="G219" s="5">
        <v>4996297388814</v>
      </c>
      <c r="H219" s="5"/>
      <c r="I219" s="5"/>
      <c r="J219" s="5">
        <v>1</v>
      </c>
      <c r="K219" s="5">
        <v>1</v>
      </c>
      <c r="L219" s="4">
        <v>0</v>
      </c>
      <c r="M219" s="4">
        <v>702</v>
      </c>
      <c r="N219" s="4">
        <v>427</v>
      </c>
      <c r="O219" s="6">
        <f>IFERROR(1-N219/M219,"-")</f>
        <v>0.39173789173789175</v>
      </c>
      <c r="P219" s="4" t="s">
        <v>422</v>
      </c>
      <c r="Q219" s="4" t="s">
        <v>422</v>
      </c>
      <c r="R219" s="4" t="s">
        <v>422</v>
      </c>
      <c r="S219" s="4" t="s">
        <v>422</v>
      </c>
      <c r="T219" s="4" t="s">
        <v>422</v>
      </c>
      <c r="U219" s="4" t="s">
        <v>422</v>
      </c>
      <c r="V219" s="4" t="s">
        <v>422</v>
      </c>
      <c r="W219" s="4" t="s">
        <v>422</v>
      </c>
      <c r="X219" s="4" t="s">
        <v>422</v>
      </c>
      <c r="Y219" s="4">
        <v>0</v>
      </c>
      <c r="Z219" s="4">
        <f>IF(AC219="",Y219,Y219*AC219)</f>
        <v>0</v>
      </c>
      <c r="AA219" s="4">
        <v>468</v>
      </c>
      <c r="AB219" s="4">
        <f>IF(AC219="",AA219,AA219*AC219)</f>
        <v>468</v>
      </c>
      <c r="AC219" s="4"/>
      <c r="AD219" s="21">
        <f>ROUND(M219*AR219,0)</f>
        <v>769</v>
      </c>
      <c r="AE219" s="6">
        <f>IFERROR(1-AB219/AD219,"-")</f>
        <v>0.39141742522756828</v>
      </c>
      <c r="AF219" s="33">
        <v>22.75</v>
      </c>
      <c r="AG219" s="4" t="str">
        <f>BI219</f>
        <v>-</v>
      </c>
      <c r="AH219" s="33" t="str">
        <f>IFERROR(AG219*AR219,"-")</f>
        <v>-</v>
      </c>
      <c r="AI219" s="6" t="str">
        <f>IFERROR(1-AB219/AH219,"-")</f>
        <v>-</v>
      </c>
      <c r="AJ219" s="7">
        <v>770</v>
      </c>
      <c r="AK219" s="6">
        <f>1-AB219/AJ219</f>
        <v>0.39220779220779223</v>
      </c>
      <c r="AL219" s="4">
        <f>AJ219-AB219</f>
        <v>302</v>
      </c>
      <c r="AM219" s="28"/>
      <c r="AN219" s="6"/>
      <c r="AO219" s="6"/>
      <c r="AP219" s="6" t="str">
        <f>IFERROR(Z219/L219,"-")</f>
        <v>-</v>
      </c>
      <c r="AQ219" s="6">
        <f>IFERROR(AJ219/M219,"-")</f>
        <v>1.0968660968660968</v>
      </c>
      <c r="AR219" s="6">
        <f>IFERROR(AB219/N219,"-")</f>
        <v>1.0960187353629978</v>
      </c>
      <c r="AS219" s="4" t="str">
        <f t="shared" si="33"/>
        <v>-</v>
      </c>
      <c r="AT219" s="4"/>
      <c r="AU219" s="4" t="str">
        <f t="shared" si="34"/>
        <v>-</v>
      </c>
      <c r="AV219" s="4" t="str">
        <f t="shared" si="35"/>
        <v>-</v>
      </c>
      <c r="AW219" s="4" t="str">
        <f t="shared" si="36"/>
        <v>-</v>
      </c>
      <c r="AX219" s="4" t="str">
        <f t="shared" si="37"/>
        <v>-</v>
      </c>
      <c r="AY219" s="4" t="str">
        <f t="shared" si="38"/>
        <v>-</v>
      </c>
      <c r="AZ219" s="4" t="str">
        <f t="shared" si="39"/>
        <v>-</v>
      </c>
      <c r="BA219" s="4" t="str">
        <f t="shared" si="40"/>
        <v>-</v>
      </c>
      <c r="BB219" s="4" t="str">
        <f t="shared" si="41"/>
        <v>-</v>
      </c>
      <c r="BC219" s="4" t="s">
        <v>416</v>
      </c>
      <c r="BD219" s="4" t="s">
        <v>422</v>
      </c>
      <c r="BE219" s="4"/>
      <c r="BF219" s="4"/>
      <c r="BG219" s="4" t="s">
        <v>422</v>
      </c>
      <c r="BH219" s="4" t="s">
        <v>422</v>
      </c>
      <c r="BI219" s="4" t="str">
        <f>IF(BE219="",BH219,BE219/BF219*BH219)</f>
        <v>-</v>
      </c>
      <c r="BJ219" s="19">
        <v>4</v>
      </c>
      <c r="BK219" s="19">
        <v>1</v>
      </c>
      <c r="BL219" s="16">
        <v>3</v>
      </c>
      <c r="BM219">
        <v>558</v>
      </c>
      <c r="BN219">
        <f t="shared" si="42"/>
        <v>611.57845433255272</v>
      </c>
      <c r="BO219" t="s">
        <v>422</v>
      </c>
      <c r="BP219" t="str">
        <f t="shared" si="43"/>
        <v>-</v>
      </c>
      <c r="BQ219" t="s">
        <v>422</v>
      </c>
    </row>
    <row r="220" spans="1:69" x14ac:dyDescent="0.4">
      <c r="A220" s="3">
        <v>137</v>
      </c>
      <c r="B220" s="3">
        <v>137</v>
      </c>
      <c r="C220" s="46">
        <v>665123</v>
      </c>
      <c r="D220" s="4" t="str">
        <f>TEXT(C220,"000000")</f>
        <v>665123</v>
      </c>
      <c r="E220" s="4">
        <v>665123</v>
      </c>
      <c r="F220" s="4" t="s">
        <v>251</v>
      </c>
      <c r="G220" s="5">
        <v>4996297450146</v>
      </c>
      <c r="H220" s="5"/>
      <c r="I220" s="5"/>
      <c r="J220" s="5">
        <v>2</v>
      </c>
      <c r="K220" s="5">
        <v>2</v>
      </c>
      <c r="L220" s="4">
        <v>0</v>
      </c>
      <c r="M220" s="4">
        <v>1056</v>
      </c>
      <c r="N220" s="4">
        <v>423</v>
      </c>
      <c r="O220" s="6">
        <f>IFERROR(1-N220/M220,"-")</f>
        <v>0.59943181818181812</v>
      </c>
      <c r="P220" s="4" t="s">
        <v>422</v>
      </c>
      <c r="Q220" s="4" t="s">
        <v>422</v>
      </c>
      <c r="R220" s="4" t="s">
        <v>422</v>
      </c>
      <c r="S220" s="4" t="s">
        <v>422</v>
      </c>
      <c r="T220" s="4" t="s">
        <v>422</v>
      </c>
      <c r="U220" s="4" t="s">
        <v>422</v>
      </c>
      <c r="V220" s="4" t="s">
        <v>422</v>
      </c>
      <c r="W220" s="4" t="s">
        <v>422</v>
      </c>
      <c r="X220" s="4" t="s">
        <v>422</v>
      </c>
      <c r="Y220" s="4">
        <v>0</v>
      </c>
      <c r="Z220" s="4">
        <f>IF(AC220="",Y220,Y220*AC220)</f>
        <v>0</v>
      </c>
      <c r="AA220" s="4">
        <v>486</v>
      </c>
      <c r="AB220" s="4">
        <f>IF(AC220="",AA220,AA220*AC220)</f>
        <v>486</v>
      </c>
      <c r="AC220" s="4"/>
      <c r="AD220" s="21">
        <f>ROUND(M220*AR220,0)</f>
        <v>1213</v>
      </c>
      <c r="AE220" s="6">
        <f>IFERROR(1-AB220/AD220,"-")</f>
        <v>0.59934047815333891</v>
      </c>
      <c r="AF220" s="33">
        <v>84.5</v>
      </c>
      <c r="AG220" s="4">
        <f>BI220</f>
        <v>1817</v>
      </c>
      <c r="AH220" s="33">
        <f>IFERROR(AG220*AR220,"-")</f>
        <v>2087.617021276596</v>
      </c>
      <c r="AI220" s="6">
        <f>IFERROR(1-AB220/AH220,"-")</f>
        <v>0.76719867914144202</v>
      </c>
      <c r="AJ220" s="7">
        <v>1100</v>
      </c>
      <c r="AK220" s="6">
        <f>1-AB220/AJ220</f>
        <v>0.55818181818181811</v>
      </c>
      <c r="AL220" s="4">
        <f>AJ220-AB220</f>
        <v>614</v>
      </c>
      <c r="AM220" s="28"/>
      <c r="AN220" s="6"/>
      <c r="AO220" s="6"/>
      <c r="AP220" s="6" t="str">
        <f>IFERROR(Z220/L220,"-")</f>
        <v>-</v>
      </c>
      <c r="AQ220" s="6">
        <f>IFERROR(AJ220/M220,"-")</f>
        <v>1.0416666666666667</v>
      </c>
      <c r="AR220" s="6">
        <f>IFERROR(AB220/N220,"-")</f>
        <v>1.1489361702127661</v>
      </c>
      <c r="AS220" s="4" t="str">
        <f t="shared" si="33"/>
        <v>-</v>
      </c>
      <c r="AT220" s="4"/>
      <c r="AU220" s="4" t="str">
        <f t="shared" si="34"/>
        <v>-</v>
      </c>
      <c r="AV220" s="4" t="str">
        <f t="shared" si="35"/>
        <v>-</v>
      </c>
      <c r="AW220" s="4" t="str">
        <f t="shared" si="36"/>
        <v>-</v>
      </c>
      <c r="AX220" s="4" t="str">
        <f t="shared" si="37"/>
        <v>-</v>
      </c>
      <c r="AY220" s="4" t="str">
        <f t="shared" si="38"/>
        <v>-</v>
      </c>
      <c r="AZ220" s="4" t="str">
        <f t="shared" si="39"/>
        <v>-</v>
      </c>
      <c r="BA220" s="4" t="str">
        <f t="shared" si="40"/>
        <v>-</v>
      </c>
      <c r="BB220" s="4" t="str">
        <f t="shared" si="41"/>
        <v>-</v>
      </c>
      <c r="BC220" s="4">
        <v>12693</v>
      </c>
      <c r="BD220" s="4" t="s">
        <v>701</v>
      </c>
      <c r="BE220" s="4"/>
      <c r="BF220" s="4"/>
      <c r="BG220" s="4" t="s">
        <v>626</v>
      </c>
      <c r="BH220" s="4">
        <v>1817</v>
      </c>
      <c r="BI220" s="4">
        <f>IF(BE220="",BH220,BE220/BF220*BH220)</f>
        <v>1817</v>
      </c>
      <c r="BJ220" s="19">
        <v>4</v>
      </c>
      <c r="BK220" s="19">
        <v>1</v>
      </c>
      <c r="BL220" s="16">
        <v>3</v>
      </c>
      <c r="BM220">
        <v>775</v>
      </c>
      <c r="BN220">
        <f t="shared" si="42"/>
        <v>890.42553191489367</v>
      </c>
      <c r="BO220">
        <v>1140</v>
      </c>
      <c r="BP220">
        <f t="shared" si="43"/>
        <v>1309.7872340425533</v>
      </c>
      <c r="BQ220" t="s">
        <v>541</v>
      </c>
    </row>
    <row r="221" spans="1:69" x14ac:dyDescent="0.4">
      <c r="A221" s="3">
        <v>239</v>
      </c>
      <c r="B221" s="3">
        <v>137</v>
      </c>
      <c r="C221" s="46">
        <v>665123</v>
      </c>
      <c r="D221" s="4" t="str">
        <f>TEXT(C221,"000000")</f>
        <v>665123</v>
      </c>
      <c r="E221" s="4">
        <v>665124</v>
      </c>
      <c r="F221" s="4" t="s">
        <v>379</v>
      </c>
      <c r="G221" s="5">
        <v>4996297450146</v>
      </c>
      <c r="H221" s="5">
        <v>8</v>
      </c>
      <c r="I221" s="5" t="str">
        <f>C221&amp;H221</f>
        <v>6651238</v>
      </c>
      <c r="J221" s="5"/>
      <c r="K221" s="5"/>
      <c r="L221" s="4">
        <v>0</v>
      </c>
      <c r="M221" s="4">
        <v>9972</v>
      </c>
      <c r="N221" s="4">
        <v>4230</v>
      </c>
      <c r="O221" s="6">
        <f>IFERROR(1-N221/M221,"-")</f>
        <v>0.57581227436823101</v>
      </c>
      <c r="P221" s="4" t="s">
        <v>422</v>
      </c>
      <c r="Q221" s="4" t="s">
        <v>422</v>
      </c>
      <c r="R221" s="4" t="s">
        <v>422</v>
      </c>
      <c r="S221" s="4" t="s">
        <v>422</v>
      </c>
      <c r="T221" s="4" t="s">
        <v>422</v>
      </c>
      <c r="U221" s="4" t="s">
        <v>422</v>
      </c>
      <c r="V221" s="4" t="s">
        <v>422</v>
      </c>
      <c r="W221" s="4" t="s">
        <v>422</v>
      </c>
      <c r="X221" s="4" t="s">
        <v>422</v>
      </c>
      <c r="Y221" s="4">
        <v>0</v>
      </c>
      <c r="Z221" s="4">
        <f>IF(AC221="",Y221,Y221*AC221)</f>
        <v>0</v>
      </c>
      <c r="AA221" s="4">
        <v>486</v>
      </c>
      <c r="AB221" s="4">
        <f>IF(AC221="",AA221,AA221*AC221)</f>
        <v>4860</v>
      </c>
      <c r="AC221" s="4">
        <v>10</v>
      </c>
      <c r="AD221" s="21">
        <f>ROUND(M221*AR221,0)</f>
        <v>11457</v>
      </c>
      <c r="AE221" s="6">
        <f>IFERROR(1-AB221/AD221,"-")</f>
        <v>0.57580518460329921</v>
      </c>
      <c r="AF221" s="33">
        <v>84.5</v>
      </c>
      <c r="AG221" s="4">
        <f>BI221</f>
        <v>18170</v>
      </c>
      <c r="AH221" s="33">
        <f>IFERROR(AG221*AR221,"-")</f>
        <v>20876.170212765959</v>
      </c>
      <c r="AI221" s="6">
        <f>IFERROR(1-AB221/AH221,"-")</f>
        <v>0.76719867914144202</v>
      </c>
      <c r="AJ221" s="7">
        <v>10000</v>
      </c>
      <c r="AK221" s="6">
        <f>1-AB221/AJ221</f>
        <v>0.51400000000000001</v>
      </c>
      <c r="AL221" s="4">
        <f>AJ221-AB221</f>
        <v>5140</v>
      </c>
      <c r="AM221" s="28"/>
      <c r="AN221" s="6"/>
      <c r="AO221" s="6"/>
      <c r="AP221" s="6" t="str">
        <f>IFERROR(Z221/L221,"-")</f>
        <v>-</v>
      </c>
      <c r="AQ221" s="6">
        <f>IFERROR(AJ221/M221,"-")</f>
        <v>1.0028078620136383</v>
      </c>
      <c r="AR221" s="6">
        <f>IFERROR(AB221/N221,"-")</f>
        <v>1.1489361702127661</v>
      </c>
      <c r="AS221" s="4" t="str">
        <f t="shared" si="33"/>
        <v>-</v>
      </c>
      <c r="AT221" s="4"/>
      <c r="AU221" s="4" t="str">
        <f t="shared" si="34"/>
        <v>-</v>
      </c>
      <c r="AV221" s="4" t="str">
        <f t="shared" si="35"/>
        <v>-</v>
      </c>
      <c r="AW221" s="4" t="str">
        <f t="shared" si="36"/>
        <v>-</v>
      </c>
      <c r="AX221" s="4" t="str">
        <f t="shared" si="37"/>
        <v>-</v>
      </c>
      <c r="AY221" s="4" t="str">
        <f t="shared" si="38"/>
        <v>-</v>
      </c>
      <c r="AZ221" s="4" t="str">
        <f t="shared" si="39"/>
        <v>-</v>
      </c>
      <c r="BA221" s="4" t="str">
        <f t="shared" si="40"/>
        <v>-</v>
      </c>
      <c r="BB221" s="4" t="str">
        <f t="shared" si="41"/>
        <v>-</v>
      </c>
      <c r="BC221" s="4">
        <v>12693</v>
      </c>
      <c r="BD221" s="4" t="s">
        <v>701</v>
      </c>
      <c r="BE221" s="4">
        <v>10</v>
      </c>
      <c r="BF221" s="4">
        <v>1</v>
      </c>
      <c r="BG221" s="4" t="s">
        <v>626</v>
      </c>
      <c r="BH221" s="4">
        <v>1817</v>
      </c>
      <c r="BI221" s="4">
        <f>IF(BE221="",BH221,BE221/BF221*BH221)</f>
        <v>18170</v>
      </c>
      <c r="BJ221" s="19">
        <v>4</v>
      </c>
      <c r="BK221" s="19">
        <v>1</v>
      </c>
      <c r="BL221" s="16">
        <v>3</v>
      </c>
      <c r="BM221">
        <v>775</v>
      </c>
      <c r="BN221">
        <f t="shared" si="42"/>
        <v>890.42553191489367</v>
      </c>
      <c r="BO221">
        <v>1140</v>
      </c>
      <c r="BP221">
        <f t="shared" si="43"/>
        <v>1309.7872340425533</v>
      </c>
      <c r="BQ221" t="s">
        <v>541</v>
      </c>
    </row>
    <row r="222" spans="1:69" x14ac:dyDescent="0.4">
      <c r="A222" s="3">
        <v>83</v>
      </c>
      <c r="B222" s="3">
        <v>83</v>
      </c>
      <c r="C222" s="46">
        <v>788301</v>
      </c>
      <c r="D222" s="4" t="str">
        <f>TEXT(C222,"000000")</f>
        <v>788301</v>
      </c>
      <c r="E222" s="4">
        <v>788301</v>
      </c>
      <c r="F222" s="4" t="s">
        <v>197</v>
      </c>
      <c r="G222" s="5">
        <v>4996297374428</v>
      </c>
      <c r="H222" s="5"/>
      <c r="I222" s="5"/>
      <c r="J222" s="5">
        <v>2</v>
      </c>
      <c r="K222" s="5">
        <v>2</v>
      </c>
      <c r="L222" s="4">
        <v>0</v>
      </c>
      <c r="M222" s="4">
        <v>630</v>
      </c>
      <c r="N222" s="4">
        <v>449</v>
      </c>
      <c r="O222" s="6">
        <f>IFERROR(1-N222/M222,"-")</f>
        <v>0.28730158730158728</v>
      </c>
      <c r="P222" s="4" t="s">
        <v>422</v>
      </c>
      <c r="Q222" s="4" t="s">
        <v>422</v>
      </c>
      <c r="R222" s="4" t="s">
        <v>422</v>
      </c>
      <c r="S222" s="4" t="s">
        <v>422</v>
      </c>
      <c r="T222" s="4" t="s">
        <v>422</v>
      </c>
      <c r="U222" s="4" t="s">
        <v>422</v>
      </c>
      <c r="V222" s="4" t="s">
        <v>422</v>
      </c>
      <c r="W222" s="4" t="s">
        <v>422</v>
      </c>
      <c r="X222" s="4" t="s">
        <v>422</v>
      </c>
      <c r="Y222" s="4">
        <v>0</v>
      </c>
      <c r="Z222" s="4">
        <f>IF(AC222="",Y222,Y222*AC222)</f>
        <v>0</v>
      </c>
      <c r="AA222" s="4">
        <v>494</v>
      </c>
      <c r="AB222" s="4">
        <f>IF(AC222="",AA222,AA222*AC222)</f>
        <v>494</v>
      </c>
      <c r="AC222" s="4"/>
      <c r="AD222" s="21">
        <f>ROUND(M222*AR222,0)</f>
        <v>693</v>
      </c>
      <c r="AE222" s="6">
        <f>IFERROR(1-AB222/AD222,"-")</f>
        <v>0.28715728715728717</v>
      </c>
      <c r="AF222" s="33">
        <v>20.75</v>
      </c>
      <c r="AG222" s="4">
        <f>BI222</f>
        <v>1229</v>
      </c>
      <c r="AH222" s="33">
        <f>IFERROR(AG222*AR222,"-")</f>
        <v>1352.173719376392</v>
      </c>
      <c r="AI222" s="6">
        <f>IFERROR(1-AB222/AH222,"-")</f>
        <v>0.63466232709519943</v>
      </c>
      <c r="AJ222" s="7">
        <v>800</v>
      </c>
      <c r="AK222" s="6">
        <f>1-AB222/AJ222</f>
        <v>0.38249999999999995</v>
      </c>
      <c r="AL222" s="4">
        <f>AJ222-AB222</f>
        <v>306</v>
      </c>
      <c r="AM222" s="28"/>
      <c r="AN222" s="6"/>
      <c r="AO222" s="6"/>
      <c r="AP222" s="6" t="str">
        <f>IFERROR(Z222/L222,"-")</f>
        <v>-</v>
      </c>
      <c r="AQ222" s="6">
        <f>IFERROR(AJ222/M222,"-")</f>
        <v>1.2698412698412698</v>
      </c>
      <c r="AR222" s="6">
        <f>IFERROR(AB222/N222,"-")</f>
        <v>1.1002227171492205</v>
      </c>
      <c r="AS222" s="4" t="str">
        <f t="shared" si="33"/>
        <v>-</v>
      </c>
      <c r="AT222" s="4"/>
      <c r="AU222" s="4" t="str">
        <f t="shared" si="34"/>
        <v>-</v>
      </c>
      <c r="AV222" s="4" t="str">
        <f t="shared" si="35"/>
        <v>-</v>
      </c>
      <c r="AW222" s="4" t="str">
        <f t="shared" si="36"/>
        <v>-</v>
      </c>
      <c r="AX222" s="4" t="str">
        <f t="shared" si="37"/>
        <v>-</v>
      </c>
      <c r="AY222" s="4" t="str">
        <f t="shared" si="38"/>
        <v>-</v>
      </c>
      <c r="AZ222" s="4" t="str">
        <f t="shared" si="39"/>
        <v>-</v>
      </c>
      <c r="BA222" s="4" t="str">
        <f t="shared" si="40"/>
        <v>-</v>
      </c>
      <c r="BB222" s="4" t="str">
        <f t="shared" si="41"/>
        <v>-</v>
      </c>
      <c r="BC222" s="4" t="s">
        <v>414</v>
      </c>
      <c r="BD222" s="4" t="s">
        <v>702</v>
      </c>
      <c r="BE222" s="4"/>
      <c r="BF222" s="4"/>
      <c r="BG222" s="4" t="s">
        <v>563</v>
      </c>
      <c r="BH222" s="4">
        <v>1229</v>
      </c>
      <c r="BI222" s="4">
        <f>IF(BE222="",BH222,BE222/BF222*BH222)</f>
        <v>1229</v>
      </c>
      <c r="BJ222" s="19">
        <v>4</v>
      </c>
      <c r="BK222" s="19">
        <v>1</v>
      </c>
      <c r="BL222" s="16">
        <v>3</v>
      </c>
      <c r="BM222">
        <v>590</v>
      </c>
      <c r="BN222">
        <f t="shared" si="42"/>
        <v>649.13140311804011</v>
      </c>
      <c r="BO222">
        <v>1026</v>
      </c>
      <c r="BP222">
        <f t="shared" si="43"/>
        <v>1128.8285077951002</v>
      </c>
      <c r="BQ222" t="s">
        <v>542</v>
      </c>
    </row>
    <row r="223" spans="1:69" x14ac:dyDescent="0.4">
      <c r="A223" s="3">
        <v>213</v>
      </c>
      <c r="B223" s="3">
        <v>83</v>
      </c>
      <c r="C223" s="46">
        <v>788301</v>
      </c>
      <c r="D223" s="4" t="str">
        <f>TEXT(C223,"000000")</f>
        <v>788301</v>
      </c>
      <c r="E223" s="4">
        <v>629602</v>
      </c>
      <c r="F223" s="4" t="s">
        <v>353</v>
      </c>
      <c r="G223" s="5">
        <v>4996297374428</v>
      </c>
      <c r="H223" s="5">
        <v>8</v>
      </c>
      <c r="I223" s="5" t="str">
        <f>C223&amp;H223</f>
        <v>7883018</v>
      </c>
      <c r="J223" s="5"/>
      <c r="K223" s="5"/>
      <c r="L223" s="4">
        <v>0</v>
      </c>
      <c r="M223" s="4">
        <v>2410</v>
      </c>
      <c r="N223" s="4">
        <v>1796</v>
      </c>
      <c r="O223" s="6">
        <f>IFERROR(1-N223/M223,"-")</f>
        <v>0.25477178423236513</v>
      </c>
      <c r="P223" s="4">
        <v>2190</v>
      </c>
      <c r="Q223" s="4">
        <v>3</v>
      </c>
      <c r="R223" s="4">
        <v>99999</v>
      </c>
      <c r="S223" s="4" t="s">
        <v>422</v>
      </c>
      <c r="T223" s="4" t="s">
        <v>422</v>
      </c>
      <c r="U223" s="4" t="s">
        <v>422</v>
      </c>
      <c r="V223" s="4" t="s">
        <v>422</v>
      </c>
      <c r="W223" s="4" t="s">
        <v>422</v>
      </c>
      <c r="X223" s="4" t="s">
        <v>422</v>
      </c>
      <c r="Y223" s="4">
        <v>0</v>
      </c>
      <c r="Z223" s="4">
        <f>IF(AC223="",Y223,Y223*AC223)</f>
        <v>0</v>
      </c>
      <c r="AA223" s="4">
        <v>494</v>
      </c>
      <c r="AB223" s="4">
        <f>IF(AC223="",AA223,AA223*AC223)</f>
        <v>1976</v>
      </c>
      <c r="AC223" s="4">
        <v>4</v>
      </c>
      <c r="AD223" s="21">
        <f>ROUND(M223*AR223,0)</f>
        <v>2652</v>
      </c>
      <c r="AE223" s="6">
        <f>IFERROR(1-AB223/AD223,"-")</f>
        <v>0.25490196078431371</v>
      </c>
      <c r="AF223" s="33">
        <v>20.75</v>
      </c>
      <c r="AG223" s="4">
        <f>BI223</f>
        <v>4916</v>
      </c>
      <c r="AH223" s="33">
        <f>IFERROR(AG223*AR223,"-")</f>
        <v>5408.694877505568</v>
      </c>
      <c r="AI223" s="6">
        <f>IFERROR(1-AB223/AH223,"-")</f>
        <v>0.63466232709519943</v>
      </c>
      <c r="AJ223" s="7">
        <v>3000</v>
      </c>
      <c r="AK223" s="6">
        <f>1-AB223/AJ223</f>
        <v>0.34133333333333338</v>
      </c>
      <c r="AL223" s="4">
        <f>AJ223-AB223</f>
        <v>1024</v>
      </c>
      <c r="AM223" s="28"/>
      <c r="AN223" s="6"/>
      <c r="AO223" s="6"/>
      <c r="AP223" s="6" t="str">
        <f>IFERROR(Z223/L223,"-")</f>
        <v>-</v>
      </c>
      <c r="AQ223" s="6">
        <f>IFERROR(AJ223/M223,"-")</f>
        <v>1.2448132780082988</v>
      </c>
      <c r="AR223" s="6">
        <f>IFERROR(AB223/N223,"-")</f>
        <v>1.1002227171492205</v>
      </c>
      <c r="AS223" s="4">
        <v>2850</v>
      </c>
      <c r="AT223" s="6">
        <f>1-AB223/AS223</f>
        <v>0.30666666666666664</v>
      </c>
      <c r="AU223" s="4">
        <f t="shared" si="34"/>
        <v>3</v>
      </c>
      <c r="AV223" s="4">
        <f t="shared" si="35"/>
        <v>99999</v>
      </c>
      <c r="AW223" s="4" t="str">
        <f t="shared" si="36"/>
        <v>-</v>
      </c>
      <c r="AX223" s="4" t="str">
        <f t="shared" si="37"/>
        <v>-</v>
      </c>
      <c r="AY223" s="4" t="str">
        <f t="shared" si="38"/>
        <v>-</v>
      </c>
      <c r="AZ223" s="4" t="str">
        <f t="shared" si="39"/>
        <v>-</v>
      </c>
      <c r="BA223" s="4" t="str">
        <f t="shared" si="40"/>
        <v>-</v>
      </c>
      <c r="BB223" s="4" t="str">
        <f t="shared" si="41"/>
        <v>-</v>
      </c>
      <c r="BC223" s="4" t="s">
        <v>414</v>
      </c>
      <c r="BD223" s="4" t="s">
        <v>702</v>
      </c>
      <c r="BE223" s="4">
        <v>4</v>
      </c>
      <c r="BF223" s="4">
        <v>1</v>
      </c>
      <c r="BG223" s="4" t="s">
        <v>563</v>
      </c>
      <c r="BH223" s="4">
        <v>1229</v>
      </c>
      <c r="BI223" s="4">
        <f>IF(BE223="",BH223,BE223/BF223*BH223)</f>
        <v>4916</v>
      </c>
      <c r="BJ223" s="19">
        <v>4</v>
      </c>
      <c r="BK223" s="19">
        <v>1</v>
      </c>
      <c r="BL223" s="16">
        <v>3</v>
      </c>
      <c r="BM223">
        <v>590</v>
      </c>
      <c r="BN223">
        <f t="shared" si="42"/>
        <v>649.13140311804011</v>
      </c>
      <c r="BO223">
        <v>1026</v>
      </c>
      <c r="BP223">
        <f t="shared" si="43"/>
        <v>1128.8285077951002</v>
      </c>
      <c r="BQ223" t="s">
        <v>542</v>
      </c>
    </row>
    <row r="224" spans="1:69" x14ac:dyDescent="0.4">
      <c r="A224" s="3">
        <v>84</v>
      </c>
      <c r="B224" s="3">
        <v>84</v>
      </c>
      <c r="C224" s="46">
        <v>788319</v>
      </c>
      <c r="D224" s="4" t="str">
        <f>TEXT(C224,"000000")</f>
        <v>788319</v>
      </c>
      <c r="E224" s="4">
        <v>788319</v>
      </c>
      <c r="F224" s="4" t="s">
        <v>198</v>
      </c>
      <c r="G224" s="5">
        <v>4996297374459</v>
      </c>
      <c r="H224" s="5"/>
      <c r="I224" s="5"/>
      <c r="J224" s="5">
        <v>2</v>
      </c>
      <c r="K224" s="5">
        <v>2</v>
      </c>
      <c r="L224" s="4">
        <v>0</v>
      </c>
      <c r="M224" s="4">
        <v>630</v>
      </c>
      <c r="N224" s="4">
        <v>449</v>
      </c>
      <c r="O224" s="6">
        <f>IFERROR(1-N224/M224,"-")</f>
        <v>0.28730158730158728</v>
      </c>
      <c r="P224" s="4" t="s">
        <v>422</v>
      </c>
      <c r="Q224" s="4" t="s">
        <v>422</v>
      </c>
      <c r="R224" s="4" t="s">
        <v>422</v>
      </c>
      <c r="S224" s="4" t="s">
        <v>422</v>
      </c>
      <c r="T224" s="4" t="s">
        <v>422</v>
      </c>
      <c r="U224" s="4" t="s">
        <v>422</v>
      </c>
      <c r="V224" s="4" t="s">
        <v>422</v>
      </c>
      <c r="W224" s="4" t="s">
        <v>422</v>
      </c>
      <c r="X224" s="4" t="s">
        <v>422</v>
      </c>
      <c r="Y224" s="4">
        <v>0</v>
      </c>
      <c r="Z224" s="4">
        <f>IF(AC224="",Y224,Y224*AC224)</f>
        <v>0</v>
      </c>
      <c r="AA224" s="4">
        <v>494</v>
      </c>
      <c r="AB224" s="4">
        <f>IF(AC224="",AA224,AA224*AC224)</f>
        <v>494</v>
      </c>
      <c r="AC224" s="4"/>
      <c r="AD224" s="21">
        <f>ROUND(M224*AR224,0)</f>
        <v>693</v>
      </c>
      <c r="AE224" s="6">
        <f>IFERROR(1-AB224/AD224,"-")</f>
        <v>0.28715728715728717</v>
      </c>
      <c r="AF224" s="33">
        <v>6.5</v>
      </c>
      <c r="AG224" s="4">
        <f>BI224</f>
        <v>1229</v>
      </c>
      <c r="AH224" s="33">
        <f>IFERROR(AG224*AR224,"-")</f>
        <v>1352.173719376392</v>
      </c>
      <c r="AI224" s="6">
        <f>IFERROR(1-AB224/AH224,"-")</f>
        <v>0.63466232709519943</v>
      </c>
      <c r="AJ224" s="7">
        <v>800</v>
      </c>
      <c r="AK224" s="6">
        <f>1-AB224/AJ224</f>
        <v>0.38249999999999995</v>
      </c>
      <c r="AL224" s="4">
        <f>AJ224-AB224</f>
        <v>306</v>
      </c>
      <c r="AM224" s="28"/>
      <c r="AN224" s="6"/>
      <c r="AO224" s="6"/>
      <c r="AP224" s="6" t="str">
        <f>IFERROR(Z224/L224,"-")</f>
        <v>-</v>
      </c>
      <c r="AQ224" s="6">
        <f>IFERROR(AJ224/M224,"-")</f>
        <v>1.2698412698412698</v>
      </c>
      <c r="AR224" s="6">
        <f>IFERROR(AB224/N224,"-")</f>
        <v>1.1002227171492205</v>
      </c>
      <c r="AS224" s="4" t="str">
        <f t="shared" si="33"/>
        <v>-</v>
      </c>
      <c r="AT224" s="4"/>
      <c r="AU224" s="4" t="str">
        <f t="shared" si="34"/>
        <v>-</v>
      </c>
      <c r="AV224" s="4" t="str">
        <f t="shared" si="35"/>
        <v>-</v>
      </c>
      <c r="AW224" s="4" t="str">
        <f t="shared" si="36"/>
        <v>-</v>
      </c>
      <c r="AX224" s="4" t="str">
        <f t="shared" si="37"/>
        <v>-</v>
      </c>
      <c r="AY224" s="4" t="str">
        <f t="shared" si="38"/>
        <v>-</v>
      </c>
      <c r="AZ224" s="4" t="str">
        <f t="shared" si="39"/>
        <v>-</v>
      </c>
      <c r="BA224" s="4" t="str">
        <f t="shared" si="40"/>
        <v>-</v>
      </c>
      <c r="BB224" s="4" t="str">
        <f t="shared" si="41"/>
        <v>-</v>
      </c>
      <c r="BC224" s="4" t="s">
        <v>414</v>
      </c>
      <c r="BD224" s="4" t="s">
        <v>703</v>
      </c>
      <c r="BE224" s="4"/>
      <c r="BF224" s="4"/>
      <c r="BG224" s="4" t="s">
        <v>563</v>
      </c>
      <c r="BH224" s="4">
        <v>1229</v>
      </c>
      <c r="BI224" s="4">
        <f>IF(BE224="",BH224,BE224/BF224*BH224)</f>
        <v>1229</v>
      </c>
      <c r="BJ224" s="19">
        <v>4</v>
      </c>
      <c r="BK224" s="19">
        <v>1</v>
      </c>
      <c r="BL224" s="16">
        <v>3</v>
      </c>
      <c r="BM224">
        <v>590</v>
      </c>
      <c r="BN224">
        <f t="shared" si="42"/>
        <v>649.13140311804011</v>
      </c>
      <c r="BO224">
        <v>1026</v>
      </c>
      <c r="BP224">
        <f t="shared" si="43"/>
        <v>1128.8285077951002</v>
      </c>
      <c r="BQ224" t="s">
        <v>543</v>
      </c>
    </row>
    <row r="225" spans="1:69" x14ac:dyDescent="0.4">
      <c r="A225" s="3">
        <v>214</v>
      </c>
      <c r="B225" s="3">
        <v>84</v>
      </c>
      <c r="C225" s="46">
        <v>788319</v>
      </c>
      <c r="D225" s="4" t="str">
        <f>TEXT(C225,"000000")</f>
        <v>788319</v>
      </c>
      <c r="E225" s="4">
        <v>629603</v>
      </c>
      <c r="F225" s="4" t="s">
        <v>354</v>
      </c>
      <c r="G225" s="5">
        <v>4996297374459</v>
      </c>
      <c r="H225" s="5">
        <v>8</v>
      </c>
      <c r="I225" s="5" t="str">
        <f>C225&amp;H225</f>
        <v>7883198</v>
      </c>
      <c r="J225" s="5"/>
      <c r="K225" s="5"/>
      <c r="L225" s="4">
        <v>0</v>
      </c>
      <c r="M225" s="4">
        <v>2410</v>
      </c>
      <c r="N225" s="4">
        <v>1796</v>
      </c>
      <c r="O225" s="6">
        <f>IFERROR(1-N225/M225,"-")</f>
        <v>0.25477178423236513</v>
      </c>
      <c r="P225" s="4">
        <v>2190</v>
      </c>
      <c r="Q225" s="4">
        <v>3</v>
      </c>
      <c r="R225" s="4">
        <v>99999</v>
      </c>
      <c r="S225" s="4" t="s">
        <v>422</v>
      </c>
      <c r="T225" s="4" t="s">
        <v>422</v>
      </c>
      <c r="U225" s="4" t="s">
        <v>422</v>
      </c>
      <c r="V225" s="4" t="s">
        <v>422</v>
      </c>
      <c r="W225" s="4" t="s">
        <v>422</v>
      </c>
      <c r="X225" s="4" t="s">
        <v>422</v>
      </c>
      <c r="Y225" s="4">
        <v>0</v>
      </c>
      <c r="Z225" s="4">
        <f>IF(AC225="",Y225,Y225*AC225)</f>
        <v>0</v>
      </c>
      <c r="AA225" s="4">
        <v>494</v>
      </c>
      <c r="AB225" s="4">
        <f>IF(AC225="",AA225,AA225*AC225)</f>
        <v>1976</v>
      </c>
      <c r="AC225" s="4">
        <v>4</v>
      </c>
      <c r="AD225" s="21">
        <f>ROUND(M225*AR225,0)</f>
        <v>2652</v>
      </c>
      <c r="AE225" s="6">
        <f>IFERROR(1-AB225/AD225,"-")</f>
        <v>0.25490196078431371</v>
      </c>
      <c r="AF225" s="33">
        <v>6.5</v>
      </c>
      <c r="AG225" s="4">
        <f>BI225</f>
        <v>4916</v>
      </c>
      <c r="AH225" s="33">
        <f>IFERROR(AG225*AR225,"-")</f>
        <v>5408.694877505568</v>
      </c>
      <c r="AI225" s="6">
        <f>IFERROR(1-AB225/AH225,"-")</f>
        <v>0.63466232709519943</v>
      </c>
      <c r="AJ225" s="7">
        <v>3000</v>
      </c>
      <c r="AK225" s="6">
        <f>1-AB225/AJ225</f>
        <v>0.34133333333333338</v>
      </c>
      <c r="AL225" s="4">
        <f>AJ225-AB225</f>
        <v>1024</v>
      </c>
      <c r="AM225" s="28"/>
      <c r="AN225" s="6"/>
      <c r="AO225" s="6"/>
      <c r="AP225" s="6" t="str">
        <f>IFERROR(Z225/L225,"-")</f>
        <v>-</v>
      </c>
      <c r="AQ225" s="6">
        <f>IFERROR(AJ225/M225,"-")</f>
        <v>1.2448132780082988</v>
      </c>
      <c r="AR225" s="6">
        <f>IFERROR(AB225/N225,"-")</f>
        <v>1.1002227171492205</v>
      </c>
      <c r="AS225" s="4">
        <v>2850</v>
      </c>
      <c r="AT225" s="6">
        <f>1-AB225/AS225</f>
        <v>0.30666666666666664</v>
      </c>
      <c r="AU225" s="4">
        <f t="shared" si="34"/>
        <v>3</v>
      </c>
      <c r="AV225" s="4">
        <f t="shared" si="35"/>
        <v>99999</v>
      </c>
      <c r="AW225" s="4" t="str">
        <f t="shared" si="36"/>
        <v>-</v>
      </c>
      <c r="AX225" s="4" t="str">
        <f t="shared" si="37"/>
        <v>-</v>
      </c>
      <c r="AY225" s="4" t="str">
        <f t="shared" si="38"/>
        <v>-</v>
      </c>
      <c r="AZ225" s="4" t="str">
        <f t="shared" si="39"/>
        <v>-</v>
      </c>
      <c r="BA225" s="4" t="str">
        <f t="shared" si="40"/>
        <v>-</v>
      </c>
      <c r="BB225" s="4" t="str">
        <f t="shared" si="41"/>
        <v>-</v>
      </c>
      <c r="BC225" s="4" t="s">
        <v>414</v>
      </c>
      <c r="BD225" s="4" t="s">
        <v>703</v>
      </c>
      <c r="BE225" s="4">
        <v>4</v>
      </c>
      <c r="BF225" s="4">
        <v>1</v>
      </c>
      <c r="BG225" s="4" t="s">
        <v>563</v>
      </c>
      <c r="BH225" s="4">
        <v>1229</v>
      </c>
      <c r="BI225" s="4">
        <f>IF(BE225="",BH225,BE225/BF225*BH225)</f>
        <v>4916</v>
      </c>
      <c r="BJ225" s="19">
        <v>4</v>
      </c>
      <c r="BK225" s="19">
        <v>1</v>
      </c>
      <c r="BL225" s="16">
        <v>3</v>
      </c>
      <c r="BM225">
        <v>590</v>
      </c>
      <c r="BN225">
        <f t="shared" si="42"/>
        <v>649.13140311804011</v>
      </c>
      <c r="BO225">
        <v>1026</v>
      </c>
      <c r="BP225">
        <f t="shared" si="43"/>
        <v>1128.8285077951002</v>
      </c>
      <c r="BQ225" t="s">
        <v>543</v>
      </c>
    </row>
    <row r="226" spans="1:69" x14ac:dyDescent="0.4">
      <c r="A226" s="3">
        <v>174</v>
      </c>
      <c r="B226" s="3">
        <v>174</v>
      </c>
      <c r="C226" s="46">
        <v>583757</v>
      </c>
      <c r="D226" s="4" t="str">
        <f>TEXT(C226,"000000")</f>
        <v>583757</v>
      </c>
      <c r="E226" s="4">
        <v>583757</v>
      </c>
      <c r="F226" s="4" t="s">
        <v>288</v>
      </c>
      <c r="G226" s="5">
        <v>4996297703037</v>
      </c>
      <c r="H226" s="5"/>
      <c r="I226" s="5"/>
      <c r="J226" s="5">
        <v>2</v>
      </c>
      <c r="K226" s="5">
        <v>2</v>
      </c>
      <c r="L226" s="4">
        <v>0</v>
      </c>
      <c r="M226" s="4">
        <v>702</v>
      </c>
      <c r="N226" s="4">
        <v>453</v>
      </c>
      <c r="O226" s="6">
        <f>IFERROR(1-N226/M226,"-")</f>
        <v>0.35470085470085466</v>
      </c>
      <c r="P226" s="4" t="s">
        <v>422</v>
      </c>
      <c r="Q226" s="4" t="s">
        <v>422</v>
      </c>
      <c r="R226" s="4" t="s">
        <v>422</v>
      </c>
      <c r="S226" s="4" t="s">
        <v>422</v>
      </c>
      <c r="T226" s="4" t="s">
        <v>422</v>
      </c>
      <c r="U226" s="4" t="s">
        <v>422</v>
      </c>
      <c r="V226" s="4" t="s">
        <v>422</v>
      </c>
      <c r="W226" s="4" t="s">
        <v>422</v>
      </c>
      <c r="X226" s="4" t="s">
        <v>422</v>
      </c>
      <c r="Y226" s="4">
        <v>0</v>
      </c>
      <c r="Z226" s="4">
        <f>IF(AC226="",Y226,Y226*AC226)</f>
        <v>0</v>
      </c>
      <c r="AA226" s="4">
        <v>512</v>
      </c>
      <c r="AB226" s="4">
        <f>IF(AC226="",AA226,AA226*AC226)</f>
        <v>512</v>
      </c>
      <c r="AC226" s="4"/>
      <c r="AD226" s="21">
        <f>ROUND(M226*AR226,0)</f>
        <v>793</v>
      </c>
      <c r="AE226" s="6">
        <f>IFERROR(1-AB226/AD226,"-")</f>
        <v>0.35435056746532156</v>
      </c>
      <c r="AF226" s="33">
        <v>23.75</v>
      </c>
      <c r="AG226" s="4">
        <f>BI226</f>
        <v>1463</v>
      </c>
      <c r="AH226" s="33">
        <f>IFERROR(AG226*AR226,"-")</f>
        <v>1653.5452538631346</v>
      </c>
      <c r="AI226" s="6">
        <f>IFERROR(1-AB226/AH226,"-")</f>
        <v>0.69036226930963773</v>
      </c>
      <c r="AJ226" s="7">
        <v>850</v>
      </c>
      <c r="AK226" s="6">
        <f>1-AB226/AJ226</f>
        <v>0.39764705882352946</v>
      </c>
      <c r="AL226" s="4">
        <f>AJ226-AB226</f>
        <v>338</v>
      </c>
      <c r="AM226" s="28"/>
      <c r="AN226" s="6"/>
      <c r="AO226" s="6"/>
      <c r="AP226" s="6" t="str">
        <f>IFERROR(Z226/L226,"-")</f>
        <v>-</v>
      </c>
      <c r="AQ226" s="6">
        <f>IFERROR(AJ226/M226,"-")</f>
        <v>1.2108262108262109</v>
      </c>
      <c r="AR226" s="6">
        <f>IFERROR(AB226/N226,"-")</f>
        <v>1.130242825607064</v>
      </c>
      <c r="AS226" s="4" t="str">
        <f t="shared" si="33"/>
        <v>-</v>
      </c>
      <c r="AT226" s="4"/>
      <c r="AU226" s="4" t="str">
        <f t="shared" si="34"/>
        <v>-</v>
      </c>
      <c r="AV226" s="4" t="str">
        <f t="shared" si="35"/>
        <v>-</v>
      </c>
      <c r="AW226" s="4" t="str">
        <f t="shared" si="36"/>
        <v>-</v>
      </c>
      <c r="AX226" s="4" t="str">
        <f t="shared" si="37"/>
        <v>-</v>
      </c>
      <c r="AY226" s="4" t="str">
        <f t="shared" si="38"/>
        <v>-</v>
      </c>
      <c r="AZ226" s="4" t="str">
        <f t="shared" si="39"/>
        <v>-</v>
      </c>
      <c r="BA226" s="4" t="str">
        <f t="shared" si="40"/>
        <v>-</v>
      </c>
      <c r="BB226" s="4" t="str">
        <f t="shared" si="41"/>
        <v>-</v>
      </c>
      <c r="BC226" s="4">
        <v>12540</v>
      </c>
      <c r="BD226" s="4" t="s">
        <v>704</v>
      </c>
      <c r="BE226" s="4"/>
      <c r="BF226" s="4"/>
      <c r="BG226" s="4" t="s">
        <v>705</v>
      </c>
      <c r="BH226" s="4">
        <v>1463</v>
      </c>
      <c r="BI226" s="4">
        <f>IF(BE226="",BH226,BE226/BF226*BH226)</f>
        <v>1463</v>
      </c>
      <c r="BJ226" s="19">
        <v>4</v>
      </c>
      <c r="BK226" s="19">
        <v>1</v>
      </c>
      <c r="BL226" s="16">
        <v>3</v>
      </c>
      <c r="BM226">
        <v>819</v>
      </c>
      <c r="BN226">
        <f t="shared" si="42"/>
        <v>925.66887417218538</v>
      </c>
      <c r="BO226">
        <v>1064</v>
      </c>
      <c r="BP226">
        <f t="shared" si="43"/>
        <v>1202.5783664459161</v>
      </c>
      <c r="BQ226" t="s">
        <v>544</v>
      </c>
    </row>
    <row r="227" spans="1:69" x14ac:dyDescent="0.4">
      <c r="A227" s="3">
        <v>262</v>
      </c>
      <c r="B227" s="3">
        <v>174</v>
      </c>
      <c r="C227" s="46">
        <v>583757</v>
      </c>
      <c r="D227" s="4" t="str">
        <f>TEXT(C227,"000000")</f>
        <v>583757</v>
      </c>
      <c r="E227" s="4">
        <v>583759</v>
      </c>
      <c r="F227" s="4" t="s">
        <v>402</v>
      </c>
      <c r="G227" s="5">
        <v>4996297703037</v>
      </c>
      <c r="H227" s="5">
        <v>8</v>
      </c>
      <c r="I227" s="5" t="str">
        <f>C227&amp;H227</f>
        <v>5837578</v>
      </c>
      <c r="J227" s="5"/>
      <c r="K227" s="5"/>
      <c r="L227" s="4">
        <v>0</v>
      </c>
      <c r="M227" s="4">
        <v>6687</v>
      </c>
      <c r="N227" s="4">
        <v>4530</v>
      </c>
      <c r="O227" s="6">
        <f>IFERROR(1-N227/M227,"-")</f>
        <v>0.3225661731718259</v>
      </c>
      <c r="P227" s="4" t="s">
        <v>422</v>
      </c>
      <c r="Q227" s="4" t="s">
        <v>422</v>
      </c>
      <c r="R227" s="4" t="s">
        <v>422</v>
      </c>
      <c r="S227" s="4" t="s">
        <v>422</v>
      </c>
      <c r="T227" s="4" t="s">
        <v>422</v>
      </c>
      <c r="U227" s="4" t="s">
        <v>422</v>
      </c>
      <c r="V227" s="4" t="s">
        <v>422</v>
      </c>
      <c r="W227" s="4" t="s">
        <v>422</v>
      </c>
      <c r="X227" s="4" t="s">
        <v>422</v>
      </c>
      <c r="Y227" s="4">
        <v>0</v>
      </c>
      <c r="Z227" s="4">
        <f>IF(AC227="",Y227,Y227*AC227)</f>
        <v>0</v>
      </c>
      <c r="AA227" s="4">
        <v>512</v>
      </c>
      <c r="AB227" s="4">
        <f>IF(AC227="",AA227,AA227*AC227)</f>
        <v>5120</v>
      </c>
      <c r="AC227" s="4">
        <v>10</v>
      </c>
      <c r="AD227" s="21">
        <f>ROUND(M227*AR227,0)</f>
        <v>7558</v>
      </c>
      <c r="AE227" s="6">
        <f>IFERROR(1-AB227/AD227,"-")</f>
        <v>0.32257210902355116</v>
      </c>
      <c r="AF227" s="33">
        <v>23.75</v>
      </c>
      <c r="AG227" s="4">
        <f>BI227</f>
        <v>6740</v>
      </c>
      <c r="AH227" s="33">
        <f>IFERROR(AG227*AR227,"-")</f>
        <v>7617.8366445916117</v>
      </c>
      <c r="AI227" s="6">
        <f>IFERROR(1-AB227/AH227,"-")</f>
        <v>0.32789317507418403</v>
      </c>
      <c r="AJ227" s="7">
        <v>7610</v>
      </c>
      <c r="AK227" s="6">
        <f>1-AB227/AJ227</f>
        <v>0.32720105124835741</v>
      </c>
      <c r="AL227" s="4">
        <f>AJ227-AB227</f>
        <v>2490</v>
      </c>
      <c r="AM227" s="28"/>
      <c r="AN227" s="6"/>
      <c r="AO227" s="6"/>
      <c r="AP227" s="6" t="str">
        <f>IFERROR(Z227/L227,"-")</f>
        <v>-</v>
      </c>
      <c r="AQ227" s="6">
        <f>IFERROR(AJ227/M227,"-")</f>
        <v>1.1380290115148797</v>
      </c>
      <c r="AR227" s="6">
        <f>IFERROR(AB227/N227,"-")</f>
        <v>1.130242825607064</v>
      </c>
      <c r="AS227" s="4" t="str">
        <f t="shared" si="33"/>
        <v>-</v>
      </c>
      <c r="AT227" s="4"/>
      <c r="AU227" s="4" t="str">
        <f t="shared" si="34"/>
        <v>-</v>
      </c>
      <c r="AV227" s="4" t="str">
        <f t="shared" si="35"/>
        <v>-</v>
      </c>
      <c r="AW227" s="4" t="str">
        <f t="shared" si="36"/>
        <v>-</v>
      </c>
      <c r="AX227" s="4" t="str">
        <f t="shared" si="37"/>
        <v>-</v>
      </c>
      <c r="AY227" s="4" t="str">
        <f t="shared" si="38"/>
        <v>-</v>
      </c>
      <c r="AZ227" s="4" t="str">
        <f t="shared" si="39"/>
        <v>-</v>
      </c>
      <c r="BA227" s="4" t="str">
        <f t="shared" si="40"/>
        <v>-</v>
      </c>
      <c r="BB227" s="4" t="str">
        <f t="shared" si="41"/>
        <v>-</v>
      </c>
      <c r="BC227" s="4">
        <v>12540</v>
      </c>
      <c r="BD227" s="4" t="s">
        <v>706</v>
      </c>
      <c r="BE227" s="4"/>
      <c r="BF227" s="4"/>
      <c r="BG227" s="4" t="s">
        <v>707</v>
      </c>
      <c r="BH227" s="4">
        <v>6740</v>
      </c>
      <c r="BI227" s="4">
        <f>IF(BE227="",BH227,BE227/BF227*BH227)</f>
        <v>6740</v>
      </c>
      <c r="BJ227" s="19">
        <v>4</v>
      </c>
      <c r="BK227" s="19">
        <v>1</v>
      </c>
      <c r="BL227" s="16">
        <v>3</v>
      </c>
      <c r="BM227">
        <v>819</v>
      </c>
      <c r="BN227">
        <f t="shared" si="42"/>
        <v>925.66887417218538</v>
      </c>
      <c r="BO227">
        <v>1064</v>
      </c>
      <c r="BP227">
        <f t="shared" si="43"/>
        <v>1202.5783664459161</v>
      </c>
      <c r="BQ227" t="s">
        <v>545</v>
      </c>
    </row>
    <row r="228" spans="1:69" x14ac:dyDescent="0.4">
      <c r="A228" s="3">
        <v>131</v>
      </c>
      <c r="B228" s="3">
        <v>131</v>
      </c>
      <c r="C228" s="4">
        <v>622245</v>
      </c>
      <c r="D228" s="4" t="str">
        <f>TEXT(C228,"000000")</f>
        <v>622245</v>
      </c>
      <c r="E228" s="4">
        <v>622245</v>
      </c>
      <c r="F228" s="4" t="s">
        <v>245</v>
      </c>
      <c r="G228" s="5">
        <v>4996297446859</v>
      </c>
      <c r="H228" s="5"/>
      <c r="I228" s="5"/>
      <c r="J228" s="5">
        <v>1</v>
      </c>
      <c r="K228" s="5">
        <v>1</v>
      </c>
      <c r="L228" s="4">
        <v>0</v>
      </c>
      <c r="M228" s="4">
        <v>767</v>
      </c>
      <c r="N228" s="4">
        <v>464</v>
      </c>
      <c r="O228" s="6">
        <f>IFERROR(1-N228/M228,"-")</f>
        <v>0.39504563233376788</v>
      </c>
      <c r="P228" s="4" t="s">
        <v>422</v>
      </c>
      <c r="Q228" s="4" t="s">
        <v>422</v>
      </c>
      <c r="R228" s="4" t="s">
        <v>422</v>
      </c>
      <c r="S228" s="4" t="s">
        <v>422</v>
      </c>
      <c r="T228" s="4" t="s">
        <v>422</v>
      </c>
      <c r="U228" s="4" t="s">
        <v>422</v>
      </c>
      <c r="V228" s="4" t="s">
        <v>422</v>
      </c>
      <c r="W228" s="4" t="s">
        <v>422</v>
      </c>
      <c r="X228" s="4" t="s">
        <v>422</v>
      </c>
      <c r="Y228" s="4">
        <v>0</v>
      </c>
      <c r="Z228" s="4">
        <f>IF(AC228="",Y228,Y228*AC228)</f>
        <v>0</v>
      </c>
      <c r="AA228" s="4">
        <v>534</v>
      </c>
      <c r="AB228" s="4">
        <f>IF(AC228="",AA228,AA228*AC228)</f>
        <v>534</v>
      </c>
      <c r="AC228" s="4"/>
      <c r="AD228" s="21">
        <f>ROUND(M228*AR228,0)</f>
        <v>883</v>
      </c>
      <c r="AE228" s="6">
        <f>IFERROR(1-AB228/AD228,"-")</f>
        <v>0.39524348810872023</v>
      </c>
      <c r="AF228" s="33">
        <v>9.25</v>
      </c>
      <c r="AG228" s="4" t="str">
        <f>BI228</f>
        <v>-</v>
      </c>
      <c r="AH228" s="33" t="str">
        <f>IFERROR(AG228*AR228,"-")</f>
        <v>-</v>
      </c>
      <c r="AI228" s="6" t="str">
        <f>IFERROR(1-AB228/AH228,"-")</f>
        <v>-</v>
      </c>
      <c r="AJ228" s="7">
        <v>880</v>
      </c>
      <c r="AK228" s="6">
        <f>1-AB228/AJ228</f>
        <v>0.39318181818181819</v>
      </c>
      <c r="AL228" s="4">
        <f>AJ228-AB228</f>
        <v>346</v>
      </c>
      <c r="AM228" s="28"/>
      <c r="AN228" s="6"/>
      <c r="AO228" s="6"/>
      <c r="AP228" s="6" t="str">
        <f>IFERROR(Z228/L228,"-")</f>
        <v>-</v>
      </c>
      <c r="AQ228" s="6">
        <f>IFERROR(AJ228/M228,"-")</f>
        <v>1.1473272490221642</v>
      </c>
      <c r="AR228" s="6">
        <f>IFERROR(AB228/N228,"-")</f>
        <v>1.1508620689655173</v>
      </c>
      <c r="AS228" s="4" t="str">
        <f t="shared" si="33"/>
        <v>-</v>
      </c>
      <c r="AT228" s="4"/>
      <c r="AU228" s="4" t="str">
        <f t="shared" si="34"/>
        <v>-</v>
      </c>
      <c r="AV228" s="4" t="str">
        <f t="shared" si="35"/>
        <v>-</v>
      </c>
      <c r="AW228" s="4" t="str">
        <f t="shared" si="36"/>
        <v>-</v>
      </c>
      <c r="AX228" s="4" t="str">
        <f t="shared" si="37"/>
        <v>-</v>
      </c>
      <c r="AY228" s="4" t="str">
        <f t="shared" si="38"/>
        <v>-</v>
      </c>
      <c r="AZ228" s="4" t="str">
        <f t="shared" si="39"/>
        <v>-</v>
      </c>
      <c r="BA228" s="4" t="str">
        <f t="shared" si="40"/>
        <v>-</v>
      </c>
      <c r="BB228" s="4" t="str">
        <f t="shared" si="41"/>
        <v>-</v>
      </c>
      <c r="BC228" s="4">
        <v>0</v>
      </c>
      <c r="BD228" s="4" t="s">
        <v>422</v>
      </c>
      <c r="BE228" s="4"/>
      <c r="BF228" s="4"/>
      <c r="BG228" s="4" t="s">
        <v>422</v>
      </c>
      <c r="BH228" s="4" t="s">
        <v>422</v>
      </c>
      <c r="BI228" s="4" t="str">
        <f>IF(BE228="",BH228,BE228/BF228*BH228)</f>
        <v>-</v>
      </c>
      <c r="BJ228" s="19">
        <v>4</v>
      </c>
      <c r="BK228" s="19">
        <v>1</v>
      </c>
      <c r="BL228" s="16">
        <v>3</v>
      </c>
      <c r="BM228">
        <v>668</v>
      </c>
      <c r="BN228">
        <f t="shared" si="42"/>
        <v>768.77586206896558</v>
      </c>
      <c r="BO228" t="s">
        <v>422</v>
      </c>
      <c r="BP228" t="str">
        <f t="shared" si="43"/>
        <v>-</v>
      </c>
      <c r="BQ228" t="s">
        <v>422</v>
      </c>
    </row>
    <row r="229" spans="1:69" x14ac:dyDescent="0.4">
      <c r="A229" s="3">
        <v>129</v>
      </c>
      <c r="B229" s="3">
        <v>129</v>
      </c>
      <c r="C229" s="4">
        <v>789939</v>
      </c>
      <c r="D229" s="4" t="str">
        <f>TEXT(C229,"000000")</f>
        <v>789939</v>
      </c>
      <c r="E229" s="4">
        <v>789939</v>
      </c>
      <c r="F229" s="4" t="s">
        <v>243</v>
      </c>
      <c r="G229" s="5">
        <v>4996297446828</v>
      </c>
      <c r="H229" s="5"/>
      <c r="I229" s="5"/>
      <c r="J229" s="5">
        <v>1</v>
      </c>
      <c r="K229" s="5">
        <v>1</v>
      </c>
      <c r="L229" s="4">
        <v>0</v>
      </c>
      <c r="M229" s="4">
        <v>767</v>
      </c>
      <c r="N229" s="4">
        <v>464</v>
      </c>
      <c r="O229" s="6">
        <f>IFERROR(1-N229/M229,"-")</f>
        <v>0.39504563233376788</v>
      </c>
      <c r="P229" s="4" t="s">
        <v>422</v>
      </c>
      <c r="Q229" s="4" t="s">
        <v>422</v>
      </c>
      <c r="R229" s="4" t="s">
        <v>422</v>
      </c>
      <c r="S229" s="4" t="s">
        <v>422</v>
      </c>
      <c r="T229" s="4" t="s">
        <v>422</v>
      </c>
      <c r="U229" s="4" t="s">
        <v>422</v>
      </c>
      <c r="V229" s="4" t="s">
        <v>422</v>
      </c>
      <c r="W229" s="4" t="s">
        <v>422</v>
      </c>
      <c r="X229" s="4" t="s">
        <v>422</v>
      </c>
      <c r="Y229" s="4">
        <v>0</v>
      </c>
      <c r="Z229" s="4">
        <f>IF(AC229="",Y229,Y229*AC229)</f>
        <v>0</v>
      </c>
      <c r="AA229" s="4">
        <v>534</v>
      </c>
      <c r="AB229" s="4">
        <f>IF(AC229="",AA229,AA229*AC229)</f>
        <v>534</v>
      </c>
      <c r="AC229" s="4"/>
      <c r="AD229" s="21">
        <f>ROUND(M229*AR229,0)</f>
        <v>883</v>
      </c>
      <c r="AE229" s="6">
        <f>IFERROR(1-AB229/AD229,"-")</f>
        <v>0.39524348810872023</v>
      </c>
      <c r="AF229" s="33">
        <v>2.25</v>
      </c>
      <c r="AG229" s="4" t="str">
        <f>BI229</f>
        <v>-</v>
      </c>
      <c r="AH229" s="33" t="str">
        <f>IFERROR(AG229*AR229,"-")</f>
        <v>-</v>
      </c>
      <c r="AI229" s="6" t="str">
        <f>IFERROR(1-AB229/AH229,"-")</f>
        <v>-</v>
      </c>
      <c r="AJ229" s="7">
        <v>880</v>
      </c>
      <c r="AK229" s="6">
        <f>1-AB229/AJ229</f>
        <v>0.39318181818181819</v>
      </c>
      <c r="AL229" s="4">
        <f>AJ229-AB229</f>
        <v>346</v>
      </c>
      <c r="AM229" s="28"/>
      <c r="AN229" s="6"/>
      <c r="AO229" s="6"/>
      <c r="AP229" s="6" t="str">
        <f>IFERROR(Z229/L229,"-")</f>
        <v>-</v>
      </c>
      <c r="AQ229" s="6">
        <f>IFERROR(AJ229/M229,"-")</f>
        <v>1.1473272490221642</v>
      </c>
      <c r="AR229" s="6">
        <f>IFERROR(AB229/N229,"-")</f>
        <v>1.1508620689655173</v>
      </c>
      <c r="AS229" s="4" t="str">
        <f t="shared" si="33"/>
        <v>-</v>
      </c>
      <c r="AT229" s="4"/>
      <c r="AU229" s="4" t="str">
        <f t="shared" si="34"/>
        <v>-</v>
      </c>
      <c r="AV229" s="4" t="str">
        <f t="shared" si="35"/>
        <v>-</v>
      </c>
      <c r="AW229" s="4" t="str">
        <f t="shared" si="36"/>
        <v>-</v>
      </c>
      <c r="AX229" s="4" t="str">
        <f t="shared" si="37"/>
        <v>-</v>
      </c>
      <c r="AY229" s="4" t="str">
        <f t="shared" si="38"/>
        <v>-</v>
      </c>
      <c r="AZ229" s="4" t="str">
        <f t="shared" si="39"/>
        <v>-</v>
      </c>
      <c r="BA229" s="4" t="str">
        <f t="shared" si="40"/>
        <v>-</v>
      </c>
      <c r="BB229" s="4" t="str">
        <f t="shared" si="41"/>
        <v>-</v>
      </c>
      <c r="BC229" s="4" t="s">
        <v>421</v>
      </c>
      <c r="BD229" s="4" t="s">
        <v>422</v>
      </c>
      <c r="BE229" s="4"/>
      <c r="BF229" s="4"/>
      <c r="BG229" s="4" t="s">
        <v>422</v>
      </c>
      <c r="BH229" s="4" t="s">
        <v>422</v>
      </c>
      <c r="BI229" s="4" t="str">
        <f>IF(BE229="",BH229,BE229/BF229*BH229)</f>
        <v>-</v>
      </c>
      <c r="BJ229" s="19">
        <v>4</v>
      </c>
      <c r="BK229" s="19">
        <v>1</v>
      </c>
      <c r="BL229" s="16">
        <v>3</v>
      </c>
      <c r="BM229" t="s">
        <v>422</v>
      </c>
      <c r="BN229" t="str">
        <f t="shared" si="42"/>
        <v>-</v>
      </c>
      <c r="BO229" t="s">
        <v>422</v>
      </c>
      <c r="BP229" t="str">
        <f t="shared" si="43"/>
        <v>-</v>
      </c>
      <c r="BQ229" t="s">
        <v>422</v>
      </c>
    </row>
    <row r="230" spans="1:69" x14ac:dyDescent="0.4">
      <c r="A230" s="3">
        <v>130</v>
      </c>
      <c r="B230" s="3">
        <v>130</v>
      </c>
      <c r="C230" s="4">
        <v>789948</v>
      </c>
      <c r="D230" s="4" t="str">
        <f>TEXT(C230,"000000")</f>
        <v>789948</v>
      </c>
      <c r="E230" s="4">
        <v>789948</v>
      </c>
      <c r="F230" s="4" t="s">
        <v>244</v>
      </c>
      <c r="G230" s="5">
        <v>4996297446842</v>
      </c>
      <c r="H230" s="5"/>
      <c r="I230" s="5"/>
      <c r="J230" s="5">
        <v>1</v>
      </c>
      <c r="K230" s="5">
        <v>1</v>
      </c>
      <c r="L230" s="4">
        <v>0</v>
      </c>
      <c r="M230" s="4">
        <v>767</v>
      </c>
      <c r="N230" s="4">
        <v>464</v>
      </c>
      <c r="O230" s="6">
        <f>IFERROR(1-N230/M230,"-")</f>
        <v>0.39504563233376788</v>
      </c>
      <c r="P230" s="4" t="s">
        <v>422</v>
      </c>
      <c r="Q230" s="4" t="s">
        <v>422</v>
      </c>
      <c r="R230" s="4" t="s">
        <v>422</v>
      </c>
      <c r="S230" s="4" t="s">
        <v>422</v>
      </c>
      <c r="T230" s="4" t="s">
        <v>422</v>
      </c>
      <c r="U230" s="4" t="s">
        <v>422</v>
      </c>
      <c r="V230" s="4" t="s">
        <v>422</v>
      </c>
      <c r="W230" s="4" t="s">
        <v>422</v>
      </c>
      <c r="X230" s="4" t="s">
        <v>422</v>
      </c>
      <c r="Y230" s="4">
        <v>0</v>
      </c>
      <c r="Z230" s="4">
        <f>IF(AC230="",Y230,Y230*AC230)</f>
        <v>0</v>
      </c>
      <c r="AA230" s="4">
        <v>534</v>
      </c>
      <c r="AB230" s="4">
        <f>IF(AC230="",AA230,AA230*AC230)</f>
        <v>534</v>
      </c>
      <c r="AC230" s="4"/>
      <c r="AD230" s="21">
        <f>ROUND(M230*AR230,0)</f>
        <v>883</v>
      </c>
      <c r="AE230" s="6">
        <f>IFERROR(1-AB230/AD230,"-")</f>
        <v>0.39524348810872023</v>
      </c>
      <c r="AF230" s="33">
        <v>4.25</v>
      </c>
      <c r="AG230" s="4" t="str">
        <f>BI230</f>
        <v>-</v>
      </c>
      <c r="AH230" s="33" t="str">
        <f>IFERROR(AG230*AR230,"-")</f>
        <v>-</v>
      </c>
      <c r="AI230" s="6" t="str">
        <f>IFERROR(1-AB230/AH230,"-")</f>
        <v>-</v>
      </c>
      <c r="AJ230" s="7">
        <v>880</v>
      </c>
      <c r="AK230" s="6">
        <f>1-AB230/AJ230</f>
        <v>0.39318181818181819</v>
      </c>
      <c r="AL230" s="4">
        <f>AJ230-AB230</f>
        <v>346</v>
      </c>
      <c r="AM230" s="28"/>
      <c r="AN230" s="6"/>
      <c r="AO230" s="6"/>
      <c r="AP230" s="6" t="str">
        <f>IFERROR(Z230/L230,"-")</f>
        <v>-</v>
      </c>
      <c r="AQ230" s="6">
        <f>IFERROR(AJ230/M230,"-")</f>
        <v>1.1473272490221642</v>
      </c>
      <c r="AR230" s="6">
        <f>IFERROR(AB230/N230,"-")</f>
        <v>1.1508620689655173</v>
      </c>
      <c r="AS230" s="4" t="str">
        <f t="shared" si="33"/>
        <v>-</v>
      </c>
      <c r="AT230" s="4"/>
      <c r="AU230" s="4" t="str">
        <f t="shared" si="34"/>
        <v>-</v>
      </c>
      <c r="AV230" s="4" t="str">
        <f t="shared" si="35"/>
        <v>-</v>
      </c>
      <c r="AW230" s="4" t="str">
        <f t="shared" si="36"/>
        <v>-</v>
      </c>
      <c r="AX230" s="4" t="str">
        <f t="shared" si="37"/>
        <v>-</v>
      </c>
      <c r="AY230" s="4" t="str">
        <f t="shared" si="38"/>
        <v>-</v>
      </c>
      <c r="AZ230" s="4" t="str">
        <f t="shared" si="39"/>
        <v>-</v>
      </c>
      <c r="BA230" s="4" t="str">
        <f t="shared" si="40"/>
        <v>-</v>
      </c>
      <c r="BB230" s="4" t="str">
        <f t="shared" si="41"/>
        <v>-</v>
      </c>
      <c r="BC230" s="4" t="s">
        <v>421</v>
      </c>
      <c r="BD230" s="4" t="s">
        <v>422</v>
      </c>
      <c r="BE230" s="4"/>
      <c r="BF230" s="4"/>
      <c r="BG230" s="4" t="s">
        <v>422</v>
      </c>
      <c r="BH230" s="4" t="s">
        <v>422</v>
      </c>
      <c r="BI230" s="4" t="str">
        <f>IF(BE230="",BH230,BE230/BF230*BH230)</f>
        <v>-</v>
      </c>
      <c r="BJ230" s="19">
        <v>4</v>
      </c>
      <c r="BK230" s="19">
        <v>1</v>
      </c>
      <c r="BL230" s="16">
        <v>3</v>
      </c>
      <c r="BM230">
        <v>668</v>
      </c>
      <c r="BN230">
        <f t="shared" si="42"/>
        <v>768.77586206896558</v>
      </c>
      <c r="BO230" t="s">
        <v>422</v>
      </c>
      <c r="BP230" t="str">
        <f t="shared" si="43"/>
        <v>-</v>
      </c>
      <c r="BQ230" t="s">
        <v>422</v>
      </c>
    </row>
    <row r="231" spans="1:69" x14ac:dyDescent="0.4">
      <c r="A231" s="3">
        <v>46</v>
      </c>
      <c r="B231" s="3">
        <v>46</v>
      </c>
      <c r="C231" s="4">
        <v>895779</v>
      </c>
      <c r="D231" s="4" t="str">
        <f>TEXT(C231,"000000")</f>
        <v>895779</v>
      </c>
      <c r="E231" s="4">
        <v>895779</v>
      </c>
      <c r="F231" s="4" t="s">
        <v>161</v>
      </c>
      <c r="G231" s="5">
        <v>4996297326625</v>
      </c>
      <c r="H231" s="5"/>
      <c r="I231" s="5"/>
      <c r="J231" s="5">
        <v>1</v>
      </c>
      <c r="K231" s="5">
        <v>1</v>
      </c>
      <c r="L231" s="4">
        <v>0</v>
      </c>
      <c r="M231" s="4">
        <v>906</v>
      </c>
      <c r="N231" s="4">
        <v>506</v>
      </c>
      <c r="O231" s="6">
        <f>IFERROR(1-N231/M231,"-")</f>
        <v>0.44150110375275942</v>
      </c>
      <c r="P231" s="4" t="s">
        <v>422</v>
      </c>
      <c r="Q231" s="4" t="s">
        <v>422</v>
      </c>
      <c r="R231" s="4" t="s">
        <v>422</v>
      </c>
      <c r="S231" s="4" t="s">
        <v>422</v>
      </c>
      <c r="T231" s="4" t="s">
        <v>422</v>
      </c>
      <c r="U231" s="4" t="s">
        <v>422</v>
      </c>
      <c r="V231" s="4" t="s">
        <v>422</v>
      </c>
      <c r="W231" s="4" t="s">
        <v>422</v>
      </c>
      <c r="X231" s="4" t="s">
        <v>422</v>
      </c>
      <c r="Y231" s="4">
        <v>0</v>
      </c>
      <c r="Z231" s="4">
        <f>IF(AC231="",Y231,Y231*AC231)</f>
        <v>0</v>
      </c>
      <c r="AA231" s="4">
        <v>557</v>
      </c>
      <c r="AB231" s="4">
        <f>IF(AC231="",AA231,AA231*AC231)</f>
        <v>557</v>
      </c>
      <c r="AC231" s="4"/>
      <c r="AD231" s="21">
        <f>ROUND(M231*AR231,0)</f>
        <v>997</v>
      </c>
      <c r="AE231" s="6">
        <f>IFERROR(1-AB231/AD231,"-")</f>
        <v>0.44132397191574724</v>
      </c>
      <c r="AF231" s="33">
        <v>26.5</v>
      </c>
      <c r="AG231" s="4" t="str">
        <f>BI231</f>
        <v>-</v>
      </c>
      <c r="AH231" s="33" t="str">
        <f>IFERROR(AG231*AR231,"-")</f>
        <v>-</v>
      </c>
      <c r="AI231" s="6" t="str">
        <f>IFERROR(1-AB231/AH231,"-")</f>
        <v>-</v>
      </c>
      <c r="AJ231" s="7">
        <v>930</v>
      </c>
      <c r="AK231" s="6">
        <f>1-AB231/AJ231</f>
        <v>0.40107526881720434</v>
      </c>
      <c r="AL231" s="4">
        <f>AJ231-AB231</f>
        <v>373</v>
      </c>
      <c r="AM231" s="28"/>
      <c r="AN231" s="6"/>
      <c r="AO231" s="6"/>
      <c r="AP231" s="6" t="str">
        <f>IFERROR(Z231/L231,"-")</f>
        <v>-</v>
      </c>
      <c r="AQ231" s="6">
        <f>IFERROR(AJ231/M231,"-")</f>
        <v>1.0264900662251655</v>
      </c>
      <c r="AR231" s="6">
        <f>IFERROR(AB231/N231,"-")</f>
        <v>1.1007905138339922</v>
      </c>
      <c r="AS231" s="4" t="str">
        <f t="shared" si="33"/>
        <v>-</v>
      </c>
      <c r="AT231" s="4"/>
      <c r="AU231" s="4" t="str">
        <f t="shared" si="34"/>
        <v>-</v>
      </c>
      <c r="AV231" s="4" t="str">
        <f t="shared" si="35"/>
        <v>-</v>
      </c>
      <c r="AW231" s="4" t="str">
        <f t="shared" si="36"/>
        <v>-</v>
      </c>
      <c r="AX231" s="4" t="str">
        <f t="shared" si="37"/>
        <v>-</v>
      </c>
      <c r="AY231" s="4" t="str">
        <f t="shared" si="38"/>
        <v>-</v>
      </c>
      <c r="AZ231" s="4" t="str">
        <f t="shared" si="39"/>
        <v>-</v>
      </c>
      <c r="BA231" s="4" t="str">
        <f t="shared" si="40"/>
        <v>-</v>
      </c>
      <c r="BB231" s="4" t="str">
        <f t="shared" si="41"/>
        <v>-</v>
      </c>
      <c r="BC231" s="4" t="s">
        <v>409</v>
      </c>
      <c r="BD231" s="4" t="s">
        <v>422</v>
      </c>
      <c r="BE231" s="4"/>
      <c r="BF231" s="4"/>
      <c r="BG231" s="4" t="s">
        <v>422</v>
      </c>
      <c r="BH231" s="4" t="s">
        <v>422</v>
      </c>
      <c r="BI231" s="4" t="str">
        <f>IF(BE231="",BH231,BE231/BF231*BH231)</f>
        <v>-</v>
      </c>
      <c r="BJ231" s="19">
        <v>4</v>
      </c>
      <c r="BK231" s="19">
        <v>1</v>
      </c>
      <c r="BL231" s="16">
        <v>3</v>
      </c>
      <c r="BM231" t="s">
        <v>422</v>
      </c>
      <c r="BN231" t="str">
        <f t="shared" si="42"/>
        <v>-</v>
      </c>
      <c r="BO231" t="s">
        <v>422</v>
      </c>
      <c r="BP231" t="str">
        <f t="shared" si="43"/>
        <v>-</v>
      </c>
      <c r="BQ231" t="s">
        <v>422</v>
      </c>
    </row>
    <row r="232" spans="1:69" x14ac:dyDescent="0.4">
      <c r="A232" s="3">
        <v>176</v>
      </c>
      <c r="B232" s="3">
        <v>176</v>
      </c>
      <c r="C232" s="4">
        <v>397413</v>
      </c>
      <c r="D232" s="4" t="str">
        <f>TEXT(C232,"000000")</f>
        <v>397413</v>
      </c>
      <c r="E232" s="4">
        <v>397413</v>
      </c>
      <c r="F232" s="4" t="s">
        <v>290</v>
      </c>
      <c r="G232" s="5">
        <v>4996297703525</v>
      </c>
      <c r="H232" s="5"/>
      <c r="I232" s="5"/>
      <c r="J232" s="5">
        <v>1</v>
      </c>
      <c r="K232" s="5">
        <v>1</v>
      </c>
      <c r="L232" s="4">
        <v>0</v>
      </c>
      <c r="M232" s="4">
        <v>675</v>
      </c>
      <c r="N232" s="4">
        <v>514</v>
      </c>
      <c r="O232" s="6">
        <f>IFERROR(1-N232/M232,"-")</f>
        <v>0.23851851851851846</v>
      </c>
      <c r="P232" s="4" t="s">
        <v>422</v>
      </c>
      <c r="Q232" s="4" t="s">
        <v>422</v>
      </c>
      <c r="R232" s="4" t="s">
        <v>422</v>
      </c>
      <c r="S232" s="4" t="s">
        <v>422</v>
      </c>
      <c r="T232" s="4" t="s">
        <v>422</v>
      </c>
      <c r="U232" s="4" t="s">
        <v>422</v>
      </c>
      <c r="V232" s="4" t="s">
        <v>422</v>
      </c>
      <c r="W232" s="4" t="s">
        <v>422</v>
      </c>
      <c r="X232" s="4" t="s">
        <v>422</v>
      </c>
      <c r="Y232" s="4">
        <v>0</v>
      </c>
      <c r="Z232" s="4">
        <f>IF(AC232="",Y232,Y232*AC232)</f>
        <v>0</v>
      </c>
      <c r="AA232" s="4">
        <v>565</v>
      </c>
      <c r="AB232" s="4">
        <f>IF(AC232="",AA232,AA232*AC232)</f>
        <v>565</v>
      </c>
      <c r="AC232" s="4"/>
      <c r="AD232" s="21">
        <f>ROUND(M232*AR232,0)</f>
        <v>742</v>
      </c>
      <c r="AE232" s="6">
        <f>IFERROR(1-AB232/AD232,"-")</f>
        <v>0.23854447439353099</v>
      </c>
      <c r="AF232" s="33">
        <v>1</v>
      </c>
      <c r="AG232" s="4" t="str">
        <f>BI232</f>
        <v>-</v>
      </c>
      <c r="AH232" s="33" t="str">
        <f>IFERROR(AG232*AR232,"-")</f>
        <v>-</v>
      </c>
      <c r="AI232" s="6" t="str">
        <f>IFERROR(1-AB232/AH232,"-")</f>
        <v>-</v>
      </c>
      <c r="AJ232" s="7">
        <v>940</v>
      </c>
      <c r="AK232" s="6">
        <f>1-AB232/AJ232</f>
        <v>0.39893617021276595</v>
      </c>
      <c r="AL232" s="4">
        <f>AJ232-AB232</f>
        <v>375</v>
      </c>
      <c r="AM232" s="28"/>
      <c r="AN232" s="6"/>
      <c r="AO232" s="6"/>
      <c r="AP232" s="6" t="str">
        <f>IFERROR(Z232/L232,"-")</f>
        <v>-</v>
      </c>
      <c r="AQ232" s="6">
        <f>IFERROR(AJ232/M232,"-")</f>
        <v>1.3925925925925926</v>
      </c>
      <c r="AR232" s="6">
        <f>IFERROR(AB232/N232,"-")</f>
        <v>1.0992217898832686</v>
      </c>
      <c r="AS232" s="4" t="str">
        <f t="shared" si="33"/>
        <v>-</v>
      </c>
      <c r="AT232" s="4"/>
      <c r="AU232" s="4" t="str">
        <f t="shared" si="34"/>
        <v>-</v>
      </c>
      <c r="AV232" s="4" t="str">
        <f t="shared" si="35"/>
        <v>-</v>
      </c>
      <c r="AW232" s="4" t="str">
        <f t="shared" si="36"/>
        <v>-</v>
      </c>
      <c r="AX232" s="4" t="str">
        <f t="shared" si="37"/>
        <v>-</v>
      </c>
      <c r="AY232" s="4" t="str">
        <f t="shared" si="38"/>
        <v>-</v>
      </c>
      <c r="AZ232" s="4" t="str">
        <f t="shared" si="39"/>
        <v>-</v>
      </c>
      <c r="BA232" s="4" t="str">
        <f t="shared" si="40"/>
        <v>-</v>
      </c>
      <c r="BB232" s="4" t="str">
        <f t="shared" si="41"/>
        <v>-</v>
      </c>
      <c r="BC232" s="4">
        <v>0</v>
      </c>
      <c r="BD232" s="4" t="s">
        <v>422</v>
      </c>
      <c r="BE232" s="4"/>
      <c r="BF232" s="4"/>
      <c r="BG232" s="4" t="s">
        <v>422</v>
      </c>
      <c r="BH232" s="4" t="s">
        <v>422</v>
      </c>
      <c r="BI232" s="4" t="str">
        <f>IF(BE232="",BH232,BE232/BF232*BH232)</f>
        <v>-</v>
      </c>
      <c r="BJ232" s="19">
        <v>4</v>
      </c>
      <c r="BK232" s="19">
        <v>1</v>
      </c>
      <c r="BL232" s="16">
        <v>3</v>
      </c>
      <c r="BM232" t="s">
        <v>422</v>
      </c>
      <c r="BN232" t="str">
        <f t="shared" si="42"/>
        <v>-</v>
      </c>
      <c r="BO232" t="s">
        <v>422</v>
      </c>
      <c r="BP232" t="str">
        <f t="shared" si="43"/>
        <v>-</v>
      </c>
      <c r="BQ232" t="s">
        <v>422</v>
      </c>
    </row>
    <row r="233" spans="1:69" x14ac:dyDescent="0.4">
      <c r="A233" s="3">
        <v>78</v>
      </c>
      <c r="B233" s="3">
        <v>78</v>
      </c>
      <c r="C233" s="4">
        <v>212308</v>
      </c>
      <c r="D233" s="4" t="str">
        <f>TEXT(C233,"000000")</f>
        <v>212308</v>
      </c>
      <c r="E233" s="4">
        <v>212308</v>
      </c>
      <c r="F233" s="4" t="s">
        <v>192</v>
      </c>
      <c r="G233" s="5">
        <v>4996297374053</v>
      </c>
      <c r="H233" s="5"/>
      <c r="I233" s="5"/>
      <c r="J233" s="5">
        <v>1</v>
      </c>
      <c r="K233" s="5">
        <v>1</v>
      </c>
      <c r="L233" s="4">
        <v>0</v>
      </c>
      <c r="M233" s="4">
        <v>690</v>
      </c>
      <c r="N233" s="4">
        <v>515</v>
      </c>
      <c r="O233" s="6">
        <f>IFERROR(1-N233/M233,"-")</f>
        <v>0.25362318840579712</v>
      </c>
      <c r="P233" s="4" t="s">
        <v>422</v>
      </c>
      <c r="Q233" s="4" t="s">
        <v>422</v>
      </c>
      <c r="R233" s="4" t="s">
        <v>422</v>
      </c>
      <c r="S233" s="4" t="s">
        <v>422</v>
      </c>
      <c r="T233" s="4" t="s">
        <v>422</v>
      </c>
      <c r="U233" s="4" t="s">
        <v>422</v>
      </c>
      <c r="V233" s="4" t="s">
        <v>422</v>
      </c>
      <c r="W233" s="4" t="s">
        <v>422</v>
      </c>
      <c r="X233" s="4" t="s">
        <v>422</v>
      </c>
      <c r="Y233" s="4">
        <v>0</v>
      </c>
      <c r="Z233" s="4">
        <f>IF(AC233="",Y233,Y233*AC233)</f>
        <v>0</v>
      </c>
      <c r="AA233" s="4">
        <v>592</v>
      </c>
      <c r="AB233" s="4">
        <f>IF(AC233="",AA233,AA233*AC233)</f>
        <v>592</v>
      </c>
      <c r="AC233" s="4"/>
      <c r="AD233" s="21">
        <f>ROUND(M233*AR233,0)</f>
        <v>793</v>
      </c>
      <c r="AE233" s="6">
        <f>IFERROR(1-AB233/AD233,"-")</f>
        <v>0.2534678436317781</v>
      </c>
      <c r="AF233" s="33">
        <v>4.5</v>
      </c>
      <c r="AG233" s="4">
        <f>BI233</f>
        <v>1479</v>
      </c>
      <c r="AH233" s="33">
        <f>IFERROR(AG233*AR233,"-")</f>
        <v>1700.1320388349513</v>
      </c>
      <c r="AI233" s="6">
        <f>IFERROR(1-AB233/AH233,"-")</f>
        <v>0.65179175118323185</v>
      </c>
      <c r="AJ233" s="7">
        <v>950</v>
      </c>
      <c r="AK233" s="6">
        <f>1-AB233/AJ233</f>
        <v>0.37684210526315787</v>
      </c>
      <c r="AL233" s="4">
        <f>AJ233-AB233</f>
        <v>358</v>
      </c>
      <c r="AM233" s="28"/>
      <c r="AN233" s="6"/>
      <c r="AO233" s="6"/>
      <c r="AP233" s="6" t="str">
        <f>IFERROR(Z233/L233,"-")</f>
        <v>-</v>
      </c>
      <c r="AQ233" s="6">
        <f>IFERROR(AJ233/M233,"-")</f>
        <v>1.3768115942028984</v>
      </c>
      <c r="AR233" s="6">
        <f>IFERROR(AB233/N233,"-")</f>
        <v>1.149514563106796</v>
      </c>
      <c r="AS233" s="4" t="str">
        <f t="shared" si="33"/>
        <v>-</v>
      </c>
      <c r="AT233" s="4"/>
      <c r="AU233" s="4" t="str">
        <f t="shared" si="34"/>
        <v>-</v>
      </c>
      <c r="AV233" s="4" t="str">
        <f t="shared" si="35"/>
        <v>-</v>
      </c>
      <c r="AW233" s="4" t="str">
        <f t="shared" si="36"/>
        <v>-</v>
      </c>
      <c r="AX233" s="4" t="str">
        <f t="shared" si="37"/>
        <v>-</v>
      </c>
      <c r="AY233" s="4" t="str">
        <f t="shared" si="38"/>
        <v>-</v>
      </c>
      <c r="AZ233" s="4" t="str">
        <f t="shared" si="39"/>
        <v>-</v>
      </c>
      <c r="BA233" s="4" t="str">
        <f t="shared" si="40"/>
        <v>-</v>
      </c>
      <c r="BB233" s="4" t="str">
        <f t="shared" si="41"/>
        <v>-</v>
      </c>
      <c r="BC233" s="4">
        <v>0</v>
      </c>
      <c r="BD233" s="4" t="s">
        <v>708</v>
      </c>
      <c r="BE233" s="4"/>
      <c r="BF233" s="4"/>
      <c r="BG233" s="4" t="s">
        <v>563</v>
      </c>
      <c r="BH233" s="4">
        <v>1479</v>
      </c>
      <c r="BI233" s="4">
        <f>IF(BE233="",BH233,BE233/BF233*BH233)</f>
        <v>1479</v>
      </c>
      <c r="BJ233" s="19">
        <v>4</v>
      </c>
      <c r="BK233" s="19">
        <v>1</v>
      </c>
      <c r="BL233" s="16">
        <v>3</v>
      </c>
      <c r="BM233">
        <v>786</v>
      </c>
      <c r="BN233">
        <f t="shared" si="42"/>
        <v>903.5184466019416</v>
      </c>
      <c r="BO233">
        <v>1302</v>
      </c>
      <c r="BP233">
        <f t="shared" si="43"/>
        <v>1496.6679611650484</v>
      </c>
      <c r="BQ233" t="s">
        <v>546</v>
      </c>
    </row>
    <row r="234" spans="1:69" x14ac:dyDescent="0.4">
      <c r="A234" s="3">
        <v>77</v>
      </c>
      <c r="B234" s="3">
        <v>77</v>
      </c>
      <c r="C234" s="4">
        <v>212315</v>
      </c>
      <c r="D234" s="4" t="str">
        <f>TEXT(C234,"000000")</f>
        <v>212315</v>
      </c>
      <c r="E234" s="4">
        <v>212315</v>
      </c>
      <c r="F234" s="4" t="s">
        <v>191</v>
      </c>
      <c r="G234" s="5">
        <v>4996297374022</v>
      </c>
      <c r="H234" s="5"/>
      <c r="I234" s="5"/>
      <c r="J234" s="5">
        <v>1</v>
      </c>
      <c r="K234" s="5">
        <v>1</v>
      </c>
      <c r="L234" s="4">
        <v>0</v>
      </c>
      <c r="M234" s="4">
        <v>690</v>
      </c>
      <c r="N234" s="4">
        <v>515</v>
      </c>
      <c r="O234" s="6">
        <f>IFERROR(1-N234/M234,"-")</f>
        <v>0.25362318840579712</v>
      </c>
      <c r="P234" s="4" t="s">
        <v>422</v>
      </c>
      <c r="Q234" s="4" t="s">
        <v>422</v>
      </c>
      <c r="R234" s="4" t="s">
        <v>422</v>
      </c>
      <c r="S234" s="4" t="s">
        <v>422</v>
      </c>
      <c r="T234" s="4" t="s">
        <v>422</v>
      </c>
      <c r="U234" s="4" t="s">
        <v>422</v>
      </c>
      <c r="V234" s="4" t="s">
        <v>422</v>
      </c>
      <c r="W234" s="4" t="s">
        <v>422</v>
      </c>
      <c r="X234" s="4" t="s">
        <v>422</v>
      </c>
      <c r="Y234" s="4">
        <v>0</v>
      </c>
      <c r="Z234" s="4">
        <f>IF(AC234="",Y234,Y234*AC234)</f>
        <v>0</v>
      </c>
      <c r="AA234" s="4">
        <v>592</v>
      </c>
      <c r="AB234" s="4">
        <f>IF(AC234="",AA234,AA234*AC234)</f>
        <v>592</v>
      </c>
      <c r="AC234" s="4"/>
      <c r="AD234" s="21">
        <f>ROUND(M234*AR234,0)</f>
        <v>793</v>
      </c>
      <c r="AE234" s="6">
        <f>IFERROR(1-AB234/AD234,"-")</f>
        <v>0.2534678436317781</v>
      </c>
      <c r="AF234" s="33">
        <v>5.75</v>
      </c>
      <c r="AG234" s="4">
        <f>BI234</f>
        <v>1479</v>
      </c>
      <c r="AH234" s="33">
        <f>IFERROR(AG234*AR234,"-")</f>
        <v>1700.1320388349513</v>
      </c>
      <c r="AI234" s="6">
        <f>IFERROR(1-AB234/AH234,"-")</f>
        <v>0.65179175118323185</v>
      </c>
      <c r="AJ234" s="7">
        <v>950</v>
      </c>
      <c r="AK234" s="6">
        <f>1-AB234/AJ234</f>
        <v>0.37684210526315787</v>
      </c>
      <c r="AL234" s="4">
        <f>AJ234-AB234</f>
        <v>358</v>
      </c>
      <c r="AM234" s="28"/>
      <c r="AN234" s="6"/>
      <c r="AO234" s="6"/>
      <c r="AP234" s="6" t="str">
        <f>IFERROR(Z234/L234,"-")</f>
        <v>-</v>
      </c>
      <c r="AQ234" s="6">
        <f>IFERROR(AJ234/M234,"-")</f>
        <v>1.3768115942028984</v>
      </c>
      <c r="AR234" s="6">
        <f>IFERROR(AB234/N234,"-")</f>
        <v>1.149514563106796</v>
      </c>
      <c r="AS234" s="4" t="str">
        <f t="shared" si="33"/>
        <v>-</v>
      </c>
      <c r="AT234" s="4"/>
      <c r="AU234" s="4" t="str">
        <f t="shared" si="34"/>
        <v>-</v>
      </c>
      <c r="AV234" s="4" t="str">
        <f t="shared" si="35"/>
        <v>-</v>
      </c>
      <c r="AW234" s="4" t="str">
        <f t="shared" si="36"/>
        <v>-</v>
      </c>
      <c r="AX234" s="4" t="str">
        <f t="shared" si="37"/>
        <v>-</v>
      </c>
      <c r="AY234" s="4" t="str">
        <f t="shared" si="38"/>
        <v>-</v>
      </c>
      <c r="AZ234" s="4" t="str">
        <f t="shared" si="39"/>
        <v>-</v>
      </c>
      <c r="BA234" s="4" t="str">
        <f t="shared" si="40"/>
        <v>-</v>
      </c>
      <c r="BB234" s="4" t="str">
        <f t="shared" si="41"/>
        <v>-</v>
      </c>
      <c r="BC234" s="4">
        <v>0</v>
      </c>
      <c r="BD234" s="4" t="s">
        <v>709</v>
      </c>
      <c r="BE234" s="4"/>
      <c r="BF234" s="4"/>
      <c r="BG234" s="4" t="s">
        <v>563</v>
      </c>
      <c r="BH234" s="4">
        <v>1479</v>
      </c>
      <c r="BI234" s="4">
        <f>IF(BE234="",BH234,BE234/BF234*BH234)</f>
        <v>1479</v>
      </c>
      <c r="BJ234" s="19">
        <v>4</v>
      </c>
      <c r="BK234" s="19">
        <v>1</v>
      </c>
      <c r="BL234" s="16">
        <v>3</v>
      </c>
      <c r="BM234">
        <v>786</v>
      </c>
      <c r="BN234">
        <f t="shared" si="42"/>
        <v>903.5184466019416</v>
      </c>
      <c r="BO234">
        <v>1302</v>
      </c>
      <c r="BP234">
        <f t="shared" si="43"/>
        <v>1496.6679611650484</v>
      </c>
      <c r="BQ234" t="s">
        <v>547</v>
      </c>
    </row>
    <row r="235" spans="1:69" x14ac:dyDescent="0.4">
      <c r="A235" s="3">
        <v>157</v>
      </c>
      <c r="B235" s="3">
        <v>157</v>
      </c>
      <c r="C235" s="4" t="s">
        <v>103</v>
      </c>
      <c r="D235" s="4" t="str">
        <f>TEXT(C235,"000000")</f>
        <v>J707PW</v>
      </c>
      <c r="E235" s="4" t="s">
        <v>103</v>
      </c>
      <c r="F235" s="4" t="s">
        <v>271</v>
      </c>
      <c r="G235" s="5">
        <v>4996297473701</v>
      </c>
      <c r="H235" s="5"/>
      <c r="I235" s="5"/>
      <c r="J235" s="5">
        <v>1</v>
      </c>
      <c r="K235" s="5">
        <v>1</v>
      </c>
      <c r="L235" s="4">
        <v>0</v>
      </c>
      <c r="M235" s="4">
        <v>832</v>
      </c>
      <c r="N235" s="4">
        <v>624</v>
      </c>
      <c r="O235" s="6">
        <f>IFERROR(1-N235/M235,"-")</f>
        <v>0.25</v>
      </c>
      <c r="P235" s="4" t="s">
        <v>422</v>
      </c>
      <c r="Q235" s="4" t="s">
        <v>422</v>
      </c>
      <c r="R235" s="4" t="s">
        <v>422</v>
      </c>
      <c r="S235" s="4" t="s">
        <v>422</v>
      </c>
      <c r="T235" s="4" t="s">
        <v>422</v>
      </c>
      <c r="U235" s="4" t="s">
        <v>422</v>
      </c>
      <c r="V235" s="4" t="s">
        <v>422</v>
      </c>
      <c r="W235" s="4" t="s">
        <v>422</v>
      </c>
      <c r="X235" s="4" t="s">
        <v>422</v>
      </c>
      <c r="Y235" s="4">
        <v>0</v>
      </c>
      <c r="Z235" s="4">
        <f>IF(AC235="",Y235,Y235*AC235)</f>
        <v>0</v>
      </c>
      <c r="AA235" s="4">
        <v>635</v>
      </c>
      <c r="AB235" s="4">
        <f>IF(AC235="",AA235,AA235*AC235)</f>
        <v>635</v>
      </c>
      <c r="AC235" s="4"/>
      <c r="AD235" s="21">
        <f>ROUND(M235*AR235,0)</f>
        <v>847</v>
      </c>
      <c r="AE235" s="6">
        <f>IFERROR(1-AB235/AD235,"-")</f>
        <v>0.2502951593860685</v>
      </c>
      <c r="AF235" s="33">
        <v>1.25</v>
      </c>
      <c r="AG235" s="4">
        <f>BI235</f>
        <v>1335</v>
      </c>
      <c r="AH235" s="33">
        <f>IFERROR(AG235*AR235,"-")</f>
        <v>1358.5336538461538</v>
      </c>
      <c r="AI235" s="6">
        <f>IFERROR(1-AB235/AH235,"-")</f>
        <v>0.53258426966292127</v>
      </c>
      <c r="AJ235" s="7">
        <v>1050</v>
      </c>
      <c r="AK235" s="6">
        <f>1-AB235/AJ235</f>
        <v>0.39523809523809528</v>
      </c>
      <c r="AL235" s="4">
        <f>AJ235-AB235</f>
        <v>415</v>
      </c>
      <c r="AM235" s="28"/>
      <c r="AN235" s="6"/>
      <c r="AO235" s="6"/>
      <c r="AP235" s="6" t="str">
        <f>IFERROR(Z235/L235,"-")</f>
        <v>-</v>
      </c>
      <c r="AQ235" s="6">
        <f>IFERROR(AJ235/M235,"-")</f>
        <v>1.2620192307692308</v>
      </c>
      <c r="AR235" s="6">
        <f>IFERROR(AB235/N235,"-")</f>
        <v>1.0176282051282051</v>
      </c>
      <c r="AS235" s="4" t="str">
        <f t="shared" si="33"/>
        <v>-</v>
      </c>
      <c r="AT235" s="4"/>
      <c r="AU235" s="4" t="str">
        <f t="shared" si="34"/>
        <v>-</v>
      </c>
      <c r="AV235" s="4" t="str">
        <f t="shared" si="35"/>
        <v>-</v>
      </c>
      <c r="AW235" s="4" t="str">
        <f t="shared" si="36"/>
        <v>-</v>
      </c>
      <c r="AX235" s="4" t="str">
        <f t="shared" si="37"/>
        <v>-</v>
      </c>
      <c r="AY235" s="4" t="str">
        <f t="shared" si="38"/>
        <v>-</v>
      </c>
      <c r="AZ235" s="4" t="str">
        <f t="shared" si="39"/>
        <v>-</v>
      </c>
      <c r="BA235" s="4" t="str">
        <f t="shared" si="40"/>
        <v>-</v>
      </c>
      <c r="BB235" s="4" t="str">
        <f t="shared" si="41"/>
        <v>-</v>
      </c>
      <c r="BC235" s="4">
        <v>0</v>
      </c>
      <c r="BD235" s="4" t="s">
        <v>710</v>
      </c>
      <c r="BE235" s="4"/>
      <c r="BF235" s="4"/>
      <c r="BG235" s="4" t="s">
        <v>563</v>
      </c>
      <c r="BH235" s="4">
        <v>1335</v>
      </c>
      <c r="BI235" s="4">
        <f>IF(BE235="",BH235,BE235/BF235*BH235)</f>
        <v>1335</v>
      </c>
      <c r="BJ235" s="19">
        <v>4</v>
      </c>
      <c r="BK235" s="19">
        <v>1</v>
      </c>
      <c r="BL235" s="16">
        <v>3</v>
      </c>
      <c r="BM235" t="s">
        <v>422</v>
      </c>
      <c r="BN235" t="str">
        <f t="shared" si="42"/>
        <v>-</v>
      </c>
      <c r="BO235">
        <v>1330</v>
      </c>
      <c r="BP235">
        <f t="shared" si="43"/>
        <v>1353.4455128205127</v>
      </c>
      <c r="BQ235" t="s">
        <v>548</v>
      </c>
    </row>
    <row r="236" spans="1:69" x14ac:dyDescent="0.4">
      <c r="A236" s="3">
        <v>158</v>
      </c>
      <c r="B236" s="3">
        <v>158</v>
      </c>
      <c r="C236" s="4" t="s">
        <v>104</v>
      </c>
      <c r="D236" s="4" t="str">
        <f>TEXT(C236,"000000")</f>
        <v>J708PW</v>
      </c>
      <c r="E236" s="4" t="s">
        <v>104</v>
      </c>
      <c r="F236" s="4" t="s">
        <v>272</v>
      </c>
      <c r="G236" s="5">
        <v>4996297473718</v>
      </c>
      <c r="H236" s="5"/>
      <c r="I236" s="5"/>
      <c r="J236" s="5">
        <v>1</v>
      </c>
      <c r="K236" s="5">
        <v>1</v>
      </c>
      <c r="L236" s="4">
        <v>0</v>
      </c>
      <c r="M236" s="4">
        <v>935</v>
      </c>
      <c r="N236" s="4">
        <v>624</v>
      </c>
      <c r="O236" s="6">
        <f>IFERROR(1-N236/M236,"-")</f>
        <v>0.33262032085561499</v>
      </c>
      <c r="P236" s="4" t="s">
        <v>422</v>
      </c>
      <c r="Q236" s="4" t="s">
        <v>422</v>
      </c>
      <c r="R236" s="4" t="s">
        <v>422</v>
      </c>
      <c r="S236" s="4" t="s">
        <v>422</v>
      </c>
      <c r="T236" s="4" t="s">
        <v>422</v>
      </c>
      <c r="U236" s="4" t="s">
        <v>422</v>
      </c>
      <c r="V236" s="4" t="s">
        <v>422</v>
      </c>
      <c r="W236" s="4" t="s">
        <v>422</v>
      </c>
      <c r="X236" s="4" t="s">
        <v>422</v>
      </c>
      <c r="Y236" s="4">
        <v>0</v>
      </c>
      <c r="Z236" s="4">
        <f>IF(AC236="",Y236,Y236*AC236)</f>
        <v>0</v>
      </c>
      <c r="AA236" s="4">
        <v>635</v>
      </c>
      <c r="AB236" s="4">
        <f>IF(AC236="",AA236,AA236*AC236)</f>
        <v>635</v>
      </c>
      <c r="AC236" s="4"/>
      <c r="AD236" s="21">
        <f>ROUND(M236*AR236,0)</f>
        <v>951</v>
      </c>
      <c r="AE236" s="6">
        <f>IFERROR(1-AB236/AD236,"-")</f>
        <v>0.33228180862250267</v>
      </c>
      <c r="AF236" s="33">
        <v>0.25</v>
      </c>
      <c r="AG236" s="4">
        <f>BI236</f>
        <v>1400</v>
      </c>
      <c r="AH236" s="33">
        <f>IFERROR(AG236*AR236,"-")</f>
        <v>1424.6794871794871</v>
      </c>
      <c r="AI236" s="6">
        <f>IFERROR(1-AB236/AH236,"-")</f>
        <v>0.55428571428571427</v>
      </c>
      <c r="AJ236" s="7">
        <v>1050</v>
      </c>
      <c r="AK236" s="6">
        <f>1-AB236/AJ236</f>
        <v>0.39523809523809528</v>
      </c>
      <c r="AL236" s="4">
        <f>AJ236-AB236</f>
        <v>415</v>
      </c>
      <c r="AM236" s="28"/>
      <c r="AN236" s="6"/>
      <c r="AO236" s="6"/>
      <c r="AP236" s="6" t="str">
        <f>IFERROR(Z236/L236,"-")</f>
        <v>-</v>
      </c>
      <c r="AQ236" s="6">
        <f>IFERROR(AJ236/M236,"-")</f>
        <v>1.1229946524064172</v>
      </c>
      <c r="AR236" s="6">
        <f>IFERROR(AB236/N236,"-")</f>
        <v>1.0176282051282051</v>
      </c>
      <c r="AS236" s="4" t="str">
        <f t="shared" si="33"/>
        <v>-</v>
      </c>
      <c r="AT236" s="4"/>
      <c r="AU236" s="4" t="str">
        <f t="shared" si="34"/>
        <v>-</v>
      </c>
      <c r="AV236" s="4" t="str">
        <f t="shared" si="35"/>
        <v>-</v>
      </c>
      <c r="AW236" s="4" t="str">
        <f t="shared" si="36"/>
        <v>-</v>
      </c>
      <c r="AX236" s="4" t="str">
        <f t="shared" si="37"/>
        <v>-</v>
      </c>
      <c r="AY236" s="4" t="str">
        <f t="shared" si="38"/>
        <v>-</v>
      </c>
      <c r="AZ236" s="4" t="str">
        <f t="shared" si="39"/>
        <v>-</v>
      </c>
      <c r="BA236" s="4" t="str">
        <f t="shared" si="40"/>
        <v>-</v>
      </c>
      <c r="BB236" s="4" t="str">
        <f t="shared" si="41"/>
        <v>-</v>
      </c>
      <c r="BC236" s="4">
        <v>0</v>
      </c>
      <c r="BD236" s="4" t="s">
        <v>711</v>
      </c>
      <c r="BE236" s="4">
        <v>1</v>
      </c>
      <c r="BF236" s="4">
        <v>3</v>
      </c>
      <c r="BG236" s="4" t="s">
        <v>682</v>
      </c>
      <c r="BH236" s="4">
        <v>4200</v>
      </c>
      <c r="BI236" s="4">
        <f>IF(BE236="",BH236,BE236/BF236*BH236)</f>
        <v>1400</v>
      </c>
      <c r="BJ236" s="19">
        <v>4</v>
      </c>
      <c r="BK236" s="19">
        <v>1</v>
      </c>
      <c r="BL236" s="16">
        <v>3</v>
      </c>
      <c r="BM236" t="s">
        <v>422</v>
      </c>
      <c r="BN236" t="str">
        <f t="shared" si="42"/>
        <v>-</v>
      </c>
      <c r="BO236">
        <v>1330</v>
      </c>
      <c r="BP236">
        <f t="shared" si="43"/>
        <v>1353.4455128205127</v>
      </c>
      <c r="BQ236" t="s">
        <v>549</v>
      </c>
    </row>
    <row r="237" spans="1:69" x14ac:dyDescent="0.4">
      <c r="A237" s="3">
        <v>161</v>
      </c>
      <c r="B237" s="3">
        <v>161</v>
      </c>
      <c r="C237" s="4" t="s">
        <v>107</v>
      </c>
      <c r="D237" s="4" t="str">
        <f>TEXT(C237,"000000")</f>
        <v>J709PW</v>
      </c>
      <c r="E237" s="4" t="s">
        <v>107</v>
      </c>
      <c r="F237" s="4" t="s">
        <v>275</v>
      </c>
      <c r="G237" s="5">
        <v>4996297473749</v>
      </c>
      <c r="H237" s="5"/>
      <c r="I237" s="5"/>
      <c r="J237" s="5">
        <v>1</v>
      </c>
      <c r="K237" s="5">
        <v>1</v>
      </c>
      <c r="L237" s="4">
        <v>0</v>
      </c>
      <c r="M237" s="4">
        <v>840</v>
      </c>
      <c r="N237" s="4">
        <v>624</v>
      </c>
      <c r="O237" s="6">
        <f>IFERROR(1-N237/M237,"-")</f>
        <v>0.25714285714285712</v>
      </c>
      <c r="P237" s="4" t="s">
        <v>422</v>
      </c>
      <c r="Q237" s="4" t="s">
        <v>422</v>
      </c>
      <c r="R237" s="4" t="s">
        <v>422</v>
      </c>
      <c r="S237" s="4" t="s">
        <v>422</v>
      </c>
      <c r="T237" s="4" t="s">
        <v>422</v>
      </c>
      <c r="U237" s="4" t="s">
        <v>422</v>
      </c>
      <c r="V237" s="4" t="s">
        <v>422</v>
      </c>
      <c r="W237" s="4" t="s">
        <v>422</v>
      </c>
      <c r="X237" s="4" t="s">
        <v>422</v>
      </c>
      <c r="Y237" s="4">
        <v>0</v>
      </c>
      <c r="Z237" s="4">
        <f>IF(AC237="",Y237,Y237*AC237)</f>
        <v>0</v>
      </c>
      <c r="AA237" s="4">
        <v>635</v>
      </c>
      <c r="AB237" s="4">
        <f>IF(AC237="",AA237,AA237*AC237)</f>
        <v>635</v>
      </c>
      <c r="AC237" s="4"/>
      <c r="AD237" s="21">
        <f>ROUND(M237*AR237,0)</f>
        <v>855</v>
      </c>
      <c r="AE237" s="6">
        <f>IFERROR(1-AB237/AD237,"-")</f>
        <v>0.25730994152046782</v>
      </c>
      <c r="AF237" s="33">
        <v>1.25</v>
      </c>
      <c r="AG237" s="4">
        <f>BI237</f>
        <v>1400</v>
      </c>
      <c r="AH237" s="33">
        <f>IFERROR(AG237*AR237,"-")</f>
        <v>1424.6794871794871</v>
      </c>
      <c r="AI237" s="6">
        <f>IFERROR(1-AB237/AH237,"-")</f>
        <v>0.55428571428571427</v>
      </c>
      <c r="AJ237" s="7">
        <v>1050</v>
      </c>
      <c r="AK237" s="6">
        <f>1-AB237/AJ237</f>
        <v>0.39523809523809528</v>
      </c>
      <c r="AL237" s="4">
        <f>AJ237-AB237</f>
        <v>415</v>
      </c>
      <c r="AM237" s="28"/>
      <c r="AN237" s="6"/>
      <c r="AO237" s="6"/>
      <c r="AP237" s="6" t="str">
        <f>IFERROR(Z237/L237,"-")</f>
        <v>-</v>
      </c>
      <c r="AQ237" s="6">
        <f>IFERROR(AJ237/M237,"-")</f>
        <v>1.25</v>
      </c>
      <c r="AR237" s="6">
        <f>IFERROR(AB237/N237,"-")</f>
        <v>1.0176282051282051</v>
      </c>
      <c r="AS237" s="4" t="str">
        <f t="shared" si="33"/>
        <v>-</v>
      </c>
      <c r="AT237" s="4"/>
      <c r="AU237" s="4" t="str">
        <f t="shared" si="34"/>
        <v>-</v>
      </c>
      <c r="AV237" s="4" t="str">
        <f t="shared" si="35"/>
        <v>-</v>
      </c>
      <c r="AW237" s="4" t="str">
        <f t="shared" si="36"/>
        <v>-</v>
      </c>
      <c r="AX237" s="4" t="str">
        <f t="shared" si="37"/>
        <v>-</v>
      </c>
      <c r="AY237" s="4" t="str">
        <f t="shared" si="38"/>
        <v>-</v>
      </c>
      <c r="AZ237" s="4" t="str">
        <f t="shared" si="39"/>
        <v>-</v>
      </c>
      <c r="BA237" s="4" t="str">
        <f t="shared" si="40"/>
        <v>-</v>
      </c>
      <c r="BB237" s="4" t="str">
        <f t="shared" si="41"/>
        <v>-</v>
      </c>
      <c r="BC237" s="4">
        <v>0</v>
      </c>
      <c r="BD237" s="4" t="s">
        <v>712</v>
      </c>
      <c r="BE237" s="4"/>
      <c r="BF237" s="4"/>
      <c r="BG237" s="4" t="s">
        <v>563</v>
      </c>
      <c r="BH237" s="4">
        <v>1400</v>
      </c>
      <c r="BI237" s="4">
        <f>IF(BE237="",BH237,BE237/BF237*BH237)</f>
        <v>1400</v>
      </c>
      <c r="BJ237" s="19">
        <v>4</v>
      </c>
      <c r="BK237" s="19">
        <v>1</v>
      </c>
      <c r="BL237" s="16">
        <v>3</v>
      </c>
      <c r="BM237" t="s">
        <v>422</v>
      </c>
      <c r="BN237" t="str">
        <f t="shared" si="42"/>
        <v>-</v>
      </c>
      <c r="BO237">
        <v>1330</v>
      </c>
      <c r="BP237">
        <f t="shared" si="43"/>
        <v>1353.4455128205127</v>
      </c>
      <c r="BQ237" t="s">
        <v>550</v>
      </c>
    </row>
    <row r="238" spans="1:69" x14ac:dyDescent="0.4">
      <c r="A238" s="3">
        <v>160</v>
      </c>
      <c r="B238" s="3">
        <v>160</v>
      </c>
      <c r="C238" s="4" t="s">
        <v>106</v>
      </c>
      <c r="D238" s="4" t="str">
        <f>TEXT(C238,"000000")</f>
        <v>J710PW</v>
      </c>
      <c r="E238" s="4" t="s">
        <v>106</v>
      </c>
      <c r="F238" s="4" t="s">
        <v>274</v>
      </c>
      <c r="G238" s="5">
        <v>4996297473732</v>
      </c>
      <c r="H238" s="5"/>
      <c r="I238" s="5"/>
      <c r="J238" s="5">
        <v>1</v>
      </c>
      <c r="K238" s="5">
        <v>1</v>
      </c>
      <c r="L238" s="4">
        <v>0</v>
      </c>
      <c r="M238" s="4">
        <v>935</v>
      </c>
      <c r="N238" s="4">
        <v>624</v>
      </c>
      <c r="O238" s="6">
        <f>IFERROR(1-N238/M238,"-")</f>
        <v>0.33262032085561499</v>
      </c>
      <c r="P238" s="4" t="s">
        <v>422</v>
      </c>
      <c r="Q238" s="4" t="s">
        <v>422</v>
      </c>
      <c r="R238" s="4" t="s">
        <v>422</v>
      </c>
      <c r="S238" s="4" t="s">
        <v>422</v>
      </c>
      <c r="T238" s="4" t="s">
        <v>422</v>
      </c>
      <c r="U238" s="4" t="s">
        <v>422</v>
      </c>
      <c r="V238" s="4" t="s">
        <v>422</v>
      </c>
      <c r="W238" s="4" t="s">
        <v>422</v>
      </c>
      <c r="X238" s="4" t="s">
        <v>422</v>
      </c>
      <c r="Y238" s="4">
        <v>0</v>
      </c>
      <c r="Z238" s="4">
        <f>IF(AC238="",Y238,Y238*AC238)</f>
        <v>0</v>
      </c>
      <c r="AA238" s="4">
        <v>635</v>
      </c>
      <c r="AB238" s="4">
        <f>IF(AC238="",AA238,AA238*AC238)</f>
        <v>635</v>
      </c>
      <c r="AC238" s="4"/>
      <c r="AD238" s="21">
        <f>ROUND(M238*AR238,0)</f>
        <v>951</v>
      </c>
      <c r="AE238" s="6">
        <f>IFERROR(1-AB238/AD238,"-")</f>
        <v>0.33228180862250267</v>
      </c>
      <c r="AF238" s="33">
        <v>0.25</v>
      </c>
      <c r="AG238" s="4">
        <f>BI238</f>
        <v>1400</v>
      </c>
      <c r="AH238" s="33">
        <f>IFERROR(AG238*AR238,"-")</f>
        <v>1424.6794871794871</v>
      </c>
      <c r="AI238" s="6">
        <f>IFERROR(1-AB238/AH238,"-")</f>
        <v>0.55428571428571427</v>
      </c>
      <c r="AJ238" s="7">
        <v>1050</v>
      </c>
      <c r="AK238" s="6">
        <f>1-AB238/AJ238</f>
        <v>0.39523809523809528</v>
      </c>
      <c r="AL238" s="4">
        <f>AJ238-AB238</f>
        <v>415</v>
      </c>
      <c r="AM238" s="28"/>
      <c r="AN238" s="6"/>
      <c r="AO238" s="6"/>
      <c r="AP238" s="6" t="str">
        <f>IFERROR(Z238/L238,"-")</f>
        <v>-</v>
      </c>
      <c r="AQ238" s="6">
        <f>IFERROR(AJ238/M238,"-")</f>
        <v>1.1229946524064172</v>
      </c>
      <c r="AR238" s="6">
        <f>IFERROR(AB238/N238,"-")</f>
        <v>1.0176282051282051</v>
      </c>
      <c r="AS238" s="4" t="str">
        <f t="shared" si="33"/>
        <v>-</v>
      </c>
      <c r="AT238" s="4"/>
      <c r="AU238" s="4" t="str">
        <f t="shared" si="34"/>
        <v>-</v>
      </c>
      <c r="AV238" s="4" t="str">
        <f t="shared" si="35"/>
        <v>-</v>
      </c>
      <c r="AW238" s="4" t="str">
        <f t="shared" si="36"/>
        <v>-</v>
      </c>
      <c r="AX238" s="4" t="str">
        <f t="shared" si="37"/>
        <v>-</v>
      </c>
      <c r="AY238" s="4" t="str">
        <f t="shared" si="38"/>
        <v>-</v>
      </c>
      <c r="AZ238" s="4" t="str">
        <f t="shared" si="39"/>
        <v>-</v>
      </c>
      <c r="BA238" s="4" t="str">
        <f t="shared" si="40"/>
        <v>-</v>
      </c>
      <c r="BB238" s="4" t="str">
        <f t="shared" si="41"/>
        <v>-</v>
      </c>
      <c r="BC238" s="4">
        <v>0</v>
      </c>
      <c r="BD238" s="4" t="s">
        <v>713</v>
      </c>
      <c r="BE238" s="4">
        <v>1</v>
      </c>
      <c r="BF238" s="4">
        <v>3</v>
      </c>
      <c r="BG238" s="4" t="s">
        <v>682</v>
      </c>
      <c r="BH238" s="4">
        <v>4200</v>
      </c>
      <c r="BI238" s="4">
        <f>IF(BE238="",BH238,BE238/BF238*BH238)</f>
        <v>1400</v>
      </c>
      <c r="BJ238" s="19">
        <v>4</v>
      </c>
      <c r="BK238" s="19">
        <v>1</v>
      </c>
      <c r="BL238" s="16">
        <v>3</v>
      </c>
      <c r="BM238" t="s">
        <v>422</v>
      </c>
      <c r="BN238" t="str">
        <f t="shared" si="42"/>
        <v>-</v>
      </c>
      <c r="BO238">
        <v>1330</v>
      </c>
      <c r="BP238">
        <f t="shared" si="43"/>
        <v>1353.4455128205127</v>
      </c>
      <c r="BQ238" t="s">
        <v>551</v>
      </c>
    </row>
    <row r="239" spans="1:69" x14ac:dyDescent="0.4">
      <c r="A239" s="3">
        <v>159</v>
      </c>
      <c r="B239" s="3">
        <v>159</v>
      </c>
      <c r="C239" s="4" t="s">
        <v>105</v>
      </c>
      <c r="D239" s="4" t="str">
        <f>TEXT(C239,"000000")</f>
        <v>J711PW</v>
      </c>
      <c r="E239" s="4" t="s">
        <v>105</v>
      </c>
      <c r="F239" s="4" t="s">
        <v>273</v>
      </c>
      <c r="G239" s="5">
        <v>4996297473725</v>
      </c>
      <c r="H239" s="5"/>
      <c r="I239" s="5"/>
      <c r="J239" s="5">
        <v>1</v>
      </c>
      <c r="K239" s="5">
        <v>1</v>
      </c>
      <c r="L239" s="4">
        <v>0</v>
      </c>
      <c r="M239" s="4">
        <v>871</v>
      </c>
      <c r="N239" s="4">
        <v>624</v>
      </c>
      <c r="O239" s="6">
        <f>IFERROR(1-N239/M239,"-")</f>
        <v>0.28358208955223885</v>
      </c>
      <c r="P239" s="4" t="s">
        <v>422</v>
      </c>
      <c r="Q239" s="4" t="s">
        <v>422</v>
      </c>
      <c r="R239" s="4" t="s">
        <v>422</v>
      </c>
      <c r="S239" s="4" t="s">
        <v>422</v>
      </c>
      <c r="T239" s="4" t="s">
        <v>422</v>
      </c>
      <c r="U239" s="4" t="s">
        <v>422</v>
      </c>
      <c r="V239" s="4" t="s">
        <v>422</v>
      </c>
      <c r="W239" s="4" t="s">
        <v>422</v>
      </c>
      <c r="X239" s="4" t="s">
        <v>422</v>
      </c>
      <c r="Y239" s="4">
        <v>0</v>
      </c>
      <c r="Z239" s="4">
        <f>IF(AC239="",Y239,Y239*AC239)</f>
        <v>0</v>
      </c>
      <c r="AA239" s="4">
        <v>635</v>
      </c>
      <c r="AB239" s="4">
        <f>IF(AC239="",AA239,AA239*AC239)</f>
        <v>635</v>
      </c>
      <c r="AC239" s="4"/>
      <c r="AD239" s="21">
        <f>ROUND(M239*AR239,0)</f>
        <v>886</v>
      </c>
      <c r="AE239" s="6">
        <f>IFERROR(1-AB239/AD239,"-")</f>
        <v>0.28329571106094809</v>
      </c>
      <c r="AF239" s="33">
        <v>0.25</v>
      </c>
      <c r="AG239" s="4">
        <f>BI239</f>
        <v>1400</v>
      </c>
      <c r="AH239" s="33">
        <f>IFERROR(AG239*AR239,"-")</f>
        <v>1424.6794871794871</v>
      </c>
      <c r="AI239" s="6">
        <f>IFERROR(1-AB239/AH239,"-")</f>
        <v>0.55428571428571427</v>
      </c>
      <c r="AJ239" s="7">
        <v>1050</v>
      </c>
      <c r="AK239" s="6">
        <f>1-AB239/AJ239</f>
        <v>0.39523809523809528</v>
      </c>
      <c r="AL239" s="4">
        <f>AJ239-AB239</f>
        <v>415</v>
      </c>
      <c r="AM239" s="28"/>
      <c r="AN239" s="6"/>
      <c r="AO239" s="6"/>
      <c r="AP239" s="6" t="str">
        <f>IFERROR(Z239/L239,"-")</f>
        <v>-</v>
      </c>
      <c r="AQ239" s="6">
        <f>IFERROR(AJ239/M239,"-")</f>
        <v>1.2055109070034442</v>
      </c>
      <c r="AR239" s="6">
        <f>IFERROR(AB239/N239,"-")</f>
        <v>1.0176282051282051</v>
      </c>
      <c r="AS239" s="4" t="str">
        <f t="shared" si="33"/>
        <v>-</v>
      </c>
      <c r="AT239" s="4"/>
      <c r="AU239" s="4" t="str">
        <f t="shared" si="34"/>
        <v>-</v>
      </c>
      <c r="AV239" s="4" t="str">
        <f t="shared" si="35"/>
        <v>-</v>
      </c>
      <c r="AW239" s="4" t="str">
        <f t="shared" si="36"/>
        <v>-</v>
      </c>
      <c r="AX239" s="4" t="str">
        <f t="shared" si="37"/>
        <v>-</v>
      </c>
      <c r="AY239" s="4" t="str">
        <f t="shared" si="38"/>
        <v>-</v>
      </c>
      <c r="AZ239" s="4" t="str">
        <f t="shared" si="39"/>
        <v>-</v>
      </c>
      <c r="BA239" s="4" t="str">
        <f t="shared" si="40"/>
        <v>-</v>
      </c>
      <c r="BB239" s="4" t="str">
        <f t="shared" si="41"/>
        <v>-</v>
      </c>
      <c r="BC239" s="4">
        <v>0</v>
      </c>
      <c r="BD239" s="4" t="s">
        <v>714</v>
      </c>
      <c r="BE239" s="4"/>
      <c r="BF239" s="4"/>
      <c r="BG239" s="4" t="s">
        <v>563</v>
      </c>
      <c r="BH239" s="4">
        <v>1400</v>
      </c>
      <c r="BI239" s="4">
        <f>IF(BE239="",BH239,BE239/BF239*BH239)</f>
        <v>1400</v>
      </c>
      <c r="BJ239" s="19">
        <v>4</v>
      </c>
      <c r="BK239" s="19">
        <v>1</v>
      </c>
      <c r="BL239" s="16">
        <v>3</v>
      </c>
      <c r="BM239" t="s">
        <v>422</v>
      </c>
      <c r="BN239" t="str">
        <f t="shared" si="42"/>
        <v>-</v>
      </c>
      <c r="BO239">
        <v>1330</v>
      </c>
      <c r="BP239">
        <f t="shared" si="43"/>
        <v>1353.4455128205127</v>
      </c>
      <c r="BQ239" t="s">
        <v>552</v>
      </c>
    </row>
    <row r="240" spans="1:69" x14ac:dyDescent="0.4">
      <c r="A240" s="3">
        <v>139</v>
      </c>
      <c r="B240" s="3">
        <v>139</v>
      </c>
      <c r="C240" s="4">
        <v>421508</v>
      </c>
      <c r="D240" s="4" t="str">
        <f>TEXT(C240,"000000")</f>
        <v>421508</v>
      </c>
      <c r="E240" s="4">
        <v>421508</v>
      </c>
      <c r="F240" s="4" t="s">
        <v>253</v>
      </c>
      <c r="G240" s="5">
        <v>4996297450245</v>
      </c>
      <c r="H240" s="5"/>
      <c r="I240" s="5"/>
      <c r="J240" s="5">
        <v>1</v>
      </c>
      <c r="K240" s="5">
        <v>1</v>
      </c>
      <c r="L240" s="4">
        <v>0</v>
      </c>
      <c r="M240" s="4">
        <v>8939</v>
      </c>
      <c r="N240" s="4">
        <v>6260</v>
      </c>
      <c r="O240" s="6">
        <f>IFERROR(1-N240/M240,"-")</f>
        <v>0.29969795279113998</v>
      </c>
      <c r="P240" s="4" t="s">
        <v>422</v>
      </c>
      <c r="Q240" s="4" t="s">
        <v>422</v>
      </c>
      <c r="R240" s="4" t="s">
        <v>422</v>
      </c>
      <c r="S240" s="4" t="s">
        <v>422</v>
      </c>
      <c r="T240" s="4" t="s">
        <v>422</v>
      </c>
      <c r="U240" s="4" t="s">
        <v>422</v>
      </c>
      <c r="V240" s="4" t="s">
        <v>422</v>
      </c>
      <c r="W240" s="4" t="s">
        <v>422</v>
      </c>
      <c r="X240" s="4" t="s">
        <v>422</v>
      </c>
      <c r="Y240" s="4">
        <v>0</v>
      </c>
      <c r="Z240" s="4">
        <f>IF(AC240="",Y240,Y240*AC240)</f>
        <v>0</v>
      </c>
      <c r="AA240" s="4">
        <v>681</v>
      </c>
      <c r="AB240" s="4">
        <f>IF(AC240="",AA240,AA240*AC240)</f>
        <v>6810</v>
      </c>
      <c r="AC240" s="4">
        <v>10</v>
      </c>
      <c r="AD240" s="21">
        <f>ROUND(M240*AR240,0)</f>
        <v>9724</v>
      </c>
      <c r="AE240" s="6">
        <f>IFERROR(1-AB240/AD240,"-")</f>
        <v>0.29967091731797613</v>
      </c>
      <c r="AF240" s="33">
        <v>0</v>
      </c>
      <c r="AG240" s="4">
        <f>BI240</f>
        <v>15000</v>
      </c>
      <c r="AH240" s="33">
        <f>IFERROR(AG240*AR240,"-")</f>
        <v>16317.891373801918</v>
      </c>
      <c r="AI240" s="6">
        <f>IFERROR(1-AB240/AH240,"-")</f>
        <v>0.58266666666666667</v>
      </c>
      <c r="AJ240" s="7">
        <v>11000</v>
      </c>
      <c r="AK240" s="6">
        <f>1-AB240/AJ240</f>
        <v>0.38090909090909086</v>
      </c>
      <c r="AL240" s="4">
        <f>AJ240-AB240</f>
        <v>4190</v>
      </c>
      <c r="AM240" s="28"/>
      <c r="AN240" s="6"/>
      <c r="AO240" s="6"/>
      <c r="AP240" s="6" t="str">
        <f>IFERROR(Z240/L240,"-")</f>
        <v>-</v>
      </c>
      <c r="AQ240" s="6">
        <f>IFERROR(AJ240/M240,"-")</f>
        <v>1.2305627027631727</v>
      </c>
      <c r="AR240" s="6">
        <f>IFERROR(AB240/N240,"-")</f>
        <v>1.0878594249201279</v>
      </c>
      <c r="AS240" s="4" t="str">
        <f t="shared" si="33"/>
        <v>-</v>
      </c>
      <c r="AT240" s="4"/>
      <c r="AU240" s="4" t="str">
        <f t="shared" si="34"/>
        <v>-</v>
      </c>
      <c r="AV240" s="4" t="str">
        <f t="shared" si="35"/>
        <v>-</v>
      </c>
      <c r="AW240" s="4" t="str">
        <f t="shared" si="36"/>
        <v>-</v>
      </c>
      <c r="AX240" s="4" t="str">
        <f t="shared" si="37"/>
        <v>-</v>
      </c>
      <c r="AY240" s="4" t="str">
        <f t="shared" si="38"/>
        <v>-</v>
      </c>
      <c r="AZ240" s="4" t="str">
        <f t="shared" si="39"/>
        <v>-</v>
      </c>
      <c r="BA240" s="4" t="str">
        <f t="shared" si="40"/>
        <v>-</v>
      </c>
      <c r="BB240" s="4" t="str">
        <f t="shared" si="41"/>
        <v>-</v>
      </c>
      <c r="BC240" s="4">
        <v>0</v>
      </c>
      <c r="BD240" s="4" t="s">
        <v>715</v>
      </c>
      <c r="BE240" s="4">
        <v>10</v>
      </c>
      <c r="BF240" s="4">
        <v>1</v>
      </c>
      <c r="BG240" s="4" t="s">
        <v>639</v>
      </c>
      <c r="BH240" s="4">
        <v>1500</v>
      </c>
      <c r="BI240" s="4">
        <f>IF(BE240="",BH240,BE240/BF240*BH240)</f>
        <v>15000</v>
      </c>
      <c r="BJ240" s="19">
        <v>8</v>
      </c>
      <c r="BK240" s="19">
        <v>8</v>
      </c>
      <c r="BL240" s="16">
        <v>3</v>
      </c>
      <c r="BM240">
        <v>886</v>
      </c>
      <c r="BN240">
        <f t="shared" si="42"/>
        <v>963.8434504792333</v>
      </c>
      <c r="BO240">
        <v>1368</v>
      </c>
      <c r="BP240">
        <f t="shared" si="43"/>
        <v>1488.191693290735</v>
      </c>
      <c r="BQ240" t="s">
        <v>553</v>
      </c>
    </row>
    <row r="241" spans="1:69" x14ac:dyDescent="0.4">
      <c r="A241" s="3">
        <v>138</v>
      </c>
      <c r="B241" s="3">
        <v>138</v>
      </c>
      <c r="C241" s="4">
        <v>421509</v>
      </c>
      <c r="D241" s="4" t="str">
        <f>TEXT(C241,"000000")</f>
        <v>421509</v>
      </c>
      <c r="E241" s="4">
        <v>421509</v>
      </c>
      <c r="F241" s="4" t="s">
        <v>252</v>
      </c>
      <c r="G241" s="5">
        <v>4996297450221</v>
      </c>
      <c r="H241" s="5"/>
      <c r="I241" s="5"/>
      <c r="J241" s="5">
        <v>1</v>
      </c>
      <c r="K241" s="5">
        <v>1</v>
      </c>
      <c r="L241" s="4">
        <v>0</v>
      </c>
      <c r="M241" s="4">
        <v>13967</v>
      </c>
      <c r="N241" s="4">
        <v>6260</v>
      </c>
      <c r="O241" s="6">
        <f>IFERROR(1-N241/M241,"-")</f>
        <v>0.55180067301496383</v>
      </c>
      <c r="P241" s="4" t="s">
        <v>422</v>
      </c>
      <c r="Q241" s="4" t="s">
        <v>422</v>
      </c>
      <c r="R241" s="4" t="s">
        <v>422</v>
      </c>
      <c r="S241" s="4" t="s">
        <v>422</v>
      </c>
      <c r="T241" s="4" t="s">
        <v>422</v>
      </c>
      <c r="U241" s="4" t="s">
        <v>422</v>
      </c>
      <c r="V241" s="4" t="s">
        <v>422</v>
      </c>
      <c r="W241" s="4" t="s">
        <v>422</v>
      </c>
      <c r="X241" s="4" t="s">
        <v>422</v>
      </c>
      <c r="Y241" s="4">
        <v>0</v>
      </c>
      <c r="Z241" s="4">
        <f>IF(AC241="",Y241,Y241*AC241)</f>
        <v>0</v>
      </c>
      <c r="AA241" s="4">
        <v>681</v>
      </c>
      <c r="AB241" s="4">
        <f>IF(AC241="",AA241,AA241*AC241)</f>
        <v>6810</v>
      </c>
      <c r="AC241" s="4">
        <v>10</v>
      </c>
      <c r="AD241" s="21">
        <f>ROUND(M241*AR241,0)</f>
        <v>15194</v>
      </c>
      <c r="AE241" s="6">
        <f>IFERROR(1-AB241/AD241,"-")</f>
        <v>0.55179676187968929</v>
      </c>
      <c r="AF241" s="33">
        <v>0</v>
      </c>
      <c r="AG241" s="4">
        <f>BI241</f>
        <v>15000</v>
      </c>
      <c r="AH241" s="33">
        <f>IFERROR(AG241*AR241,"-")</f>
        <v>16317.891373801918</v>
      </c>
      <c r="AI241" s="6">
        <f>IFERROR(1-AB241/AH241,"-")</f>
        <v>0.58266666666666667</v>
      </c>
      <c r="AJ241" s="7">
        <v>11000</v>
      </c>
      <c r="AK241" s="6">
        <f>1-AB241/AJ241</f>
        <v>0.38090909090909086</v>
      </c>
      <c r="AL241" s="4">
        <f>AJ241-AB241</f>
        <v>4190</v>
      </c>
      <c r="AM241" s="28"/>
      <c r="AN241" s="6"/>
      <c r="AO241" s="6"/>
      <c r="AP241" s="6" t="str">
        <f>IFERROR(Z241/L241,"-")</f>
        <v>-</v>
      </c>
      <c r="AQ241" s="6">
        <f>IFERROR(AJ241/M241,"-")</f>
        <v>0.78757070236987181</v>
      </c>
      <c r="AR241" s="6">
        <f>IFERROR(AB241/N241,"-")</f>
        <v>1.0878594249201279</v>
      </c>
      <c r="AS241" s="4" t="str">
        <f t="shared" si="33"/>
        <v>-</v>
      </c>
      <c r="AT241" s="4"/>
      <c r="AU241" s="4" t="str">
        <f t="shared" si="34"/>
        <v>-</v>
      </c>
      <c r="AV241" s="4" t="str">
        <f t="shared" si="35"/>
        <v>-</v>
      </c>
      <c r="AW241" s="4" t="str">
        <f t="shared" si="36"/>
        <v>-</v>
      </c>
      <c r="AX241" s="4" t="str">
        <f t="shared" si="37"/>
        <v>-</v>
      </c>
      <c r="AY241" s="4" t="str">
        <f t="shared" si="38"/>
        <v>-</v>
      </c>
      <c r="AZ241" s="4" t="str">
        <f t="shared" si="39"/>
        <v>-</v>
      </c>
      <c r="BA241" s="4" t="str">
        <f t="shared" si="40"/>
        <v>-</v>
      </c>
      <c r="BB241" s="4" t="str">
        <f t="shared" si="41"/>
        <v>-</v>
      </c>
      <c r="BC241" s="4">
        <v>0</v>
      </c>
      <c r="BD241" s="4" t="s">
        <v>716</v>
      </c>
      <c r="BE241" s="4">
        <v>10</v>
      </c>
      <c r="BF241" s="4">
        <v>1</v>
      </c>
      <c r="BG241" s="4" t="s">
        <v>639</v>
      </c>
      <c r="BH241" s="4">
        <v>1500</v>
      </c>
      <c r="BI241" s="4">
        <f>IF(BE241="",BH241,BE241/BF241*BH241)</f>
        <v>15000</v>
      </c>
      <c r="BJ241" s="19">
        <v>8</v>
      </c>
      <c r="BK241" s="19">
        <v>8</v>
      </c>
      <c r="BL241" s="16">
        <v>3</v>
      </c>
      <c r="BM241">
        <v>886</v>
      </c>
      <c r="BN241">
        <f t="shared" si="42"/>
        <v>963.8434504792333</v>
      </c>
      <c r="BO241">
        <v>1368</v>
      </c>
      <c r="BP241">
        <f t="shared" si="43"/>
        <v>1488.191693290735</v>
      </c>
      <c r="BQ241" t="s">
        <v>554</v>
      </c>
    </row>
    <row r="242" spans="1:69" x14ac:dyDescent="0.4">
      <c r="A242" s="3">
        <v>111</v>
      </c>
      <c r="B242" s="3">
        <v>111</v>
      </c>
      <c r="C242" s="4">
        <v>189034</v>
      </c>
      <c r="D242" s="4" t="str">
        <f>TEXT(C242,"000000")</f>
        <v>189034</v>
      </c>
      <c r="E242" s="4">
        <v>189034</v>
      </c>
      <c r="F242" s="4" t="s">
        <v>225</v>
      </c>
      <c r="G242" s="5">
        <v>4996297420903</v>
      </c>
      <c r="H242" s="5"/>
      <c r="I242" s="5"/>
      <c r="J242" s="5">
        <v>1</v>
      </c>
      <c r="K242" s="5">
        <v>1</v>
      </c>
      <c r="L242" s="4">
        <v>0</v>
      </c>
      <c r="M242" s="4">
        <v>930</v>
      </c>
      <c r="N242" s="4">
        <v>700</v>
      </c>
      <c r="O242" s="6">
        <f>IFERROR(1-N242/M242,"-")</f>
        <v>0.24731182795698925</v>
      </c>
      <c r="P242" s="4" t="s">
        <v>422</v>
      </c>
      <c r="Q242" s="4" t="s">
        <v>422</v>
      </c>
      <c r="R242" s="4" t="s">
        <v>422</v>
      </c>
      <c r="S242" s="4" t="s">
        <v>422</v>
      </c>
      <c r="T242" s="4" t="s">
        <v>422</v>
      </c>
      <c r="U242" s="4" t="s">
        <v>422</v>
      </c>
      <c r="V242" s="4" t="s">
        <v>422</v>
      </c>
      <c r="W242" s="4" t="s">
        <v>422</v>
      </c>
      <c r="X242" s="4" t="s">
        <v>422</v>
      </c>
      <c r="Y242" s="4">
        <v>0</v>
      </c>
      <c r="Z242" s="4">
        <f>IF(AC242="",Y242,Y242*AC242)</f>
        <v>0</v>
      </c>
      <c r="AA242" s="4">
        <v>770</v>
      </c>
      <c r="AB242" s="4">
        <f>IF(AC242="",AA242,AA242*AC242)</f>
        <v>770</v>
      </c>
      <c r="AC242" s="4"/>
      <c r="AD242" s="21">
        <f>ROUND(M242*AR242,0)</f>
        <v>1023</v>
      </c>
      <c r="AE242" s="6">
        <f>IFERROR(1-AB242/AD242,"-")</f>
        <v>0.24731182795698925</v>
      </c>
      <c r="AF242" s="33">
        <v>1.25</v>
      </c>
      <c r="AG242" s="4" t="str">
        <f>BI242</f>
        <v>-</v>
      </c>
      <c r="AH242" s="33" t="str">
        <f>IFERROR(AG242*AR242,"-")</f>
        <v>-</v>
      </c>
      <c r="AI242" s="6" t="str">
        <f>IFERROR(1-AB242/AH242,"-")</f>
        <v>-</v>
      </c>
      <c r="AJ242" s="7">
        <v>1200</v>
      </c>
      <c r="AK242" s="6">
        <f>1-AB242/AJ242</f>
        <v>0.35833333333333328</v>
      </c>
      <c r="AL242" s="4">
        <f>AJ242-AB242</f>
        <v>430</v>
      </c>
      <c r="AM242" s="28"/>
      <c r="AN242" s="6"/>
      <c r="AO242" s="6"/>
      <c r="AP242" s="6" t="str">
        <f>IFERROR(Z242/L242,"-")</f>
        <v>-</v>
      </c>
      <c r="AQ242" s="6">
        <f>IFERROR(AJ242/M242,"-")</f>
        <v>1.2903225806451613</v>
      </c>
      <c r="AR242" s="6">
        <f>IFERROR(AB242/N242,"-")</f>
        <v>1.1000000000000001</v>
      </c>
      <c r="AS242" s="4" t="str">
        <f t="shared" si="33"/>
        <v>-</v>
      </c>
      <c r="AT242" s="4"/>
      <c r="AU242" s="4" t="str">
        <f t="shared" si="34"/>
        <v>-</v>
      </c>
      <c r="AV242" s="4" t="str">
        <f t="shared" si="35"/>
        <v>-</v>
      </c>
      <c r="AW242" s="4" t="str">
        <f t="shared" si="36"/>
        <v>-</v>
      </c>
      <c r="AX242" s="4" t="str">
        <f t="shared" si="37"/>
        <v>-</v>
      </c>
      <c r="AY242" s="4" t="str">
        <f t="shared" si="38"/>
        <v>-</v>
      </c>
      <c r="AZ242" s="4" t="str">
        <f t="shared" si="39"/>
        <v>-</v>
      </c>
      <c r="BA242" s="4" t="str">
        <f t="shared" si="40"/>
        <v>-</v>
      </c>
      <c r="BB242" s="4" t="str">
        <f t="shared" si="41"/>
        <v>-</v>
      </c>
      <c r="BC242" s="4">
        <v>0</v>
      </c>
      <c r="BD242" s="4" t="s">
        <v>422</v>
      </c>
      <c r="BE242" s="4"/>
      <c r="BF242" s="4"/>
      <c r="BG242" s="4" t="s">
        <v>422</v>
      </c>
      <c r="BH242" s="4" t="s">
        <v>422</v>
      </c>
      <c r="BI242" s="4" t="str">
        <f>IF(BE242="",BH242,BE242/BF242*BH242)</f>
        <v>-</v>
      </c>
      <c r="BJ242" s="19">
        <v>4</v>
      </c>
      <c r="BK242" s="19">
        <v>1</v>
      </c>
      <c r="BL242" s="16">
        <v>3</v>
      </c>
      <c r="BM242" t="s">
        <v>422</v>
      </c>
      <c r="BN242" t="str">
        <f t="shared" si="42"/>
        <v>-</v>
      </c>
      <c r="BO242" t="s">
        <v>422</v>
      </c>
      <c r="BP242" t="str">
        <f t="shared" si="43"/>
        <v>-</v>
      </c>
      <c r="BQ242" t="s">
        <v>422</v>
      </c>
    </row>
    <row r="243" spans="1:69" x14ac:dyDescent="0.4">
      <c r="A243" s="3">
        <v>112</v>
      </c>
      <c r="B243" s="3">
        <v>112</v>
      </c>
      <c r="C243" s="4">
        <v>189035</v>
      </c>
      <c r="D243" s="4" t="str">
        <f>TEXT(C243,"000000")</f>
        <v>189035</v>
      </c>
      <c r="E243" s="4">
        <v>189035</v>
      </c>
      <c r="F243" s="4" t="s">
        <v>226</v>
      </c>
      <c r="G243" s="5">
        <v>4996297420910</v>
      </c>
      <c r="H243" s="5"/>
      <c r="I243" s="5"/>
      <c r="J243" s="5">
        <v>1</v>
      </c>
      <c r="K243" s="5">
        <v>1</v>
      </c>
      <c r="L243" s="4">
        <v>0</v>
      </c>
      <c r="M243" s="4">
        <v>920</v>
      </c>
      <c r="N243" s="4">
        <v>700</v>
      </c>
      <c r="O243" s="6">
        <f>IFERROR(1-N243/M243,"-")</f>
        <v>0.23913043478260865</v>
      </c>
      <c r="P243" s="4" t="s">
        <v>422</v>
      </c>
      <c r="Q243" s="4" t="s">
        <v>422</v>
      </c>
      <c r="R243" s="4" t="s">
        <v>422</v>
      </c>
      <c r="S243" s="4" t="s">
        <v>422</v>
      </c>
      <c r="T243" s="4" t="s">
        <v>422</v>
      </c>
      <c r="U243" s="4" t="s">
        <v>422</v>
      </c>
      <c r="V243" s="4" t="s">
        <v>422</v>
      </c>
      <c r="W243" s="4" t="s">
        <v>422</v>
      </c>
      <c r="X243" s="4" t="s">
        <v>422</v>
      </c>
      <c r="Y243" s="4">
        <v>0</v>
      </c>
      <c r="Z243" s="4">
        <f>IF(AC243="",Y243,Y243*AC243)</f>
        <v>0</v>
      </c>
      <c r="AA243" s="4">
        <v>770</v>
      </c>
      <c r="AB243" s="4">
        <f>IF(AC243="",AA243,AA243*AC243)</f>
        <v>770</v>
      </c>
      <c r="AC243" s="4"/>
      <c r="AD243" s="21">
        <f>ROUND(M243*AR243,0)</f>
        <v>1012</v>
      </c>
      <c r="AE243" s="6">
        <f>IFERROR(1-AB243/AD243,"-")</f>
        <v>0.23913043478260865</v>
      </c>
      <c r="AF243" s="33">
        <v>1.25</v>
      </c>
      <c r="AG243" s="4" t="str">
        <f>BI243</f>
        <v>-</v>
      </c>
      <c r="AH243" s="33" t="str">
        <f>IFERROR(AG243*AR243,"-")</f>
        <v>-</v>
      </c>
      <c r="AI243" s="6" t="str">
        <f>IFERROR(1-AB243/AH243,"-")</f>
        <v>-</v>
      </c>
      <c r="AJ243" s="7">
        <v>1200</v>
      </c>
      <c r="AK243" s="6">
        <f>1-AB243/AJ243</f>
        <v>0.35833333333333328</v>
      </c>
      <c r="AL243" s="4">
        <f>AJ243-AB243</f>
        <v>430</v>
      </c>
      <c r="AM243" s="28"/>
      <c r="AN243" s="6"/>
      <c r="AO243" s="6"/>
      <c r="AP243" s="6" t="str">
        <f>IFERROR(Z243/L243,"-")</f>
        <v>-</v>
      </c>
      <c r="AQ243" s="6">
        <f>IFERROR(AJ243/M243,"-")</f>
        <v>1.3043478260869565</v>
      </c>
      <c r="AR243" s="6">
        <f>IFERROR(AB243/N243,"-")</f>
        <v>1.1000000000000001</v>
      </c>
      <c r="AS243" s="4" t="str">
        <f t="shared" si="33"/>
        <v>-</v>
      </c>
      <c r="AT243" s="4"/>
      <c r="AU243" s="4" t="str">
        <f t="shared" si="34"/>
        <v>-</v>
      </c>
      <c r="AV243" s="4" t="str">
        <f t="shared" si="35"/>
        <v>-</v>
      </c>
      <c r="AW243" s="4" t="str">
        <f t="shared" si="36"/>
        <v>-</v>
      </c>
      <c r="AX243" s="4" t="str">
        <f t="shared" si="37"/>
        <v>-</v>
      </c>
      <c r="AY243" s="4" t="str">
        <f t="shared" si="38"/>
        <v>-</v>
      </c>
      <c r="AZ243" s="4" t="str">
        <f t="shared" si="39"/>
        <v>-</v>
      </c>
      <c r="BA243" s="4" t="str">
        <f t="shared" si="40"/>
        <v>-</v>
      </c>
      <c r="BB243" s="4" t="str">
        <f t="shared" si="41"/>
        <v>-</v>
      </c>
      <c r="BC243" s="4">
        <v>0</v>
      </c>
      <c r="BD243" s="4" t="s">
        <v>422</v>
      </c>
      <c r="BE243" s="4"/>
      <c r="BF243" s="4"/>
      <c r="BG243" s="4" t="s">
        <v>422</v>
      </c>
      <c r="BH243" s="4" t="s">
        <v>422</v>
      </c>
      <c r="BI243" s="4" t="str">
        <f>IF(BE243="",BH243,BE243/BF243*BH243)</f>
        <v>-</v>
      </c>
      <c r="BJ243" s="19">
        <v>4</v>
      </c>
      <c r="BK243" s="19">
        <v>1</v>
      </c>
      <c r="BL243" s="16">
        <v>3</v>
      </c>
      <c r="BM243" t="s">
        <v>422</v>
      </c>
      <c r="BN243" t="str">
        <f t="shared" si="42"/>
        <v>-</v>
      </c>
      <c r="BO243" t="s">
        <v>422</v>
      </c>
      <c r="BP243" t="str">
        <f t="shared" si="43"/>
        <v>-</v>
      </c>
      <c r="BQ243" t="s">
        <v>422</v>
      </c>
    </row>
    <row r="244" spans="1:69" x14ac:dyDescent="0.4">
      <c r="A244" s="3">
        <v>114</v>
      </c>
      <c r="B244" s="3">
        <v>114</v>
      </c>
      <c r="C244" s="4">
        <v>189036</v>
      </c>
      <c r="D244" s="4" t="str">
        <f>TEXT(C244,"000000")</f>
        <v>189036</v>
      </c>
      <c r="E244" s="4">
        <v>189036</v>
      </c>
      <c r="F244" s="4" t="s">
        <v>228</v>
      </c>
      <c r="G244" s="5">
        <v>4996297420934</v>
      </c>
      <c r="H244" s="5"/>
      <c r="I244" s="5"/>
      <c r="J244" s="5">
        <v>1</v>
      </c>
      <c r="K244" s="5">
        <v>1</v>
      </c>
      <c r="L244" s="4">
        <v>0</v>
      </c>
      <c r="M244" s="4">
        <v>1044</v>
      </c>
      <c r="N244" s="4">
        <v>700</v>
      </c>
      <c r="O244" s="6">
        <f>IFERROR(1-N244/M244,"-")</f>
        <v>0.32950191570881227</v>
      </c>
      <c r="P244" s="4" t="s">
        <v>422</v>
      </c>
      <c r="Q244" s="4" t="s">
        <v>422</v>
      </c>
      <c r="R244" s="4" t="s">
        <v>422</v>
      </c>
      <c r="S244" s="4" t="s">
        <v>422</v>
      </c>
      <c r="T244" s="4" t="s">
        <v>422</v>
      </c>
      <c r="U244" s="4" t="s">
        <v>422</v>
      </c>
      <c r="V244" s="4" t="s">
        <v>422</v>
      </c>
      <c r="W244" s="4" t="s">
        <v>422</v>
      </c>
      <c r="X244" s="4" t="s">
        <v>422</v>
      </c>
      <c r="Y244" s="4">
        <v>0</v>
      </c>
      <c r="Z244" s="4">
        <f>IF(AC244="",Y244,Y244*AC244)</f>
        <v>0</v>
      </c>
      <c r="AA244" s="4">
        <v>770</v>
      </c>
      <c r="AB244" s="4">
        <f>IF(AC244="",AA244,AA244*AC244)</f>
        <v>770</v>
      </c>
      <c r="AC244" s="4"/>
      <c r="AD244" s="21">
        <f>ROUND(M244*AR244,0)</f>
        <v>1148</v>
      </c>
      <c r="AE244" s="6">
        <f>IFERROR(1-AB244/AD244,"-")</f>
        <v>0.32926829268292679</v>
      </c>
      <c r="AF244" s="33">
        <v>1.5</v>
      </c>
      <c r="AG244" s="4" t="str">
        <f>BI244</f>
        <v>-</v>
      </c>
      <c r="AH244" s="33" t="str">
        <f>IFERROR(AG244*AR244,"-")</f>
        <v>-</v>
      </c>
      <c r="AI244" s="6" t="str">
        <f>IFERROR(1-AB244/AH244,"-")</f>
        <v>-</v>
      </c>
      <c r="AJ244" s="7">
        <v>1200</v>
      </c>
      <c r="AK244" s="6">
        <f>1-AB244/AJ244</f>
        <v>0.35833333333333328</v>
      </c>
      <c r="AL244" s="4">
        <f>AJ244-AB244</f>
        <v>430</v>
      </c>
      <c r="AM244" s="28"/>
      <c r="AN244" s="6"/>
      <c r="AO244" s="6"/>
      <c r="AP244" s="6" t="str">
        <f>IFERROR(Z244/L244,"-")</f>
        <v>-</v>
      </c>
      <c r="AQ244" s="6">
        <f>IFERROR(AJ244/M244,"-")</f>
        <v>1.1494252873563218</v>
      </c>
      <c r="AR244" s="6">
        <f>IFERROR(AB244/N244,"-")</f>
        <v>1.1000000000000001</v>
      </c>
      <c r="AS244" s="4" t="str">
        <f t="shared" si="33"/>
        <v>-</v>
      </c>
      <c r="AT244" s="4"/>
      <c r="AU244" s="4" t="str">
        <f t="shared" si="34"/>
        <v>-</v>
      </c>
      <c r="AV244" s="4" t="str">
        <f t="shared" si="35"/>
        <v>-</v>
      </c>
      <c r="AW244" s="4" t="str">
        <f t="shared" si="36"/>
        <v>-</v>
      </c>
      <c r="AX244" s="4" t="str">
        <f t="shared" si="37"/>
        <v>-</v>
      </c>
      <c r="AY244" s="4" t="str">
        <f t="shared" si="38"/>
        <v>-</v>
      </c>
      <c r="AZ244" s="4" t="str">
        <f t="shared" si="39"/>
        <v>-</v>
      </c>
      <c r="BA244" s="4" t="str">
        <f t="shared" si="40"/>
        <v>-</v>
      </c>
      <c r="BB244" s="4" t="str">
        <f t="shared" si="41"/>
        <v>-</v>
      </c>
      <c r="BC244" s="4">
        <v>0</v>
      </c>
      <c r="BD244" s="4" t="s">
        <v>422</v>
      </c>
      <c r="BE244" s="4"/>
      <c r="BF244" s="4"/>
      <c r="BG244" s="4" t="s">
        <v>422</v>
      </c>
      <c r="BH244" s="4" t="s">
        <v>422</v>
      </c>
      <c r="BI244" s="4" t="str">
        <f>IF(BE244="",BH244,BE244/BF244*BH244)</f>
        <v>-</v>
      </c>
      <c r="BJ244" s="19">
        <v>4</v>
      </c>
      <c r="BK244" s="19">
        <v>1</v>
      </c>
      <c r="BL244" s="16">
        <v>3</v>
      </c>
      <c r="BM244" t="s">
        <v>422</v>
      </c>
      <c r="BN244" t="str">
        <f t="shared" si="42"/>
        <v>-</v>
      </c>
      <c r="BO244" t="s">
        <v>422</v>
      </c>
      <c r="BP244" t="str">
        <f t="shared" si="43"/>
        <v>-</v>
      </c>
      <c r="BQ244" t="s">
        <v>422</v>
      </c>
    </row>
    <row r="245" spans="1:69" x14ac:dyDescent="0.4">
      <c r="A245" s="3">
        <v>113</v>
      </c>
      <c r="B245" s="3">
        <v>113</v>
      </c>
      <c r="C245" s="4">
        <v>189037</v>
      </c>
      <c r="D245" s="4" t="str">
        <f>TEXT(C245,"000000")</f>
        <v>189037</v>
      </c>
      <c r="E245" s="4">
        <v>189037</v>
      </c>
      <c r="F245" s="4" t="s">
        <v>227</v>
      </c>
      <c r="G245" s="5">
        <v>4996297420927</v>
      </c>
      <c r="H245" s="5"/>
      <c r="I245" s="5"/>
      <c r="J245" s="5">
        <v>1</v>
      </c>
      <c r="K245" s="5">
        <v>1</v>
      </c>
      <c r="L245" s="4">
        <v>0</v>
      </c>
      <c r="M245" s="4">
        <v>1044</v>
      </c>
      <c r="N245" s="4">
        <v>700</v>
      </c>
      <c r="O245" s="6">
        <f>IFERROR(1-N245/M245,"-")</f>
        <v>0.32950191570881227</v>
      </c>
      <c r="P245" s="4" t="s">
        <v>422</v>
      </c>
      <c r="Q245" s="4" t="s">
        <v>422</v>
      </c>
      <c r="R245" s="4" t="s">
        <v>422</v>
      </c>
      <c r="S245" s="4" t="s">
        <v>422</v>
      </c>
      <c r="T245" s="4" t="s">
        <v>422</v>
      </c>
      <c r="U245" s="4" t="s">
        <v>422</v>
      </c>
      <c r="V245" s="4" t="s">
        <v>422</v>
      </c>
      <c r="W245" s="4" t="s">
        <v>422</v>
      </c>
      <c r="X245" s="4" t="s">
        <v>422</v>
      </c>
      <c r="Y245" s="4">
        <v>0</v>
      </c>
      <c r="Z245" s="4">
        <f>IF(AC245="",Y245,Y245*AC245)</f>
        <v>0</v>
      </c>
      <c r="AA245" s="4">
        <v>770</v>
      </c>
      <c r="AB245" s="4">
        <f>IF(AC245="",AA245,AA245*AC245)</f>
        <v>770</v>
      </c>
      <c r="AC245" s="4"/>
      <c r="AD245" s="21">
        <f>ROUND(M245*AR245,0)</f>
        <v>1148</v>
      </c>
      <c r="AE245" s="6">
        <f>IFERROR(1-AB245/AD245,"-")</f>
        <v>0.32926829268292679</v>
      </c>
      <c r="AF245" s="33">
        <v>1</v>
      </c>
      <c r="AG245" s="4" t="str">
        <f>BI245</f>
        <v>-</v>
      </c>
      <c r="AH245" s="33" t="str">
        <f>IFERROR(AG245*AR245,"-")</f>
        <v>-</v>
      </c>
      <c r="AI245" s="6" t="str">
        <f>IFERROR(1-AB245/AH245,"-")</f>
        <v>-</v>
      </c>
      <c r="AJ245" s="7">
        <v>1200</v>
      </c>
      <c r="AK245" s="6">
        <f>1-AB245/AJ245</f>
        <v>0.35833333333333328</v>
      </c>
      <c r="AL245" s="4">
        <f>AJ245-AB245</f>
        <v>430</v>
      </c>
      <c r="AM245" s="28"/>
      <c r="AN245" s="6"/>
      <c r="AO245" s="6"/>
      <c r="AP245" s="6" t="str">
        <f>IFERROR(Z245/L245,"-")</f>
        <v>-</v>
      </c>
      <c r="AQ245" s="6">
        <f>IFERROR(AJ245/M245,"-")</f>
        <v>1.1494252873563218</v>
      </c>
      <c r="AR245" s="6">
        <f>IFERROR(AB245/N245,"-")</f>
        <v>1.1000000000000001</v>
      </c>
      <c r="AS245" s="4" t="str">
        <f t="shared" si="33"/>
        <v>-</v>
      </c>
      <c r="AT245" s="4"/>
      <c r="AU245" s="4" t="str">
        <f t="shared" si="34"/>
        <v>-</v>
      </c>
      <c r="AV245" s="4" t="str">
        <f t="shared" si="35"/>
        <v>-</v>
      </c>
      <c r="AW245" s="4" t="str">
        <f t="shared" si="36"/>
        <v>-</v>
      </c>
      <c r="AX245" s="4" t="str">
        <f t="shared" si="37"/>
        <v>-</v>
      </c>
      <c r="AY245" s="4" t="str">
        <f t="shared" si="38"/>
        <v>-</v>
      </c>
      <c r="AZ245" s="4" t="str">
        <f t="shared" si="39"/>
        <v>-</v>
      </c>
      <c r="BA245" s="4" t="str">
        <f t="shared" si="40"/>
        <v>-</v>
      </c>
      <c r="BB245" s="4" t="str">
        <f t="shared" si="41"/>
        <v>-</v>
      </c>
      <c r="BC245" s="4">
        <v>0</v>
      </c>
      <c r="BD245" s="4" t="s">
        <v>422</v>
      </c>
      <c r="BE245" s="4"/>
      <c r="BF245" s="4"/>
      <c r="BG245" s="4" t="s">
        <v>422</v>
      </c>
      <c r="BH245" s="4" t="s">
        <v>422</v>
      </c>
      <c r="BI245" s="4" t="str">
        <f>IF(BE245="",BH245,BE245/BF245*BH245)</f>
        <v>-</v>
      </c>
      <c r="BJ245" s="19">
        <v>4</v>
      </c>
      <c r="BK245" s="19">
        <v>1</v>
      </c>
      <c r="BL245" s="16">
        <v>3</v>
      </c>
      <c r="BM245" t="s">
        <v>422</v>
      </c>
      <c r="BN245" t="str">
        <f t="shared" si="42"/>
        <v>-</v>
      </c>
      <c r="BO245" t="s">
        <v>422</v>
      </c>
      <c r="BP245" t="str">
        <f t="shared" si="43"/>
        <v>-</v>
      </c>
      <c r="BQ245" t="s">
        <v>422</v>
      </c>
    </row>
    <row r="246" spans="1:69" x14ac:dyDescent="0.4">
      <c r="A246" s="3">
        <v>115</v>
      </c>
      <c r="B246" s="3">
        <v>115</v>
      </c>
      <c r="C246" s="4">
        <v>189038</v>
      </c>
      <c r="D246" s="4" t="str">
        <f>TEXT(C246,"000000")</f>
        <v>189038</v>
      </c>
      <c r="E246" s="4">
        <v>189038</v>
      </c>
      <c r="F246" s="4" t="s">
        <v>229</v>
      </c>
      <c r="G246" s="5">
        <v>4996297420958</v>
      </c>
      <c r="H246" s="5"/>
      <c r="I246" s="5"/>
      <c r="J246" s="5">
        <v>1</v>
      </c>
      <c r="K246" s="5">
        <v>1</v>
      </c>
      <c r="L246" s="4">
        <v>0</v>
      </c>
      <c r="M246" s="4">
        <v>1034</v>
      </c>
      <c r="N246" s="4">
        <v>700</v>
      </c>
      <c r="O246" s="6">
        <f>IFERROR(1-N246/M246,"-")</f>
        <v>0.32301740812379109</v>
      </c>
      <c r="P246" s="4" t="s">
        <v>422</v>
      </c>
      <c r="Q246" s="4" t="s">
        <v>422</v>
      </c>
      <c r="R246" s="4" t="s">
        <v>422</v>
      </c>
      <c r="S246" s="4" t="s">
        <v>422</v>
      </c>
      <c r="T246" s="4" t="s">
        <v>422</v>
      </c>
      <c r="U246" s="4" t="s">
        <v>422</v>
      </c>
      <c r="V246" s="4" t="s">
        <v>422</v>
      </c>
      <c r="W246" s="4" t="s">
        <v>422</v>
      </c>
      <c r="X246" s="4" t="s">
        <v>422</v>
      </c>
      <c r="Y246" s="4">
        <v>0</v>
      </c>
      <c r="Z246" s="4">
        <f>IF(AC246="",Y246,Y246*AC246)</f>
        <v>0</v>
      </c>
      <c r="AA246" s="4">
        <v>770</v>
      </c>
      <c r="AB246" s="4">
        <f>IF(AC246="",AA246,AA246*AC246)</f>
        <v>770</v>
      </c>
      <c r="AC246" s="4"/>
      <c r="AD246" s="21">
        <f>ROUND(M246*AR246,0)</f>
        <v>1137</v>
      </c>
      <c r="AE246" s="6">
        <f>IFERROR(1-AB246/AD246,"-")</f>
        <v>0.3227792436235708</v>
      </c>
      <c r="AF246" s="33">
        <v>2</v>
      </c>
      <c r="AG246" s="4" t="str">
        <f>BI246</f>
        <v>-</v>
      </c>
      <c r="AH246" s="33" t="str">
        <f>IFERROR(AG246*AR246,"-")</f>
        <v>-</v>
      </c>
      <c r="AI246" s="6" t="str">
        <f>IFERROR(1-AB246/AH246,"-")</f>
        <v>-</v>
      </c>
      <c r="AJ246" s="7">
        <v>1200</v>
      </c>
      <c r="AK246" s="6">
        <f>1-AB246/AJ246</f>
        <v>0.35833333333333328</v>
      </c>
      <c r="AL246" s="4">
        <f>AJ246-AB246</f>
        <v>430</v>
      </c>
      <c r="AM246" s="28"/>
      <c r="AN246" s="6"/>
      <c r="AO246" s="6"/>
      <c r="AP246" s="6" t="str">
        <f>IFERROR(Z246/L246,"-")</f>
        <v>-</v>
      </c>
      <c r="AQ246" s="6">
        <f>IFERROR(AJ246/M246,"-")</f>
        <v>1.1605415860735009</v>
      </c>
      <c r="AR246" s="6">
        <f>IFERROR(AB246/N246,"-")</f>
        <v>1.1000000000000001</v>
      </c>
      <c r="AS246" s="4" t="str">
        <f t="shared" si="33"/>
        <v>-</v>
      </c>
      <c r="AT246" s="4"/>
      <c r="AU246" s="4" t="str">
        <f t="shared" si="34"/>
        <v>-</v>
      </c>
      <c r="AV246" s="4" t="str">
        <f t="shared" si="35"/>
        <v>-</v>
      </c>
      <c r="AW246" s="4" t="str">
        <f t="shared" si="36"/>
        <v>-</v>
      </c>
      <c r="AX246" s="4" t="str">
        <f t="shared" si="37"/>
        <v>-</v>
      </c>
      <c r="AY246" s="4" t="str">
        <f t="shared" si="38"/>
        <v>-</v>
      </c>
      <c r="AZ246" s="4" t="str">
        <f t="shared" si="39"/>
        <v>-</v>
      </c>
      <c r="BA246" s="4" t="str">
        <f t="shared" si="40"/>
        <v>-</v>
      </c>
      <c r="BB246" s="4" t="str">
        <f t="shared" si="41"/>
        <v>-</v>
      </c>
      <c r="BC246" s="4">
        <v>0</v>
      </c>
      <c r="BD246" s="4" t="s">
        <v>422</v>
      </c>
      <c r="BE246" s="4"/>
      <c r="BF246" s="4"/>
      <c r="BG246" s="4" t="s">
        <v>422</v>
      </c>
      <c r="BH246" s="4" t="s">
        <v>422</v>
      </c>
      <c r="BI246" s="4" t="str">
        <f>IF(BE246="",BH246,BE246/BF246*BH246)</f>
        <v>-</v>
      </c>
      <c r="BJ246" s="19">
        <v>4</v>
      </c>
      <c r="BK246" s="19">
        <v>1</v>
      </c>
      <c r="BL246" s="16">
        <v>3</v>
      </c>
      <c r="BM246" t="s">
        <v>422</v>
      </c>
      <c r="BN246" t="str">
        <f t="shared" si="42"/>
        <v>-</v>
      </c>
      <c r="BO246" t="s">
        <v>422</v>
      </c>
      <c r="BP246" t="str">
        <f t="shared" si="43"/>
        <v>-</v>
      </c>
      <c r="BQ246" t="s">
        <v>422</v>
      </c>
    </row>
    <row r="247" spans="1:69" x14ac:dyDescent="0.4">
      <c r="A247" s="3">
        <v>47</v>
      </c>
      <c r="B247" s="3">
        <v>47</v>
      </c>
      <c r="C247" s="4">
        <v>793791</v>
      </c>
      <c r="D247" s="4" t="str">
        <f>TEXT(C247,"000000")</f>
        <v>793791</v>
      </c>
      <c r="E247" s="4">
        <v>793791</v>
      </c>
      <c r="F247" s="4" t="s">
        <v>162</v>
      </c>
      <c r="G247" s="5">
        <v>4996297326724</v>
      </c>
      <c r="H247" s="5"/>
      <c r="I247" s="5"/>
      <c r="J247" s="5">
        <v>1</v>
      </c>
      <c r="K247" s="5">
        <v>1</v>
      </c>
      <c r="L247" s="4">
        <v>0</v>
      </c>
      <c r="M247" s="4">
        <v>1113</v>
      </c>
      <c r="N247" s="4">
        <v>731</v>
      </c>
      <c r="O247" s="6">
        <f>IFERROR(1-N247/M247,"-")</f>
        <v>0.34321653189577717</v>
      </c>
      <c r="P247" s="4" t="s">
        <v>422</v>
      </c>
      <c r="Q247" s="4" t="s">
        <v>422</v>
      </c>
      <c r="R247" s="4" t="s">
        <v>422</v>
      </c>
      <c r="S247" s="4" t="s">
        <v>422</v>
      </c>
      <c r="T247" s="4" t="s">
        <v>422</v>
      </c>
      <c r="U247" s="4" t="s">
        <v>422</v>
      </c>
      <c r="V247" s="4" t="s">
        <v>422</v>
      </c>
      <c r="W247" s="4" t="s">
        <v>422</v>
      </c>
      <c r="X247" s="4" t="s">
        <v>422</v>
      </c>
      <c r="Y247" s="4">
        <v>0</v>
      </c>
      <c r="Z247" s="4">
        <f>IF(AC247="",Y247,Y247*AC247)</f>
        <v>0</v>
      </c>
      <c r="AA247" s="4">
        <v>804</v>
      </c>
      <c r="AB247" s="4">
        <f>IF(AC247="",AA247,AA247*AC247)</f>
        <v>804</v>
      </c>
      <c r="AC247" s="4"/>
      <c r="AD247" s="21">
        <f>ROUND(M247*AR247,0)</f>
        <v>1224</v>
      </c>
      <c r="AE247" s="6">
        <f>IFERROR(1-AB247/AD247,"-")</f>
        <v>0.34313725490196079</v>
      </c>
      <c r="AF247" s="33">
        <v>13</v>
      </c>
      <c r="AG247" s="4" t="str">
        <f>BI247</f>
        <v>-</v>
      </c>
      <c r="AH247" s="33" t="str">
        <f>IFERROR(AG247*AR247,"-")</f>
        <v>-</v>
      </c>
      <c r="AI247" s="6" t="str">
        <f>IFERROR(1-AB247/AH247,"-")</f>
        <v>-</v>
      </c>
      <c r="AJ247" s="7">
        <v>1300</v>
      </c>
      <c r="AK247" s="6">
        <f>1-AB247/AJ247</f>
        <v>0.38153846153846149</v>
      </c>
      <c r="AL247" s="4">
        <f>AJ247-AB247</f>
        <v>496</v>
      </c>
      <c r="AM247" s="28"/>
      <c r="AN247" s="6"/>
      <c r="AO247" s="6"/>
      <c r="AP247" s="6" t="str">
        <f>IFERROR(Z247/L247,"-")</f>
        <v>-</v>
      </c>
      <c r="AQ247" s="6">
        <f>IFERROR(AJ247/M247,"-")</f>
        <v>1.1680143755615453</v>
      </c>
      <c r="AR247" s="6">
        <f>IFERROR(AB247/N247,"-")</f>
        <v>1.0998632010943912</v>
      </c>
      <c r="AS247" s="4" t="str">
        <f t="shared" si="33"/>
        <v>-</v>
      </c>
      <c r="AT247" s="4"/>
      <c r="AU247" s="4" t="str">
        <f t="shared" si="34"/>
        <v>-</v>
      </c>
      <c r="AV247" s="4" t="str">
        <f t="shared" si="35"/>
        <v>-</v>
      </c>
      <c r="AW247" s="4" t="str">
        <f t="shared" si="36"/>
        <v>-</v>
      </c>
      <c r="AX247" s="4" t="str">
        <f t="shared" si="37"/>
        <v>-</v>
      </c>
      <c r="AY247" s="4" t="str">
        <f t="shared" si="38"/>
        <v>-</v>
      </c>
      <c r="AZ247" s="4" t="str">
        <f t="shared" si="39"/>
        <v>-</v>
      </c>
      <c r="BA247" s="4" t="str">
        <f t="shared" si="40"/>
        <v>-</v>
      </c>
      <c r="BB247" s="4" t="str">
        <f t="shared" si="41"/>
        <v>-</v>
      </c>
      <c r="BC247" s="4" t="s">
        <v>409</v>
      </c>
      <c r="BD247" s="4" t="s">
        <v>422</v>
      </c>
      <c r="BE247" s="4"/>
      <c r="BF247" s="4"/>
      <c r="BG247" s="4" t="s">
        <v>422</v>
      </c>
      <c r="BH247" s="4" t="s">
        <v>422</v>
      </c>
      <c r="BI247" s="4" t="str">
        <f>IF(BE247="",BH247,BE247/BF247*BH247)</f>
        <v>-</v>
      </c>
      <c r="BJ247" s="19">
        <v>4</v>
      </c>
      <c r="BK247" s="19">
        <v>1</v>
      </c>
      <c r="BL247" s="16">
        <v>3</v>
      </c>
      <c r="BM247">
        <v>1990</v>
      </c>
      <c r="BN247">
        <f t="shared" si="42"/>
        <v>2188.7277701778385</v>
      </c>
      <c r="BO247" t="s">
        <v>422</v>
      </c>
      <c r="BP247" t="str">
        <f t="shared" si="43"/>
        <v>-</v>
      </c>
      <c r="BQ247" t="s">
        <v>422</v>
      </c>
    </row>
    <row r="248" spans="1:69" x14ac:dyDescent="0.4">
      <c r="A248" s="3">
        <v>80</v>
      </c>
      <c r="B248" s="3">
        <v>80</v>
      </c>
      <c r="C248" s="4">
        <v>212338</v>
      </c>
      <c r="D248" s="4" t="str">
        <f>TEXT(C248,"000000")</f>
        <v>212338</v>
      </c>
      <c r="E248" s="4">
        <v>212338</v>
      </c>
      <c r="F248" s="4" t="s">
        <v>194</v>
      </c>
      <c r="G248" s="5">
        <v>4996297374152</v>
      </c>
      <c r="H248" s="5"/>
      <c r="I248" s="5"/>
      <c r="J248" s="5">
        <v>1</v>
      </c>
      <c r="K248" s="5">
        <v>1</v>
      </c>
      <c r="L248" s="4">
        <v>0</v>
      </c>
      <c r="M248" s="4">
        <v>967</v>
      </c>
      <c r="N248" s="4">
        <v>723</v>
      </c>
      <c r="O248" s="6">
        <f>IFERROR(1-N248/M248,"-")</f>
        <v>0.25232678386763185</v>
      </c>
      <c r="P248" s="4" t="s">
        <v>422</v>
      </c>
      <c r="Q248" s="4" t="s">
        <v>422</v>
      </c>
      <c r="R248" s="4" t="s">
        <v>422</v>
      </c>
      <c r="S248" s="4" t="s">
        <v>422</v>
      </c>
      <c r="T248" s="4" t="s">
        <v>422</v>
      </c>
      <c r="U248" s="4" t="s">
        <v>422</v>
      </c>
      <c r="V248" s="4" t="s">
        <v>422</v>
      </c>
      <c r="W248" s="4" t="s">
        <v>422</v>
      </c>
      <c r="X248" s="4" t="s">
        <v>422</v>
      </c>
      <c r="Y248" s="4">
        <v>0</v>
      </c>
      <c r="Z248" s="4">
        <f>IF(AC248="",Y248,Y248*AC248)</f>
        <v>0</v>
      </c>
      <c r="AA248" s="4">
        <v>831</v>
      </c>
      <c r="AB248" s="4">
        <f>IF(AC248="",AA248,AA248*AC248)</f>
        <v>831</v>
      </c>
      <c r="AC248" s="4"/>
      <c r="AD248" s="21">
        <f>ROUND(M248*AR248,0)</f>
        <v>1111</v>
      </c>
      <c r="AE248" s="6">
        <f>IFERROR(1-AB248/AD248,"-")</f>
        <v>0.25202520252025207</v>
      </c>
      <c r="AF248" s="33">
        <v>0.75</v>
      </c>
      <c r="AG248" s="4">
        <f>BI248</f>
        <v>2265</v>
      </c>
      <c r="AH248" s="33">
        <f>IFERROR(AG248*AR248,"-")</f>
        <v>2603.3402489626556</v>
      </c>
      <c r="AI248" s="6">
        <f>IFERROR(1-AB248/AH248,"-")</f>
        <v>0.68079470198675496</v>
      </c>
      <c r="AJ248" s="7">
        <v>1350</v>
      </c>
      <c r="AK248" s="6">
        <f>1-AB248/AJ248</f>
        <v>0.38444444444444448</v>
      </c>
      <c r="AL248" s="4">
        <f>AJ248-AB248</f>
        <v>519</v>
      </c>
      <c r="AM248" s="28"/>
      <c r="AN248" s="6"/>
      <c r="AO248" s="6"/>
      <c r="AP248" s="6" t="str">
        <f>IFERROR(Z248/L248,"-")</f>
        <v>-</v>
      </c>
      <c r="AQ248" s="6">
        <f>IFERROR(AJ248/M248,"-")</f>
        <v>1.3960703205791107</v>
      </c>
      <c r="AR248" s="6">
        <f>IFERROR(AB248/N248,"-")</f>
        <v>1.1493775933609958</v>
      </c>
      <c r="AS248" s="4" t="str">
        <f t="shared" si="33"/>
        <v>-</v>
      </c>
      <c r="AT248" s="4"/>
      <c r="AU248" s="4" t="str">
        <f t="shared" si="34"/>
        <v>-</v>
      </c>
      <c r="AV248" s="4" t="str">
        <f t="shared" si="35"/>
        <v>-</v>
      </c>
      <c r="AW248" s="4" t="str">
        <f t="shared" si="36"/>
        <v>-</v>
      </c>
      <c r="AX248" s="4" t="str">
        <f t="shared" si="37"/>
        <v>-</v>
      </c>
      <c r="AY248" s="4" t="str">
        <f t="shared" si="38"/>
        <v>-</v>
      </c>
      <c r="AZ248" s="4" t="str">
        <f t="shared" si="39"/>
        <v>-</v>
      </c>
      <c r="BA248" s="4" t="str">
        <f t="shared" si="40"/>
        <v>-</v>
      </c>
      <c r="BB248" s="4" t="str">
        <f t="shared" si="41"/>
        <v>-</v>
      </c>
      <c r="BC248" s="4">
        <v>0</v>
      </c>
      <c r="BD248" s="4" t="s">
        <v>717</v>
      </c>
      <c r="BE248" s="4"/>
      <c r="BF248" s="4"/>
      <c r="BG248" s="4" t="s">
        <v>563</v>
      </c>
      <c r="BH248" s="4">
        <v>2265</v>
      </c>
      <c r="BI248" s="4">
        <f>IF(BE248="",BH248,BE248/BF248*BH248)</f>
        <v>2265</v>
      </c>
      <c r="BJ248" s="19">
        <v>4</v>
      </c>
      <c r="BK248" s="19">
        <v>1</v>
      </c>
      <c r="BL248" s="16">
        <v>3</v>
      </c>
      <c r="BM248">
        <v>1079</v>
      </c>
      <c r="BN248">
        <f t="shared" si="42"/>
        <v>1240.1784232365144</v>
      </c>
      <c r="BO248">
        <v>1824</v>
      </c>
      <c r="BP248">
        <f t="shared" si="43"/>
        <v>2096.4647302904564</v>
      </c>
      <c r="BQ248" t="s">
        <v>555</v>
      </c>
    </row>
    <row r="249" spans="1:69" x14ac:dyDescent="0.4">
      <c r="A249" s="3">
        <v>79</v>
      </c>
      <c r="B249" s="3">
        <v>79</v>
      </c>
      <c r="C249" s="4">
        <v>212339</v>
      </c>
      <c r="D249" s="4" t="str">
        <f>TEXT(C249,"000000")</f>
        <v>212339</v>
      </c>
      <c r="E249" s="4">
        <v>212339</v>
      </c>
      <c r="F249" s="4" t="s">
        <v>193</v>
      </c>
      <c r="G249" s="5">
        <v>4996297374121</v>
      </c>
      <c r="H249" s="5"/>
      <c r="I249" s="5"/>
      <c r="J249" s="5">
        <v>1</v>
      </c>
      <c r="K249" s="5">
        <v>1</v>
      </c>
      <c r="L249" s="4">
        <v>0</v>
      </c>
      <c r="M249" s="4">
        <v>967</v>
      </c>
      <c r="N249" s="4">
        <v>723</v>
      </c>
      <c r="O249" s="6">
        <f>IFERROR(1-N249/M249,"-")</f>
        <v>0.25232678386763185</v>
      </c>
      <c r="P249" s="4" t="s">
        <v>422</v>
      </c>
      <c r="Q249" s="4" t="s">
        <v>422</v>
      </c>
      <c r="R249" s="4" t="s">
        <v>422</v>
      </c>
      <c r="S249" s="4" t="s">
        <v>422</v>
      </c>
      <c r="T249" s="4" t="s">
        <v>422</v>
      </c>
      <c r="U249" s="4" t="s">
        <v>422</v>
      </c>
      <c r="V249" s="4" t="s">
        <v>422</v>
      </c>
      <c r="W249" s="4" t="s">
        <v>422</v>
      </c>
      <c r="X249" s="4" t="s">
        <v>422</v>
      </c>
      <c r="Y249" s="4">
        <v>0</v>
      </c>
      <c r="Z249" s="4">
        <f>IF(AC249="",Y249,Y249*AC249)</f>
        <v>0</v>
      </c>
      <c r="AA249" s="4">
        <v>831</v>
      </c>
      <c r="AB249" s="4">
        <f>IF(AC249="",AA249,AA249*AC249)</f>
        <v>831</v>
      </c>
      <c r="AC249" s="4"/>
      <c r="AD249" s="21">
        <f>ROUND(M249*AR249,0)</f>
        <v>1111</v>
      </c>
      <c r="AE249" s="6">
        <f>IFERROR(1-AB249/AD249,"-")</f>
        <v>0.25202520252025207</v>
      </c>
      <c r="AF249" s="33">
        <v>1.5</v>
      </c>
      <c r="AG249" s="4">
        <f>BI249</f>
        <v>2265</v>
      </c>
      <c r="AH249" s="33">
        <f>IFERROR(AG249*AR249,"-")</f>
        <v>2603.3402489626556</v>
      </c>
      <c r="AI249" s="6">
        <f>IFERROR(1-AB249/AH249,"-")</f>
        <v>0.68079470198675496</v>
      </c>
      <c r="AJ249" s="7">
        <v>1350</v>
      </c>
      <c r="AK249" s="6">
        <f>1-AB249/AJ249</f>
        <v>0.38444444444444448</v>
      </c>
      <c r="AL249" s="4">
        <f>AJ249-AB249</f>
        <v>519</v>
      </c>
      <c r="AM249" s="28"/>
      <c r="AN249" s="6"/>
      <c r="AO249" s="6"/>
      <c r="AP249" s="6" t="str">
        <f>IFERROR(Z249/L249,"-")</f>
        <v>-</v>
      </c>
      <c r="AQ249" s="6">
        <f>IFERROR(AJ249/M249,"-")</f>
        <v>1.3960703205791107</v>
      </c>
      <c r="AR249" s="6">
        <f>IFERROR(AB249/N249,"-")</f>
        <v>1.1493775933609958</v>
      </c>
      <c r="AS249" s="4" t="str">
        <f t="shared" si="33"/>
        <v>-</v>
      </c>
      <c r="AT249" s="4"/>
      <c r="AU249" s="4" t="str">
        <f t="shared" si="34"/>
        <v>-</v>
      </c>
      <c r="AV249" s="4" t="str">
        <f t="shared" si="35"/>
        <v>-</v>
      </c>
      <c r="AW249" s="4" t="str">
        <f t="shared" si="36"/>
        <v>-</v>
      </c>
      <c r="AX249" s="4" t="str">
        <f t="shared" si="37"/>
        <v>-</v>
      </c>
      <c r="AY249" s="4" t="str">
        <f t="shared" si="38"/>
        <v>-</v>
      </c>
      <c r="AZ249" s="4" t="str">
        <f t="shared" si="39"/>
        <v>-</v>
      </c>
      <c r="BA249" s="4" t="str">
        <f t="shared" si="40"/>
        <v>-</v>
      </c>
      <c r="BB249" s="4" t="str">
        <f t="shared" si="41"/>
        <v>-</v>
      </c>
      <c r="BC249" s="4">
        <v>0</v>
      </c>
      <c r="BD249" s="4" t="s">
        <v>718</v>
      </c>
      <c r="BE249" s="4"/>
      <c r="BF249" s="4"/>
      <c r="BG249" s="4" t="s">
        <v>563</v>
      </c>
      <c r="BH249" s="4">
        <v>2265</v>
      </c>
      <c r="BI249" s="4">
        <f>IF(BE249="",BH249,BE249/BF249*BH249)</f>
        <v>2265</v>
      </c>
      <c r="BJ249" s="19">
        <v>4</v>
      </c>
      <c r="BK249" s="19">
        <v>1</v>
      </c>
      <c r="BL249" s="16">
        <v>3</v>
      </c>
      <c r="BM249">
        <v>1079</v>
      </c>
      <c r="BN249">
        <f t="shared" si="42"/>
        <v>1240.1784232365144</v>
      </c>
      <c r="BO249">
        <v>1824</v>
      </c>
      <c r="BP249">
        <f t="shared" si="43"/>
        <v>2096.4647302904564</v>
      </c>
      <c r="BQ249" t="s">
        <v>556</v>
      </c>
    </row>
    <row r="250" spans="1:69" x14ac:dyDescent="0.4">
      <c r="A250" s="3">
        <v>125</v>
      </c>
      <c r="B250" s="3">
        <v>125</v>
      </c>
      <c r="C250" s="4" t="s">
        <v>98</v>
      </c>
      <c r="D250" s="4" t="str">
        <f>TEXT(C250,"000000")</f>
        <v>5975AR</v>
      </c>
      <c r="E250" s="4" t="s">
        <v>98</v>
      </c>
      <c r="F250" s="4" t="s">
        <v>239</v>
      </c>
      <c r="G250" s="5">
        <v>4996297444022</v>
      </c>
      <c r="H250" s="5"/>
      <c r="I250" s="5"/>
      <c r="J250" s="5">
        <v>1</v>
      </c>
      <c r="K250" s="5">
        <v>1</v>
      </c>
      <c r="L250" s="4">
        <v>0</v>
      </c>
      <c r="M250" s="4">
        <v>2781</v>
      </c>
      <c r="N250" s="4">
        <v>1580</v>
      </c>
      <c r="O250" s="6">
        <f>IFERROR(1-N250/M250,"-")</f>
        <v>0.43185904350952897</v>
      </c>
      <c r="P250" s="4" t="s">
        <v>422</v>
      </c>
      <c r="Q250" s="4" t="s">
        <v>422</v>
      </c>
      <c r="R250" s="4" t="s">
        <v>422</v>
      </c>
      <c r="S250" s="4" t="s">
        <v>422</v>
      </c>
      <c r="T250" s="4" t="s">
        <v>422</v>
      </c>
      <c r="U250" s="4" t="s">
        <v>422</v>
      </c>
      <c r="V250" s="4" t="s">
        <v>422</v>
      </c>
      <c r="W250" s="4" t="s">
        <v>422</v>
      </c>
      <c r="X250" s="4" t="s">
        <v>422</v>
      </c>
      <c r="Y250" s="4">
        <v>0</v>
      </c>
      <c r="Z250" s="4">
        <f>IF(AC250="",Y250,Y250*AC250)</f>
        <v>0</v>
      </c>
      <c r="AA250" s="4">
        <v>1760</v>
      </c>
      <c r="AB250" s="4">
        <f>IF(AC250="",AA250,AA250*AC250)</f>
        <v>1760</v>
      </c>
      <c r="AC250" s="4"/>
      <c r="AD250" s="21">
        <f>ROUND(M250*AR250,0)</f>
        <v>3098</v>
      </c>
      <c r="AE250" s="6">
        <f>IFERROR(1-AB250/AD250,"-")</f>
        <v>0.43189154293092313</v>
      </c>
      <c r="AF250" s="33">
        <v>0</v>
      </c>
      <c r="AG250" s="4" t="str">
        <f>BI250</f>
        <v>-</v>
      </c>
      <c r="AH250" s="33" t="str">
        <f>IFERROR(AG250*AR250,"-")</f>
        <v>-</v>
      </c>
      <c r="AI250" s="6" t="str">
        <f>IFERROR(1-AB250/AH250,"-")</f>
        <v>-</v>
      </c>
      <c r="AJ250" s="7">
        <v>2900</v>
      </c>
      <c r="AK250" s="6">
        <f>1-AB250/AJ250</f>
        <v>0.39310344827586208</v>
      </c>
      <c r="AL250" s="4">
        <f>AJ250-AB250</f>
        <v>1140</v>
      </c>
      <c r="AM250" s="28"/>
      <c r="AN250" s="6"/>
      <c r="AO250" s="6"/>
      <c r="AP250" s="6" t="str">
        <f>IFERROR(Z250/L250,"-")</f>
        <v>-</v>
      </c>
      <c r="AQ250" s="6">
        <f>IFERROR(AJ250/M250,"-")</f>
        <v>1.0427903631787128</v>
      </c>
      <c r="AR250" s="6">
        <f>IFERROR(AB250/N250,"-")</f>
        <v>1.1139240506329113</v>
      </c>
      <c r="AS250" s="4" t="str">
        <f t="shared" si="33"/>
        <v>-</v>
      </c>
      <c r="AT250" s="4"/>
      <c r="AU250" s="4" t="str">
        <f t="shared" si="34"/>
        <v>-</v>
      </c>
      <c r="AV250" s="4" t="str">
        <f t="shared" si="35"/>
        <v>-</v>
      </c>
      <c r="AW250" s="4" t="str">
        <f t="shared" si="36"/>
        <v>-</v>
      </c>
      <c r="AX250" s="4" t="str">
        <f t="shared" si="37"/>
        <v>-</v>
      </c>
      <c r="AY250" s="4" t="str">
        <f t="shared" si="38"/>
        <v>-</v>
      </c>
      <c r="AZ250" s="4" t="str">
        <f t="shared" si="39"/>
        <v>-</v>
      </c>
      <c r="BA250" s="4" t="str">
        <f t="shared" si="40"/>
        <v>-</v>
      </c>
      <c r="BB250" s="4" t="str">
        <f t="shared" si="41"/>
        <v>-</v>
      </c>
      <c r="BC250" s="4">
        <v>0</v>
      </c>
      <c r="BD250" s="4" t="s">
        <v>422</v>
      </c>
      <c r="BE250" s="4"/>
      <c r="BF250" s="4"/>
      <c r="BG250" s="4" t="s">
        <v>422</v>
      </c>
      <c r="BH250" s="4" t="s">
        <v>422</v>
      </c>
      <c r="BI250" s="4" t="str">
        <f>IF(BE250="",BH250,BE250/BF250*BH250)</f>
        <v>-</v>
      </c>
      <c r="BJ250" s="19">
        <v>4</v>
      </c>
      <c r="BK250" s="19">
        <v>8</v>
      </c>
      <c r="BL250" s="16">
        <v>3</v>
      </c>
      <c r="BM250" t="s">
        <v>422</v>
      </c>
      <c r="BN250" t="str">
        <f t="shared" si="42"/>
        <v>-</v>
      </c>
      <c r="BO250" t="s">
        <v>422</v>
      </c>
      <c r="BP250" t="str">
        <f t="shared" si="43"/>
        <v>-</v>
      </c>
      <c r="BQ250" t="s">
        <v>422</v>
      </c>
    </row>
    <row r="251" spans="1:69" x14ac:dyDescent="0.4">
      <c r="A251" s="3">
        <v>4</v>
      </c>
      <c r="B251" s="3">
        <v>4</v>
      </c>
      <c r="C251" s="4">
        <v>402746</v>
      </c>
      <c r="D251" s="4" t="str">
        <f>TEXT(C251,"000000")</f>
        <v>402746</v>
      </c>
      <c r="E251" s="4">
        <v>402746</v>
      </c>
      <c r="F251" s="4" t="s">
        <v>119</v>
      </c>
      <c r="G251" s="5">
        <v>4710581344092</v>
      </c>
      <c r="H251" s="5"/>
      <c r="I251" s="5"/>
      <c r="J251" s="5">
        <v>1</v>
      </c>
      <c r="K251" s="5">
        <v>1</v>
      </c>
      <c r="L251" s="4">
        <v>0</v>
      </c>
      <c r="M251" s="4">
        <v>31302</v>
      </c>
      <c r="N251" s="4">
        <v>9780</v>
      </c>
      <c r="O251" s="6">
        <f>IFERROR(1-N251/M251,"-")</f>
        <v>0.68755990032585779</v>
      </c>
      <c r="P251" s="4" t="s">
        <v>422</v>
      </c>
      <c r="Q251" s="4" t="s">
        <v>422</v>
      </c>
      <c r="R251" s="4" t="s">
        <v>422</v>
      </c>
      <c r="S251" s="4" t="s">
        <v>422</v>
      </c>
      <c r="T251" s="4" t="s">
        <v>422</v>
      </c>
      <c r="U251" s="4" t="s">
        <v>422</v>
      </c>
      <c r="V251" s="4" t="s">
        <v>422</v>
      </c>
      <c r="W251" s="4" t="s">
        <v>422</v>
      </c>
      <c r="X251" s="4" t="s">
        <v>422</v>
      </c>
      <c r="Y251" s="4">
        <v>0</v>
      </c>
      <c r="Z251" s="4">
        <f>IF(AC251="",Y251,Y251*AC251)</f>
        <v>0</v>
      </c>
      <c r="AA251" s="4">
        <v>11220</v>
      </c>
      <c r="AB251" s="4">
        <f>IF(AC251="",AA251,AA251*AC251)</f>
        <v>11220</v>
      </c>
      <c r="AC251" s="4"/>
      <c r="AD251" s="21">
        <f>ROUND(M251*AR251,0)</f>
        <v>35911</v>
      </c>
      <c r="AE251" s="6">
        <f>IFERROR(1-AB251/AD251,"-")</f>
        <v>0.68756091448302747</v>
      </c>
      <c r="AF251" s="33">
        <v>0</v>
      </c>
      <c r="AG251" s="4">
        <f>BI251</f>
        <v>48300</v>
      </c>
      <c r="AH251" s="33">
        <f>IFERROR(AG251*AR251,"-")</f>
        <v>55411.656441717794</v>
      </c>
      <c r="AI251" s="6">
        <f>IFERROR(1-AB251/AH251,"-")</f>
        <v>0.79751552795031055</v>
      </c>
      <c r="AJ251" s="7">
        <v>31400</v>
      </c>
      <c r="AK251" s="6">
        <f>1-AB251/AJ251</f>
        <v>0.64267515923566876</v>
      </c>
      <c r="AL251" s="4">
        <f>AJ251-AB251</f>
        <v>20180</v>
      </c>
      <c r="AM251" s="28"/>
      <c r="AN251" s="6"/>
      <c r="AO251" s="6"/>
      <c r="AP251" s="6" t="str">
        <f>IFERROR(Z251/L251,"-")</f>
        <v>-</v>
      </c>
      <c r="AQ251" s="6">
        <f>IFERROR(AJ251/M251,"-")</f>
        <v>1.003130790364833</v>
      </c>
      <c r="AR251" s="6">
        <f>IFERROR(AB251/N251,"-")</f>
        <v>1.147239263803681</v>
      </c>
      <c r="AS251" s="4" t="str">
        <f t="shared" si="33"/>
        <v>-</v>
      </c>
      <c r="AT251" s="4"/>
      <c r="AU251" s="4" t="str">
        <f t="shared" si="34"/>
        <v>-</v>
      </c>
      <c r="AV251" s="4" t="str">
        <f t="shared" si="35"/>
        <v>-</v>
      </c>
      <c r="AW251" s="4" t="str">
        <f t="shared" si="36"/>
        <v>-</v>
      </c>
      <c r="AX251" s="4" t="str">
        <f t="shared" si="37"/>
        <v>-</v>
      </c>
      <c r="AY251" s="4" t="str">
        <f t="shared" si="38"/>
        <v>-</v>
      </c>
      <c r="AZ251" s="4" t="str">
        <f t="shared" si="39"/>
        <v>-</v>
      </c>
      <c r="BA251" s="4" t="str">
        <f t="shared" si="40"/>
        <v>-</v>
      </c>
      <c r="BB251" s="4" t="str">
        <f t="shared" si="41"/>
        <v>-</v>
      </c>
      <c r="BC251" s="4">
        <v>0</v>
      </c>
      <c r="BD251" s="4" t="s">
        <v>719</v>
      </c>
      <c r="BE251" s="4">
        <v>60</v>
      </c>
      <c r="BF251" s="4">
        <v>1</v>
      </c>
      <c r="BG251" s="4" t="s">
        <v>626</v>
      </c>
      <c r="BH251" s="4">
        <v>805</v>
      </c>
      <c r="BI251" s="4">
        <f>IF(BE251="",BH251,BE251/BF251*BH251)</f>
        <v>48300</v>
      </c>
      <c r="BJ251" s="19">
        <v>8</v>
      </c>
      <c r="BK251" s="19">
        <v>8</v>
      </c>
      <c r="BL251" s="16">
        <v>3</v>
      </c>
      <c r="BM251">
        <v>240</v>
      </c>
      <c r="BN251">
        <f t="shared" si="42"/>
        <v>275.33742331288346</v>
      </c>
      <c r="BO251">
        <v>770</v>
      </c>
      <c r="BP251">
        <f t="shared" si="43"/>
        <v>883.37423312883436</v>
      </c>
      <c r="BQ251" t="s">
        <v>557</v>
      </c>
    </row>
    <row r="252" spans="1:69" x14ac:dyDescent="0.4">
      <c r="A252" s="3">
        <v>1</v>
      </c>
      <c r="B252" s="3">
        <v>1</v>
      </c>
      <c r="C252" s="4">
        <v>314908</v>
      </c>
      <c r="D252" s="4" t="str">
        <f>TEXT(C252,"000000")</f>
        <v>314908</v>
      </c>
      <c r="E252" s="4">
        <v>314908</v>
      </c>
      <c r="F252" s="4" t="s">
        <v>116</v>
      </c>
      <c r="G252" s="5">
        <v>4582130775059</v>
      </c>
      <c r="H252" s="5"/>
      <c r="I252" s="5"/>
      <c r="J252" s="5">
        <v>1</v>
      </c>
      <c r="K252" s="5">
        <v>1</v>
      </c>
      <c r="L252" s="4">
        <v>0</v>
      </c>
      <c r="M252" s="4">
        <v>117</v>
      </c>
      <c r="N252" s="4">
        <v>72.45</v>
      </c>
      <c r="O252" s="6">
        <f>IFERROR(1-N252/M252,"-")</f>
        <v>0.38076923076923075</v>
      </c>
      <c r="P252" s="4" t="s">
        <v>422</v>
      </c>
      <c r="Q252" s="4" t="s">
        <v>422</v>
      </c>
      <c r="R252" s="4" t="s">
        <v>422</v>
      </c>
      <c r="S252" s="4" t="s">
        <v>422</v>
      </c>
      <c r="T252" s="4" t="s">
        <v>422</v>
      </c>
      <c r="U252" s="4" t="s">
        <v>422</v>
      </c>
      <c r="V252" s="4" t="s">
        <v>422</v>
      </c>
      <c r="W252" s="4" t="s">
        <v>422</v>
      </c>
      <c r="X252" s="4" t="s">
        <v>422</v>
      </c>
      <c r="Y252" s="4">
        <v>0</v>
      </c>
      <c r="Z252" s="4">
        <f>IF(AC252="",Y252,Y252*AC252)</f>
        <v>0</v>
      </c>
      <c r="AA252" s="4">
        <v>81</v>
      </c>
      <c r="AB252" s="4">
        <f>IF(AC252="",AA252,AA252*AC252)</f>
        <v>81</v>
      </c>
      <c r="AC252" s="4"/>
      <c r="AD252" s="21">
        <f>ROUND(M252*AR252,0)</f>
        <v>131</v>
      </c>
      <c r="AE252" s="6">
        <f>IFERROR(1-AB252/AD252,"-")</f>
        <v>0.38167938931297707</v>
      </c>
      <c r="AF252" s="33">
        <v>121</v>
      </c>
      <c r="AG252" s="4" t="str">
        <f>BI252</f>
        <v>-</v>
      </c>
      <c r="AH252" s="33" t="str">
        <f>IFERROR(AG252*AR252,"-")</f>
        <v>-</v>
      </c>
      <c r="AI252" s="6" t="str">
        <f>IFERROR(1-AB252/AH252,"-")</f>
        <v>-</v>
      </c>
      <c r="AJ252" s="7">
        <v>135</v>
      </c>
      <c r="AK252" s="6">
        <f>1-AB252/AJ252</f>
        <v>0.4</v>
      </c>
      <c r="AL252" s="4">
        <f>AJ252-AB252</f>
        <v>54</v>
      </c>
      <c r="AM252" s="28"/>
      <c r="AN252" s="6" t="e">
        <f>1-AB252/AM252</f>
        <v>#DIV/0!</v>
      </c>
      <c r="AO252" s="4">
        <f>AM252-AB252</f>
        <v>-81</v>
      </c>
      <c r="AP252" s="6" t="str">
        <f>IFERROR(Z252/L252,"-")</f>
        <v>-</v>
      </c>
      <c r="AQ252" s="6">
        <f>IFERROR(AJ252/M252,"-")</f>
        <v>1.1538461538461537</v>
      </c>
      <c r="AR252" s="6">
        <f>IFERROR(AB252/N252,"-")</f>
        <v>1.1180124223602483</v>
      </c>
      <c r="AS252" s="4" t="str">
        <f t="shared" si="33"/>
        <v>-</v>
      </c>
      <c r="AT252" s="4"/>
      <c r="AU252" s="4" t="str">
        <f t="shared" si="34"/>
        <v>-</v>
      </c>
      <c r="AV252" s="4" t="str">
        <f t="shared" si="35"/>
        <v>-</v>
      </c>
      <c r="AW252" s="4" t="str">
        <f t="shared" si="36"/>
        <v>-</v>
      </c>
      <c r="AX252" s="4" t="str">
        <f t="shared" si="37"/>
        <v>-</v>
      </c>
      <c r="AY252" s="4" t="str">
        <f t="shared" si="38"/>
        <v>-</v>
      </c>
      <c r="AZ252" s="4" t="str">
        <f t="shared" si="39"/>
        <v>-</v>
      </c>
      <c r="BA252" s="4" t="str">
        <f t="shared" si="40"/>
        <v>-</v>
      </c>
      <c r="BB252" s="4" t="str">
        <f t="shared" si="41"/>
        <v>-</v>
      </c>
      <c r="BC252" s="4" t="s">
        <v>403</v>
      </c>
      <c r="BD252" s="4" t="s">
        <v>422</v>
      </c>
      <c r="BE252" s="4"/>
      <c r="BF252" s="4"/>
      <c r="BG252" s="4" t="s">
        <v>422</v>
      </c>
      <c r="BH252" s="4" t="s">
        <v>422</v>
      </c>
      <c r="BI252" s="4" t="str">
        <f>IF(BE252="",BH252,BE252/BF252*BH252)</f>
        <v>-</v>
      </c>
      <c r="BJ252" s="19">
        <v>4</v>
      </c>
      <c r="BK252" s="19">
        <v>1</v>
      </c>
      <c r="BL252" s="16">
        <v>4</v>
      </c>
      <c r="BM252" t="s">
        <v>422</v>
      </c>
      <c r="BN252" t="str">
        <f t="shared" si="42"/>
        <v>-</v>
      </c>
      <c r="BO252" t="s">
        <v>422</v>
      </c>
      <c r="BP252" t="str">
        <f t="shared" si="43"/>
        <v>-</v>
      </c>
      <c r="BQ252" t="s">
        <v>422</v>
      </c>
    </row>
    <row r="253" spans="1:69" x14ac:dyDescent="0.4">
      <c r="A253" s="3">
        <v>20</v>
      </c>
      <c r="B253" s="3">
        <v>20</v>
      </c>
      <c r="C253" s="4" t="s">
        <v>70</v>
      </c>
      <c r="D253" s="4" t="str">
        <f>TEXT(C253,"000000")</f>
        <v>9941AJ</v>
      </c>
      <c r="E253" s="4" t="s">
        <v>70</v>
      </c>
      <c r="F253" s="4" t="s">
        <v>135</v>
      </c>
      <c r="G253" s="5">
        <v>4996297226000</v>
      </c>
      <c r="H253" s="5"/>
      <c r="I253" s="5"/>
      <c r="J253" s="5">
        <v>1</v>
      </c>
      <c r="K253" s="5">
        <v>1</v>
      </c>
      <c r="L253" s="4">
        <v>0</v>
      </c>
      <c r="M253" s="4">
        <v>124</v>
      </c>
      <c r="N253" s="4">
        <v>75</v>
      </c>
      <c r="O253" s="6">
        <f>IFERROR(1-N253/M253,"-")</f>
        <v>0.39516129032258063</v>
      </c>
      <c r="P253" s="4" t="s">
        <v>422</v>
      </c>
      <c r="Q253" s="4" t="s">
        <v>422</v>
      </c>
      <c r="R253" s="4" t="s">
        <v>422</v>
      </c>
      <c r="S253" s="4" t="s">
        <v>422</v>
      </c>
      <c r="T253" s="4" t="s">
        <v>422</v>
      </c>
      <c r="U253" s="4" t="s">
        <v>422</v>
      </c>
      <c r="V253" s="4" t="s">
        <v>422</v>
      </c>
      <c r="W253" s="4" t="s">
        <v>422</v>
      </c>
      <c r="X253" s="4" t="s">
        <v>422</v>
      </c>
      <c r="Y253" s="4">
        <v>0</v>
      </c>
      <c r="Z253" s="4">
        <f>IF(AC253="",Y253,Y253*AC253)</f>
        <v>0</v>
      </c>
      <c r="AA253" s="4">
        <v>84</v>
      </c>
      <c r="AB253" s="4">
        <f>IF(AC253="",AA253,AA253*AC253)</f>
        <v>84</v>
      </c>
      <c r="AC253" s="4"/>
      <c r="AD253" s="21">
        <f>ROUND(M253*AR253,0)</f>
        <v>139</v>
      </c>
      <c r="AE253" s="6">
        <f>IFERROR(1-AB253/AD253,"-")</f>
        <v>0.39568345323741005</v>
      </c>
      <c r="AF253" s="33">
        <v>0.75</v>
      </c>
      <c r="AG253" s="4" t="str">
        <f>BI253</f>
        <v>-</v>
      </c>
      <c r="AH253" s="33" t="str">
        <f>IFERROR(AG253*AR253,"-")</f>
        <v>-</v>
      </c>
      <c r="AI253" s="6" t="str">
        <f>IFERROR(1-AB253/AH253,"-")</f>
        <v>-</v>
      </c>
      <c r="AJ253" s="7">
        <v>140</v>
      </c>
      <c r="AK253" s="6">
        <f>1-AB253/AJ253</f>
        <v>0.4</v>
      </c>
      <c r="AL253" s="4">
        <f>AJ253-AB253</f>
        <v>56</v>
      </c>
      <c r="AM253" s="28"/>
      <c r="AN253" s="6"/>
      <c r="AO253" s="6"/>
      <c r="AP253" s="6" t="str">
        <f>IFERROR(Z253/L253,"-")</f>
        <v>-</v>
      </c>
      <c r="AQ253" s="6">
        <f>IFERROR(AJ253/M253,"-")</f>
        <v>1.1290322580645162</v>
      </c>
      <c r="AR253" s="6">
        <f>IFERROR(AB253/N253,"-")</f>
        <v>1.1200000000000001</v>
      </c>
      <c r="AS253" s="4" t="str">
        <f t="shared" si="33"/>
        <v>-</v>
      </c>
      <c r="AT253" s="4"/>
      <c r="AU253" s="4" t="str">
        <f t="shared" si="34"/>
        <v>-</v>
      </c>
      <c r="AV253" s="4" t="str">
        <f t="shared" si="35"/>
        <v>-</v>
      </c>
      <c r="AW253" s="4" t="str">
        <f t="shared" si="36"/>
        <v>-</v>
      </c>
      <c r="AX253" s="4" t="str">
        <f t="shared" si="37"/>
        <v>-</v>
      </c>
      <c r="AY253" s="4" t="str">
        <f t="shared" si="38"/>
        <v>-</v>
      </c>
      <c r="AZ253" s="4" t="str">
        <f t="shared" si="39"/>
        <v>-</v>
      </c>
      <c r="BA253" s="4" t="str">
        <f t="shared" si="40"/>
        <v>-</v>
      </c>
      <c r="BB253" s="4" t="str">
        <f t="shared" si="41"/>
        <v>-</v>
      </c>
      <c r="BC253" s="4">
        <v>0</v>
      </c>
      <c r="BD253" s="4" t="s">
        <v>422</v>
      </c>
      <c r="BE253" s="4"/>
      <c r="BF253" s="4"/>
      <c r="BG253" s="4" t="s">
        <v>422</v>
      </c>
      <c r="BH253" s="4" t="s">
        <v>422</v>
      </c>
      <c r="BI253" s="4" t="str">
        <f>IF(BE253="",BH253,BE253/BF253*BH253)</f>
        <v>-</v>
      </c>
      <c r="BJ253" s="19">
        <v>4</v>
      </c>
      <c r="BK253" s="19">
        <v>1</v>
      </c>
      <c r="BL253" s="16">
        <v>4</v>
      </c>
      <c r="BM253" t="s">
        <v>422</v>
      </c>
      <c r="BN253" t="str">
        <f t="shared" si="42"/>
        <v>-</v>
      </c>
      <c r="BO253" t="s">
        <v>422</v>
      </c>
      <c r="BP253" t="str">
        <f t="shared" si="43"/>
        <v>-</v>
      </c>
      <c r="BQ253" t="s">
        <v>422</v>
      </c>
    </row>
    <row r="254" spans="1:69" x14ac:dyDescent="0.4">
      <c r="A254" s="3">
        <v>21</v>
      </c>
      <c r="B254" s="3">
        <v>21</v>
      </c>
      <c r="C254" s="4" t="s">
        <v>71</v>
      </c>
      <c r="D254" s="4" t="str">
        <f>TEXT(C254,"000000")</f>
        <v>9942AJ</v>
      </c>
      <c r="E254" s="4" t="s">
        <v>71</v>
      </c>
      <c r="F254" s="4" t="s">
        <v>136</v>
      </c>
      <c r="G254" s="5">
        <v>4996297226017</v>
      </c>
      <c r="H254" s="5"/>
      <c r="I254" s="5"/>
      <c r="J254" s="5">
        <v>1</v>
      </c>
      <c r="K254" s="5">
        <v>1</v>
      </c>
      <c r="L254" s="4">
        <v>0</v>
      </c>
      <c r="M254" s="4">
        <v>124</v>
      </c>
      <c r="N254" s="4">
        <v>75</v>
      </c>
      <c r="O254" s="6">
        <f>IFERROR(1-N254/M254,"-")</f>
        <v>0.39516129032258063</v>
      </c>
      <c r="P254" s="4" t="s">
        <v>422</v>
      </c>
      <c r="Q254" s="4" t="s">
        <v>422</v>
      </c>
      <c r="R254" s="4" t="s">
        <v>422</v>
      </c>
      <c r="S254" s="4" t="s">
        <v>422</v>
      </c>
      <c r="T254" s="4" t="s">
        <v>422</v>
      </c>
      <c r="U254" s="4" t="s">
        <v>422</v>
      </c>
      <c r="V254" s="4" t="s">
        <v>422</v>
      </c>
      <c r="W254" s="4" t="s">
        <v>422</v>
      </c>
      <c r="X254" s="4" t="s">
        <v>422</v>
      </c>
      <c r="Y254" s="4">
        <v>0</v>
      </c>
      <c r="Z254" s="4">
        <f>IF(AC254="",Y254,Y254*AC254)</f>
        <v>0</v>
      </c>
      <c r="AA254" s="4">
        <v>84</v>
      </c>
      <c r="AB254" s="4">
        <f>IF(AC254="",AA254,AA254*AC254)</f>
        <v>84</v>
      </c>
      <c r="AC254" s="4"/>
      <c r="AD254" s="21">
        <f>ROUND(M254*AR254,0)</f>
        <v>139</v>
      </c>
      <c r="AE254" s="6">
        <f>IFERROR(1-AB254/AD254,"-")</f>
        <v>0.39568345323741005</v>
      </c>
      <c r="AF254" s="33">
        <v>0.75</v>
      </c>
      <c r="AG254" s="4" t="str">
        <f>BI254</f>
        <v>-</v>
      </c>
      <c r="AH254" s="33" t="str">
        <f>IFERROR(AG254*AR254,"-")</f>
        <v>-</v>
      </c>
      <c r="AI254" s="6" t="str">
        <f>IFERROR(1-AB254/AH254,"-")</f>
        <v>-</v>
      </c>
      <c r="AJ254" s="7">
        <v>140</v>
      </c>
      <c r="AK254" s="6">
        <f>1-AB254/AJ254</f>
        <v>0.4</v>
      </c>
      <c r="AL254" s="4">
        <f>AJ254-AB254</f>
        <v>56</v>
      </c>
      <c r="AM254" s="28"/>
      <c r="AN254" s="6"/>
      <c r="AO254" s="6"/>
      <c r="AP254" s="6" t="str">
        <f>IFERROR(Z254/L254,"-")</f>
        <v>-</v>
      </c>
      <c r="AQ254" s="6">
        <f>IFERROR(AJ254/M254,"-")</f>
        <v>1.1290322580645162</v>
      </c>
      <c r="AR254" s="6">
        <f>IFERROR(AB254/N254,"-")</f>
        <v>1.1200000000000001</v>
      </c>
      <c r="AS254" s="4" t="str">
        <f t="shared" si="33"/>
        <v>-</v>
      </c>
      <c r="AT254" s="4"/>
      <c r="AU254" s="4" t="str">
        <f t="shared" si="34"/>
        <v>-</v>
      </c>
      <c r="AV254" s="4" t="str">
        <f t="shared" si="35"/>
        <v>-</v>
      </c>
      <c r="AW254" s="4" t="str">
        <f t="shared" si="36"/>
        <v>-</v>
      </c>
      <c r="AX254" s="4" t="str">
        <f t="shared" si="37"/>
        <v>-</v>
      </c>
      <c r="AY254" s="4" t="str">
        <f t="shared" si="38"/>
        <v>-</v>
      </c>
      <c r="AZ254" s="4" t="str">
        <f t="shared" si="39"/>
        <v>-</v>
      </c>
      <c r="BA254" s="4" t="str">
        <f t="shared" si="40"/>
        <v>-</v>
      </c>
      <c r="BB254" s="4" t="str">
        <f t="shared" si="41"/>
        <v>-</v>
      </c>
      <c r="BC254" s="4">
        <v>0</v>
      </c>
      <c r="BD254" s="4" t="s">
        <v>422</v>
      </c>
      <c r="BE254" s="4"/>
      <c r="BF254" s="4"/>
      <c r="BG254" s="4" t="s">
        <v>422</v>
      </c>
      <c r="BH254" s="4" t="s">
        <v>422</v>
      </c>
      <c r="BI254" s="4" t="str">
        <f>IF(BE254="",BH254,BE254/BF254*BH254)</f>
        <v>-</v>
      </c>
      <c r="BJ254" s="19">
        <v>4</v>
      </c>
      <c r="BK254" s="19">
        <v>1</v>
      </c>
      <c r="BL254" s="16">
        <v>4</v>
      </c>
      <c r="BM254" t="s">
        <v>422</v>
      </c>
      <c r="BN254" t="str">
        <f t="shared" si="42"/>
        <v>-</v>
      </c>
      <c r="BO254" t="s">
        <v>422</v>
      </c>
      <c r="BP254" t="str">
        <f t="shared" si="43"/>
        <v>-</v>
      </c>
      <c r="BQ254" t="s">
        <v>422</v>
      </c>
    </row>
    <row r="255" spans="1:69" x14ac:dyDescent="0.4">
      <c r="A255" s="3">
        <v>22</v>
      </c>
      <c r="B255" s="3">
        <v>22</v>
      </c>
      <c r="C255" s="4" t="s">
        <v>72</v>
      </c>
      <c r="D255" s="4" t="str">
        <f>TEXT(C255,"000000")</f>
        <v>9943AJ</v>
      </c>
      <c r="E255" s="4" t="s">
        <v>72</v>
      </c>
      <c r="F255" s="4" t="s">
        <v>137</v>
      </c>
      <c r="G255" s="5">
        <v>4996297226024</v>
      </c>
      <c r="H255" s="5"/>
      <c r="I255" s="5"/>
      <c r="J255" s="5">
        <v>1</v>
      </c>
      <c r="K255" s="5">
        <v>1</v>
      </c>
      <c r="L255" s="4">
        <v>0</v>
      </c>
      <c r="M255" s="4">
        <v>126</v>
      </c>
      <c r="N255" s="4">
        <v>75</v>
      </c>
      <c r="O255" s="6">
        <f>IFERROR(1-N255/M255,"-")</f>
        <v>0.40476190476190477</v>
      </c>
      <c r="P255" s="4" t="s">
        <v>422</v>
      </c>
      <c r="Q255" s="4" t="s">
        <v>422</v>
      </c>
      <c r="R255" s="4" t="s">
        <v>422</v>
      </c>
      <c r="S255" s="4" t="s">
        <v>422</v>
      </c>
      <c r="T255" s="4" t="s">
        <v>422</v>
      </c>
      <c r="U255" s="4" t="s">
        <v>422</v>
      </c>
      <c r="V255" s="4" t="s">
        <v>422</v>
      </c>
      <c r="W255" s="4" t="s">
        <v>422</v>
      </c>
      <c r="X255" s="4" t="s">
        <v>422</v>
      </c>
      <c r="Y255" s="4">
        <v>0</v>
      </c>
      <c r="Z255" s="4">
        <f>IF(AC255="",Y255,Y255*AC255)</f>
        <v>0</v>
      </c>
      <c r="AA255" s="4">
        <v>84</v>
      </c>
      <c r="AB255" s="4">
        <f>IF(AC255="",AA255,AA255*AC255)</f>
        <v>84</v>
      </c>
      <c r="AC255" s="4"/>
      <c r="AD255" s="21">
        <f>ROUND(M255*AR255,0)</f>
        <v>141</v>
      </c>
      <c r="AE255" s="6">
        <f>IFERROR(1-AB255/AD255,"-")</f>
        <v>0.4042553191489362</v>
      </c>
      <c r="AF255" s="33">
        <v>6.5</v>
      </c>
      <c r="AG255" s="4" t="str">
        <f>BI255</f>
        <v>-</v>
      </c>
      <c r="AH255" s="33" t="str">
        <f>IFERROR(AG255*AR255,"-")</f>
        <v>-</v>
      </c>
      <c r="AI255" s="6" t="str">
        <f>IFERROR(1-AB255/AH255,"-")</f>
        <v>-</v>
      </c>
      <c r="AJ255" s="7">
        <v>140</v>
      </c>
      <c r="AK255" s="6">
        <f>1-AB255/AJ255</f>
        <v>0.4</v>
      </c>
      <c r="AL255" s="4">
        <f>AJ255-AB255</f>
        <v>56</v>
      </c>
      <c r="AM255" s="28"/>
      <c r="AN255" s="6"/>
      <c r="AO255" s="6"/>
      <c r="AP255" s="6" t="str">
        <f>IFERROR(Z255/L255,"-")</f>
        <v>-</v>
      </c>
      <c r="AQ255" s="6">
        <f>IFERROR(AJ255/M255,"-")</f>
        <v>1.1111111111111112</v>
      </c>
      <c r="AR255" s="6">
        <f>IFERROR(AB255/N255,"-")</f>
        <v>1.1200000000000001</v>
      </c>
      <c r="AS255" s="4" t="str">
        <f t="shared" si="33"/>
        <v>-</v>
      </c>
      <c r="AT255" s="4"/>
      <c r="AU255" s="4" t="str">
        <f t="shared" si="34"/>
        <v>-</v>
      </c>
      <c r="AV255" s="4" t="str">
        <f t="shared" si="35"/>
        <v>-</v>
      </c>
      <c r="AW255" s="4" t="str">
        <f t="shared" si="36"/>
        <v>-</v>
      </c>
      <c r="AX255" s="4" t="str">
        <f t="shared" si="37"/>
        <v>-</v>
      </c>
      <c r="AY255" s="4" t="str">
        <f t="shared" si="38"/>
        <v>-</v>
      </c>
      <c r="AZ255" s="4" t="str">
        <f t="shared" si="39"/>
        <v>-</v>
      </c>
      <c r="BA255" s="4" t="str">
        <f t="shared" si="40"/>
        <v>-</v>
      </c>
      <c r="BB255" s="4" t="str">
        <f t="shared" si="41"/>
        <v>-</v>
      </c>
      <c r="BC255" s="4">
        <v>0</v>
      </c>
      <c r="BD255" s="4" t="s">
        <v>422</v>
      </c>
      <c r="BE255" s="4"/>
      <c r="BF255" s="4"/>
      <c r="BG255" s="4" t="s">
        <v>422</v>
      </c>
      <c r="BH255" s="4" t="s">
        <v>422</v>
      </c>
      <c r="BI255" s="4" t="str">
        <f>IF(BE255="",BH255,BE255/BF255*BH255)</f>
        <v>-</v>
      </c>
      <c r="BJ255" s="19">
        <v>4</v>
      </c>
      <c r="BK255" s="19">
        <v>1</v>
      </c>
      <c r="BL255" s="16">
        <v>4</v>
      </c>
      <c r="BM255" t="s">
        <v>422</v>
      </c>
      <c r="BN255" t="str">
        <f t="shared" si="42"/>
        <v>-</v>
      </c>
      <c r="BO255" t="s">
        <v>422</v>
      </c>
      <c r="BP255" t="str">
        <f t="shared" si="43"/>
        <v>-</v>
      </c>
      <c r="BQ255" t="s">
        <v>422</v>
      </c>
    </row>
    <row r="256" spans="1:69" x14ac:dyDescent="0.4">
      <c r="A256" s="3">
        <v>23</v>
      </c>
      <c r="B256" s="3">
        <v>23</v>
      </c>
      <c r="C256" s="4" t="s">
        <v>73</v>
      </c>
      <c r="D256" s="4" t="str">
        <f>TEXT(C256,"000000")</f>
        <v>9944AJ</v>
      </c>
      <c r="E256" s="4" t="s">
        <v>73</v>
      </c>
      <c r="F256" s="4" t="s">
        <v>138</v>
      </c>
      <c r="G256" s="5">
        <v>4996297226031</v>
      </c>
      <c r="H256" s="5"/>
      <c r="I256" s="5"/>
      <c r="J256" s="5">
        <v>1</v>
      </c>
      <c r="K256" s="5">
        <v>1</v>
      </c>
      <c r="L256" s="4">
        <v>0</v>
      </c>
      <c r="M256" s="4">
        <v>124</v>
      </c>
      <c r="N256" s="4">
        <v>75</v>
      </c>
      <c r="O256" s="6">
        <f>IFERROR(1-N256/M256,"-")</f>
        <v>0.39516129032258063</v>
      </c>
      <c r="P256" s="4" t="s">
        <v>422</v>
      </c>
      <c r="Q256" s="4" t="s">
        <v>422</v>
      </c>
      <c r="R256" s="4" t="s">
        <v>422</v>
      </c>
      <c r="S256" s="4" t="s">
        <v>422</v>
      </c>
      <c r="T256" s="4" t="s">
        <v>422</v>
      </c>
      <c r="U256" s="4" t="s">
        <v>422</v>
      </c>
      <c r="V256" s="4" t="s">
        <v>422</v>
      </c>
      <c r="W256" s="4" t="s">
        <v>422</v>
      </c>
      <c r="X256" s="4" t="s">
        <v>422</v>
      </c>
      <c r="Y256" s="4">
        <v>0</v>
      </c>
      <c r="Z256" s="4">
        <f>IF(AC256="",Y256,Y256*AC256)</f>
        <v>0</v>
      </c>
      <c r="AA256" s="4">
        <v>84</v>
      </c>
      <c r="AB256" s="4">
        <f>IF(AC256="",AA256,AA256*AC256)</f>
        <v>84</v>
      </c>
      <c r="AC256" s="4"/>
      <c r="AD256" s="21">
        <f>ROUND(M256*AR256,0)</f>
        <v>139</v>
      </c>
      <c r="AE256" s="6">
        <f>IFERROR(1-AB256/AD256,"-")</f>
        <v>0.39568345323741005</v>
      </c>
      <c r="AF256" s="33">
        <v>6.75</v>
      </c>
      <c r="AG256" s="4" t="str">
        <f>BI256</f>
        <v>-</v>
      </c>
      <c r="AH256" s="33" t="str">
        <f>IFERROR(AG256*AR256,"-")</f>
        <v>-</v>
      </c>
      <c r="AI256" s="6" t="str">
        <f>IFERROR(1-AB256/AH256,"-")</f>
        <v>-</v>
      </c>
      <c r="AJ256" s="7">
        <v>140</v>
      </c>
      <c r="AK256" s="6">
        <f>1-AB256/AJ256</f>
        <v>0.4</v>
      </c>
      <c r="AL256" s="4">
        <f>AJ256-AB256</f>
        <v>56</v>
      </c>
      <c r="AM256" s="28"/>
      <c r="AN256" s="6"/>
      <c r="AO256" s="6"/>
      <c r="AP256" s="6" t="str">
        <f>IFERROR(Z256/L256,"-")</f>
        <v>-</v>
      </c>
      <c r="AQ256" s="6">
        <f>IFERROR(AJ256/M256,"-")</f>
        <v>1.1290322580645162</v>
      </c>
      <c r="AR256" s="6">
        <f>IFERROR(AB256/N256,"-")</f>
        <v>1.1200000000000001</v>
      </c>
      <c r="AS256" s="4" t="str">
        <f t="shared" si="33"/>
        <v>-</v>
      </c>
      <c r="AT256" s="4"/>
      <c r="AU256" s="4" t="str">
        <f t="shared" si="34"/>
        <v>-</v>
      </c>
      <c r="AV256" s="4" t="str">
        <f t="shared" si="35"/>
        <v>-</v>
      </c>
      <c r="AW256" s="4" t="str">
        <f t="shared" si="36"/>
        <v>-</v>
      </c>
      <c r="AX256" s="4" t="str">
        <f t="shared" si="37"/>
        <v>-</v>
      </c>
      <c r="AY256" s="4" t="str">
        <f t="shared" si="38"/>
        <v>-</v>
      </c>
      <c r="AZ256" s="4" t="str">
        <f t="shared" si="39"/>
        <v>-</v>
      </c>
      <c r="BA256" s="4" t="str">
        <f t="shared" si="40"/>
        <v>-</v>
      </c>
      <c r="BB256" s="4" t="str">
        <f t="shared" si="41"/>
        <v>-</v>
      </c>
      <c r="BC256" s="4">
        <v>0</v>
      </c>
      <c r="BD256" s="4" t="s">
        <v>422</v>
      </c>
      <c r="BE256" s="4"/>
      <c r="BF256" s="4"/>
      <c r="BG256" s="4" t="s">
        <v>422</v>
      </c>
      <c r="BH256" s="4" t="s">
        <v>422</v>
      </c>
      <c r="BI256" s="4" t="str">
        <f>IF(BE256="",BH256,BE256/BF256*BH256)</f>
        <v>-</v>
      </c>
      <c r="BJ256" s="19">
        <v>4</v>
      </c>
      <c r="BK256" s="19">
        <v>1</v>
      </c>
      <c r="BL256" s="16">
        <v>4</v>
      </c>
      <c r="BM256" t="s">
        <v>422</v>
      </c>
      <c r="BN256" t="str">
        <f t="shared" si="42"/>
        <v>-</v>
      </c>
      <c r="BO256" t="s">
        <v>422</v>
      </c>
      <c r="BP256" t="str">
        <f t="shared" si="43"/>
        <v>-</v>
      </c>
      <c r="BQ256" t="s">
        <v>422</v>
      </c>
    </row>
    <row r="257" spans="1:69" x14ac:dyDescent="0.4">
      <c r="A257" s="3">
        <v>24</v>
      </c>
      <c r="B257" s="3">
        <v>24</v>
      </c>
      <c r="C257" s="4" t="s">
        <v>74</v>
      </c>
      <c r="D257" s="4" t="str">
        <f>TEXT(C257,"000000")</f>
        <v>9945AJ</v>
      </c>
      <c r="E257" s="4" t="s">
        <v>74</v>
      </c>
      <c r="F257" s="4" t="s">
        <v>139</v>
      </c>
      <c r="G257" s="5">
        <v>4996297226048</v>
      </c>
      <c r="H257" s="5"/>
      <c r="I257" s="5"/>
      <c r="J257" s="5">
        <v>1</v>
      </c>
      <c r="K257" s="5">
        <v>1</v>
      </c>
      <c r="L257" s="4">
        <v>0</v>
      </c>
      <c r="M257" s="4">
        <v>110</v>
      </c>
      <c r="N257" s="4">
        <v>75</v>
      </c>
      <c r="O257" s="6">
        <f>IFERROR(1-N257/M257,"-")</f>
        <v>0.31818181818181823</v>
      </c>
      <c r="P257" s="4" t="s">
        <v>422</v>
      </c>
      <c r="Q257" s="4" t="s">
        <v>422</v>
      </c>
      <c r="R257" s="4" t="s">
        <v>422</v>
      </c>
      <c r="S257" s="4" t="s">
        <v>422</v>
      </c>
      <c r="T257" s="4" t="s">
        <v>422</v>
      </c>
      <c r="U257" s="4" t="s">
        <v>422</v>
      </c>
      <c r="V257" s="4" t="s">
        <v>422</v>
      </c>
      <c r="W257" s="4" t="s">
        <v>422</v>
      </c>
      <c r="X257" s="4" t="s">
        <v>422</v>
      </c>
      <c r="Y257" s="4">
        <v>0</v>
      </c>
      <c r="Z257" s="4">
        <f>IF(AC257="",Y257,Y257*AC257)</f>
        <v>0</v>
      </c>
      <c r="AA257" s="4">
        <v>84</v>
      </c>
      <c r="AB257" s="4">
        <f>IF(AC257="",AA257,AA257*AC257)</f>
        <v>84</v>
      </c>
      <c r="AC257" s="4"/>
      <c r="AD257" s="21">
        <f>ROUND(M257*AR257,0)</f>
        <v>123</v>
      </c>
      <c r="AE257" s="6">
        <f>IFERROR(1-AB257/AD257,"-")</f>
        <v>0.31707317073170727</v>
      </c>
      <c r="AF257" s="33">
        <v>0.75</v>
      </c>
      <c r="AG257" s="4" t="str">
        <f>BI257</f>
        <v>-</v>
      </c>
      <c r="AH257" s="33" t="str">
        <f>IFERROR(AG257*AR257,"-")</f>
        <v>-</v>
      </c>
      <c r="AI257" s="6" t="str">
        <f>IFERROR(1-AB257/AH257,"-")</f>
        <v>-</v>
      </c>
      <c r="AJ257" s="7">
        <v>140</v>
      </c>
      <c r="AK257" s="6">
        <f>1-AB257/AJ257</f>
        <v>0.4</v>
      </c>
      <c r="AL257" s="4">
        <f>AJ257-AB257</f>
        <v>56</v>
      </c>
      <c r="AM257" s="28"/>
      <c r="AN257" s="6"/>
      <c r="AO257" s="6"/>
      <c r="AP257" s="6" t="str">
        <f>IFERROR(Z257/L257,"-")</f>
        <v>-</v>
      </c>
      <c r="AQ257" s="6">
        <f>IFERROR(AJ257/M257,"-")</f>
        <v>1.2727272727272727</v>
      </c>
      <c r="AR257" s="6">
        <f>IFERROR(AB257/N257,"-")</f>
        <v>1.1200000000000001</v>
      </c>
      <c r="AS257" s="4" t="str">
        <f t="shared" si="33"/>
        <v>-</v>
      </c>
      <c r="AT257" s="4"/>
      <c r="AU257" s="4" t="str">
        <f t="shared" si="34"/>
        <v>-</v>
      </c>
      <c r="AV257" s="4" t="str">
        <f t="shared" si="35"/>
        <v>-</v>
      </c>
      <c r="AW257" s="4" t="str">
        <f t="shared" si="36"/>
        <v>-</v>
      </c>
      <c r="AX257" s="4" t="str">
        <f t="shared" si="37"/>
        <v>-</v>
      </c>
      <c r="AY257" s="4" t="str">
        <f t="shared" si="38"/>
        <v>-</v>
      </c>
      <c r="AZ257" s="4" t="str">
        <f t="shared" si="39"/>
        <v>-</v>
      </c>
      <c r="BA257" s="4" t="str">
        <f t="shared" si="40"/>
        <v>-</v>
      </c>
      <c r="BB257" s="4" t="str">
        <f t="shared" si="41"/>
        <v>-</v>
      </c>
      <c r="BC257" s="4">
        <v>0</v>
      </c>
      <c r="BD257" s="4" t="s">
        <v>422</v>
      </c>
      <c r="BE257" s="4"/>
      <c r="BF257" s="4"/>
      <c r="BG257" s="4" t="s">
        <v>422</v>
      </c>
      <c r="BH257" s="4" t="s">
        <v>422</v>
      </c>
      <c r="BI257" s="4" t="str">
        <f>IF(BE257="",BH257,BE257/BF257*BH257)</f>
        <v>-</v>
      </c>
      <c r="BJ257" s="19">
        <v>4</v>
      </c>
      <c r="BK257" s="19">
        <v>1</v>
      </c>
      <c r="BL257" s="16">
        <v>4</v>
      </c>
      <c r="BM257" t="s">
        <v>422</v>
      </c>
      <c r="BN257" t="str">
        <f t="shared" si="42"/>
        <v>-</v>
      </c>
      <c r="BO257" t="s">
        <v>422</v>
      </c>
      <c r="BP257" t="str">
        <f t="shared" si="43"/>
        <v>-</v>
      </c>
      <c r="BQ257" t="s">
        <v>422</v>
      </c>
    </row>
    <row r="258" spans="1:69" x14ac:dyDescent="0.4">
      <c r="A258" s="3">
        <v>25</v>
      </c>
      <c r="B258" s="3">
        <v>25</v>
      </c>
      <c r="C258" s="4" t="s">
        <v>75</v>
      </c>
      <c r="D258" s="4" t="str">
        <f>TEXT(C258,"000000")</f>
        <v>9946AJ</v>
      </c>
      <c r="E258" s="4" t="s">
        <v>75</v>
      </c>
      <c r="F258" s="4" t="s">
        <v>140</v>
      </c>
      <c r="G258" s="5">
        <v>4996297226055</v>
      </c>
      <c r="H258" s="5"/>
      <c r="I258" s="5"/>
      <c r="J258" s="5">
        <v>1</v>
      </c>
      <c r="K258" s="5">
        <v>1</v>
      </c>
      <c r="L258" s="4">
        <v>0</v>
      </c>
      <c r="M258" s="4">
        <v>110</v>
      </c>
      <c r="N258" s="4">
        <v>75</v>
      </c>
      <c r="O258" s="6">
        <f>IFERROR(1-N258/M258,"-")</f>
        <v>0.31818181818181823</v>
      </c>
      <c r="P258" s="4" t="s">
        <v>422</v>
      </c>
      <c r="Q258" s="4" t="s">
        <v>422</v>
      </c>
      <c r="R258" s="4" t="s">
        <v>422</v>
      </c>
      <c r="S258" s="4" t="s">
        <v>422</v>
      </c>
      <c r="T258" s="4" t="s">
        <v>422</v>
      </c>
      <c r="U258" s="4" t="s">
        <v>422</v>
      </c>
      <c r="V258" s="4" t="s">
        <v>422</v>
      </c>
      <c r="W258" s="4" t="s">
        <v>422</v>
      </c>
      <c r="X258" s="4" t="s">
        <v>422</v>
      </c>
      <c r="Y258" s="4">
        <v>0</v>
      </c>
      <c r="Z258" s="4">
        <f>IF(AC258="",Y258,Y258*AC258)</f>
        <v>0</v>
      </c>
      <c r="AA258" s="4">
        <v>84</v>
      </c>
      <c r="AB258" s="4">
        <f>IF(AC258="",AA258,AA258*AC258)</f>
        <v>84</v>
      </c>
      <c r="AC258" s="4"/>
      <c r="AD258" s="21">
        <f>ROUND(M258*AR258,0)</f>
        <v>123</v>
      </c>
      <c r="AE258" s="6">
        <f>IFERROR(1-AB258/AD258,"-")</f>
        <v>0.31707317073170727</v>
      </c>
      <c r="AF258" s="33">
        <v>0.75</v>
      </c>
      <c r="AG258" s="4" t="str">
        <f>BI258</f>
        <v>-</v>
      </c>
      <c r="AH258" s="33" t="str">
        <f>IFERROR(AG258*AR258,"-")</f>
        <v>-</v>
      </c>
      <c r="AI258" s="6" t="str">
        <f>IFERROR(1-AB258/AH258,"-")</f>
        <v>-</v>
      </c>
      <c r="AJ258" s="7">
        <v>140</v>
      </c>
      <c r="AK258" s="6">
        <f>1-AB258/AJ258</f>
        <v>0.4</v>
      </c>
      <c r="AL258" s="4">
        <f>AJ258-AB258</f>
        <v>56</v>
      </c>
      <c r="AM258" s="28"/>
      <c r="AN258" s="6"/>
      <c r="AO258" s="6"/>
      <c r="AP258" s="6" t="str">
        <f>IFERROR(Z258/L258,"-")</f>
        <v>-</v>
      </c>
      <c r="AQ258" s="6">
        <f>IFERROR(AJ258/M258,"-")</f>
        <v>1.2727272727272727</v>
      </c>
      <c r="AR258" s="6">
        <f>IFERROR(AB258/N258,"-")</f>
        <v>1.1200000000000001</v>
      </c>
      <c r="AS258" s="4" t="str">
        <f t="shared" si="33"/>
        <v>-</v>
      </c>
      <c r="AT258" s="4"/>
      <c r="AU258" s="4" t="str">
        <f t="shared" si="34"/>
        <v>-</v>
      </c>
      <c r="AV258" s="4" t="str">
        <f t="shared" si="35"/>
        <v>-</v>
      </c>
      <c r="AW258" s="4" t="str">
        <f t="shared" si="36"/>
        <v>-</v>
      </c>
      <c r="AX258" s="4" t="str">
        <f t="shared" si="37"/>
        <v>-</v>
      </c>
      <c r="AY258" s="4" t="str">
        <f t="shared" si="38"/>
        <v>-</v>
      </c>
      <c r="AZ258" s="4" t="str">
        <f t="shared" si="39"/>
        <v>-</v>
      </c>
      <c r="BA258" s="4" t="str">
        <f t="shared" si="40"/>
        <v>-</v>
      </c>
      <c r="BB258" s="4" t="str">
        <f t="shared" si="41"/>
        <v>-</v>
      </c>
      <c r="BC258" s="4">
        <v>0</v>
      </c>
      <c r="BD258" s="4" t="s">
        <v>422</v>
      </c>
      <c r="BE258" s="4"/>
      <c r="BF258" s="4"/>
      <c r="BG258" s="4" t="s">
        <v>422</v>
      </c>
      <c r="BH258" s="4" t="s">
        <v>422</v>
      </c>
      <c r="BI258" s="4" t="str">
        <f>IF(BE258="",BH258,BE258/BF258*BH258)</f>
        <v>-</v>
      </c>
      <c r="BJ258" s="19">
        <v>4</v>
      </c>
      <c r="BK258" s="19">
        <v>1</v>
      </c>
      <c r="BL258" s="16">
        <v>4</v>
      </c>
      <c r="BM258" t="s">
        <v>422</v>
      </c>
      <c r="BN258" t="str">
        <f t="shared" si="42"/>
        <v>-</v>
      </c>
      <c r="BO258" t="s">
        <v>422</v>
      </c>
      <c r="BP258" t="str">
        <f t="shared" si="43"/>
        <v>-</v>
      </c>
      <c r="BQ258" t="s">
        <v>422</v>
      </c>
    </row>
    <row r="259" spans="1:69" x14ac:dyDescent="0.4">
      <c r="A259" s="3">
        <v>2</v>
      </c>
      <c r="B259" s="3">
        <v>2</v>
      </c>
      <c r="C259" s="46">
        <v>314910</v>
      </c>
      <c r="D259" s="4" t="str">
        <f>TEXT(C259,"000000")</f>
        <v>314910</v>
      </c>
      <c r="E259" s="4">
        <v>314910</v>
      </c>
      <c r="F259" s="4" t="s">
        <v>117</v>
      </c>
      <c r="G259" s="5">
        <v>4582130775066</v>
      </c>
      <c r="H259" s="5"/>
      <c r="I259" s="5"/>
      <c r="J259" s="5">
        <v>2</v>
      </c>
      <c r="K259" s="5">
        <v>2</v>
      </c>
      <c r="L259" s="4">
        <v>0</v>
      </c>
      <c r="M259" s="4">
        <v>1000</v>
      </c>
      <c r="N259" s="4">
        <v>700.35</v>
      </c>
      <c r="O259" s="6">
        <f>IFERROR(1-N259/M259,"-")</f>
        <v>0.29964999999999997</v>
      </c>
      <c r="P259" s="4">
        <v>958</v>
      </c>
      <c r="Q259" s="4">
        <v>2</v>
      </c>
      <c r="R259" s="4">
        <v>4</v>
      </c>
      <c r="S259" s="4">
        <v>926</v>
      </c>
      <c r="T259" s="4">
        <v>5</v>
      </c>
      <c r="U259" s="4">
        <v>99999</v>
      </c>
      <c r="V259" s="4" t="s">
        <v>422</v>
      </c>
      <c r="W259" s="4" t="s">
        <v>422</v>
      </c>
      <c r="X259" s="4" t="s">
        <v>422</v>
      </c>
      <c r="Y259" s="4">
        <v>0</v>
      </c>
      <c r="Z259" s="4">
        <f>IF(AC259="",Y259,Y259*AC259)</f>
        <v>0</v>
      </c>
      <c r="AA259" s="4">
        <v>784</v>
      </c>
      <c r="AB259" s="4">
        <f>IF(AC259="",AA259,AA259*AC259)</f>
        <v>784</v>
      </c>
      <c r="AC259" s="4"/>
      <c r="AD259" s="21">
        <f>ROUND(M259*AR259,0)</f>
        <v>1119</v>
      </c>
      <c r="AE259" s="6">
        <f>IFERROR(1-AB259/AD259,"-")</f>
        <v>0.29937444146559433</v>
      </c>
      <c r="AF259" s="33">
        <v>71.75</v>
      </c>
      <c r="AG259" s="4" t="str">
        <f>BI259</f>
        <v>-</v>
      </c>
      <c r="AH259" s="33" t="str">
        <f>IFERROR(AG259*AR259,"-")</f>
        <v>-</v>
      </c>
      <c r="AI259" s="6" t="str">
        <f>IFERROR(1-AB259/AH259,"-")</f>
        <v>-</v>
      </c>
      <c r="AJ259" s="7">
        <v>1250</v>
      </c>
      <c r="AK259" s="6">
        <f>1-AB259/AJ259</f>
        <v>0.37280000000000002</v>
      </c>
      <c r="AL259" s="4">
        <f>AJ259-AB259</f>
        <v>466</v>
      </c>
      <c r="AM259" s="28"/>
      <c r="AN259" s="6"/>
      <c r="AO259" s="6"/>
      <c r="AP259" s="6" t="str">
        <f>IFERROR(Z259/L259,"-")</f>
        <v>-</v>
      </c>
      <c r="AQ259" s="6">
        <f>IFERROR(AJ259/M259,"-")</f>
        <v>1.25</v>
      </c>
      <c r="AR259" s="6">
        <f>IFERROR(AB259/N259,"-")</f>
        <v>1.11944027986007</v>
      </c>
      <c r="AS259" s="4">
        <f t="shared" si="33"/>
        <v>1198</v>
      </c>
      <c r="AT259" s="6">
        <f>1-AB259/AS259</f>
        <v>0.34557595993322199</v>
      </c>
      <c r="AU259" s="4">
        <f t="shared" si="34"/>
        <v>2</v>
      </c>
      <c r="AV259" s="4">
        <f t="shared" si="35"/>
        <v>4</v>
      </c>
      <c r="AW259" s="4">
        <f t="shared" si="36"/>
        <v>1158</v>
      </c>
      <c r="AX259" s="4">
        <f t="shared" si="37"/>
        <v>5</v>
      </c>
      <c r="AY259" s="4">
        <f t="shared" si="38"/>
        <v>99999</v>
      </c>
      <c r="AZ259" s="4" t="str">
        <f t="shared" si="39"/>
        <v>-</v>
      </c>
      <c r="BA259" s="4" t="str">
        <f t="shared" si="40"/>
        <v>-</v>
      </c>
      <c r="BB259" s="4" t="str">
        <f t="shared" si="41"/>
        <v>-</v>
      </c>
      <c r="BC259" s="4" t="s">
        <v>403</v>
      </c>
      <c r="BD259" s="4" t="s">
        <v>422</v>
      </c>
      <c r="BE259" s="4"/>
      <c r="BF259" s="4"/>
      <c r="BG259" s="4" t="s">
        <v>422</v>
      </c>
      <c r="BH259" s="4" t="s">
        <v>422</v>
      </c>
      <c r="BI259" s="4" t="str">
        <f>IF(BE259="",BH259,BE259/BF259*BH259)</f>
        <v>-</v>
      </c>
      <c r="BJ259" s="19">
        <v>4</v>
      </c>
      <c r="BK259" s="19">
        <v>1</v>
      </c>
      <c r="BL259" s="16">
        <v>4</v>
      </c>
      <c r="BM259" t="s">
        <v>422</v>
      </c>
      <c r="BN259" t="str">
        <f t="shared" si="42"/>
        <v>-</v>
      </c>
      <c r="BO259" t="s">
        <v>422</v>
      </c>
      <c r="BP259" t="str">
        <f t="shared" si="43"/>
        <v>-</v>
      </c>
      <c r="BQ259" t="s">
        <v>422</v>
      </c>
    </row>
    <row r="260" spans="1:69" x14ac:dyDescent="0.4">
      <c r="A260" s="3">
        <v>178</v>
      </c>
      <c r="B260" s="3">
        <v>2</v>
      </c>
      <c r="C260" s="46">
        <v>314910</v>
      </c>
      <c r="D260" s="4" t="str">
        <f>TEXT(C260,"000000")</f>
        <v>314910</v>
      </c>
      <c r="E260" s="4" t="s">
        <v>318</v>
      </c>
      <c r="F260" s="4" t="s">
        <v>117</v>
      </c>
      <c r="G260" s="5">
        <v>4582130775066</v>
      </c>
      <c r="H260" s="5">
        <v>8</v>
      </c>
      <c r="I260" s="5" t="str">
        <f>C260&amp;H260</f>
        <v>3149108</v>
      </c>
      <c r="J260" s="5"/>
      <c r="K260" s="5"/>
      <c r="L260" s="4">
        <v>0</v>
      </c>
      <c r="M260" s="4">
        <v>898</v>
      </c>
      <c r="N260" s="4">
        <v>700.35</v>
      </c>
      <c r="O260" s="6">
        <f>IFERROR(1-N260/M260,"-")</f>
        <v>0.22010022271714924</v>
      </c>
      <c r="P260" s="4" t="s">
        <v>422</v>
      </c>
      <c r="Q260" s="4" t="s">
        <v>422</v>
      </c>
      <c r="R260" s="4" t="s">
        <v>422</v>
      </c>
      <c r="S260" s="4" t="s">
        <v>422</v>
      </c>
      <c r="T260" s="4" t="s">
        <v>422</v>
      </c>
      <c r="U260" s="4" t="s">
        <v>422</v>
      </c>
      <c r="V260" s="4" t="s">
        <v>422</v>
      </c>
      <c r="W260" s="4" t="s">
        <v>422</v>
      </c>
      <c r="X260" s="4" t="s">
        <v>422</v>
      </c>
      <c r="Y260" s="4">
        <v>0</v>
      </c>
      <c r="Z260" s="4">
        <f>IF(AC260="",Y260,Y260*AC260)</f>
        <v>0</v>
      </c>
      <c r="AA260" s="4">
        <v>784</v>
      </c>
      <c r="AB260" s="4">
        <f>IF(AC260="",AA260,AA260*AC260)</f>
        <v>784</v>
      </c>
      <c r="AC260" s="4"/>
      <c r="AD260" s="21">
        <f>ROUND(M260*AR260,0)</f>
        <v>1005</v>
      </c>
      <c r="AE260" s="6">
        <f>IFERROR(1-AB260/AD260,"-")</f>
        <v>0.21990049751243779</v>
      </c>
      <c r="AF260" s="33">
        <v>71.75</v>
      </c>
      <c r="AG260" s="4" t="str">
        <f>BI260</f>
        <v>-</v>
      </c>
      <c r="AH260" s="33" t="str">
        <f>IFERROR(AG260*AR260,"-")</f>
        <v>-</v>
      </c>
      <c r="AI260" s="6" t="str">
        <f>IFERROR(1-AB260/AH260,"-")</f>
        <v>-</v>
      </c>
      <c r="AJ260" s="7">
        <v>1250</v>
      </c>
      <c r="AK260" s="6">
        <f>1-AB260/AJ260</f>
        <v>0.37280000000000002</v>
      </c>
      <c r="AL260" s="4">
        <f>AJ260-AB260</f>
        <v>466</v>
      </c>
      <c r="AM260" s="28"/>
      <c r="AN260" s="6"/>
      <c r="AO260" s="6"/>
      <c r="AP260" s="6" t="str">
        <f>IFERROR(Z260/L260,"-")</f>
        <v>-</v>
      </c>
      <c r="AQ260" s="6">
        <f>IFERROR(AJ260/M260,"-")</f>
        <v>1.3919821826280623</v>
      </c>
      <c r="AR260" s="6">
        <f>IFERROR(AB260/N260,"-")</f>
        <v>1.11944027986007</v>
      </c>
      <c r="AS260" s="4" t="str">
        <f t="shared" si="33"/>
        <v>-</v>
      </c>
      <c r="AT260" s="4"/>
      <c r="AU260" s="4" t="str">
        <f t="shared" si="34"/>
        <v>-</v>
      </c>
      <c r="AV260" s="4" t="str">
        <f t="shared" si="35"/>
        <v>-</v>
      </c>
      <c r="AW260" s="4" t="str">
        <f t="shared" si="36"/>
        <v>-</v>
      </c>
      <c r="AX260" s="4" t="str">
        <f t="shared" si="37"/>
        <v>-</v>
      </c>
      <c r="AY260" s="4" t="str">
        <f t="shared" si="38"/>
        <v>-</v>
      </c>
      <c r="AZ260" s="4" t="str">
        <f t="shared" si="39"/>
        <v>-</v>
      </c>
      <c r="BA260" s="4" t="str">
        <f t="shared" si="40"/>
        <v>-</v>
      </c>
      <c r="BB260" s="4" t="str">
        <f t="shared" si="41"/>
        <v>-</v>
      </c>
      <c r="BC260" s="4">
        <v>0</v>
      </c>
      <c r="BD260" s="4" t="s">
        <v>422</v>
      </c>
      <c r="BE260" s="4"/>
      <c r="BF260" s="4"/>
      <c r="BG260" s="4" t="s">
        <v>422</v>
      </c>
      <c r="BH260" s="4" t="s">
        <v>422</v>
      </c>
      <c r="BI260" s="4" t="str">
        <f>IF(BE260="",BH260,BE260/BF260*BH260)</f>
        <v>-</v>
      </c>
      <c r="BJ260" s="19">
        <v>4</v>
      </c>
      <c r="BK260" s="19">
        <v>1</v>
      </c>
      <c r="BL260" s="16">
        <v>4</v>
      </c>
      <c r="BM260" t="s">
        <v>422</v>
      </c>
      <c r="BN260" t="str">
        <f t="shared" si="42"/>
        <v>-</v>
      </c>
      <c r="BO260" t="s">
        <v>422</v>
      </c>
      <c r="BP260" t="str">
        <f t="shared" si="43"/>
        <v>-</v>
      </c>
      <c r="BQ260" t="s">
        <v>422</v>
      </c>
    </row>
    <row r="261" spans="1:69" x14ac:dyDescent="0.4">
      <c r="A261" s="3">
        <v>18</v>
      </c>
      <c r="B261" s="3">
        <v>18</v>
      </c>
      <c r="C261" s="4" t="s">
        <v>68</v>
      </c>
      <c r="D261" s="4" t="str">
        <f>TEXT(C261,"000000")</f>
        <v>J1115X</v>
      </c>
      <c r="E261" s="4" t="s">
        <v>68</v>
      </c>
      <c r="F261" s="4" t="s">
        <v>133</v>
      </c>
      <c r="G261" s="5">
        <v>4996297225614</v>
      </c>
      <c r="H261" s="5"/>
      <c r="I261" s="5"/>
      <c r="J261" s="5">
        <v>1</v>
      </c>
      <c r="K261" s="5">
        <v>1</v>
      </c>
      <c r="L261" s="4">
        <v>0</v>
      </c>
      <c r="M261" s="4">
        <v>1112</v>
      </c>
      <c r="N261" s="4">
        <v>720</v>
      </c>
      <c r="O261" s="6">
        <f>IFERROR(1-N261/M261,"-")</f>
        <v>0.35251798561151082</v>
      </c>
      <c r="P261" s="4" t="s">
        <v>422</v>
      </c>
      <c r="Q261" s="4" t="s">
        <v>422</v>
      </c>
      <c r="R261" s="4" t="s">
        <v>422</v>
      </c>
      <c r="S261" s="4" t="s">
        <v>422</v>
      </c>
      <c r="T261" s="4" t="s">
        <v>422</v>
      </c>
      <c r="U261" s="4" t="s">
        <v>422</v>
      </c>
      <c r="V261" s="4" t="s">
        <v>422</v>
      </c>
      <c r="W261" s="4" t="s">
        <v>422</v>
      </c>
      <c r="X261" s="4" t="s">
        <v>422</v>
      </c>
      <c r="Y261" s="4">
        <v>0</v>
      </c>
      <c r="Z261" s="4">
        <f>IF(AC261="",Y261,Y261*AC261)</f>
        <v>0</v>
      </c>
      <c r="AA261" s="4">
        <v>792</v>
      </c>
      <c r="AB261" s="4">
        <f>IF(AC261="",AA261,AA261*AC261)</f>
        <v>792</v>
      </c>
      <c r="AC261" s="4"/>
      <c r="AD261" s="21">
        <f>ROUND(M261*AR261,0)</f>
        <v>1223</v>
      </c>
      <c r="AE261" s="6">
        <f>IFERROR(1-AB261/AD261,"-")</f>
        <v>0.35241210139002455</v>
      </c>
      <c r="AF261" s="33">
        <v>5.5</v>
      </c>
      <c r="AG261" s="4">
        <f>BI261</f>
        <v>1800</v>
      </c>
      <c r="AH261" s="33">
        <f>IFERROR(AG261*AR261,"-")</f>
        <v>1980.0000000000002</v>
      </c>
      <c r="AI261" s="6">
        <f>IFERROR(1-AB261/AH261,"-")</f>
        <v>0.60000000000000009</v>
      </c>
      <c r="AJ261" s="7">
        <v>1300</v>
      </c>
      <c r="AK261" s="6">
        <f>1-AB261/AJ261</f>
        <v>0.39076923076923076</v>
      </c>
      <c r="AL261" s="4">
        <f>AJ261-AB261</f>
        <v>508</v>
      </c>
      <c r="AM261" s="28"/>
      <c r="AN261" s="6"/>
      <c r="AO261" s="6"/>
      <c r="AP261" s="6" t="str">
        <f>IFERROR(Z261/L261,"-")</f>
        <v>-</v>
      </c>
      <c r="AQ261" s="6">
        <f>IFERROR(AJ261/M261,"-")</f>
        <v>1.1690647482014389</v>
      </c>
      <c r="AR261" s="6">
        <f>IFERROR(AB261/N261,"-")</f>
        <v>1.1000000000000001</v>
      </c>
      <c r="AS261" s="4" t="str">
        <f t="shared" ref="AS261:AS264" si="44">IFERROR(ROUND($AJ261*P261/$M261,0),"-")</f>
        <v>-</v>
      </c>
      <c r="AT261" s="4"/>
      <c r="AU261" s="4" t="str">
        <f t="shared" ref="AU261:AU264" si="45">IF(Q261="","-",Q261)</f>
        <v>-</v>
      </c>
      <c r="AV261" s="4" t="str">
        <f t="shared" ref="AV261:AV264" si="46">IF(R261="","-",R261)</f>
        <v>-</v>
      </c>
      <c r="AW261" s="4" t="str">
        <f t="shared" ref="AW261:AW264" si="47">IFERROR(ROUND($AJ261*S261/$M261,0),"-")</f>
        <v>-</v>
      </c>
      <c r="AX261" s="4" t="str">
        <f t="shared" ref="AX261:AX264" si="48">IF(T261="","-",T261)</f>
        <v>-</v>
      </c>
      <c r="AY261" s="4" t="str">
        <f t="shared" ref="AY261:AY264" si="49">IF(U261="","-",U261)</f>
        <v>-</v>
      </c>
      <c r="AZ261" s="4" t="str">
        <f t="shared" ref="AZ261:AZ264" si="50">IFERROR(ROUND($AJ261*V261/$M261,0),"-")</f>
        <v>-</v>
      </c>
      <c r="BA261" s="4" t="str">
        <f t="shared" ref="BA261:BA264" si="51">IF(W261="","-",W261)</f>
        <v>-</v>
      </c>
      <c r="BB261" s="4" t="str">
        <f t="shared" ref="BB261:BB264" si="52">IF(X261="","-",X261)</f>
        <v>-</v>
      </c>
      <c r="BC261" s="4">
        <v>0</v>
      </c>
      <c r="BD261" s="4" t="s">
        <v>720</v>
      </c>
      <c r="BE261" s="4"/>
      <c r="BF261" s="4"/>
      <c r="BG261" s="4" t="s">
        <v>721</v>
      </c>
      <c r="BH261" s="4">
        <v>1800</v>
      </c>
      <c r="BI261" s="4">
        <f>IF(BE261="",BH261,BE261/BF261*BH261)</f>
        <v>1800</v>
      </c>
      <c r="BJ261" s="19">
        <v>4</v>
      </c>
      <c r="BK261" s="19">
        <v>1</v>
      </c>
      <c r="BL261" s="16">
        <v>6</v>
      </c>
      <c r="BM261" t="s">
        <v>422</v>
      </c>
      <c r="BN261" t="str">
        <f t="shared" ref="BN261:BN264" si="53">IFERROR(BM261*AR261,"-")</f>
        <v>-</v>
      </c>
      <c r="BO261">
        <v>1710</v>
      </c>
      <c r="BP261">
        <f t="shared" ref="BP261:BP264" si="54">IFERROR(BO261*AR261,"-")</f>
        <v>1881.0000000000002</v>
      </c>
      <c r="BQ261" t="s">
        <v>558</v>
      </c>
    </row>
    <row r="262" spans="1:69" x14ac:dyDescent="0.4">
      <c r="A262" s="3">
        <v>19</v>
      </c>
      <c r="B262" s="3">
        <v>19</v>
      </c>
      <c r="C262" s="4" t="s">
        <v>69</v>
      </c>
      <c r="D262" s="4" t="str">
        <f>TEXT(C262,"000000")</f>
        <v>J1116X</v>
      </c>
      <c r="E262" s="4" t="s">
        <v>69</v>
      </c>
      <c r="F262" s="4" t="s">
        <v>134</v>
      </c>
      <c r="G262" s="5">
        <v>4996297225621</v>
      </c>
      <c r="H262" s="5"/>
      <c r="I262" s="5"/>
      <c r="J262" s="5">
        <v>1</v>
      </c>
      <c r="K262" s="5">
        <v>1</v>
      </c>
      <c r="L262" s="4">
        <v>0</v>
      </c>
      <c r="M262" s="4">
        <v>1313</v>
      </c>
      <c r="N262" s="4">
        <v>850</v>
      </c>
      <c r="O262" s="6">
        <f>IFERROR(1-N262/M262,"-")</f>
        <v>0.35262757044935267</v>
      </c>
      <c r="P262" s="4" t="s">
        <v>422</v>
      </c>
      <c r="Q262" s="4" t="s">
        <v>422</v>
      </c>
      <c r="R262" s="4" t="s">
        <v>422</v>
      </c>
      <c r="S262" s="4" t="s">
        <v>422</v>
      </c>
      <c r="T262" s="4" t="s">
        <v>422</v>
      </c>
      <c r="U262" s="4" t="s">
        <v>422</v>
      </c>
      <c r="V262" s="4" t="s">
        <v>422</v>
      </c>
      <c r="W262" s="4" t="s">
        <v>422</v>
      </c>
      <c r="X262" s="4" t="s">
        <v>422</v>
      </c>
      <c r="Y262" s="4">
        <v>0</v>
      </c>
      <c r="Z262" s="4">
        <f>IF(AC262="",Y262,Y262*AC262)</f>
        <v>0</v>
      </c>
      <c r="AA262" s="4">
        <v>935</v>
      </c>
      <c r="AB262" s="4">
        <f>IF(AC262="",AA262,AA262*AC262)</f>
        <v>935</v>
      </c>
      <c r="AC262" s="4"/>
      <c r="AD262" s="21">
        <f>ROUND(M262*AR262,0)</f>
        <v>1444</v>
      </c>
      <c r="AE262" s="6">
        <f>IFERROR(1-AB262/AD262,"-")</f>
        <v>0.35249307479224379</v>
      </c>
      <c r="AF262" s="33">
        <v>9.5</v>
      </c>
      <c r="AG262" s="4">
        <f>BI262</f>
        <v>2100</v>
      </c>
      <c r="AH262" s="33">
        <f>IFERROR(AG262*AR262,"-")</f>
        <v>2310</v>
      </c>
      <c r="AI262" s="6">
        <f>IFERROR(1-AB262/AH262,"-")</f>
        <v>0.59523809523809523</v>
      </c>
      <c r="AJ262" s="7">
        <v>1550</v>
      </c>
      <c r="AK262" s="6">
        <f>1-AB262/AJ262</f>
        <v>0.39677419354838706</v>
      </c>
      <c r="AL262" s="4">
        <f>AJ262-AB262</f>
        <v>615</v>
      </c>
      <c r="AM262" s="28"/>
      <c r="AN262" s="6"/>
      <c r="AO262" s="6"/>
      <c r="AP262" s="6" t="str">
        <f>IFERROR(Z262/L262,"-")</f>
        <v>-</v>
      </c>
      <c r="AQ262" s="6">
        <f>IFERROR(AJ262/M262,"-")</f>
        <v>1.1805026656511806</v>
      </c>
      <c r="AR262" s="6">
        <f>IFERROR(AB262/N262,"-")</f>
        <v>1.1000000000000001</v>
      </c>
      <c r="AS262" s="4" t="str">
        <f t="shared" si="44"/>
        <v>-</v>
      </c>
      <c r="AT262" s="4"/>
      <c r="AU262" s="4" t="str">
        <f t="shared" si="45"/>
        <v>-</v>
      </c>
      <c r="AV262" s="4" t="str">
        <f t="shared" si="46"/>
        <v>-</v>
      </c>
      <c r="AW262" s="4" t="str">
        <f t="shared" si="47"/>
        <v>-</v>
      </c>
      <c r="AX262" s="4" t="str">
        <f t="shared" si="48"/>
        <v>-</v>
      </c>
      <c r="AY262" s="4" t="str">
        <f t="shared" si="49"/>
        <v>-</v>
      </c>
      <c r="AZ262" s="4" t="str">
        <f t="shared" si="50"/>
        <v>-</v>
      </c>
      <c r="BA262" s="4" t="str">
        <f t="shared" si="51"/>
        <v>-</v>
      </c>
      <c r="BB262" s="4" t="str">
        <f t="shared" si="52"/>
        <v>-</v>
      </c>
      <c r="BC262" s="4">
        <v>0</v>
      </c>
      <c r="BD262" s="4" t="s">
        <v>722</v>
      </c>
      <c r="BE262" s="4"/>
      <c r="BF262" s="4"/>
      <c r="BG262" s="4" t="s">
        <v>721</v>
      </c>
      <c r="BH262" s="4">
        <v>2100</v>
      </c>
      <c r="BI262" s="4">
        <f>IF(BE262="",BH262,BE262/BF262*BH262)</f>
        <v>2100</v>
      </c>
      <c r="BJ262" s="19">
        <v>4</v>
      </c>
      <c r="BK262" s="19">
        <v>1</v>
      </c>
      <c r="BL262" s="16">
        <v>6</v>
      </c>
      <c r="BM262" t="s">
        <v>422</v>
      </c>
      <c r="BN262" t="str">
        <f t="shared" si="53"/>
        <v>-</v>
      </c>
      <c r="BO262">
        <v>2024</v>
      </c>
      <c r="BP262">
        <f t="shared" si="54"/>
        <v>2226.4</v>
      </c>
      <c r="BQ262" t="s">
        <v>559</v>
      </c>
    </row>
    <row r="263" spans="1:69" x14ac:dyDescent="0.4">
      <c r="A263" s="3">
        <v>16</v>
      </c>
      <c r="B263" s="3">
        <v>16</v>
      </c>
      <c r="C263" s="4" t="s">
        <v>66</v>
      </c>
      <c r="D263" s="4" t="str">
        <f>TEXT(C263,"000000")</f>
        <v>J1117X</v>
      </c>
      <c r="E263" s="4" t="s">
        <v>66</v>
      </c>
      <c r="F263" s="4" t="s">
        <v>131</v>
      </c>
      <c r="G263" s="5">
        <v>4996297225591</v>
      </c>
      <c r="H263" s="5"/>
      <c r="I263" s="5"/>
      <c r="J263" s="5">
        <v>1</v>
      </c>
      <c r="K263" s="5">
        <v>1</v>
      </c>
      <c r="L263" s="4">
        <v>0</v>
      </c>
      <c r="M263" s="4">
        <v>2178</v>
      </c>
      <c r="N263" s="4">
        <v>1410</v>
      </c>
      <c r="O263" s="6">
        <f>IFERROR(1-N263/M263,"-")</f>
        <v>0.35261707988980717</v>
      </c>
      <c r="P263" s="4" t="s">
        <v>422</v>
      </c>
      <c r="Q263" s="4" t="s">
        <v>422</v>
      </c>
      <c r="R263" s="4" t="s">
        <v>422</v>
      </c>
      <c r="S263" s="4" t="s">
        <v>422</v>
      </c>
      <c r="T263" s="4" t="s">
        <v>422</v>
      </c>
      <c r="U263" s="4" t="s">
        <v>422</v>
      </c>
      <c r="V263" s="4" t="s">
        <v>422</v>
      </c>
      <c r="W263" s="4" t="s">
        <v>422</v>
      </c>
      <c r="X263" s="4" t="s">
        <v>422</v>
      </c>
      <c r="Y263" s="4">
        <v>0</v>
      </c>
      <c r="Z263" s="4">
        <f>IF(AC263="",Y263,Y263*AC263)</f>
        <v>0</v>
      </c>
      <c r="AA263" s="4">
        <v>1551</v>
      </c>
      <c r="AB263" s="4">
        <f>IF(AC263="",AA263,AA263*AC263)</f>
        <v>1551</v>
      </c>
      <c r="AC263" s="4"/>
      <c r="AD263" s="21">
        <f>ROUND(M263*AR263,0)</f>
        <v>2396</v>
      </c>
      <c r="AE263" s="6">
        <f>IFERROR(1-AB263/AD263,"-")</f>
        <v>0.35267111853088484</v>
      </c>
      <c r="AF263" s="33">
        <v>8</v>
      </c>
      <c r="AG263" s="4">
        <f>BI263</f>
        <v>3587</v>
      </c>
      <c r="AH263" s="33">
        <f>IFERROR(AG263*AR263,"-")</f>
        <v>3945.7000000000003</v>
      </c>
      <c r="AI263" s="6">
        <f>IFERROR(1-AB263/AH263,"-")</f>
        <v>0.60691385558962918</v>
      </c>
      <c r="AJ263" s="7">
        <v>2500</v>
      </c>
      <c r="AK263" s="6">
        <f>1-AB263/AJ263</f>
        <v>0.37960000000000005</v>
      </c>
      <c r="AL263" s="4">
        <f>AJ263-AB263</f>
        <v>949</v>
      </c>
      <c r="AM263" s="28"/>
      <c r="AN263" s="6"/>
      <c r="AO263" s="6"/>
      <c r="AP263" s="6" t="str">
        <f>IFERROR(Z263/L263,"-")</f>
        <v>-</v>
      </c>
      <c r="AQ263" s="6">
        <f>IFERROR(AJ263/M263,"-")</f>
        <v>1.1478420569329659</v>
      </c>
      <c r="AR263" s="6">
        <f>IFERROR(AB263/N263,"-")</f>
        <v>1.1000000000000001</v>
      </c>
      <c r="AS263" s="4" t="str">
        <f t="shared" si="44"/>
        <v>-</v>
      </c>
      <c r="AT263" s="4"/>
      <c r="AU263" s="4" t="str">
        <f t="shared" si="45"/>
        <v>-</v>
      </c>
      <c r="AV263" s="4" t="str">
        <f t="shared" si="46"/>
        <v>-</v>
      </c>
      <c r="AW263" s="4" t="str">
        <f t="shared" si="47"/>
        <v>-</v>
      </c>
      <c r="AX263" s="4" t="str">
        <f t="shared" si="48"/>
        <v>-</v>
      </c>
      <c r="AY263" s="4" t="str">
        <f t="shared" si="49"/>
        <v>-</v>
      </c>
      <c r="AZ263" s="4" t="str">
        <f t="shared" si="50"/>
        <v>-</v>
      </c>
      <c r="BA263" s="4" t="str">
        <f t="shared" si="51"/>
        <v>-</v>
      </c>
      <c r="BB263" s="4" t="str">
        <f t="shared" si="52"/>
        <v>-</v>
      </c>
      <c r="BC263" s="4" t="s">
        <v>406</v>
      </c>
      <c r="BD263" s="4" t="s">
        <v>723</v>
      </c>
      <c r="BE263" s="4"/>
      <c r="BF263" s="4"/>
      <c r="BG263" s="4" t="s">
        <v>626</v>
      </c>
      <c r="BH263" s="4">
        <v>3587</v>
      </c>
      <c r="BI263" s="4">
        <f>IF(BE263="",BH263,BE263/BF263*BH263)</f>
        <v>3587</v>
      </c>
      <c r="BJ263" s="19">
        <v>4</v>
      </c>
      <c r="BK263" s="19">
        <v>1</v>
      </c>
      <c r="BL263" s="16">
        <v>6</v>
      </c>
      <c r="BM263" t="s">
        <v>422</v>
      </c>
      <c r="BN263" t="str">
        <f t="shared" si="53"/>
        <v>-</v>
      </c>
      <c r="BO263">
        <v>3354</v>
      </c>
      <c r="BP263">
        <f t="shared" si="54"/>
        <v>3689.4</v>
      </c>
      <c r="BQ263" t="s">
        <v>560</v>
      </c>
    </row>
    <row r="264" spans="1:69" x14ac:dyDescent="0.4">
      <c r="A264" s="3">
        <v>17</v>
      </c>
      <c r="B264" s="3">
        <v>17</v>
      </c>
      <c r="C264" s="4" t="s">
        <v>67</v>
      </c>
      <c r="D264" s="4" t="str">
        <f>TEXT(C264,"000000")</f>
        <v>J1118X</v>
      </c>
      <c r="E264" s="4" t="s">
        <v>67</v>
      </c>
      <c r="F264" s="4" t="s">
        <v>132</v>
      </c>
      <c r="G264" s="5">
        <v>4996297225607</v>
      </c>
      <c r="H264" s="5"/>
      <c r="I264" s="5"/>
      <c r="J264" s="5">
        <v>1</v>
      </c>
      <c r="K264" s="5">
        <v>1</v>
      </c>
      <c r="L264" s="4">
        <v>0</v>
      </c>
      <c r="M264" s="4">
        <v>2542</v>
      </c>
      <c r="N264" s="4">
        <v>1645</v>
      </c>
      <c r="O264" s="6">
        <f>IFERROR(1-N264/M264,"-")</f>
        <v>0.35287175452399688</v>
      </c>
      <c r="P264" s="4" t="s">
        <v>422</v>
      </c>
      <c r="Q264" s="4" t="s">
        <v>422</v>
      </c>
      <c r="R264" s="4" t="s">
        <v>422</v>
      </c>
      <c r="S264" s="4" t="s">
        <v>422</v>
      </c>
      <c r="T264" s="4" t="s">
        <v>422</v>
      </c>
      <c r="U264" s="4" t="s">
        <v>422</v>
      </c>
      <c r="V264" s="4" t="s">
        <v>422</v>
      </c>
      <c r="W264" s="4" t="s">
        <v>422</v>
      </c>
      <c r="X264" s="4" t="s">
        <v>422</v>
      </c>
      <c r="Y264" s="4">
        <v>0</v>
      </c>
      <c r="Z264" s="4">
        <f>IF(AC264="",Y264,Y264*AC264)</f>
        <v>0</v>
      </c>
      <c r="AA264" s="4">
        <v>1810</v>
      </c>
      <c r="AB264" s="4">
        <f>IF(AC264="",AA264,AA264*AC264)</f>
        <v>1810</v>
      </c>
      <c r="AC264" s="4"/>
      <c r="AD264" s="21">
        <f>ROUND(M264*AR264,0)</f>
        <v>2797</v>
      </c>
      <c r="AE264" s="6">
        <f>IFERROR(1-AB264/AD264,"-")</f>
        <v>0.35287808366106543</v>
      </c>
      <c r="AF264" s="33">
        <v>7.5</v>
      </c>
      <c r="AG264" s="4">
        <f>BI264</f>
        <v>4209</v>
      </c>
      <c r="AH264" s="33">
        <f>IFERROR(AG264*AR264,"-")</f>
        <v>4631.1793313069911</v>
      </c>
      <c r="AI264" s="6">
        <f>IFERROR(1-AB264/AH264,"-")</f>
        <v>0.60917082442385362</v>
      </c>
      <c r="AJ264" s="7">
        <v>3000</v>
      </c>
      <c r="AK264" s="6">
        <f>1-AB264/AJ264</f>
        <v>0.39666666666666661</v>
      </c>
      <c r="AL264" s="4">
        <f>AJ264-AB264</f>
        <v>1190</v>
      </c>
      <c r="AM264" s="28"/>
      <c r="AN264" s="6"/>
      <c r="AO264" s="6"/>
      <c r="AP264" s="6" t="str">
        <f>IFERROR(Z264/L264,"-")</f>
        <v>-</v>
      </c>
      <c r="AQ264" s="6">
        <f>IFERROR(AJ264/M264,"-")</f>
        <v>1.1801730920535012</v>
      </c>
      <c r="AR264" s="6">
        <f>IFERROR(AB264/N264,"-")</f>
        <v>1.1003039513677813</v>
      </c>
      <c r="AS264" s="4" t="str">
        <f t="shared" si="44"/>
        <v>-</v>
      </c>
      <c r="AT264" s="4"/>
      <c r="AU264" s="4" t="str">
        <f t="shared" si="45"/>
        <v>-</v>
      </c>
      <c r="AV264" s="4" t="str">
        <f t="shared" si="46"/>
        <v>-</v>
      </c>
      <c r="AW264" s="4" t="str">
        <f t="shared" si="47"/>
        <v>-</v>
      </c>
      <c r="AX264" s="4" t="str">
        <f t="shared" si="48"/>
        <v>-</v>
      </c>
      <c r="AY264" s="4" t="str">
        <f t="shared" si="49"/>
        <v>-</v>
      </c>
      <c r="AZ264" s="4" t="str">
        <f t="shared" si="50"/>
        <v>-</v>
      </c>
      <c r="BA264" s="4" t="str">
        <f t="shared" si="51"/>
        <v>-</v>
      </c>
      <c r="BB264" s="4" t="str">
        <f t="shared" si="52"/>
        <v>-</v>
      </c>
      <c r="BC264" s="4" t="s">
        <v>406</v>
      </c>
      <c r="BD264" s="4" t="s">
        <v>724</v>
      </c>
      <c r="BE264" s="4"/>
      <c r="BF264" s="4"/>
      <c r="BG264" s="4" t="s">
        <v>626</v>
      </c>
      <c r="BH264" s="4">
        <v>4209</v>
      </c>
      <c r="BI264" s="4">
        <f>IF(BE264="",BH264,BE264/BF264*BH264)</f>
        <v>4209</v>
      </c>
      <c r="BJ264" s="19">
        <v>4</v>
      </c>
      <c r="BK264" s="19">
        <v>1</v>
      </c>
      <c r="BL264" s="16">
        <v>6</v>
      </c>
      <c r="BM264" t="s">
        <v>422</v>
      </c>
      <c r="BN264" t="str">
        <f t="shared" si="53"/>
        <v>-</v>
      </c>
      <c r="BO264">
        <v>3924</v>
      </c>
      <c r="BP264">
        <f t="shared" si="54"/>
        <v>4317.5927051671733</v>
      </c>
      <c r="BQ264" t="s">
        <v>561</v>
      </c>
    </row>
  </sheetData>
  <autoFilter ref="A3:BQ264" xr:uid="{7A1660CF-9003-4B2D-B659-7F339ED5B476}">
    <sortState xmlns:xlrd2="http://schemas.microsoft.com/office/spreadsheetml/2017/richdata2" ref="A4:BQ264">
      <sortCondition ref="BL4:BL264"/>
      <sortCondition ref="AA4:AA264"/>
      <sortCondition ref="C4:C264"/>
    </sortState>
  </autoFilter>
  <mergeCells count="3">
    <mergeCell ref="L2:O2"/>
    <mergeCell ref="J2:K2"/>
    <mergeCell ref="Y1:AB1"/>
  </mergeCells>
  <phoneticPr fontId="2"/>
  <conditionalFormatting sqref="AJ4:AJ264">
    <cfRule type="cellIs" dxfId="2" priority="4" operator="greaterThan">
      <formula>$Z4</formula>
    </cfRule>
  </conditionalFormatting>
  <conditionalFormatting sqref="AH4:AH264">
    <cfRule type="cellIs" dxfId="1" priority="2" operator="lessThan">
      <formula>$AJ4</formula>
    </cfRule>
  </conditionalFormatting>
  <conditionalFormatting sqref="AK4:AK264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2026-06-11T08:35:34Z</dcterms:modified>
</cp:coreProperties>
</file>