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ｻ_サカエテクニカルペーパー\価格改定\20260709_8月末\"/>
    </mc:Choice>
  </mc:AlternateContent>
  <xr:revisionPtr revIDLastSave="0" documentId="13_ncr:1_{E56E70B5-B666-4940-AF33-5A1991273304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R4" i="1" l="1"/>
  <c r="AV4" i="1"/>
  <c r="AU4" i="1"/>
  <c r="P4" i="1" l="1"/>
  <c r="AT4" i="1"/>
  <c r="BI4" i="1" l="1"/>
  <c r="AH4" i="1" s="1"/>
  <c r="D4" i="1"/>
  <c r="F4" i="1" s="1"/>
  <c r="AC4" i="1"/>
  <c r="AA4" i="1"/>
  <c r="AQ4" i="1" s="1"/>
  <c r="AS4" i="1" l="1"/>
  <c r="AE4" i="1" s="1"/>
  <c r="AF4" i="1" s="1"/>
  <c r="AL4" i="1"/>
  <c r="AO4" i="1"/>
  <c r="AP4" i="1"/>
  <c r="AM4" i="1"/>
  <c r="AI4" i="1" l="1"/>
  <c r="AJ4" i="1" s="1"/>
  <c r="BN4" i="1"/>
  <c r="BP4" i="1"/>
</calcChain>
</file>

<file path=xl/sharedStrings.xml><?xml version="1.0" encoding="utf-8"?>
<sst xmlns="http://schemas.openxmlformats.org/spreadsheetml/2006/main" count="89" uniqueCount="72">
  <si>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</si>
  <si>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</si>
  <si>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</si>
  <si>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</si>
  <si>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</si>
  <si>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</si>
  <si>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</si>
  <si>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</si>
  <si>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</si>
  <si>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</si>
  <si>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</si>
  <si>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</si>
  <si>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</si>
  <si>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</si>
  <si>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</si>
  <si>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</si>
  <si>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</si>
  <si>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</si>
  <si>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</si>
  <si>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</si>
  <si>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</si>
  <si>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</si>
  <si>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</si>
  <si>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</si>
  <si>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</si>
  <si>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</si>
  <si>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</si>
  <si>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</si>
  <si>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</si>
  <si>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</si>
  <si>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</si>
  <si>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</si>
  <si>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</si>
  <si>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</si>
  <si>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</si>
  <si>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</si>
  <si>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</si>
  <si>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</si>
  <si>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</si>
  <si>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</si>
  <si>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</si>
  <si>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</si>
  <si>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</si>
  <si>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</si>
  <si>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</si>
  <si>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</si>
  <si>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</si>
  <si>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</si>
  <si>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</si>
  <si>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</si>
  <si>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</si>
  <si>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</si>
  <si>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</si>
  <si>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</si>
  <si>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</si>
  <si>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</si>
  <si>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</si>
  <si>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</si>
  <si>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</si>
  <si>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</si>
  <si>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</si>
  <si>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</si>
  <si>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</si>
  <si>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</si>
  <si>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</si>
  <si>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品目+
FW荷姿</t>
    <rPh sb="0" eb="2">
      <t>ヒンモク</t>
    </rPh>
    <rPh sb="6" eb="8">
      <t>ニスガタ</t>
    </rPh>
    <phoneticPr fontId="2"/>
  </si>
  <si>
    <t>J097RA</t>
  </si>
  <si>
    <t>SAKAETP/iroful ﾉｰﾄ A5 ﾎﾜｲﾄ 160頁 5mmﾄﾞｯﾄ/PI-A5DBW</t>
  </si>
  <si>
    <t>-</t>
    <phoneticPr fontId="2"/>
  </si>
  <si>
    <t>7月売価</t>
    <rPh sb="1" eb="2">
      <t>ガツ</t>
    </rPh>
    <rPh sb="2" eb="4">
      <t>バイカ</t>
    </rPh>
    <phoneticPr fontId="2"/>
  </si>
  <si>
    <t>7月
たの</t>
    <rPh sb="1" eb="2">
      <t>ガツ</t>
    </rPh>
    <phoneticPr fontId="2"/>
  </si>
  <si>
    <t>7月
カウ</t>
    <rPh sb="1" eb="2">
      <t>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</si>
</sst>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3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7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8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Q4"/>
  <sheetViews>
    <sheetView tabSelected="1" zoomScale="90" zoomScaleNormal="90" workbookViewId="0">
      <pane xSplit="8" ySplit="4" topLeftCell="M5" activePane="bottomRight" state="frozen"/>
      <selection pane="topRight" activeCell="G1" sqref="G1"/>
      <selection pane="bottomLeft" activeCell="A5" sqref="A5"/>
      <selection pane="bottomRight" activeCell="G1" sqref="G1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5" width="7.625" hidden="1" customWidth="1" outlineLevel="1"/>
    <col min="26" max="26" width="7.5" customWidth="1" collapsed="1"/>
    <col min="27" max="29" width="7.625" customWidth="1"/>
    <col min="30" max="30" width="4.375" customWidth="1" collapsed="1"/>
    <col min="31" max="32" width="7.625" customWidth="1"/>
    <col min="33" max="33" width="6.125" style="29" customWidth="1"/>
    <col min="34" max="34" width="7.625" customWidth="1"/>
    <col min="35" max="35" width="7.625" style="29" customWidth="1"/>
    <col min="36" max="39" width="7.625" customWidth="1"/>
    <col min="40" max="42" width="7.625" hidden="1" customWidth="1" outlineLevel="1"/>
    <col min="43" max="43" width="7.625" customWidth="1" collapsed="1"/>
    <col min="44" max="45" width="7.625" customWidth="1"/>
    <col min="46" max="54" width="7.625" hidden="1" customWidth="1" outlineLevel="1"/>
    <col min="55" max="55" width="7.625" customWidth="1" collapsed="1"/>
    <col min="56" max="68" width="7.625" customWidth="1"/>
  </cols>
  <sheetData>
    <row r="1" spans="1:69" x14ac:dyDescent="0.4">
      <c r="C1" s="28" t="s">
        <v>43</v>
      </c>
      <c r="Z1" s="43" t="s">
        <v>40</v>
      </c>
      <c r="AA1" s="44"/>
      <c r="AB1" s="44"/>
      <c r="AC1" s="45"/>
    </row>
    <row r="2" spans="1:69" x14ac:dyDescent="0.4">
      <c r="C2" s="8" t="s">
        <v>28</v>
      </c>
      <c r="D2" s="9" t="s">
        <v>29</v>
      </c>
      <c r="E2" s="9" t="s">
        <v>30</v>
      </c>
      <c r="F2" s="9"/>
      <c r="G2" s="10"/>
      <c r="H2" s="10"/>
      <c r="I2" s="35"/>
      <c r="J2" s="35"/>
      <c r="K2" s="40" t="s">
        <v>31</v>
      </c>
      <c r="L2" s="42"/>
      <c r="M2" s="40" t="s">
        <v>1</v>
      </c>
      <c r="N2" s="41"/>
      <c r="O2" s="41"/>
      <c r="P2" s="42"/>
      <c r="Q2" s="11"/>
      <c r="R2" s="34"/>
      <c r="S2" s="34"/>
      <c r="T2" s="34"/>
      <c r="U2" s="34"/>
      <c r="V2" s="34"/>
      <c r="W2" s="34"/>
      <c r="X2" s="34"/>
      <c r="Y2" s="34"/>
      <c r="Z2" s="22"/>
      <c r="AA2" s="23" t="s">
        <v>34</v>
      </c>
      <c r="AB2" s="23"/>
      <c r="AC2" s="24" t="s">
        <v>34</v>
      </c>
      <c r="AD2" s="10"/>
      <c r="AE2" s="9" t="s">
        <v>39</v>
      </c>
      <c r="AF2" s="11"/>
      <c r="AG2" s="30"/>
      <c r="AH2" s="11"/>
      <c r="AI2" s="30"/>
      <c r="AJ2" s="11"/>
      <c r="AK2" s="21" t="s">
        <v>41</v>
      </c>
      <c r="AL2" s="11"/>
      <c r="AM2" s="11"/>
      <c r="AN2" s="26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>
        <v>51</v>
      </c>
      <c r="BJ2">
        <v>14</v>
      </c>
      <c r="BK2">
        <v>28</v>
      </c>
    </row>
    <row r="3" spans="1:69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39" t="s">
        <v>65</v>
      </c>
      <c r="G3" s="2" t="s">
        <v>0</v>
      </c>
      <c r="H3" s="12" t="s">
        <v>4</v>
      </c>
      <c r="I3" s="12" t="s">
        <v>53</v>
      </c>
      <c r="J3" s="12" t="s">
        <v>54</v>
      </c>
      <c r="K3" s="12" t="s">
        <v>25</v>
      </c>
      <c r="L3" s="12" t="s">
        <v>26</v>
      </c>
      <c r="M3" s="12" t="s">
        <v>63</v>
      </c>
      <c r="N3" s="2" t="s">
        <v>5</v>
      </c>
      <c r="O3" s="2" t="s">
        <v>61</v>
      </c>
      <c r="P3" s="2" t="s">
        <v>13</v>
      </c>
      <c r="Q3" s="12" t="s">
        <v>47</v>
      </c>
      <c r="R3" s="12" t="s">
        <v>17</v>
      </c>
      <c r="S3" s="12" t="s">
        <v>18</v>
      </c>
      <c r="T3" s="12" t="s">
        <v>48</v>
      </c>
      <c r="U3" s="12" t="s">
        <v>20</v>
      </c>
      <c r="V3" s="12" t="s">
        <v>21</v>
      </c>
      <c r="W3" s="12" t="s">
        <v>49</v>
      </c>
      <c r="X3" s="12" t="s">
        <v>23</v>
      </c>
      <c r="Y3" s="12" t="s">
        <v>24</v>
      </c>
      <c r="Z3" s="12" t="s">
        <v>59</v>
      </c>
      <c r="AA3" s="12" t="s">
        <v>60</v>
      </c>
      <c r="AB3" s="2" t="s">
        <v>61</v>
      </c>
      <c r="AC3" s="12" t="s">
        <v>62</v>
      </c>
      <c r="AD3" s="14" t="s">
        <v>3</v>
      </c>
      <c r="AE3" s="19" t="s">
        <v>14</v>
      </c>
      <c r="AF3" s="2" t="s">
        <v>13</v>
      </c>
      <c r="AG3" s="31" t="s">
        <v>44</v>
      </c>
      <c r="AH3" s="12" t="s">
        <v>64</v>
      </c>
      <c r="AI3" s="36" t="s">
        <v>55</v>
      </c>
      <c r="AJ3" s="2" t="s">
        <v>13</v>
      </c>
      <c r="AK3" s="13" t="s">
        <v>32</v>
      </c>
      <c r="AL3" s="2" t="s">
        <v>13</v>
      </c>
      <c r="AM3" s="2" t="s">
        <v>33</v>
      </c>
      <c r="AN3" s="25" t="s">
        <v>35</v>
      </c>
      <c r="AO3" s="12" t="s">
        <v>36</v>
      </c>
      <c r="AP3" s="12" t="s">
        <v>37</v>
      </c>
      <c r="AQ3" s="12" t="s">
        <v>27</v>
      </c>
      <c r="AR3" s="12" t="s">
        <v>38</v>
      </c>
      <c r="AS3" s="12" t="s">
        <v>15</v>
      </c>
      <c r="AT3" s="12" t="s">
        <v>16</v>
      </c>
      <c r="AU3" s="12" t="s">
        <v>17</v>
      </c>
      <c r="AV3" s="12" t="s">
        <v>18</v>
      </c>
      <c r="AW3" s="12" t="s">
        <v>19</v>
      </c>
      <c r="AX3" s="12" t="s">
        <v>20</v>
      </c>
      <c r="AY3" s="12" t="s">
        <v>21</v>
      </c>
      <c r="AZ3" s="12" t="s">
        <v>22</v>
      </c>
      <c r="BA3" s="12" t="s">
        <v>23</v>
      </c>
      <c r="BB3" s="12" t="s">
        <v>24</v>
      </c>
      <c r="BC3" s="2" t="s">
        <v>8</v>
      </c>
      <c r="BD3" s="2" t="s">
        <v>9</v>
      </c>
      <c r="BE3" s="2" t="s">
        <v>10</v>
      </c>
      <c r="BF3" s="2" t="s">
        <v>11</v>
      </c>
      <c r="BG3" s="12" t="s">
        <v>42</v>
      </c>
      <c r="BH3" s="2" t="s">
        <v>69</v>
      </c>
      <c r="BI3" s="2" t="s">
        <v>12</v>
      </c>
      <c r="BJ3" s="17" t="s">
        <v>45</v>
      </c>
      <c r="BK3" s="17" t="s">
        <v>46</v>
      </c>
      <c r="BL3" s="15" t="s">
        <v>52</v>
      </c>
      <c r="BM3" s="37" t="s">
        <v>70</v>
      </c>
      <c r="BN3" s="38" t="s">
        <v>57</v>
      </c>
      <c r="BO3" s="38" t="s">
        <v>71</v>
      </c>
      <c r="BP3" s="38" t="s">
        <v>58</v>
      </c>
      <c r="BQ3" s="33" t="s">
        <v>50</v>
      </c>
    </row>
    <row r="4" spans="1:69" x14ac:dyDescent="0.4">
      <c r="A4" s="3">
        <v>1</v>
      </c>
      <c r="B4" s="3">
        <v>1</v>
      </c>
      <c r="C4" s="4" t="s">
        <v>66</v>
      </c>
      <c r="D4" s="4" t="str">
        <f>TEXT(C4,"000000")</f>
        <v>J097RA</v>
      </c>
      <c r="E4" s="4" t="s">
        <v>66</v>
      </c>
      <c r="F4" s="4" t="str">
        <f>D4&amp;I4</f>
        <v>J097RA5</v>
      </c>
      <c r="G4" s="4" t="s">
        <v>67</v>
      </c>
      <c r="H4" s="5">
        <v>4909171813517</v>
      </c>
      <c r="I4" s="32">
        <v>5</v>
      </c>
      <c r="J4" s="5"/>
      <c r="K4" s="5">
        <v>1</v>
      </c>
      <c r="L4" s="5">
        <v>1</v>
      </c>
      <c r="M4" s="4">
        <v>1150</v>
      </c>
      <c r="N4" s="4">
        <v>874</v>
      </c>
      <c r="O4" s="4">
        <v>586.5</v>
      </c>
      <c r="P4" s="6">
        <f>IFERROR(1-O4/N4,"-")</f>
        <v>0.32894736842105265</v>
      </c>
      <c r="Q4" s="4" t="s">
        <v>68</v>
      </c>
      <c r="R4" s="4"/>
      <c r="S4" s="4"/>
      <c r="T4" s="4"/>
      <c r="U4" s="4"/>
      <c r="V4" s="4"/>
      <c r="W4" s="4"/>
      <c r="X4" s="4"/>
      <c r="Y4" s="4"/>
      <c r="Z4" s="4">
        <v>1350</v>
      </c>
      <c r="AA4" s="4">
        <f>IF(AD4="",Z4,Z4*AD4)</f>
        <v>1350</v>
      </c>
      <c r="AB4" s="4">
        <v>688.5</v>
      </c>
      <c r="AC4" s="4">
        <f>IF(AD4="",AB4,AB4*AD4)</f>
        <v>688.5</v>
      </c>
      <c r="AD4" s="4"/>
      <c r="AE4" s="20">
        <f t="shared" ref="AE4" si="0">ROUND(N4*AS4,0)</f>
        <v>1026</v>
      </c>
      <c r="AF4" s="6">
        <f>IFERROR(1-AC4/AE4,"-")</f>
        <v>0.32894736842105265</v>
      </c>
      <c r="AG4" s="32">
        <v>0.25</v>
      </c>
      <c r="AH4" s="4" t="str">
        <f>BI4</f>
        <v>-</v>
      </c>
      <c r="AI4" s="32" t="str">
        <f>IFERROR(AH4*AS4,"-")</f>
        <v>-</v>
      </c>
      <c r="AJ4" s="6" t="str">
        <f>IFERROR(1-AC4/AI4,"-")</f>
        <v>-</v>
      </c>
      <c r="AK4" s="7">
        <v>1050</v>
      </c>
      <c r="AL4" s="6">
        <f t="shared" ref="AL4" si="1">1-AC4/AK4</f>
        <v>0.34428571428571431</v>
      </c>
      <c r="AM4" s="4">
        <f t="shared" ref="AM4" si="2">AK4-AC4</f>
        <v>361.5</v>
      </c>
      <c r="AN4" s="27"/>
      <c r="AO4" s="6" t="e">
        <f>1-AC4/AN4</f>
        <v>#DIV/0!</v>
      </c>
      <c r="AP4" s="4">
        <f>AN4-AC4</f>
        <v>-688.5</v>
      </c>
      <c r="AQ4" s="6">
        <f>IFERROR(AA4/M4,"-")</f>
        <v>1.173913043478261</v>
      </c>
      <c r="AR4" s="6">
        <f>IFERROR(AK4/N4,"-")</f>
        <v>1.2013729977116705</v>
      </c>
      <c r="AS4" s="6">
        <f>IFERROR(AC4/O4,"-")</f>
        <v>1.173913043478261</v>
      </c>
      <c r="AT4" s="4" t="str">
        <f>IFERROR(ROUND($AK4*Q4/$N4,0),"-")</f>
        <v>-</v>
      </c>
      <c r="AU4" s="4" t="str">
        <f>IF(R4="","-",R4)</f>
        <v>-</v>
      </c>
      <c r="AV4" s="4" t="str">
        <f>IF(S4="","-",S4)</f>
        <v>-</v>
      </c>
      <c r="AW4" s="4"/>
      <c r="AX4" s="4"/>
      <c r="AY4" s="4"/>
      <c r="AZ4" s="4"/>
      <c r="BA4" s="4"/>
      <c r="BB4" s="4"/>
      <c r="BC4" s="4">
        <v>0</v>
      </c>
      <c r="BD4" s="4" t="s">
        <v>68</v>
      </c>
      <c r="BE4" s="4"/>
      <c r="BF4" s="4"/>
      <c r="BG4" s="4" t="s">
        <v>68</v>
      </c>
      <c r="BH4" s="4" t="s">
        <v>68</v>
      </c>
      <c r="BI4" s="4" t="str">
        <f t="shared" ref="BI4" si="3">IF(BE4="",BH4,BE4/BF4*BH4)</f>
        <v>-</v>
      </c>
      <c r="BJ4" s="18">
        <v>4</v>
      </c>
      <c r="BK4" s="18">
        <v>8</v>
      </c>
      <c r="BL4" s="16">
        <v>4</v>
      </c>
      <c r="BM4" t="s">
        <v>68</v>
      </c>
      <c r="BN4" t="str">
        <f>IFERROR(BM4*AS4,"-")</f>
        <v>-</v>
      </c>
      <c r="BO4" t="s">
        <v>68</v>
      </c>
      <c r="BP4" t="str">
        <f>IFERROR(BO4*AS4,"-")</f>
        <v>-</v>
      </c>
    </row>
  </sheetData>
  <autoFilter ref="A3:BQ3" xr:uid="{7A1660CF-9003-4B2D-B659-7F339ED5B476}"/>
  <mergeCells count="3">
    <mergeCell ref="M2:P2"/>
    <mergeCell ref="K2:L2"/>
    <mergeCell ref="Z1:AC1"/>
  </mergeCells>
  <phoneticPr fontId="2"/>
  <conditionalFormatting sqref="AK4">
    <cfRule type="cellIs" dxfId="2" priority="4" operator="greaterThan">
      <formula>$AA4</formula>
    </cfRule>
  </conditionalFormatting>
  <conditionalFormatting sqref="AI4">
    <cfRule type="cellIs" dxfId="1" priority="2" operator="lessThan">
      <formula>$AK4</formula>
    </cfRule>
  </conditionalFormatting>
  <conditionalFormatting sqref="AL4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2026-07-09T00:12:52Z</dcterms:modified>
</cp:coreProperties>
</file>