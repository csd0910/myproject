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商品部\個人フォルダ\須永\価格改定\2026年9月1日改定\"/>
    </mc:Choice>
  </mc:AlternateContent>
  <xr:revisionPtr revIDLastSave="0" documentId="13_ncr:1_{D4500498-502F-4838-AEA8-4E59A5EECEFC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9" i="1" l="1"/>
  <c r="BM9" i="1"/>
  <c r="BH9" i="1"/>
  <c r="AG9" i="1" s="1"/>
  <c r="BH13" i="1"/>
  <c r="AG13" i="1" s="1"/>
  <c r="BH14" i="1"/>
  <c r="AG14" i="1" s="1"/>
  <c r="O11" i="1"/>
  <c r="AQ12" i="1"/>
  <c r="O12" i="1"/>
  <c r="O13" i="1"/>
  <c r="O14" i="1"/>
  <c r="AQ15" i="1"/>
  <c r="AQ14" i="1"/>
  <c r="AB14" i="1"/>
  <c r="AL14" i="1" s="1"/>
  <c r="Z14" i="1"/>
  <c r="D14" i="1"/>
  <c r="AB13" i="1"/>
  <c r="AL13" i="1" s="1"/>
  <c r="Z13" i="1"/>
  <c r="D13" i="1"/>
  <c r="BH12" i="1"/>
  <c r="AG12" i="1" s="1"/>
  <c r="AB12" i="1"/>
  <c r="AL12" i="1" s="1"/>
  <c r="Z12" i="1"/>
  <c r="AP12" i="1" s="1"/>
  <c r="D12" i="1"/>
  <c r="BH11" i="1"/>
  <c r="AG11" i="1" s="1"/>
  <c r="AQ11" i="1"/>
  <c r="AB11" i="1"/>
  <c r="AK11" i="1" s="1"/>
  <c r="Z11" i="1"/>
  <c r="AP11" i="1" s="1"/>
  <c r="D11" i="1"/>
  <c r="BH10" i="1"/>
  <c r="AG10" i="1" s="1"/>
  <c r="AQ10" i="1"/>
  <c r="AB10" i="1"/>
  <c r="AR10" i="1" s="1"/>
  <c r="AD10" i="1" s="1"/>
  <c r="AE10" i="1" s="1"/>
  <c r="Z10" i="1"/>
  <c r="AP10" i="1" s="1"/>
  <c r="O10" i="1"/>
  <c r="D10" i="1"/>
  <c r="BH24" i="1"/>
  <c r="AG24" i="1" s="1"/>
  <c r="AQ24" i="1"/>
  <c r="AB24" i="1"/>
  <c r="AR24" i="1" s="1"/>
  <c r="AD24" i="1" s="1"/>
  <c r="AE24" i="1" s="1"/>
  <c r="Z24" i="1"/>
  <c r="AP24" i="1" s="1"/>
  <c r="O24" i="1"/>
  <c r="D24" i="1"/>
  <c r="O16" i="1"/>
  <c r="O17" i="1"/>
  <c r="O18" i="1"/>
  <c r="O19" i="1"/>
  <c r="O20" i="1"/>
  <c r="O21" i="1"/>
  <c r="O22" i="1"/>
  <c r="O6" i="1"/>
  <c r="O7" i="1"/>
  <c r="O4" i="1"/>
  <c r="O5" i="1"/>
  <c r="O25" i="1"/>
  <c r="O26" i="1"/>
  <c r="O27" i="1"/>
  <c r="O8" i="1"/>
  <c r="O9" i="1"/>
  <c r="O28" i="1"/>
  <c r="O23" i="1"/>
  <c r="AQ16" i="1"/>
  <c r="AQ17" i="1"/>
  <c r="AQ18" i="1"/>
  <c r="AQ19" i="1"/>
  <c r="AQ20" i="1"/>
  <c r="AQ21" i="1"/>
  <c r="AQ22" i="1"/>
  <c r="AQ6" i="1"/>
  <c r="AQ7" i="1"/>
  <c r="AQ4" i="1"/>
  <c r="AQ5" i="1"/>
  <c r="AQ25" i="1"/>
  <c r="AQ26" i="1"/>
  <c r="AQ27" i="1"/>
  <c r="AQ8" i="1"/>
  <c r="AQ9" i="1"/>
  <c r="AQ28" i="1"/>
  <c r="AQ23" i="1"/>
  <c r="BH23" i="1"/>
  <c r="AG23" i="1" s="1"/>
  <c r="AB23" i="1"/>
  <c r="Z23" i="1"/>
  <c r="AP23" i="1" s="1"/>
  <c r="D23" i="1"/>
  <c r="BH28" i="1"/>
  <c r="AG28" i="1" s="1"/>
  <c r="AB28" i="1"/>
  <c r="AL28" i="1" s="1"/>
  <c r="Z28" i="1"/>
  <c r="AP28" i="1" s="1"/>
  <c r="D28" i="1"/>
  <c r="AB9" i="1"/>
  <c r="AR9" i="1" s="1"/>
  <c r="Z9" i="1"/>
  <c r="AP9" i="1" s="1"/>
  <c r="D9" i="1"/>
  <c r="BH8" i="1"/>
  <c r="AG8" i="1" s="1"/>
  <c r="AB8" i="1"/>
  <c r="AL8" i="1" s="1"/>
  <c r="Z8" i="1"/>
  <c r="AP8" i="1" s="1"/>
  <c r="D8" i="1"/>
  <c r="BH27" i="1"/>
  <c r="AG27" i="1" s="1"/>
  <c r="AB27" i="1"/>
  <c r="AK27" i="1" s="1"/>
  <c r="Z27" i="1"/>
  <c r="AP27" i="1" s="1"/>
  <c r="D27" i="1"/>
  <c r="BH26" i="1"/>
  <c r="AG26" i="1" s="1"/>
  <c r="AB26" i="1"/>
  <c r="AK26" i="1" s="1"/>
  <c r="Z26" i="1"/>
  <c r="AP26" i="1" s="1"/>
  <c r="D26" i="1"/>
  <c r="BH25" i="1"/>
  <c r="AG25" i="1" s="1"/>
  <c r="AB25" i="1"/>
  <c r="AL25" i="1" s="1"/>
  <c r="Z25" i="1"/>
  <c r="AP25" i="1" s="1"/>
  <c r="D25" i="1"/>
  <c r="BH5" i="1"/>
  <c r="AG5" i="1" s="1"/>
  <c r="AB5" i="1"/>
  <c r="AL5" i="1" s="1"/>
  <c r="Z5" i="1"/>
  <c r="AP5" i="1" s="1"/>
  <c r="D5" i="1"/>
  <c r="BH4" i="1"/>
  <c r="AG4" i="1" s="1"/>
  <c r="AB4" i="1"/>
  <c r="Z4" i="1"/>
  <c r="AP4" i="1" s="1"/>
  <c r="D4" i="1"/>
  <c r="AU15" i="1"/>
  <c r="AT15" i="1"/>
  <c r="BM10" i="1" l="1"/>
  <c r="BO10" i="1"/>
  <c r="BM24" i="1"/>
  <c r="BO24" i="1"/>
  <c r="AK12" i="1"/>
  <c r="AL11" i="1"/>
  <c r="AH9" i="1"/>
  <c r="AI9" i="1" s="1"/>
  <c r="AL10" i="1"/>
  <c r="AK24" i="1"/>
  <c r="AR13" i="1"/>
  <c r="AK13" i="1"/>
  <c r="AL24" i="1"/>
  <c r="AK10" i="1"/>
  <c r="AK14" i="1"/>
  <c r="AR28" i="1"/>
  <c r="AH24" i="1"/>
  <c r="AI24" i="1" s="1"/>
  <c r="AQ13" i="1"/>
  <c r="AH10" i="1"/>
  <c r="AI10" i="1" s="1"/>
  <c r="AR11" i="1"/>
  <c r="AR12" i="1"/>
  <c r="AD13" i="1"/>
  <c r="AE13" i="1" s="1"/>
  <c r="AR14" i="1"/>
  <c r="AP13" i="1"/>
  <c r="AP14" i="1"/>
  <c r="O15" i="1"/>
  <c r="AS15" i="1"/>
  <c r="AR26" i="1"/>
  <c r="AR23" i="1"/>
  <c r="AR4" i="1"/>
  <c r="AR8" i="1"/>
  <c r="AR25" i="1"/>
  <c r="AR27" i="1"/>
  <c r="AR5" i="1"/>
  <c r="AK28" i="1"/>
  <c r="AK4" i="1"/>
  <c r="AK5" i="1"/>
  <c r="AL4" i="1"/>
  <c r="AK23" i="1"/>
  <c r="AL23" i="1"/>
  <c r="AL27" i="1"/>
  <c r="AK25" i="1"/>
  <c r="AL26" i="1"/>
  <c r="AD9" i="1"/>
  <c r="AE9" i="1" s="1"/>
  <c r="AK9" i="1"/>
  <c r="AD26" i="1"/>
  <c r="AE26" i="1" s="1"/>
  <c r="AK8" i="1"/>
  <c r="AL9" i="1"/>
  <c r="AH25" i="1" l="1"/>
  <c r="AI25" i="1" s="1"/>
  <c r="BO25" i="1"/>
  <c r="BM25" i="1"/>
  <c r="AH28" i="1"/>
  <c r="AI28" i="1" s="1"/>
  <c r="BO28" i="1"/>
  <c r="BM28" i="1"/>
  <c r="AH8" i="1"/>
  <c r="AI8" i="1" s="1"/>
  <c r="BO8" i="1"/>
  <c r="BM8" i="1"/>
  <c r="AD14" i="1"/>
  <c r="AE14" i="1" s="1"/>
  <c r="BO14" i="1"/>
  <c r="BM14" i="1"/>
  <c r="AD4" i="1"/>
  <c r="AE4" i="1" s="1"/>
  <c r="BO4" i="1"/>
  <c r="BM4" i="1"/>
  <c r="AD27" i="1"/>
  <c r="AE27" i="1" s="1"/>
  <c r="BO27" i="1"/>
  <c r="BM27" i="1"/>
  <c r="AH23" i="1"/>
  <c r="AI23" i="1" s="1"/>
  <c r="BO23" i="1"/>
  <c r="BM23" i="1"/>
  <c r="AD12" i="1"/>
  <c r="AE12" i="1" s="1"/>
  <c r="BO12" i="1"/>
  <c r="BM12" i="1"/>
  <c r="AH5" i="1"/>
  <c r="AI5" i="1" s="1"/>
  <c r="BO5" i="1"/>
  <c r="BM5" i="1"/>
  <c r="AH26" i="1"/>
  <c r="AI26" i="1" s="1"/>
  <c r="BO26" i="1"/>
  <c r="BM26" i="1"/>
  <c r="AD11" i="1"/>
  <c r="AE11" i="1" s="1"/>
  <c r="BO11" i="1"/>
  <c r="BM11" i="1"/>
  <c r="AH13" i="1"/>
  <c r="AI13" i="1" s="1"/>
  <c r="BO13" i="1"/>
  <c r="BM13" i="1"/>
  <c r="AH11" i="1"/>
  <c r="AI11" i="1" s="1"/>
  <c r="AD28" i="1"/>
  <c r="AE28" i="1" s="1"/>
  <c r="AH27" i="1"/>
  <c r="AI27" i="1" s="1"/>
  <c r="AH14" i="1"/>
  <c r="AI14" i="1" s="1"/>
  <c r="AH12" i="1"/>
  <c r="AI12" i="1" s="1"/>
  <c r="AD5" i="1"/>
  <c r="AE5" i="1" s="1"/>
  <c r="AH4" i="1"/>
  <c r="AI4" i="1" s="1"/>
  <c r="AD23" i="1"/>
  <c r="AE23" i="1" s="1"/>
  <c r="AD8" i="1"/>
  <c r="AE8" i="1" s="1"/>
  <c r="AD25" i="1"/>
  <c r="AE25" i="1" s="1"/>
  <c r="BH16" i="1"/>
  <c r="AG16" i="1" s="1"/>
  <c r="BH17" i="1"/>
  <c r="AG17" i="1" s="1"/>
  <c r="BH18" i="1"/>
  <c r="AG18" i="1" s="1"/>
  <c r="BH20" i="1"/>
  <c r="AG20" i="1" s="1"/>
  <c r="BH21" i="1"/>
  <c r="AG21" i="1" s="1"/>
  <c r="BH22" i="1"/>
  <c r="AG22" i="1" s="1"/>
  <c r="BH6" i="1"/>
  <c r="AG6" i="1" s="1"/>
  <c r="BH7" i="1"/>
  <c r="AG7" i="1" s="1"/>
  <c r="BH15" i="1"/>
  <c r="AG15" i="1" s="1"/>
  <c r="AB16" i="1"/>
  <c r="AB17" i="1"/>
  <c r="AB18" i="1"/>
  <c r="AB19" i="1"/>
  <c r="AB20" i="1"/>
  <c r="AB21" i="1"/>
  <c r="AB22" i="1"/>
  <c r="AB6" i="1"/>
  <c r="AB7" i="1"/>
  <c r="Z16" i="1"/>
  <c r="AP16" i="1" s="1"/>
  <c r="Z17" i="1"/>
  <c r="AP17" i="1" s="1"/>
  <c r="Z18" i="1"/>
  <c r="AP18" i="1" s="1"/>
  <c r="Z19" i="1"/>
  <c r="AP19" i="1" s="1"/>
  <c r="Z20" i="1"/>
  <c r="AP20" i="1" s="1"/>
  <c r="Z21" i="1"/>
  <c r="AP21" i="1" s="1"/>
  <c r="Z22" i="1"/>
  <c r="AP22" i="1" s="1"/>
  <c r="Z6" i="1"/>
  <c r="AP6" i="1" s="1"/>
  <c r="Z7" i="1"/>
  <c r="AP7" i="1" s="1"/>
  <c r="D16" i="1"/>
  <c r="D17" i="1"/>
  <c r="D18" i="1"/>
  <c r="D19" i="1"/>
  <c r="D20" i="1"/>
  <c r="D21" i="1"/>
  <c r="D22" i="1"/>
  <c r="D6" i="1"/>
  <c r="D7" i="1"/>
  <c r="D15" i="1"/>
  <c r="AB15" i="1"/>
  <c r="Z15" i="1"/>
  <c r="AP15" i="1" s="1"/>
  <c r="BH19" i="1"/>
  <c r="AG19" i="1" s="1"/>
  <c r="AR6" i="1" l="1"/>
  <c r="AR21" i="1"/>
  <c r="AR22" i="1"/>
  <c r="AR20" i="1"/>
  <c r="AR16" i="1"/>
  <c r="AR15" i="1"/>
  <c r="AD15" i="1" s="1"/>
  <c r="AE15" i="1" s="1"/>
  <c r="AR19" i="1"/>
  <c r="AR7" i="1"/>
  <c r="AR18" i="1"/>
  <c r="AR17" i="1"/>
  <c r="AK7" i="1"/>
  <c r="AK16" i="1"/>
  <c r="AK6" i="1"/>
  <c r="AL21" i="1"/>
  <c r="AK15" i="1"/>
  <c r="AK20" i="1"/>
  <c r="AL19" i="1"/>
  <c r="AL22" i="1"/>
  <c r="AL18" i="1"/>
  <c r="AL17" i="1"/>
  <c r="AK22" i="1"/>
  <c r="AK21" i="1"/>
  <c r="AK19" i="1"/>
  <c r="AL20" i="1"/>
  <c r="AK18" i="1"/>
  <c r="AL7" i="1"/>
  <c r="AL16" i="1"/>
  <c r="AK17" i="1"/>
  <c r="AL6" i="1"/>
  <c r="AN15" i="1"/>
  <c r="AO15" i="1"/>
  <c r="AL15" i="1"/>
  <c r="AH6" i="1" l="1"/>
  <c r="AI6" i="1" s="1"/>
  <c r="BO6" i="1"/>
  <c r="BM6" i="1"/>
  <c r="AH17" i="1"/>
  <c r="AI17" i="1" s="1"/>
  <c r="BO17" i="1"/>
  <c r="BM17" i="1"/>
  <c r="AH18" i="1"/>
  <c r="AI18" i="1" s="1"/>
  <c r="BO18" i="1"/>
  <c r="BM18" i="1"/>
  <c r="AH7" i="1"/>
  <c r="AI7" i="1" s="1"/>
  <c r="BO7" i="1"/>
  <c r="BM7" i="1"/>
  <c r="BO16" i="1"/>
  <c r="BM16" i="1"/>
  <c r="AD20" i="1"/>
  <c r="AE20" i="1" s="1"/>
  <c r="BO20" i="1"/>
  <c r="BM20" i="1"/>
  <c r="AH21" i="1"/>
  <c r="AI21" i="1" s="1"/>
  <c r="BO21" i="1"/>
  <c r="BM21" i="1"/>
  <c r="AD19" i="1"/>
  <c r="AE19" i="1" s="1"/>
  <c r="BO19" i="1"/>
  <c r="BM19" i="1"/>
  <c r="AH22" i="1"/>
  <c r="AI22" i="1" s="1"/>
  <c r="BO22" i="1"/>
  <c r="BM22" i="1"/>
  <c r="AD6" i="1"/>
  <c r="AE6" i="1" s="1"/>
  <c r="AD22" i="1"/>
  <c r="AE22" i="1" s="1"/>
  <c r="AD18" i="1"/>
  <c r="AE18" i="1" s="1"/>
  <c r="AD21" i="1"/>
  <c r="AE21" i="1" s="1"/>
  <c r="AH20" i="1"/>
  <c r="AI20" i="1" s="1"/>
  <c r="AD17" i="1"/>
  <c r="AE17" i="1" s="1"/>
  <c r="AH19" i="1"/>
  <c r="AI19" i="1" s="1"/>
  <c r="AH16" i="1"/>
  <c r="AI16" i="1" s="1"/>
  <c r="AD16" i="1"/>
  <c r="AE16" i="1" s="1"/>
  <c r="AD7" i="1"/>
  <c r="AE7" i="1" s="1"/>
  <c r="AH15" i="1"/>
  <c r="AI15" i="1" s="1"/>
  <c r="BO15" i="1"/>
  <c r="BM15" i="1"/>
</calcChain>
</file>

<file path=xl/sharedStrings.xml><?xml version="1.0" encoding="utf-8"?>
<sst xmlns="http://schemas.openxmlformats.org/spreadsheetml/2006/main" count="303" uniqueCount="143">
  <si>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</si>
  <si>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</si>
  <si>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</si>
  <si>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</si>
  <si>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</si>
  <si>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</si>
  <si>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</si>
  <si>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</si>
  <si>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</si>
  <si>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</si>
  <si>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</si>
  <si>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</si>
  <si>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</si>
  <si>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</si>
  <si>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</si>
  <si>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</si>
  <si>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</si>
  <si>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</si>
  <si>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</si>
  <si>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</si>
  <si>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</si>
  <si>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</si>
  <si>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</si>
  <si>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</si>
  <si>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</si>
  <si>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</si>
  <si>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</si>
  <si>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</si>
  <si>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</si>
  <si>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</si>
  <si>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</si>
  <si>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</si>
  <si>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</si>
  <si>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</si>
  <si>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</si>
  <si>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</si>
  <si>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</si>
  <si>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</si>
  <si>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</si>
  <si>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</si>
  <si>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</si>
  <si>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</si>
  <si>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</si>
  <si>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</si>
  <si>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</si>
  <si>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</si>
  <si>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</si>
  <si>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</si>
  <si>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</si>
  <si>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</si>
  <si>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</si>
  <si>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</si>
  <si>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</si>
  <si>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</si>
  <si>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</si>
  <si>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</si>
  <si>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</si>
  <si>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</si>
  <si>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</si>
  <si>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</si>
  <si>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</si>
  <si>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</si>
  <si>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</si>
  <si>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</si>
  <si>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</si>
  <si>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</si>
  <si>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1596AK</t>
  </si>
  <si>
    <t>1597AK</t>
  </si>
  <si>
    <t>1598AK</t>
  </si>
  <si>
    <t>1599AK</t>
  </si>
  <si>
    <t>1600AK</t>
  </si>
  <si>
    <t>1601AK</t>
  </si>
  <si>
    <t>1602AK</t>
  </si>
  <si>
    <t>1603AK</t>
  </si>
  <si>
    <t>J51572</t>
  </si>
  <si>
    <t>J51575</t>
  </si>
  <si>
    <t>J51576</t>
  </si>
  <si>
    <t>J51630</t>
  </si>
  <si>
    <t>J51631</t>
  </si>
  <si>
    <t>J51642</t>
  </si>
  <si>
    <t>J51646</t>
  </si>
  <si>
    <t>J51647</t>
  </si>
  <si>
    <t>J51655</t>
  </si>
  <si>
    <t>J51662</t>
  </si>
  <si>
    <t>J51663</t>
  </si>
  <si>
    <t>J51788</t>
  </si>
  <si>
    <t>J51789</t>
  </si>
  <si>
    <t>ﾌﾟﾗﾁﾅ/万年筆 BISO ﾈﾋﾞｭﾗﾌﾞﾗｯｸ 細字/PTL-15000 1-2</t>
  </si>
  <si>
    <t>ﾌﾟﾗﾁﾅ/万年筆 BISO ﾈﾋﾞｭﾗﾌﾞﾗｯｸ 中字/PTL-15000 1-3</t>
  </si>
  <si>
    <t>ﾌﾟﾗﾁﾅ/万年筆 BISO ﾌﾚｲﾑﾚｯﾄﾞ 細字/PTL-15000 11-2</t>
  </si>
  <si>
    <t>ﾌﾟﾗﾁﾅ/万年筆 BISO ﾌﾚｲﾑﾚｯﾄﾞ 中字/PTL-15000 11-3</t>
  </si>
  <si>
    <t>ﾌﾟﾗﾁﾅ/万年筆 BISO ﾐｽﾃｨｯｸﾊﾟｰﾌﾟﾙ 細字/PTL-15000 28-2</t>
  </si>
  <si>
    <t>ﾌﾟﾗﾁﾅ/万年筆 BISO ﾐｽﾃｨｯｸﾊﾟｰﾌﾟﾙ 中字/PTL-15000 28-3</t>
  </si>
  <si>
    <t>ﾌﾟﾗﾁﾅ/万年筆 BISO ｽﾊﾟｰｸﾙﾐﾝﾄｸﾞﾘｰﾝ 細字/PTL-15000 41</t>
  </si>
  <si>
    <t>ﾌﾟﾗﾁﾅ/万年筆 BISO ｽﾊﾟｰｸﾙﾐﾝﾄｸﾞﾘｰﾝ 中字/PTL-15000 41</t>
  </si>
  <si>
    <t>ﾌﾟﾗﾁﾅ/ﾀﾞﾌﾞﾙｱｸｼｮﾝ 黒/MWB-1000C#1</t>
  </si>
  <si>
    <t>ﾌﾟﾗﾁﾅ/ﾀﾞﾌﾞﾙｱｸｼｮﾝ ｶﾞﾝﾒﾀﾙ/MWB-1000C#98</t>
  </si>
  <si>
    <t>G)ﾌﾟﾗﾁﾅ/ﾃﾞｽｸﾍﾟﾝ 黒軸 黒ｲﾝｸ/DPQ-700A#1</t>
  </si>
  <si>
    <t>G)ﾌﾟﾗﾁﾅ/ﾃﾞｽｸﾍﾟﾝ 赤軸 赤ｲﾝｸ/DPQ-700A#10</t>
  </si>
  <si>
    <t>ﾌﾟﾗﾁﾅ/#3776 ｾﾝﾁｭﾘｰ ｾﾙﾛｲﾄﾞ ｷﾝｷﾞｮ/BTB-10000S #24</t>
  </si>
  <si>
    <t>ﾌﾟﾗﾁﾅ/#3776 ｾﾝﾁｭﾘｰ ｾﾙﾛｲﾄﾞ ﾍﾞｯｺｳ/BTB-10000S #62</t>
  </si>
  <si>
    <t>ﾌﾟﾗﾁﾅ/#3776 ｾﾝﾁｭﾘｰ ｾﾙﾛｲﾄﾞ ｲｼｶﾞｷ/BTB-10000S #67</t>
  </si>
  <si>
    <t>ﾌﾟﾗﾁﾅ/多機能筆記具 W.ｱｸｼｮﾝ ﾌﾞﾙｰ/MWB-1000C 56</t>
  </si>
  <si>
    <t>ﾌﾟﾗﾁﾅ/多機能筆記具 W.ｱｸｼｮﾝ ｴﾝｼﾞ/MWB-1000C 70</t>
  </si>
  <si>
    <t>ﾌﾟﾗﾁﾅ/多機能筆記具 W.ｱｸｼｮﾝ ｱﾐｼﾏ 箱入り</t>
  </si>
  <si>
    <t>ﾌﾟﾗﾁﾅ/多機能筆記具 W.ｱｸｼｮﾝ ｻｸﾗ 箱入り</t>
  </si>
  <si>
    <t>ﾌﾟﾗﾁﾅ/多機能筆記具 W.ｱｸｼｮﾝ ｲﾁｮｳ 箱入り</t>
  </si>
  <si>
    <t>ﾌﾟﾗﾁﾅ/多機能筆記具 W.ｱｸｼｮﾝ ﾌﾚｯｼｭﾋﾟｰﾁ/MWB-1000C 18</t>
  </si>
  <si>
    <t>ﾌﾟﾗﾁﾅ/多機能筆記具 W.ｱｸｼｮﾝ ｱｲｽﾎﾜｲﾄ/MWB-1000C 3</t>
  </si>
  <si>
    <t>ﾌﾟﾗﾁﾅ/多機能筆記具 W.ｱｸｼｮﾝ ﾌﾛｽﾃｨﾌﾞﾙｰ/MWB-1000C 57</t>
  </si>
  <si>
    <t>ﾌﾟﾗﾁﾅ/万年筆 ﾃﾞｽｸﾍﾟﾝ ﾌﾞﾗｯｸ 極細 10本入</t>
  </si>
  <si>
    <t>ﾌﾟﾗﾁﾅ/万年筆 ﾃﾞｽｸﾍﾟﾝ ﾚｯﾄﾞ 極細 10本入</t>
  </si>
  <si>
    <t>34/114</t>
  </si>
  <si>
    <t>34/110</t>
  </si>
  <si>
    <t>-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</si>
  <si>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</si>
  <si>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</si>
  <si>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</si>
  <si>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プラチナ万年筆 W.アクション MWB-1000C 1 ブラック 0002747010 10本（直送品）</t>
  </si>
  <si>
    <t>プラチナ万年筆 W.アクション MWB-1000C 98 ガンメタル 0002747980 1本</t>
  </si>
  <si>
    <t>プラチナ万年筆　デスクペン　黒　DPQ-700A#1　（直送品）</t>
  </si>
  <si>
    <t>プラチナ万年筆　ダブル3アクション　MWB-1000C#56　青　2747560　（直送品）</t>
  </si>
  <si>
    <t>プラチナ万年筆 W.アクション MWB-1000C 70 エンジ 0002747700 10本（直送品）</t>
  </si>
  <si>
    <t>プラチナ万年筆 ダブル3アクション MWB-10000SA #3 2711030 1本（直送品）</t>
  </si>
  <si>
    <t>プラチナ万年筆 W.アクション MWB-1000C 18 フレッシュピーチ 0002747180 10本（直送品）</t>
  </si>
  <si>
    <t>プラチナ万年筆 W.アクション MWB-1000C 3 アイスホワイト 0002747030 10本（直送品）</t>
  </si>
  <si>
    <t>プラチナ万年筆 W.アクション MWB-1000C 57 フロスティブルー 0002747570 10本（直送品）</t>
  </si>
  <si>
    <t>プラチナ万年筆 DPQー700A#1 極細 黒 DPQ-700A #1ゴクボソ 1セット(5本)（直送品）</t>
  </si>
  <si>
    <t>プラチナ万年筆 DPQー700A#10 極細 赤 DPQ-700A #10ゴクボソ 1セット(5本)（直送品）</t>
  </si>
  <si>
    <t>P164887</t>
  </si>
  <si>
    <t>1セット(10本)</t>
  </si>
  <si>
    <t>XJ59346</t>
  </si>
  <si>
    <t>1本</t>
  </si>
  <si>
    <t>9403669</t>
  </si>
  <si>
    <t>9402213</t>
  </si>
  <si>
    <t>P164891</t>
  </si>
  <si>
    <t>H899505</t>
  </si>
  <si>
    <t>P165857</t>
  </si>
  <si>
    <t>P164888</t>
  </si>
  <si>
    <t>P164889</t>
  </si>
  <si>
    <t>WW48879</t>
  </si>
  <si>
    <t>1セット(5本)</t>
  </si>
  <si>
    <t>WW48878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</si>
</sst>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28"/>
  <sheetViews>
    <sheetView tabSelected="1" zoomScale="90" zoomScaleNormal="90" workbookViewId="0">
      <pane xSplit="7" ySplit="5" topLeftCell="L9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30" customWidth="1"/>
    <col min="33" max="33" width="7.625" customWidth="1"/>
    <col min="34" max="34" width="7.625" style="30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9" t="s">
        <v>43</v>
      </c>
      <c r="Y1" s="43" t="s">
        <v>40</v>
      </c>
      <c r="Z1" s="44"/>
      <c r="AA1" s="44"/>
      <c r="AB1" s="45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6"/>
      <c r="I2" s="36"/>
      <c r="J2" s="40" t="s">
        <v>31</v>
      </c>
      <c r="K2" s="42"/>
      <c r="L2" s="40" t="s">
        <v>1</v>
      </c>
      <c r="M2" s="41"/>
      <c r="N2" s="41"/>
      <c r="O2" s="42"/>
      <c r="P2" s="11"/>
      <c r="Q2" s="35"/>
      <c r="R2" s="35"/>
      <c r="S2" s="35"/>
      <c r="T2" s="35"/>
      <c r="U2" s="35"/>
      <c r="V2" s="35"/>
      <c r="W2" s="35"/>
      <c r="X2" s="35"/>
      <c r="Y2" s="23"/>
      <c r="Z2" s="24" t="s">
        <v>34</v>
      </c>
      <c r="AA2" s="24"/>
      <c r="AB2" s="25" t="s">
        <v>34</v>
      </c>
      <c r="AC2" s="10"/>
      <c r="AD2" s="9" t="s">
        <v>39</v>
      </c>
      <c r="AE2" s="11"/>
      <c r="AF2" s="31"/>
      <c r="AG2" s="11"/>
      <c r="AH2" s="31"/>
      <c r="AI2" s="11"/>
      <c r="AJ2" s="22" t="s">
        <v>41</v>
      </c>
      <c r="AK2" s="11"/>
      <c r="AL2" s="11"/>
      <c r="AM2" s="27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20" t="s">
        <v>14</v>
      </c>
      <c r="AE3" s="2" t="s">
        <v>13</v>
      </c>
      <c r="AF3" s="32" t="s">
        <v>44</v>
      </c>
      <c r="AG3" s="12" t="s">
        <v>65</v>
      </c>
      <c r="AH3" s="37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6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8" t="s">
        <v>45</v>
      </c>
      <c r="BJ3" s="18" t="s">
        <v>46</v>
      </c>
      <c r="BK3" s="15" t="s">
        <v>52</v>
      </c>
      <c r="BL3" s="38" t="s">
        <v>116</v>
      </c>
      <c r="BM3" s="39" t="s">
        <v>58</v>
      </c>
      <c r="BN3" s="39" t="s">
        <v>117</v>
      </c>
      <c r="BO3" s="39" t="s">
        <v>59</v>
      </c>
      <c r="BP3" s="34" t="s">
        <v>50</v>
      </c>
    </row>
    <row r="4" spans="1:68" x14ac:dyDescent="0.4">
      <c r="A4" s="3">
        <v>11</v>
      </c>
      <c r="B4" s="3">
        <v>11</v>
      </c>
      <c r="C4" s="4">
        <v>669887</v>
      </c>
      <c r="D4" s="4" t="str">
        <f t="shared" ref="D4:D28" si="0">TEXT(C4,"000000")</f>
        <v>669887</v>
      </c>
      <c r="E4" s="4">
        <v>669887</v>
      </c>
      <c r="F4" s="4" t="s">
        <v>97</v>
      </c>
      <c r="G4" s="5">
        <v>4977114910722</v>
      </c>
      <c r="H4" s="5"/>
      <c r="I4" s="5"/>
      <c r="J4" s="5">
        <v>1</v>
      </c>
      <c r="K4" s="5">
        <v>1</v>
      </c>
      <c r="L4" s="4">
        <v>700</v>
      </c>
      <c r="M4" s="4">
        <v>537</v>
      </c>
      <c r="N4" s="4">
        <v>350</v>
      </c>
      <c r="O4" s="6">
        <f t="shared" ref="O4:O28" si="1">IFERROR(1-N4/M4,"-")</f>
        <v>0.34823091247672255</v>
      </c>
      <c r="P4" s="4" t="s">
        <v>115</v>
      </c>
      <c r="Q4" s="4"/>
      <c r="R4" s="4"/>
      <c r="S4" s="4"/>
      <c r="T4" s="4"/>
      <c r="U4" s="4"/>
      <c r="V4" s="4"/>
      <c r="W4" s="4"/>
      <c r="X4" s="4"/>
      <c r="Y4" s="4">
        <v>1200</v>
      </c>
      <c r="Z4" s="4">
        <f t="shared" ref="Z4:Z28" si="2">IF(AC4="",Y4,Y4*AC4)</f>
        <v>1200</v>
      </c>
      <c r="AA4" s="4">
        <v>600</v>
      </c>
      <c r="AB4" s="4">
        <f t="shared" ref="AB4:AB28" si="3">IF(AC4="",AA4,AA4*AC4)</f>
        <v>600</v>
      </c>
      <c r="AC4" s="4"/>
      <c r="AD4" s="21">
        <f t="shared" ref="AD4:AD28" si="4">ROUND(M4*AR4,0)</f>
        <v>921</v>
      </c>
      <c r="AE4" s="6">
        <f t="shared" ref="AE4:AE28" si="5">IFERROR(1-AB4/AD4,"-")</f>
        <v>0.34853420195439744</v>
      </c>
      <c r="AF4" s="33">
        <v>17</v>
      </c>
      <c r="AG4" s="4">
        <f t="shared" ref="AG4:AG28" si="6">BH4</f>
        <v>700</v>
      </c>
      <c r="AH4" s="33">
        <f t="shared" ref="AH4:AH28" si="7">IFERROR(AG4*AR4,"-")</f>
        <v>1200</v>
      </c>
      <c r="AI4" s="6">
        <f t="shared" ref="AI4:AI28" si="8">IFERROR(1-AB4/AH4,"-")</f>
        <v>0.5</v>
      </c>
      <c r="AJ4" s="7">
        <v>930</v>
      </c>
      <c r="AK4" s="6">
        <f t="shared" ref="AK4:AK28" si="9">1-AB4/AJ4</f>
        <v>0.35483870967741937</v>
      </c>
      <c r="AL4" s="4">
        <f t="shared" ref="AL4:AL28" si="10">AJ4-AB4</f>
        <v>330</v>
      </c>
      <c r="AM4" s="28"/>
      <c r="AN4" s="6"/>
      <c r="AO4" s="6"/>
      <c r="AP4" s="6">
        <f t="shared" ref="AP4:AP28" si="11">IFERROR(Z4/L4,"-")</f>
        <v>1.7142857142857142</v>
      </c>
      <c r="AQ4" s="6">
        <f t="shared" ref="AQ4:AQ28" si="12">IFERROR(AJ4/M4,"-")</f>
        <v>1.7318435754189945</v>
      </c>
      <c r="AR4" s="6">
        <f t="shared" ref="AR4:AR28" si="13">IFERROR(AB4/N4,"-")</f>
        <v>1.7142857142857142</v>
      </c>
      <c r="AS4" s="4"/>
      <c r="AT4" s="4"/>
      <c r="AU4" s="4"/>
      <c r="AV4" s="4"/>
      <c r="AW4" s="4"/>
      <c r="AX4" s="4"/>
      <c r="AY4" s="4"/>
      <c r="AZ4" s="4"/>
      <c r="BA4" s="4"/>
      <c r="BB4" s="4" t="s">
        <v>113</v>
      </c>
      <c r="BC4" s="4" t="s">
        <v>133</v>
      </c>
      <c r="BD4" s="4"/>
      <c r="BE4" s="4"/>
      <c r="BF4" s="4" t="s">
        <v>132</v>
      </c>
      <c r="BG4" s="4">
        <v>700</v>
      </c>
      <c r="BH4" s="4">
        <f t="shared" ref="BH4:BH28" si="14">IF(BD4="",BG4,BD4/BE4*BG4)</f>
        <v>700</v>
      </c>
      <c r="BI4" s="19">
        <v>4</v>
      </c>
      <c r="BJ4" s="19">
        <v>1</v>
      </c>
      <c r="BK4" s="16">
        <v>5</v>
      </c>
      <c r="BL4">
        <v>475</v>
      </c>
      <c r="BM4">
        <f t="shared" ref="BM4:BM28" si="15">IFERROR(BL4*AR4,"-")</f>
        <v>814.28571428571422</v>
      </c>
      <c r="BN4">
        <v>490</v>
      </c>
      <c r="BO4">
        <f t="shared" ref="BO4:BO28" si="16">IFERROR(BN4*AR4,"-")</f>
        <v>840</v>
      </c>
      <c r="BP4" t="s">
        <v>120</v>
      </c>
    </row>
    <row r="5" spans="1:68" x14ac:dyDescent="0.4">
      <c r="A5" s="3">
        <v>12</v>
      </c>
      <c r="B5" s="3">
        <v>12</v>
      </c>
      <c r="C5" s="4">
        <v>669889</v>
      </c>
      <c r="D5" s="4" t="str">
        <f t="shared" si="0"/>
        <v>669889</v>
      </c>
      <c r="E5" s="4">
        <v>669889</v>
      </c>
      <c r="F5" s="4" t="s">
        <v>98</v>
      </c>
      <c r="G5" s="5">
        <v>4977114910739</v>
      </c>
      <c r="H5" s="5"/>
      <c r="I5" s="5"/>
      <c r="J5" s="5">
        <v>1</v>
      </c>
      <c r="K5" s="5">
        <v>1</v>
      </c>
      <c r="L5" s="4">
        <v>700</v>
      </c>
      <c r="M5" s="4">
        <v>537</v>
      </c>
      <c r="N5" s="4">
        <v>350</v>
      </c>
      <c r="O5" s="6">
        <f t="shared" si="1"/>
        <v>0.34823091247672255</v>
      </c>
      <c r="P5" s="4" t="s">
        <v>115</v>
      </c>
      <c r="Q5" s="4"/>
      <c r="R5" s="4"/>
      <c r="S5" s="4"/>
      <c r="T5" s="4"/>
      <c r="U5" s="4"/>
      <c r="V5" s="4"/>
      <c r="W5" s="4"/>
      <c r="X5" s="4"/>
      <c r="Y5" s="4">
        <v>1200</v>
      </c>
      <c r="Z5" s="4">
        <f t="shared" si="2"/>
        <v>1200</v>
      </c>
      <c r="AA5" s="4">
        <v>600</v>
      </c>
      <c r="AB5" s="4">
        <f t="shared" si="3"/>
        <v>600</v>
      </c>
      <c r="AC5" s="4"/>
      <c r="AD5" s="21">
        <f t="shared" si="4"/>
        <v>921</v>
      </c>
      <c r="AE5" s="6">
        <f t="shared" si="5"/>
        <v>0.34853420195439744</v>
      </c>
      <c r="AF5" s="33">
        <v>1.7500000000000002</v>
      </c>
      <c r="AG5" s="4" t="str">
        <f t="shared" si="6"/>
        <v>-</v>
      </c>
      <c r="AH5" s="33" t="str">
        <f t="shared" si="7"/>
        <v>-</v>
      </c>
      <c r="AI5" s="6" t="str">
        <f t="shared" si="8"/>
        <v>-</v>
      </c>
      <c r="AJ5" s="7">
        <v>930</v>
      </c>
      <c r="AK5" s="6">
        <f t="shared" si="9"/>
        <v>0.35483870967741937</v>
      </c>
      <c r="AL5" s="4">
        <f t="shared" si="10"/>
        <v>330</v>
      </c>
      <c r="AM5" s="28"/>
      <c r="AN5" s="6"/>
      <c r="AO5" s="6"/>
      <c r="AP5" s="6">
        <f t="shared" si="11"/>
        <v>1.7142857142857142</v>
      </c>
      <c r="AQ5" s="6">
        <f t="shared" si="12"/>
        <v>1.7318435754189945</v>
      </c>
      <c r="AR5" s="6">
        <f t="shared" si="13"/>
        <v>1.7142857142857142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113</v>
      </c>
      <c r="BC5" s="4" t="s">
        <v>114</v>
      </c>
      <c r="BD5" s="4"/>
      <c r="BE5" s="4"/>
      <c r="BF5" s="4" t="s">
        <v>114</v>
      </c>
      <c r="BG5" s="4" t="s">
        <v>114</v>
      </c>
      <c r="BH5" s="4" t="str">
        <f t="shared" si="14"/>
        <v>-</v>
      </c>
      <c r="BI5" s="19">
        <v>4</v>
      </c>
      <c r="BJ5" s="19">
        <v>1</v>
      </c>
      <c r="BK5" s="16">
        <v>5</v>
      </c>
      <c r="BL5" t="s">
        <v>115</v>
      </c>
      <c r="BM5" t="str">
        <f t="shared" si="15"/>
        <v>-</v>
      </c>
      <c r="BN5" t="s">
        <v>114</v>
      </c>
      <c r="BO5" t="str">
        <f t="shared" si="16"/>
        <v>-</v>
      </c>
      <c r="BP5" t="s">
        <v>114</v>
      </c>
    </row>
    <row r="6" spans="1:68" x14ac:dyDescent="0.4">
      <c r="A6" s="3">
        <v>9</v>
      </c>
      <c r="B6" s="3">
        <v>9</v>
      </c>
      <c r="C6" s="17">
        <v>622586</v>
      </c>
      <c r="D6" s="4" t="str">
        <f t="shared" si="0"/>
        <v>622586</v>
      </c>
      <c r="E6" s="4">
        <v>622586</v>
      </c>
      <c r="F6" s="4" t="s">
        <v>95</v>
      </c>
      <c r="G6" s="5">
        <v>4977114208997</v>
      </c>
      <c r="H6" s="5"/>
      <c r="I6" s="5"/>
      <c r="J6" s="5">
        <v>1</v>
      </c>
      <c r="K6" s="5">
        <v>1</v>
      </c>
      <c r="L6" s="4">
        <v>1800</v>
      </c>
      <c r="M6" s="4">
        <v>1480</v>
      </c>
      <c r="N6" s="4">
        <v>846</v>
      </c>
      <c r="O6" s="6">
        <f t="shared" si="1"/>
        <v>0.42837837837837833</v>
      </c>
      <c r="P6" s="4" t="s">
        <v>115</v>
      </c>
      <c r="Q6" s="4"/>
      <c r="R6" s="4"/>
      <c r="S6" s="4"/>
      <c r="T6" s="4"/>
      <c r="U6" s="4"/>
      <c r="V6" s="4"/>
      <c r="W6" s="4"/>
      <c r="X6" s="4"/>
      <c r="Y6" s="4">
        <v>2000</v>
      </c>
      <c r="Z6" s="4">
        <f t="shared" si="2"/>
        <v>2000</v>
      </c>
      <c r="AA6" s="4">
        <v>940</v>
      </c>
      <c r="AB6" s="4">
        <f t="shared" si="3"/>
        <v>940</v>
      </c>
      <c r="AC6" s="4"/>
      <c r="AD6" s="21">
        <f t="shared" si="4"/>
        <v>1644</v>
      </c>
      <c r="AE6" s="6">
        <f t="shared" si="5"/>
        <v>0.42822384428223847</v>
      </c>
      <c r="AF6" s="33">
        <v>0.5</v>
      </c>
      <c r="AG6" s="4">
        <f t="shared" si="6"/>
        <v>1003.7</v>
      </c>
      <c r="AH6" s="33">
        <f t="shared" si="7"/>
        <v>1115.2222222222224</v>
      </c>
      <c r="AI6" s="6">
        <f t="shared" si="8"/>
        <v>0.15711866095446858</v>
      </c>
      <c r="AJ6" s="7">
        <v>1600</v>
      </c>
      <c r="AK6" s="6">
        <f t="shared" si="9"/>
        <v>0.41249999999999998</v>
      </c>
      <c r="AL6" s="4">
        <f t="shared" si="10"/>
        <v>660</v>
      </c>
      <c r="AM6" s="28"/>
      <c r="AN6" s="6"/>
      <c r="AO6" s="6"/>
      <c r="AP6" s="6">
        <f t="shared" si="11"/>
        <v>1.1111111111111112</v>
      </c>
      <c r="AQ6" s="6">
        <f t="shared" si="12"/>
        <v>1.0810810810810811</v>
      </c>
      <c r="AR6" s="6">
        <f t="shared" si="13"/>
        <v>1.1111111111111112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112</v>
      </c>
      <c r="BC6" s="4" t="s">
        <v>129</v>
      </c>
      <c r="BD6" s="4">
        <v>1</v>
      </c>
      <c r="BE6" s="4">
        <v>10</v>
      </c>
      <c r="BF6" s="4" t="s">
        <v>130</v>
      </c>
      <c r="BG6" s="4">
        <v>10037</v>
      </c>
      <c r="BH6" s="4">
        <f t="shared" si="14"/>
        <v>1003.7</v>
      </c>
      <c r="BI6" s="19">
        <v>4</v>
      </c>
      <c r="BJ6" s="19">
        <v>1</v>
      </c>
      <c r="BK6" s="16">
        <v>5</v>
      </c>
      <c r="BL6" t="s">
        <v>115</v>
      </c>
      <c r="BM6" t="str">
        <f t="shared" si="15"/>
        <v>-</v>
      </c>
      <c r="BN6">
        <v>1440</v>
      </c>
      <c r="BO6">
        <f t="shared" si="16"/>
        <v>1600</v>
      </c>
      <c r="BP6" t="s">
        <v>118</v>
      </c>
    </row>
    <row r="7" spans="1:68" x14ac:dyDescent="0.4">
      <c r="A7" s="3">
        <v>10</v>
      </c>
      <c r="B7" s="3">
        <v>10</v>
      </c>
      <c r="C7" s="17">
        <v>622587</v>
      </c>
      <c r="D7" s="4" t="str">
        <f t="shared" si="0"/>
        <v>622587</v>
      </c>
      <c r="E7" s="4">
        <v>622587</v>
      </c>
      <c r="F7" s="4" t="s">
        <v>96</v>
      </c>
      <c r="G7" s="5">
        <v>4977114209031</v>
      </c>
      <c r="H7" s="5"/>
      <c r="I7" s="5"/>
      <c r="J7" s="5">
        <v>1</v>
      </c>
      <c r="K7" s="5">
        <v>1</v>
      </c>
      <c r="L7" s="4">
        <v>1800</v>
      </c>
      <c r="M7" s="4">
        <v>1220</v>
      </c>
      <c r="N7" s="4">
        <v>846</v>
      </c>
      <c r="O7" s="6">
        <f t="shared" si="1"/>
        <v>0.30655737704918029</v>
      </c>
      <c r="P7" s="4" t="s">
        <v>115</v>
      </c>
      <c r="Q7" s="4"/>
      <c r="R7" s="4"/>
      <c r="S7" s="4"/>
      <c r="T7" s="4"/>
      <c r="U7" s="4"/>
      <c r="V7" s="4"/>
      <c r="W7" s="4"/>
      <c r="X7" s="4"/>
      <c r="Y7" s="4">
        <v>2000</v>
      </c>
      <c r="Z7" s="4">
        <f t="shared" si="2"/>
        <v>2000</v>
      </c>
      <c r="AA7" s="4">
        <v>940</v>
      </c>
      <c r="AB7" s="4">
        <f t="shared" si="3"/>
        <v>940</v>
      </c>
      <c r="AC7" s="4"/>
      <c r="AD7" s="21">
        <f t="shared" si="4"/>
        <v>1356</v>
      </c>
      <c r="AE7" s="6">
        <f t="shared" si="5"/>
        <v>0.30678466076696165</v>
      </c>
      <c r="AF7" s="33">
        <v>1</v>
      </c>
      <c r="AG7" s="4">
        <f t="shared" si="6"/>
        <v>1455</v>
      </c>
      <c r="AH7" s="33">
        <f t="shared" si="7"/>
        <v>1616.6666666666667</v>
      </c>
      <c r="AI7" s="6">
        <f t="shared" si="8"/>
        <v>0.4185567010309279</v>
      </c>
      <c r="AJ7" s="7">
        <v>1600</v>
      </c>
      <c r="AK7" s="6">
        <f t="shared" si="9"/>
        <v>0.41249999999999998</v>
      </c>
      <c r="AL7" s="4">
        <f t="shared" si="10"/>
        <v>660</v>
      </c>
      <c r="AM7" s="28"/>
      <c r="AN7" s="6"/>
      <c r="AO7" s="6"/>
      <c r="AP7" s="6">
        <f t="shared" si="11"/>
        <v>1.1111111111111112</v>
      </c>
      <c r="AQ7" s="6">
        <f t="shared" si="12"/>
        <v>1.3114754098360655</v>
      </c>
      <c r="AR7" s="6">
        <f t="shared" si="13"/>
        <v>1.1111111111111112</v>
      </c>
      <c r="AS7" s="4"/>
      <c r="AT7" s="4"/>
      <c r="AU7" s="4"/>
      <c r="AV7" s="4"/>
      <c r="AW7" s="4"/>
      <c r="AX7" s="4"/>
      <c r="AY7" s="4"/>
      <c r="AZ7" s="4"/>
      <c r="BA7" s="4"/>
      <c r="BB7" s="4">
        <v>0</v>
      </c>
      <c r="BC7" s="4" t="s">
        <v>131</v>
      </c>
      <c r="BD7" s="4"/>
      <c r="BE7" s="4"/>
      <c r="BF7" s="4" t="s">
        <v>132</v>
      </c>
      <c r="BG7" s="4">
        <v>1455</v>
      </c>
      <c r="BH7" s="4">
        <f t="shared" si="14"/>
        <v>1455</v>
      </c>
      <c r="BI7" s="19">
        <v>4</v>
      </c>
      <c r="BJ7" s="19">
        <v>1</v>
      </c>
      <c r="BK7" s="16">
        <v>5</v>
      </c>
      <c r="BL7" t="s">
        <v>115</v>
      </c>
      <c r="BM7" t="str">
        <f t="shared" si="15"/>
        <v>-</v>
      </c>
      <c r="BN7">
        <v>1440</v>
      </c>
      <c r="BO7">
        <f t="shared" si="16"/>
        <v>1600</v>
      </c>
      <c r="BP7" t="s">
        <v>119</v>
      </c>
    </row>
    <row r="8" spans="1:68" x14ac:dyDescent="0.4">
      <c r="A8" s="3">
        <v>16</v>
      </c>
      <c r="B8" s="3">
        <v>16</v>
      </c>
      <c r="C8" s="17" t="s">
        <v>77</v>
      </c>
      <c r="D8" s="4" t="str">
        <f t="shared" si="0"/>
        <v>J51630</v>
      </c>
      <c r="E8" s="4" t="s">
        <v>77</v>
      </c>
      <c r="F8" s="4" t="s">
        <v>102</v>
      </c>
      <c r="G8" s="5">
        <v>4977114209017</v>
      </c>
      <c r="H8" s="5"/>
      <c r="I8" s="5"/>
      <c r="J8" s="5">
        <v>1</v>
      </c>
      <c r="K8" s="5">
        <v>1</v>
      </c>
      <c r="L8" s="4">
        <v>1800</v>
      </c>
      <c r="M8" s="4">
        <v>1482</v>
      </c>
      <c r="N8" s="4">
        <v>846</v>
      </c>
      <c r="O8" s="6">
        <f t="shared" si="1"/>
        <v>0.42914979757085026</v>
      </c>
      <c r="P8" s="4" t="s">
        <v>115</v>
      </c>
      <c r="Q8" s="4"/>
      <c r="R8" s="4"/>
      <c r="S8" s="4"/>
      <c r="T8" s="4"/>
      <c r="U8" s="4"/>
      <c r="V8" s="4"/>
      <c r="W8" s="4"/>
      <c r="X8" s="4"/>
      <c r="Y8" s="4">
        <v>2000</v>
      </c>
      <c r="Z8" s="4">
        <f t="shared" si="2"/>
        <v>2000</v>
      </c>
      <c r="AA8" s="4">
        <v>940</v>
      </c>
      <c r="AB8" s="4">
        <f t="shared" si="3"/>
        <v>940</v>
      </c>
      <c r="AC8" s="4"/>
      <c r="AD8" s="21">
        <f t="shared" si="4"/>
        <v>1647</v>
      </c>
      <c r="AE8" s="6">
        <f t="shared" si="5"/>
        <v>0.42926533090467511</v>
      </c>
      <c r="AF8" s="33">
        <v>0.25</v>
      </c>
      <c r="AG8" s="4">
        <f t="shared" si="6"/>
        <v>1800</v>
      </c>
      <c r="AH8" s="33">
        <f t="shared" si="7"/>
        <v>2000</v>
      </c>
      <c r="AI8" s="6">
        <f t="shared" si="8"/>
        <v>0.53</v>
      </c>
      <c r="AJ8" s="7">
        <v>1600</v>
      </c>
      <c r="AK8" s="6">
        <f t="shared" si="9"/>
        <v>0.41249999999999998</v>
      </c>
      <c r="AL8" s="4">
        <f t="shared" si="10"/>
        <v>660</v>
      </c>
      <c r="AM8" s="28"/>
      <c r="AN8" s="6"/>
      <c r="AO8" s="6"/>
      <c r="AP8" s="6">
        <f t="shared" si="11"/>
        <v>1.1111111111111112</v>
      </c>
      <c r="AQ8" s="6">
        <f t="shared" si="12"/>
        <v>1.0796221322537112</v>
      </c>
      <c r="AR8" s="6">
        <f t="shared" si="13"/>
        <v>1.1111111111111112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112</v>
      </c>
      <c r="BC8" s="4" t="s">
        <v>134</v>
      </c>
      <c r="BD8" s="4"/>
      <c r="BE8" s="4"/>
      <c r="BF8" s="4" t="s">
        <v>132</v>
      </c>
      <c r="BG8" s="4">
        <v>1800</v>
      </c>
      <c r="BH8" s="4">
        <f t="shared" si="14"/>
        <v>1800</v>
      </c>
      <c r="BI8" s="19">
        <v>4</v>
      </c>
      <c r="BJ8" s="19">
        <v>8</v>
      </c>
      <c r="BK8" s="16">
        <v>5</v>
      </c>
      <c r="BL8" t="s">
        <v>115</v>
      </c>
      <c r="BM8" t="str">
        <f t="shared" si="15"/>
        <v>-</v>
      </c>
      <c r="BN8">
        <v>1440</v>
      </c>
      <c r="BO8">
        <f t="shared" si="16"/>
        <v>1600</v>
      </c>
      <c r="BP8" t="s">
        <v>121</v>
      </c>
    </row>
    <row r="9" spans="1:68" x14ac:dyDescent="0.4">
      <c r="A9" s="3">
        <v>17</v>
      </c>
      <c r="B9" s="3">
        <v>17</v>
      </c>
      <c r="C9" s="17" t="s">
        <v>78</v>
      </c>
      <c r="D9" s="4" t="str">
        <f t="shared" si="0"/>
        <v>J51631</v>
      </c>
      <c r="E9" s="4" t="s">
        <v>78</v>
      </c>
      <c r="F9" s="4" t="s">
        <v>103</v>
      </c>
      <c r="G9" s="5">
        <v>4977114209024</v>
      </c>
      <c r="H9" s="5"/>
      <c r="I9" s="5"/>
      <c r="J9" s="5">
        <v>1</v>
      </c>
      <c r="K9" s="5">
        <v>1</v>
      </c>
      <c r="L9" s="4">
        <v>1800</v>
      </c>
      <c r="M9" s="4">
        <v>1070</v>
      </c>
      <c r="N9" s="4">
        <v>846</v>
      </c>
      <c r="O9" s="6">
        <f t="shared" si="1"/>
        <v>0.20934579439252332</v>
      </c>
      <c r="P9" s="4" t="s">
        <v>115</v>
      </c>
      <c r="Q9" s="4"/>
      <c r="R9" s="4"/>
      <c r="S9" s="4"/>
      <c r="T9" s="4"/>
      <c r="U9" s="4"/>
      <c r="V9" s="4"/>
      <c r="W9" s="4"/>
      <c r="X9" s="4"/>
      <c r="Y9" s="4">
        <v>2000</v>
      </c>
      <c r="Z9" s="4">
        <f t="shared" si="2"/>
        <v>2000</v>
      </c>
      <c r="AA9" s="4">
        <v>940</v>
      </c>
      <c r="AB9" s="4">
        <f t="shared" si="3"/>
        <v>940</v>
      </c>
      <c r="AC9" s="4"/>
      <c r="AD9" s="21">
        <f t="shared" si="4"/>
        <v>1189</v>
      </c>
      <c r="AE9" s="6">
        <f t="shared" si="5"/>
        <v>0.20941968040370063</v>
      </c>
      <c r="AF9" s="33">
        <v>0</v>
      </c>
      <c r="AG9" s="4">
        <f t="shared" si="6"/>
        <v>1003.7</v>
      </c>
      <c r="AH9" s="33">
        <f t="shared" si="7"/>
        <v>1115.2222222222224</v>
      </c>
      <c r="AI9" s="6">
        <f t="shared" si="8"/>
        <v>0.15711866095446858</v>
      </c>
      <c r="AJ9" s="7">
        <v>1600</v>
      </c>
      <c r="AK9" s="6">
        <f t="shared" si="9"/>
        <v>0.41249999999999998</v>
      </c>
      <c r="AL9" s="4">
        <f t="shared" si="10"/>
        <v>660</v>
      </c>
      <c r="AM9" s="28"/>
      <c r="AN9" s="6"/>
      <c r="AO9" s="6"/>
      <c r="AP9" s="6">
        <f t="shared" si="11"/>
        <v>1.1111111111111112</v>
      </c>
      <c r="AQ9" s="6">
        <f t="shared" si="12"/>
        <v>1.4953271028037383</v>
      </c>
      <c r="AR9" s="6">
        <f t="shared" si="13"/>
        <v>1.1111111111111112</v>
      </c>
      <c r="AS9" s="4"/>
      <c r="AT9" s="4"/>
      <c r="AU9" s="4"/>
      <c r="AV9" s="4"/>
      <c r="AW9" s="4"/>
      <c r="AX9" s="4"/>
      <c r="AY9" s="4"/>
      <c r="AZ9" s="4"/>
      <c r="BA9" s="4"/>
      <c r="BB9" s="4">
        <v>0</v>
      </c>
      <c r="BC9" s="4" t="s">
        <v>135</v>
      </c>
      <c r="BD9" s="4">
        <v>1</v>
      </c>
      <c r="BE9" s="4">
        <v>10</v>
      </c>
      <c r="BF9" s="4" t="s">
        <v>130</v>
      </c>
      <c r="BG9" s="4">
        <v>10037</v>
      </c>
      <c r="BH9" s="4">
        <f t="shared" si="14"/>
        <v>1003.7</v>
      </c>
      <c r="BI9" s="19">
        <v>4</v>
      </c>
      <c r="BJ9" s="19">
        <v>8</v>
      </c>
      <c r="BK9" s="16">
        <v>5</v>
      </c>
      <c r="BL9" t="s">
        <v>115</v>
      </c>
      <c r="BM9" t="str">
        <f t="shared" si="15"/>
        <v>-</v>
      </c>
      <c r="BN9">
        <v>1800</v>
      </c>
      <c r="BO9">
        <f t="shared" si="16"/>
        <v>2000</v>
      </c>
      <c r="BP9" t="s">
        <v>122</v>
      </c>
    </row>
    <row r="10" spans="1:68" x14ac:dyDescent="0.4">
      <c r="A10" s="3">
        <v>21</v>
      </c>
      <c r="B10" s="3">
        <v>21</v>
      </c>
      <c r="C10" s="4" t="s">
        <v>82</v>
      </c>
      <c r="D10" s="4" t="str">
        <f t="shared" si="0"/>
        <v>J51655</v>
      </c>
      <c r="E10" s="4" t="s">
        <v>82</v>
      </c>
      <c r="F10" s="4" t="s">
        <v>107</v>
      </c>
      <c r="G10" s="5">
        <v>4977114210457</v>
      </c>
      <c r="H10" s="5"/>
      <c r="I10" s="5"/>
      <c r="J10" s="5">
        <v>1</v>
      </c>
      <c r="K10" s="5">
        <v>1</v>
      </c>
      <c r="L10" s="4">
        <v>1800</v>
      </c>
      <c r="M10" s="4">
        <v>1070</v>
      </c>
      <c r="N10" s="4">
        <v>846</v>
      </c>
      <c r="O10" s="6">
        <f t="shared" si="1"/>
        <v>0.20934579439252332</v>
      </c>
      <c r="P10" s="4" t="s">
        <v>115</v>
      </c>
      <c r="Q10" s="4"/>
      <c r="R10" s="4"/>
      <c r="S10" s="4"/>
      <c r="T10" s="4"/>
      <c r="U10" s="4"/>
      <c r="V10" s="4"/>
      <c r="W10" s="4"/>
      <c r="X10" s="4"/>
      <c r="Y10" s="4">
        <v>2000</v>
      </c>
      <c r="Z10" s="4">
        <f t="shared" si="2"/>
        <v>2000</v>
      </c>
      <c r="AA10" s="4">
        <v>940</v>
      </c>
      <c r="AB10" s="4">
        <f t="shared" si="3"/>
        <v>940</v>
      </c>
      <c r="AC10" s="4"/>
      <c r="AD10" s="21">
        <f t="shared" si="4"/>
        <v>1189</v>
      </c>
      <c r="AE10" s="6">
        <f t="shared" si="5"/>
        <v>0.20941968040370063</v>
      </c>
      <c r="AF10" s="33">
        <v>0.5</v>
      </c>
      <c r="AG10" s="4">
        <f t="shared" si="6"/>
        <v>1003.7</v>
      </c>
      <c r="AH10" s="33">
        <f t="shared" si="7"/>
        <v>1115.2222222222224</v>
      </c>
      <c r="AI10" s="6">
        <f t="shared" si="8"/>
        <v>0.15711866095446858</v>
      </c>
      <c r="AJ10" s="7">
        <v>1600</v>
      </c>
      <c r="AK10" s="6">
        <f t="shared" si="9"/>
        <v>0.41249999999999998</v>
      </c>
      <c r="AL10" s="4">
        <f t="shared" si="10"/>
        <v>660</v>
      </c>
      <c r="AM10" s="28"/>
      <c r="AN10" s="6"/>
      <c r="AO10" s="6"/>
      <c r="AP10" s="6">
        <f t="shared" si="11"/>
        <v>1.1111111111111112</v>
      </c>
      <c r="AQ10" s="6">
        <f t="shared" si="12"/>
        <v>1.4953271028037383</v>
      </c>
      <c r="AR10" s="6">
        <f t="shared" si="13"/>
        <v>1.1111111111111112</v>
      </c>
      <c r="AS10" s="4"/>
      <c r="AT10" s="4"/>
      <c r="AU10" s="4"/>
      <c r="AV10" s="4"/>
      <c r="AW10" s="4"/>
      <c r="AX10" s="4"/>
      <c r="AY10" s="4"/>
      <c r="AZ10" s="4"/>
      <c r="BA10" s="4"/>
      <c r="BB10" s="4">
        <v>0</v>
      </c>
      <c r="BC10" s="4" t="s">
        <v>137</v>
      </c>
      <c r="BD10" s="4">
        <v>1</v>
      </c>
      <c r="BE10" s="4">
        <v>10</v>
      </c>
      <c r="BF10" s="4" t="s">
        <v>130</v>
      </c>
      <c r="BG10" s="4">
        <v>10037</v>
      </c>
      <c r="BH10" s="4">
        <f t="shared" si="14"/>
        <v>1003.7</v>
      </c>
      <c r="BI10" s="19">
        <v>4</v>
      </c>
      <c r="BJ10" s="19">
        <v>1</v>
      </c>
      <c r="BK10" s="16">
        <v>5</v>
      </c>
      <c r="BL10" t="s">
        <v>115</v>
      </c>
      <c r="BM10" t="str">
        <f t="shared" si="15"/>
        <v>-</v>
      </c>
      <c r="BN10" t="s">
        <v>114</v>
      </c>
      <c r="BO10" t="str">
        <f t="shared" si="16"/>
        <v>-</v>
      </c>
      <c r="BP10" t="s">
        <v>124</v>
      </c>
    </row>
    <row r="11" spans="1:68" x14ac:dyDescent="0.4">
      <c r="A11" s="3">
        <v>22</v>
      </c>
      <c r="B11" s="3">
        <v>22</v>
      </c>
      <c r="C11" s="4" t="s">
        <v>83</v>
      </c>
      <c r="D11" s="4" t="str">
        <f t="shared" si="0"/>
        <v>J51662</v>
      </c>
      <c r="E11" s="4" t="s">
        <v>83</v>
      </c>
      <c r="F11" s="4" t="s">
        <v>108</v>
      </c>
      <c r="G11" s="5">
        <v>4977114210709</v>
      </c>
      <c r="H11" s="5"/>
      <c r="I11" s="5"/>
      <c r="J11" s="5">
        <v>1</v>
      </c>
      <c r="K11" s="5">
        <v>1</v>
      </c>
      <c r="L11" s="4">
        <v>1800</v>
      </c>
      <c r="M11" s="4">
        <v>1100</v>
      </c>
      <c r="N11" s="4">
        <v>846</v>
      </c>
      <c r="O11" s="6">
        <f t="shared" si="1"/>
        <v>0.23090909090909095</v>
      </c>
      <c r="P11" s="4" t="s">
        <v>115</v>
      </c>
      <c r="Q11" s="4"/>
      <c r="R11" s="4"/>
      <c r="S11" s="4"/>
      <c r="T11" s="4"/>
      <c r="U11" s="4"/>
      <c r="V11" s="4"/>
      <c r="W11" s="4"/>
      <c r="X11" s="4"/>
      <c r="Y11" s="4">
        <v>2000</v>
      </c>
      <c r="Z11" s="4">
        <f t="shared" si="2"/>
        <v>2000</v>
      </c>
      <c r="AA11" s="4">
        <v>940</v>
      </c>
      <c r="AB11" s="4">
        <f t="shared" si="3"/>
        <v>940</v>
      </c>
      <c r="AC11" s="4"/>
      <c r="AD11" s="21">
        <f t="shared" si="4"/>
        <v>1222</v>
      </c>
      <c r="AE11" s="6">
        <f t="shared" si="5"/>
        <v>0.23076923076923073</v>
      </c>
      <c r="AF11" s="33">
        <v>0.5</v>
      </c>
      <c r="AG11" s="4">
        <f t="shared" si="6"/>
        <v>1003.7</v>
      </c>
      <c r="AH11" s="33">
        <f t="shared" si="7"/>
        <v>1115.2222222222224</v>
      </c>
      <c r="AI11" s="6">
        <f t="shared" si="8"/>
        <v>0.15711866095446858</v>
      </c>
      <c r="AJ11" s="7">
        <v>1600</v>
      </c>
      <c r="AK11" s="6">
        <f t="shared" si="9"/>
        <v>0.41249999999999998</v>
      </c>
      <c r="AL11" s="4">
        <f t="shared" si="10"/>
        <v>660</v>
      </c>
      <c r="AM11" s="28"/>
      <c r="AN11" s="6"/>
      <c r="AO11" s="6"/>
      <c r="AP11" s="6">
        <f t="shared" si="11"/>
        <v>1.1111111111111112</v>
      </c>
      <c r="AQ11" s="6">
        <f t="shared" si="12"/>
        <v>1.4545454545454546</v>
      </c>
      <c r="AR11" s="6">
        <f t="shared" si="13"/>
        <v>1.1111111111111112</v>
      </c>
      <c r="AS11" s="4"/>
      <c r="AT11" s="4"/>
      <c r="AU11" s="4"/>
      <c r="AV11" s="4"/>
      <c r="AW11" s="4"/>
      <c r="AX11" s="4"/>
      <c r="AY11" s="4"/>
      <c r="AZ11" s="4"/>
      <c r="BA11" s="4"/>
      <c r="BB11" s="4">
        <v>0</v>
      </c>
      <c r="BC11" s="4" t="s">
        <v>138</v>
      </c>
      <c r="BD11" s="4">
        <v>1</v>
      </c>
      <c r="BE11" s="4">
        <v>10</v>
      </c>
      <c r="BF11" s="4" t="s">
        <v>130</v>
      </c>
      <c r="BG11" s="4">
        <v>10037</v>
      </c>
      <c r="BH11" s="4">
        <f t="shared" si="14"/>
        <v>1003.7</v>
      </c>
      <c r="BI11" s="19">
        <v>4</v>
      </c>
      <c r="BJ11" s="19">
        <v>8</v>
      </c>
      <c r="BK11" s="16">
        <v>5</v>
      </c>
      <c r="BL11" t="s">
        <v>115</v>
      </c>
      <c r="BM11" t="str">
        <f t="shared" si="15"/>
        <v>-</v>
      </c>
      <c r="BN11">
        <v>1800</v>
      </c>
      <c r="BO11">
        <f t="shared" si="16"/>
        <v>2000</v>
      </c>
      <c r="BP11" t="s">
        <v>125</v>
      </c>
    </row>
    <row r="12" spans="1:68" x14ac:dyDescent="0.4">
      <c r="A12" s="3">
        <v>23</v>
      </c>
      <c r="B12" s="3">
        <v>23</v>
      </c>
      <c r="C12" s="4" t="s">
        <v>84</v>
      </c>
      <c r="D12" s="4" t="str">
        <f t="shared" si="0"/>
        <v>J51663</v>
      </c>
      <c r="E12" s="4" t="s">
        <v>84</v>
      </c>
      <c r="F12" s="4" t="s">
        <v>109</v>
      </c>
      <c r="G12" s="5">
        <v>4977114210716</v>
      </c>
      <c r="H12" s="5"/>
      <c r="I12" s="5"/>
      <c r="J12" s="5">
        <v>1</v>
      </c>
      <c r="K12" s="5">
        <v>1</v>
      </c>
      <c r="L12" s="4">
        <v>1800</v>
      </c>
      <c r="M12" s="4">
        <v>1100</v>
      </c>
      <c r="N12" s="4">
        <v>846</v>
      </c>
      <c r="O12" s="6">
        <f t="shared" si="1"/>
        <v>0.23090909090909095</v>
      </c>
      <c r="P12" s="4" t="s">
        <v>115</v>
      </c>
      <c r="Q12" s="4"/>
      <c r="R12" s="4"/>
      <c r="S12" s="4"/>
      <c r="T12" s="4"/>
      <c r="U12" s="4"/>
      <c r="V12" s="4"/>
      <c r="W12" s="4"/>
      <c r="X12" s="4"/>
      <c r="Y12" s="4">
        <v>2000</v>
      </c>
      <c r="Z12" s="4">
        <f t="shared" si="2"/>
        <v>2000</v>
      </c>
      <c r="AA12" s="4">
        <v>940</v>
      </c>
      <c r="AB12" s="4">
        <f t="shared" si="3"/>
        <v>940</v>
      </c>
      <c r="AC12" s="4"/>
      <c r="AD12" s="21">
        <f t="shared" si="4"/>
        <v>1222</v>
      </c>
      <c r="AE12" s="6">
        <f t="shared" si="5"/>
        <v>0.23076923076923073</v>
      </c>
      <c r="AF12" s="33">
        <v>0.25</v>
      </c>
      <c r="AG12" s="4">
        <f t="shared" si="6"/>
        <v>1003.7</v>
      </c>
      <c r="AH12" s="33">
        <f t="shared" si="7"/>
        <v>1115.2222222222224</v>
      </c>
      <c r="AI12" s="6">
        <f t="shared" si="8"/>
        <v>0.15711866095446858</v>
      </c>
      <c r="AJ12" s="7">
        <v>1600</v>
      </c>
      <c r="AK12" s="6">
        <f t="shared" si="9"/>
        <v>0.41249999999999998</v>
      </c>
      <c r="AL12" s="4">
        <f t="shared" si="10"/>
        <v>660</v>
      </c>
      <c r="AM12" s="28"/>
      <c r="AN12" s="6"/>
      <c r="AO12" s="6"/>
      <c r="AP12" s="6">
        <f t="shared" si="11"/>
        <v>1.1111111111111112</v>
      </c>
      <c r="AQ12" s="6">
        <f t="shared" si="12"/>
        <v>1.4545454545454546</v>
      </c>
      <c r="AR12" s="6">
        <f t="shared" si="13"/>
        <v>1.1111111111111112</v>
      </c>
      <c r="AS12" s="4"/>
      <c r="AT12" s="4"/>
      <c r="AU12" s="4"/>
      <c r="AV12" s="4"/>
      <c r="AW12" s="4"/>
      <c r="AX12" s="4"/>
      <c r="AY12" s="4"/>
      <c r="AZ12" s="4"/>
      <c r="BA12" s="4"/>
      <c r="BB12" s="4">
        <v>0</v>
      </c>
      <c r="BC12" s="4" t="s">
        <v>139</v>
      </c>
      <c r="BD12" s="4">
        <v>1</v>
      </c>
      <c r="BE12" s="4">
        <v>10</v>
      </c>
      <c r="BF12" s="4" t="s">
        <v>130</v>
      </c>
      <c r="BG12" s="4">
        <v>10037</v>
      </c>
      <c r="BH12" s="4">
        <f t="shared" si="14"/>
        <v>1003.7</v>
      </c>
      <c r="BI12" s="19">
        <v>4</v>
      </c>
      <c r="BJ12" s="19">
        <v>8</v>
      </c>
      <c r="BK12" s="16">
        <v>5</v>
      </c>
      <c r="BL12" t="s">
        <v>115</v>
      </c>
      <c r="BM12" t="str">
        <f t="shared" si="15"/>
        <v>-</v>
      </c>
      <c r="BN12">
        <v>1800</v>
      </c>
      <c r="BO12">
        <f t="shared" si="16"/>
        <v>2000</v>
      </c>
      <c r="BP12" t="s">
        <v>126</v>
      </c>
    </row>
    <row r="13" spans="1:68" x14ac:dyDescent="0.4">
      <c r="A13" s="3">
        <v>24</v>
      </c>
      <c r="B13" s="3">
        <v>24</v>
      </c>
      <c r="C13" s="4" t="s">
        <v>85</v>
      </c>
      <c r="D13" s="4" t="str">
        <f t="shared" si="0"/>
        <v>J51788</v>
      </c>
      <c r="E13" s="4" t="s">
        <v>85</v>
      </c>
      <c r="F13" s="4" t="s">
        <v>110</v>
      </c>
      <c r="G13" s="5">
        <v>4977114110610</v>
      </c>
      <c r="H13" s="5"/>
      <c r="I13" s="5"/>
      <c r="J13" s="5">
        <v>1</v>
      </c>
      <c r="K13" s="5">
        <v>1</v>
      </c>
      <c r="L13" s="4">
        <v>7000</v>
      </c>
      <c r="M13" s="4">
        <v>4328</v>
      </c>
      <c r="N13" s="4">
        <v>3290</v>
      </c>
      <c r="O13" s="6">
        <f t="shared" si="1"/>
        <v>0.2398336414048059</v>
      </c>
      <c r="P13" s="4" t="s">
        <v>115</v>
      </c>
      <c r="Q13" s="4"/>
      <c r="R13" s="4"/>
      <c r="S13" s="4"/>
      <c r="T13" s="4"/>
      <c r="U13" s="4"/>
      <c r="V13" s="4"/>
      <c r="W13" s="4"/>
      <c r="X13" s="4"/>
      <c r="Y13" s="4">
        <v>12000</v>
      </c>
      <c r="Z13" s="4">
        <f t="shared" si="2"/>
        <v>12000</v>
      </c>
      <c r="AA13" s="4">
        <v>5640</v>
      </c>
      <c r="AB13" s="4">
        <f t="shared" si="3"/>
        <v>5640</v>
      </c>
      <c r="AC13" s="4"/>
      <c r="AD13" s="21">
        <f t="shared" si="4"/>
        <v>7419</v>
      </c>
      <c r="AE13" s="6">
        <f t="shared" si="5"/>
        <v>0.2397897290739992</v>
      </c>
      <c r="AF13" s="33">
        <v>0.25</v>
      </c>
      <c r="AG13" s="4">
        <f t="shared" si="6"/>
        <v>7000</v>
      </c>
      <c r="AH13" s="33">
        <f t="shared" si="7"/>
        <v>12000</v>
      </c>
      <c r="AI13" s="6">
        <f t="shared" si="8"/>
        <v>0.53</v>
      </c>
      <c r="AJ13" s="7">
        <v>8400</v>
      </c>
      <c r="AK13" s="6">
        <f t="shared" si="9"/>
        <v>0.32857142857142863</v>
      </c>
      <c r="AL13" s="4">
        <f t="shared" si="10"/>
        <v>2760</v>
      </c>
      <c r="AM13" s="28"/>
      <c r="AN13" s="6"/>
      <c r="AO13" s="6"/>
      <c r="AP13" s="6">
        <f t="shared" si="11"/>
        <v>1.7142857142857142</v>
      </c>
      <c r="AQ13" s="6">
        <f t="shared" si="12"/>
        <v>1.9408502772643252</v>
      </c>
      <c r="AR13" s="6">
        <f t="shared" si="13"/>
        <v>1.7142857142857142</v>
      </c>
      <c r="AS13" s="4"/>
      <c r="AT13" s="4"/>
      <c r="AU13" s="4"/>
      <c r="AV13" s="4"/>
      <c r="AW13" s="4"/>
      <c r="AX13" s="4"/>
      <c r="AY13" s="4"/>
      <c r="AZ13" s="4"/>
      <c r="BA13" s="4"/>
      <c r="BB13" s="4">
        <v>0</v>
      </c>
      <c r="BC13" s="4" t="s">
        <v>140</v>
      </c>
      <c r="BD13" s="4">
        <v>10</v>
      </c>
      <c r="BE13" s="4">
        <v>5</v>
      </c>
      <c r="BF13" s="4" t="s">
        <v>141</v>
      </c>
      <c r="BG13" s="4">
        <v>3500</v>
      </c>
      <c r="BH13" s="4">
        <f t="shared" si="14"/>
        <v>7000</v>
      </c>
      <c r="BI13" s="19">
        <v>4</v>
      </c>
      <c r="BJ13" s="19">
        <v>8</v>
      </c>
      <c r="BK13" s="16">
        <v>5</v>
      </c>
      <c r="BL13" t="s">
        <v>115</v>
      </c>
      <c r="BM13" t="str">
        <f t="shared" si="15"/>
        <v>-</v>
      </c>
      <c r="BN13">
        <v>665</v>
      </c>
      <c r="BO13">
        <f t="shared" si="16"/>
        <v>1140</v>
      </c>
      <c r="BP13" t="s">
        <v>127</v>
      </c>
    </row>
    <row r="14" spans="1:68" x14ac:dyDescent="0.4">
      <c r="A14" s="3">
        <v>25</v>
      </c>
      <c r="B14" s="3">
        <v>25</v>
      </c>
      <c r="C14" s="4" t="s">
        <v>86</v>
      </c>
      <c r="D14" s="4" t="str">
        <f t="shared" si="0"/>
        <v>J51789</v>
      </c>
      <c r="E14" s="4" t="s">
        <v>86</v>
      </c>
      <c r="F14" s="4" t="s">
        <v>111</v>
      </c>
      <c r="G14" s="5">
        <v>4977114110627</v>
      </c>
      <c r="H14" s="5"/>
      <c r="I14" s="5"/>
      <c r="J14" s="5">
        <v>1</v>
      </c>
      <c r="K14" s="5">
        <v>1</v>
      </c>
      <c r="L14" s="4">
        <v>7000</v>
      </c>
      <c r="M14" s="4">
        <v>4328</v>
      </c>
      <c r="N14" s="4">
        <v>3290</v>
      </c>
      <c r="O14" s="6">
        <f t="shared" si="1"/>
        <v>0.2398336414048059</v>
      </c>
      <c r="P14" s="4" t="s">
        <v>115</v>
      </c>
      <c r="Q14" s="4"/>
      <c r="R14" s="4"/>
      <c r="S14" s="4"/>
      <c r="T14" s="4"/>
      <c r="U14" s="4"/>
      <c r="V14" s="4"/>
      <c r="W14" s="4"/>
      <c r="X14" s="4"/>
      <c r="Y14" s="4">
        <v>12000</v>
      </c>
      <c r="Z14" s="4">
        <f t="shared" si="2"/>
        <v>12000</v>
      </c>
      <c r="AA14" s="4">
        <v>5640</v>
      </c>
      <c r="AB14" s="4">
        <f t="shared" si="3"/>
        <v>5640</v>
      </c>
      <c r="AC14" s="4"/>
      <c r="AD14" s="21">
        <f t="shared" si="4"/>
        <v>7419</v>
      </c>
      <c r="AE14" s="6">
        <f t="shared" si="5"/>
        <v>0.2397897290739992</v>
      </c>
      <c r="AF14" s="33">
        <v>0</v>
      </c>
      <c r="AG14" s="4">
        <f t="shared" si="6"/>
        <v>7000</v>
      </c>
      <c r="AH14" s="33">
        <f t="shared" si="7"/>
        <v>12000</v>
      </c>
      <c r="AI14" s="6">
        <f t="shared" si="8"/>
        <v>0.53</v>
      </c>
      <c r="AJ14" s="7">
        <v>8400</v>
      </c>
      <c r="AK14" s="6">
        <f t="shared" si="9"/>
        <v>0.32857142857142863</v>
      </c>
      <c r="AL14" s="4">
        <f t="shared" si="10"/>
        <v>2760</v>
      </c>
      <c r="AM14" s="28"/>
      <c r="AN14" s="6"/>
      <c r="AO14" s="6"/>
      <c r="AP14" s="6">
        <f t="shared" si="11"/>
        <v>1.7142857142857142</v>
      </c>
      <c r="AQ14" s="6">
        <f t="shared" si="12"/>
        <v>1.9408502772643252</v>
      </c>
      <c r="AR14" s="6">
        <f t="shared" si="13"/>
        <v>1.7142857142857142</v>
      </c>
      <c r="AS14" s="4"/>
      <c r="AT14" s="4"/>
      <c r="AU14" s="4"/>
      <c r="AV14" s="4"/>
      <c r="AW14" s="4"/>
      <c r="AX14" s="4"/>
      <c r="AY14" s="4"/>
      <c r="AZ14" s="4"/>
      <c r="BA14" s="4"/>
      <c r="BB14" s="4">
        <v>0</v>
      </c>
      <c r="BC14" s="4" t="s">
        <v>142</v>
      </c>
      <c r="BD14" s="4">
        <v>10</v>
      </c>
      <c r="BE14" s="4">
        <v>5</v>
      </c>
      <c r="BF14" s="4" t="s">
        <v>141</v>
      </c>
      <c r="BG14" s="4">
        <v>3500</v>
      </c>
      <c r="BH14" s="4">
        <f t="shared" si="14"/>
        <v>7000</v>
      </c>
      <c r="BI14" s="19">
        <v>4</v>
      </c>
      <c r="BJ14" s="19">
        <v>8</v>
      </c>
      <c r="BK14" s="16">
        <v>5</v>
      </c>
      <c r="BL14" t="s">
        <v>115</v>
      </c>
      <c r="BM14" t="str">
        <f t="shared" si="15"/>
        <v>-</v>
      </c>
      <c r="BN14">
        <v>665</v>
      </c>
      <c r="BO14">
        <f t="shared" si="16"/>
        <v>1140</v>
      </c>
      <c r="BP14" t="s">
        <v>128</v>
      </c>
    </row>
    <row r="15" spans="1:68" x14ac:dyDescent="0.4">
      <c r="A15" s="3">
        <v>1</v>
      </c>
      <c r="B15" s="3">
        <v>1</v>
      </c>
      <c r="C15" s="4" t="s">
        <v>66</v>
      </c>
      <c r="D15" s="4" t="str">
        <f t="shared" si="0"/>
        <v>1596AK</v>
      </c>
      <c r="E15" s="4" t="s">
        <v>66</v>
      </c>
      <c r="F15" s="4" t="s">
        <v>87</v>
      </c>
      <c r="G15" s="5">
        <v>4977114117145</v>
      </c>
      <c r="H15" s="5"/>
      <c r="I15" s="5"/>
      <c r="J15" s="5">
        <v>1</v>
      </c>
      <c r="K15" s="5">
        <v>1</v>
      </c>
      <c r="L15" s="4">
        <v>15000</v>
      </c>
      <c r="M15" s="4">
        <v>15000</v>
      </c>
      <c r="N15" s="4">
        <v>7500</v>
      </c>
      <c r="O15" s="6">
        <f t="shared" si="1"/>
        <v>0.5</v>
      </c>
      <c r="P15" s="4" t="s">
        <v>115</v>
      </c>
      <c r="Q15" s="4"/>
      <c r="R15" s="4"/>
      <c r="S15" s="4"/>
      <c r="T15" s="4"/>
      <c r="U15" s="4"/>
      <c r="V15" s="4"/>
      <c r="W15" s="4"/>
      <c r="X15" s="4"/>
      <c r="Y15" s="4">
        <v>22000</v>
      </c>
      <c r="Z15" s="4">
        <f t="shared" si="2"/>
        <v>22000</v>
      </c>
      <c r="AA15" s="4">
        <v>11000</v>
      </c>
      <c r="AB15" s="4">
        <f t="shared" si="3"/>
        <v>11000</v>
      </c>
      <c r="AC15" s="4"/>
      <c r="AD15" s="21">
        <f t="shared" si="4"/>
        <v>22000</v>
      </c>
      <c r="AE15" s="6">
        <f t="shared" si="5"/>
        <v>0.5</v>
      </c>
      <c r="AF15" s="33">
        <v>0.25</v>
      </c>
      <c r="AG15" s="4" t="str">
        <f t="shared" si="6"/>
        <v>-</v>
      </c>
      <c r="AH15" s="33" t="str">
        <f t="shared" si="7"/>
        <v>-</v>
      </c>
      <c r="AI15" s="6" t="str">
        <f t="shared" si="8"/>
        <v>-</v>
      </c>
      <c r="AJ15" s="7">
        <v>20000</v>
      </c>
      <c r="AK15" s="6">
        <f t="shared" si="9"/>
        <v>0.44999999999999996</v>
      </c>
      <c r="AL15" s="4">
        <f t="shared" si="10"/>
        <v>9000</v>
      </c>
      <c r="AM15" s="28"/>
      <c r="AN15" s="6" t="e">
        <f>1-AB15/AM15</f>
        <v>#DIV/0!</v>
      </c>
      <c r="AO15" s="4">
        <f>AM15-AB15</f>
        <v>-11000</v>
      </c>
      <c r="AP15" s="6">
        <f t="shared" si="11"/>
        <v>1.4666666666666666</v>
      </c>
      <c r="AQ15" s="6">
        <f t="shared" si="12"/>
        <v>1.3333333333333333</v>
      </c>
      <c r="AR15" s="6">
        <f t="shared" si="13"/>
        <v>1.4666666666666666</v>
      </c>
      <c r="AS15" s="4" t="str">
        <f>IFERROR(ROUND($AJ15*P15/$M15,0),"-")</f>
        <v>-</v>
      </c>
      <c r="AT15" s="4" t="str">
        <f>IF(Q15="","-",Q15)</f>
        <v>-</v>
      </c>
      <c r="AU15" s="4" t="str">
        <f>IF(R15="","-",R15)</f>
        <v>-</v>
      </c>
      <c r="AV15" s="4"/>
      <c r="AW15" s="4"/>
      <c r="AX15" s="4"/>
      <c r="AY15" s="4"/>
      <c r="AZ15" s="4"/>
      <c r="BA15" s="4"/>
      <c r="BB15" s="4">
        <v>0</v>
      </c>
      <c r="BC15" s="4" t="s">
        <v>114</v>
      </c>
      <c r="BD15" s="4"/>
      <c r="BE15" s="4"/>
      <c r="BF15" s="4" t="s">
        <v>114</v>
      </c>
      <c r="BG15" s="4" t="s">
        <v>114</v>
      </c>
      <c r="BH15" s="4" t="str">
        <f t="shared" si="14"/>
        <v>-</v>
      </c>
      <c r="BI15" s="19">
        <v>4</v>
      </c>
      <c r="BJ15" s="19">
        <v>1</v>
      </c>
      <c r="BK15" s="16">
        <v>5</v>
      </c>
      <c r="BL15" t="s">
        <v>115</v>
      </c>
      <c r="BM15" t="str">
        <f t="shared" si="15"/>
        <v>-</v>
      </c>
      <c r="BN15" t="s">
        <v>114</v>
      </c>
      <c r="BO15" t="str">
        <f t="shared" si="16"/>
        <v>-</v>
      </c>
      <c r="BP15" t="s">
        <v>114</v>
      </c>
    </row>
    <row r="16" spans="1:68" x14ac:dyDescent="0.4">
      <c r="A16" s="3">
        <v>2</v>
      </c>
      <c r="B16" s="3">
        <v>2</v>
      </c>
      <c r="C16" s="4" t="s">
        <v>67</v>
      </c>
      <c r="D16" s="4" t="str">
        <f t="shared" si="0"/>
        <v>1597AK</v>
      </c>
      <c r="E16" s="4" t="s">
        <v>67</v>
      </c>
      <c r="F16" s="4" t="s">
        <v>88</v>
      </c>
      <c r="G16" s="5">
        <v>4977114117152</v>
      </c>
      <c r="H16" s="5"/>
      <c r="I16" s="5"/>
      <c r="J16" s="5">
        <v>1</v>
      </c>
      <c r="K16" s="5">
        <v>1</v>
      </c>
      <c r="L16" s="4">
        <v>15000</v>
      </c>
      <c r="M16" s="4">
        <v>15000</v>
      </c>
      <c r="N16" s="4">
        <v>7500</v>
      </c>
      <c r="O16" s="6">
        <f t="shared" si="1"/>
        <v>0.5</v>
      </c>
      <c r="P16" s="4" t="s">
        <v>115</v>
      </c>
      <c r="Q16" s="4"/>
      <c r="R16" s="4"/>
      <c r="S16" s="4"/>
      <c r="T16" s="4"/>
      <c r="U16" s="4"/>
      <c r="V16" s="4"/>
      <c r="W16" s="4"/>
      <c r="X16" s="4"/>
      <c r="Y16" s="4">
        <v>22000</v>
      </c>
      <c r="Z16" s="4">
        <f t="shared" si="2"/>
        <v>22000</v>
      </c>
      <c r="AA16" s="4">
        <v>11000</v>
      </c>
      <c r="AB16" s="4">
        <f t="shared" si="3"/>
        <v>11000</v>
      </c>
      <c r="AC16" s="4"/>
      <c r="AD16" s="21">
        <f t="shared" si="4"/>
        <v>22000</v>
      </c>
      <c r="AE16" s="6">
        <f t="shared" si="5"/>
        <v>0.5</v>
      </c>
      <c r="AF16" s="33">
        <v>0.5</v>
      </c>
      <c r="AG16" s="4" t="str">
        <f t="shared" si="6"/>
        <v>-</v>
      </c>
      <c r="AH16" s="33" t="str">
        <f t="shared" si="7"/>
        <v>-</v>
      </c>
      <c r="AI16" s="6" t="str">
        <f t="shared" si="8"/>
        <v>-</v>
      </c>
      <c r="AJ16" s="7">
        <v>20000</v>
      </c>
      <c r="AK16" s="6">
        <f t="shared" si="9"/>
        <v>0.44999999999999996</v>
      </c>
      <c r="AL16" s="4">
        <f t="shared" si="10"/>
        <v>9000</v>
      </c>
      <c r="AM16" s="28"/>
      <c r="AN16" s="6"/>
      <c r="AO16" s="6"/>
      <c r="AP16" s="6">
        <f t="shared" si="11"/>
        <v>1.4666666666666666</v>
      </c>
      <c r="AQ16" s="6">
        <f t="shared" si="12"/>
        <v>1.3333333333333333</v>
      </c>
      <c r="AR16" s="6">
        <f t="shared" si="13"/>
        <v>1.4666666666666666</v>
      </c>
      <c r="AS16" s="4"/>
      <c r="AT16" s="4"/>
      <c r="AU16" s="4"/>
      <c r="AV16" s="4"/>
      <c r="AW16" s="4"/>
      <c r="AX16" s="4"/>
      <c r="AY16" s="4"/>
      <c r="AZ16" s="4"/>
      <c r="BA16" s="4"/>
      <c r="BB16" s="4">
        <v>0</v>
      </c>
      <c r="BC16" s="4" t="s">
        <v>114</v>
      </c>
      <c r="BD16" s="4"/>
      <c r="BE16" s="4"/>
      <c r="BF16" s="4" t="s">
        <v>114</v>
      </c>
      <c r="BG16" s="4" t="s">
        <v>114</v>
      </c>
      <c r="BH16" s="4" t="str">
        <f t="shared" si="14"/>
        <v>-</v>
      </c>
      <c r="BI16" s="19">
        <v>4</v>
      </c>
      <c r="BJ16" s="19">
        <v>1</v>
      </c>
      <c r="BK16" s="16">
        <v>5</v>
      </c>
      <c r="BL16" t="s">
        <v>115</v>
      </c>
      <c r="BM16" t="str">
        <f t="shared" si="15"/>
        <v>-</v>
      </c>
      <c r="BN16" t="s">
        <v>114</v>
      </c>
      <c r="BO16" t="str">
        <f t="shared" si="16"/>
        <v>-</v>
      </c>
      <c r="BP16" t="s">
        <v>114</v>
      </c>
    </row>
    <row r="17" spans="1:68" x14ac:dyDescent="0.4">
      <c r="A17" s="3">
        <v>3</v>
      </c>
      <c r="B17" s="3">
        <v>3</v>
      </c>
      <c r="C17" s="4" t="s">
        <v>68</v>
      </c>
      <c r="D17" s="4" t="str">
        <f t="shared" si="0"/>
        <v>1598AK</v>
      </c>
      <c r="E17" s="4" t="s">
        <v>68</v>
      </c>
      <c r="F17" s="4" t="s">
        <v>89</v>
      </c>
      <c r="G17" s="5">
        <v>4977114117169</v>
      </c>
      <c r="H17" s="5"/>
      <c r="I17" s="5"/>
      <c r="J17" s="5">
        <v>1</v>
      </c>
      <c r="K17" s="5">
        <v>1</v>
      </c>
      <c r="L17" s="4">
        <v>15000</v>
      </c>
      <c r="M17" s="4">
        <v>15000</v>
      </c>
      <c r="N17" s="4">
        <v>7500</v>
      </c>
      <c r="O17" s="6">
        <f t="shared" si="1"/>
        <v>0.5</v>
      </c>
      <c r="P17" s="4" t="s">
        <v>115</v>
      </c>
      <c r="Q17" s="4"/>
      <c r="R17" s="4"/>
      <c r="S17" s="4"/>
      <c r="T17" s="4"/>
      <c r="U17" s="4"/>
      <c r="V17" s="4"/>
      <c r="W17" s="4"/>
      <c r="X17" s="4"/>
      <c r="Y17" s="4">
        <v>22000</v>
      </c>
      <c r="Z17" s="4">
        <f t="shared" si="2"/>
        <v>22000</v>
      </c>
      <c r="AA17" s="4">
        <v>11000</v>
      </c>
      <c r="AB17" s="4">
        <f t="shared" si="3"/>
        <v>11000</v>
      </c>
      <c r="AC17" s="4"/>
      <c r="AD17" s="21">
        <f t="shared" si="4"/>
        <v>22000</v>
      </c>
      <c r="AE17" s="6">
        <f t="shared" si="5"/>
        <v>0.5</v>
      </c>
      <c r="AF17" s="33">
        <v>0</v>
      </c>
      <c r="AG17" s="4" t="str">
        <f t="shared" si="6"/>
        <v>-</v>
      </c>
      <c r="AH17" s="33" t="str">
        <f t="shared" si="7"/>
        <v>-</v>
      </c>
      <c r="AI17" s="6" t="str">
        <f t="shared" si="8"/>
        <v>-</v>
      </c>
      <c r="AJ17" s="7">
        <v>20000</v>
      </c>
      <c r="AK17" s="6">
        <f t="shared" si="9"/>
        <v>0.44999999999999996</v>
      </c>
      <c r="AL17" s="4">
        <f t="shared" si="10"/>
        <v>9000</v>
      </c>
      <c r="AM17" s="28"/>
      <c r="AN17" s="6"/>
      <c r="AO17" s="6"/>
      <c r="AP17" s="6">
        <f t="shared" si="11"/>
        <v>1.4666666666666666</v>
      </c>
      <c r="AQ17" s="6">
        <f t="shared" si="12"/>
        <v>1.3333333333333333</v>
      </c>
      <c r="AR17" s="6">
        <f t="shared" si="13"/>
        <v>1.4666666666666666</v>
      </c>
      <c r="AS17" s="4"/>
      <c r="AT17" s="4"/>
      <c r="AU17" s="4"/>
      <c r="AV17" s="4"/>
      <c r="AW17" s="4"/>
      <c r="AX17" s="4"/>
      <c r="AY17" s="4"/>
      <c r="AZ17" s="4"/>
      <c r="BA17" s="4"/>
      <c r="BB17" s="4">
        <v>0</v>
      </c>
      <c r="BC17" s="4" t="s">
        <v>114</v>
      </c>
      <c r="BD17" s="4"/>
      <c r="BE17" s="4"/>
      <c r="BF17" s="4" t="s">
        <v>114</v>
      </c>
      <c r="BG17" s="4" t="s">
        <v>114</v>
      </c>
      <c r="BH17" s="4" t="str">
        <f t="shared" si="14"/>
        <v>-</v>
      </c>
      <c r="BI17" s="19">
        <v>4</v>
      </c>
      <c r="BJ17" s="19">
        <v>1</v>
      </c>
      <c r="BK17" s="16">
        <v>5</v>
      </c>
      <c r="BL17" t="s">
        <v>115</v>
      </c>
      <c r="BM17" t="str">
        <f t="shared" si="15"/>
        <v>-</v>
      </c>
      <c r="BN17" t="s">
        <v>114</v>
      </c>
      <c r="BO17" t="str">
        <f t="shared" si="16"/>
        <v>-</v>
      </c>
      <c r="BP17" t="s">
        <v>114</v>
      </c>
    </row>
    <row r="18" spans="1:68" x14ac:dyDescent="0.4">
      <c r="A18" s="3">
        <v>4</v>
      </c>
      <c r="B18" s="3">
        <v>4</v>
      </c>
      <c r="C18" s="4" t="s">
        <v>69</v>
      </c>
      <c r="D18" s="4" t="str">
        <f t="shared" si="0"/>
        <v>1599AK</v>
      </c>
      <c r="E18" s="4" t="s">
        <v>69</v>
      </c>
      <c r="F18" s="4" t="s">
        <v>90</v>
      </c>
      <c r="G18" s="5">
        <v>4977114117176</v>
      </c>
      <c r="H18" s="5"/>
      <c r="I18" s="5"/>
      <c r="J18" s="5">
        <v>1</v>
      </c>
      <c r="K18" s="5">
        <v>1</v>
      </c>
      <c r="L18" s="4">
        <v>15000</v>
      </c>
      <c r="M18" s="4">
        <v>15000</v>
      </c>
      <c r="N18" s="4">
        <v>7500</v>
      </c>
      <c r="O18" s="6">
        <f t="shared" si="1"/>
        <v>0.5</v>
      </c>
      <c r="P18" s="4" t="s">
        <v>115</v>
      </c>
      <c r="Q18" s="4"/>
      <c r="R18" s="4"/>
      <c r="S18" s="4"/>
      <c r="T18" s="4"/>
      <c r="U18" s="4"/>
      <c r="V18" s="4"/>
      <c r="W18" s="4"/>
      <c r="X18" s="4"/>
      <c r="Y18" s="4">
        <v>22000</v>
      </c>
      <c r="Z18" s="4">
        <f t="shared" si="2"/>
        <v>22000</v>
      </c>
      <c r="AA18" s="4">
        <v>11000</v>
      </c>
      <c r="AB18" s="4">
        <f t="shared" si="3"/>
        <v>11000</v>
      </c>
      <c r="AC18" s="4"/>
      <c r="AD18" s="21">
        <f t="shared" si="4"/>
        <v>22000</v>
      </c>
      <c r="AE18" s="6">
        <f t="shared" si="5"/>
        <v>0.5</v>
      </c>
      <c r="AF18" s="33">
        <v>0</v>
      </c>
      <c r="AG18" s="4" t="str">
        <f t="shared" si="6"/>
        <v>-</v>
      </c>
      <c r="AH18" s="33" t="str">
        <f t="shared" si="7"/>
        <v>-</v>
      </c>
      <c r="AI18" s="6" t="str">
        <f t="shared" si="8"/>
        <v>-</v>
      </c>
      <c r="AJ18" s="7">
        <v>20000</v>
      </c>
      <c r="AK18" s="6">
        <f t="shared" si="9"/>
        <v>0.44999999999999996</v>
      </c>
      <c r="AL18" s="4">
        <f t="shared" si="10"/>
        <v>9000</v>
      </c>
      <c r="AM18" s="28"/>
      <c r="AN18" s="6"/>
      <c r="AO18" s="6"/>
      <c r="AP18" s="6">
        <f t="shared" si="11"/>
        <v>1.4666666666666666</v>
      </c>
      <c r="AQ18" s="6">
        <f t="shared" si="12"/>
        <v>1.3333333333333333</v>
      </c>
      <c r="AR18" s="6">
        <f t="shared" si="13"/>
        <v>1.4666666666666666</v>
      </c>
      <c r="AS18" s="4"/>
      <c r="AT18" s="4"/>
      <c r="AU18" s="4"/>
      <c r="AV18" s="4"/>
      <c r="AW18" s="4"/>
      <c r="AX18" s="4"/>
      <c r="AY18" s="4"/>
      <c r="AZ18" s="4"/>
      <c r="BA18" s="4"/>
      <c r="BB18" s="4">
        <v>0</v>
      </c>
      <c r="BC18" s="4" t="s">
        <v>114</v>
      </c>
      <c r="BD18" s="4"/>
      <c r="BE18" s="4"/>
      <c r="BF18" s="4" t="s">
        <v>114</v>
      </c>
      <c r="BG18" s="4" t="s">
        <v>114</v>
      </c>
      <c r="BH18" s="4" t="str">
        <f t="shared" si="14"/>
        <v>-</v>
      </c>
      <c r="BI18" s="19">
        <v>4</v>
      </c>
      <c r="BJ18" s="19">
        <v>1</v>
      </c>
      <c r="BK18" s="16">
        <v>5</v>
      </c>
      <c r="BL18" t="s">
        <v>115</v>
      </c>
      <c r="BM18" t="str">
        <f t="shared" si="15"/>
        <v>-</v>
      </c>
      <c r="BN18" t="s">
        <v>114</v>
      </c>
      <c r="BO18" t="str">
        <f t="shared" si="16"/>
        <v>-</v>
      </c>
      <c r="BP18" t="s">
        <v>114</v>
      </c>
    </row>
    <row r="19" spans="1:68" x14ac:dyDescent="0.4">
      <c r="A19" s="3">
        <v>5</v>
      </c>
      <c r="B19" s="3">
        <v>5</v>
      </c>
      <c r="C19" s="4" t="s">
        <v>70</v>
      </c>
      <c r="D19" s="4" t="str">
        <f t="shared" si="0"/>
        <v>1600AK</v>
      </c>
      <c r="E19" s="4" t="s">
        <v>70</v>
      </c>
      <c r="F19" s="4" t="s">
        <v>91</v>
      </c>
      <c r="G19" s="5">
        <v>4977114117183</v>
      </c>
      <c r="H19" s="5"/>
      <c r="I19" s="5"/>
      <c r="J19" s="5">
        <v>1</v>
      </c>
      <c r="K19" s="5">
        <v>1</v>
      </c>
      <c r="L19" s="4">
        <v>15000</v>
      </c>
      <c r="M19" s="4">
        <v>15000</v>
      </c>
      <c r="N19" s="4">
        <v>7500</v>
      </c>
      <c r="O19" s="6">
        <f t="shared" si="1"/>
        <v>0.5</v>
      </c>
      <c r="P19" s="4" t="s">
        <v>115</v>
      </c>
      <c r="Q19" s="4"/>
      <c r="R19" s="4"/>
      <c r="S19" s="4"/>
      <c r="T19" s="4"/>
      <c r="U19" s="4"/>
      <c r="V19" s="4"/>
      <c r="W19" s="4"/>
      <c r="X19" s="4"/>
      <c r="Y19" s="4">
        <v>22000</v>
      </c>
      <c r="Z19" s="4">
        <f t="shared" si="2"/>
        <v>22000</v>
      </c>
      <c r="AA19" s="4">
        <v>11000</v>
      </c>
      <c r="AB19" s="4">
        <f t="shared" si="3"/>
        <v>11000</v>
      </c>
      <c r="AC19" s="4"/>
      <c r="AD19" s="21">
        <f t="shared" si="4"/>
        <v>22000</v>
      </c>
      <c r="AE19" s="6">
        <f t="shared" si="5"/>
        <v>0.5</v>
      </c>
      <c r="AF19" s="33">
        <v>0</v>
      </c>
      <c r="AG19" s="4" t="str">
        <f t="shared" si="6"/>
        <v>-</v>
      </c>
      <c r="AH19" s="33" t="str">
        <f t="shared" si="7"/>
        <v>-</v>
      </c>
      <c r="AI19" s="6" t="str">
        <f t="shared" si="8"/>
        <v>-</v>
      </c>
      <c r="AJ19" s="7">
        <v>20000</v>
      </c>
      <c r="AK19" s="6">
        <f t="shared" si="9"/>
        <v>0.44999999999999996</v>
      </c>
      <c r="AL19" s="4">
        <f t="shared" si="10"/>
        <v>9000</v>
      </c>
      <c r="AM19" s="28"/>
      <c r="AN19" s="6"/>
      <c r="AO19" s="6"/>
      <c r="AP19" s="6">
        <f t="shared" si="11"/>
        <v>1.4666666666666666</v>
      </c>
      <c r="AQ19" s="6">
        <f t="shared" si="12"/>
        <v>1.3333333333333333</v>
      </c>
      <c r="AR19" s="6">
        <f t="shared" si="13"/>
        <v>1.4666666666666666</v>
      </c>
      <c r="AS19" s="4"/>
      <c r="AT19" s="4"/>
      <c r="AU19" s="4"/>
      <c r="AV19" s="4"/>
      <c r="AW19" s="4"/>
      <c r="AX19" s="4"/>
      <c r="AY19" s="4"/>
      <c r="AZ19" s="4"/>
      <c r="BA19" s="4"/>
      <c r="BB19" s="4">
        <v>0</v>
      </c>
      <c r="BC19" s="4" t="s">
        <v>114</v>
      </c>
      <c r="BD19" s="4"/>
      <c r="BE19" s="4"/>
      <c r="BF19" s="4" t="s">
        <v>114</v>
      </c>
      <c r="BG19" s="4" t="s">
        <v>114</v>
      </c>
      <c r="BH19" s="4" t="str">
        <f t="shared" si="14"/>
        <v>-</v>
      </c>
      <c r="BI19" s="19">
        <v>4</v>
      </c>
      <c r="BJ19" s="19">
        <v>1</v>
      </c>
      <c r="BK19" s="16">
        <v>5</v>
      </c>
      <c r="BL19" t="s">
        <v>115</v>
      </c>
      <c r="BM19" t="str">
        <f t="shared" si="15"/>
        <v>-</v>
      </c>
      <c r="BN19" t="s">
        <v>114</v>
      </c>
      <c r="BO19" t="str">
        <f t="shared" si="16"/>
        <v>-</v>
      </c>
      <c r="BP19" t="s">
        <v>114</v>
      </c>
    </row>
    <row r="20" spans="1:68" x14ac:dyDescent="0.4">
      <c r="A20" s="3">
        <v>6</v>
      </c>
      <c r="B20" s="3">
        <v>6</v>
      </c>
      <c r="C20" s="4" t="s">
        <v>71</v>
      </c>
      <c r="D20" s="4" t="str">
        <f t="shared" si="0"/>
        <v>1601AK</v>
      </c>
      <c r="E20" s="4" t="s">
        <v>71</v>
      </c>
      <c r="F20" s="4" t="s">
        <v>92</v>
      </c>
      <c r="G20" s="5">
        <v>4977114117190</v>
      </c>
      <c r="H20" s="5"/>
      <c r="I20" s="5"/>
      <c r="J20" s="5">
        <v>1</v>
      </c>
      <c r="K20" s="5">
        <v>1</v>
      </c>
      <c r="L20" s="4">
        <v>15000</v>
      </c>
      <c r="M20" s="4">
        <v>15000</v>
      </c>
      <c r="N20" s="4">
        <v>7500</v>
      </c>
      <c r="O20" s="6">
        <f t="shared" si="1"/>
        <v>0.5</v>
      </c>
      <c r="P20" s="4" t="s">
        <v>115</v>
      </c>
      <c r="Q20" s="4"/>
      <c r="R20" s="4"/>
      <c r="S20" s="4"/>
      <c r="T20" s="4"/>
      <c r="U20" s="4"/>
      <c r="V20" s="4"/>
      <c r="W20" s="4"/>
      <c r="X20" s="4"/>
      <c r="Y20" s="4">
        <v>22000</v>
      </c>
      <c r="Z20" s="4">
        <f t="shared" si="2"/>
        <v>22000</v>
      </c>
      <c r="AA20" s="4">
        <v>11000</v>
      </c>
      <c r="AB20" s="4">
        <f t="shared" si="3"/>
        <v>11000</v>
      </c>
      <c r="AC20" s="4"/>
      <c r="AD20" s="21">
        <f t="shared" si="4"/>
        <v>22000</v>
      </c>
      <c r="AE20" s="6">
        <f t="shared" si="5"/>
        <v>0.5</v>
      </c>
      <c r="AF20" s="33">
        <v>0</v>
      </c>
      <c r="AG20" s="4" t="str">
        <f t="shared" si="6"/>
        <v>-</v>
      </c>
      <c r="AH20" s="33" t="str">
        <f t="shared" si="7"/>
        <v>-</v>
      </c>
      <c r="AI20" s="6" t="str">
        <f t="shared" si="8"/>
        <v>-</v>
      </c>
      <c r="AJ20" s="7">
        <v>20000</v>
      </c>
      <c r="AK20" s="6">
        <f t="shared" si="9"/>
        <v>0.44999999999999996</v>
      </c>
      <c r="AL20" s="4">
        <f t="shared" si="10"/>
        <v>9000</v>
      </c>
      <c r="AM20" s="28"/>
      <c r="AN20" s="6"/>
      <c r="AO20" s="6"/>
      <c r="AP20" s="6">
        <f t="shared" si="11"/>
        <v>1.4666666666666666</v>
      </c>
      <c r="AQ20" s="6">
        <f t="shared" si="12"/>
        <v>1.3333333333333333</v>
      </c>
      <c r="AR20" s="6">
        <f t="shared" si="13"/>
        <v>1.4666666666666666</v>
      </c>
      <c r="AS20" s="4"/>
      <c r="AT20" s="4"/>
      <c r="AU20" s="4"/>
      <c r="AV20" s="4"/>
      <c r="AW20" s="4"/>
      <c r="AX20" s="4"/>
      <c r="AY20" s="4"/>
      <c r="AZ20" s="4"/>
      <c r="BA20" s="4"/>
      <c r="BB20" s="4">
        <v>0</v>
      </c>
      <c r="BC20" s="4" t="s">
        <v>114</v>
      </c>
      <c r="BD20" s="4"/>
      <c r="BE20" s="4"/>
      <c r="BF20" s="4" t="s">
        <v>114</v>
      </c>
      <c r="BG20" s="4" t="s">
        <v>114</v>
      </c>
      <c r="BH20" s="4" t="str">
        <f t="shared" si="14"/>
        <v>-</v>
      </c>
      <c r="BI20" s="19">
        <v>4</v>
      </c>
      <c r="BJ20" s="19">
        <v>1</v>
      </c>
      <c r="BK20" s="16">
        <v>5</v>
      </c>
      <c r="BL20" t="s">
        <v>115</v>
      </c>
      <c r="BM20" t="str">
        <f t="shared" si="15"/>
        <v>-</v>
      </c>
      <c r="BN20" t="s">
        <v>114</v>
      </c>
      <c r="BO20" t="str">
        <f t="shared" si="16"/>
        <v>-</v>
      </c>
      <c r="BP20" t="s">
        <v>114</v>
      </c>
    </row>
    <row r="21" spans="1:68" x14ac:dyDescent="0.4">
      <c r="A21" s="3">
        <v>7</v>
      </c>
      <c r="B21" s="3">
        <v>7</v>
      </c>
      <c r="C21" s="4" t="s">
        <v>72</v>
      </c>
      <c r="D21" s="4" t="str">
        <f t="shared" si="0"/>
        <v>1602AK</v>
      </c>
      <c r="E21" s="4" t="s">
        <v>72</v>
      </c>
      <c r="F21" s="4" t="s">
        <v>93</v>
      </c>
      <c r="G21" s="5">
        <v>4977114117206</v>
      </c>
      <c r="H21" s="5"/>
      <c r="I21" s="5"/>
      <c r="J21" s="5">
        <v>1</v>
      </c>
      <c r="K21" s="5">
        <v>1</v>
      </c>
      <c r="L21" s="4">
        <v>15000</v>
      </c>
      <c r="M21" s="4">
        <v>15000</v>
      </c>
      <c r="N21" s="4">
        <v>7500</v>
      </c>
      <c r="O21" s="6">
        <f t="shared" si="1"/>
        <v>0.5</v>
      </c>
      <c r="P21" s="4" t="s">
        <v>115</v>
      </c>
      <c r="Q21" s="4"/>
      <c r="R21" s="4"/>
      <c r="S21" s="4"/>
      <c r="T21" s="4"/>
      <c r="U21" s="4"/>
      <c r="V21" s="4"/>
      <c r="W21" s="4"/>
      <c r="X21" s="4"/>
      <c r="Y21" s="4">
        <v>22000</v>
      </c>
      <c r="Z21" s="4">
        <f t="shared" si="2"/>
        <v>22000</v>
      </c>
      <c r="AA21" s="4">
        <v>11000</v>
      </c>
      <c r="AB21" s="4">
        <f t="shared" si="3"/>
        <v>11000</v>
      </c>
      <c r="AC21" s="4"/>
      <c r="AD21" s="21">
        <f t="shared" si="4"/>
        <v>22000</v>
      </c>
      <c r="AE21" s="6">
        <f t="shared" si="5"/>
        <v>0.5</v>
      </c>
      <c r="AF21" s="33">
        <v>0</v>
      </c>
      <c r="AG21" s="4" t="str">
        <f t="shared" si="6"/>
        <v>-</v>
      </c>
      <c r="AH21" s="33" t="str">
        <f t="shared" si="7"/>
        <v>-</v>
      </c>
      <c r="AI21" s="6" t="str">
        <f t="shared" si="8"/>
        <v>-</v>
      </c>
      <c r="AJ21" s="7">
        <v>20000</v>
      </c>
      <c r="AK21" s="6">
        <f t="shared" si="9"/>
        <v>0.44999999999999996</v>
      </c>
      <c r="AL21" s="4">
        <f t="shared" si="10"/>
        <v>9000</v>
      </c>
      <c r="AM21" s="28"/>
      <c r="AN21" s="6"/>
      <c r="AO21" s="6"/>
      <c r="AP21" s="6">
        <f t="shared" si="11"/>
        <v>1.4666666666666666</v>
      </c>
      <c r="AQ21" s="6">
        <f t="shared" si="12"/>
        <v>1.3333333333333333</v>
      </c>
      <c r="AR21" s="6">
        <f t="shared" si="13"/>
        <v>1.4666666666666666</v>
      </c>
      <c r="AS21" s="4"/>
      <c r="AT21" s="4"/>
      <c r="AU21" s="4"/>
      <c r="AV21" s="4"/>
      <c r="AW21" s="4"/>
      <c r="AX21" s="4"/>
      <c r="AY21" s="4"/>
      <c r="AZ21" s="4"/>
      <c r="BA21" s="4"/>
      <c r="BB21" s="4">
        <v>0</v>
      </c>
      <c r="BC21" s="4" t="s">
        <v>114</v>
      </c>
      <c r="BD21" s="4"/>
      <c r="BE21" s="4"/>
      <c r="BF21" s="4" t="s">
        <v>114</v>
      </c>
      <c r="BG21" s="4" t="s">
        <v>114</v>
      </c>
      <c r="BH21" s="4" t="str">
        <f t="shared" si="14"/>
        <v>-</v>
      </c>
      <c r="BI21" s="19">
        <v>4</v>
      </c>
      <c r="BJ21" s="19">
        <v>1</v>
      </c>
      <c r="BK21" s="16">
        <v>5</v>
      </c>
      <c r="BL21" t="s">
        <v>115</v>
      </c>
      <c r="BM21" t="str">
        <f t="shared" si="15"/>
        <v>-</v>
      </c>
      <c r="BN21" t="s">
        <v>114</v>
      </c>
      <c r="BO21" t="str">
        <f t="shared" si="16"/>
        <v>-</v>
      </c>
      <c r="BP21" t="s">
        <v>114</v>
      </c>
    </row>
    <row r="22" spans="1:68" x14ac:dyDescent="0.4">
      <c r="A22" s="3">
        <v>8</v>
      </c>
      <c r="B22" s="3">
        <v>8</v>
      </c>
      <c r="C22" s="4" t="s">
        <v>73</v>
      </c>
      <c r="D22" s="4" t="str">
        <f t="shared" si="0"/>
        <v>1603AK</v>
      </c>
      <c r="E22" s="4" t="s">
        <v>73</v>
      </c>
      <c r="F22" s="4" t="s">
        <v>94</v>
      </c>
      <c r="G22" s="5">
        <v>4977114117213</v>
      </c>
      <c r="H22" s="5"/>
      <c r="I22" s="5"/>
      <c r="J22" s="5">
        <v>1</v>
      </c>
      <c r="K22" s="5">
        <v>1</v>
      </c>
      <c r="L22" s="4">
        <v>15000</v>
      </c>
      <c r="M22" s="4">
        <v>15000</v>
      </c>
      <c r="N22" s="4">
        <v>7500</v>
      </c>
      <c r="O22" s="6">
        <f t="shared" si="1"/>
        <v>0.5</v>
      </c>
      <c r="P22" s="4" t="s">
        <v>115</v>
      </c>
      <c r="Q22" s="4"/>
      <c r="R22" s="4"/>
      <c r="S22" s="4"/>
      <c r="T22" s="4"/>
      <c r="U22" s="4"/>
      <c r="V22" s="4"/>
      <c r="W22" s="4"/>
      <c r="X22" s="4"/>
      <c r="Y22" s="4">
        <v>22000</v>
      </c>
      <c r="Z22" s="4">
        <f t="shared" si="2"/>
        <v>22000</v>
      </c>
      <c r="AA22" s="4">
        <v>11000</v>
      </c>
      <c r="AB22" s="4">
        <f t="shared" si="3"/>
        <v>11000</v>
      </c>
      <c r="AC22" s="4"/>
      <c r="AD22" s="21">
        <f t="shared" si="4"/>
        <v>22000</v>
      </c>
      <c r="AE22" s="6">
        <f t="shared" si="5"/>
        <v>0.5</v>
      </c>
      <c r="AF22" s="33">
        <v>0</v>
      </c>
      <c r="AG22" s="4" t="str">
        <f t="shared" si="6"/>
        <v>-</v>
      </c>
      <c r="AH22" s="33" t="str">
        <f t="shared" si="7"/>
        <v>-</v>
      </c>
      <c r="AI22" s="6" t="str">
        <f t="shared" si="8"/>
        <v>-</v>
      </c>
      <c r="AJ22" s="7">
        <v>20000</v>
      </c>
      <c r="AK22" s="6">
        <f t="shared" si="9"/>
        <v>0.44999999999999996</v>
      </c>
      <c r="AL22" s="4">
        <f t="shared" si="10"/>
        <v>9000</v>
      </c>
      <c r="AM22" s="28"/>
      <c r="AN22" s="6"/>
      <c r="AO22" s="6"/>
      <c r="AP22" s="6">
        <f t="shared" si="11"/>
        <v>1.4666666666666666</v>
      </c>
      <c r="AQ22" s="6">
        <f t="shared" si="12"/>
        <v>1.3333333333333333</v>
      </c>
      <c r="AR22" s="6">
        <f t="shared" si="13"/>
        <v>1.4666666666666666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 t="s">
        <v>114</v>
      </c>
      <c r="BD22" s="4"/>
      <c r="BE22" s="4"/>
      <c r="BF22" s="4" t="s">
        <v>114</v>
      </c>
      <c r="BG22" s="4" t="s">
        <v>114</v>
      </c>
      <c r="BH22" s="4" t="str">
        <f t="shared" si="14"/>
        <v>-</v>
      </c>
      <c r="BI22" s="19">
        <v>4</v>
      </c>
      <c r="BJ22" s="19">
        <v>1</v>
      </c>
      <c r="BK22" s="16">
        <v>5</v>
      </c>
      <c r="BL22" t="s">
        <v>115</v>
      </c>
      <c r="BM22" t="str">
        <f t="shared" si="15"/>
        <v>-</v>
      </c>
      <c r="BN22" t="s">
        <v>114</v>
      </c>
      <c r="BO22" t="str">
        <f t="shared" si="16"/>
        <v>-</v>
      </c>
      <c r="BP22" t="s">
        <v>114</v>
      </c>
    </row>
    <row r="23" spans="1:68" x14ac:dyDescent="0.4">
      <c r="A23" s="3">
        <v>19</v>
      </c>
      <c r="B23" s="3">
        <v>19</v>
      </c>
      <c r="C23" s="4" t="s">
        <v>80</v>
      </c>
      <c r="D23" s="4" t="str">
        <f t="shared" si="0"/>
        <v>J51646</v>
      </c>
      <c r="E23" s="4" t="s">
        <v>80</v>
      </c>
      <c r="F23" s="4" t="s">
        <v>105</v>
      </c>
      <c r="G23" s="5">
        <v>4977114209703</v>
      </c>
      <c r="H23" s="5"/>
      <c r="I23" s="5"/>
      <c r="J23" s="5">
        <v>1</v>
      </c>
      <c r="K23" s="5">
        <v>1</v>
      </c>
      <c r="L23" s="4">
        <v>22000</v>
      </c>
      <c r="M23" s="4">
        <v>15675</v>
      </c>
      <c r="N23" s="4">
        <v>10340</v>
      </c>
      <c r="O23" s="6">
        <f t="shared" si="1"/>
        <v>0.3403508771929824</v>
      </c>
      <c r="P23" s="4" t="s">
        <v>115</v>
      </c>
      <c r="Q23" s="4"/>
      <c r="R23" s="4"/>
      <c r="S23" s="4"/>
      <c r="T23" s="4"/>
      <c r="U23" s="4"/>
      <c r="V23" s="4"/>
      <c r="W23" s="4"/>
      <c r="X23" s="4"/>
      <c r="Y23" s="4">
        <v>25000</v>
      </c>
      <c r="Z23" s="4">
        <f t="shared" si="2"/>
        <v>25000</v>
      </c>
      <c r="AA23" s="4">
        <v>11750</v>
      </c>
      <c r="AB23" s="4">
        <f t="shared" si="3"/>
        <v>11750</v>
      </c>
      <c r="AC23" s="4"/>
      <c r="AD23" s="21">
        <f t="shared" si="4"/>
        <v>17813</v>
      </c>
      <c r="AE23" s="6">
        <f t="shared" si="5"/>
        <v>0.34036939313984171</v>
      </c>
      <c r="AF23" s="33">
        <v>0</v>
      </c>
      <c r="AG23" s="4" t="str">
        <f t="shared" si="6"/>
        <v>-</v>
      </c>
      <c r="AH23" s="33" t="str">
        <f t="shared" si="7"/>
        <v>-</v>
      </c>
      <c r="AI23" s="6" t="str">
        <f t="shared" si="8"/>
        <v>-</v>
      </c>
      <c r="AJ23" s="7">
        <v>19000</v>
      </c>
      <c r="AK23" s="6">
        <f t="shared" si="9"/>
        <v>0.38157894736842102</v>
      </c>
      <c r="AL23" s="4">
        <f t="shared" si="10"/>
        <v>7250</v>
      </c>
      <c r="AM23" s="28"/>
      <c r="AN23" s="6"/>
      <c r="AO23" s="6"/>
      <c r="AP23" s="6">
        <f t="shared" si="11"/>
        <v>1.1363636363636365</v>
      </c>
      <c r="AQ23" s="6">
        <f t="shared" si="12"/>
        <v>1.2121212121212122</v>
      </c>
      <c r="AR23" s="6">
        <f t="shared" si="13"/>
        <v>1.1363636363636365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 t="s">
        <v>114</v>
      </c>
      <c r="BD23" s="4"/>
      <c r="BE23" s="4"/>
      <c r="BF23" s="4" t="s">
        <v>114</v>
      </c>
      <c r="BG23" s="4" t="s">
        <v>114</v>
      </c>
      <c r="BH23" s="4" t="str">
        <f t="shared" si="14"/>
        <v>-</v>
      </c>
      <c r="BI23" s="19">
        <v>4</v>
      </c>
      <c r="BJ23" s="19">
        <v>8</v>
      </c>
      <c r="BK23" s="16">
        <v>5</v>
      </c>
      <c r="BL23" t="s">
        <v>115</v>
      </c>
      <c r="BM23" t="str">
        <f t="shared" si="15"/>
        <v>-</v>
      </c>
      <c r="BN23" t="s">
        <v>114</v>
      </c>
      <c r="BO23" t="str">
        <f t="shared" si="16"/>
        <v>-</v>
      </c>
      <c r="BP23" t="s">
        <v>114</v>
      </c>
    </row>
    <row r="24" spans="1:68" x14ac:dyDescent="0.4">
      <c r="A24" s="3">
        <v>20</v>
      </c>
      <c r="B24" s="3">
        <v>20</v>
      </c>
      <c r="C24" s="4" t="s">
        <v>81</v>
      </c>
      <c r="D24" s="4" t="str">
        <f t="shared" si="0"/>
        <v>J51647</v>
      </c>
      <c r="E24" s="4" t="s">
        <v>81</v>
      </c>
      <c r="F24" s="4" t="s">
        <v>106</v>
      </c>
      <c r="G24" s="5">
        <v>4977114209710</v>
      </c>
      <c r="H24" s="5"/>
      <c r="I24" s="5"/>
      <c r="J24" s="5">
        <v>1</v>
      </c>
      <c r="K24" s="5">
        <v>1</v>
      </c>
      <c r="L24" s="4">
        <v>22000</v>
      </c>
      <c r="M24" s="4">
        <v>15675</v>
      </c>
      <c r="N24" s="4">
        <v>10340</v>
      </c>
      <c r="O24" s="6">
        <f t="shared" si="1"/>
        <v>0.3403508771929824</v>
      </c>
      <c r="P24" s="4" t="s">
        <v>115</v>
      </c>
      <c r="Q24" s="4"/>
      <c r="R24" s="4"/>
      <c r="S24" s="4"/>
      <c r="T24" s="4"/>
      <c r="U24" s="4"/>
      <c r="V24" s="4"/>
      <c r="W24" s="4"/>
      <c r="X24" s="4"/>
      <c r="Y24" s="4">
        <v>25000</v>
      </c>
      <c r="Z24" s="4">
        <f t="shared" si="2"/>
        <v>25000</v>
      </c>
      <c r="AA24" s="4">
        <v>11750</v>
      </c>
      <c r="AB24" s="4">
        <f t="shared" si="3"/>
        <v>11750</v>
      </c>
      <c r="AC24" s="4"/>
      <c r="AD24" s="21">
        <f t="shared" si="4"/>
        <v>17813</v>
      </c>
      <c r="AE24" s="6">
        <f t="shared" si="5"/>
        <v>0.34036939313984171</v>
      </c>
      <c r="AF24" s="33">
        <v>0</v>
      </c>
      <c r="AG24" s="4" t="str">
        <f t="shared" si="6"/>
        <v>-</v>
      </c>
      <c r="AH24" s="33" t="str">
        <f t="shared" si="7"/>
        <v>-</v>
      </c>
      <c r="AI24" s="6" t="str">
        <f t="shared" si="8"/>
        <v>-</v>
      </c>
      <c r="AJ24" s="7">
        <v>19000</v>
      </c>
      <c r="AK24" s="6">
        <f t="shared" si="9"/>
        <v>0.38157894736842102</v>
      </c>
      <c r="AL24" s="4">
        <f t="shared" si="10"/>
        <v>7250</v>
      </c>
      <c r="AM24" s="28"/>
      <c r="AN24" s="6"/>
      <c r="AO24" s="6"/>
      <c r="AP24" s="6">
        <f t="shared" si="11"/>
        <v>1.1363636363636365</v>
      </c>
      <c r="AQ24" s="6">
        <f t="shared" si="12"/>
        <v>1.2121212121212122</v>
      </c>
      <c r="AR24" s="6">
        <f t="shared" si="13"/>
        <v>1.1363636363636365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 t="s">
        <v>114</v>
      </c>
      <c r="BD24" s="4"/>
      <c r="BE24" s="4"/>
      <c r="BF24" s="4" t="s">
        <v>114</v>
      </c>
      <c r="BG24" s="4" t="s">
        <v>114</v>
      </c>
      <c r="BH24" s="4" t="str">
        <f t="shared" si="14"/>
        <v>-</v>
      </c>
      <c r="BI24" s="19">
        <v>4</v>
      </c>
      <c r="BJ24" s="19">
        <v>8</v>
      </c>
      <c r="BK24" s="16">
        <v>5</v>
      </c>
      <c r="BL24" t="s">
        <v>115</v>
      </c>
      <c r="BM24" t="str">
        <f t="shared" si="15"/>
        <v>-</v>
      </c>
      <c r="BN24" t="s">
        <v>114</v>
      </c>
      <c r="BO24" t="str">
        <f t="shared" si="16"/>
        <v>-</v>
      </c>
      <c r="BP24" t="s">
        <v>114</v>
      </c>
    </row>
    <row r="25" spans="1:68" x14ac:dyDescent="0.4">
      <c r="A25" s="3">
        <v>13</v>
      </c>
      <c r="B25" s="3">
        <v>13</v>
      </c>
      <c r="C25" s="4" t="s">
        <v>74</v>
      </c>
      <c r="D25" s="4" t="str">
        <f t="shared" si="0"/>
        <v>J51572</v>
      </c>
      <c r="E25" s="4" t="s">
        <v>74</v>
      </c>
      <c r="F25" s="4" t="s">
        <v>99</v>
      </c>
      <c r="G25" s="5">
        <v>4977114301841</v>
      </c>
      <c r="H25" s="5"/>
      <c r="I25" s="5"/>
      <c r="J25" s="5">
        <v>1</v>
      </c>
      <c r="K25" s="5">
        <v>1</v>
      </c>
      <c r="L25" s="4">
        <v>30000</v>
      </c>
      <c r="M25" s="4">
        <v>21500</v>
      </c>
      <c r="N25" s="4">
        <v>15000</v>
      </c>
      <c r="O25" s="6">
        <f t="shared" si="1"/>
        <v>0.30232558139534882</v>
      </c>
      <c r="P25" s="4" t="s">
        <v>115</v>
      </c>
      <c r="Q25" s="4"/>
      <c r="R25" s="4"/>
      <c r="S25" s="4"/>
      <c r="T25" s="4"/>
      <c r="U25" s="4"/>
      <c r="V25" s="4"/>
      <c r="W25" s="4"/>
      <c r="X25" s="4"/>
      <c r="Y25" s="4">
        <v>35000</v>
      </c>
      <c r="Z25" s="4">
        <f t="shared" si="2"/>
        <v>35000</v>
      </c>
      <c r="AA25" s="4">
        <v>17500</v>
      </c>
      <c r="AB25" s="4">
        <f t="shared" si="3"/>
        <v>17500</v>
      </c>
      <c r="AC25" s="4"/>
      <c r="AD25" s="21">
        <f t="shared" si="4"/>
        <v>25083</v>
      </c>
      <c r="AE25" s="6">
        <f t="shared" si="5"/>
        <v>0.30231630985129365</v>
      </c>
      <c r="AF25" s="33">
        <v>0</v>
      </c>
      <c r="AG25" s="4" t="str">
        <f t="shared" si="6"/>
        <v>-</v>
      </c>
      <c r="AH25" s="33" t="str">
        <f t="shared" si="7"/>
        <v>-</v>
      </c>
      <c r="AI25" s="6" t="str">
        <f t="shared" si="8"/>
        <v>-</v>
      </c>
      <c r="AJ25" s="7">
        <v>27000</v>
      </c>
      <c r="AK25" s="6">
        <f t="shared" si="9"/>
        <v>0.35185185185185186</v>
      </c>
      <c r="AL25" s="4">
        <f t="shared" si="10"/>
        <v>9500</v>
      </c>
      <c r="AM25" s="28"/>
      <c r="AN25" s="6"/>
      <c r="AO25" s="6"/>
      <c r="AP25" s="6">
        <f t="shared" si="11"/>
        <v>1.1666666666666667</v>
      </c>
      <c r="AQ25" s="6">
        <f t="shared" si="12"/>
        <v>1.2558139534883721</v>
      </c>
      <c r="AR25" s="6">
        <f t="shared" si="13"/>
        <v>1.1666666666666667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 t="s">
        <v>114</v>
      </c>
      <c r="BD25" s="4"/>
      <c r="BE25" s="4"/>
      <c r="BF25" s="4" t="s">
        <v>114</v>
      </c>
      <c r="BG25" s="4" t="s">
        <v>114</v>
      </c>
      <c r="BH25" s="4" t="str">
        <f t="shared" si="14"/>
        <v>-</v>
      </c>
      <c r="BI25" s="19">
        <v>4</v>
      </c>
      <c r="BJ25" s="19">
        <v>8</v>
      </c>
      <c r="BK25" s="16">
        <v>5</v>
      </c>
      <c r="BL25" t="s">
        <v>115</v>
      </c>
      <c r="BM25" t="str">
        <f t="shared" si="15"/>
        <v>-</v>
      </c>
      <c r="BN25" t="s">
        <v>114</v>
      </c>
      <c r="BO25" t="str">
        <f t="shared" si="16"/>
        <v>-</v>
      </c>
      <c r="BP25" t="s">
        <v>114</v>
      </c>
    </row>
    <row r="26" spans="1:68" x14ac:dyDescent="0.4">
      <c r="A26" s="3">
        <v>14</v>
      </c>
      <c r="B26" s="3">
        <v>14</v>
      </c>
      <c r="C26" s="4" t="s">
        <v>75</v>
      </c>
      <c r="D26" s="4" t="str">
        <f t="shared" si="0"/>
        <v>J51575</v>
      </c>
      <c r="E26" s="4" t="s">
        <v>75</v>
      </c>
      <c r="F26" s="4" t="s">
        <v>100</v>
      </c>
      <c r="G26" s="5">
        <v>4977114301865</v>
      </c>
      <c r="H26" s="5"/>
      <c r="I26" s="5"/>
      <c r="J26" s="5">
        <v>1</v>
      </c>
      <c r="K26" s="5">
        <v>1</v>
      </c>
      <c r="L26" s="4">
        <v>30000</v>
      </c>
      <c r="M26" s="4">
        <v>21500</v>
      </c>
      <c r="N26" s="4">
        <v>15000</v>
      </c>
      <c r="O26" s="6">
        <f t="shared" si="1"/>
        <v>0.30232558139534882</v>
      </c>
      <c r="P26" s="4" t="s">
        <v>115</v>
      </c>
      <c r="Q26" s="4"/>
      <c r="R26" s="4"/>
      <c r="S26" s="4"/>
      <c r="T26" s="4"/>
      <c r="U26" s="4"/>
      <c r="V26" s="4"/>
      <c r="W26" s="4"/>
      <c r="X26" s="4"/>
      <c r="Y26" s="4">
        <v>35000</v>
      </c>
      <c r="Z26" s="4">
        <f t="shared" si="2"/>
        <v>35000</v>
      </c>
      <c r="AA26" s="4">
        <v>17500</v>
      </c>
      <c r="AB26" s="4">
        <f t="shared" si="3"/>
        <v>17500</v>
      </c>
      <c r="AC26" s="4"/>
      <c r="AD26" s="21">
        <f t="shared" si="4"/>
        <v>25083</v>
      </c>
      <c r="AE26" s="6">
        <f t="shared" si="5"/>
        <v>0.30231630985129365</v>
      </c>
      <c r="AF26" s="33">
        <v>0</v>
      </c>
      <c r="AG26" s="4" t="str">
        <f t="shared" si="6"/>
        <v>-</v>
      </c>
      <c r="AH26" s="33" t="str">
        <f t="shared" si="7"/>
        <v>-</v>
      </c>
      <c r="AI26" s="6" t="str">
        <f t="shared" si="8"/>
        <v>-</v>
      </c>
      <c r="AJ26" s="7">
        <v>27000</v>
      </c>
      <c r="AK26" s="6">
        <f t="shared" si="9"/>
        <v>0.35185185185185186</v>
      </c>
      <c r="AL26" s="4">
        <f t="shared" si="10"/>
        <v>9500</v>
      </c>
      <c r="AM26" s="28"/>
      <c r="AN26" s="6"/>
      <c r="AO26" s="6"/>
      <c r="AP26" s="6">
        <f t="shared" si="11"/>
        <v>1.1666666666666667</v>
      </c>
      <c r="AQ26" s="6">
        <f t="shared" si="12"/>
        <v>1.2558139534883721</v>
      </c>
      <c r="AR26" s="6">
        <f t="shared" si="13"/>
        <v>1.1666666666666667</v>
      </c>
      <c r="AS26" s="4"/>
      <c r="AT26" s="4"/>
      <c r="AU26" s="4"/>
      <c r="AV26" s="4"/>
      <c r="AW26" s="4"/>
      <c r="AX26" s="4"/>
      <c r="AY26" s="4"/>
      <c r="AZ26" s="4"/>
      <c r="BA26" s="4"/>
      <c r="BB26" s="4">
        <v>0</v>
      </c>
      <c r="BC26" s="4" t="s">
        <v>114</v>
      </c>
      <c r="BD26" s="4"/>
      <c r="BE26" s="4"/>
      <c r="BF26" s="4" t="s">
        <v>114</v>
      </c>
      <c r="BG26" s="4" t="s">
        <v>114</v>
      </c>
      <c r="BH26" s="4" t="str">
        <f t="shared" si="14"/>
        <v>-</v>
      </c>
      <c r="BI26" s="19">
        <v>4</v>
      </c>
      <c r="BJ26" s="19">
        <v>8</v>
      </c>
      <c r="BK26" s="16">
        <v>5</v>
      </c>
      <c r="BL26" t="s">
        <v>115</v>
      </c>
      <c r="BM26" t="str">
        <f t="shared" si="15"/>
        <v>-</v>
      </c>
      <c r="BN26" t="s">
        <v>114</v>
      </c>
      <c r="BO26" t="str">
        <f t="shared" si="16"/>
        <v>-</v>
      </c>
      <c r="BP26" t="s">
        <v>114</v>
      </c>
    </row>
    <row r="27" spans="1:68" x14ac:dyDescent="0.4">
      <c r="A27" s="3">
        <v>15</v>
      </c>
      <c r="B27" s="3">
        <v>15</v>
      </c>
      <c r="C27" s="4" t="s">
        <v>76</v>
      </c>
      <c r="D27" s="4" t="str">
        <f t="shared" si="0"/>
        <v>J51576</v>
      </c>
      <c r="E27" s="4" t="s">
        <v>76</v>
      </c>
      <c r="F27" s="4" t="s">
        <v>101</v>
      </c>
      <c r="G27" s="5">
        <v>4977114301872</v>
      </c>
      <c r="H27" s="5"/>
      <c r="I27" s="5"/>
      <c r="J27" s="5">
        <v>1</v>
      </c>
      <c r="K27" s="5">
        <v>1</v>
      </c>
      <c r="L27" s="4">
        <v>30000</v>
      </c>
      <c r="M27" s="4">
        <v>21945</v>
      </c>
      <c r="N27" s="4">
        <v>15000</v>
      </c>
      <c r="O27" s="6">
        <f t="shared" si="1"/>
        <v>0.31647300068352702</v>
      </c>
      <c r="P27" s="4" t="s">
        <v>115</v>
      </c>
      <c r="Q27" s="4"/>
      <c r="R27" s="4"/>
      <c r="S27" s="4"/>
      <c r="T27" s="4"/>
      <c r="U27" s="4"/>
      <c r="V27" s="4"/>
      <c r="W27" s="4"/>
      <c r="X27" s="4"/>
      <c r="Y27" s="4">
        <v>35000</v>
      </c>
      <c r="Z27" s="4">
        <f t="shared" si="2"/>
        <v>35000</v>
      </c>
      <c r="AA27" s="4">
        <v>17500</v>
      </c>
      <c r="AB27" s="4">
        <f t="shared" si="3"/>
        <v>17500</v>
      </c>
      <c r="AC27" s="4"/>
      <c r="AD27" s="21">
        <f t="shared" si="4"/>
        <v>25603</v>
      </c>
      <c r="AE27" s="6">
        <f t="shared" si="5"/>
        <v>0.31648634925594654</v>
      </c>
      <c r="AF27" s="33">
        <v>0</v>
      </c>
      <c r="AG27" s="4" t="str">
        <f t="shared" si="6"/>
        <v>-</v>
      </c>
      <c r="AH27" s="33" t="str">
        <f t="shared" si="7"/>
        <v>-</v>
      </c>
      <c r="AI27" s="6" t="str">
        <f t="shared" si="8"/>
        <v>-</v>
      </c>
      <c r="AJ27" s="7">
        <v>27000</v>
      </c>
      <c r="AK27" s="6">
        <f t="shared" si="9"/>
        <v>0.35185185185185186</v>
      </c>
      <c r="AL27" s="4">
        <f t="shared" si="10"/>
        <v>9500</v>
      </c>
      <c r="AM27" s="28"/>
      <c r="AN27" s="6"/>
      <c r="AO27" s="6"/>
      <c r="AP27" s="6">
        <f t="shared" si="11"/>
        <v>1.1666666666666667</v>
      </c>
      <c r="AQ27" s="6">
        <f t="shared" si="12"/>
        <v>1.2303485987696514</v>
      </c>
      <c r="AR27" s="6">
        <f t="shared" si="13"/>
        <v>1.1666666666666667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 t="s">
        <v>114</v>
      </c>
      <c r="BD27" s="4"/>
      <c r="BE27" s="4"/>
      <c r="BF27" s="4" t="s">
        <v>114</v>
      </c>
      <c r="BG27" s="4" t="s">
        <v>114</v>
      </c>
      <c r="BH27" s="4" t="str">
        <f t="shared" si="14"/>
        <v>-</v>
      </c>
      <c r="BI27" s="19">
        <v>4</v>
      </c>
      <c r="BJ27" s="19">
        <v>8</v>
      </c>
      <c r="BK27" s="16">
        <v>5</v>
      </c>
      <c r="BL27" t="s">
        <v>115</v>
      </c>
      <c r="BM27" t="str">
        <f t="shared" si="15"/>
        <v>-</v>
      </c>
      <c r="BN27" t="s">
        <v>114</v>
      </c>
      <c r="BO27" t="str">
        <f t="shared" si="16"/>
        <v>-</v>
      </c>
      <c r="BP27" t="s">
        <v>114</v>
      </c>
    </row>
    <row r="28" spans="1:68" x14ac:dyDescent="0.4">
      <c r="A28" s="3">
        <v>18</v>
      </c>
      <c r="B28" s="3">
        <v>18</v>
      </c>
      <c r="C28" s="4" t="s">
        <v>79</v>
      </c>
      <c r="D28" s="4" t="str">
        <f t="shared" si="0"/>
        <v>J51642</v>
      </c>
      <c r="E28" s="4" t="s">
        <v>79</v>
      </c>
      <c r="F28" s="4" t="s">
        <v>104</v>
      </c>
      <c r="G28" s="5">
        <v>4977114209437</v>
      </c>
      <c r="H28" s="5"/>
      <c r="I28" s="5"/>
      <c r="J28" s="5">
        <v>1</v>
      </c>
      <c r="K28" s="5">
        <v>1</v>
      </c>
      <c r="L28" s="4">
        <v>27000</v>
      </c>
      <c r="M28" s="4">
        <v>17920</v>
      </c>
      <c r="N28" s="4">
        <v>13500</v>
      </c>
      <c r="O28" s="6">
        <f t="shared" si="1"/>
        <v>0.2466517857142857</v>
      </c>
      <c r="P28" s="4" t="s">
        <v>115</v>
      </c>
      <c r="Q28" s="4"/>
      <c r="R28" s="4"/>
      <c r="S28" s="4"/>
      <c r="T28" s="4"/>
      <c r="U28" s="4"/>
      <c r="V28" s="4"/>
      <c r="W28" s="4"/>
      <c r="X28" s="4"/>
      <c r="Y28" s="4">
        <v>50000</v>
      </c>
      <c r="Z28" s="4">
        <f t="shared" si="2"/>
        <v>50000</v>
      </c>
      <c r="AA28" s="4">
        <v>25000</v>
      </c>
      <c r="AB28" s="4">
        <f t="shared" si="3"/>
        <v>25000</v>
      </c>
      <c r="AC28" s="4"/>
      <c r="AD28" s="21">
        <f t="shared" si="4"/>
        <v>33185</v>
      </c>
      <c r="AE28" s="6">
        <f t="shared" si="5"/>
        <v>0.24664758173873735</v>
      </c>
      <c r="AF28" s="33">
        <v>0</v>
      </c>
      <c r="AG28" s="4">
        <f t="shared" si="6"/>
        <v>22000</v>
      </c>
      <c r="AH28" s="33">
        <f t="shared" si="7"/>
        <v>40740.740740740745</v>
      </c>
      <c r="AI28" s="6">
        <f t="shared" si="8"/>
        <v>0.38636363636363646</v>
      </c>
      <c r="AJ28" s="7">
        <v>38000</v>
      </c>
      <c r="AK28" s="6">
        <f t="shared" si="9"/>
        <v>0.34210526315789469</v>
      </c>
      <c r="AL28" s="4">
        <f t="shared" si="10"/>
        <v>13000</v>
      </c>
      <c r="AM28" s="28"/>
      <c r="AN28" s="6"/>
      <c r="AO28" s="6"/>
      <c r="AP28" s="6">
        <f t="shared" si="11"/>
        <v>1.8518518518518519</v>
      </c>
      <c r="AQ28" s="6">
        <f t="shared" si="12"/>
        <v>2.1205357142857144</v>
      </c>
      <c r="AR28" s="6">
        <f t="shared" si="13"/>
        <v>1.8518518518518519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 t="s">
        <v>136</v>
      </c>
      <c r="BD28" s="4"/>
      <c r="BE28" s="4"/>
      <c r="BF28" s="4" t="s">
        <v>132</v>
      </c>
      <c r="BG28" s="4">
        <v>22000</v>
      </c>
      <c r="BH28" s="4">
        <f t="shared" si="14"/>
        <v>22000</v>
      </c>
      <c r="BI28" s="19">
        <v>4</v>
      </c>
      <c r="BJ28" s="19">
        <v>8</v>
      </c>
      <c r="BK28" s="16">
        <v>5</v>
      </c>
      <c r="BL28" t="s">
        <v>115</v>
      </c>
      <c r="BM28" t="str">
        <f t="shared" si="15"/>
        <v>-</v>
      </c>
      <c r="BN28">
        <v>27000</v>
      </c>
      <c r="BO28">
        <f t="shared" si="16"/>
        <v>50000</v>
      </c>
      <c r="BP28" t="s">
        <v>123</v>
      </c>
    </row>
  </sheetData>
  <autoFilter ref="A3:BP3" xr:uid="{7A1660CF-9003-4B2D-B659-7F339ED5B476}"/>
  <sortState xmlns:xlrd2="http://schemas.microsoft.com/office/spreadsheetml/2017/richdata2" ref="A4:BP28">
    <sortCondition ref="AA4:AA28"/>
  </sortState>
  <mergeCells count="3">
    <mergeCell ref="L2:O2"/>
    <mergeCell ref="J2:K2"/>
    <mergeCell ref="Y1:AB1"/>
  </mergeCells>
  <phoneticPr fontId="2"/>
  <conditionalFormatting sqref="AJ4:AJ28">
    <cfRule type="cellIs" dxfId="2" priority="4" operator="greaterThan">
      <formula>$Z4</formula>
    </cfRule>
  </conditionalFormatting>
  <conditionalFormatting sqref="AH4:AH28">
    <cfRule type="cellIs" dxfId="1" priority="2" operator="lessThan">
      <formula>$AJ4</formula>
    </cfRule>
  </conditionalFormatting>
  <conditionalFormatting sqref="AK4:AK2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2026-06-05T07:25:39Z</dcterms:modified>
</cp:coreProperties>
</file>