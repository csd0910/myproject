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8月1日改定\"/>
    </mc:Choice>
  </mc:AlternateContent>
  <xr:revisionPtr revIDLastSave="0" documentId="13_ncr:1_{BB8CE6E7-397D-4ABD-89CC-EE4728FD57D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4" i="1" l="1"/>
  <c r="AU4" i="1"/>
  <c r="AT4" i="1"/>
  <c r="BI5" i="1" l="1"/>
  <c r="AG5" i="1" s="1"/>
  <c r="BI4" i="1"/>
  <c r="AG4" i="1" s="1"/>
  <c r="AB5" i="1"/>
  <c r="AR5" i="1" s="1"/>
  <c r="Z5" i="1"/>
  <c r="AP5" i="1" s="1"/>
  <c r="D5" i="1"/>
  <c r="D4" i="1"/>
  <c r="AB4" i="1"/>
  <c r="Z4" i="1"/>
  <c r="AP4" i="1" s="1"/>
  <c r="AQ4" i="1"/>
  <c r="AQ5" i="1"/>
  <c r="O5" i="1"/>
  <c r="O4" i="1"/>
  <c r="AD5" i="1" l="1"/>
  <c r="AE5" i="1" s="1"/>
  <c r="BR5" i="1"/>
  <c r="AK5" i="1"/>
  <c r="AK4" i="1"/>
  <c r="AH5" i="1"/>
  <c r="AI5" i="1" s="1"/>
  <c r="AL5" i="1"/>
  <c r="AN4" i="1"/>
  <c r="AO4" i="1"/>
  <c r="AL4" i="1"/>
  <c r="AR4" i="1"/>
  <c r="AD4" i="1" l="1"/>
  <c r="AE4" i="1" s="1"/>
  <c r="BR4" i="1"/>
  <c r="AH4" i="1"/>
  <c r="AI4" i="1" s="1"/>
</calcChain>
</file>

<file path=xl/sharedStrings.xml><?xml version="1.0" encoding="utf-8"?>
<sst xmlns="http://schemas.openxmlformats.org/spreadsheetml/2006/main" count="94" uniqueCount="79">
  <si>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</si>
  <si>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</si>
  <si>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</si>
  <si>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</si>
  <si>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</si>
  <si>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</si>
  <si>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</si>
  <si>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</si>
  <si>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</si>
  <si>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</si>
  <si>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</si>
  <si>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</si>
  <si>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</si>
  <si>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</si>
  <si>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</si>
  <si>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</si>
  <si>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</si>
  <si>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</si>
  <si>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</si>
  <si>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</si>
  <si>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</si>
  <si>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</si>
  <si>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</si>
  <si>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</si>
  <si>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</si>
  <si>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</si>
  <si>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</si>
  <si>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</si>
  <si>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</si>
  <si>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</si>
  <si>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</si>
  <si>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</si>
  <si>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</si>
  <si>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</si>
  <si>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</si>
  <si>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</si>
  <si>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</si>
  <si>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</si>
  <si>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</si>
  <si>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</si>
  <si>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</si>
  <si>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</si>
  <si>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</si>
  <si>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</si>
  <si>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</si>
  <si>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</si>
  <si>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</si>
  <si>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</si>
  <si>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</si>
  <si>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</si>
  <si>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</si>
  <si>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</si>
  <si>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</si>
  <si>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</si>
  <si>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</si>
  <si>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</si>
  <si>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</si>
  <si>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</si>
  <si>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</si>
  <si>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</si>
  <si>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</si>
  <si>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</si>
  <si>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</si>
  <si>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G)Forestway/個別ﾌｫﾙﾀﾞｰ A4 ｸﾗﾌﾄﾀｲﾌﾟ 50枚/FRW628634</t>
  </si>
  <si>
    <t>仕入先CD</t>
    <rPh sb="0" eb="3">
      <t>シイレサキ</t>
    </rPh>
    <phoneticPr fontId="2"/>
  </si>
  <si>
    <t>34/89</t>
  </si>
  <si>
    <t>G)Forestway/個別ﾌｫﾙﾀﾞｰ A4 ｸﾗﾌﾄﾀｲﾌﾟ 200枚/FRW628634</t>
  </si>
  <si>
    <t>-</t>
    <phoneticPr fontId="2"/>
  </si>
  <si>
    <t>アスクル　個別フォルダー　A4　1山　クラフト　200枚 オリジナル</t>
  </si>
  <si>
    <t>アスクル　個別フォルダー　A4　1山　クラフト　50枚 オリジナル</t>
  </si>
  <si>
    <t>5月
たの</t>
    <rPh sb="1" eb="2">
      <t>ガツ</t>
    </rPh>
    <phoneticPr fontId="2"/>
  </si>
  <si>
    <t>たの
ｽﾗｲﾄﾞ</t>
    <phoneticPr fontId="2"/>
  </si>
  <si>
    <t>5月
カウ</t>
    <rPh sb="1" eb="2">
      <t>ガツ</t>
    </rPh>
    <phoneticPr fontId="2"/>
  </si>
  <si>
    <t>514-6161</t>
  </si>
  <si>
    <t>719-2975</t>
  </si>
  <si>
    <t>6月売価</t>
    <rPh sb="1" eb="2">
      <t>ガツ</t>
    </rPh>
    <rPh sb="2" eb="4">
      <t>バイカ</t>
    </rPh>
    <phoneticPr fontId="2"/>
  </si>
  <si>
    <t>6月
たの</t>
    <rPh sb="1" eb="2">
      <t>ガツ</t>
    </rPh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</si>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</sst>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Border="1">
      <alignment vertical="center"/>
    </xf>
    <xf numFmtId="0" fontId="0" fillId="0" borderId="0" xfId="0" applyBorder="1">
      <alignment vertical="center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T5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29" customWidth="1"/>
    <col min="33" max="33" width="7.625" customWidth="1"/>
    <col min="34" max="34" width="7.625" style="29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71" width="7.625" customWidth="1"/>
  </cols>
  <sheetData>
    <row r="1" spans="1:72" x14ac:dyDescent="0.4">
      <c r="C1" s="28" t="s">
        <v>48</v>
      </c>
      <c r="Y1" s="44" t="s">
        <v>46</v>
      </c>
      <c r="Z1" s="45"/>
      <c r="AA1" s="45"/>
      <c r="AB1" s="46"/>
    </row>
    <row r="2" spans="1:72" x14ac:dyDescent="0.4">
      <c r="C2" s="8" t="s">
        <v>33</v>
      </c>
      <c r="D2" s="9" t="s">
        <v>34</v>
      </c>
      <c r="E2" s="9" t="s">
        <v>35</v>
      </c>
      <c r="F2" s="10"/>
      <c r="G2" s="10"/>
      <c r="H2" s="35"/>
      <c r="I2" s="35"/>
      <c r="J2" s="41" t="s">
        <v>36</v>
      </c>
      <c r="K2" s="43"/>
      <c r="L2" s="41" t="s">
        <v>2</v>
      </c>
      <c r="M2" s="42"/>
      <c r="N2" s="42"/>
      <c r="O2" s="43"/>
      <c r="P2" s="11"/>
      <c r="Q2" s="34"/>
      <c r="R2" s="34"/>
      <c r="S2" s="34"/>
      <c r="T2" s="34"/>
      <c r="U2" s="34"/>
      <c r="V2" s="34"/>
      <c r="W2" s="34"/>
      <c r="X2" s="34"/>
      <c r="Y2" s="22"/>
      <c r="Z2" s="23" t="s">
        <v>39</v>
      </c>
      <c r="AA2" s="23"/>
      <c r="AB2" s="24" t="s">
        <v>39</v>
      </c>
      <c r="AC2" s="10"/>
      <c r="AD2" s="9" t="s">
        <v>44</v>
      </c>
      <c r="AE2" s="11"/>
      <c r="AF2" s="30"/>
      <c r="AG2" s="11"/>
      <c r="AH2" s="30"/>
      <c r="AI2" s="11"/>
      <c r="AJ2" s="21" t="s">
        <v>47</v>
      </c>
      <c r="AK2" s="11"/>
      <c r="AL2" s="11"/>
      <c r="AM2" s="26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J2">
        <v>14</v>
      </c>
      <c r="BK2">
        <v>28</v>
      </c>
    </row>
    <row r="3" spans="1:72" ht="75" x14ac:dyDescent="0.4">
      <c r="A3" s="1" t="s">
        <v>56</v>
      </c>
      <c r="B3" s="1" t="s">
        <v>62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58</v>
      </c>
      <c r="I3" s="12" t="s">
        <v>59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52</v>
      </c>
      <c r="Q3" s="12" t="s">
        <v>20</v>
      </c>
      <c r="R3" s="12" t="s">
        <v>21</v>
      </c>
      <c r="S3" s="12" t="s">
        <v>53</v>
      </c>
      <c r="T3" s="12" t="s">
        <v>23</v>
      </c>
      <c r="U3" s="12" t="s">
        <v>24</v>
      </c>
      <c r="V3" s="12" t="s">
        <v>54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19" t="s">
        <v>17</v>
      </c>
      <c r="AE3" s="2" t="s">
        <v>16</v>
      </c>
      <c r="AF3" s="31" t="s">
        <v>49</v>
      </c>
      <c r="AG3" s="12" t="s">
        <v>45</v>
      </c>
      <c r="AH3" s="36" t="s">
        <v>60</v>
      </c>
      <c r="AI3" s="2" t="s">
        <v>16</v>
      </c>
      <c r="AJ3" s="13" t="s">
        <v>37</v>
      </c>
      <c r="AK3" s="2" t="s">
        <v>16</v>
      </c>
      <c r="AL3" s="2" t="s">
        <v>38</v>
      </c>
      <c r="AM3" s="25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61</v>
      </c>
      <c r="BG3" s="12" t="s">
        <v>75</v>
      </c>
      <c r="BH3" s="2" t="s">
        <v>77</v>
      </c>
      <c r="BI3" s="2" t="s">
        <v>15</v>
      </c>
      <c r="BJ3" s="17" t="s">
        <v>50</v>
      </c>
      <c r="BK3" s="17" t="s">
        <v>51</v>
      </c>
      <c r="BL3" s="15" t="s">
        <v>57</v>
      </c>
      <c r="BM3" s="37" t="s">
        <v>64</v>
      </c>
      <c r="BN3" s="37"/>
      <c r="BO3" s="39" t="s">
        <v>70</v>
      </c>
      <c r="BP3" s="39" t="s">
        <v>76</v>
      </c>
      <c r="BQ3" s="39" t="s">
        <v>78</v>
      </c>
      <c r="BR3" s="40" t="s">
        <v>71</v>
      </c>
      <c r="BS3" s="40" t="s">
        <v>72</v>
      </c>
      <c r="BT3" s="33" t="s">
        <v>55</v>
      </c>
    </row>
    <row r="4" spans="1:72" x14ac:dyDescent="0.4">
      <c r="A4" s="3">
        <v>1</v>
      </c>
      <c r="B4" s="3">
        <v>1</v>
      </c>
      <c r="C4" s="32">
        <v>628634</v>
      </c>
      <c r="D4" s="4" t="str">
        <f>TEXT(C4,"000000")</f>
        <v>628634</v>
      </c>
      <c r="E4" s="4">
        <v>628634</v>
      </c>
      <c r="F4" s="4" t="s">
        <v>63</v>
      </c>
      <c r="G4" s="5">
        <v>4560126837684</v>
      </c>
      <c r="H4" s="5"/>
      <c r="I4" s="5"/>
      <c r="J4" s="5">
        <v>1</v>
      </c>
      <c r="K4" s="5">
        <v>1</v>
      </c>
      <c r="L4" s="4">
        <v>0</v>
      </c>
      <c r="M4" s="4">
        <v>1252</v>
      </c>
      <c r="N4" s="4">
        <v>980</v>
      </c>
      <c r="O4" s="6">
        <f t="shared" ref="O4:O5" si="0">1-N4/M4</f>
        <v>0.21725239616613423</v>
      </c>
      <c r="P4" s="4" t="s">
        <v>67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1130</v>
      </c>
      <c r="AB4" s="4">
        <f>IF(AC4="",AA4,AA4*AC4)</f>
        <v>1130</v>
      </c>
      <c r="AC4" s="4"/>
      <c r="AD4" s="20">
        <f t="shared" ref="AD4:AD5" si="1">ROUND(M4*AR4,0)</f>
        <v>1444</v>
      </c>
      <c r="AE4" s="6">
        <f t="shared" ref="AE4" si="2">1-AB4/AD4</f>
        <v>0.2174515235457064</v>
      </c>
      <c r="AF4" s="32">
        <v>29.75</v>
      </c>
      <c r="AG4" s="4">
        <f>BI4</f>
        <v>1111</v>
      </c>
      <c r="AH4" s="32">
        <f t="shared" ref="AH4:AH5" si="3">AG4*AR4</f>
        <v>1281.0510204081634</v>
      </c>
      <c r="AI4" s="6">
        <f t="shared" ref="AI4:AI5" si="4">1-AB4/AH4</f>
        <v>0.11791179117911799</v>
      </c>
      <c r="AJ4" s="7">
        <v>1444</v>
      </c>
      <c r="AK4" s="6">
        <f t="shared" ref="AK4:AK5" si="5">1-AB4/AJ4</f>
        <v>0.2174515235457064</v>
      </c>
      <c r="AL4" s="4">
        <f t="shared" ref="AL4:AL5" si="6">AJ4-AB4</f>
        <v>314</v>
      </c>
      <c r="AM4" s="27"/>
      <c r="AN4" s="6" t="e">
        <f>1-AB4/AM4</f>
        <v>#DIV/0!</v>
      </c>
      <c r="AO4" s="4">
        <f>AM4-AB4</f>
        <v>-1130</v>
      </c>
      <c r="AP4" s="6" t="e">
        <f t="shared" ref="AP4:AP5" si="7">Z4/L4</f>
        <v>#DIV/0!</v>
      </c>
      <c r="AQ4" s="6">
        <f t="shared" ref="AQ4:AQ5" si="8">AJ4/M4</f>
        <v>1.1533546325878594</v>
      </c>
      <c r="AR4" s="6">
        <f t="shared" ref="AR4:AR5" si="9">AB4/N4</f>
        <v>1.153061224489796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 t="s">
        <v>65</v>
      </c>
      <c r="BC4" s="4">
        <v>276832</v>
      </c>
      <c r="BD4" s="4"/>
      <c r="BE4" s="4"/>
      <c r="BF4" s="4">
        <v>1059</v>
      </c>
      <c r="BG4" s="4">
        <v>1059</v>
      </c>
      <c r="BH4" s="4">
        <v>1111</v>
      </c>
      <c r="BI4" s="4">
        <f t="shared" ref="BI4:BI5" si="10">IF(BD4="",BH4,BD4/BE4*BH4)</f>
        <v>1111</v>
      </c>
      <c r="BJ4" s="18">
        <v>4</v>
      </c>
      <c r="BK4" s="18">
        <v>1</v>
      </c>
      <c r="BL4" s="16">
        <v>3</v>
      </c>
      <c r="BM4" s="38">
        <v>553</v>
      </c>
      <c r="BN4" s="38" t="s">
        <v>73</v>
      </c>
      <c r="BO4" s="33">
        <v>1230</v>
      </c>
      <c r="BP4" s="33">
        <v>1230</v>
      </c>
      <c r="BQ4" s="33">
        <v>1230</v>
      </c>
      <c r="BR4" s="33">
        <f>BQ4*AR4</f>
        <v>1418.2653061224491</v>
      </c>
      <c r="BS4" t="s">
        <v>67</v>
      </c>
      <c r="BT4" t="s">
        <v>69</v>
      </c>
    </row>
    <row r="5" spans="1:72" x14ac:dyDescent="0.4">
      <c r="A5" s="3">
        <v>2</v>
      </c>
      <c r="B5" s="3">
        <v>2</v>
      </c>
      <c r="C5" s="32">
        <v>628635</v>
      </c>
      <c r="D5" s="4" t="str">
        <f t="shared" ref="D5" si="11">TEXT(C5,"000000")</f>
        <v>628635</v>
      </c>
      <c r="E5" s="4">
        <v>628635</v>
      </c>
      <c r="F5" s="4" t="s">
        <v>66</v>
      </c>
      <c r="G5" s="5">
        <v>4560126837677</v>
      </c>
      <c r="H5" s="5"/>
      <c r="I5" s="5"/>
      <c r="J5" s="5">
        <v>1</v>
      </c>
      <c r="K5" s="5">
        <v>1</v>
      </c>
      <c r="L5" s="4">
        <v>0</v>
      </c>
      <c r="M5" s="4">
        <v>4787</v>
      </c>
      <c r="N5" s="4">
        <v>3920</v>
      </c>
      <c r="O5" s="6">
        <f t="shared" si="0"/>
        <v>0.1811155212032588</v>
      </c>
      <c r="P5" s="4" t="s">
        <v>67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" si="12">IF(AC5="",Y5,Y5*AC5)</f>
        <v>0</v>
      </c>
      <c r="AA5" s="4">
        <v>1130</v>
      </c>
      <c r="AB5" s="4">
        <f t="shared" ref="AB5" si="13">IF(AC5="",AA5,AA5*AC5)</f>
        <v>4520</v>
      </c>
      <c r="AC5" s="4">
        <v>4</v>
      </c>
      <c r="AD5" s="20">
        <f t="shared" si="1"/>
        <v>5520</v>
      </c>
      <c r="AE5" s="6">
        <f t="shared" ref="AE5" si="14">1-AB5/AD5</f>
        <v>0.1811594202898551</v>
      </c>
      <c r="AF5" s="32">
        <v>46.75</v>
      </c>
      <c r="AG5" s="4">
        <f t="shared" ref="AG5" si="15">BI5</f>
        <v>4093</v>
      </c>
      <c r="AH5" s="32">
        <f t="shared" si="3"/>
        <v>4719.4795918367354</v>
      </c>
      <c r="AI5" s="6">
        <f t="shared" si="4"/>
        <v>4.2267285609577487E-2</v>
      </c>
      <c r="AJ5" s="7">
        <v>5520</v>
      </c>
      <c r="AK5" s="6">
        <f t="shared" si="5"/>
        <v>0.1811594202898551</v>
      </c>
      <c r="AL5" s="4">
        <f t="shared" si="6"/>
        <v>1000</v>
      </c>
      <c r="AM5" s="27"/>
      <c r="AN5" s="6"/>
      <c r="AO5" s="6"/>
      <c r="AP5" s="6" t="e">
        <f t="shared" si="7"/>
        <v>#DIV/0!</v>
      </c>
      <c r="AQ5" s="6">
        <f t="shared" si="8"/>
        <v>1.1531230415709213</v>
      </c>
      <c r="AR5" s="6">
        <f t="shared" si="9"/>
        <v>1.153061224489796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65</v>
      </c>
      <c r="BC5" s="4">
        <v>292390</v>
      </c>
      <c r="BD5" s="4"/>
      <c r="BE5" s="4"/>
      <c r="BF5" s="4">
        <v>3899</v>
      </c>
      <c r="BG5" s="4">
        <v>3899</v>
      </c>
      <c r="BH5" s="4">
        <v>4093</v>
      </c>
      <c r="BI5" s="4">
        <f t="shared" si="10"/>
        <v>4093</v>
      </c>
      <c r="BJ5" s="18">
        <v>2</v>
      </c>
      <c r="BK5" s="18">
        <v>1</v>
      </c>
      <c r="BL5" s="16">
        <v>3</v>
      </c>
      <c r="BM5" s="38">
        <v>553</v>
      </c>
      <c r="BN5" s="38" t="s">
        <v>74</v>
      </c>
      <c r="BO5" s="33">
        <v>4580</v>
      </c>
      <c r="BP5" s="33">
        <v>4580</v>
      </c>
      <c r="BQ5" s="33">
        <v>4580</v>
      </c>
      <c r="BR5" s="33">
        <f>BQ5*AR5</f>
        <v>5281.0204081632655</v>
      </c>
      <c r="BS5" t="s">
        <v>67</v>
      </c>
      <c r="BT5" t="s">
        <v>68</v>
      </c>
    </row>
  </sheetData>
  <autoFilter ref="A3:BT3" xr:uid="{7A1660CF-9003-4B2D-B659-7F339ED5B476}"/>
  <mergeCells count="3">
    <mergeCell ref="L2:O2"/>
    <mergeCell ref="J2:K2"/>
    <mergeCell ref="Y1:AB1"/>
  </mergeCells>
  <phoneticPr fontId="2"/>
  <conditionalFormatting sqref="AJ4:AJ5">
    <cfRule type="cellIs" dxfId="3" priority="5" operator="greaterThan">
      <formula>$Z4</formula>
    </cfRule>
  </conditionalFormatting>
  <conditionalFormatting sqref="AH4:AH5">
    <cfRule type="cellIs" dxfId="2" priority="3" operator="lessThan">
      <formula>$AJ4</formula>
    </cfRule>
  </conditionalFormatting>
  <conditionalFormatting sqref="AK4:AK5">
    <cfRule type="cellIs" dxfId="1" priority="2" operator="lessThan">
      <formula>0.2</formula>
    </cfRule>
  </conditionalFormatting>
  <conditionalFormatting sqref="BH4:BH5">
    <cfRule type="cellIs" dxfId="0" priority="1" operator="notEqual">
      <formula>$BG4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2026-07-09T01:08:44Z</dcterms:modified>
</cp:coreProperties>
</file>