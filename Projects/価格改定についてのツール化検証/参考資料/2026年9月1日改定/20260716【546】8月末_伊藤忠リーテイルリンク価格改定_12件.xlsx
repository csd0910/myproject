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ｲ_伊藤忠_546\価格改定\20260715_8月末\"/>
    </mc:Choice>
  </mc:AlternateContent>
  <xr:revisionPtr revIDLastSave="0" documentId="13_ncr:1_{65CD5A96-1E6C-4292-BE37-E173A5F1518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5" i="1" l="1"/>
  <c r="AQ6" i="1"/>
  <c r="AQ7" i="1"/>
  <c r="AQ8" i="1"/>
  <c r="AQ9" i="1"/>
  <c r="AQ10" i="1"/>
  <c r="AQ4" i="1"/>
  <c r="BD16" i="1"/>
  <c r="AE16" i="1" s="1"/>
  <c r="BD15" i="1"/>
  <c r="AE15" i="1" s="1"/>
  <c r="AR5" i="1"/>
  <c r="AS5" i="1"/>
  <c r="AT5" i="1"/>
  <c r="AU5" i="1"/>
  <c r="AV5" i="1"/>
  <c r="AW5" i="1"/>
  <c r="AR6" i="1"/>
  <c r="AS6" i="1"/>
  <c r="AT6" i="1"/>
  <c r="AU6" i="1"/>
  <c r="AV6" i="1"/>
  <c r="AW6" i="1"/>
  <c r="AR7" i="1"/>
  <c r="AS7" i="1"/>
  <c r="AT7" i="1"/>
  <c r="AU7" i="1"/>
  <c r="AV7" i="1"/>
  <c r="AW7" i="1"/>
  <c r="AR8" i="1"/>
  <c r="AS8" i="1"/>
  <c r="AT8" i="1"/>
  <c r="AU8" i="1"/>
  <c r="AV8" i="1"/>
  <c r="AW8" i="1"/>
  <c r="AR9" i="1"/>
  <c r="AS9" i="1"/>
  <c r="AT9" i="1"/>
  <c r="AU9" i="1"/>
  <c r="AV9" i="1"/>
  <c r="AW9" i="1"/>
  <c r="AR10" i="1"/>
  <c r="AS10" i="1"/>
  <c r="AT10" i="1"/>
  <c r="AU10" i="1"/>
  <c r="AV10" i="1"/>
  <c r="AW10" i="1"/>
  <c r="AR11" i="1"/>
  <c r="AS11" i="1"/>
  <c r="AT11" i="1"/>
  <c r="AU11" i="1"/>
  <c r="AV11" i="1"/>
  <c r="AW11" i="1"/>
  <c r="AR12" i="1"/>
  <c r="AS12" i="1"/>
  <c r="AT12" i="1"/>
  <c r="AU12" i="1"/>
  <c r="AV12" i="1"/>
  <c r="AW12" i="1"/>
  <c r="AR13" i="1"/>
  <c r="AS13" i="1"/>
  <c r="AT13" i="1"/>
  <c r="AU13" i="1"/>
  <c r="AV13" i="1"/>
  <c r="AW13" i="1"/>
  <c r="AR14" i="1"/>
  <c r="AS14" i="1"/>
  <c r="AT14" i="1"/>
  <c r="AU14" i="1"/>
  <c r="AV14" i="1"/>
  <c r="AW14" i="1"/>
  <c r="AR15" i="1"/>
  <c r="AS15" i="1"/>
  <c r="AT15" i="1"/>
  <c r="AU15" i="1"/>
  <c r="AV15" i="1"/>
  <c r="AW15" i="1"/>
  <c r="AR16" i="1"/>
  <c r="AS16" i="1"/>
  <c r="AT16" i="1"/>
  <c r="AU16" i="1"/>
  <c r="AV16" i="1"/>
  <c r="AW16" i="1"/>
  <c r="AW4" i="1"/>
  <c r="AV4" i="1"/>
  <c r="AU4" i="1"/>
  <c r="AT4" i="1"/>
  <c r="AS4" i="1"/>
  <c r="AR4" i="1"/>
  <c r="AO12" i="1"/>
  <c r="X12" i="1"/>
  <c r="AO15" i="1"/>
  <c r="P15" i="1"/>
  <c r="AO16" i="1"/>
  <c r="P16" i="1"/>
  <c r="P5" i="1"/>
  <c r="P6" i="1"/>
  <c r="P7" i="1"/>
  <c r="P8" i="1"/>
  <c r="P9" i="1"/>
  <c r="P10" i="1"/>
  <c r="P11" i="1"/>
  <c r="P13" i="1"/>
  <c r="P14" i="1"/>
  <c r="AO5" i="1"/>
  <c r="AO6" i="1"/>
  <c r="AO7" i="1"/>
  <c r="AO8" i="1"/>
  <c r="AO9" i="1"/>
  <c r="AO10" i="1"/>
  <c r="AO11" i="1"/>
  <c r="AO13" i="1"/>
  <c r="AO14" i="1"/>
  <c r="BD12" i="1"/>
  <c r="AE12" i="1" s="1"/>
  <c r="Z12" i="1"/>
  <c r="AJ12" i="1" s="1"/>
  <c r="D12" i="1"/>
  <c r="F12" i="1" s="1"/>
  <c r="Z16" i="1"/>
  <c r="AJ16" i="1" s="1"/>
  <c r="X16" i="1"/>
  <c r="AN16" i="1" s="1"/>
  <c r="D16" i="1"/>
  <c r="F16" i="1" s="1"/>
  <c r="Z15" i="1"/>
  <c r="X15" i="1"/>
  <c r="AN15" i="1" s="1"/>
  <c r="D15" i="1"/>
  <c r="F15" i="1" s="1"/>
  <c r="AQ15" i="1" l="1"/>
  <c r="AQ16" i="1"/>
  <c r="AQ12" i="1"/>
  <c r="P12" i="1"/>
  <c r="AN12" i="1"/>
  <c r="P4" i="1"/>
  <c r="AO4" i="1"/>
  <c r="AP15" i="1"/>
  <c r="AP12" i="1"/>
  <c r="AP16" i="1"/>
  <c r="AI15" i="1"/>
  <c r="AI16" i="1"/>
  <c r="AJ15" i="1"/>
  <c r="AI12" i="1"/>
  <c r="AB12" i="1" l="1"/>
  <c r="AC12" i="1" s="1"/>
  <c r="BI12" i="1"/>
  <c r="BK12" i="1"/>
  <c r="AF15" i="1"/>
  <c r="AG15" i="1" s="1"/>
  <c r="BK15" i="1"/>
  <c r="BI15" i="1"/>
  <c r="AF16" i="1"/>
  <c r="AG16" i="1" s="1"/>
  <c r="BI16" i="1"/>
  <c r="BK16" i="1"/>
  <c r="AB15" i="1"/>
  <c r="AC15" i="1" s="1"/>
  <c r="AF12" i="1"/>
  <c r="AG12" i="1" s="1"/>
  <c r="AB16" i="1"/>
  <c r="AC16" i="1" s="1"/>
  <c r="BD5" i="1"/>
  <c r="AE5" i="1" s="1"/>
  <c r="BD6" i="1"/>
  <c r="AE6" i="1" s="1"/>
  <c r="BD7" i="1"/>
  <c r="AE7" i="1" s="1"/>
  <c r="BD8" i="1"/>
  <c r="AE8" i="1" s="1"/>
  <c r="BD9" i="1"/>
  <c r="AE9" i="1" s="1"/>
  <c r="BD10" i="1"/>
  <c r="AE10" i="1" s="1"/>
  <c r="BD11" i="1"/>
  <c r="AE11" i="1" s="1"/>
  <c r="BD13" i="1"/>
  <c r="AE13" i="1" s="1"/>
  <c r="BD14" i="1"/>
  <c r="AE14" i="1" s="1"/>
  <c r="BD4" i="1"/>
  <c r="AE4" i="1" s="1"/>
  <c r="Z5" i="1"/>
  <c r="Z6" i="1"/>
  <c r="Z7" i="1"/>
  <c r="Z8" i="1"/>
  <c r="Z9" i="1"/>
  <c r="Z10" i="1"/>
  <c r="Z11" i="1"/>
  <c r="AQ11" i="1" s="1"/>
  <c r="Z13" i="1"/>
  <c r="AQ13" i="1" s="1"/>
  <c r="Z14" i="1"/>
  <c r="AQ14" i="1" s="1"/>
  <c r="X5" i="1"/>
  <c r="AN5" i="1" s="1"/>
  <c r="X6" i="1"/>
  <c r="AN6" i="1" s="1"/>
  <c r="X7" i="1"/>
  <c r="AN7" i="1" s="1"/>
  <c r="X8" i="1"/>
  <c r="AN8" i="1" s="1"/>
  <c r="X9" i="1"/>
  <c r="AN9" i="1" s="1"/>
  <c r="X10" i="1"/>
  <c r="AN10" i="1" s="1"/>
  <c r="X11" i="1"/>
  <c r="AN11" i="1" s="1"/>
  <c r="X13" i="1"/>
  <c r="AN13" i="1" s="1"/>
  <c r="X14" i="1"/>
  <c r="AN1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3" i="1"/>
  <c r="F13" i="1" s="1"/>
  <c r="D14" i="1"/>
  <c r="F14" i="1" s="1"/>
  <c r="D4" i="1"/>
  <c r="F4" i="1" s="1"/>
  <c r="Z4" i="1"/>
  <c r="X4" i="1"/>
  <c r="AN4" i="1" s="1"/>
  <c r="AP7" i="1" l="1"/>
  <c r="AP6" i="1"/>
  <c r="AP13" i="1"/>
  <c r="AP8" i="1"/>
  <c r="AP14" i="1"/>
  <c r="AP5" i="1"/>
  <c r="AP11" i="1"/>
  <c r="AP10" i="1"/>
  <c r="AP4" i="1"/>
  <c r="AB4" i="1" s="1"/>
  <c r="AC4" i="1" s="1"/>
  <c r="AP9" i="1"/>
  <c r="AI14" i="1"/>
  <c r="AI5" i="1"/>
  <c r="AI13" i="1"/>
  <c r="AJ10" i="1"/>
  <c r="AI4" i="1"/>
  <c r="AI9" i="1"/>
  <c r="AJ8" i="1"/>
  <c r="AJ11" i="1"/>
  <c r="AJ7" i="1"/>
  <c r="AB13" i="1"/>
  <c r="AC13" i="1" s="1"/>
  <c r="AJ6" i="1"/>
  <c r="AI11" i="1"/>
  <c r="AI10" i="1"/>
  <c r="AI8" i="1"/>
  <c r="AJ9" i="1"/>
  <c r="AI7" i="1"/>
  <c r="AJ14" i="1"/>
  <c r="AJ5" i="1"/>
  <c r="AI6" i="1"/>
  <c r="AJ13" i="1"/>
  <c r="AL4" i="1"/>
  <c r="AM4" i="1"/>
  <c r="AJ4" i="1"/>
  <c r="AF10" i="1" l="1"/>
  <c r="AG10" i="1" s="1"/>
  <c r="BI10" i="1"/>
  <c r="BK10" i="1"/>
  <c r="AF13" i="1"/>
  <c r="AG13" i="1" s="1"/>
  <c r="BK13" i="1"/>
  <c r="BI13" i="1"/>
  <c r="AF11" i="1"/>
  <c r="AG11" i="1" s="1"/>
  <c r="BK11" i="1"/>
  <c r="BI11" i="1"/>
  <c r="AB9" i="1"/>
  <c r="AC9" i="1" s="1"/>
  <c r="BI9" i="1"/>
  <c r="BK9" i="1"/>
  <c r="AF6" i="1"/>
  <c r="AG6" i="1" s="1"/>
  <c r="BI6" i="1"/>
  <c r="BK6" i="1"/>
  <c r="BK5" i="1"/>
  <c r="BI5" i="1"/>
  <c r="AF14" i="1"/>
  <c r="AG14" i="1" s="1"/>
  <c r="BI14" i="1"/>
  <c r="BK14" i="1"/>
  <c r="AF8" i="1"/>
  <c r="AG8" i="1" s="1"/>
  <c r="BI8" i="1"/>
  <c r="BK8" i="1"/>
  <c r="AB7" i="1"/>
  <c r="AC7" i="1" s="1"/>
  <c r="BI7" i="1"/>
  <c r="BK7" i="1"/>
  <c r="AB6" i="1"/>
  <c r="AC6" i="1" s="1"/>
  <c r="AF7" i="1"/>
  <c r="AG7" i="1" s="1"/>
  <c r="AB11" i="1"/>
  <c r="AC11" i="1" s="1"/>
  <c r="AB10" i="1"/>
  <c r="AC10" i="1" s="1"/>
  <c r="AF4" i="1"/>
  <c r="AG4" i="1" s="1"/>
  <c r="BI4" i="1"/>
  <c r="BK4" i="1"/>
  <c r="AB14" i="1"/>
  <c r="AC14" i="1" s="1"/>
  <c r="AF9" i="1"/>
  <c r="AG9" i="1" s="1"/>
  <c r="AB8" i="1"/>
  <c r="AC8" i="1" s="1"/>
  <c r="AF5" i="1"/>
  <c r="AG5" i="1" s="1"/>
  <c r="AB5" i="1"/>
  <c r="AC5" i="1" s="1"/>
</calcChain>
</file>

<file path=xl/sharedStrings.xml><?xml version="1.0" encoding="utf-8"?>
<sst xmlns="http://schemas.openxmlformats.org/spreadsheetml/2006/main" count="187" uniqueCount="119">
  <si>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</si>
  <si>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</si>
  <si>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</si>
  <si>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</si>
  <si>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</si>
  <si>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</si>
  <si>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</si>
  <si>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</si>
  <si>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</si>
  <si>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</si>
  <si>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</si>
  <si>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</si>
  <si>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</si>
  <si>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</si>
  <si>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</si>
  <si>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</si>
  <si>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</si>
  <si>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</si>
  <si>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</si>
  <si>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</si>
  <si>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</si>
  <si>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</si>
  <si>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</si>
  <si>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</si>
  <si>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</si>
  <si>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</si>
  <si>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</si>
  <si>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</si>
  <si>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</si>
  <si>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</si>
  <si>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</si>
  <si>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</si>
  <si>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</si>
  <si>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</si>
  <si>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</si>
  <si>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</si>
  <si>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</si>
  <si>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</si>
  <si>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</si>
  <si>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</si>
  <si>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</si>
  <si>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</si>
  <si>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</si>
  <si>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</si>
  <si>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</si>
  <si>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</si>
  <si>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</si>
  <si>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</si>
  <si>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</si>
  <si>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</si>
  <si>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</si>
  <si>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</si>
  <si>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</si>
  <si>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</si>
  <si>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</si>
  <si>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</si>
  <si>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</si>
  <si>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</si>
  <si>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</si>
  <si>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</si>
  <si>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</si>
  <si>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</si>
  <si>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</si>
  <si>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</si>
  <si>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</si>
  <si>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VD粗利率</t>
    <rPh sb="2" eb="5">
      <t>アラリリツ</t>
    </rPh>
    <phoneticPr fontId="2"/>
  </si>
  <si>
    <t>JY2915</t>
  </si>
  <si>
    <t>JY2916</t>
  </si>
  <si>
    <t>伊藤忠/ﾁｬｯｸ袋 B9 0.04×50×70mm 300枚/IRLM-ZBT1</t>
  </si>
  <si>
    <t>伊藤忠/ﾁｬｯｸ袋 B7 0.04×100×140mm 200枚/IRLM-ZBT5</t>
  </si>
  <si>
    <t>伊藤忠/ﾁｬｯｸ袋 A6 0.04×120×170mm 100枚/IRLM-ZBT6</t>
  </si>
  <si>
    <t>伊藤忠/ﾁｬｯｸ袋 B6 0.04×140×200mm 100枚/IRLM-ZBT7</t>
  </si>
  <si>
    <t>伊藤忠/ﾁｬｯｸ袋 A5 0.04×170×240mm 100枚/IRLM-ZBT8</t>
  </si>
  <si>
    <t>伊藤忠/ﾁｬｯｸ袋 B5 0.04×200×280mm 100枚/IRLM-ZBT9</t>
  </si>
  <si>
    <t>伊藤忠/ﾁｬｯｸ袋 A4 0.04×240×340mm 100枚/IRLM-ZBT10</t>
  </si>
  <si>
    <t>伊藤忠/ﾎﾟｹｯﾄ付薬袋 A5 0.04×170×240mm 100枚</t>
  </si>
  <si>
    <t>伊藤忠/ﾎﾟｹｯﾄ付薬袋 A6 0.04×115×170mm 100枚</t>
  </si>
  <si>
    <t>伊藤忠/ﾎﾟｹｯﾄ付薬袋 B5 0.04×200×280mm 100枚</t>
  </si>
  <si>
    <t>試着用つかいきりくるぶしｽﾄｯｷﾝｸﾞ 100枚×50箱 ﾍﾞｰｼﾞｭ</t>
  </si>
  <si>
    <t>試着用つかいきりくるぶしｽﾄｯｷﾝｸﾞ 100枚×50箱 黒</t>
  </si>
  <si>
    <t>伊藤忠/ﾎﾟｹｯﾄ付薬袋 A5 0.04×170×240mm 100枚×30</t>
  </si>
  <si>
    <t>32/828</t>
  </si>
  <si>
    <t>-</t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</si>
  <si>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</si>
  <si>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</si>
  <si>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</si>
  <si>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伊藤忠リーテイルリンク チャック袋 B9 50×70mm IRLM-ZBT1 1袋（300枚入）</t>
  </si>
  <si>
    <t>伊藤忠リーテイルリンク チャック袋 B7 100×140mm IRLM-ZBT5 1袋（200枚入）</t>
  </si>
  <si>
    <t>伊藤忠リーテイルリンク チャック袋 A6 120×170mm IRLM-ZBT6 1袋（100枚入）</t>
  </si>
  <si>
    <t>伊藤忠リーテイルリンク チャック袋 B6 140×200mm IRLM-ZBT7 1袋（100枚入）</t>
  </si>
  <si>
    <t>伊藤忠リーテイルリンク チャック袋 A5 170×240mm IRLM-ZBT8 1袋（100枚入）</t>
  </si>
  <si>
    <t>伊藤忠リーテイルリンク チャック袋 B5 200×280mm IRLM-ZBT9 1袋（100枚入）</t>
  </si>
  <si>
    <t>伊藤忠リーテイルリンク チャック袋 A4 340×240mm IRLM-ZBT10 1袋（100枚入）</t>
  </si>
  <si>
    <t>伊藤忠リーテイルリンク ポケット付き チャック袋 A5 ZBP-8A5 1袋（100枚入）</t>
  </si>
  <si>
    <t>伊藤忠リーテイルリンク　ポケット付き　チャック袋　A5　ZBP-8A5　1箱（3000枚入）</t>
  </si>
  <si>
    <t>伊藤忠リーテイルリンク ポケット付き チャック袋 A6 ZBP-10A6 1袋（100枚入）</t>
  </si>
  <si>
    <t>伊藤忠リーテイルリンク ポケット付き チャック袋 B5 100枚入 ZBP-9B5</t>
  </si>
  <si>
    <t>5333987</t>
  </si>
  <si>
    <t>1袋（300枚入）</t>
  </si>
  <si>
    <t>5333996</t>
  </si>
  <si>
    <t>1袋（200枚入）</t>
  </si>
  <si>
    <t>5334008</t>
  </si>
  <si>
    <t>1袋（100枚入）</t>
  </si>
  <si>
    <t>5334026</t>
  </si>
  <si>
    <t>5334035</t>
  </si>
  <si>
    <t>5334044</t>
  </si>
  <si>
    <t>5334053</t>
  </si>
  <si>
    <t>2855923</t>
  </si>
  <si>
    <t>2989319</t>
  </si>
  <si>
    <t>1箱（3000枚入）</t>
  </si>
  <si>
    <t>J289252</t>
  </si>
  <si>
    <t>2855932</t>
  </si>
  <si>
    <t>伊藤忠リーテイルリンク　使いきりストッキング　くるぶし丈　フリーサイズ　VTSB100　1セット（1000枚：100枚入×10箱）</t>
  </si>
  <si>
    <t>伊藤忠リーテイルリンク　試着用くるぶしストッキング　ブラック　VTSB100-B　1セット（1000枚：100枚入×10箱）</t>
  </si>
  <si>
    <t>1セット（1000枚</t>
  </si>
  <si>
    <t>1271465</t>
  </si>
  <si>
    <t>P675287</t>
  </si>
  <si>
    <t>-</t>
    <phoneticPr fontId="2"/>
  </si>
  <si>
    <t>カウネットは箱からの換算</t>
    <rPh sb="6" eb="7">
      <t>ハコ</t>
    </rPh>
    <rPh sb="10" eb="12">
      <t>カンザン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</si>
</sst>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9" borderId="4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L16"/>
  <sheetViews>
    <sheetView tabSelected="1" zoomScale="90" zoomScaleNormal="90" workbookViewId="0">
      <pane xSplit="8" ySplit="5" topLeftCell="AF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2" width="7.625" hidden="1" customWidth="1" outlineLevel="1"/>
    <col min="23" max="23" width="7.5" customWidth="1" collapsed="1"/>
    <col min="24" max="26" width="7.625" customWidth="1"/>
    <col min="27" max="27" width="4.375" customWidth="1" collapsed="1"/>
    <col min="28" max="29" width="7.625" customWidth="1"/>
    <col min="30" max="30" width="6.125" style="30" customWidth="1"/>
    <col min="31" max="31" width="7.625" customWidth="1"/>
    <col min="32" max="32" width="7.625" style="30" customWidth="1"/>
    <col min="33" max="36" width="7.625" customWidth="1"/>
    <col min="37" max="39" width="7.625" hidden="1" customWidth="1" outlineLevel="1"/>
    <col min="40" max="40" width="7.625" customWidth="1" collapsed="1"/>
    <col min="41" max="42" width="7.625" customWidth="1"/>
    <col min="43" max="49" width="7.625" customWidth="1" outlineLevel="1"/>
    <col min="50" max="53" width="7.625" customWidth="1"/>
    <col min="54" max="54" width="11.25" customWidth="1"/>
    <col min="55" max="63" width="7.625" customWidth="1"/>
  </cols>
  <sheetData>
    <row r="1" spans="1:64" x14ac:dyDescent="0.4">
      <c r="C1" s="29" t="s">
        <v>40</v>
      </c>
      <c r="W1" s="50" t="s">
        <v>37</v>
      </c>
      <c r="X1" s="51"/>
      <c r="Y1" s="51"/>
      <c r="Z1" s="52"/>
      <c r="AI1" s="42" t="s">
        <v>63</v>
      </c>
      <c r="AJ1" s="43" t="s">
        <v>64</v>
      </c>
      <c r="AN1" s="41" t="s">
        <v>62</v>
      </c>
      <c r="AP1" s="45" t="s">
        <v>62</v>
      </c>
    </row>
    <row r="2" spans="1:64" x14ac:dyDescent="0.4">
      <c r="C2" s="8" t="s">
        <v>25</v>
      </c>
      <c r="D2" s="9" t="s">
        <v>26</v>
      </c>
      <c r="E2" s="9" t="s">
        <v>27</v>
      </c>
      <c r="F2" s="9"/>
      <c r="G2" s="10"/>
      <c r="H2" s="10"/>
      <c r="I2" s="36"/>
      <c r="J2" s="36"/>
      <c r="K2" s="47" t="s">
        <v>28</v>
      </c>
      <c r="L2" s="49"/>
      <c r="M2" s="47" t="s">
        <v>1</v>
      </c>
      <c r="N2" s="48"/>
      <c r="O2" s="48"/>
      <c r="P2" s="49"/>
      <c r="Q2" s="11"/>
      <c r="R2" s="35"/>
      <c r="S2" s="35"/>
      <c r="T2" s="35"/>
      <c r="U2" s="35"/>
      <c r="V2" s="35"/>
      <c r="W2" s="23"/>
      <c r="X2" s="24" t="s">
        <v>31</v>
      </c>
      <c r="Y2" s="24"/>
      <c r="Z2" s="25" t="s">
        <v>31</v>
      </c>
      <c r="AA2" s="10"/>
      <c r="AB2" s="9" t="s">
        <v>36</v>
      </c>
      <c r="AC2" s="11"/>
      <c r="AD2" s="31"/>
      <c r="AE2" s="11"/>
      <c r="AF2" s="31"/>
      <c r="AG2" s="11"/>
      <c r="AH2" s="22" t="s">
        <v>38</v>
      </c>
      <c r="AI2" s="11"/>
      <c r="AJ2" s="11"/>
      <c r="AK2" s="27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>
        <v>51</v>
      </c>
      <c r="BE2">
        <v>14</v>
      </c>
      <c r="BF2">
        <v>28</v>
      </c>
      <c r="BJ2" t="s">
        <v>118</v>
      </c>
    </row>
    <row r="3" spans="1:64" ht="75" x14ac:dyDescent="0.4">
      <c r="A3" s="1" t="s">
        <v>47</v>
      </c>
      <c r="B3" s="1" t="s">
        <v>52</v>
      </c>
      <c r="C3" s="2" t="s">
        <v>2</v>
      </c>
      <c r="D3" s="2" t="s">
        <v>6</v>
      </c>
      <c r="E3" s="2" t="s">
        <v>7</v>
      </c>
      <c r="F3" s="40" t="s">
        <v>61</v>
      </c>
      <c r="G3" s="2" t="s">
        <v>0</v>
      </c>
      <c r="H3" s="12" t="s">
        <v>4</v>
      </c>
      <c r="I3" s="12" t="s">
        <v>49</v>
      </c>
      <c r="J3" s="12" t="s">
        <v>50</v>
      </c>
      <c r="K3" s="12" t="s">
        <v>22</v>
      </c>
      <c r="L3" s="12" t="s">
        <v>23</v>
      </c>
      <c r="M3" s="12" t="s">
        <v>59</v>
      </c>
      <c r="N3" s="2" t="s">
        <v>5</v>
      </c>
      <c r="O3" s="2" t="s">
        <v>57</v>
      </c>
      <c r="P3" s="2" t="s">
        <v>13</v>
      </c>
      <c r="Q3" s="12" t="s">
        <v>44</v>
      </c>
      <c r="R3" s="12" t="s">
        <v>17</v>
      </c>
      <c r="S3" s="12" t="s">
        <v>18</v>
      </c>
      <c r="T3" s="12" t="s">
        <v>45</v>
      </c>
      <c r="U3" s="12" t="s">
        <v>20</v>
      </c>
      <c r="V3" s="12" t="s">
        <v>21</v>
      </c>
      <c r="W3" s="12" t="s">
        <v>55</v>
      </c>
      <c r="X3" s="12" t="s">
        <v>56</v>
      </c>
      <c r="Y3" s="2" t="s">
        <v>57</v>
      </c>
      <c r="Z3" s="12" t="s">
        <v>58</v>
      </c>
      <c r="AA3" s="14" t="s">
        <v>3</v>
      </c>
      <c r="AB3" s="20" t="s">
        <v>14</v>
      </c>
      <c r="AC3" s="2" t="s">
        <v>13</v>
      </c>
      <c r="AD3" s="32" t="s">
        <v>41</v>
      </c>
      <c r="AE3" s="12" t="s">
        <v>60</v>
      </c>
      <c r="AF3" s="37" t="s">
        <v>51</v>
      </c>
      <c r="AG3" s="2" t="s">
        <v>13</v>
      </c>
      <c r="AH3" s="13" t="s">
        <v>29</v>
      </c>
      <c r="AI3" s="2" t="s">
        <v>13</v>
      </c>
      <c r="AJ3" s="2" t="s">
        <v>30</v>
      </c>
      <c r="AK3" s="26" t="s">
        <v>32</v>
      </c>
      <c r="AL3" s="12" t="s">
        <v>33</v>
      </c>
      <c r="AM3" s="12" t="s">
        <v>34</v>
      </c>
      <c r="AN3" s="12" t="s">
        <v>24</v>
      </c>
      <c r="AO3" s="12" t="s">
        <v>35</v>
      </c>
      <c r="AP3" s="12" t="s">
        <v>15</v>
      </c>
      <c r="AQ3" s="12" t="s">
        <v>65</v>
      </c>
      <c r="AR3" s="12" t="s">
        <v>16</v>
      </c>
      <c r="AS3" s="12" t="s">
        <v>17</v>
      </c>
      <c r="AT3" s="12" t="s">
        <v>18</v>
      </c>
      <c r="AU3" s="12" t="s">
        <v>19</v>
      </c>
      <c r="AV3" s="12" t="s">
        <v>20</v>
      </c>
      <c r="AW3" s="12" t="s">
        <v>21</v>
      </c>
      <c r="AX3" s="2" t="s">
        <v>8</v>
      </c>
      <c r="AY3" s="2" t="s">
        <v>9</v>
      </c>
      <c r="AZ3" s="2" t="s">
        <v>10</v>
      </c>
      <c r="BA3" s="2" t="s">
        <v>11</v>
      </c>
      <c r="BB3" s="12" t="s">
        <v>39</v>
      </c>
      <c r="BC3" s="2" t="s">
        <v>83</v>
      </c>
      <c r="BD3" s="2" t="s">
        <v>12</v>
      </c>
      <c r="BE3" s="18" t="s">
        <v>42</v>
      </c>
      <c r="BF3" s="18" t="s">
        <v>43</v>
      </c>
      <c r="BG3" s="15" t="s">
        <v>48</v>
      </c>
      <c r="BH3" s="38" t="s">
        <v>84</v>
      </c>
      <c r="BI3" s="39" t="s">
        <v>53</v>
      </c>
      <c r="BJ3" s="39" t="s">
        <v>85</v>
      </c>
      <c r="BK3" s="39" t="s">
        <v>54</v>
      </c>
      <c r="BL3" s="34" t="s">
        <v>46</v>
      </c>
    </row>
    <row r="4" spans="1:64" x14ac:dyDescent="0.4">
      <c r="A4" s="3">
        <v>1</v>
      </c>
      <c r="B4" s="3">
        <v>1</v>
      </c>
      <c r="C4" s="4">
        <v>400969</v>
      </c>
      <c r="D4" s="4" t="str">
        <f>TEXT(C4,"000000")</f>
        <v>400969</v>
      </c>
      <c r="E4" s="4">
        <v>400969</v>
      </c>
      <c r="F4" s="4" t="str">
        <f>D4&amp;I4</f>
        <v>4009695</v>
      </c>
      <c r="G4" s="4" t="s">
        <v>68</v>
      </c>
      <c r="H4" s="5">
        <v>4933691943799</v>
      </c>
      <c r="I4" s="5">
        <v>5</v>
      </c>
      <c r="J4" s="5"/>
      <c r="K4" s="5">
        <v>1</v>
      </c>
      <c r="L4" s="5">
        <v>1</v>
      </c>
      <c r="M4" s="4">
        <v>0</v>
      </c>
      <c r="N4" s="4">
        <v>188</v>
      </c>
      <c r="O4" s="4">
        <v>85</v>
      </c>
      <c r="P4" s="6">
        <f>IFERROR(1-O4/N4,"-")</f>
        <v>0.5478723404255319</v>
      </c>
      <c r="Q4" s="4">
        <v>180</v>
      </c>
      <c r="R4" s="4">
        <v>5</v>
      </c>
      <c r="S4" s="4">
        <v>9</v>
      </c>
      <c r="T4" s="4">
        <v>165</v>
      </c>
      <c r="U4" s="4">
        <v>10</v>
      </c>
      <c r="V4" s="4">
        <v>99999</v>
      </c>
      <c r="W4" s="4">
        <v>0</v>
      </c>
      <c r="X4" s="4">
        <f>IF(AA4="",W4,W4*AA4)</f>
        <v>0</v>
      </c>
      <c r="Y4" s="4">
        <v>111</v>
      </c>
      <c r="Z4" s="4">
        <f>IF(AA4="",Y4,Y4*AA4)</f>
        <v>111</v>
      </c>
      <c r="AA4" s="4"/>
      <c r="AB4" s="21">
        <f t="shared" ref="AB4:AB16" si="0">ROUND(N4*AP4,0)</f>
        <v>246</v>
      </c>
      <c r="AC4" s="6">
        <f>IFERROR(1-Z4/AB4,"-")</f>
        <v>0.54878048780487809</v>
      </c>
      <c r="AD4" s="33">
        <v>63.749999999999993</v>
      </c>
      <c r="AE4" s="4">
        <f>BD4</f>
        <v>245</v>
      </c>
      <c r="AF4" s="33">
        <f>IFERROR(AE4*AP4,"-")</f>
        <v>319.94117647058823</v>
      </c>
      <c r="AG4" s="6">
        <f>IFERROR(1-Z4/AF4,"-")</f>
        <v>0.65306122448979598</v>
      </c>
      <c r="AH4" s="7">
        <v>248</v>
      </c>
      <c r="AI4" s="6">
        <f t="shared" ref="AI4:AI16" si="1">1-Z4/AH4</f>
        <v>0.55241935483870974</v>
      </c>
      <c r="AJ4" s="4">
        <f t="shared" ref="AJ4:AJ16" si="2">AH4-Z4</f>
        <v>137</v>
      </c>
      <c r="AK4" s="28"/>
      <c r="AL4" s="6" t="e">
        <f>1-Z4/AK4</f>
        <v>#DIV/0!</v>
      </c>
      <c r="AM4" s="4">
        <f>AK4-Z4</f>
        <v>-111</v>
      </c>
      <c r="AN4" s="46" t="str">
        <f t="shared" ref="AN4:AN16" si="3">IFERROR(X4/M4,"-")</f>
        <v>-</v>
      </c>
      <c r="AO4" s="6">
        <f t="shared" ref="AO4:AO16" si="4">IFERROR(AH4/N4,"-")</f>
        <v>1.3191489361702127</v>
      </c>
      <c r="AP4" s="6">
        <f t="shared" ref="AP4:AP16" si="5">IFERROR(Z4/O4,"-")</f>
        <v>1.3058823529411765</v>
      </c>
      <c r="AQ4" s="6">
        <f>IFERROR(1-Z4/AU4,"-")</f>
        <v>0.49082568807339455</v>
      </c>
      <c r="AR4" s="4">
        <f>IFERROR(ROUND($AH4*Q4/$N4,0),"-")</f>
        <v>237</v>
      </c>
      <c r="AS4" s="4">
        <f>IF(R4="","-",R4)</f>
        <v>5</v>
      </c>
      <c r="AT4" s="4">
        <f>IF(S4="","-",S4)</f>
        <v>9</v>
      </c>
      <c r="AU4" s="4">
        <f>IFERROR(ROUND($AH4*T4/$N4,0),"-")</f>
        <v>218</v>
      </c>
      <c r="AV4" s="4">
        <f>IF(U4="","-",U4)</f>
        <v>10</v>
      </c>
      <c r="AW4" s="4">
        <f>IF(V4="","-",V4)</f>
        <v>99999</v>
      </c>
      <c r="AX4" s="4" t="s">
        <v>81</v>
      </c>
      <c r="AY4" s="4" t="s">
        <v>97</v>
      </c>
      <c r="AZ4" s="4"/>
      <c r="BA4" s="4"/>
      <c r="BB4" s="4" t="s">
        <v>98</v>
      </c>
      <c r="BC4" s="4">
        <v>245</v>
      </c>
      <c r="BD4" s="4">
        <f t="shared" ref="BD4:BD5" si="6">IF(AZ4="",BC4,AZ4/BA4*BC4)</f>
        <v>245</v>
      </c>
      <c r="BE4" s="19">
        <v>4</v>
      </c>
      <c r="BF4" s="19">
        <v>1</v>
      </c>
      <c r="BG4" s="16">
        <v>18</v>
      </c>
      <c r="BH4" t="s">
        <v>117</v>
      </c>
      <c r="BI4" t="str">
        <f>IFERROR(BH4*AP4,"-")</f>
        <v>-</v>
      </c>
      <c r="BJ4">
        <v>180.5</v>
      </c>
      <c r="BK4">
        <f>IFERROR(BJ4*AP4,"-")</f>
        <v>235.71176470588236</v>
      </c>
      <c r="BL4" t="s">
        <v>86</v>
      </c>
    </row>
    <row r="5" spans="1:64" x14ac:dyDescent="0.4">
      <c r="A5" s="3">
        <v>2</v>
      </c>
      <c r="B5" s="3">
        <v>2</v>
      </c>
      <c r="C5" s="4">
        <v>400970</v>
      </c>
      <c r="D5" s="4" t="str">
        <f t="shared" ref="D5:D14" si="7">TEXT(C5,"000000")</f>
        <v>400970</v>
      </c>
      <c r="E5" s="4">
        <v>400970</v>
      </c>
      <c r="F5" s="4" t="str">
        <f t="shared" ref="F5:F16" si="8">D5&amp;I5</f>
        <v>4009705</v>
      </c>
      <c r="G5" s="4" t="s">
        <v>69</v>
      </c>
      <c r="H5" s="5">
        <v>4933691943805</v>
      </c>
      <c r="I5" s="5">
        <v>5</v>
      </c>
      <c r="J5" s="5"/>
      <c r="K5" s="5">
        <v>1</v>
      </c>
      <c r="L5" s="5">
        <v>1</v>
      </c>
      <c r="M5" s="4">
        <v>0</v>
      </c>
      <c r="N5" s="4">
        <v>248</v>
      </c>
      <c r="O5" s="4">
        <v>150</v>
      </c>
      <c r="P5" s="6">
        <f t="shared" ref="P5:P16" si="9">IFERROR(1-O5/N5,"-")</f>
        <v>0.39516129032258063</v>
      </c>
      <c r="Q5" s="4">
        <v>228</v>
      </c>
      <c r="R5" s="4">
        <v>5</v>
      </c>
      <c r="S5" s="4">
        <v>9</v>
      </c>
      <c r="T5" s="4">
        <v>218</v>
      </c>
      <c r="U5" s="4">
        <v>10</v>
      </c>
      <c r="V5" s="4">
        <v>99999</v>
      </c>
      <c r="W5" s="4">
        <v>0</v>
      </c>
      <c r="X5" s="4">
        <f t="shared" ref="X5:X14" si="10">IF(AA5="",W5,W5*AA5)</f>
        <v>0</v>
      </c>
      <c r="Y5" s="4">
        <v>204</v>
      </c>
      <c r="Z5" s="4">
        <f t="shared" ref="Z5:Z14" si="11">IF(AA5="",Y5,Y5*AA5)</f>
        <v>204</v>
      </c>
      <c r="AA5" s="4"/>
      <c r="AB5" s="21">
        <f t="shared" si="0"/>
        <v>337</v>
      </c>
      <c r="AC5" s="6">
        <f t="shared" ref="AC5:AC16" si="12">IFERROR(1-Z5/AB5,"-")</f>
        <v>0.39465875370919878</v>
      </c>
      <c r="AD5" s="33">
        <v>23</v>
      </c>
      <c r="AE5" s="4">
        <f t="shared" ref="AE5:AE14" si="13">BD5</f>
        <v>379</v>
      </c>
      <c r="AF5" s="33">
        <f t="shared" ref="AF5:AF16" si="14">IFERROR(AE5*AP5,"-")</f>
        <v>515.44000000000005</v>
      </c>
      <c r="AG5" s="6">
        <f t="shared" ref="AG5:AG16" si="15">IFERROR(1-Z5/AF5,"-")</f>
        <v>0.60422163588390498</v>
      </c>
      <c r="AH5" s="7">
        <v>428</v>
      </c>
      <c r="AI5" s="6">
        <f t="shared" si="1"/>
        <v>0.52336448598130847</v>
      </c>
      <c r="AJ5" s="4">
        <f t="shared" si="2"/>
        <v>224</v>
      </c>
      <c r="AK5" s="28"/>
      <c r="AL5" s="6"/>
      <c r="AM5" s="6"/>
      <c r="AN5" s="46" t="str">
        <f t="shared" si="3"/>
        <v>-</v>
      </c>
      <c r="AO5" s="6">
        <f t="shared" si="4"/>
        <v>1.7258064516129032</v>
      </c>
      <c r="AP5" s="6">
        <f t="shared" si="5"/>
        <v>1.36</v>
      </c>
      <c r="AQ5" s="6">
        <f t="shared" ref="AQ5:AQ10" si="16">IFERROR(1-Z5/AU5,"-")</f>
        <v>0.45744680851063835</v>
      </c>
      <c r="AR5" s="4">
        <f t="shared" ref="AR5:AR16" si="17">IFERROR(ROUND($AH5*Q5/$N5,0),"-")</f>
        <v>393</v>
      </c>
      <c r="AS5" s="4">
        <f t="shared" ref="AS5:AS16" si="18">IF(R5="","-",R5)</f>
        <v>5</v>
      </c>
      <c r="AT5" s="4">
        <f t="shared" ref="AT5:AT16" si="19">IF(S5="","-",S5)</f>
        <v>9</v>
      </c>
      <c r="AU5" s="4">
        <f t="shared" ref="AU5:AU16" si="20">IFERROR(ROUND($AH5*T5/$N5,0),"-")</f>
        <v>376</v>
      </c>
      <c r="AV5" s="4">
        <f t="shared" ref="AV5:AV16" si="21">IF(U5="","-",U5)</f>
        <v>10</v>
      </c>
      <c r="AW5" s="4">
        <f t="shared" ref="AW5:AW16" si="22">IF(V5="","-",V5)</f>
        <v>99999</v>
      </c>
      <c r="AX5" s="4" t="s">
        <v>81</v>
      </c>
      <c r="AY5" s="4" t="s">
        <v>99</v>
      </c>
      <c r="AZ5" s="4"/>
      <c r="BA5" s="4"/>
      <c r="BB5" s="4" t="s">
        <v>100</v>
      </c>
      <c r="BC5" s="4">
        <v>379</v>
      </c>
      <c r="BD5" s="4">
        <f t="shared" si="6"/>
        <v>379</v>
      </c>
      <c r="BE5" s="19">
        <v>4</v>
      </c>
      <c r="BF5" s="19">
        <v>1</v>
      </c>
      <c r="BG5" s="16">
        <v>18</v>
      </c>
      <c r="BH5" t="s">
        <v>117</v>
      </c>
      <c r="BI5" t="str">
        <f t="shared" ref="BI5:BI16" si="23">IFERROR(BH5*AP5,"-")</f>
        <v>-</v>
      </c>
      <c r="BJ5">
        <v>327.75</v>
      </c>
      <c r="BK5">
        <f t="shared" ref="BK5:BK16" si="24">IFERROR(BJ5*AP5,"-")</f>
        <v>445.74</v>
      </c>
      <c r="BL5" t="s">
        <v>87</v>
      </c>
    </row>
    <row r="6" spans="1:64" x14ac:dyDescent="0.4">
      <c r="A6" s="3">
        <v>3</v>
      </c>
      <c r="B6" s="3">
        <v>3</v>
      </c>
      <c r="C6" s="17">
        <v>400971</v>
      </c>
      <c r="D6" s="4" t="str">
        <f t="shared" si="7"/>
        <v>400971</v>
      </c>
      <c r="E6" s="4">
        <v>400971</v>
      </c>
      <c r="F6" s="4" t="str">
        <f t="shared" si="8"/>
        <v>4009715</v>
      </c>
      <c r="G6" s="4" t="s">
        <v>70</v>
      </c>
      <c r="H6" s="5">
        <v>4933691943812</v>
      </c>
      <c r="I6" s="5">
        <v>5</v>
      </c>
      <c r="J6" s="5"/>
      <c r="K6" s="5">
        <v>1</v>
      </c>
      <c r="L6" s="5">
        <v>1</v>
      </c>
      <c r="M6" s="4">
        <v>0</v>
      </c>
      <c r="N6" s="4">
        <v>277</v>
      </c>
      <c r="O6" s="4">
        <v>100</v>
      </c>
      <c r="P6" s="6">
        <f t="shared" si="9"/>
        <v>0.63898916967509023</v>
      </c>
      <c r="Q6" s="4">
        <v>234</v>
      </c>
      <c r="R6" s="4">
        <v>5</v>
      </c>
      <c r="S6" s="4">
        <v>9</v>
      </c>
      <c r="T6" s="4">
        <v>219</v>
      </c>
      <c r="U6" s="4">
        <v>10</v>
      </c>
      <c r="V6" s="4">
        <v>99999</v>
      </c>
      <c r="W6" s="4">
        <v>0</v>
      </c>
      <c r="X6" s="4">
        <f t="shared" si="10"/>
        <v>0</v>
      </c>
      <c r="Y6" s="4">
        <v>135</v>
      </c>
      <c r="Z6" s="4">
        <f t="shared" si="11"/>
        <v>135</v>
      </c>
      <c r="AA6" s="4"/>
      <c r="AB6" s="21">
        <f t="shared" si="0"/>
        <v>374</v>
      </c>
      <c r="AC6" s="6">
        <f t="shared" si="12"/>
        <v>0.63903743315508021</v>
      </c>
      <c r="AD6" s="33">
        <v>130.75</v>
      </c>
      <c r="AE6" s="4">
        <f t="shared" si="13"/>
        <v>298</v>
      </c>
      <c r="AF6" s="33">
        <f t="shared" si="14"/>
        <v>402.3</v>
      </c>
      <c r="AG6" s="6">
        <f t="shared" si="15"/>
        <v>0.66442953020134232</v>
      </c>
      <c r="AH6" s="7">
        <v>348</v>
      </c>
      <c r="AI6" s="6">
        <f t="shared" si="1"/>
        <v>0.61206896551724133</v>
      </c>
      <c r="AJ6" s="4">
        <f t="shared" si="2"/>
        <v>213</v>
      </c>
      <c r="AK6" s="28"/>
      <c r="AL6" s="6"/>
      <c r="AM6" s="6"/>
      <c r="AN6" s="46" t="str">
        <f t="shared" si="3"/>
        <v>-</v>
      </c>
      <c r="AO6" s="6">
        <f t="shared" si="4"/>
        <v>1.256317689530686</v>
      </c>
      <c r="AP6" s="6">
        <f t="shared" si="5"/>
        <v>1.35</v>
      </c>
      <c r="AQ6" s="6">
        <f t="shared" si="16"/>
        <v>0.50909090909090904</v>
      </c>
      <c r="AR6" s="4">
        <f t="shared" si="17"/>
        <v>294</v>
      </c>
      <c r="AS6" s="4">
        <f t="shared" si="18"/>
        <v>5</v>
      </c>
      <c r="AT6" s="4">
        <f t="shared" si="19"/>
        <v>9</v>
      </c>
      <c r="AU6" s="4">
        <f t="shared" si="20"/>
        <v>275</v>
      </c>
      <c r="AV6" s="4">
        <f t="shared" si="21"/>
        <v>10</v>
      </c>
      <c r="AW6" s="4">
        <f t="shared" si="22"/>
        <v>99999</v>
      </c>
      <c r="AX6" s="4" t="s">
        <v>81</v>
      </c>
      <c r="AY6" s="4" t="s">
        <v>101</v>
      </c>
      <c r="AZ6" s="4"/>
      <c r="BA6" s="4"/>
      <c r="BB6" s="4" t="s">
        <v>102</v>
      </c>
      <c r="BC6" s="4">
        <v>298</v>
      </c>
      <c r="BD6" s="4">
        <f t="shared" ref="BD6:BD14" si="25">IF(AZ6="",BC6,AZ6/BA6*BC6)</f>
        <v>298</v>
      </c>
      <c r="BE6" s="19">
        <v>4</v>
      </c>
      <c r="BF6" s="19">
        <v>1</v>
      </c>
      <c r="BG6" s="16">
        <v>18</v>
      </c>
      <c r="BH6" t="s">
        <v>117</v>
      </c>
      <c r="BI6" t="str">
        <f t="shared" si="23"/>
        <v>-</v>
      </c>
      <c r="BJ6">
        <v>212.16666666666666</v>
      </c>
      <c r="BK6">
        <f t="shared" si="24"/>
        <v>286.42500000000001</v>
      </c>
      <c r="BL6" t="s">
        <v>88</v>
      </c>
    </row>
    <row r="7" spans="1:64" x14ac:dyDescent="0.4">
      <c r="A7" s="3">
        <v>4</v>
      </c>
      <c r="B7" s="3">
        <v>4</v>
      </c>
      <c r="C7" s="17">
        <v>400972</v>
      </c>
      <c r="D7" s="4" t="str">
        <f t="shared" si="7"/>
        <v>400972</v>
      </c>
      <c r="E7" s="4">
        <v>400972</v>
      </c>
      <c r="F7" s="4" t="str">
        <f t="shared" si="8"/>
        <v>4009725</v>
      </c>
      <c r="G7" s="4" t="s">
        <v>71</v>
      </c>
      <c r="H7" s="5">
        <v>4933691943829</v>
      </c>
      <c r="I7" s="5">
        <v>5</v>
      </c>
      <c r="J7" s="5"/>
      <c r="K7" s="5">
        <v>1</v>
      </c>
      <c r="L7" s="5">
        <v>1</v>
      </c>
      <c r="M7" s="4">
        <v>0</v>
      </c>
      <c r="N7" s="4">
        <v>366</v>
      </c>
      <c r="O7" s="4">
        <v>130</v>
      </c>
      <c r="P7" s="6">
        <f t="shared" si="9"/>
        <v>0.64480874316939896</v>
      </c>
      <c r="Q7" s="4">
        <v>332</v>
      </c>
      <c r="R7" s="4">
        <v>5</v>
      </c>
      <c r="S7" s="4">
        <v>9</v>
      </c>
      <c r="T7" s="4">
        <v>312</v>
      </c>
      <c r="U7" s="4">
        <v>10</v>
      </c>
      <c r="V7" s="4">
        <v>99999</v>
      </c>
      <c r="W7" s="4">
        <v>0</v>
      </c>
      <c r="X7" s="4">
        <f t="shared" si="10"/>
        <v>0</v>
      </c>
      <c r="Y7" s="4">
        <v>173</v>
      </c>
      <c r="Z7" s="4">
        <f t="shared" si="11"/>
        <v>173</v>
      </c>
      <c r="AA7" s="4"/>
      <c r="AB7" s="21">
        <f t="shared" si="0"/>
        <v>487</v>
      </c>
      <c r="AC7" s="6">
        <f t="shared" si="12"/>
        <v>0.64476386036960986</v>
      </c>
      <c r="AD7" s="33">
        <v>15.75</v>
      </c>
      <c r="AE7" s="4">
        <f t="shared" si="13"/>
        <v>379</v>
      </c>
      <c r="AF7" s="33">
        <f t="shared" si="14"/>
        <v>504.36153846153843</v>
      </c>
      <c r="AG7" s="6">
        <f t="shared" si="15"/>
        <v>0.65699208443271773</v>
      </c>
      <c r="AH7" s="7">
        <v>478</v>
      </c>
      <c r="AI7" s="6">
        <f t="shared" si="1"/>
        <v>0.63807531380753146</v>
      </c>
      <c r="AJ7" s="4">
        <f t="shared" si="2"/>
        <v>305</v>
      </c>
      <c r="AK7" s="28"/>
      <c r="AL7" s="6"/>
      <c r="AM7" s="6"/>
      <c r="AN7" s="46" t="str">
        <f t="shared" si="3"/>
        <v>-</v>
      </c>
      <c r="AO7" s="6">
        <f t="shared" si="4"/>
        <v>1.3060109289617485</v>
      </c>
      <c r="AP7" s="6">
        <f t="shared" si="5"/>
        <v>1.3307692307692307</v>
      </c>
      <c r="AQ7" s="6">
        <f t="shared" si="16"/>
        <v>0.57493857493857492</v>
      </c>
      <c r="AR7" s="4">
        <f t="shared" si="17"/>
        <v>434</v>
      </c>
      <c r="AS7" s="4">
        <f t="shared" si="18"/>
        <v>5</v>
      </c>
      <c r="AT7" s="4">
        <f t="shared" si="19"/>
        <v>9</v>
      </c>
      <c r="AU7" s="4">
        <f t="shared" si="20"/>
        <v>407</v>
      </c>
      <c r="AV7" s="4">
        <f t="shared" si="21"/>
        <v>10</v>
      </c>
      <c r="AW7" s="4">
        <f t="shared" si="22"/>
        <v>99999</v>
      </c>
      <c r="AX7" s="4" t="s">
        <v>81</v>
      </c>
      <c r="AY7" s="4" t="s">
        <v>103</v>
      </c>
      <c r="AZ7" s="4"/>
      <c r="BA7" s="4"/>
      <c r="BB7" s="4" t="s">
        <v>102</v>
      </c>
      <c r="BC7" s="4">
        <v>379</v>
      </c>
      <c r="BD7" s="4">
        <f t="shared" si="25"/>
        <v>379</v>
      </c>
      <c r="BE7" s="19">
        <v>4</v>
      </c>
      <c r="BF7" s="19">
        <v>1</v>
      </c>
      <c r="BG7" s="16">
        <v>18</v>
      </c>
      <c r="BH7" t="s">
        <v>117</v>
      </c>
      <c r="BI7" t="str">
        <f t="shared" si="23"/>
        <v>-</v>
      </c>
      <c r="BJ7">
        <v>271.7</v>
      </c>
      <c r="BK7">
        <f t="shared" si="24"/>
        <v>361.57</v>
      </c>
      <c r="BL7" t="s">
        <v>89</v>
      </c>
    </row>
    <row r="8" spans="1:64" x14ac:dyDescent="0.4">
      <c r="A8" s="3">
        <v>5</v>
      </c>
      <c r="B8" s="3">
        <v>5</v>
      </c>
      <c r="C8" s="17">
        <v>400973</v>
      </c>
      <c r="D8" s="4" t="str">
        <f t="shared" si="7"/>
        <v>400973</v>
      </c>
      <c r="E8" s="4">
        <v>400973</v>
      </c>
      <c r="F8" s="4" t="str">
        <f t="shared" si="8"/>
        <v>4009735</v>
      </c>
      <c r="G8" s="4" t="s">
        <v>72</v>
      </c>
      <c r="H8" s="5">
        <v>4933691943836</v>
      </c>
      <c r="I8" s="5">
        <v>5</v>
      </c>
      <c r="J8" s="5"/>
      <c r="K8" s="5">
        <v>1</v>
      </c>
      <c r="L8" s="5">
        <v>1</v>
      </c>
      <c r="M8" s="4">
        <v>0</v>
      </c>
      <c r="N8" s="4">
        <v>439</v>
      </c>
      <c r="O8" s="4">
        <v>185</v>
      </c>
      <c r="P8" s="6">
        <f t="shared" si="9"/>
        <v>0.57858769931662868</v>
      </c>
      <c r="Q8" s="4">
        <v>401</v>
      </c>
      <c r="R8" s="4">
        <v>5</v>
      </c>
      <c r="S8" s="4">
        <v>9</v>
      </c>
      <c r="T8" s="4">
        <v>386</v>
      </c>
      <c r="U8" s="4">
        <v>10</v>
      </c>
      <c r="V8" s="4">
        <v>99999</v>
      </c>
      <c r="W8" s="4">
        <v>0</v>
      </c>
      <c r="X8" s="4">
        <f t="shared" si="10"/>
        <v>0</v>
      </c>
      <c r="Y8" s="4">
        <v>245</v>
      </c>
      <c r="Z8" s="4">
        <f t="shared" si="11"/>
        <v>245</v>
      </c>
      <c r="AA8" s="4"/>
      <c r="AB8" s="21">
        <f t="shared" si="0"/>
        <v>581</v>
      </c>
      <c r="AC8" s="6">
        <f t="shared" si="12"/>
        <v>0.57831325301204817</v>
      </c>
      <c r="AD8" s="33">
        <v>132</v>
      </c>
      <c r="AE8" s="4">
        <f t="shared" si="13"/>
        <v>439</v>
      </c>
      <c r="AF8" s="33">
        <f t="shared" si="14"/>
        <v>581.37837837837844</v>
      </c>
      <c r="AG8" s="6">
        <f t="shared" si="15"/>
        <v>0.57858769931662879</v>
      </c>
      <c r="AH8" s="7">
        <v>580</v>
      </c>
      <c r="AI8" s="6">
        <f t="shared" si="1"/>
        <v>0.57758620689655171</v>
      </c>
      <c r="AJ8" s="4">
        <f t="shared" si="2"/>
        <v>335</v>
      </c>
      <c r="AK8" s="28"/>
      <c r="AL8" s="6"/>
      <c r="AM8" s="6"/>
      <c r="AN8" s="46" t="str">
        <f t="shared" si="3"/>
        <v>-</v>
      </c>
      <c r="AO8" s="6">
        <f t="shared" si="4"/>
        <v>1.3211845102505695</v>
      </c>
      <c r="AP8" s="6">
        <f t="shared" si="5"/>
        <v>1.3243243243243243</v>
      </c>
      <c r="AQ8" s="6">
        <f t="shared" si="16"/>
        <v>0.51960784313725483</v>
      </c>
      <c r="AR8" s="4">
        <f t="shared" si="17"/>
        <v>530</v>
      </c>
      <c r="AS8" s="4">
        <f t="shared" si="18"/>
        <v>5</v>
      </c>
      <c r="AT8" s="4">
        <f t="shared" si="19"/>
        <v>9</v>
      </c>
      <c r="AU8" s="4">
        <f t="shared" si="20"/>
        <v>510</v>
      </c>
      <c r="AV8" s="4">
        <f t="shared" si="21"/>
        <v>10</v>
      </c>
      <c r="AW8" s="4">
        <f t="shared" si="22"/>
        <v>99999</v>
      </c>
      <c r="AX8" s="4" t="s">
        <v>81</v>
      </c>
      <c r="AY8" s="4" t="s">
        <v>104</v>
      </c>
      <c r="AZ8" s="4"/>
      <c r="BA8" s="4"/>
      <c r="BB8" s="4" t="s">
        <v>102</v>
      </c>
      <c r="BC8" s="4">
        <v>439</v>
      </c>
      <c r="BD8" s="4">
        <f t="shared" si="25"/>
        <v>439</v>
      </c>
      <c r="BE8" s="19">
        <v>4</v>
      </c>
      <c r="BF8" s="19">
        <v>1</v>
      </c>
      <c r="BG8" s="16">
        <v>18</v>
      </c>
      <c r="BH8" t="s">
        <v>117</v>
      </c>
      <c r="BI8" t="str">
        <f t="shared" si="23"/>
        <v>-</v>
      </c>
      <c r="BJ8">
        <v>388.14285714285717</v>
      </c>
      <c r="BK8">
        <f t="shared" si="24"/>
        <v>514.02702702702709</v>
      </c>
      <c r="BL8" t="s">
        <v>90</v>
      </c>
    </row>
    <row r="9" spans="1:64" x14ac:dyDescent="0.4">
      <c r="A9" s="3">
        <v>6</v>
      </c>
      <c r="B9" s="3">
        <v>6</v>
      </c>
      <c r="C9" s="17">
        <v>400974</v>
      </c>
      <c r="D9" s="4" t="str">
        <f t="shared" si="7"/>
        <v>400974</v>
      </c>
      <c r="E9" s="4">
        <v>400974</v>
      </c>
      <c r="F9" s="4" t="str">
        <f t="shared" si="8"/>
        <v>4009745</v>
      </c>
      <c r="G9" s="4" t="s">
        <v>73</v>
      </c>
      <c r="H9" s="5">
        <v>4933691943843</v>
      </c>
      <c r="I9" s="5">
        <v>5</v>
      </c>
      <c r="J9" s="5"/>
      <c r="K9" s="5">
        <v>1</v>
      </c>
      <c r="L9" s="5">
        <v>1</v>
      </c>
      <c r="M9" s="4">
        <v>0</v>
      </c>
      <c r="N9" s="4">
        <v>529</v>
      </c>
      <c r="O9" s="4">
        <v>245</v>
      </c>
      <c r="P9" s="6">
        <f t="shared" si="9"/>
        <v>0.53686200378071836</v>
      </c>
      <c r="Q9" s="4">
        <v>484</v>
      </c>
      <c r="R9" s="4">
        <v>5</v>
      </c>
      <c r="S9" s="4">
        <v>9</v>
      </c>
      <c r="T9" s="4">
        <v>474</v>
      </c>
      <c r="U9" s="4">
        <v>10</v>
      </c>
      <c r="V9" s="4">
        <v>99999</v>
      </c>
      <c r="W9" s="4">
        <v>0</v>
      </c>
      <c r="X9" s="4">
        <f t="shared" si="10"/>
        <v>0</v>
      </c>
      <c r="Y9" s="4">
        <v>325</v>
      </c>
      <c r="Z9" s="4">
        <f t="shared" si="11"/>
        <v>325</v>
      </c>
      <c r="AA9" s="4"/>
      <c r="AB9" s="21">
        <f t="shared" si="0"/>
        <v>702</v>
      </c>
      <c r="AC9" s="6">
        <f t="shared" si="12"/>
        <v>0.53703703703703698</v>
      </c>
      <c r="AD9" s="33">
        <v>19.25</v>
      </c>
      <c r="AE9" s="4">
        <f t="shared" si="13"/>
        <v>563</v>
      </c>
      <c r="AF9" s="33">
        <f t="shared" si="14"/>
        <v>746.83673469387747</v>
      </c>
      <c r="AG9" s="6">
        <f t="shared" si="15"/>
        <v>0.56483126110124338</v>
      </c>
      <c r="AH9" s="7">
        <v>738</v>
      </c>
      <c r="AI9" s="6">
        <f t="shared" si="1"/>
        <v>0.55962059620596205</v>
      </c>
      <c r="AJ9" s="4">
        <f t="shared" si="2"/>
        <v>413</v>
      </c>
      <c r="AK9" s="28"/>
      <c r="AL9" s="6"/>
      <c r="AM9" s="6"/>
      <c r="AN9" s="46" t="str">
        <f t="shared" si="3"/>
        <v>-</v>
      </c>
      <c r="AO9" s="6">
        <f t="shared" si="4"/>
        <v>1.3950850661625709</v>
      </c>
      <c r="AP9" s="6">
        <f t="shared" si="5"/>
        <v>1.3265306122448979</v>
      </c>
      <c r="AQ9" s="6">
        <f t="shared" si="16"/>
        <v>0.50832072617246604</v>
      </c>
      <c r="AR9" s="4">
        <f t="shared" si="17"/>
        <v>675</v>
      </c>
      <c r="AS9" s="4">
        <f t="shared" si="18"/>
        <v>5</v>
      </c>
      <c r="AT9" s="4">
        <f t="shared" si="19"/>
        <v>9</v>
      </c>
      <c r="AU9" s="4">
        <f t="shared" si="20"/>
        <v>661</v>
      </c>
      <c r="AV9" s="4">
        <f t="shared" si="21"/>
        <v>10</v>
      </c>
      <c r="AW9" s="4">
        <f t="shared" si="22"/>
        <v>99999</v>
      </c>
      <c r="AX9" s="4" t="s">
        <v>81</v>
      </c>
      <c r="AY9" s="4" t="s">
        <v>105</v>
      </c>
      <c r="AZ9" s="4"/>
      <c r="BA9" s="4"/>
      <c r="BB9" s="4" t="s">
        <v>102</v>
      </c>
      <c r="BC9" s="4">
        <v>563</v>
      </c>
      <c r="BD9" s="4">
        <f t="shared" si="25"/>
        <v>563</v>
      </c>
      <c r="BE9" s="19">
        <v>4</v>
      </c>
      <c r="BF9" s="19">
        <v>1</v>
      </c>
      <c r="BG9" s="16">
        <v>18</v>
      </c>
      <c r="BH9" t="s">
        <v>117</v>
      </c>
      <c r="BI9" t="str">
        <f t="shared" si="23"/>
        <v>-</v>
      </c>
      <c r="BJ9">
        <v>528.20000000000005</v>
      </c>
      <c r="BK9">
        <f t="shared" si="24"/>
        <v>700.67346938775506</v>
      </c>
      <c r="BL9" t="s">
        <v>91</v>
      </c>
    </row>
    <row r="10" spans="1:64" x14ac:dyDescent="0.4">
      <c r="A10" s="3">
        <v>7</v>
      </c>
      <c r="B10" s="3">
        <v>7</v>
      </c>
      <c r="C10" s="4">
        <v>400975</v>
      </c>
      <c r="D10" s="4" t="str">
        <f t="shared" si="7"/>
        <v>400975</v>
      </c>
      <c r="E10" s="4">
        <v>400975</v>
      </c>
      <c r="F10" s="4" t="str">
        <f t="shared" si="8"/>
        <v>4009755</v>
      </c>
      <c r="G10" s="4" t="s">
        <v>74</v>
      </c>
      <c r="H10" s="5">
        <v>4933691943850</v>
      </c>
      <c r="I10" s="5">
        <v>5</v>
      </c>
      <c r="J10" s="5"/>
      <c r="K10" s="5">
        <v>1</v>
      </c>
      <c r="L10" s="5">
        <v>1</v>
      </c>
      <c r="M10" s="4">
        <v>0</v>
      </c>
      <c r="N10" s="4">
        <v>825</v>
      </c>
      <c r="O10" s="4">
        <v>365</v>
      </c>
      <c r="P10" s="6">
        <f t="shared" si="9"/>
        <v>0.55757575757575761</v>
      </c>
      <c r="Q10" s="4">
        <v>784</v>
      </c>
      <c r="R10" s="4">
        <v>5</v>
      </c>
      <c r="S10" s="4">
        <v>9</v>
      </c>
      <c r="T10" s="4">
        <v>745</v>
      </c>
      <c r="U10" s="4">
        <v>10</v>
      </c>
      <c r="V10" s="4">
        <v>99999</v>
      </c>
      <c r="W10" s="4">
        <v>0</v>
      </c>
      <c r="X10" s="4">
        <f t="shared" si="10"/>
        <v>0</v>
      </c>
      <c r="Y10" s="4">
        <v>501</v>
      </c>
      <c r="Z10" s="4">
        <f t="shared" si="11"/>
        <v>501</v>
      </c>
      <c r="AA10" s="4"/>
      <c r="AB10" s="21">
        <f t="shared" si="0"/>
        <v>1132</v>
      </c>
      <c r="AC10" s="6">
        <f t="shared" si="12"/>
        <v>0.55742049469964661</v>
      </c>
      <c r="AD10" s="33">
        <v>21.75</v>
      </c>
      <c r="AE10" s="4">
        <f t="shared" si="13"/>
        <v>827</v>
      </c>
      <c r="AF10" s="33">
        <f t="shared" si="14"/>
        <v>1135.1424657534246</v>
      </c>
      <c r="AG10" s="6">
        <f t="shared" si="15"/>
        <v>0.55864570737605801</v>
      </c>
      <c r="AH10" s="7">
        <v>1130</v>
      </c>
      <c r="AI10" s="6">
        <f t="shared" si="1"/>
        <v>0.55663716814159292</v>
      </c>
      <c r="AJ10" s="4">
        <f t="shared" si="2"/>
        <v>629</v>
      </c>
      <c r="AK10" s="28"/>
      <c r="AL10" s="6"/>
      <c r="AM10" s="6"/>
      <c r="AN10" s="46" t="str">
        <f t="shared" si="3"/>
        <v>-</v>
      </c>
      <c r="AO10" s="6">
        <f t="shared" si="4"/>
        <v>1.3696969696969696</v>
      </c>
      <c r="AP10" s="6">
        <f t="shared" si="5"/>
        <v>1.3726027397260274</v>
      </c>
      <c r="AQ10" s="6">
        <f t="shared" si="16"/>
        <v>0.50882352941176467</v>
      </c>
      <c r="AR10" s="4">
        <f t="shared" si="17"/>
        <v>1074</v>
      </c>
      <c r="AS10" s="4">
        <f t="shared" si="18"/>
        <v>5</v>
      </c>
      <c r="AT10" s="4">
        <f t="shared" si="19"/>
        <v>9</v>
      </c>
      <c r="AU10" s="4">
        <f t="shared" si="20"/>
        <v>1020</v>
      </c>
      <c r="AV10" s="4">
        <f t="shared" si="21"/>
        <v>10</v>
      </c>
      <c r="AW10" s="4">
        <f t="shared" si="22"/>
        <v>99999</v>
      </c>
      <c r="AX10" s="4" t="s">
        <v>81</v>
      </c>
      <c r="AY10" s="4" t="s">
        <v>106</v>
      </c>
      <c r="AZ10" s="4"/>
      <c r="BA10" s="4"/>
      <c r="BB10" s="4" t="s">
        <v>102</v>
      </c>
      <c r="BC10" s="4">
        <v>827</v>
      </c>
      <c r="BD10" s="4">
        <f t="shared" si="25"/>
        <v>827</v>
      </c>
      <c r="BE10" s="19">
        <v>4</v>
      </c>
      <c r="BF10" s="19">
        <v>1</v>
      </c>
      <c r="BG10" s="16">
        <v>18</v>
      </c>
      <c r="BH10" t="s">
        <v>117</v>
      </c>
      <c r="BI10" t="str">
        <f t="shared" si="23"/>
        <v>-</v>
      </c>
      <c r="BJ10">
        <v>804.33333333333337</v>
      </c>
      <c r="BK10">
        <f t="shared" si="24"/>
        <v>1104.0301369863014</v>
      </c>
      <c r="BL10" t="s">
        <v>92</v>
      </c>
    </row>
    <row r="11" spans="1:64" x14ac:dyDescent="0.4">
      <c r="A11" s="3">
        <v>8</v>
      </c>
      <c r="B11" s="3">
        <v>8</v>
      </c>
      <c r="C11" s="44">
        <v>400982</v>
      </c>
      <c r="D11" s="4" t="str">
        <f t="shared" si="7"/>
        <v>400982</v>
      </c>
      <c r="E11" s="4">
        <v>400982</v>
      </c>
      <c r="F11" s="4" t="str">
        <f t="shared" si="8"/>
        <v>4009825</v>
      </c>
      <c r="G11" s="4" t="s">
        <v>75</v>
      </c>
      <c r="H11" s="5">
        <v>4933691938801</v>
      </c>
      <c r="I11" s="5">
        <v>5</v>
      </c>
      <c r="J11" s="5"/>
      <c r="K11" s="5">
        <v>2</v>
      </c>
      <c r="L11" s="5">
        <v>2</v>
      </c>
      <c r="M11" s="4">
        <v>0</v>
      </c>
      <c r="N11" s="4">
        <v>940</v>
      </c>
      <c r="O11" s="4">
        <v>275</v>
      </c>
      <c r="P11" s="6">
        <f t="shared" si="9"/>
        <v>0.70744680851063824</v>
      </c>
      <c r="Q11" s="4">
        <v>860</v>
      </c>
      <c r="R11" s="4">
        <v>5</v>
      </c>
      <c r="S11" s="4">
        <v>99999</v>
      </c>
      <c r="T11" s="4" t="s">
        <v>82</v>
      </c>
      <c r="U11" s="4" t="s">
        <v>82</v>
      </c>
      <c r="V11" s="4" t="s">
        <v>82</v>
      </c>
      <c r="W11" s="4">
        <v>0</v>
      </c>
      <c r="X11" s="4">
        <f t="shared" si="10"/>
        <v>0</v>
      </c>
      <c r="Y11" s="4">
        <v>553</v>
      </c>
      <c r="Z11" s="4">
        <f t="shared" si="11"/>
        <v>553</v>
      </c>
      <c r="AA11" s="4"/>
      <c r="AB11" s="21">
        <f t="shared" si="0"/>
        <v>1890</v>
      </c>
      <c r="AC11" s="6">
        <f t="shared" si="12"/>
        <v>0.70740740740740748</v>
      </c>
      <c r="AD11" s="33">
        <v>66.5</v>
      </c>
      <c r="AE11" s="4">
        <f t="shared" si="13"/>
        <v>1230</v>
      </c>
      <c r="AF11" s="33">
        <f t="shared" si="14"/>
        <v>2473.4181818181814</v>
      </c>
      <c r="AG11" s="6">
        <f t="shared" si="15"/>
        <v>0.77642276422764223</v>
      </c>
      <c r="AH11" s="7">
        <v>1780</v>
      </c>
      <c r="AI11" s="6">
        <f t="shared" si="1"/>
        <v>0.68932584269662922</v>
      </c>
      <c r="AJ11" s="4">
        <f t="shared" si="2"/>
        <v>1227</v>
      </c>
      <c r="AK11" s="28"/>
      <c r="AL11" s="6"/>
      <c r="AM11" s="6"/>
      <c r="AN11" s="46" t="str">
        <f t="shared" si="3"/>
        <v>-</v>
      </c>
      <c r="AO11" s="6">
        <f t="shared" si="4"/>
        <v>1.8936170212765957</v>
      </c>
      <c r="AP11" s="6">
        <f t="shared" si="5"/>
        <v>2.0109090909090908</v>
      </c>
      <c r="AQ11" s="6">
        <f t="shared" ref="AQ11:AQ16" si="26">IFERROR(1-Z11/AR11,"-")</f>
        <v>0.66052793124616327</v>
      </c>
      <c r="AR11" s="4">
        <f t="shared" si="17"/>
        <v>1629</v>
      </c>
      <c r="AS11" s="4">
        <f t="shared" si="18"/>
        <v>5</v>
      </c>
      <c r="AT11" s="4">
        <f t="shared" si="19"/>
        <v>99999</v>
      </c>
      <c r="AU11" s="4" t="str">
        <f t="shared" si="20"/>
        <v>-</v>
      </c>
      <c r="AV11" s="4" t="str">
        <f t="shared" si="21"/>
        <v>-</v>
      </c>
      <c r="AW11" s="4" t="str">
        <f t="shared" si="22"/>
        <v>-</v>
      </c>
      <c r="AX11" s="4" t="s">
        <v>81</v>
      </c>
      <c r="AY11" s="4" t="s">
        <v>107</v>
      </c>
      <c r="AZ11" s="4"/>
      <c r="BA11" s="4"/>
      <c r="BB11" s="4" t="s">
        <v>102</v>
      </c>
      <c r="BC11" s="4">
        <v>1230</v>
      </c>
      <c r="BD11" s="4">
        <f t="shared" si="25"/>
        <v>1230</v>
      </c>
      <c r="BE11" s="19">
        <v>4</v>
      </c>
      <c r="BF11" s="19">
        <v>1</v>
      </c>
      <c r="BG11" s="16">
        <v>18</v>
      </c>
      <c r="BH11" t="s">
        <v>117</v>
      </c>
      <c r="BI11" t="str">
        <f t="shared" si="23"/>
        <v>-</v>
      </c>
      <c r="BJ11">
        <v>589</v>
      </c>
      <c r="BK11">
        <f t="shared" si="24"/>
        <v>1184.4254545454544</v>
      </c>
      <c r="BL11" t="s">
        <v>93</v>
      </c>
    </row>
    <row r="12" spans="1:64" x14ac:dyDescent="0.4">
      <c r="A12" s="3">
        <v>13</v>
      </c>
      <c r="B12" s="3">
        <v>8</v>
      </c>
      <c r="C12" s="44">
        <v>400982</v>
      </c>
      <c r="D12" s="4" t="str">
        <f>TEXT(C12,"000000")</f>
        <v>400982</v>
      </c>
      <c r="E12" s="4">
        <v>389064</v>
      </c>
      <c r="F12" s="4" t="str">
        <f t="shared" si="8"/>
        <v>4009828</v>
      </c>
      <c r="G12" s="4" t="s">
        <v>80</v>
      </c>
      <c r="H12" s="5">
        <v>4933691938801</v>
      </c>
      <c r="I12" s="5">
        <v>8</v>
      </c>
      <c r="J12" s="5"/>
      <c r="K12" s="5"/>
      <c r="L12" s="5"/>
      <c r="M12" s="4">
        <v>0</v>
      </c>
      <c r="N12" s="4">
        <v>15089</v>
      </c>
      <c r="O12" s="4">
        <v>8250</v>
      </c>
      <c r="P12" s="6">
        <f>IFERROR(1-O12/N12,"-")</f>
        <v>0.45324408509510239</v>
      </c>
      <c r="Q12" s="4" t="s">
        <v>82</v>
      </c>
      <c r="R12" s="4" t="s">
        <v>82</v>
      </c>
      <c r="S12" s="4" t="s">
        <v>82</v>
      </c>
      <c r="T12" s="4" t="s">
        <v>82</v>
      </c>
      <c r="U12" s="4" t="s">
        <v>82</v>
      </c>
      <c r="V12" s="4" t="s">
        <v>82</v>
      </c>
      <c r="W12" s="4">
        <v>0</v>
      </c>
      <c r="X12" s="4">
        <f>IF(AA12="",W12,W12*AA12)</f>
        <v>0</v>
      </c>
      <c r="Y12" s="4">
        <v>553</v>
      </c>
      <c r="Z12" s="4">
        <f>IF(AA12="",Y12,Y12*AA12)</f>
        <v>16590</v>
      </c>
      <c r="AA12" s="4">
        <v>30</v>
      </c>
      <c r="AB12" s="21">
        <f t="shared" si="0"/>
        <v>30343</v>
      </c>
      <c r="AC12" s="6">
        <f>IFERROR(1-Z12/AB12,"-")</f>
        <v>0.45325116171769431</v>
      </c>
      <c r="AD12" s="33">
        <v>66.5</v>
      </c>
      <c r="AE12" s="4">
        <f>BD12</f>
        <v>32369</v>
      </c>
      <c r="AF12" s="33">
        <f>IFERROR(AE12*AP12,"-")</f>
        <v>65091.116363636356</v>
      </c>
      <c r="AG12" s="6">
        <f>IFERROR(1-Z12/AF12,"-")</f>
        <v>0.74512650993234264</v>
      </c>
      <c r="AH12" s="7">
        <v>35500</v>
      </c>
      <c r="AI12" s="6">
        <f>1-Z12/AH12</f>
        <v>0.53267605633802817</v>
      </c>
      <c r="AJ12" s="4">
        <f>AH12-Z12</f>
        <v>18910</v>
      </c>
      <c r="AK12" s="28"/>
      <c r="AL12" s="6"/>
      <c r="AM12" s="6"/>
      <c r="AN12" s="6" t="str">
        <f t="shared" si="3"/>
        <v>-</v>
      </c>
      <c r="AO12" s="6">
        <f t="shared" si="4"/>
        <v>2.3527072701968321</v>
      </c>
      <c r="AP12" s="6">
        <f t="shared" si="5"/>
        <v>2.0109090909090908</v>
      </c>
      <c r="AQ12" s="6" t="str">
        <f t="shared" si="26"/>
        <v>-</v>
      </c>
      <c r="AR12" s="4" t="str">
        <f t="shared" si="17"/>
        <v>-</v>
      </c>
      <c r="AS12" s="4" t="str">
        <f t="shared" si="18"/>
        <v>-</v>
      </c>
      <c r="AT12" s="4" t="str">
        <f t="shared" si="19"/>
        <v>-</v>
      </c>
      <c r="AU12" s="4" t="str">
        <f t="shared" si="20"/>
        <v>-</v>
      </c>
      <c r="AV12" s="4" t="str">
        <f t="shared" si="21"/>
        <v>-</v>
      </c>
      <c r="AW12" s="4" t="str">
        <f t="shared" si="22"/>
        <v>-</v>
      </c>
      <c r="AX12" s="4">
        <v>0</v>
      </c>
      <c r="AY12" s="4" t="s">
        <v>108</v>
      </c>
      <c r="AZ12" s="4"/>
      <c r="BA12" s="4"/>
      <c r="BB12" s="4" t="s">
        <v>109</v>
      </c>
      <c r="BC12" s="4">
        <v>32369</v>
      </c>
      <c r="BD12" s="4">
        <f>IF(AZ12="",BC12,AZ12/BA12*BC12)</f>
        <v>32369</v>
      </c>
      <c r="BE12" s="19">
        <v>4</v>
      </c>
      <c r="BF12" s="19">
        <v>1</v>
      </c>
      <c r="BG12" s="16">
        <v>18</v>
      </c>
      <c r="BH12" t="s">
        <v>117</v>
      </c>
      <c r="BI12" t="str">
        <f t="shared" si="23"/>
        <v>-</v>
      </c>
      <c r="BJ12">
        <v>17670</v>
      </c>
      <c r="BK12">
        <f t="shared" si="24"/>
        <v>35532.763636363634</v>
      </c>
      <c r="BL12" t="s">
        <v>94</v>
      </c>
    </row>
    <row r="13" spans="1:64" x14ac:dyDescent="0.4">
      <c r="A13" s="3">
        <v>9</v>
      </c>
      <c r="B13" s="3">
        <v>9</v>
      </c>
      <c r="C13" s="4">
        <v>400983</v>
      </c>
      <c r="D13" s="4" t="str">
        <f t="shared" si="7"/>
        <v>400983</v>
      </c>
      <c r="E13" s="4">
        <v>400983</v>
      </c>
      <c r="F13" s="4" t="str">
        <f t="shared" si="8"/>
        <v>4009835</v>
      </c>
      <c r="G13" s="4" t="s">
        <v>76</v>
      </c>
      <c r="H13" s="5">
        <v>4933691951350</v>
      </c>
      <c r="I13" s="5">
        <v>5</v>
      </c>
      <c r="J13" s="5"/>
      <c r="K13" s="5">
        <v>1</v>
      </c>
      <c r="L13" s="5">
        <v>1</v>
      </c>
      <c r="M13" s="4">
        <v>0</v>
      </c>
      <c r="N13" s="4">
        <v>666</v>
      </c>
      <c r="O13" s="4">
        <v>180</v>
      </c>
      <c r="P13" s="6">
        <f t="shared" si="9"/>
        <v>0.72972972972972971</v>
      </c>
      <c r="Q13" s="4">
        <v>549</v>
      </c>
      <c r="R13" s="4">
        <v>5</v>
      </c>
      <c r="S13" s="4">
        <v>99999</v>
      </c>
      <c r="T13" s="4" t="s">
        <v>82</v>
      </c>
      <c r="U13" s="4" t="s">
        <v>82</v>
      </c>
      <c r="V13" s="4" t="s">
        <v>82</v>
      </c>
      <c r="W13" s="4">
        <v>0</v>
      </c>
      <c r="X13" s="4">
        <f t="shared" si="10"/>
        <v>0</v>
      </c>
      <c r="Y13" s="4">
        <v>400</v>
      </c>
      <c r="Z13" s="4">
        <f t="shared" si="11"/>
        <v>400</v>
      </c>
      <c r="AA13" s="4"/>
      <c r="AB13" s="21">
        <f t="shared" si="0"/>
        <v>1480</v>
      </c>
      <c r="AC13" s="6">
        <f t="shared" si="12"/>
        <v>0.72972972972972971</v>
      </c>
      <c r="AD13" s="33">
        <v>27</v>
      </c>
      <c r="AE13" s="4">
        <f t="shared" si="13"/>
        <v>1093</v>
      </c>
      <c r="AF13" s="33">
        <f t="shared" si="14"/>
        <v>2428.8888888888891</v>
      </c>
      <c r="AG13" s="6">
        <f t="shared" si="15"/>
        <v>0.83531564501372368</v>
      </c>
      <c r="AH13" s="7">
        <v>1280</v>
      </c>
      <c r="AI13" s="6">
        <f t="shared" si="1"/>
        <v>0.6875</v>
      </c>
      <c r="AJ13" s="4">
        <f t="shared" si="2"/>
        <v>880</v>
      </c>
      <c r="AK13" s="28"/>
      <c r="AL13" s="6"/>
      <c r="AM13" s="6"/>
      <c r="AN13" s="46" t="str">
        <f t="shared" si="3"/>
        <v>-</v>
      </c>
      <c r="AO13" s="6">
        <f t="shared" si="4"/>
        <v>1.9219219219219219</v>
      </c>
      <c r="AP13" s="6">
        <f t="shared" si="5"/>
        <v>2.2222222222222223</v>
      </c>
      <c r="AQ13" s="6">
        <f t="shared" si="26"/>
        <v>0.62085308056872046</v>
      </c>
      <c r="AR13" s="4">
        <f t="shared" si="17"/>
        <v>1055</v>
      </c>
      <c r="AS13" s="4">
        <f t="shared" si="18"/>
        <v>5</v>
      </c>
      <c r="AT13" s="4">
        <f t="shared" si="19"/>
        <v>99999</v>
      </c>
      <c r="AU13" s="4" t="str">
        <f t="shared" si="20"/>
        <v>-</v>
      </c>
      <c r="AV13" s="4" t="str">
        <f t="shared" si="21"/>
        <v>-</v>
      </c>
      <c r="AW13" s="4" t="str">
        <f t="shared" si="22"/>
        <v>-</v>
      </c>
      <c r="AX13" s="4" t="s">
        <v>81</v>
      </c>
      <c r="AY13" s="4" t="s">
        <v>110</v>
      </c>
      <c r="AZ13" s="4"/>
      <c r="BA13" s="4"/>
      <c r="BB13" s="4" t="s">
        <v>102</v>
      </c>
      <c r="BC13" s="4">
        <v>1093</v>
      </c>
      <c r="BD13" s="4">
        <f t="shared" si="25"/>
        <v>1093</v>
      </c>
      <c r="BE13" s="19">
        <v>4</v>
      </c>
      <c r="BF13" s="19">
        <v>1</v>
      </c>
      <c r="BG13" s="16">
        <v>18</v>
      </c>
      <c r="BH13" t="s">
        <v>117</v>
      </c>
      <c r="BI13" t="str">
        <f t="shared" si="23"/>
        <v>-</v>
      </c>
      <c r="BJ13">
        <v>627</v>
      </c>
      <c r="BK13">
        <f t="shared" si="24"/>
        <v>1393.3333333333335</v>
      </c>
      <c r="BL13" t="s">
        <v>95</v>
      </c>
    </row>
    <row r="14" spans="1:64" x14ac:dyDescent="0.4">
      <c r="A14" s="3">
        <v>10</v>
      </c>
      <c r="B14" s="3">
        <v>10</v>
      </c>
      <c r="C14" s="4">
        <v>400984</v>
      </c>
      <c r="D14" s="4" t="str">
        <f t="shared" si="7"/>
        <v>400984</v>
      </c>
      <c r="E14" s="4">
        <v>400984</v>
      </c>
      <c r="F14" s="4" t="str">
        <f t="shared" si="8"/>
        <v>4009845</v>
      </c>
      <c r="G14" s="4" t="s">
        <v>77</v>
      </c>
      <c r="H14" s="5">
        <v>4933691940903</v>
      </c>
      <c r="I14" s="5">
        <v>5</v>
      </c>
      <c r="J14" s="5"/>
      <c r="K14" s="5">
        <v>1</v>
      </c>
      <c r="L14" s="5">
        <v>1</v>
      </c>
      <c r="M14" s="4">
        <v>0</v>
      </c>
      <c r="N14" s="4">
        <v>888</v>
      </c>
      <c r="O14" s="4">
        <v>355</v>
      </c>
      <c r="P14" s="6">
        <f t="shared" si="9"/>
        <v>0.60022522522522515</v>
      </c>
      <c r="Q14" s="4">
        <v>769</v>
      </c>
      <c r="R14" s="4">
        <v>5</v>
      </c>
      <c r="S14" s="4">
        <v>99999</v>
      </c>
      <c r="T14" s="4" t="s">
        <v>82</v>
      </c>
      <c r="U14" s="4" t="s">
        <v>82</v>
      </c>
      <c r="V14" s="4" t="s">
        <v>82</v>
      </c>
      <c r="W14" s="4">
        <v>0</v>
      </c>
      <c r="X14" s="4">
        <f t="shared" si="10"/>
        <v>0</v>
      </c>
      <c r="Y14" s="4">
        <v>685</v>
      </c>
      <c r="Z14" s="4">
        <f t="shared" si="11"/>
        <v>685</v>
      </c>
      <c r="AA14" s="4"/>
      <c r="AB14" s="21">
        <f t="shared" si="0"/>
        <v>1713</v>
      </c>
      <c r="AC14" s="6">
        <f t="shared" si="12"/>
        <v>0.6001167542323409</v>
      </c>
      <c r="AD14" s="33">
        <v>5.5</v>
      </c>
      <c r="AE14" s="4">
        <f t="shared" si="13"/>
        <v>1445</v>
      </c>
      <c r="AF14" s="33">
        <f t="shared" si="14"/>
        <v>2788.2394366197186</v>
      </c>
      <c r="AG14" s="6">
        <f t="shared" si="15"/>
        <v>0.75432525951557095</v>
      </c>
      <c r="AH14" s="7">
        <v>1680</v>
      </c>
      <c r="AI14" s="6">
        <f t="shared" si="1"/>
        <v>0.59226190476190477</v>
      </c>
      <c r="AJ14" s="4">
        <f t="shared" si="2"/>
        <v>995</v>
      </c>
      <c r="AK14" s="28"/>
      <c r="AL14" s="6"/>
      <c r="AM14" s="6"/>
      <c r="AN14" s="46" t="str">
        <f t="shared" si="3"/>
        <v>-</v>
      </c>
      <c r="AO14" s="6">
        <f t="shared" si="4"/>
        <v>1.8918918918918919</v>
      </c>
      <c r="AP14" s="6">
        <f t="shared" si="5"/>
        <v>1.9295774647887325</v>
      </c>
      <c r="AQ14" s="6">
        <f t="shared" si="26"/>
        <v>0.52920962199312716</v>
      </c>
      <c r="AR14" s="4">
        <f t="shared" si="17"/>
        <v>1455</v>
      </c>
      <c r="AS14" s="4">
        <f t="shared" si="18"/>
        <v>5</v>
      </c>
      <c r="AT14" s="4">
        <f t="shared" si="19"/>
        <v>99999</v>
      </c>
      <c r="AU14" s="4" t="str">
        <f t="shared" si="20"/>
        <v>-</v>
      </c>
      <c r="AV14" s="4" t="str">
        <f t="shared" si="21"/>
        <v>-</v>
      </c>
      <c r="AW14" s="4" t="str">
        <f t="shared" si="22"/>
        <v>-</v>
      </c>
      <c r="AX14" s="4" t="s">
        <v>81</v>
      </c>
      <c r="AY14" s="4" t="s">
        <v>111</v>
      </c>
      <c r="AZ14" s="4"/>
      <c r="BA14" s="4"/>
      <c r="BB14" s="4" t="s">
        <v>102</v>
      </c>
      <c r="BC14" s="4">
        <v>1445</v>
      </c>
      <c r="BD14" s="4">
        <f t="shared" si="25"/>
        <v>1445</v>
      </c>
      <c r="BE14" s="19">
        <v>4</v>
      </c>
      <c r="BF14" s="19">
        <v>1</v>
      </c>
      <c r="BG14" s="16">
        <v>18</v>
      </c>
      <c r="BH14" t="s">
        <v>117</v>
      </c>
      <c r="BI14" t="str">
        <f t="shared" si="23"/>
        <v>-</v>
      </c>
      <c r="BJ14">
        <v>747.33333333333337</v>
      </c>
      <c r="BK14">
        <f t="shared" si="24"/>
        <v>1442.0375586854461</v>
      </c>
      <c r="BL14" t="s">
        <v>96</v>
      </c>
    </row>
    <row r="15" spans="1:64" x14ac:dyDescent="0.4">
      <c r="A15" s="3">
        <v>11</v>
      </c>
      <c r="B15" s="3">
        <v>11</v>
      </c>
      <c r="C15" s="4" t="s">
        <v>66</v>
      </c>
      <c r="D15" s="4" t="str">
        <f t="shared" ref="D15:D16" si="27">TEXT(C15,"000000")</f>
        <v>JY2915</v>
      </c>
      <c r="E15" s="4" t="s">
        <v>66</v>
      </c>
      <c r="F15" s="4" t="str">
        <f t="shared" si="8"/>
        <v>JY29155</v>
      </c>
      <c r="G15" s="4" t="s">
        <v>78</v>
      </c>
      <c r="H15" s="5">
        <v>4933691919787</v>
      </c>
      <c r="I15" s="5">
        <v>5</v>
      </c>
      <c r="J15" s="5"/>
      <c r="K15" s="5">
        <v>1</v>
      </c>
      <c r="L15" s="5">
        <v>1</v>
      </c>
      <c r="M15" s="4">
        <v>0</v>
      </c>
      <c r="N15" s="4">
        <v>53800</v>
      </c>
      <c r="O15" s="4">
        <v>41500</v>
      </c>
      <c r="P15" s="6">
        <f t="shared" si="9"/>
        <v>0.22862453531598514</v>
      </c>
      <c r="Q15" s="4" t="s">
        <v>82</v>
      </c>
      <c r="R15" s="4" t="s">
        <v>82</v>
      </c>
      <c r="S15" s="4" t="s">
        <v>82</v>
      </c>
      <c r="T15" s="4" t="s">
        <v>82</v>
      </c>
      <c r="U15" s="4" t="s">
        <v>82</v>
      </c>
      <c r="V15" s="4" t="s">
        <v>82</v>
      </c>
      <c r="W15" s="4">
        <v>0</v>
      </c>
      <c r="X15" s="4">
        <f t="shared" ref="X15:X16" si="28">IF(AA15="",W15,W15*AA15)</f>
        <v>0</v>
      </c>
      <c r="Y15" s="4">
        <v>67550</v>
      </c>
      <c r="Z15" s="4">
        <f t="shared" ref="Z15:Z16" si="29">IF(AA15="",Y15,Y15*AA15)</f>
        <v>67550</v>
      </c>
      <c r="AA15" s="4"/>
      <c r="AB15" s="21">
        <f t="shared" si="0"/>
        <v>87571</v>
      </c>
      <c r="AC15" s="6">
        <f t="shared" si="12"/>
        <v>0.22862591497185136</v>
      </c>
      <c r="AD15" s="33">
        <v>0.25</v>
      </c>
      <c r="AE15" s="4">
        <f t="shared" ref="AE15:AE16" si="30">BD15</f>
        <v>94095</v>
      </c>
      <c r="AF15" s="33">
        <f t="shared" si="14"/>
        <v>153159.45180722891</v>
      </c>
      <c r="AG15" s="6">
        <f t="shared" si="15"/>
        <v>0.55895637387746422</v>
      </c>
      <c r="AH15" s="7">
        <v>108000</v>
      </c>
      <c r="AI15" s="6">
        <f t="shared" si="1"/>
        <v>0.374537037037037</v>
      </c>
      <c r="AJ15" s="4">
        <f t="shared" si="2"/>
        <v>40450</v>
      </c>
      <c r="AK15" s="28"/>
      <c r="AL15" s="6"/>
      <c r="AM15" s="6"/>
      <c r="AN15" s="6" t="str">
        <f t="shared" si="3"/>
        <v>-</v>
      </c>
      <c r="AO15" s="6">
        <f t="shared" si="4"/>
        <v>2.007434944237918</v>
      </c>
      <c r="AP15" s="6">
        <f t="shared" si="5"/>
        <v>1.6277108433734939</v>
      </c>
      <c r="AQ15" s="6" t="str">
        <f t="shared" si="26"/>
        <v>-</v>
      </c>
      <c r="AR15" s="4" t="str">
        <f t="shared" si="17"/>
        <v>-</v>
      </c>
      <c r="AS15" s="4" t="str">
        <f t="shared" si="18"/>
        <v>-</v>
      </c>
      <c r="AT15" s="4" t="str">
        <f t="shared" si="19"/>
        <v>-</v>
      </c>
      <c r="AU15" s="4" t="str">
        <f t="shared" si="20"/>
        <v>-</v>
      </c>
      <c r="AV15" s="4" t="str">
        <f t="shared" si="21"/>
        <v>-</v>
      </c>
      <c r="AW15" s="4" t="str">
        <f t="shared" si="22"/>
        <v>-</v>
      </c>
      <c r="AX15" s="4">
        <v>0</v>
      </c>
      <c r="AY15" s="4" t="s">
        <v>115</v>
      </c>
      <c r="AZ15" s="4">
        <v>50</v>
      </c>
      <c r="BA15" s="4">
        <v>10</v>
      </c>
      <c r="BB15" s="4" t="s">
        <v>114</v>
      </c>
      <c r="BC15" s="4">
        <v>18819</v>
      </c>
      <c r="BD15" s="4">
        <f t="shared" ref="BD15:BD16" si="31">IF(AZ15="",BC15,AZ15/BA15*BC15)</f>
        <v>94095</v>
      </c>
      <c r="BE15" s="19">
        <v>4</v>
      </c>
      <c r="BF15" s="19">
        <v>8</v>
      </c>
      <c r="BG15" s="16">
        <v>19</v>
      </c>
      <c r="BH15" t="s">
        <v>117</v>
      </c>
      <c r="BI15" t="str">
        <f t="shared" si="23"/>
        <v>-</v>
      </c>
      <c r="BJ15" t="s">
        <v>82</v>
      </c>
      <c r="BK15" t="str">
        <f t="shared" si="24"/>
        <v>-</v>
      </c>
      <c r="BL15" t="s">
        <v>112</v>
      </c>
    </row>
    <row r="16" spans="1:64" x14ac:dyDescent="0.4">
      <c r="A16" s="3">
        <v>12</v>
      </c>
      <c r="B16" s="3">
        <v>12</v>
      </c>
      <c r="C16" s="4" t="s">
        <v>67</v>
      </c>
      <c r="D16" s="4" t="str">
        <f t="shared" si="27"/>
        <v>JY2916</v>
      </c>
      <c r="E16" s="4" t="s">
        <v>67</v>
      </c>
      <c r="F16" s="4" t="str">
        <f t="shared" si="8"/>
        <v>JY29165</v>
      </c>
      <c r="G16" s="4" t="s">
        <v>79</v>
      </c>
      <c r="H16" s="5">
        <v>4933691956546</v>
      </c>
      <c r="I16" s="5">
        <v>5</v>
      </c>
      <c r="J16" s="5"/>
      <c r="K16" s="5">
        <v>1</v>
      </c>
      <c r="L16" s="5">
        <v>1</v>
      </c>
      <c r="M16" s="4">
        <v>0</v>
      </c>
      <c r="N16" s="4">
        <v>50609</v>
      </c>
      <c r="O16" s="4">
        <v>41500</v>
      </c>
      <c r="P16" s="6">
        <f t="shared" si="9"/>
        <v>0.17998774921456662</v>
      </c>
      <c r="Q16" s="4" t="s">
        <v>82</v>
      </c>
      <c r="R16" s="4" t="s">
        <v>82</v>
      </c>
      <c r="S16" s="4" t="s">
        <v>82</v>
      </c>
      <c r="T16" s="4" t="s">
        <v>82</v>
      </c>
      <c r="U16" s="4" t="s">
        <v>82</v>
      </c>
      <c r="V16" s="4" t="s">
        <v>82</v>
      </c>
      <c r="W16" s="4">
        <v>0</v>
      </c>
      <c r="X16" s="4">
        <f t="shared" si="28"/>
        <v>0</v>
      </c>
      <c r="Y16" s="4">
        <v>67550</v>
      </c>
      <c r="Z16" s="4">
        <f t="shared" si="29"/>
        <v>67550</v>
      </c>
      <c r="AA16" s="4"/>
      <c r="AB16" s="21">
        <f t="shared" si="0"/>
        <v>82377</v>
      </c>
      <c r="AC16" s="6">
        <f t="shared" si="12"/>
        <v>0.17998956019277224</v>
      </c>
      <c r="AD16" s="33">
        <v>0</v>
      </c>
      <c r="AE16" s="4">
        <f t="shared" si="30"/>
        <v>94095</v>
      </c>
      <c r="AF16" s="33">
        <f t="shared" si="14"/>
        <v>153159.45180722891</v>
      </c>
      <c r="AG16" s="6">
        <f t="shared" si="15"/>
        <v>0.55895637387746422</v>
      </c>
      <c r="AH16" s="7">
        <v>108000</v>
      </c>
      <c r="AI16" s="6">
        <f t="shared" si="1"/>
        <v>0.374537037037037</v>
      </c>
      <c r="AJ16" s="4">
        <f t="shared" si="2"/>
        <v>40450</v>
      </c>
      <c r="AK16" s="28"/>
      <c r="AL16" s="6"/>
      <c r="AM16" s="6"/>
      <c r="AN16" s="6" t="str">
        <f t="shared" si="3"/>
        <v>-</v>
      </c>
      <c r="AO16" s="6">
        <f t="shared" si="4"/>
        <v>2.1340077851765495</v>
      </c>
      <c r="AP16" s="6">
        <f t="shared" si="5"/>
        <v>1.6277108433734939</v>
      </c>
      <c r="AQ16" s="6" t="str">
        <f t="shared" si="26"/>
        <v>-</v>
      </c>
      <c r="AR16" s="4" t="str">
        <f t="shared" si="17"/>
        <v>-</v>
      </c>
      <c r="AS16" s="4" t="str">
        <f t="shared" si="18"/>
        <v>-</v>
      </c>
      <c r="AT16" s="4" t="str">
        <f t="shared" si="19"/>
        <v>-</v>
      </c>
      <c r="AU16" s="4" t="str">
        <f t="shared" si="20"/>
        <v>-</v>
      </c>
      <c r="AV16" s="4" t="str">
        <f t="shared" si="21"/>
        <v>-</v>
      </c>
      <c r="AW16" s="4" t="str">
        <f t="shared" si="22"/>
        <v>-</v>
      </c>
      <c r="AX16" s="4">
        <v>0</v>
      </c>
      <c r="AY16" s="4" t="s">
        <v>116</v>
      </c>
      <c r="AZ16" s="4">
        <v>50</v>
      </c>
      <c r="BA16" s="4">
        <v>10</v>
      </c>
      <c r="BB16" s="4" t="s">
        <v>114</v>
      </c>
      <c r="BC16" s="4">
        <v>18819</v>
      </c>
      <c r="BD16" s="4">
        <f t="shared" si="31"/>
        <v>94095</v>
      </c>
      <c r="BE16" s="19">
        <v>4</v>
      </c>
      <c r="BF16" s="19">
        <v>8</v>
      </c>
      <c r="BG16" s="16">
        <v>19</v>
      </c>
      <c r="BH16" t="s">
        <v>117</v>
      </c>
      <c r="BI16" t="str">
        <f t="shared" si="23"/>
        <v>-</v>
      </c>
      <c r="BJ16">
        <v>93670</v>
      </c>
      <c r="BK16">
        <f t="shared" si="24"/>
        <v>152467.67469879516</v>
      </c>
      <c r="BL16" t="s">
        <v>113</v>
      </c>
    </row>
  </sheetData>
  <autoFilter ref="A3:BL16" xr:uid="{7A1660CF-9003-4B2D-B659-7F339ED5B476}"/>
  <mergeCells count="3">
    <mergeCell ref="M2:P2"/>
    <mergeCell ref="K2:L2"/>
    <mergeCell ref="W1:Z1"/>
  </mergeCells>
  <phoneticPr fontId="2"/>
  <conditionalFormatting sqref="AH4:AH16">
    <cfRule type="cellIs" dxfId="2" priority="4" operator="greaterThan">
      <formula>$X4</formula>
    </cfRule>
  </conditionalFormatting>
  <conditionalFormatting sqref="AF4:AF16">
    <cfRule type="cellIs" dxfId="1" priority="2" operator="lessThan">
      <formula>$AH4</formula>
    </cfRule>
  </conditionalFormatting>
  <conditionalFormatting sqref="AI4:AI1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2026-07-16T03:15:52Z</dcterms:modified>
</cp:coreProperties>
</file>