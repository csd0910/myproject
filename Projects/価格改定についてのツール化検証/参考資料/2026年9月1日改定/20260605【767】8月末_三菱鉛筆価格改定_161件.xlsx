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フォーレスト007\保存用\商談\ﾐ_三菱鉛筆_767.977\価格改定\20260605_8月末\"/>
    </mc:Choice>
  </mc:AlternateContent>
  <xr:revisionPtr revIDLastSave="0" documentId="13_ncr:1_{0F866EFF-AE29-42B8-A42C-62599E78A537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 hidden="1">Sheet1!$A$3:$BD$163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158" i="1" l="1"/>
  <c r="V94" i="1"/>
  <c r="V96" i="1"/>
  <c r="V98" i="1"/>
  <c r="V100" i="1"/>
  <c r="V102" i="1"/>
  <c r="V104" i="1"/>
  <c r="V106" i="1"/>
  <c r="V108" i="1"/>
  <c r="V110" i="1"/>
  <c r="V112" i="1"/>
  <c r="V114" i="1"/>
  <c r="V116" i="1"/>
  <c r="V118" i="1"/>
  <c r="V120" i="1"/>
  <c r="V122" i="1"/>
  <c r="V124" i="1"/>
  <c r="V126" i="1"/>
  <c r="V128" i="1"/>
  <c r="V130" i="1"/>
  <c r="V132" i="1"/>
  <c r="V163" i="1"/>
  <c r="V134" i="1"/>
  <c r="V136" i="1"/>
  <c r="V138" i="1"/>
  <c r="V140" i="1"/>
  <c r="V142" i="1"/>
  <c r="V144" i="1"/>
  <c r="V146" i="1"/>
  <c r="V148" i="1"/>
  <c r="V150" i="1"/>
  <c r="V152" i="1"/>
  <c r="V154" i="1"/>
  <c r="V12" i="1"/>
  <c r="V29" i="1"/>
  <c r="V25" i="1"/>
  <c r="V27" i="1"/>
  <c r="V32" i="1"/>
  <c r="V34" i="1"/>
  <c r="V36" i="1"/>
  <c r="V63" i="1"/>
  <c r="V65" i="1"/>
  <c r="V4" i="1"/>
  <c r="V6" i="1"/>
  <c r="V8" i="1"/>
  <c r="V10" i="1"/>
  <c r="V39" i="1"/>
  <c r="V13" i="1"/>
  <c r="V14" i="1"/>
  <c r="V15" i="1"/>
  <c r="V16" i="1"/>
  <c r="V17" i="1"/>
  <c r="V18" i="1"/>
  <c r="V19" i="1"/>
  <c r="V40" i="1"/>
  <c r="V38" i="1"/>
  <c r="V52" i="1"/>
  <c r="V53" i="1"/>
  <c r="V54" i="1"/>
  <c r="V41" i="1"/>
  <c r="V55" i="1"/>
  <c r="V57" i="1"/>
  <c r="V160" i="1"/>
  <c r="V161" i="1"/>
  <c r="V156" i="1"/>
  <c r="V20" i="1"/>
  <c r="V21" i="1"/>
  <c r="V159" i="1"/>
  <c r="V43" i="1"/>
  <c r="V67" i="1"/>
  <c r="V69" i="1"/>
  <c r="V71" i="1"/>
  <c r="V73" i="1"/>
  <c r="V75" i="1"/>
  <c r="V77" i="1"/>
  <c r="V79" i="1"/>
  <c r="V81" i="1"/>
  <c r="V83" i="1"/>
  <c r="V85" i="1"/>
  <c r="V87" i="1"/>
  <c r="V89" i="1"/>
  <c r="V58" i="1"/>
  <c r="V59" i="1"/>
  <c r="V60" i="1"/>
  <c r="V91" i="1"/>
  <c r="V61" i="1"/>
  <c r="V62" i="1"/>
  <c r="V45" i="1"/>
  <c r="V47" i="1"/>
  <c r="V49" i="1"/>
  <c r="V22" i="1"/>
  <c r="V23" i="1"/>
  <c r="V24" i="1"/>
  <c r="V162" i="1"/>
  <c r="V31" i="1"/>
  <c r="V51" i="1"/>
  <c r="V93" i="1"/>
  <c r="V95" i="1"/>
  <c r="V97" i="1"/>
  <c r="V99" i="1"/>
  <c r="V101" i="1"/>
  <c r="V103" i="1"/>
  <c r="V105" i="1"/>
  <c r="V107" i="1"/>
  <c r="V109" i="1"/>
  <c r="V111" i="1"/>
  <c r="V113" i="1"/>
  <c r="V115" i="1"/>
  <c r="V117" i="1"/>
  <c r="V119" i="1"/>
  <c r="V121" i="1"/>
  <c r="V123" i="1"/>
  <c r="V125" i="1"/>
  <c r="V127" i="1"/>
  <c r="V129" i="1"/>
  <c r="V131" i="1"/>
  <c r="V133" i="1"/>
  <c r="V135" i="1"/>
  <c r="V137" i="1"/>
  <c r="V139" i="1"/>
  <c r="V141" i="1"/>
  <c r="V143" i="1"/>
  <c r="V145" i="1"/>
  <c r="V147" i="1"/>
  <c r="V149" i="1"/>
  <c r="V151" i="1"/>
  <c r="V153" i="1"/>
  <c r="V155" i="1"/>
  <c r="V30" i="1"/>
  <c r="V26" i="1"/>
  <c r="V28" i="1"/>
  <c r="V33" i="1"/>
  <c r="V35" i="1"/>
  <c r="V37" i="1"/>
  <c r="V64" i="1"/>
  <c r="V66" i="1"/>
  <c r="V5" i="1"/>
  <c r="V7" i="1"/>
  <c r="V9" i="1"/>
  <c r="V11" i="1"/>
  <c r="V42" i="1"/>
  <c r="V56" i="1"/>
  <c r="V44" i="1"/>
  <c r="V68" i="1"/>
  <c r="V70" i="1"/>
  <c r="V72" i="1"/>
  <c r="V74" i="1"/>
  <c r="V76" i="1"/>
  <c r="V78" i="1"/>
  <c r="V80" i="1"/>
  <c r="V82" i="1"/>
  <c r="V84" i="1"/>
  <c r="V86" i="1"/>
  <c r="V88" i="1"/>
  <c r="V90" i="1"/>
  <c r="V92" i="1"/>
  <c r="V46" i="1"/>
  <c r="V48" i="1"/>
  <c r="V50" i="1"/>
  <c r="T158" i="1"/>
  <c r="T94" i="1"/>
  <c r="T96" i="1"/>
  <c r="T98" i="1"/>
  <c r="T100" i="1"/>
  <c r="T102" i="1"/>
  <c r="T104" i="1"/>
  <c r="T106" i="1"/>
  <c r="T108" i="1"/>
  <c r="T110" i="1"/>
  <c r="T112" i="1"/>
  <c r="T114" i="1"/>
  <c r="T116" i="1"/>
  <c r="T118" i="1"/>
  <c r="T120" i="1"/>
  <c r="T122" i="1"/>
  <c r="T124" i="1"/>
  <c r="T126" i="1"/>
  <c r="T128" i="1"/>
  <c r="T130" i="1"/>
  <c r="T132" i="1"/>
  <c r="T163" i="1"/>
  <c r="T134" i="1"/>
  <c r="T136" i="1"/>
  <c r="T138" i="1"/>
  <c r="T140" i="1"/>
  <c r="T142" i="1"/>
  <c r="T144" i="1"/>
  <c r="T146" i="1"/>
  <c r="T148" i="1"/>
  <c r="T150" i="1"/>
  <c r="T152" i="1"/>
  <c r="T154" i="1"/>
  <c r="T12" i="1"/>
  <c r="T29" i="1"/>
  <c r="T25" i="1"/>
  <c r="T27" i="1"/>
  <c r="T32" i="1"/>
  <c r="T34" i="1"/>
  <c r="T36" i="1"/>
  <c r="T63" i="1"/>
  <c r="T65" i="1"/>
  <c r="T4" i="1"/>
  <c r="T6" i="1"/>
  <c r="T8" i="1"/>
  <c r="T10" i="1"/>
  <c r="T39" i="1"/>
  <c r="T13" i="1"/>
  <c r="T14" i="1"/>
  <c r="T15" i="1"/>
  <c r="T16" i="1"/>
  <c r="T17" i="1"/>
  <c r="T18" i="1"/>
  <c r="T19" i="1"/>
  <c r="T40" i="1"/>
  <c r="T38" i="1"/>
  <c r="T52" i="1"/>
  <c r="T53" i="1"/>
  <c r="T54" i="1"/>
  <c r="T41" i="1"/>
  <c r="T55" i="1"/>
  <c r="T57" i="1"/>
  <c r="T160" i="1"/>
  <c r="T161" i="1"/>
  <c r="T156" i="1"/>
  <c r="T20" i="1"/>
  <c r="T21" i="1"/>
  <c r="T159" i="1"/>
  <c r="T43" i="1"/>
  <c r="T67" i="1"/>
  <c r="T69" i="1"/>
  <c r="T71" i="1"/>
  <c r="T73" i="1"/>
  <c r="T75" i="1"/>
  <c r="T77" i="1"/>
  <c r="T79" i="1"/>
  <c r="T81" i="1"/>
  <c r="T83" i="1"/>
  <c r="T85" i="1"/>
  <c r="T87" i="1"/>
  <c r="T89" i="1"/>
  <c r="T58" i="1"/>
  <c r="T59" i="1"/>
  <c r="T60" i="1"/>
  <c r="T91" i="1"/>
  <c r="T61" i="1"/>
  <c r="T62" i="1"/>
  <c r="T45" i="1"/>
  <c r="T47" i="1"/>
  <c r="T49" i="1"/>
  <c r="T22" i="1"/>
  <c r="T23" i="1"/>
  <c r="T24" i="1"/>
  <c r="T162" i="1"/>
  <c r="T31" i="1"/>
  <c r="T51" i="1"/>
  <c r="T93" i="1"/>
  <c r="T95" i="1"/>
  <c r="T97" i="1"/>
  <c r="T99" i="1"/>
  <c r="T101" i="1"/>
  <c r="T103" i="1"/>
  <c r="T105" i="1"/>
  <c r="T107" i="1"/>
  <c r="T109" i="1"/>
  <c r="T111" i="1"/>
  <c r="T113" i="1"/>
  <c r="T115" i="1"/>
  <c r="T117" i="1"/>
  <c r="T119" i="1"/>
  <c r="T121" i="1"/>
  <c r="T123" i="1"/>
  <c r="T125" i="1"/>
  <c r="T127" i="1"/>
  <c r="T129" i="1"/>
  <c r="T131" i="1"/>
  <c r="T133" i="1"/>
  <c r="T135" i="1"/>
  <c r="T137" i="1"/>
  <c r="T139" i="1"/>
  <c r="T141" i="1"/>
  <c r="T143" i="1"/>
  <c r="T145" i="1"/>
  <c r="T147" i="1"/>
  <c r="T149" i="1"/>
  <c r="T151" i="1"/>
  <c r="T153" i="1"/>
  <c r="T155" i="1"/>
  <c r="T30" i="1"/>
  <c r="T26" i="1"/>
  <c r="T28" i="1"/>
  <c r="T33" i="1"/>
  <c r="T35" i="1"/>
  <c r="T37" i="1"/>
  <c r="T64" i="1"/>
  <c r="T66" i="1"/>
  <c r="T5" i="1"/>
  <c r="T7" i="1"/>
  <c r="T9" i="1"/>
  <c r="T11" i="1"/>
  <c r="T42" i="1"/>
  <c r="T56" i="1"/>
  <c r="T44" i="1"/>
  <c r="T68" i="1"/>
  <c r="T70" i="1"/>
  <c r="T72" i="1"/>
  <c r="T74" i="1"/>
  <c r="T76" i="1"/>
  <c r="T78" i="1"/>
  <c r="T80" i="1"/>
  <c r="T82" i="1"/>
  <c r="T84" i="1"/>
  <c r="T86" i="1"/>
  <c r="T88" i="1"/>
  <c r="T90" i="1"/>
  <c r="T92" i="1"/>
  <c r="T46" i="1"/>
  <c r="T48" i="1"/>
  <c r="T50" i="1"/>
  <c r="AM158" i="1"/>
  <c r="AN158" i="1"/>
  <c r="AO158" i="1"/>
  <c r="AM94" i="1"/>
  <c r="AN94" i="1"/>
  <c r="AO94" i="1"/>
  <c r="AM96" i="1"/>
  <c r="AN96" i="1"/>
  <c r="AO96" i="1"/>
  <c r="AM98" i="1"/>
  <c r="AN98" i="1"/>
  <c r="AO98" i="1"/>
  <c r="AM100" i="1"/>
  <c r="AN100" i="1"/>
  <c r="AO100" i="1"/>
  <c r="AM102" i="1"/>
  <c r="AN102" i="1"/>
  <c r="AO102" i="1"/>
  <c r="AM104" i="1"/>
  <c r="AN104" i="1"/>
  <c r="AO104" i="1"/>
  <c r="AM106" i="1"/>
  <c r="AN106" i="1"/>
  <c r="AO106" i="1"/>
  <c r="AM108" i="1"/>
  <c r="AN108" i="1"/>
  <c r="AO108" i="1"/>
  <c r="AM110" i="1"/>
  <c r="AN110" i="1"/>
  <c r="AO110" i="1"/>
  <c r="AM112" i="1"/>
  <c r="AN112" i="1"/>
  <c r="AO112" i="1"/>
  <c r="AM114" i="1"/>
  <c r="AN114" i="1"/>
  <c r="AO114" i="1"/>
  <c r="AM116" i="1"/>
  <c r="AN116" i="1"/>
  <c r="AO116" i="1"/>
  <c r="AM118" i="1"/>
  <c r="AN118" i="1"/>
  <c r="AO118" i="1"/>
  <c r="AM120" i="1"/>
  <c r="AN120" i="1"/>
  <c r="AO120" i="1"/>
  <c r="AM122" i="1"/>
  <c r="AN122" i="1"/>
  <c r="AO122" i="1"/>
  <c r="AM124" i="1"/>
  <c r="AN124" i="1"/>
  <c r="AO124" i="1"/>
  <c r="AM126" i="1"/>
  <c r="AN126" i="1"/>
  <c r="AO126" i="1"/>
  <c r="AM128" i="1"/>
  <c r="AN128" i="1"/>
  <c r="AO128" i="1"/>
  <c r="AM130" i="1"/>
  <c r="AN130" i="1"/>
  <c r="AO130" i="1"/>
  <c r="AM132" i="1"/>
  <c r="AN132" i="1"/>
  <c r="AO132" i="1"/>
  <c r="AM163" i="1"/>
  <c r="AN163" i="1"/>
  <c r="AO163" i="1"/>
  <c r="AM134" i="1"/>
  <c r="AN134" i="1"/>
  <c r="AO134" i="1"/>
  <c r="AM136" i="1"/>
  <c r="AN136" i="1"/>
  <c r="AO136" i="1"/>
  <c r="AM138" i="1"/>
  <c r="AN138" i="1"/>
  <c r="AO138" i="1"/>
  <c r="AM140" i="1"/>
  <c r="AN140" i="1"/>
  <c r="AO140" i="1"/>
  <c r="AM142" i="1"/>
  <c r="AN142" i="1"/>
  <c r="AO142" i="1"/>
  <c r="AM144" i="1"/>
  <c r="AN144" i="1"/>
  <c r="AO144" i="1"/>
  <c r="AM146" i="1"/>
  <c r="AN146" i="1"/>
  <c r="AO146" i="1"/>
  <c r="AM148" i="1"/>
  <c r="AN148" i="1"/>
  <c r="AO148" i="1"/>
  <c r="AM150" i="1"/>
  <c r="AN150" i="1"/>
  <c r="AO150" i="1"/>
  <c r="AM152" i="1"/>
  <c r="AN152" i="1"/>
  <c r="AO152" i="1"/>
  <c r="AM154" i="1"/>
  <c r="AN154" i="1"/>
  <c r="AO154" i="1"/>
  <c r="AM12" i="1"/>
  <c r="AN12" i="1"/>
  <c r="AO12" i="1"/>
  <c r="AM29" i="1"/>
  <c r="AN29" i="1"/>
  <c r="AO29" i="1"/>
  <c r="AM25" i="1"/>
  <c r="AN25" i="1"/>
  <c r="AO25" i="1"/>
  <c r="AM27" i="1"/>
  <c r="AN27" i="1"/>
  <c r="AO27" i="1"/>
  <c r="AM32" i="1"/>
  <c r="AN32" i="1"/>
  <c r="AO32" i="1"/>
  <c r="AM34" i="1"/>
  <c r="AN34" i="1"/>
  <c r="AO34" i="1"/>
  <c r="AM36" i="1"/>
  <c r="AN36" i="1"/>
  <c r="AO36" i="1"/>
  <c r="AM63" i="1"/>
  <c r="AN63" i="1"/>
  <c r="AO63" i="1"/>
  <c r="AM65" i="1"/>
  <c r="AN65" i="1"/>
  <c r="AO65" i="1"/>
  <c r="AM4" i="1"/>
  <c r="AN4" i="1"/>
  <c r="AO4" i="1"/>
  <c r="AM6" i="1"/>
  <c r="AN6" i="1"/>
  <c r="AO6" i="1"/>
  <c r="AM8" i="1"/>
  <c r="AN8" i="1"/>
  <c r="AO8" i="1"/>
  <c r="AM10" i="1"/>
  <c r="AN10" i="1"/>
  <c r="AO10" i="1"/>
  <c r="AM39" i="1"/>
  <c r="AN39" i="1"/>
  <c r="AO39" i="1"/>
  <c r="AM13" i="1"/>
  <c r="AN13" i="1"/>
  <c r="AO13" i="1"/>
  <c r="AM14" i="1"/>
  <c r="AN14" i="1"/>
  <c r="AO14" i="1"/>
  <c r="AM15" i="1"/>
  <c r="AN15" i="1"/>
  <c r="AO15" i="1"/>
  <c r="AM16" i="1"/>
  <c r="AN16" i="1"/>
  <c r="AO16" i="1"/>
  <c r="AM17" i="1"/>
  <c r="AN17" i="1"/>
  <c r="AO17" i="1"/>
  <c r="AM18" i="1"/>
  <c r="AN18" i="1"/>
  <c r="AO18" i="1"/>
  <c r="AM19" i="1"/>
  <c r="AN19" i="1"/>
  <c r="AO19" i="1"/>
  <c r="AM40" i="1"/>
  <c r="AN40" i="1"/>
  <c r="AO40" i="1"/>
  <c r="AM38" i="1"/>
  <c r="AN38" i="1"/>
  <c r="AO38" i="1"/>
  <c r="AM52" i="1"/>
  <c r="AN52" i="1"/>
  <c r="AO52" i="1"/>
  <c r="AM53" i="1"/>
  <c r="AN53" i="1"/>
  <c r="AO53" i="1"/>
  <c r="AM54" i="1"/>
  <c r="AN54" i="1"/>
  <c r="AO54" i="1"/>
  <c r="AM41" i="1"/>
  <c r="AN41" i="1"/>
  <c r="AO41" i="1"/>
  <c r="AM55" i="1"/>
  <c r="AN55" i="1"/>
  <c r="AO55" i="1"/>
  <c r="AM57" i="1"/>
  <c r="AN57" i="1"/>
  <c r="AO57" i="1"/>
  <c r="AM160" i="1"/>
  <c r="AN160" i="1"/>
  <c r="AO160" i="1"/>
  <c r="AM161" i="1"/>
  <c r="AN161" i="1"/>
  <c r="AO161" i="1"/>
  <c r="AM156" i="1"/>
  <c r="AN156" i="1"/>
  <c r="AO156" i="1"/>
  <c r="AM20" i="1"/>
  <c r="AN20" i="1"/>
  <c r="AO20" i="1"/>
  <c r="AM21" i="1"/>
  <c r="AN21" i="1"/>
  <c r="AO21" i="1"/>
  <c r="AM159" i="1"/>
  <c r="AN159" i="1"/>
  <c r="AO159" i="1"/>
  <c r="AM43" i="1"/>
  <c r="AN43" i="1"/>
  <c r="AO43" i="1"/>
  <c r="AM67" i="1"/>
  <c r="AN67" i="1"/>
  <c r="AO67" i="1"/>
  <c r="AM69" i="1"/>
  <c r="AN69" i="1"/>
  <c r="AO69" i="1"/>
  <c r="AM71" i="1"/>
  <c r="AN71" i="1"/>
  <c r="AO71" i="1"/>
  <c r="AM73" i="1"/>
  <c r="AN73" i="1"/>
  <c r="AO73" i="1"/>
  <c r="AM75" i="1"/>
  <c r="AN75" i="1"/>
  <c r="AO75" i="1"/>
  <c r="AM77" i="1"/>
  <c r="AN77" i="1"/>
  <c r="AO77" i="1"/>
  <c r="AM79" i="1"/>
  <c r="AN79" i="1"/>
  <c r="AO79" i="1"/>
  <c r="AM81" i="1"/>
  <c r="AN81" i="1"/>
  <c r="AO81" i="1"/>
  <c r="AM83" i="1"/>
  <c r="AN83" i="1"/>
  <c r="AO83" i="1"/>
  <c r="AM85" i="1"/>
  <c r="AN85" i="1"/>
  <c r="AO85" i="1"/>
  <c r="AM87" i="1"/>
  <c r="AN87" i="1"/>
  <c r="AO87" i="1"/>
  <c r="AM89" i="1"/>
  <c r="AN89" i="1"/>
  <c r="AO89" i="1"/>
  <c r="AM58" i="1"/>
  <c r="AN58" i="1"/>
  <c r="AO58" i="1"/>
  <c r="AM59" i="1"/>
  <c r="AN59" i="1"/>
  <c r="AO59" i="1"/>
  <c r="AM60" i="1"/>
  <c r="AN60" i="1"/>
  <c r="AO60" i="1"/>
  <c r="AM91" i="1"/>
  <c r="AN91" i="1"/>
  <c r="AO91" i="1"/>
  <c r="AM61" i="1"/>
  <c r="AN61" i="1"/>
  <c r="AO61" i="1"/>
  <c r="AM62" i="1"/>
  <c r="AN62" i="1"/>
  <c r="AO62" i="1"/>
  <c r="AM45" i="1"/>
  <c r="AN45" i="1"/>
  <c r="AO45" i="1"/>
  <c r="AM47" i="1"/>
  <c r="AN47" i="1"/>
  <c r="AO47" i="1"/>
  <c r="AM49" i="1"/>
  <c r="AN49" i="1"/>
  <c r="AO49" i="1"/>
  <c r="AM22" i="1"/>
  <c r="AN22" i="1"/>
  <c r="AO22" i="1"/>
  <c r="AM23" i="1"/>
  <c r="AN23" i="1"/>
  <c r="AO23" i="1"/>
  <c r="AM24" i="1"/>
  <c r="AN24" i="1"/>
  <c r="AO24" i="1"/>
  <c r="AM162" i="1"/>
  <c r="AN162" i="1"/>
  <c r="AO162" i="1"/>
  <c r="AM31" i="1"/>
  <c r="AN31" i="1"/>
  <c r="AO31" i="1"/>
  <c r="AM51" i="1"/>
  <c r="AN51" i="1"/>
  <c r="AO51" i="1"/>
  <c r="AM93" i="1"/>
  <c r="AN93" i="1"/>
  <c r="AO93" i="1"/>
  <c r="AM95" i="1"/>
  <c r="AN95" i="1"/>
  <c r="AO95" i="1"/>
  <c r="AM97" i="1"/>
  <c r="AN97" i="1"/>
  <c r="AO97" i="1"/>
  <c r="AM99" i="1"/>
  <c r="AN99" i="1"/>
  <c r="AO99" i="1"/>
  <c r="AM101" i="1"/>
  <c r="AN101" i="1"/>
  <c r="AO101" i="1"/>
  <c r="AM103" i="1"/>
  <c r="AN103" i="1"/>
  <c r="AO103" i="1"/>
  <c r="AM105" i="1"/>
  <c r="AN105" i="1"/>
  <c r="AO105" i="1"/>
  <c r="AM107" i="1"/>
  <c r="AN107" i="1"/>
  <c r="AO107" i="1"/>
  <c r="AM109" i="1"/>
  <c r="AN109" i="1"/>
  <c r="AO109" i="1"/>
  <c r="AM111" i="1"/>
  <c r="AN111" i="1"/>
  <c r="AO111" i="1"/>
  <c r="AM113" i="1"/>
  <c r="AN113" i="1"/>
  <c r="AO113" i="1"/>
  <c r="AM115" i="1"/>
  <c r="AN115" i="1"/>
  <c r="AO115" i="1"/>
  <c r="AM117" i="1"/>
  <c r="AN117" i="1"/>
  <c r="AO117" i="1"/>
  <c r="AM119" i="1"/>
  <c r="AN119" i="1"/>
  <c r="AO119" i="1"/>
  <c r="AM121" i="1"/>
  <c r="AN121" i="1"/>
  <c r="AO121" i="1"/>
  <c r="AM123" i="1"/>
  <c r="AN123" i="1"/>
  <c r="AO123" i="1"/>
  <c r="AM125" i="1"/>
  <c r="AN125" i="1"/>
  <c r="AO125" i="1"/>
  <c r="AM127" i="1"/>
  <c r="AN127" i="1"/>
  <c r="AO127" i="1"/>
  <c r="AM129" i="1"/>
  <c r="AN129" i="1"/>
  <c r="AO129" i="1"/>
  <c r="AM131" i="1"/>
  <c r="AN131" i="1"/>
  <c r="AO131" i="1"/>
  <c r="AM133" i="1"/>
  <c r="AN133" i="1"/>
  <c r="AO133" i="1"/>
  <c r="AM135" i="1"/>
  <c r="AN135" i="1"/>
  <c r="AO135" i="1"/>
  <c r="AM137" i="1"/>
  <c r="AN137" i="1"/>
  <c r="AO137" i="1"/>
  <c r="AM139" i="1"/>
  <c r="AN139" i="1"/>
  <c r="AO139" i="1"/>
  <c r="AM141" i="1"/>
  <c r="AN141" i="1"/>
  <c r="AO141" i="1"/>
  <c r="AM143" i="1"/>
  <c r="AN143" i="1"/>
  <c r="AO143" i="1"/>
  <c r="AM145" i="1"/>
  <c r="AN145" i="1"/>
  <c r="AO145" i="1"/>
  <c r="AM147" i="1"/>
  <c r="AN147" i="1"/>
  <c r="AO147" i="1"/>
  <c r="AM149" i="1"/>
  <c r="AN149" i="1"/>
  <c r="AO149" i="1"/>
  <c r="AM151" i="1"/>
  <c r="AN151" i="1"/>
  <c r="AO151" i="1"/>
  <c r="AM153" i="1"/>
  <c r="AN153" i="1"/>
  <c r="AO153" i="1"/>
  <c r="AM155" i="1"/>
  <c r="AN155" i="1"/>
  <c r="AO155" i="1"/>
  <c r="AM30" i="1"/>
  <c r="AN30" i="1"/>
  <c r="AO30" i="1"/>
  <c r="AM26" i="1"/>
  <c r="AN26" i="1"/>
  <c r="AO26" i="1"/>
  <c r="AM28" i="1"/>
  <c r="AN28" i="1"/>
  <c r="AO28" i="1"/>
  <c r="AM33" i="1"/>
  <c r="AN33" i="1"/>
  <c r="AO33" i="1"/>
  <c r="AM35" i="1"/>
  <c r="AN35" i="1"/>
  <c r="AO35" i="1"/>
  <c r="AM37" i="1"/>
  <c r="AN37" i="1"/>
  <c r="AO37" i="1"/>
  <c r="AM64" i="1"/>
  <c r="AN64" i="1"/>
  <c r="AO64" i="1"/>
  <c r="AM66" i="1"/>
  <c r="AN66" i="1"/>
  <c r="AO66" i="1"/>
  <c r="AM5" i="1"/>
  <c r="AN5" i="1"/>
  <c r="AO5" i="1"/>
  <c r="AM7" i="1"/>
  <c r="AN7" i="1"/>
  <c r="AO7" i="1"/>
  <c r="AM9" i="1"/>
  <c r="AN9" i="1"/>
  <c r="AO9" i="1"/>
  <c r="AM11" i="1"/>
  <c r="AN11" i="1"/>
  <c r="AO11" i="1"/>
  <c r="AM42" i="1"/>
  <c r="AN42" i="1"/>
  <c r="AO42" i="1"/>
  <c r="AM56" i="1"/>
  <c r="AN56" i="1"/>
  <c r="AO56" i="1"/>
  <c r="AM44" i="1"/>
  <c r="AN44" i="1"/>
  <c r="AO44" i="1"/>
  <c r="AM68" i="1"/>
  <c r="AN68" i="1"/>
  <c r="AO68" i="1"/>
  <c r="AM70" i="1"/>
  <c r="AN70" i="1"/>
  <c r="AO70" i="1"/>
  <c r="AM72" i="1"/>
  <c r="AN72" i="1"/>
  <c r="AO72" i="1"/>
  <c r="AM74" i="1"/>
  <c r="AN74" i="1"/>
  <c r="AO74" i="1"/>
  <c r="AM76" i="1"/>
  <c r="AN76" i="1"/>
  <c r="AO76" i="1"/>
  <c r="AM78" i="1"/>
  <c r="AN78" i="1"/>
  <c r="AO78" i="1"/>
  <c r="AM80" i="1"/>
  <c r="AN80" i="1"/>
  <c r="AO80" i="1"/>
  <c r="AM82" i="1"/>
  <c r="AN82" i="1"/>
  <c r="AO82" i="1"/>
  <c r="AM84" i="1"/>
  <c r="AN84" i="1"/>
  <c r="AO84" i="1"/>
  <c r="AM86" i="1"/>
  <c r="AN86" i="1"/>
  <c r="AO86" i="1"/>
  <c r="AM88" i="1"/>
  <c r="AN88" i="1"/>
  <c r="AO88" i="1"/>
  <c r="AM90" i="1"/>
  <c r="AN90" i="1"/>
  <c r="AO90" i="1"/>
  <c r="AM92" i="1"/>
  <c r="AN92" i="1"/>
  <c r="AO92" i="1"/>
  <c r="AM46" i="1"/>
  <c r="AN46" i="1"/>
  <c r="AO46" i="1"/>
  <c r="AM48" i="1"/>
  <c r="AN48" i="1"/>
  <c r="AO48" i="1"/>
  <c r="AM50" i="1"/>
  <c r="AN50" i="1"/>
  <c r="AO50" i="1"/>
  <c r="O11" i="1" l="1"/>
  <c r="AK42" i="1"/>
  <c r="AK56" i="1"/>
  <c r="O68" i="1"/>
  <c r="O70" i="1"/>
  <c r="AK74" i="1"/>
  <c r="O76" i="1"/>
  <c r="O78" i="1"/>
  <c r="AK80" i="1"/>
  <c r="O80" i="1"/>
  <c r="O84" i="1"/>
  <c r="O86" i="1"/>
  <c r="AK90" i="1"/>
  <c r="O92" i="1"/>
  <c r="O46" i="1"/>
  <c r="AK48" i="1"/>
  <c r="O48" i="1"/>
  <c r="D56" i="1"/>
  <c r="I56" i="1"/>
  <c r="AE56" i="1"/>
  <c r="AV56" i="1"/>
  <c r="AA56" i="1" s="1"/>
  <c r="I97" i="1"/>
  <c r="I99" i="1"/>
  <c r="I101" i="1"/>
  <c r="I103" i="1"/>
  <c r="I105" i="1"/>
  <c r="I107" i="1"/>
  <c r="I109" i="1"/>
  <c r="I111" i="1"/>
  <c r="I113" i="1"/>
  <c r="I115" i="1"/>
  <c r="I117" i="1"/>
  <c r="I119" i="1"/>
  <c r="I121" i="1"/>
  <c r="I123" i="1"/>
  <c r="I125" i="1"/>
  <c r="I127" i="1"/>
  <c r="I129" i="1"/>
  <c r="I131" i="1"/>
  <c r="I133" i="1"/>
  <c r="I135" i="1"/>
  <c r="I137" i="1"/>
  <c r="I139" i="1"/>
  <c r="I141" i="1"/>
  <c r="I143" i="1"/>
  <c r="I145" i="1"/>
  <c r="I147" i="1"/>
  <c r="I149" i="1"/>
  <c r="I151" i="1"/>
  <c r="I153" i="1"/>
  <c r="I155" i="1"/>
  <c r="I30" i="1"/>
  <c r="I26" i="1"/>
  <c r="I28" i="1"/>
  <c r="I33" i="1"/>
  <c r="I35" i="1"/>
  <c r="I37" i="1"/>
  <c r="I64" i="1"/>
  <c r="I66" i="1"/>
  <c r="I5" i="1"/>
  <c r="I7" i="1"/>
  <c r="I9" i="1"/>
  <c r="I11" i="1"/>
  <c r="I42" i="1"/>
  <c r="I44" i="1"/>
  <c r="I68" i="1"/>
  <c r="I70" i="1"/>
  <c r="I72" i="1"/>
  <c r="I74" i="1"/>
  <c r="I76" i="1"/>
  <c r="I78" i="1"/>
  <c r="I80" i="1"/>
  <c r="I82" i="1"/>
  <c r="I84" i="1"/>
  <c r="I86" i="1"/>
  <c r="I88" i="1"/>
  <c r="I90" i="1"/>
  <c r="I92" i="1"/>
  <c r="I46" i="1"/>
  <c r="I48" i="1"/>
  <c r="I50" i="1"/>
  <c r="I95" i="1"/>
  <c r="AV50" i="1"/>
  <c r="AA50" i="1" s="1"/>
  <c r="AK50" i="1"/>
  <c r="AE50" i="1"/>
  <c r="O50" i="1"/>
  <c r="D50" i="1"/>
  <c r="AV48" i="1"/>
  <c r="AA48" i="1" s="1"/>
  <c r="D48" i="1"/>
  <c r="AV46" i="1"/>
  <c r="AA46" i="1" s="1"/>
  <c r="AK46" i="1"/>
  <c r="AE46" i="1"/>
  <c r="AJ46" i="1"/>
  <c r="D46" i="1"/>
  <c r="AV92" i="1"/>
  <c r="AA92" i="1" s="1"/>
  <c r="AJ92" i="1"/>
  <c r="D92" i="1"/>
  <c r="AV90" i="1"/>
  <c r="AA90" i="1" s="1"/>
  <c r="AE90" i="1"/>
  <c r="AJ90" i="1"/>
  <c r="O90" i="1"/>
  <c r="D90" i="1"/>
  <c r="AV88" i="1"/>
  <c r="AA88" i="1" s="1"/>
  <c r="AK88" i="1"/>
  <c r="AJ88" i="1"/>
  <c r="O88" i="1"/>
  <c r="D88" i="1"/>
  <c r="AV86" i="1"/>
  <c r="AA86" i="1" s="1"/>
  <c r="AK86" i="1"/>
  <c r="AE86" i="1"/>
  <c r="D86" i="1"/>
  <c r="AV84" i="1"/>
  <c r="AA84" i="1" s="1"/>
  <c r="AK84" i="1"/>
  <c r="AJ84" i="1"/>
  <c r="D84" i="1"/>
  <c r="AV82" i="1"/>
  <c r="AA82" i="1" s="1"/>
  <c r="AK82" i="1"/>
  <c r="AE82" i="1"/>
  <c r="O82" i="1"/>
  <c r="D82" i="1"/>
  <c r="AV80" i="1"/>
  <c r="AA80" i="1" s="1"/>
  <c r="AE80" i="1"/>
  <c r="D80" i="1"/>
  <c r="AV78" i="1"/>
  <c r="AA78" i="1" s="1"/>
  <c r="AK78" i="1"/>
  <c r="AJ78" i="1"/>
  <c r="D78" i="1"/>
  <c r="AV76" i="1"/>
  <c r="AA76" i="1" s="1"/>
  <c r="AE76" i="1"/>
  <c r="AJ76" i="1"/>
  <c r="D76" i="1"/>
  <c r="AV74" i="1"/>
  <c r="AA74" i="1" s="1"/>
  <c r="AF74" i="1"/>
  <c r="O74" i="1"/>
  <c r="D74" i="1"/>
  <c r="AV72" i="1"/>
  <c r="AA72" i="1" s="1"/>
  <c r="AK72" i="1"/>
  <c r="AJ72" i="1"/>
  <c r="O72" i="1"/>
  <c r="D72" i="1"/>
  <c r="AV70" i="1"/>
  <c r="AA70" i="1" s="1"/>
  <c r="AK70" i="1"/>
  <c r="AF70" i="1"/>
  <c r="D70" i="1"/>
  <c r="AV68" i="1"/>
  <c r="AA68" i="1" s="1"/>
  <c r="AK68" i="1"/>
  <c r="AF68" i="1"/>
  <c r="AJ68" i="1"/>
  <c r="D68" i="1"/>
  <c r="AV44" i="1"/>
  <c r="AA44" i="1" s="1"/>
  <c r="AK44" i="1"/>
  <c r="AF44" i="1"/>
  <c r="O44" i="1"/>
  <c r="D44" i="1"/>
  <c r="AV42" i="1"/>
  <c r="AA42" i="1" s="1"/>
  <c r="AF42" i="1"/>
  <c r="D42" i="1"/>
  <c r="AV11" i="1"/>
  <c r="AA11" i="1" s="1"/>
  <c r="AF11" i="1"/>
  <c r="D11" i="1"/>
  <c r="AV9" i="1"/>
  <c r="AA9" i="1" s="1"/>
  <c r="AK9" i="1"/>
  <c r="AF9" i="1"/>
  <c r="AJ9" i="1"/>
  <c r="O9" i="1"/>
  <c r="D9" i="1"/>
  <c r="AV7" i="1"/>
  <c r="AA7" i="1" s="1"/>
  <c r="AK7" i="1"/>
  <c r="AJ7" i="1"/>
  <c r="O7" i="1"/>
  <c r="D7" i="1"/>
  <c r="AV5" i="1"/>
  <c r="AA5" i="1" s="1"/>
  <c r="AK5" i="1"/>
  <c r="AF5" i="1"/>
  <c r="AJ5" i="1"/>
  <c r="O5" i="1"/>
  <c r="D5" i="1"/>
  <c r="AV66" i="1"/>
  <c r="AA66" i="1" s="1"/>
  <c r="AK66" i="1"/>
  <c r="AF66" i="1"/>
  <c r="AJ66" i="1"/>
  <c r="O66" i="1"/>
  <c r="D66" i="1"/>
  <c r="AV64" i="1"/>
  <c r="AA64" i="1" s="1"/>
  <c r="AK64" i="1"/>
  <c r="AF64" i="1"/>
  <c r="AJ64" i="1"/>
  <c r="O64" i="1"/>
  <c r="D64" i="1"/>
  <c r="AV37" i="1"/>
  <c r="AA37" i="1" s="1"/>
  <c r="AK37" i="1"/>
  <c r="AJ37" i="1"/>
  <c r="O37" i="1"/>
  <c r="D37" i="1"/>
  <c r="AV35" i="1"/>
  <c r="AA35" i="1" s="1"/>
  <c r="AK35" i="1"/>
  <c r="AE35" i="1"/>
  <c r="AJ35" i="1"/>
  <c r="O35" i="1"/>
  <c r="D35" i="1"/>
  <c r="AV33" i="1"/>
  <c r="AA33" i="1" s="1"/>
  <c r="AK33" i="1"/>
  <c r="AL33" i="1"/>
  <c r="AJ33" i="1"/>
  <c r="O33" i="1"/>
  <c r="D33" i="1"/>
  <c r="AV28" i="1"/>
  <c r="AA28" i="1" s="1"/>
  <c r="AK28" i="1"/>
  <c r="AL28" i="1"/>
  <c r="AJ28" i="1"/>
  <c r="O28" i="1"/>
  <c r="D28" i="1"/>
  <c r="AV26" i="1"/>
  <c r="AA26" i="1" s="1"/>
  <c r="AK26" i="1"/>
  <c r="AL26" i="1"/>
  <c r="AJ26" i="1"/>
  <c r="O26" i="1"/>
  <c r="D26" i="1"/>
  <c r="AV30" i="1"/>
  <c r="AA30" i="1" s="1"/>
  <c r="AK30" i="1"/>
  <c r="AL30" i="1"/>
  <c r="AJ30" i="1"/>
  <c r="O30" i="1"/>
  <c r="D30" i="1"/>
  <c r="AV155" i="1"/>
  <c r="AA155" i="1" s="1"/>
  <c r="AK155" i="1"/>
  <c r="AL155" i="1"/>
  <c r="AJ155" i="1"/>
  <c r="O155" i="1"/>
  <c r="D155" i="1"/>
  <c r="AV153" i="1"/>
  <c r="AA153" i="1" s="1"/>
  <c r="AK153" i="1"/>
  <c r="AL153" i="1"/>
  <c r="AJ153" i="1"/>
  <c r="O153" i="1"/>
  <c r="D153" i="1"/>
  <c r="AV151" i="1"/>
  <c r="AA151" i="1" s="1"/>
  <c r="AK151" i="1"/>
  <c r="AL151" i="1"/>
  <c r="AJ151" i="1"/>
  <c r="O151" i="1"/>
  <c r="D151" i="1"/>
  <c r="AV149" i="1"/>
  <c r="AA149" i="1" s="1"/>
  <c r="AK149" i="1"/>
  <c r="AL149" i="1"/>
  <c r="AJ149" i="1"/>
  <c r="O149" i="1"/>
  <c r="D149" i="1"/>
  <c r="AV147" i="1"/>
  <c r="AA147" i="1" s="1"/>
  <c r="AK147" i="1"/>
  <c r="AL147" i="1"/>
  <c r="AJ147" i="1"/>
  <c r="O147" i="1"/>
  <c r="D147" i="1"/>
  <c r="AV145" i="1"/>
  <c r="AA145" i="1" s="1"/>
  <c r="AK145" i="1"/>
  <c r="AL145" i="1"/>
  <c r="AJ145" i="1"/>
  <c r="O145" i="1"/>
  <c r="D145" i="1"/>
  <c r="AV143" i="1"/>
  <c r="AA143" i="1" s="1"/>
  <c r="AK143" i="1"/>
  <c r="AL143" i="1"/>
  <c r="AJ143" i="1"/>
  <c r="O143" i="1"/>
  <c r="D143" i="1"/>
  <c r="AV141" i="1"/>
  <c r="AA141" i="1" s="1"/>
  <c r="AK141" i="1"/>
  <c r="AL141" i="1"/>
  <c r="AJ141" i="1"/>
  <c r="O141" i="1"/>
  <c r="D141" i="1"/>
  <c r="AV139" i="1"/>
  <c r="AA139" i="1" s="1"/>
  <c r="AK139" i="1"/>
  <c r="AL139" i="1"/>
  <c r="AJ139" i="1"/>
  <c r="O139" i="1"/>
  <c r="D139" i="1"/>
  <c r="AV137" i="1"/>
  <c r="AA137" i="1" s="1"/>
  <c r="AK137" i="1"/>
  <c r="AL137" i="1"/>
  <c r="AJ137" i="1"/>
  <c r="O137" i="1"/>
  <c r="D137" i="1"/>
  <c r="AV135" i="1"/>
  <c r="AA135" i="1" s="1"/>
  <c r="AK135" i="1"/>
  <c r="AL135" i="1"/>
  <c r="AJ135" i="1"/>
  <c r="O135" i="1"/>
  <c r="D135" i="1"/>
  <c r="AV133" i="1"/>
  <c r="AA133" i="1" s="1"/>
  <c r="AK133" i="1"/>
  <c r="AL133" i="1"/>
  <c r="AJ133" i="1"/>
  <c r="O133" i="1"/>
  <c r="D133" i="1"/>
  <c r="AV131" i="1"/>
  <c r="AA131" i="1" s="1"/>
  <c r="AK131" i="1"/>
  <c r="AL131" i="1"/>
  <c r="AJ131" i="1"/>
  <c r="O131" i="1"/>
  <c r="D131" i="1"/>
  <c r="AV129" i="1"/>
  <c r="AA129" i="1" s="1"/>
  <c r="AK129" i="1"/>
  <c r="AL129" i="1"/>
  <c r="AJ129" i="1"/>
  <c r="O129" i="1"/>
  <c r="D129" i="1"/>
  <c r="AV127" i="1"/>
  <c r="AA127" i="1" s="1"/>
  <c r="AK127" i="1"/>
  <c r="AL127" i="1"/>
  <c r="AJ127" i="1"/>
  <c r="O127" i="1"/>
  <c r="D127" i="1"/>
  <c r="AV125" i="1"/>
  <c r="AA125" i="1" s="1"/>
  <c r="AK125" i="1"/>
  <c r="AL125" i="1"/>
  <c r="AJ125" i="1"/>
  <c r="O125" i="1"/>
  <c r="D125" i="1"/>
  <c r="AV123" i="1"/>
  <c r="AA123" i="1" s="1"/>
  <c r="AK123" i="1"/>
  <c r="AJ123" i="1"/>
  <c r="O123" i="1"/>
  <c r="D123" i="1"/>
  <c r="AV121" i="1"/>
  <c r="AA121" i="1" s="1"/>
  <c r="AK121" i="1"/>
  <c r="AL121" i="1"/>
  <c r="AJ121" i="1"/>
  <c r="O121" i="1"/>
  <c r="D121" i="1"/>
  <c r="AV119" i="1"/>
  <c r="AA119" i="1" s="1"/>
  <c r="AK119" i="1"/>
  <c r="AJ119" i="1"/>
  <c r="O119" i="1"/>
  <c r="D119" i="1"/>
  <c r="AV117" i="1"/>
  <c r="AA117" i="1" s="1"/>
  <c r="AK117" i="1"/>
  <c r="AJ117" i="1"/>
  <c r="O117" i="1"/>
  <c r="D117" i="1"/>
  <c r="AV115" i="1"/>
  <c r="AA115" i="1" s="1"/>
  <c r="AK115" i="1"/>
  <c r="AJ115" i="1"/>
  <c r="O115" i="1"/>
  <c r="D115" i="1"/>
  <c r="X135" i="1" l="1"/>
  <c r="Y135" i="1" s="1"/>
  <c r="BA135" i="1"/>
  <c r="BC135" i="1"/>
  <c r="X26" i="1"/>
  <c r="Y26" i="1" s="1"/>
  <c r="BC26" i="1"/>
  <c r="BA26" i="1"/>
  <c r="X121" i="1"/>
  <c r="BA121" i="1"/>
  <c r="BC121" i="1"/>
  <c r="X127" i="1"/>
  <c r="BA127" i="1"/>
  <c r="BC127" i="1"/>
  <c r="X125" i="1"/>
  <c r="Y125" i="1" s="1"/>
  <c r="BA125" i="1"/>
  <c r="BC125" i="1"/>
  <c r="X133" i="1"/>
  <c r="Y133" i="1" s="1"/>
  <c r="BA133" i="1"/>
  <c r="BC133" i="1"/>
  <c r="X141" i="1"/>
  <c r="Y141" i="1" s="1"/>
  <c r="BC141" i="1"/>
  <c r="BA141" i="1"/>
  <c r="X149" i="1"/>
  <c r="Y149" i="1" s="1"/>
  <c r="BC149" i="1"/>
  <c r="BA149" i="1"/>
  <c r="X30" i="1"/>
  <c r="Y30" i="1" s="1"/>
  <c r="BA30" i="1"/>
  <c r="BC30" i="1"/>
  <c r="BC131" i="1"/>
  <c r="BA131" i="1"/>
  <c r="X139" i="1"/>
  <c r="Y139" i="1" s="1"/>
  <c r="BA139" i="1"/>
  <c r="BC139" i="1"/>
  <c r="X147" i="1"/>
  <c r="Y147" i="1" s="1"/>
  <c r="BC147" i="1"/>
  <c r="BA147" i="1"/>
  <c r="X155" i="1"/>
  <c r="Y155" i="1" s="1"/>
  <c r="BA155" i="1"/>
  <c r="BC155" i="1"/>
  <c r="X33" i="1"/>
  <c r="Y33" i="1" s="1"/>
  <c r="BC33" i="1"/>
  <c r="BA33" i="1"/>
  <c r="X143" i="1"/>
  <c r="BC143" i="1"/>
  <c r="BA143" i="1"/>
  <c r="X151" i="1"/>
  <c r="Y151" i="1" s="1"/>
  <c r="BA151" i="1"/>
  <c r="BC151" i="1"/>
  <c r="BA129" i="1"/>
  <c r="BC129" i="1"/>
  <c r="X137" i="1"/>
  <c r="Y137" i="1" s="1"/>
  <c r="BA137" i="1"/>
  <c r="BC137" i="1"/>
  <c r="BA145" i="1"/>
  <c r="BC145" i="1"/>
  <c r="X153" i="1"/>
  <c r="Y153" i="1" s="1"/>
  <c r="BA153" i="1"/>
  <c r="BC153" i="1"/>
  <c r="X28" i="1"/>
  <c r="BA28" i="1"/>
  <c r="BC28" i="1"/>
  <c r="AL56" i="1"/>
  <c r="AK11" i="1"/>
  <c r="O56" i="1"/>
  <c r="AJ44" i="1"/>
  <c r="AJ74" i="1"/>
  <c r="AK76" i="1"/>
  <c r="AJ82" i="1"/>
  <c r="AK92" i="1"/>
  <c r="AJ50" i="1"/>
  <c r="O42" i="1"/>
  <c r="AJ42" i="1"/>
  <c r="AJ80" i="1"/>
  <c r="AJ48" i="1"/>
  <c r="AB135" i="1"/>
  <c r="AC135" i="1" s="1"/>
  <c r="AJ11" i="1"/>
  <c r="AJ70" i="1"/>
  <c r="AJ86" i="1"/>
  <c r="AJ56" i="1"/>
  <c r="AB28" i="1"/>
  <c r="AC28" i="1" s="1"/>
  <c r="AF56" i="1"/>
  <c r="AB26" i="1"/>
  <c r="AC26" i="1" s="1"/>
  <c r="AB155" i="1"/>
  <c r="AC155" i="1" s="1"/>
  <c r="AE64" i="1"/>
  <c r="AF35" i="1"/>
  <c r="AE70" i="1"/>
  <c r="AE9" i="1"/>
  <c r="AB30" i="1"/>
  <c r="AC30" i="1" s="1"/>
  <c r="AB133" i="1"/>
  <c r="AC133" i="1" s="1"/>
  <c r="AB127" i="1"/>
  <c r="AC127" i="1" s="1"/>
  <c r="AB139" i="1"/>
  <c r="AC139" i="1" s="1"/>
  <c r="AB125" i="1"/>
  <c r="AC125" i="1" s="1"/>
  <c r="AB131" i="1"/>
  <c r="AC131" i="1" s="1"/>
  <c r="AB137" i="1"/>
  <c r="AC137" i="1" s="1"/>
  <c r="AE42" i="1"/>
  <c r="AB33" i="1"/>
  <c r="AC33" i="1" s="1"/>
  <c r="AB141" i="1"/>
  <c r="AC141" i="1" s="1"/>
  <c r="AB143" i="1"/>
  <c r="AC143" i="1" s="1"/>
  <c r="AB153" i="1"/>
  <c r="AC153" i="1" s="1"/>
  <c r="AB129" i="1"/>
  <c r="AC129" i="1" s="1"/>
  <c r="X131" i="1"/>
  <c r="Y131" i="1" s="1"/>
  <c r="AE44" i="1"/>
  <c r="AE74" i="1"/>
  <c r="AB151" i="1"/>
  <c r="AC151" i="1" s="1"/>
  <c r="AB121" i="1"/>
  <c r="AC121" i="1" s="1"/>
  <c r="AE5" i="1"/>
  <c r="AB149" i="1"/>
  <c r="AC149" i="1" s="1"/>
  <c r="AB145" i="1"/>
  <c r="AC145" i="1" s="1"/>
  <c r="AB147" i="1"/>
  <c r="AC147" i="1" s="1"/>
  <c r="AL48" i="1"/>
  <c r="AF48" i="1"/>
  <c r="AE48" i="1"/>
  <c r="AL37" i="1"/>
  <c r="AF37" i="1"/>
  <c r="AE37" i="1"/>
  <c r="AL84" i="1"/>
  <c r="AF84" i="1"/>
  <c r="AE84" i="1"/>
  <c r="AL88" i="1"/>
  <c r="AF88" i="1"/>
  <c r="AE88" i="1"/>
  <c r="X129" i="1"/>
  <c r="Y129" i="1" s="1"/>
  <c r="X145" i="1"/>
  <c r="Y145" i="1" s="1"/>
  <c r="AL7" i="1"/>
  <c r="AF7" i="1"/>
  <c r="AE7" i="1"/>
  <c r="AL72" i="1"/>
  <c r="AF72" i="1"/>
  <c r="AE72" i="1"/>
  <c r="AL92" i="1"/>
  <c r="AF92" i="1"/>
  <c r="AE92" i="1"/>
  <c r="AE117" i="1"/>
  <c r="AE121" i="1"/>
  <c r="AE123" i="1"/>
  <c r="AE127" i="1"/>
  <c r="AE131" i="1"/>
  <c r="AE135" i="1"/>
  <c r="AE137" i="1"/>
  <c r="AE139" i="1"/>
  <c r="AE141" i="1"/>
  <c r="AE143" i="1"/>
  <c r="AE145" i="1"/>
  <c r="AE147" i="1"/>
  <c r="AE153" i="1"/>
  <c r="AE155" i="1"/>
  <c r="AE30" i="1"/>
  <c r="AE26" i="1"/>
  <c r="AE28" i="1"/>
  <c r="AE33" i="1"/>
  <c r="AE68" i="1"/>
  <c r="AL78" i="1"/>
  <c r="AF78" i="1"/>
  <c r="AE115" i="1"/>
  <c r="AE119" i="1"/>
  <c r="AE125" i="1"/>
  <c r="AE129" i="1"/>
  <c r="AE133" i="1"/>
  <c r="AE149" i="1"/>
  <c r="AE151" i="1"/>
  <c r="AE66" i="1"/>
  <c r="AE11" i="1"/>
  <c r="AF115" i="1"/>
  <c r="AF117" i="1"/>
  <c r="AF119" i="1"/>
  <c r="AF121" i="1"/>
  <c r="AF123" i="1"/>
  <c r="AF125" i="1"/>
  <c r="AF127" i="1"/>
  <c r="AF129" i="1"/>
  <c r="AF131" i="1"/>
  <c r="AF133" i="1"/>
  <c r="AF135" i="1"/>
  <c r="AF137" i="1"/>
  <c r="AF139" i="1"/>
  <c r="AF141" i="1"/>
  <c r="AF143" i="1"/>
  <c r="AF145" i="1"/>
  <c r="AF147" i="1"/>
  <c r="AF149" i="1"/>
  <c r="AF151" i="1"/>
  <c r="AF153" i="1"/>
  <c r="AF155" i="1"/>
  <c r="AF30" i="1"/>
  <c r="AF26" i="1"/>
  <c r="AF28" i="1"/>
  <c r="AF33" i="1"/>
  <c r="AL35" i="1"/>
  <c r="AL5" i="1"/>
  <c r="AL42" i="1"/>
  <c r="AL70" i="1"/>
  <c r="AL82" i="1"/>
  <c r="AF82" i="1"/>
  <c r="AL86" i="1"/>
  <c r="AF86" i="1"/>
  <c r="AL90" i="1"/>
  <c r="AF90" i="1"/>
  <c r="AL46" i="1"/>
  <c r="AF46" i="1"/>
  <c r="AL50" i="1"/>
  <c r="AF50" i="1"/>
  <c r="AL11" i="1"/>
  <c r="AL76" i="1"/>
  <c r="AF76" i="1"/>
  <c r="AL115" i="1"/>
  <c r="AL117" i="1"/>
  <c r="AL119" i="1"/>
  <c r="Y121" i="1"/>
  <c r="AL123" i="1"/>
  <c r="Y127" i="1"/>
  <c r="Y143" i="1"/>
  <c r="Y28" i="1"/>
  <c r="AL66" i="1"/>
  <c r="AL68" i="1"/>
  <c r="AL64" i="1"/>
  <c r="AL9" i="1"/>
  <c r="AL44" i="1"/>
  <c r="AL74" i="1"/>
  <c r="AE78" i="1"/>
  <c r="AL80" i="1"/>
  <c r="AF80" i="1"/>
  <c r="AK31" i="1"/>
  <c r="AK51" i="1"/>
  <c r="AK157" i="1"/>
  <c r="AV113" i="1"/>
  <c r="AA113" i="1" s="1"/>
  <c r="AK113" i="1"/>
  <c r="AF113" i="1"/>
  <c r="AJ113" i="1"/>
  <c r="O113" i="1"/>
  <c r="D113" i="1"/>
  <c r="AV111" i="1"/>
  <c r="AA111" i="1" s="1"/>
  <c r="AK111" i="1"/>
  <c r="AF111" i="1"/>
  <c r="AJ111" i="1"/>
  <c r="O111" i="1"/>
  <c r="D111" i="1"/>
  <c r="AV109" i="1"/>
  <c r="AA109" i="1" s="1"/>
  <c r="AK109" i="1"/>
  <c r="AF109" i="1"/>
  <c r="AJ109" i="1"/>
  <c r="O109" i="1"/>
  <c r="D109" i="1"/>
  <c r="AV107" i="1"/>
  <c r="AA107" i="1" s="1"/>
  <c r="AK107" i="1"/>
  <c r="AF107" i="1"/>
  <c r="AJ107" i="1"/>
  <c r="O107" i="1"/>
  <c r="D107" i="1"/>
  <c r="AV105" i="1"/>
  <c r="AA105" i="1" s="1"/>
  <c r="AK105" i="1"/>
  <c r="AF105" i="1"/>
  <c r="AJ105" i="1"/>
  <c r="O105" i="1"/>
  <c r="D105" i="1"/>
  <c r="AV103" i="1"/>
  <c r="AA103" i="1" s="1"/>
  <c r="AK103" i="1"/>
  <c r="AF103" i="1"/>
  <c r="AJ103" i="1"/>
  <c r="O103" i="1"/>
  <c r="D103" i="1"/>
  <c r="AV101" i="1"/>
  <c r="AA101" i="1" s="1"/>
  <c r="AK101" i="1"/>
  <c r="AF101" i="1"/>
  <c r="AJ101" i="1"/>
  <c r="O101" i="1"/>
  <c r="D101" i="1"/>
  <c r="AV99" i="1"/>
  <c r="AA99" i="1" s="1"/>
  <c r="AK99" i="1"/>
  <c r="AF99" i="1"/>
  <c r="AJ99" i="1"/>
  <c r="O99" i="1"/>
  <c r="D99" i="1"/>
  <c r="AV97" i="1"/>
  <c r="AA97" i="1" s="1"/>
  <c r="AK97" i="1"/>
  <c r="AF97" i="1"/>
  <c r="AJ97" i="1"/>
  <c r="O97" i="1"/>
  <c r="D97" i="1"/>
  <c r="AV95" i="1"/>
  <c r="AA95" i="1" s="1"/>
  <c r="AK95" i="1"/>
  <c r="AF95" i="1"/>
  <c r="AJ95" i="1"/>
  <c r="O95" i="1"/>
  <c r="D95" i="1"/>
  <c r="AV93" i="1"/>
  <c r="AA93" i="1" s="1"/>
  <c r="AK93" i="1"/>
  <c r="AF93" i="1"/>
  <c r="O93" i="1"/>
  <c r="D93" i="1"/>
  <c r="AV51" i="1"/>
  <c r="AA51" i="1" s="1"/>
  <c r="AF51" i="1"/>
  <c r="O51" i="1"/>
  <c r="D51" i="1"/>
  <c r="AV31" i="1"/>
  <c r="AA31" i="1" s="1"/>
  <c r="AF31" i="1"/>
  <c r="D31" i="1"/>
  <c r="AV162" i="1"/>
  <c r="AA162" i="1" s="1"/>
  <c r="AK162" i="1"/>
  <c r="AF162" i="1"/>
  <c r="AJ162" i="1"/>
  <c r="O162" i="1"/>
  <c r="D162" i="1"/>
  <c r="AV24" i="1"/>
  <c r="AA24" i="1" s="1"/>
  <c r="AK24" i="1"/>
  <c r="AF24" i="1"/>
  <c r="AJ24" i="1"/>
  <c r="O24" i="1"/>
  <c r="D24" i="1"/>
  <c r="AV23" i="1"/>
  <c r="AA23" i="1" s="1"/>
  <c r="AK23" i="1"/>
  <c r="AF23" i="1"/>
  <c r="AJ23" i="1"/>
  <c r="O23" i="1"/>
  <c r="D23" i="1"/>
  <c r="AV22" i="1"/>
  <c r="AA22" i="1" s="1"/>
  <c r="AK22" i="1"/>
  <c r="AF22" i="1"/>
  <c r="AJ22" i="1"/>
  <c r="O22" i="1"/>
  <c r="D22" i="1"/>
  <c r="AV49" i="1"/>
  <c r="AA49" i="1" s="1"/>
  <c r="AK49" i="1"/>
  <c r="AF49" i="1"/>
  <c r="AJ49" i="1"/>
  <c r="O49" i="1"/>
  <c r="D49" i="1"/>
  <c r="AV47" i="1"/>
  <c r="AA47" i="1" s="1"/>
  <c r="AK47" i="1"/>
  <c r="AF47" i="1"/>
  <c r="AJ47" i="1"/>
  <c r="O47" i="1"/>
  <c r="D47" i="1"/>
  <c r="AV45" i="1"/>
  <c r="AA45" i="1" s="1"/>
  <c r="AK45" i="1"/>
  <c r="AF45" i="1"/>
  <c r="AJ45" i="1"/>
  <c r="O45" i="1"/>
  <c r="D45" i="1"/>
  <c r="AV62" i="1"/>
  <c r="AA62" i="1" s="1"/>
  <c r="AK62" i="1"/>
  <c r="AF62" i="1"/>
  <c r="AJ62" i="1"/>
  <c r="O62" i="1"/>
  <c r="D62" i="1"/>
  <c r="AV61" i="1"/>
  <c r="AA61" i="1" s="1"/>
  <c r="AK61" i="1"/>
  <c r="AF61" i="1"/>
  <c r="AJ61" i="1"/>
  <c r="O61" i="1"/>
  <c r="D61" i="1"/>
  <c r="AV91" i="1"/>
  <c r="AA91" i="1" s="1"/>
  <c r="AK91" i="1"/>
  <c r="AF91" i="1"/>
  <c r="AJ91" i="1"/>
  <c r="O91" i="1"/>
  <c r="D91" i="1"/>
  <c r="AV60" i="1"/>
  <c r="AA60" i="1" s="1"/>
  <c r="AK60" i="1"/>
  <c r="AF60" i="1"/>
  <c r="AJ60" i="1"/>
  <c r="O60" i="1"/>
  <c r="D60" i="1"/>
  <c r="AV59" i="1"/>
  <c r="AA59" i="1" s="1"/>
  <c r="AK59" i="1"/>
  <c r="AF59" i="1"/>
  <c r="AJ59" i="1"/>
  <c r="O59" i="1"/>
  <c r="D59" i="1"/>
  <c r="AV58" i="1"/>
  <c r="AA58" i="1" s="1"/>
  <c r="AK58" i="1"/>
  <c r="AF58" i="1"/>
  <c r="AJ58" i="1"/>
  <c r="O58" i="1"/>
  <c r="D58" i="1"/>
  <c r="AV89" i="1"/>
  <c r="AA89" i="1" s="1"/>
  <c r="AK89" i="1"/>
  <c r="AF89" i="1"/>
  <c r="AJ89" i="1"/>
  <c r="O89" i="1"/>
  <c r="D89" i="1"/>
  <c r="AV87" i="1"/>
  <c r="AA87" i="1" s="1"/>
  <c r="AK87" i="1"/>
  <c r="AF87" i="1"/>
  <c r="AJ87" i="1"/>
  <c r="O87" i="1"/>
  <c r="D87" i="1"/>
  <c r="AV85" i="1"/>
  <c r="AA85" i="1" s="1"/>
  <c r="AK85" i="1"/>
  <c r="AF85" i="1"/>
  <c r="AJ85" i="1"/>
  <c r="O85" i="1"/>
  <c r="D85" i="1"/>
  <c r="AV83" i="1"/>
  <c r="AA83" i="1" s="1"/>
  <c r="AK83" i="1"/>
  <c r="AF83" i="1"/>
  <c r="AJ83" i="1"/>
  <c r="O83" i="1"/>
  <c r="D83" i="1"/>
  <c r="AV81" i="1"/>
  <c r="AA81" i="1" s="1"/>
  <c r="AK81" i="1"/>
  <c r="AF81" i="1"/>
  <c r="AJ81" i="1"/>
  <c r="O81" i="1"/>
  <c r="D81" i="1"/>
  <c r="AV79" i="1"/>
  <c r="AA79" i="1" s="1"/>
  <c r="AK79" i="1"/>
  <c r="AF79" i="1"/>
  <c r="AJ79" i="1"/>
  <c r="O79" i="1"/>
  <c r="D79" i="1"/>
  <c r="AV77" i="1"/>
  <c r="AA77" i="1" s="1"/>
  <c r="AK77" i="1"/>
  <c r="AF77" i="1"/>
  <c r="AJ77" i="1"/>
  <c r="O77" i="1"/>
  <c r="D77" i="1"/>
  <c r="AV75" i="1"/>
  <c r="AA75" i="1" s="1"/>
  <c r="AK75" i="1"/>
  <c r="AF75" i="1"/>
  <c r="AJ75" i="1"/>
  <c r="O75" i="1"/>
  <c r="D75" i="1"/>
  <c r="AV73" i="1"/>
  <c r="AA73" i="1" s="1"/>
  <c r="AK73" i="1"/>
  <c r="AF73" i="1"/>
  <c r="AJ73" i="1"/>
  <c r="O73" i="1"/>
  <c r="D73" i="1"/>
  <c r="AV71" i="1"/>
  <c r="AA71" i="1" s="1"/>
  <c r="AK71" i="1"/>
  <c r="AF71" i="1"/>
  <c r="AJ71" i="1"/>
  <c r="O71" i="1"/>
  <c r="D71" i="1"/>
  <c r="AV69" i="1"/>
  <c r="AA69" i="1" s="1"/>
  <c r="AK69" i="1"/>
  <c r="AF69" i="1"/>
  <c r="AJ69" i="1"/>
  <c r="O69" i="1"/>
  <c r="D69" i="1"/>
  <c r="AV67" i="1"/>
  <c r="AA67" i="1" s="1"/>
  <c r="AK67" i="1"/>
  <c r="AF67" i="1"/>
  <c r="AJ67" i="1"/>
  <c r="O67" i="1"/>
  <c r="D67" i="1"/>
  <c r="AV43" i="1"/>
  <c r="AA43" i="1" s="1"/>
  <c r="AK43" i="1"/>
  <c r="AF43" i="1"/>
  <c r="AJ43" i="1"/>
  <c r="O43" i="1"/>
  <c r="D43" i="1"/>
  <c r="AV159" i="1"/>
  <c r="AA159" i="1" s="1"/>
  <c r="AK159" i="1"/>
  <c r="AF159" i="1"/>
  <c r="AJ159" i="1"/>
  <c r="O159" i="1"/>
  <c r="D159" i="1"/>
  <c r="AV21" i="1"/>
  <c r="AA21" i="1" s="1"/>
  <c r="AK21" i="1"/>
  <c r="AF21" i="1"/>
  <c r="AJ21" i="1"/>
  <c r="O21" i="1"/>
  <c r="D21" i="1"/>
  <c r="AV20" i="1"/>
  <c r="AA20" i="1" s="1"/>
  <c r="AK20" i="1"/>
  <c r="AF20" i="1"/>
  <c r="AJ20" i="1"/>
  <c r="O20" i="1"/>
  <c r="D20" i="1"/>
  <c r="AV156" i="1"/>
  <c r="AA156" i="1" s="1"/>
  <c r="AK156" i="1"/>
  <c r="AF156" i="1"/>
  <c r="AJ156" i="1"/>
  <c r="O156" i="1"/>
  <c r="D156" i="1"/>
  <c r="AV161" i="1"/>
  <c r="AA161" i="1" s="1"/>
  <c r="AK161" i="1"/>
  <c r="AF161" i="1"/>
  <c r="AJ161" i="1"/>
  <c r="O161" i="1"/>
  <c r="D161" i="1"/>
  <c r="AV160" i="1"/>
  <c r="AA160" i="1" s="1"/>
  <c r="AK160" i="1"/>
  <c r="AF160" i="1"/>
  <c r="AJ160" i="1"/>
  <c r="O160" i="1"/>
  <c r="D160" i="1"/>
  <c r="AV57" i="1"/>
  <c r="AA57" i="1" s="1"/>
  <c r="AK57" i="1"/>
  <c r="AJ57" i="1"/>
  <c r="O57" i="1"/>
  <c r="D57" i="1"/>
  <c r="AV55" i="1"/>
  <c r="AA55" i="1" s="1"/>
  <c r="AK55" i="1"/>
  <c r="AF55" i="1"/>
  <c r="AJ55" i="1"/>
  <c r="O55" i="1"/>
  <c r="D55" i="1"/>
  <c r="AV41" i="1"/>
  <c r="AA41" i="1" s="1"/>
  <c r="AK41" i="1"/>
  <c r="AJ41" i="1"/>
  <c r="O41" i="1"/>
  <c r="D41" i="1"/>
  <c r="AV54" i="1"/>
  <c r="AA54" i="1" s="1"/>
  <c r="AK54" i="1"/>
  <c r="AF54" i="1"/>
  <c r="AJ54" i="1"/>
  <c r="O54" i="1"/>
  <c r="D54" i="1"/>
  <c r="AV53" i="1"/>
  <c r="AA53" i="1" s="1"/>
  <c r="AK53" i="1"/>
  <c r="AF53" i="1"/>
  <c r="AJ53" i="1"/>
  <c r="O53" i="1"/>
  <c r="D53" i="1"/>
  <c r="AV52" i="1"/>
  <c r="AA52" i="1" s="1"/>
  <c r="AK52" i="1"/>
  <c r="AF52" i="1"/>
  <c r="AJ52" i="1"/>
  <c r="O52" i="1"/>
  <c r="D52" i="1"/>
  <c r="AV38" i="1"/>
  <c r="AA38" i="1" s="1"/>
  <c r="AK38" i="1"/>
  <c r="AF38" i="1"/>
  <c r="AJ38" i="1"/>
  <c r="O38" i="1"/>
  <c r="D38" i="1"/>
  <c r="AV40" i="1"/>
  <c r="AA40" i="1" s="1"/>
  <c r="AK40" i="1"/>
  <c r="AE40" i="1"/>
  <c r="AJ40" i="1"/>
  <c r="O40" i="1"/>
  <c r="D40" i="1"/>
  <c r="AV19" i="1"/>
  <c r="AA19" i="1" s="1"/>
  <c r="AK19" i="1"/>
  <c r="AL19" i="1"/>
  <c r="AJ19" i="1"/>
  <c r="O19" i="1"/>
  <c r="D19" i="1"/>
  <c r="AV18" i="1"/>
  <c r="AA18" i="1" s="1"/>
  <c r="AK18" i="1"/>
  <c r="AL18" i="1"/>
  <c r="AJ18" i="1"/>
  <c r="O18" i="1"/>
  <c r="D18" i="1"/>
  <c r="AV17" i="1"/>
  <c r="AA17" i="1" s="1"/>
  <c r="AK17" i="1"/>
  <c r="AL17" i="1"/>
  <c r="AJ17" i="1"/>
  <c r="O17" i="1"/>
  <c r="D17" i="1"/>
  <c r="AV16" i="1"/>
  <c r="AA16" i="1" s="1"/>
  <c r="AK16" i="1"/>
  <c r="AF16" i="1"/>
  <c r="AJ16" i="1"/>
  <c r="O16" i="1"/>
  <c r="D16" i="1"/>
  <c r="AV15" i="1"/>
  <c r="AA15" i="1" s="1"/>
  <c r="AK15" i="1"/>
  <c r="AL15" i="1"/>
  <c r="AJ15" i="1"/>
  <c r="O15" i="1"/>
  <c r="D15" i="1"/>
  <c r="AV14" i="1"/>
  <c r="AA14" i="1" s="1"/>
  <c r="AK14" i="1"/>
  <c r="AF14" i="1"/>
  <c r="AJ14" i="1"/>
  <c r="O14" i="1"/>
  <c r="D14" i="1"/>
  <c r="AV13" i="1"/>
  <c r="AA13" i="1" s="1"/>
  <c r="AK13" i="1"/>
  <c r="AE13" i="1"/>
  <c r="AJ13" i="1"/>
  <c r="O13" i="1"/>
  <c r="D13" i="1"/>
  <c r="AV39" i="1"/>
  <c r="AA39" i="1" s="1"/>
  <c r="AK39" i="1"/>
  <c r="AL39" i="1"/>
  <c r="AJ39" i="1"/>
  <c r="O39" i="1"/>
  <c r="D39" i="1"/>
  <c r="AV10" i="1"/>
  <c r="AA10" i="1" s="1"/>
  <c r="AK10" i="1"/>
  <c r="AL10" i="1"/>
  <c r="AJ10" i="1"/>
  <c r="O10" i="1"/>
  <c r="D10" i="1"/>
  <c r="AV8" i="1"/>
  <c r="AA8" i="1" s="1"/>
  <c r="AK8" i="1"/>
  <c r="AF8" i="1"/>
  <c r="AJ8" i="1"/>
  <c r="O8" i="1"/>
  <c r="D8" i="1"/>
  <c r="AV6" i="1"/>
  <c r="AA6" i="1" s="1"/>
  <c r="AK6" i="1"/>
  <c r="AF6" i="1"/>
  <c r="AJ6" i="1"/>
  <c r="O6" i="1"/>
  <c r="D6" i="1"/>
  <c r="AV4" i="1"/>
  <c r="AA4" i="1" s="1"/>
  <c r="AK4" i="1"/>
  <c r="AL4" i="1"/>
  <c r="AJ4" i="1"/>
  <c r="O4" i="1"/>
  <c r="D4" i="1"/>
  <c r="AV65" i="1"/>
  <c r="AA65" i="1" s="1"/>
  <c r="AK65" i="1"/>
  <c r="AF65" i="1"/>
  <c r="AJ65" i="1"/>
  <c r="O65" i="1"/>
  <c r="D65" i="1"/>
  <c r="AV63" i="1"/>
  <c r="AA63" i="1" s="1"/>
  <c r="AK63" i="1"/>
  <c r="AF63" i="1"/>
  <c r="AJ63" i="1"/>
  <c r="O63" i="1"/>
  <c r="D63" i="1"/>
  <c r="AV36" i="1"/>
  <c r="AA36" i="1" s="1"/>
  <c r="AK36" i="1"/>
  <c r="AL36" i="1"/>
  <c r="AJ36" i="1"/>
  <c r="O36" i="1"/>
  <c r="D36" i="1"/>
  <c r="AV34" i="1"/>
  <c r="AA34" i="1" s="1"/>
  <c r="AK34" i="1"/>
  <c r="AL34" i="1"/>
  <c r="AJ34" i="1"/>
  <c r="O34" i="1"/>
  <c r="D34" i="1"/>
  <c r="AV32" i="1"/>
  <c r="AA32" i="1" s="1"/>
  <c r="AK32" i="1"/>
  <c r="AF32" i="1"/>
  <c r="AJ32" i="1"/>
  <c r="O32" i="1"/>
  <c r="D32" i="1"/>
  <c r="AV27" i="1"/>
  <c r="AA27" i="1" s="1"/>
  <c r="AK27" i="1"/>
  <c r="AL27" i="1"/>
  <c r="AJ27" i="1"/>
  <c r="O27" i="1"/>
  <c r="D27" i="1"/>
  <c r="AV25" i="1"/>
  <c r="AA25" i="1" s="1"/>
  <c r="AK25" i="1"/>
  <c r="AF25" i="1"/>
  <c r="AJ25" i="1"/>
  <c r="O25" i="1"/>
  <c r="D25" i="1"/>
  <c r="AV29" i="1"/>
  <c r="AA29" i="1" s="1"/>
  <c r="AK29" i="1"/>
  <c r="AL29" i="1"/>
  <c r="AJ29" i="1"/>
  <c r="O29" i="1"/>
  <c r="D29" i="1"/>
  <c r="AV12" i="1"/>
  <c r="AA12" i="1" s="1"/>
  <c r="AK12" i="1"/>
  <c r="AL12" i="1"/>
  <c r="AJ12" i="1"/>
  <c r="O12" i="1"/>
  <c r="D12" i="1"/>
  <c r="AV154" i="1"/>
  <c r="AA154" i="1" s="1"/>
  <c r="AK154" i="1"/>
  <c r="AE154" i="1"/>
  <c r="AJ154" i="1"/>
  <c r="O154" i="1"/>
  <c r="D154" i="1"/>
  <c r="AV152" i="1"/>
  <c r="AA152" i="1" s="1"/>
  <c r="AK152" i="1"/>
  <c r="AF152" i="1"/>
  <c r="AJ152" i="1"/>
  <c r="O152" i="1"/>
  <c r="D152" i="1"/>
  <c r="AV150" i="1"/>
  <c r="AA150" i="1" s="1"/>
  <c r="AK150" i="1"/>
  <c r="AL150" i="1"/>
  <c r="AJ150" i="1"/>
  <c r="O150" i="1"/>
  <c r="D150" i="1"/>
  <c r="AV148" i="1"/>
  <c r="AA148" i="1" s="1"/>
  <c r="AK148" i="1"/>
  <c r="AL148" i="1"/>
  <c r="AJ148" i="1"/>
  <c r="O148" i="1"/>
  <c r="D148" i="1"/>
  <c r="AV146" i="1"/>
  <c r="AA146" i="1" s="1"/>
  <c r="AK146" i="1"/>
  <c r="AL146" i="1"/>
  <c r="AJ146" i="1"/>
  <c r="O146" i="1"/>
  <c r="D146" i="1"/>
  <c r="AV144" i="1"/>
  <c r="AA144" i="1" s="1"/>
  <c r="AK144" i="1"/>
  <c r="AF144" i="1"/>
  <c r="AJ144" i="1"/>
  <c r="O144" i="1"/>
  <c r="D144" i="1"/>
  <c r="AV142" i="1"/>
  <c r="AA142" i="1" s="1"/>
  <c r="AK142" i="1"/>
  <c r="AF142" i="1"/>
  <c r="AJ142" i="1"/>
  <c r="O142" i="1"/>
  <c r="D142" i="1"/>
  <c r="AV140" i="1"/>
  <c r="AA140" i="1" s="1"/>
  <c r="AK140" i="1"/>
  <c r="AE140" i="1"/>
  <c r="AJ140" i="1"/>
  <c r="O140" i="1"/>
  <c r="D140" i="1"/>
  <c r="AV138" i="1"/>
  <c r="AA138" i="1" s="1"/>
  <c r="AK138" i="1"/>
  <c r="AL138" i="1"/>
  <c r="AJ138" i="1"/>
  <c r="O138" i="1"/>
  <c r="D138" i="1"/>
  <c r="AV136" i="1"/>
  <c r="AA136" i="1" s="1"/>
  <c r="AK136" i="1"/>
  <c r="AL136" i="1"/>
  <c r="AJ136" i="1"/>
  <c r="O136" i="1"/>
  <c r="D136" i="1"/>
  <c r="AV134" i="1"/>
  <c r="AA134" i="1" s="1"/>
  <c r="AK134" i="1"/>
  <c r="AL134" i="1"/>
  <c r="AJ134" i="1"/>
  <c r="O134" i="1"/>
  <c r="D134" i="1"/>
  <c r="AV163" i="1"/>
  <c r="AA163" i="1" s="1"/>
  <c r="AK163" i="1"/>
  <c r="AF163" i="1"/>
  <c r="AJ163" i="1"/>
  <c r="O163" i="1"/>
  <c r="D163" i="1"/>
  <c r="AV132" i="1"/>
  <c r="AA132" i="1" s="1"/>
  <c r="AK132" i="1"/>
  <c r="AL132" i="1"/>
  <c r="AJ132" i="1"/>
  <c r="O132" i="1"/>
  <c r="D132" i="1"/>
  <c r="AV130" i="1"/>
  <c r="AA130" i="1" s="1"/>
  <c r="AK130" i="1"/>
  <c r="AL130" i="1"/>
  <c r="AJ130" i="1"/>
  <c r="O130" i="1"/>
  <c r="D130" i="1"/>
  <c r="AV128" i="1"/>
  <c r="AA128" i="1" s="1"/>
  <c r="AK128" i="1"/>
  <c r="AL128" i="1"/>
  <c r="AJ128" i="1"/>
  <c r="O128" i="1"/>
  <c r="D128" i="1"/>
  <c r="O158" i="1"/>
  <c r="O94" i="1"/>
  <c r="O96" i="1"/>
  <c r="O98" i="1"/>
  <c r="O100" i="1"/>
  <c r="O102" i="1"/>
  <c r="O104" i="1"/>
  <c r="O106" i="1"/>
  <c r="O108" i="1"/>
  <c r="O110" i="1"/>
  <c r="O112" i="1"/>
  <c r="O114" i="1"/>
  <c r="O116" i="1"/>
  <c r="O118" i="1"/>
  <c r="O120" i="1"/>
  <c r="O122" i="1"/>
  <c r="O124" i="1"/>
  <c r="O126" i="1"/>
  <c r="AK158" i="1"/>
  <c r="AK94" i="1"/>
  <c r="AK96" i="1"/>
  <c r="AK98" i="1"/>
  <c r="AK100" i="1"/>
  <c r="AK102" i="1"/>
  <c r="AK104" i="1"/>
  <c r="AK106" i="1"/>
  <c r="AK108" i="1"/>
  <c r="AK110" i="1"/>
  <c r="AK112" i="1"/>
  <c r="AK114" i="1"/>
  <c r="AK116" i="1"/>
  <c r="AK118" i="1"/>
  <c r="AK120" i="1"/>
  <c r="AK122" i="1"/>
  <c r="AK124" i="1"/>
  <c r="AK126" i="1"/>
  <c r="AV126" i="1"/>
  <c r="AA126" i="1" s="1"/>
  <c r="AJ126" i="1"/>
  <c r="D126" i="1"/>
  <c r="AV124" i="1"/>
  <c r="AA124" i="1" s="1"/>
  <c r="AF124" i="1"/>
  <c r="AJ124" i="1"/>
  <c r="D124" i="1"/>
  <c r="AV122" i="1"/>
  <c r="AA122" i="1" s="1"/>
  <c r="AL122" i="1"/>
  <c r="AJ122" i="1"/>
  <c r="D122" i="1"/>
  <c r="AV120" i="1"/>
  <c r="AA120" i="1" s="1"/>
  <c r="AF120" i="1"/>
  <c r="AJ120" i="1"/>
  <c r="D120" i="1"/>
  <c r="AV118" i="1"/>
  <c r="AA118" i="1" s="1"/>
  <c r="AE118" i="1"/>
  <c r="AJ118" i="1"/>
  <c r="D118" i="1"/>
  <c r="AV116" i="1"/>
  <c r="AA116" i="1" s="1"/>
  <c r="AE116" i="1"/>
  <c r="AJ116" i="1"/>
  <c r="D116" i="1"/>
  <c r="AV114" i="1"/>
  <c r="AA114" i="1" s="1"/>
  <c r="AJ114" i="1"/>
  <c r="D114" i="1"/>
  <c r="AV112" i="1"/>
  <c r="AA112" i="1" s="1"/>
  <c r="AF112" i="1"/>
  <c r="AJ112" i="1"/>
  <c r="D112" i="1"/>
  <c r="AV110" i="1"/>
  <c r="AA110" i="1" s="1"/>
  <c r="AJ110" i="1"/>
  <c r="D110" i="1"/>
  <c r="AO157" i="1"/>
  <c r="AN157" i="1"/>
  <c r="X37" i="1" l="1"/>
  <c r="Y37" i="1" s="1"/>
  <c r="BA37" i="1"/>
  <c r="BC37" i="1"/>
  <c r="X74" i="1"/>
  <c r="Y74" i="1" s="1"/>
  <c r="BA74" i="1"/>
  <c r="BC74" i="1"/>
  <c r="X50" i="1"/>
  <c r="Y50" i="1" s="1"/>
  <c r="BA50" i="1"/>
  <c r="BC50" i="1"/>
  <c r="X82" i="1"/>
  <c r="Y82" i="1" s="1"/>
  <c r="BA82" i="1"/>
  <c r="BC82" i="1"/>
  <c r="X78" i="1"/>
  <c r="Y78" i="1" s="1"/>
  <c r="BC78" i="1"/>
  <c r="BA78" i="1"/>
  <c r="BA122" i="1"/>
  <c r="BC122" i="1"/>
  <c r="X128" i="1"/>
  <c r="Y128" i="1" s="1"/>
  <c r="BC128" i="1"/>
  <c r="BA128" i="1"/>
  <c r="X29" i="1"/>
  <c r="Y29" i="1" s="1"/>
  <c r="BC29" i="1"/>
  <c r="BA29" i="1"/>
  <c r="X4" i="1"/>
  <c r="Y4" i="1" s="1"/>
  <c r="BA4" i="1"/>
  <c r="BC4" i="1"/>
  <c r="X70" i="1"/>
  <c r="Y70" i="1" s="1"/>
  <c r="BA70" i="1"/>
  <c r="BC70" i="1"/>
  <c r="X88" i="1"/>
  <c r="Y88" i="1" s="1"/>
  <c r="BA88" i="1"/>
  <c r="BC88" i="1"/>
  <c r="X9" i="1"/>
  <c r="Y9" i="1" s="1"/>
  <c r="BA9" i="1"/>
  <c r="BC9" i="1"/>
  <c r="X117" i="1"/>
  <c r="Y117" i="1" s="1"/>
  <c r="BC117" i="1"/>
  <c r="BA117" i="1"/>
  <c r="X46" i="1"/>
  <c r="Y46" i="1" s="1"/>
  <c r="BC46" i="1"/>
  <c r="BA46" i="1"/>
  <c r="X42" i="1"/>
  <c r="Y42" i="1" s="1"/>
  <c r="BC42" i="1"/>
  <c r="BA42" i="1"/>
  <c r="X48" i="1"/>
  <c r="Y48" i="1" s="1"/>
  <c r="BA48" i="1"/>
  <c r="BC48" i="1"/>
  <c r="X56" i="1"/>
  <c r="Y56" i="1" s="1"/>
  <c r="BA56" i="1"/>
  <c r="BC56" i="1"/>
  <c r="X39" i="1"/>
  <c r="Y39" i="1" s="1"/>
  <c r="BA39" i="1"/>
  <c r="BC39" i="1"/>
  <c r="X123" i="1"/>
  <c r="Y123" i="1" s="1"/>
  <c r="BA123" i="1"/>
  <c r="BC123" i="1"/>
  <c r="X10" i="1"/>
  <c r="Y10" i="1" s="1"/>
  <c r="BA10" i="1"/>
  <c r="BC10" i="1"/>
  <c r="X15" i="1"/>
  <c r="Y15" i="1" s="1"/>
  <c r="BA15" i="1"/>
  <c r="BC15" i="1"/>
  <c r="X72" i="1"/>
  <c r="Y72" i="1" s="1"/>
  <c r="BA72" i="1"/>
  <c r="BC72" i="1"/>
  <c r="X132" i="1"/>
  <c r="Y132" i="1" s="1"/>
  <c r="BA132" i="1"/>
  <c r="BC132" i="1"/>
  <c r="X138" i="1"/>
  <c r="Y138" i="1" s="1"/>
  <c r="BC138" i="1"/>
  <c r="BA138" i="1"/>
  <c r="X146" i="1"/>
  <c r="Y146" i="1" s="1"/>
  <c r="BC146" i="1"/>
  <c r="BA146" i="1"/>
  <c r="X27" i="1"/>
  <c r="Y27" i="1" s="1"/>
  <c r="BC27" i="1"/>
  <c r="BA27" i="1"/>
  <c r="X18" i="1"/>
  <c r="Y18" i="1" s="1"/>
  <c r="BC18" i="1"/>
  <c r="BA18" i="1"/>
  <c r="X64" i="1"/>
  <c r="Y64" i="1" s="1"/>
  <c r="BA64" i="1"/>
  <c r="BC64" i="1"/>
  <c r="BA115" i="1"/>
  <c r="BC115" i="1"/>
  <c r="X5" i="1"/>
  <c r="Y5" i="1" s="1"/>
  <c r="BC5" i="1"/>
  <c r="BA5" i="1"/>
  <c r="BA119" i="1"/>
  <c r="BC119" i="1"/>
  <c r="BA68" i="1"/>
  <c r="BC68" i="1"/>
  <c r="X90" i="1"/>
  <c r="Y90" i="1" s="1"/>
  <c r="BC90" i="1"/>
  <c r="BA90" i="1"/>
  <c r="X35" i="1"/>
  <c r="Y35" i="1" s="1"/>
  <c r="BA35" i="1"/>
  <c r="BC35" i="1"/>
  <c r="X7" i="1"/>
  <c r="Y7" i="1" s="1"/>
  <c r="BC7" i="1"/>
  <c r="BA7" i="1"/>
  <c r="X84" i="1"/>
  <c r="Y84" i="1" s="1"/>
  <c r="BA84" i="1"/>
  <c r="BC84" i="1"/>
  <c r="X150" i="1"/>
  <c r="Y150" i="1" s="1"/>
  <c r="BA150" i="1"/>
  <c r="BC150" i="1"/>
  <c r="X34" i="1"/>
  <c r="Y34" i="1" s="1"/>
  <c r="BA34" i="1"/>
  <c r="BC34" i="1"/>
  <c r="X148" i="1"/>
  <c r="Y148" i="1" s="1"/>
  <c r="BA148" i="1"/>
  <c r="BC148" i="1"/>
  <c r="X12" i="1"/>
  <c r="Y12" i="1" s="1"/>
  <c r="BC12" i="1"/>
  <c r="BA12" i="1"/>
  <c r="X19" i="1"/>
  <c r="Y19" i="1" s="1"/>
  <c r="BA19" i="1"/>
  <c r="BC19" i="1"/>
  <c r="X44" i="1"/>
  <c r="Y44" i="1" s="1"/>
  <c r="BA44" i="1"/>
  <c r="BC44" i="1"/>
  <c r="X130" i="1"/>
  <c r="Y130" i="1" s="1"/>
  <c r="BC130" i="1"/>
  <c r="BA130" i="1"/>
  <c r="X136" i="1"/>
  <c r="Y136" i="1" s="1"/>
  <c r="BA136" i="1"/>
  <c r="BC136" i="1"/>
  <c r="X36" i="1"/>
  <c r="Y36" i="1" s="1"/>
  <c r="BA36" i="1"/>
  <c r="BC36" i="1"/>
  <c r="X17" i="1"/>
  <c r="Y17" i="1" s="1"/>
  <c r="BA17" i="1"/>
  <c r="BC17" i="1"/>
  <c r="X66" i="1"/>
  <c r="Y66" i="1" s="1"/>
  <c r="BA66" i="1"/>
  <c r="BC66" i="1"/>
  <c r="BA76" i="1"/>
  <c r="BC76" i="1"/>
  <c r="X134" i="1"/>
  <c r="Y134" i="1" s="1"/>
  <c r="BA134" i="1"/>
  <c r="BC134" i="1"/>
  <c r="X80" i="1"/>
  <c r="Y80" i="1" s="1"/>
  <c r="BA80" i="1"/>
  <c r="BC80" i="1"/>
  <c r="BA11" i="1"/>
  <c r="BC11" i="1"/>
  <c r="X86" i="1"/>
  <c r="Y86" i="1" s="1"/>
  <c r="BC86" i="1"/>
  <c r="BA86" i="1"/>
  <c r="X92" i="1"/>
  <c r="Y92" i="1" s="1"/>
  <c r="BA92" i="1"/>
  <c r="BC92" i="1"/>
  <c r="AB56" i="1"/>
  <c r="AC56" i="1" s="1"/>
  <c r="AE15" i="1"/>
  <c r="AL13" i="1"/>
  <c r="AE43" i="1"/>
  <c r="AB84" i="1"/>
  <c r="AC84" i="1" s="1"/>
  <c r="AE71" i="1"/>
  <c r="AB7" i="1"/>
  <c r="AC7" i="1" s="1"/>
  <c r="AE93" i="1"/>
  <c r="AL49" i="1"/>
  <c r="AB37" i="1"/>
  <c r="AC37" i="1" s="1"/>
  <c r="AB46" i="1"/>
  <c r="AC46" i="1" s="1"/>
  <c r="AE47" i="1"/>
  <c r="AF4" i="1"/>
  <c r="AE60" i="1"/>
  <c r="AL32" i="1"/>
  <c r="AL38" i="1"/>
  <c r="AL156" i="1"/>
  <c r="AB156" i="1" s="1"/>
  <c r="AC156" i="1" s="1"/>
  <c r="AL97" i="1"/>
  <c r="AL154" i="1"/>
  <c r="AE65" i="1"/>
  <c r="AE20" i="1"/>
  <c r="AB88" i="1"/>
  <c r="AC88" i="1" s="1"/>
  <c r="AL95" i="1"/>
  <c r="AB86" i="1"/>
  <c r="AC86" i="1" s="1"/>
  <c r="AE34" i="1"/>
  <c r="AL45" i="1"/>
  <c r="AB45" i="1" s="1"/>
  <c r="AC45" i="1" s="1"/>
  <c r="AL47" i="1"/>
  <c r="AB72" i="1"/>
  <c r="AC72" i="1" s="1"/>
  <c r="AL152" i="1"/>
  <c r="AB152" i="1" s="1"/>
  <c r="AC152" i="1" s="1"/>
  <c r="AL14" i="1"/>
  <c r="AE103" i="1"/>
  <c r="AB42" i="1"/>
  <c r="AC42" i="1" s="1"/>
  <c r="AF10" i="1"/>
  <c r="AE67" i="1"/>
  <c r="AL69" i="1"/>
  <c r="AB69" i="1" s="1"/>
  <c r="AC69" i="1" s="1"/>
  <c r="AE81" i="1"/>
  <c r="AB119" i="1"/>
  <c r="AC119" i="1" s="1"/>
  <c r="X119" i="1"/>
  <c r="Y119" i="1" s="1"/>
  <c r="AB66" i="1"/>
  <c r="AC66" i="1" s="1"/>
  <c r="AB70" i="1"/>
  <c r="AC70" i="1" s="1"/>
  <c r="AB117" i="1"/>
  <c r="AC117" i="1" s="1"/>
  <c r="AE27" i="1"/>
  <c r="AF138" i="1"/>
  <c r="AE17" i="1"/>
  <c r="AE77" i="1"/>
  <c r="AB115" i="1"/>
  <c r="AC115" i="1" s="1"/>
  <c r="X115" i="1"/>
  <c r="Y115" i="1" s="1"/>
  <c r="AB48" i="1"/>
  <c r="AC48" i="1" s="1"/>
  <c r="AB44" i="1"/>
  <c r="AC44" i="1" s="1"/>
  <c r="AB9" i="1"/>
  <c r="AC9" i="1" s="1"/>
  <c r="AE8" i="1"/>
  <c r="AL8" i="1"/>
  <c r="AL63" i="1"/>
  <c r="AL65" i="1"/>
  <c r="AB65" i="1" s="1"/>
  <c r="AC65" i="1" s="1"/>
  <c r="AF17" i="1"/>
  <c r="AF18" i="1"/>
  <c r="AB19" i="1"/>
  <c r="AC19" i="1" s="1"/>
  <c r="AL89" i="1"/>
  <c r="AL58" i="1"/>
  <c r="AL59" i="1"/>
  <c r="AL109" i="1"/>
  <c r="AB82" i="1"/>
  <c r="AC82" i="1" s="1"/>
  <c r="AB5" i="1"/>
  <c r="AC5" i="1" s="1"/>
  <c r="AB78" i="1"/>
  <c r="AC78" i="1" s="1"/>
  <c r="AB74" i="1"/>
  <c r="AC74" i="1" s="1"/>
  <c r="AF12" i="1"/>
  <c r="AL16" i="1"/>
  <c r="AE95" i="1"/>
  <c r="AB35" i="1"/>
  <c r="AC35" i="1" s="1"/>
  <c r="AB64" i="1"/>
  <c r="AC64" i="1" s="1"/>
  <c r="X68" i="1"/>
  <c r="Y68" i="1" s="1"/>
  <c r="AB68" i="1"/>
  <c r="AC68" i="1" s="1"/>
  <c r="AE10" i="1"/>
  <c r="X11" i="1"/>
  <c r="Y11" i="1" s="1"/>
  <c r="AB11" i="1"/>
  <c r="AC11" i="1" s="1"/>
  <c r="AB122" i="1"/>
  <c r="AC122" i="1" s="1"/>
  <c r="X76" i="1"/>
  <c r="Y76" i="1" s="1"/>
  <c r="AB76" i="1"/>
  <c r="AC76" i="1" s="1"/>
  <c r="AB50" i="1"/>
  <c r="AC50" i="1" s="1"/>
  <c r="AB80" i="1"/>
  <c r="AC80" i="1" s="1"/>
  <c r="AB92" i="1"/>
  <c r="AC92" i="1" s="1"/>
  <c r="AB90" i="1"/>
  <c r="AC90" i="1" s="1"/>
  <c r="AB123" i="1"/>
  <c r="AC123" i="1" s="1"/>
  <c r="AE101" i="1"/>
  <c r="AF128" i="1"/>
  <c r="AF130" i="1"/>
  <c r="AF132" i="1"/>
  <c r="AF134" i="1"/>
  <c r="AE136" i="1"/>
  <c r="AF146" i="1"/>
  <c r="AE148" i="1"/>
  <c r="AL113" i="1"/>
  <c r="AE132" i="1"/>
  <c r="AF136" i="1"/>
  <c r="AL142" i="1"/>
  <c r="AL144" i="1"/>
  <c r="AF148" i="1"/>
  <c r="AL99" i="1"/>
  <c r="AL111" i="1"/>
  <c r="AE128" i="1"/>
  <c r="AE134" i="1"/>
  <c r="AE144" i="1"/>
  <c r="AB146" i="1"/>
  <c r="AC146" i="1" s="1"/>
  <c r="AF27" i="1"/>
  <c r="AE32" i="1"/>
  <c r="AE63" i="1"/>
  <c r="AF40" i="1"/>
  <c r="AE38" i="1"/>
  <c r="AE69" i="1"/>
  <c r="AL77" i="1"/>
  <c r="AE62" i="1"/>
  <c r="AE45" i="1"/>
  <c r="AE146" i="1"/>
  <c r="AL124" i="1"/>
  <c r="AL25" i="1"/>
  <c r="AB25" i="1" s="1"/>
  <c r="AC25" i="1" s="1"/>
  <c r="AF13" i="1"/>
  <c r="AE14" i="1"/>
  <c r="AE53" i="1"/>
  <c r="AE156" i="1"/>
  <c r="AL43" i="1"/>
  <c r="AL79" i="1"/>
  <c r="AE51" i="1"/>
  <c r="AF154" i="1"/>
  <c r="AE12" i="1"/>
  <c r="AF34" i="1"/>
  <c r="AE4" i="1"/>
  <c r="AL40" i="1"/>
  <c r="AL67" i="1"/>
  <c r="AE89" i="1"/>
  <c r="AE58" i="1"/>
  <c r="AL62" i="1"/>
  <c r="AE22" i="1"/>
  <c r="AL163" i="1"/>
  <c r="AE130" i="1"/>
  <c r="AE138" i="1"/>
  <c r="AL6" i="1"/>
  <c r="AE18" i="1"/>
  <c r="AE79" i="1"/>
  <c r="AE59" i="1"/>
  <c r="AE49" i="1"/>
  <c r="AE97" i="1"/>
  <c r="AE99" i="1"/>
  <c r="AE36" i="1"/>
  <c r="AE39" i="1"/>
  <c r="AF15" i="1"/>
  <c r="AE19" i="1"/>
  <c r="AE54" i="1"/>
  <c r="AE21" i="1"/>
  <c r="AE73" i="1"/>
  <c r="AE85" i="1"/>
  <c r="AE24" i="1"/>
  <c r="AE31" i="1"/>
  <c r="AL101" i="1"/>
  <c r="AE105" i="1"/>
  <c r="AL93" i="1"/>
  <c r="AF140" i="1"/>
  <c r="AE150" i="1"/>
  <c r="AE29" i="1"/>
  <c r="AL112" i="1"/>
  <c r="AE163" i="1"/>
  <c r="AE142" i="1"/>
  <c r="AF150" i="1"/>
  <c r="AE152" i="1"/>
  <c r="AF29" i="1"/>
  <c r="AE25" i="1"/>
  <c r="AF36" i="1"/>
  <c r="AF39" i="1"/>
  <c r="AE16" i="1"/>
  <c r="AF19" i="1"/>
  <c r="AL53" i="1"/>
  <c r="AE161" i="1"/>
  <c r="AL20" i="1"/>
  <c r="AE159" i="1"/>
  <c r="AE75" i="1"/>
  <c r="AL81" i="1"/>
  <c r="AE87" i="1"/>
  <c r="AL60" i="1"/>
  <c r="AE61" i="1"/>
  <c r="AL22" i="1"/>
  <c r="AE162" i="1"/>
  <c r="AL103" i="1"/>
  <c r="AE107" i="1"/>
  <c r="AE109" i="1"/>
  <c r="AL51" i="1"/>
  <c r="AE91" i="1"/>
  <c r="AL140" i="1"/>
  <c r="AE6" i="1"/>
  <c r="AL71" i="1"/>
  <c r="AL83" i="1"/>
  <c r="AL91" i="1"/>
  <c r="AL23" i="1"/>
  <c r="AL24" i="1"/>
  <c r="AL105" i="1"/>
  <c r="AE111" i="1"/>
  <c r="AE113" i="1"/>
  <c r="AE83" i="1"/>
  <c r="AE23" i="1"/>
  <c r="AL118" i="1"/>
  <c r="AL21" i="1"/>
  <c r="AL73" i="1"/>
  <c r="AL85" i="1"/>
  <c r="AL162" i="1"/>
  <c r="AL107" i="1"/>
  <c r="AL31" i="1"/>
  <c r="AL55" i="1"/>
  <c r="AL161" i="1"/>
  <c r="AL159" i="1"/>
  <c r="AL75" i="1"/>
  <c r="AL87" i="1"/>
  <c r="AL61" i="1"/>
  <c r="AB27" i="1"/>
  <c r="AC27" i="1" s="1"/>
  <c r="O31" i="1"/>
  <c r="AB128" i="1"/>
  <c r="AC128" i="1" s="1"/>
  <c r="AB148" i="1"/>
  <c r="AC148" i="1" s="1"/>
  <c r="AJ31" i="1"/>
  <c r="AB130" i="1"/>
  <c r="AC130" i="1" s="1"/>
  <c r="AB134" i="1"/>
  <c r="AC134" i="1" s="1"/>
  <c r="AB17" i="1"/>
  <c r="AC17" i="1" s="1"/>
  <c r="AJ51" i="1"/>
  <c r="AJ93" i="1"/>
  <c r="AB136" i="1"/>
  <c r="AC136" i="1" s="1"/>
  <c r="AB150" i="1"/>
  <c r="AC150" i="1" s="1"/>
  <c r="AB10" i="1"/>
  <c r="AC10" i="1" s="1"/>
  <c r="AB132" i="1"/>
  <c r="AC132" i="1" s="1"/>
  <c r="AB36" i="1"/>
  <c r="AC36" i="1" s="1"/>
  <c r="AB18" i="1"/>
  <c r="AC18" i="1" s="1"/>
  <c r="AB138" i="1"/>
  <c r="AC138" i="1" s="1"/>
  <c r="AB12" i="1"/>
  <c r="AC12" i="1" s="1"/>
  <c r="AB29" i="1"/>
  <c r="AC29" i="1" s="1"/>
  <c r="AB15" i="1"/>
  <c r="AC15" i="1" s="1"/>
  <c r="O157" i="1"/>
  <c r="AM157" i="1"/>
  <c r="AF57" i="1"/>
  <c r="AE57" i="1"/>
  <c r="AL57" i="1"/>
  <c r="AL110" i="1"/>
  <c r="AB34" i="1"/>
  <c r="AC34" i="1" s="1"/>
  <c r="AF41" i="1"/>
  <c r="AL41" i="1"/>
  <c r="AF114" i="1"/>
  <c r="AL114" i="1"/>
  <c r="AL126" i="1"/>
  <c r="AB4" i="1"/>
  <c r="AC4" i="1" s="1"/>
  <c r="AB39" i="1"/>
  <c r="AC39" i="1" s="1"/>
  <c r="AE41" i="1"/>
  <c r="AE52" i="1"/>
  <c r="AB47" i="1"/>
  <c r="AC47" i="1" s="1"/>
  <c r="AL116" i="1"/>
  <c r="AL54" i="1"/>
  <c r="AE160" i="1"/>
  <c r="AL120" i="1"/>
  <c r="AL52" i="1"/>
  <c r="AE55" i="1"/>
  <c r="AL160" i="1"/>
  <c r="AE124" i="1"/>
  <c r="AE110" i="1"/>
  <c r="AE112" i="1"/>
  <c r="AF110" i="1"/>
  <c r="AE126" i="1"/>
  <c r="AF126" i="1"/>
  <c r="AF118" i="1"/>
  <c r="AE114" i="1"/>
  <c r="AF116" i="1"/>
  <c r="X122" i="1"/>
  <c r="Y122" i="1" s="1"/>
  <c r="AE122" i="1"/>
  <c r="AE120" i="1"/>
  <c r="AF122" i="1"/>
  <c r="AB116" i="1" l="1"/>
  <c r="AC116" i="1" s="1"/>
  <c r="BA116" i="1"/>
  <c r="BC116" i="1"/>
  <c r="X91" i="1"/>
  <c r="Y91" i="1" s="1"/>
  <c r="BA91" i="1"/>
  <c r="BC91" i="1"/>
  <c r="X41" i="1"/>
  <c r="Y41" i="1" s="1"/>
  <c r="BC41" i="1"/>
  <c r="BA41" i="1"/>
  <c r="X55" i="1"/>
  <c r="Y55" i="1" s="1"/>
  <c r="BA55" i="1"/>
  <c r="BC55" i="1"/>
  <c r="X83" i="1"/>
  <c r="Y83" i="1" s="1"/>
  <c r="BA83" i="1"/>
  <c r="BC83" i="1"/>
  <c r="X77" i="1"/>
  <c r="Y77" i="1" s="1"/>
  <c r="BC77" i="1"/>
  <c r="BA77" i="1"/>
  <c r="X65" i="1"/>
  <c r="Y65" i="1" s="1"/>
  <c r="BC65" i="1"/>
  <c r="BA65" i="1"/>
  <c r="X14" i="1"/>
  <c r="Y14" i="1" s="1"/>
  <c r="BA14" i="1"/>
  <c r="BC14" i="1"/>
  <c r="X81" i="1"/>
  <c r="Y81" i="1" s="1"/>
  <c r="BC81" i="1"/>
  <c r="BA81" i="1"/>
  <c r="X95" i="1"/>
  <c r="Y95" i="1" s="1"/>
  <c r="BA95" i="1"/>
  <c r="BC95" i="1"/>
  <c r="X31" i="1"/>
  <c r="Y31" i="1" s="1"/>
  <c r="BA31" i="1"/>
  <c r="BC31" i="1"/>
  <c r="X109" i="1"/>
  <c r="Y109" i="1" s="1"/>
  <c r="BC109" i="1"/>
  <c r="BA109" i="1"/>
  <c r="X59" i="1"/>
  <c r="Y59" i="1" s="1"/>
  <c r="BC59" i="1"/>
  <c r="BA59" i="1"/>
  <c r="X8" i="1"/>
  <c r="Y8" i="1" s="1"/>
  <c r="BC8" i="1"/>
  <c r="BA8" i="1"/>
  <c r="X20" i="1"/>
  <c r="Y20" i="1" s="1"/>
  <c r="BC20" i="1"/>
  <c r="BA20" i="1"/>
  <c r="X52" i="1"/>
  <c r="Y52" i="1" s="1"/>
  <c r="BC52" i="1"/>
  <c r="BA52" i="1"/>
  <c r="X93" i="1"/>
  <c r="Y93" i="1" s="1"/>
  <c r="BC93" i="1"/>
  <c r="BA93" i="1"/>
  <c r="X62" i="1"/>
  <c r="Y62" i="1" s="1"/>
  <c r="BA62" i="1"/>
  <c r="BC62" i="1"/>
  <c r="X111" i="1"/>
  <c r="Y111" i="1" s="1"/>
  <c r="BC111" i="1"/>
  <c r="BA111" i="1"/>
  <c r="X16" i="1"/>
  <c r="Y16" i="1" s="1"/>
  <c r="BC16" i="1"/>
  <c r="BA16" i="1"/>
  <c r="X58" i="1"/>
  <c r="Y58" i="1" s="1"/>
  <c r="BA58" i="1"/>
  <c r="BC58" i="1"/>
  <c r="X69" i="1"/>
  <c r="Y69" i="1" s="1"/>
  <c r="BA69" i="1"/>
  <c r="BC69" i="1"/>
  <c r="X47" i="1"/>
  <c r="Y47" i="1" s="1"/>
  <c r="BC47" i="1"/>
  <c r="BA47" i="1"/>
  <c r="X154" i="1"/>
  <c r="Y154" i="1" s="1"/>
  <c r="BC154" i="1"/>
  <c r="BA154" i="1"/>
  <c r="X13" i="1"/>
  <c r="Y13" i="1" s="1"/>
  <c r="BA13" i="1"/>
  <c r="BC13" i="1"/>
  <c r="X103" i="1"/>
  <c r="Y103" i="1" s="1"/>
  <c r="BA103" i="1"/>
  <c r="BC103" i="1"/>
  <c r="X163" i="1"/>
  <c r="Y163" i="1" s="1"/>
  <c r="BA163" i="1"/>
  <c r="BC163" i="1"/>
  <c r="X63" i="1"/>
  <c r="Y63" i="1" s="1"/>
  <c r="BC63" i="1"/>
  <c r="BA63" i="1"/>
  <c r="X140" i="1"/>
  <c r="Y140" i="1" s="1"/>
  <c r="BC140" i="1"/>
  <c r="BA140" i="1"/>
  <c r="X25" i="1"/>
  <c r="Y25" i="1" s="1"/>
  <c r="BC25" i="1"/>
  <c r="BA25" i="1"/>
  <c r="AB120" i="1"/>
  <c r="AC120" i="1" s="1"/>
  <c r="BA120" i="1"/>
  <c r="BC120" i="1"/>
  <c r="X57" i="1"/>
  <c r="Y57" i="1" s="1"/>
  <c r="BA57" i="1"/>
  <c r="BC57" i="1"/>
  <c r="X87" i="1"/>
  <c r="Y87" i="1" s="1"/>
  <c r="BA87" i="1"/>
  <c r="BC87" i="1"/>
  <c r="X85" i="1"/>
  <c r="Y85" i="1" s="1"/>
  <c r="BA85" i="1"/>
  <c r="BC85" i="1"/>
  <c r="X105" i="1"/>
  <c r="Y105" i="1" s="1"/>
  <c r="BA105" i="1"/>
  <c r="BC105" i="1"/>
  <c r="AB53" i="1"/>
  <c r="AC53" i="1" s="1"/>
  <c r="BA53" i="1"/>
  <c r="BC53" i="1"/>
  <c r="AB124" i="1"/>
  <c r="AC124" i="1" s="1"/>
  <c r="BC124" i="1"/>
  <c r="BA124" i="1"/>
  <c r="X99" i="1"/>
  <c r="Y99" i="1" s="1"/>
  <c r="BC99" i="1"/>
  <c r="BA99" i="1"/>
  <c r="X89" i="1"/>
  <c r="Y89" i="1" s="1"/>
  <c r="BA89" i="1"/>
  <c r="BC89" i="1"/>
  <c r="X45" i="1"/>
  <c r="Y45" i="1" s="1"/>
  <c r="BA45" i="1"/>
  <c r="BC45" i="1"/>
  <c r="X97" i="1"/>
  <c r="Y97" i="1" s="1"/>
  <c r="BC97" i="1"/>
  <c r="BA97" i="1"/>
  <c r="X161" i="1"/>
  <c r="Y161" i="1" s="1"/>
  <c r="BA161" i="1"/>
  <c r="BC161" i="1"/>
  <c r="AB112" i="1"/>
  <c r="AC112" i="1" s="1"/>
  <c r="BC112" i="1"/>
  <c r="BA112" i="1"/>
  <c r="BA160" i="1"/>
  <c r="BC160" i="1"/>
  <c r="X71" i="1"/>
  <c r="Y71" i="1" s="1"/>
  <c r="BA71" i="1"/>
  <c r="BC71" i="1"/>
  <c r="X107" i="1"/>
  <c r="Y107" i="1" s="1"/>
  <c r="BA107" i="1"/>
  <c r="BC107" i="1"/>
  <c r="AB110" i="1"/>
  <c r="AC110" i="1" s="1"/>
  <c r="BC110" i="1"/>
  <c r="BA110" i="1"/>
  <c r="X61" i="1"/>
  <c r="Y61" i="1" s="1"/>
  <c r="BA61" i="1"/>
  <c r="BC61" i="1"/>
  <c r="X22" i="1"/>
  <c r="Y22" i="1" s="1"/>
  <c r="BA22" i="1"/>
  <c r="BC22" i="1"/>
  <c r="AB126" i="1"/>
  <c r="AC126" i="1" s="1"/>
  <c r="BC126" i="1"/>
  <c r="BA126" i="1"/>
  <c r="X75" i="1"/>
  <c r="Y75" i="1" s="1"/>
  <c r="BC75" i="1"/>
  <c r="BA75" i="1"/>
  <c r="X73" i="1"/>
  <c r="Y73" i="1" s="1"/>
  <c r="BC73" i="1"/>
  <c r="BA73" i="1"/>
  <c r="X24" i="1"/>
  <c r="Y24" i="1" s="1"/>
  <c r="BC24" i="1"/>
  <c r="BA24" i="1"/>
  <c r="X60" i="1"/>
  <c r="Y60" i="1" s="1"/>
  <c r="BC60" i="1"/>
  <c r="BA60" i="1"/>
  <c r="X101" i="1"/>
  <c r="Y101" i="1" s="1"/>
  <c r="BC101" i="1"/>
  <c r="BA101" i="1"/>
  <c r="X79" i="1"/>
  <c r="Y79" i="1" s="1"/>
  <c r="BA79" i="1"/>
  <c r="BC79" i="1"/>
  <c r="X156" i="1"/>
  <c r="Y156" i="1" s="1"/>
  <c r="BA156" i="1"/>
  <c r="BC156" i="1"/>
  <c r="X49" i="1"/>
  <c r="Y49" i="1" s="1"/>
  <c r="BC49" i="1"/>
  <c r="BA49" i="1"/>
  <c r="X118" i="1"/>
  <c r="Y118" i="1" s="1"/>
  <c r="BA118" i="1"/>
  <c r="BC118" i="1"/>
  <c r="X40" i="1"/>
  <c r="Y40" i="1" s="1"/>
  <c r="BA40" i="1"/>
  <c r="BC40" i="1"/>
  <c r="X142" i="1"/>
  <c r="Y142" i="1" s="1"/>
  <c r="BA142" i="1"/>
  <c r="BC142" i="1"/>
  <c r="X32" i="1"/>
  <c r="Y32" i="1" s="1"/>
  <c r="BA32" i="1"/>
  <c r="BC32" i="1"/>
  <c r="X152" i="1"/>
  <c r="Y152" i="1" s="1"/>
  <c r="BA152" i="1"/>
  <c r="BC152" i="1"/>
  <c r="X113" i="1"/>
  <c r="Y113" i="1" s="1"/>
  <c r="BA113" i="1"/>
  <c r="BC113" i="1"/>
  <c r="X162" i="1"/>
  <c r="Y162" i="1" s="1"/>
  <c r="BA162" i="1"/>
  <c r="BC162" i="1"/>
  <c r="X54" i="1"/>
  <c r="Y54" i="1" s="1"/>
  <c r="BA54" i="1"/>
  <c r="BC54" i="1"/>
  <c r="AB114" i="1"/>
  <c r="AC114" i="1" s="1"/>
  <c r="BA114" i="1"/>
  <c r="BC114" i="1"/>
  <c r="X159" i="1"/>
  <c r="Y159" i="1" s="1"/>
  <c r="BA159" i="1"/>
  <c r="BC159" i="1"/>
  <c r="X21" i="1"/>
  <c r="Y21" i="1" s="1"/>
  <c r="BA21" i="1"/>
  <c r="BC21" i="1"/>
  <c r="X23" i="1"/>
  <c r="Y23" i="1" s="1"/>
  <c r="BA23" i="1"/>
  <c r="BC23" i="1"/>
  <c r="X51" i="1"/>
  <c r="Y51" i="1" s="1"/>
  <c r="BA51" i="1"/>
  <c r="BC51" i="1"/>
  <c r="X6" i="1"/>
  <c r="Y6" i="1" s="1"/>
  <c r="BA6" i="1"/>
  <c r="BC6" i="1"/>
  <c r="X67" i="1"/>
  <c r="Y67" i="1" s="1"/>
  <c r="BA67" i="1"/>
  <c r="BC67" i="1"/>
  <c r="X43" i="1"/>
  <c r="Y43" i="1" s="1"/>
  <c r="BC43" i="1"/>
  <c r="BA43" i="1"/>
  <c r="X144" i="1"/>
  <c r="Y144" i="1" s="1"/>
  <c r="BA144" i="1"/>
  <c r="BC144" i="1"/>
  <c r="X38" i="1"/>
  <c r="Y38" i="1" s="1"/>
  <c r="BA38" i="1"/>
  <c r="BC38" i="1"/>
  <c r="AB13" i="1"/>
  <c r="AC13" i="1" s="1"/>
  <c r="AB58" i="1"/>
  <c r="AC58" i="1" s="1"/>
  <c r="AB154" i="1"/>
  <c r="AC154" i="1" s="1"/>
  <c r="X112" i="1"/>
  <c r="Y112" i="1" s="1"/>
  <c r="AB83" i="1"/>
  <c r="AC83" i="1" s="1"/>
  <c r="AB159" i="1"/>
  <c r="AC159" i="1" s="1"/>
  <c r="AB38" i="1"/>
  <c r="AC38" i="1" s="1"/>
  <c r="AB49" i="1"/>
  <c r="AC49" i="1" s="1"/>
  <c r="AB32" i="1"/>
  <c r="AC32" i="1" s="1"/>
  <c r="AB109" i="1"/>
  <c r="AC109" i="1" s="1"/>
  <c r="AB113" i="1"/>
  <c r="AC113" i="1" s="1"/>
  <c r="AB75" i="1"/>
  <c r="AC75" i="1" s="1"/>
  <c r="AB105" i="1"/>
  <c r="AC105" i="1" s="1"/>
  <c r="AB163" i="1"/>
  <c r="AC163" i="1" s="1"/>
  <c r="AB8" i="1"/>
  <c r="AC8" i="1" s="1"/>
  <c r="AB16" i="1"/>
  <c r="AC16" i="1" s="1"/>
  <c r="AB63" i="1"/>
  <c r="AC63" i="1" s="1"/>
  <c r="AB77" i="1"/>
  <c r="AC77" i="1" s="1"/>
  <c r="AB95" i="1"/>
  <c r="AC95" i="1" s="1"/>
  <c r="AB20" i="1"/>
  <c r="AC20" i="1" s="1"/>
  <c r="AB59" i="1"/>
  <c r="AC59" i="1" s="1"/>
  <c r="AB101" i="1"/>
  <c r="AC101" i="1" s="1"/>
  <c r="AB161" i="1"/>
  <c r="AC161" i="1" s="1"/>
  <c r="AB97" i="1"/>
  <c r="AC97" i="1" s="1"/>
  <c r="AB79" i="1"/>
  <c r="AC79" i="1" s="1"/>
  <c r="AB21" i="1"/>
  <c r="AC21" i="1" s="1"/>
  <c r="AB40" i="1"/>
  <c r="AC40" i="1" s="1"/>
  <c r="AB107" i="1"/>
  <c r="AC107" i="1" s="1"/>
  <c r="AB111" i="1"/>
  <c r="AC111" i="1" s="1"/>
  <c r="X124" i="1"/>
  <c r="Y124" i="1" s="1"/>
  <c r="AB62" i="1"/>
  <c r="AC62" i="1" s="1"/>
  <c r="AB14" i="1"/>
  <c r="AC14" i="1" s="1"/>
  <c r="AB51" i="1"/>
  <c r="AC51" i="1" s="1"/>
  <c r="AB89" i="1"/>
  <c r="AC89" i="1" s="1"/>
  <c r="AB81" i="1"/>
  <c r="AC81" i="1" s="1"/>
  <c r="AB87" i="1"/>
  <c r="AC87" i="1" s="1"/>
  <c r="AB71" i="1"/>
  <c r="AC71" i="1" s="1"/>
  <c r="AB99" i="1"/>
  <c r="AC99" i="1" s="1"/>
  <c r="AB73" i="1"/>
  <c r="AC73" i="1" s="1"/>
  <c r="X116" i="1"/>
  <c r="Y116" i="1" s="1"/>
  <c r="AB162" i="1"/>
  <c r="AC162" i="1" s="1"/>
  <c r="AB140" i="1"/>
  <c r="AC140" i="1" s="1"/>
  <c r="AB144" i="1"/>
  <c r="AC144" i="1" s="1"/>
  <c r="AB142" i="1"/>
  <c r="AC142" i="1" s="1"/>
  <c r="AB91" i="1"/>
  <c r="AC91" i="1" s="1"/>
  <c r="AB67" i="1"/>
  <c r="AC67" i="1" s="1"/>
  <c r="AB61" i="1"/>
  <c r="AC61" i="1" s="1"/>
  <c r="AB60" i="1"/>
  <c r="AC60" i="1" s="1"/>
  <c r="AB43" i="1"/>
  <c r="AC43" i="1" s="1"/>
  <c r="AB22" i="1"/>
  <c r="AC22" i="1" s="1"/>
  <c r="AB118" i="1"/>
  <c r="AC118" i="1" s="1"/>
  <c r="AB93" i="1"/>
  <c r="AC93" i="1" s="1"/>
  <c r="AB24" i="1"/>
  <c r="AC24" i="1" s="1"/>
  <c r="AB23" i="1"/>
  <c r="AC23" i="1" s="1"/>
  <c r="X120" i="1"/>
  <c r="Y120" i="1" s="1"/>
  <c r="AB31" i="1"/>
  <c r="AC31" i="1" s="1"/>
  <c r="AB55" i="1"/>
  <c r="AC55" i="1" s="1"/>
  <c r="AB85" i="1"/>
  <c r="AC85" i="1" s="1"/>
  <c r="X53" i="1"/>
  <c r="Y53" i="1" s="1"/>
  <c r="AB103" i="1"/>
  <c r="AC103" i="1" s="1"/>
  <c r="AB6" i="1"/>
  <c r="AC6" i="1" s="1"/>
  <c r="X114" i="1"/>
  <c r="Y114" i="1" s="1"/>
  <c r="AB54" i="1"/>
  <c r="AC54" i="1" s="1"/>
  <c r="AB57" i="1"/>
  <c r="AC57" i="1" s="1"/>
  <c r="AB41" i="1"/>
  <c r="AC41" i="1" s="1"/>
  <c r="X110" i="1"/>
  <c r="Y110" i="1" s="1"/>
  <c r="AB52" i="1"/>
  <c r="AC52" i="1" s="1"/>
  <c r="X126" i="1"/>
  <c r="Y126" i="1" s="1"/>
  <c r="X160" i="1"/>
  <c r="Y160" i="1" s="1"/>
  <c r="AB160" i="1"/>
  <c r="AC160" i="1" s="1"/>
  <c r="AV158" i="1"/>
  <c r="AA158" i="1" s="1"/>
  <c r="AV94" i="1"/>
  <c r="AA94" i="1" s="1"/>
  <c r="AV96" i="1"/>
  <c r="AA96" i="1" s="1"/>
  <c r="AV98" i="1"/>
  <c r="AA98" i="1" s="1"/>
  <c r="AV100" i="1"/>
  <c r="AA100" i="1" s="1"/>
  <c r="AV102" i="1"/>
  <c r="AA102" i="1" s="1"/>
  <c r="AV104" i="1"/>
  <c r="AA104" i="1" s="1"/>
  <c r="AV106" i="1"/>
  <c r="AA106" i="1" s="1"/>
  <c r="AV108" i="1"/>
  <c r="AA108" i="1" s="1"/>
  <c r="AV157" i="1"/>
  <c r="AA157" i="1" s="1"/>
  <c r="AJ158" i="1"/>
  <c r="AJ94" i="1"/>
  <c r="AJ96" i="1"/>
  <c r="AJ98" i="1"/>
  <c r="AJ100" i="1"/>
  <c r="AJ102" i="1"/>
  <c r="AJ104" i="1"/>
  <c r="AJ106" i="1"/>
  <c r="AJ108" i="1"/>
  <c r="D158" i="1"/>
  <c r="D94" i="1"/>
  <c r="D96" i="1"/>
  <c r="D98" i="1"/>
  <c r="D100" i="1"/>
  <c r="D102" i="1"/>
  <c r="D104" i="1"/>
  <c r="D106" i="1"/>
  <c r="D108" i="1"/>
  <c r="D157" i="1"/>
  <c r="V157" i="1"/>
  <c r="T157" i="1"/>
  <c r="AJ157" i="1" s="1"/>
  <c r="AL108" i="1" l="1"/>
  <c r="AL158" i="1"/>
  <c r="AL106" i="1"/>
  <c r="AL104" i="1"/>
  <c r="AL94" i="1"/>
  <c r="AL157" i="1"/>
  <c r="AL100" i="1"/>
  <c r="AL102" i="1"/>
  <c r="AL98" i="1"/>
  <c r="AL96" i="1"/>
  <c r="AE108" i="1"/>
  <c r="AE158" i="1"/>
  <c r="AE106" i="1"/>
  <c r="AF102" i="1"/>
  <c r="AE157" i="1"/>
  <c r="AE100" i="1"/>
  <c r="AF98" i="1"/>
  <c r="AF104" i="1"/>
  <c r="AF96" i="1"/>
  <c r="AF94" i="1"/>
  <c r="AE104" i="1"/>
  <c r="AE102" i="1"/>
  <c r="AE98" i="1"/>
  <c r="AF100" i="1"/>
  <c r="AE96" i="1"/>
  <c r="AF108" i="1"/>
  <c r="AF158" i="1"/>
  <c r="AE94" i="1"/>
  <c r="AF106" i="1"/>
  <c r="AH157" i="1"/>
  <c r="AI157" i="1"/>
  <c r="AF157" i="1"/>
  <c r="AB102" i="1" l="1"/>
  <c r="AC102" i="1" s="1"/>
  <c r="BA102" i="1"/>
  <c r="BC102" i="1"/>
  <c r="X100" i="1"/>
  <c r="Y100" i="1" s="1"/>
  <c r="BC100" i="1"/>
  <c r="BA100" i="1"/>
  <c r="AB96" i="1"/>
  <c r="AC96" i="1" s="1"/>
  <c r="BA96" i="1"/>
  <c r="BC96" i="1"/>
  <c r="AB94" i="1"/>
  <c r="AC94" i="1" s="1"/>
  <c r="BC94" i="1"/>
  <c r="BA94" i="1"/>
  <c r="X104" i="1"/>
  <c r="Y104" i="1" s="1"/>
  <c r="BA104" i="1"/>
  <c r="BC104" i="1"/>
  <c r="AB106" i="1"/>
  <c r="AC106" i="1" s="1"/>
  <c r="BA106" i="1"/>
  <c r="BC106" i="1"/>
  <c r="BC158" i="1"/>
  <c r="BA158" i="1"/>
  <c r="AB98" i="1"/>
  <c r="AC98" i="1" s="1"/>
  <c r="BC98" i="1"/>
  <c r="BA98" i="1"/>
  <c r="AB108" i="1"/>
  <c r="AC108" i="1" s="1"/>
  <c r="BA108" i="1"/>
  <c r="BC108" i="1"/>
  <c r="X94" i="1"/>
  <c r="Y94" i="1" s="1"/>
  <c r="AB104" i="1"/>
  <c r="AC104" i="1" s="1"/>
  <c r="X102" i="1"/>
  <c r="Y102" i="1" s="1"/>
  <c r="X108" i="1"/>
  <c r="Y108" i="1" s="1"/>
  <c r="X96" i="1"/>
  <c r="Y96" i="1" s="1"/>
  <c r="AB100" i="1"/>
  <c r="AC100" i="1" s="1"/>
  <c r="AB157" i="1"/>
  <c r="AC157" i="1" s="1"/>
  <c r="BC157" i="1"/>
  <c r="BA157" i="1"/>
  <c r="X98" i="1"/>
  <c r="Y98" i="1" s="1"/>
  <c r="AB158" i="1"/>
  <c r="AC158" i="1" s="1"/>
  <c r="X158" i="1"/>
  <c r="Y158" i="1" s="1"/>
  <c r="X157" i="1"/>
  <c r="Y157" i="1" s="1"/>
  <c r="X106" i="1"/>
  <c r="Y106" i="1" s="1"/>
</calcChain>
</file>

<file path=xl/sharedStrings.xml><?xml version="1.0" encoding="utf-8"?>
<sst xmlns="http://schemas.openxmlformats.org/spreadsheetml/2006/main" count="1391" uniqueCount="482">
  <si>
    <t>商品名</t>
    <rPh sb="0" eb="3">
      <t>ショウヒンメイ</t>
    </rPh>
    <phoneticPr fontId="1"/>
  </si>
  <si>
    <t>現行</t>
    <rPh sb="0" eb="2">
      <t>ゲンコウ</t>
    </rPh>
    <phoneticPr fontId="2"/>
  </si>
  <si>
    <t>品目CD</t>
    <rPh sb="0" eb="2">
      <t>ヒンモク</t>
    </rPh>
    <phoneticPr fontId="1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</si>
  <si>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</si>
  <si>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</si>
  <si>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</si>
  <si>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</si>
  <si>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</si>
  <si>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</si>
  <si>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</si>
  <si>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</si>
  <si>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</si>
  <si>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</si>
  <si>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</si>
  <si>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</si>
  <si>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</si>
  <si>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</si>
  <si>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</si>
  <si>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</si>
  <si>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</si>
  <si>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</si>
  <si>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</si>
  <si>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</si>
  <si>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</si>
  <si>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</si>
  <si>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</si>
  <si>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</si>
  <si>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</si>
  <si>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</si>
  <si>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</si>
  <si>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</si>
  <si>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</si>
  <si>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</si>
  <si>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</si>
  <si>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</si>
  <si>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</si>
  <si>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</si>
  <si>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</si>
  <si>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</si>
  <si>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</si>
  <si>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</si>
  <si>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VD2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</si>
  <si>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</si>
  <si>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</si>
  <si>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</si>
  <si>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</si>
  <si>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</si>
  <si>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</si>
  <si>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新No.</t>
    <rPh sb="0" eb="1">
      <t>シン</t>
    </rPh>
    <phoneticPr fontId="2"/>
  </si>
  <si>
    <t>6月売価</t>
    <rPh sb="1" eb="2">
      <t>ガツ</t>
    </rPh>
    <rPh sb="2" eb="4">
      <t>バイカ</t>
    </rPh>
    <phoneticPr fontId="2"/>
  </si>
  <si>
    <t>たの
ｽﾗｲﾄﾞ</t>
    <phoneticPr fontId="2"/>
  </si>
  <si>
    <t>カウ
ｽﾗｲﾄﾞ</t>
    <phoneticPr fontId="2"/>
  </si>
  <si>
    <t>小売
価格
(税抜)</t>
    <rPh sb="7" eb="9">
      <t>ゼイヌ</t>
    </rPh>
    <phoneticPr fontId="1"/>
  </si>
  <si>
    <t>小売
価格
(税抜)
換算</t>
    <rPh sb="7" eb="9">
      <t>ゼイヌ</t>
    </rPh>
    <rPh sb="11" eb="13">
      <t>カンザン</t>
    </rPh>
    <phoneticPr fontId="1"/>
  </si>
  <si>
    <t>仕切</t>
    <rPh sb="0" eb="2">
      <t>シキ</t>
    </rPh>
    <phoneticPr fontId="2"/>
  </si>
  <si>
    <t>仕切
換算</t>
    <rPh sb="0" eb="2">
      <t>シキ</t>
    </rPh>
    <rPh sb="3" eb="5">
      <t>カンザン</t>
    </rPh>
    <phoneticPr fontId="2"/>
  </si>
  <si>
    <t>小売
価格
(税抜）</t>
    <rPh sb="7" eb="9">
      <t>ゼイヌ</t>
    </rPh>
    <phoneticPr fontId="1"/>
  </si>
  <si>
    <t>AS
換算
売価</t>
    <rPh sb="3" eb="5">
      <t>カンザン</t>
    </rPh>
    <rPh sb="6" eb="8">
      <t>バイカ</t>
    </rPh>
    <phoneticPr fontId="2"/>
  </si>
  <si>
    <t>J0109Y</t>
  </si>
  <si>
    <t>J700WK</t>
  </si>
  <si>
    <t>J699WK</t>
  </si>
  <si>
    <t>J706WK</t>
  </si>
  <si>
    <t>G)三菱鉛筆/ﾎﾜｲﾄﾎﾞｰﾄﾞﾏｰｶｰ 太字 黒/PWB7M.24</t>
  </si>
  <si>
    <t>G)三菱鉛筆/ﾎﾜｲﾄﾎﾞｰﾄﾞﾏｰｶｰ 太字 青/PWB7M.33</t>
  </si>
  <si>
    <t>三菱鉛筆/ﾕﾆﾎﾞｰﾙﾜﾝ 0.38mm ｲｴﾛｰ/UMNS38.2</t>
  </si>
  <si>
    <t>三菱鉛筆/ﾕﾆﾎﾞｰﾙﾜﾝ 0.38mm ｵﾚﾝｼﾞ/UMNS38.4</t>
  </si>
  <si>
    <t>三菱鉛筆/ﾕﾆﾎﾞｰﾙﾜﾝ 0.38mm ﾗｲﾑｸﾞﾘｰﾝ/UMNS38.5</t>
  </si>
  <si>
    <t>三菱鉛筆/ﾕﾆﾎﾞｰﾙﾜﾝ 0.38mm ｸﾞﾘｰﾝ/UMNS38.6</t>
  </si>
  <si>
    <t>三菱鉛筆/ﾕﾆﾎﾞｰﾙﾜﾝ 0.38mm ｸﾞﾘｰﾝﾌﾞﾗｯｸ/UMNS38.7</t>
  </si>
  <si>
    <t>三菱鉛筆/ﾕﾆﾎﾞｰﾙﾜﾝ 0.38mm ﾗｲﾄﾌﾞﾙｰ/UMNS38.8</t>
  </si>
  <si>
    <t>三菱鉛筆/ﾕﾆﾎﾞｰﾙﾜﾝ 0.38mm ﾊﾞｲｵﾚｯﾄ/UMNS38.12</t>
  </si>
  <si>
    <t>三菱鉛筆/ﾕﾆﾎﾞｰﾙﾜﾝ 0.38mm ﾋﾟﾝｸ/UMNS38.13</t>
  </si>
  <si>
    <t>三菱鉛筆/ﾕﾆﾎﾞｰﾙﾜﾝ 0.38mm 赤/UMNS38.15</t>
  </si>
  <si>
    <t>三菱鉛筆/ﾕﾆﾎﾞｰﾙﾜﾝ 0.38mm ﾌﾞﾗｳﾝﾌﾞﾗｯｸ/UMNS38.22</t>
  </si>
  <si>
    <t>三菱鉛筆/ﾕﾆﾎﾞｰﾙﾜﾝ 0.38mm 黒/UMNS38.24</t>
  </si>
  <si>
    <t>三菱鉛筆/ﾕﾆﾎﾞｰﾙﾜﾝ 0.38mm ｴﾒﾗﾙﾄﾞ/UMNS38.31</t>
  </si>
  <si>
    <t>三菱鉛筆/ﾕﾆﾎﾞｰﾙﾜﾝ 0.38mm 青/UMNS38.33</t>
  </si>
  <si>
    <t>三菱鉛筆/ﾕﾆﾎﾞｰﾙﾜﾝ 0.38mm ﾏﾝﾀﾞﾘﾝｵﾚﾝｼﾞ/UMNS38.38</t>
  </si>
  <si>
    <t>三菱鉛筆/ﾕﾆﾎﾞｰﾙﾜﾝ 0.38mm ﾛｲﾔﾙﾌﾞﾙｰ/UMNS38.40</t>
  </si>
  <si>
    <t>三菱鉛筆/ﾕﾆﾎﾞｰﾙﾜﾝ 0.38mm ｽｶｲﾌﾞﾙｰ/UMNS38.48</t>
  </si>
  <si>
    <t>三菱鉛筆/ﾕﾆﾎﾞｰﾙﾜﾝ 0.38mm ﾗｲﾄﾋﾟﾝｸ/UMNS38.51</t>
  </si>
  <si>
    <t>三菱鉛筆/ﾕﾆﾎﾞｰﾙﾜﾝ 0.38mm ﾎﾞﾙﾄﾞｰﾌﾞﾗｯｸ/UMNS38.60</t>
  </si>
  <si>
    <t>三菱鉛筆/ﾕﾆﾎﾞｰﾙﾜﾝ 0.38mm ﾌﾞﾙｰﾌﾞﾗｯｸ/UMNS38.64</t>
  </si>
  <si>
    <t>三菱鉛筆/ﾕﾆﾎﾞｰﾙﾜﾝ 0.38mm ﾍﾞﾋﾞｰﾋﾟﾝｸ/UMNS38.68</t>
  </si>
  <si>
    <t>三菱鉛筆/ﾕﾆﾎﾞｰﾙﾜﾝ 0.38mm 8色ｾｯﾄ/UMNS388C</t>
  </si>
  <si>
    <t>三菱鉛筆/ﾕﾆﾎﾞｰﾙﾜﾝ 0.38mm 黒(黒軸)/UMNS38BK.24</t>
  </si>
  <si>
    <t>三菱鉛筆/ﾕﾆﾎﾞｰﾙﾜﾝ 0.5mm ｲｴﾛｰ/UMNS05.2</t>
  </si>
  <si>
    <t>三菱鉛筆/ﾕﾆﾎﾞｰﾙﾜﾝ 0.5mm ｵﾚﾝｼﾞ/UMNS05.4</t>
  </si>
  <si>
    <t>三菱鉛筆/ﾕﾆﾎﾞｰﾙﾜﾝ 0.5mm ｸﾞﾘｰﾝ/UMNS05.6</t>
  </si>
  <si>
    <t>三菱鉛筆/ﾕﾆﾎﾞｰﾙﾜﾝ 0.5mm 赤/UMNS05.15</t>
  </si>
  <si>
    <t>三菱鉛筆/ﾕﾆﾎﾞｰﾙﾜﾝ 0.5mm 黒/UMNS05.24</t>
  </si>
  <si>
    <t>三菱鉛筆/ﾕﾆﾎﾞｰﾙﾜﾝ 0.5mm 青/UMNS05.33</t>
  </si>
  <si>
    <t>三菱鉛筆/ﾕﾆﾎﾞｰﾙﾜﾝ 0.5mm ｽｶｲﾌﾞﾙｰ/UMNS05.48</t>
  </si>
  <si>
    <t>三菱鉛筆/ﾕﾆﾎﾞｰﾙﾜﾝ 0.5mm ﾗｲﾄﾋﾟﾝｸ/UMNS05.51</t>
  </si>
  <si>
    <t>三菱鉛筆/ﾕﾆﾎﾞｰﾙﾜﾝ 0.5mm ﾌﾞﾙｰﾌﾞﾗｯｸ/UMNS05.64</t>
  </si>
  <si>
    <t>三菱鉛筆/ﾕﾆﾎﾞｰﾙﾜﾝ 0.5mm 黒(黒軸)/UMNS05BK.24</t>
  </si>
  <si>
    <t>三菱鉛筆/ｼｬｰﾌﾟ消しｺﾞﾑS 5個入/SKS</t>
  </si>
  <si>
    <t>G)三菱鉛筆/ﾕﾆﾎﾞｰﾙｼｸﾞﾉRTｴｺﾗｲﾀｰ 0.5mm黒/UMN-105EW</t>
  </si>
  <si>
    <t>G)三菱鉛筆/ﾎﾜｲﾄﾎﾞｰﾄﾞﾏｰｶｰ 中字丸芯 赤/PWB4M.15</t>
  </si>
  <si>
    <t>G)三菱鉛筆/ﾎﾜｲﾄﾎﾞｰﾄﾞﾏｰｶｰ 中字丸芯 黒/PWB4M.24</t>
  </si>
  <si>
    <t>三菱鉛筆/ﾕﾆﾎﾞｰﾙｼｸﾞﾉRT 極細 0.38mm 黒/UMN103.24</t>
  </si>
  <si>
    <t>三菱鉛筆/ﾕﾆﾎﾞｰﾙｼｸﾞﾉRT 極細 0.38mm 赤/UMN103.15</t>
  </si>
  <si>
    <t>三菱鉛筆/ﾕﾆﾎﾞｰﾙｼｸﾞﾉRT 極細 0.38mm 青/UMN103.33</t>
  </si>
  <si>
    <t>G)三菱鉛筆/Very楽ﾉｯｸ 太字 1.0mm 青/SN10010.33</t>
  </si>
  <si>
    <t>G)三菱鉛筆/Very楽ﾉｯｸ 極太 1.4mm 青/SN10014.33</t>
  </si>
  <si>
    <t>三菱鉛筆/ﾕﾆﾎﾞｰﾙｼｸﾞﾉ替芯 0.5mm 黒/UMR5.24</t>
  </si>
  <si>
    <t>三菱鉛筆/ﾕﾆﾎﾞｰﾙｼｸﾞﾉ替芯 0.5mm 赤/UMR5.15</t>
  </si>
  <si>
    <t>三菱鉛筆/ﾕﾆﾎﾞｰﾙｼｸﾞﾉ替芯 0.5mm 青/UMR5.33</t>
  </si>
  <si>
    <t>三菱鉛筆/ﾕﾆﾎﾞｰﾙｼｸﾞﾉ替芯 0.5mm ﾌﾞﾙｰﾌﾞﾗｯｸ/UMR5.64</t>
  </si>
  <si>
    <t>三菱鉛筆/ﾕﾆﾎﾞｰﾙｼｸﾞﾉ ｽﾀﾝﾀﾞｰﾄﾞ 0.8mm 銀/UM100.26</t>
  </si>
  <si>
    <t>三菱鉛筆/ｽﾀｲﾙﾌｨｯﾄ ﾘﾌｨﾙ 油性 0.5mm ﾌﾞﾗｯｸ/SXR8905.24</t>
  </si>
  <si>
    <t>三菱鉛筆/ｽﾀｲﾙﾌｨｯﾄ ﾘﾌｨﾙ 油性 0.5mm ﾚｯﾄﾞ/SXR8905.15</t>
  </si>
  <si>
    <t>三菱鉛筆/ｽﾀｲﾙﾌｨｯﾄ ﾘﾌｨﾙ 油性 0.5mm ﾌﾞﾙｰ/SXR8905.33</t>
  </si>
  <si>
    <t>三菱鉛筆/ｽﾀｲﾙﾌｨｯﾄ ﾘﾌｨﾙ 油性 0.7mm ﾚｯﾄﾞ/SXR8907.15</t>
  </si>
  <si>
    <t>三菱鉛筆/ｽﾀｲﾙﾌｨｯﾄ ﾘﾌｨﾙ 油性 0.7mm ﾌﾞﾙｰ/SXR8907.33</t>
  </si>
  <si>
    <t>三菱鉛筆/ｽﾀｲﾙﾌｨｯﾄ ﾘﾌｨﾙ 油性 0.7mm ﾌﾞﾗｯｸ/SXR8907.24</t>
  </si>
  <si>
    <t>三菱鉛筆/ｽﾀｲﾙﾌｨｯﾄ ﾘﾌｨﾙ 油性 1.0mm ﾌﾞﾗｯｸ/SXR8910.24</t>
  </si>
  <si>
    <t>三菱鉛筆/ﾕﾆﾎﾞｰﾙｼｸﾞﾉ ｽﾀﾝﾀﾞｰﾄﾞ 0.8mm 金/UM100.25</t>
  </si>
  <si>
    <t>三菱鉛筆/ﾕﾆﾎﾞｰﾙｼｸﾞﾉRT 極細 0.38mm ｵﾚﾝｼﾞ/UMN103.4</t>
  </si>
  <si>
    <t>三菱鉛筆/ﾌﾟﾛﾊﾟｽ ｳｨﾝﾄﾞｳ ｻｸﾗ/PUS102T.51</t>
  </si>
  <si>
    <t>三菱鉛筆/ﾌﾟﾛﾊﾟｽ ｳｨﾝﾄﾞｳ ﾔﾏﾌﾞｷ/PUS102T.3</t>
  </si>
  <si>
    <t>三菱鉛筆/ﾌﾟﾛﾊﾟｽ ｳｨﾝﾄﾞｳ ﾗｲﾑ/PUS102T.5</t>
  </si>
  <si>
    <t>三菱鉛筆/ﾕﾆﾎﾞｰﾙｼｸﾞﾉ ｽﾀﾝﾀﾞｰﾄﾞ 0.5mm ﾌﾞﾙｰﾌﾞﾗｯｸ</t>
  </si>
  <si>
    <t>三菱鉛筆/ﾌﾟﾛﾊﾟｽ ｳｨﾝﾄﾞｳ ｱｸｱ/PUS102T.32</t>
  </si>
  <si>
    <t>三菱鉛筆/ﾌﾟﾛﾊﾟｽ ｳｨﾝﾄﾞｳ ﾗﾍﾞﾝﾀﾞｰ/PUS102T.34</t>
  </si>
  <si>
    <t>三菱鉛筆/ﾌﾟﾛﾊﾟｽ ｳｨﾝﾄﾞｳ 5色ｾｯﾄ/PUS102T5C</t>
  </si>
  <si>
    <t>三菱鉛筆/ﾌﾟﾛﾊﾟｽ ｳｨﾝﾄﾞｳ ｿﾌﾄｶﾗｰ 5色ｾｯﾄ/PUS102T5CS</t>
  </si>
  <si>
    <t>三菱鉛筆/ｼｬｰﾌﾟ消しｺﾞﾑG 5個入/SKG</t>
  </si>
  <si>
    <t>三菱鉛筆/ｽﾀｲﾙﾌｨｯﾄ ﾘﾌｨﾙ 油性 1.0mm ﾚｯﾄﾞ/SXR8910.15</t>
  </si>
  <si>
    <t>三菱鉛筆/ｽﾀｲﾙﾌｨｯﾄ ﾘﾌｨﾙ 油性 1.0mm ﾌﾞﾙｰ/SXR8910.33</t>
  </si>
  <si>
    <t>三菱鉛筆/ﾌﾟﾛﾊﾟｽ ｳｨﾝﾄﾞｳ 3色ｾｯﾄ/PUS102T.3C</t>
  </si>
  <si>
    <t>三菱鉛筆/ﾕﾆﾎﾞｰﾙｼｸﾞﾉRT 0.5mm 黒/UMN105.24</t>
  </si>
  <si>
    <t>G)三菱鉛筆/Very ｼｬ楽 透明ﾋﾟﾝｸ/M5100T.13</t>
  </si>
  <si>
    <t>G)三菱鉛筆/Very ｼｬ楽 黒/M5100.24</t>
  </si>
  <si>
    <t>G)三菱鉛筆/Very ｼｬ楽 透明青/M5100T.33</t>
  </si>
  <si>
    <t>G)三菱鉛筆/Very楽ﾉｯｸ 細字 0.7mm 赤/SN10007.15</t>
  </si>
  <si>
    <t>G)三菱鉛筆/Very楽ﾉｯｸ 細字 0.7mm 黒/SN10007.24</t>
  </si>
  <si>
    <t>G)三菱鉛筆/Very楽ﾉｯｸ 極細 0.5mm 黒/SN10005.24</t>
  </si>
  <si>
    <t>G)三菱鉛筆/Very楽ﾉｯｸ 極細 0.5mm 赤/SN10005.15</t>
  </si>
  <si>
    <t>G)三菱鉛筆/Very楽ﾉｯｸ 細字 0.7mm 青/SN10007.33</t>
  </si>
  <si>
    <t>G)三菱鉛筆/Very楽ﾉｯｸ 太字 1.0mm 赤/SN10010.15</t>
  </si>
  <si>
    <t>G)三菱鉛筆/Very楽ﾉｯｸ 太字 1.0mm 黒/SN10010.24</t>
  </si>
  <si>
    <t>G)三菱鉛筆/Very楽ﾉｯｸ 極太 1.4mm 赤/SN10014.15</t>
  </si>
  <si>
    <t>G)三菱鉛筆/Very楽ﾉｯｸ 極細 0.5mm 青/SN10005.33</t>
  </si>
  <si>
    <t>三菱鉛筆/ﾌﾟﾛﾊﾟｽ ｳｨﾝﾄﾞｳ 桃/PUS102T.13</t>
  </si>
  <si>
    <t>三菱鉛筆/ﾌﾟﾛﾊﾟｽ ｳｨﾝﾄﾞｳ 黄/PUS102T.2</t>
  </si>
  <si>
    <t>三菱鉛筆/ﾌﾟﾛﾊﾟｽ ｳｨﾝﾄﾞｳ 橙/PUS102T.4</t>
  </si>
  <si>
    <t>G)三菱鉛筆/Very楽ﾉｯｸ 極太 1.4mm 黒/SN10014.24</t>
  </si>
  <si>
    <t>三菱鉛筆/ﾌﾟﾛﾊﾟｽ ｳｨﾝﾄﾞｳ 緑/PUS102T.6</t>
  </si>
  <si>
    <t>三菱鉛筆/ﾌﾟﾛﾊﾟｽ ｳｨﾝﾄﾞｳ 空色/PUS102T.48</t>
  </si>
  <si>
    <t>G)三菱鉛筆/ﾕﾆﾎﾞｰﾙｼｸﾞﾉ ｴｺﾗｲﾀｰ 0.5mm 黒/UM100EW.24</t>
  </si>
  <si>
    <t>G)三菱鉛筆/ﾕﾆﾎﾞｰﾙｼｸﾞﾉ ｴｺﾗｲﾀｰ 0.5mm 赤/UM100EW.15</t>
  </si>
  <si>
    <t>G)三菱鉛筆/ﾕﾆﾎﾞｰﾙｼｸﾞﾉ ｴｺﾗｲﾀｰ 0.5mm 青/UM100EW.33</t>
  </si>
  <si>
    <t>G)三菱鉛筆/ﾎﾜｲﾄﾎﾞｰﾄﾞﾏｰｶｰ 細字丸芯 黒/PWB2M.24</t>
  </si>
  <si>
    <t>G)三菱鉛筆/ﾎﾜｲﾄﾎﾞｰﾄﾞﾏｰｶｰ 細字丸芯 赤/PWB2M.15</t>
  </si>
  <si>
    <t>G)三菱鉛筆/ﾎﾜｲﾄﾎﾞｰﾄﾞﾏｰｶｰ 細字丸芯 青/PWB2M.33</t>
  </si>
  <si>
    <t>三菱鉛筆/ﾕﾆﾎﾞｰﾙﾜﾝ 0.38mm ﾌｨｰｶｶﾗｰ8色ｾｯﾄ/UMNS38FC8C</t>
  </si>
  <si>
    <t>G)三菱鉛筆/ﾕﾆﾎﾞｰﾙｼｸﾞﾉ RTｴｺﾗｲﾀｰ UMN-105 EW 青</t>
  </si>
  <si>
    <t>三菱鉛筆/ﾕﾆﾎﾞｰﾙｼｸﾞﾉ ｽﾀﾝﾀﾞｰﾄﾞ UM-100 黒</t>
  </si>
  <si>
    <t>三菱鉛筆/ﾍﾞﾘｰ楽ﾗｸｼﾘｰｽﾞ ｼｬｰﾌﾟ M5-100Z 黒 24</t>
  </si>
  <si>
    <t>JZ9926</t>
  </si>
  <si>
    <t>三菱鉛筆/ﾕﾆﾎﾞｰﾙﾜﾝ 0.38mm ｲｴﾛｰ 10本/UMNS38.2</t>
  </si>
  <si>
    <t>三菱鉛筆/ﾕﾆﾎﾞｰﾙﾜﾝ 0.38mm ｵﾚﾝｼﾞ 10本/UMNS38.4</t>
  </si>
  <si>
    <t>三菱鉛筆/ﾕﾆﾎﾞｰﾙﾜﾝ 0.38mm ﾗｲﾑｸﾞﾘｰﾝ 10本/UMNS38.5</t>
  </si>
  <si>
    <t>三菱鉛筆/ﾕﾆﾎﾞｰﾙﾜﾝ 0.38mm ｸﾞﾘｰﾝ 10本/UMNS38.6</t>
  </si>
  <si>
    <t>三菱鉛筆/ﾕﾆﾎﾞｰﾙﾜﾝ 0.38mm ｸﾞﾘｰﾝﾌﾞﾗｯｸ 10本/UMNS38.7</t>
  </si>
  <si>
    <t>三菱鉛筆/ﾕﾆﾎﾞｰﾙﾜﾝ 0.38mm ﾗｲﾄﾌﾞﾙｰ 10本/UMNS38.8</t>
  </si>
  <si>
    <t>三菱鉛筆/ﾕﾆﾎﾞｰﾙﾜﾝ 0.38mm ﾊﾞｲｵﾚｯﾄ 10本/UMNS38.12</t>
  </si>
  <si>
    <t>三菱鉛筆/ﾕﾆﾎﾞｰﾙﾜﾝ 0.38mm ﾋﾟﾝｸ 10本/UMNS38.13</t>
  </si>
  <si>
    <t>三菱鉛筆/ﾕﾆﾎﾞｰﾙﾜﾝ 0.38mm 赤 10本/UMNS38.15</t>
  </si>
  <si>
    <t>三菱鉛筆/ﾕﾆﾎﾞｰﾙﾜﾝ 0.38mm ﾌﾞﾗｳﾝﾌﾞﾗｯｸ 10本/UMNS38.22</t>
  </si>
  <si>
    <t>三菱鉛筆/ﾕﾆﾎﾞｰﾙﾜﾝ 0.38mm 黒 10本/UMNS38.24</t>
  </si>
  <si>
    <t>三菱鉛筆/ﾕﾆﾎﾞｰﾙﾜﾝ 0.38mm ｴﾒﾗﾙﾄﾞ 10本/UMNS38.31</t>
  </si>
  <si>
    <t>三菱鉛筆/ﾕﾆﾎﾞｰﾙﾜﾝ 0.38mm 青 10本/UMNS38.33</t>
  </si>
  <si>
    <t>三菱鉛筆/ﾕﾆﾎﾞｰﾙﾜﾝ 0.38mm ﾏﾝﾀﾞﾘﾝｵﾚﾝｼﾞ10本/UMNS38.38</t>
  </si>
  <si>
    <t>三菱鉛筆/ﾕﾆﾎﾞｰﾙﾜﾝ 0.38mm ﾛｲﾔﾙﾌﾞﾙｰ 10本/UMNS38.40</t>
  </si>
  <si>
    <t>三菱鉛筆/ﾕﾆﾎﾞｰﾙﾜﾝ 0.38mm ｽｶｲﾌﾞﾙｰ 10本/UMNS38.48</t>
  </si>
  <si>
    <t>三菱鉛筆/ﾕﾆﾎﾞｰﾙﾜﾝ 0.38mm ﾗｲﾄﾋﾟﾝｸ 10本/UMNS38.51</t>
  </si>
  <si>
    <t>三菱鉛筆/ﾕﾆﾎﾞｰﾙﾜﾝ 0.38mm ﾎﾞﾙﾄﾞｰﾌﾞﾗｯｸ10本/UMNS38.60</t>
  </si>
  <si>
    <t>三菱鉛筆/ﾕﾆﾎﾞｰﾙﾜﾝ 0.38mm ﾌﾞﾙｰﾌﾞﾗｯｸ 10本/UMNS38.64</t>
  </si>
  <si>
    <t>三菱鉛筆/ﾕﾆﾎﾞｰﾙﾜﾝ 0.38mm ﾍﾞﾋﾞｰﾋﾟﾝｸ 10本/UMNS38.68</t>
  </si>
  <si>
    <t>三菱鉛筆/ﾕﾆﾎﾞｰﾙﾜﾝ 0.38mm 黒(黒軸) 10本/UMNS38BK.24</t>
  </si>
  <si>
    <t>三菱鉛筆/ﾕﾆﾎﾞｰﾙﾜﾝ 0.5mm ｲｴﾛｰ 10本/UMNS05.2</t>
  </si>
  <si>
    <t>三菱鉛筆/ﾕﾆﾎﾞｰﾙﾜﾝ 0.5mm ｵﾚﾝｼﾞ 10本/UMNS05.4</t>
  </si>
  <si>
    <t>三菱鉛筆/ﾕﾆﾎﾞｰﾙﾜﾝ 0.5mm ｸﾞﾘｰﾝ 10本/UMNS05.6</t>
  </si>
  <si>
    <t>三菱鉛筆/ﾕﾆﾎﾞｰﾙﾜﾝ 0.5mm 赤 10本/UMNS05.15</t>
  </si>
  <si>
    <t>三菱鉛筆/ﾕﾆﾎﾞｰﾙﾜﾝ 0.5mm 黒 10本/UMNS05.24</t>
  </si>
  <si>
    <t>三菱鉛筆/ﾕﾆﾎﾞｰﾙﾜﾝ 0.5mm 青 10本/UMNS05.33</t>
  </si>
  <si>
    <t>三菱鉛筆/ﾕﾆﾎﾞｰﾙﾜﾝ 0.5mm ｽｶｲﾌﾞﾙｰ 10本/UMNS05.48</t>
  </si>
  <si>
    <t>三菱鉛筆/ﾕﾆﾎﾞｰﾙﾜﾝ 0.5mm ﾗｲﾄﾋﾟﾝｸ 10本/UMNS05.51</t>
  </si>
  <si>
    <t>三菱鉛筆/ﾕﾆﾎﾞｰﾙﾜﾝ 0.5mm ﾌﾞﾙｰﾌﾞﾗｯｸ 10本/UMNS05.64</t>
  </si>
  <si>
    <t>三菱鉛筆/ﾕﾆﾎﾞｰﾙﾜﾝ 0.5mm 黒(黒軸) 10本/UMNS05BK.24</t>
  </si>
  <si>
    <t>G)三菱鉛筆/ﾕﾆﾎﾞｰﾙｼｸﾞﾉRTｴｺﾗｲﾀｰ0.5mm黒10本/UMN-105EW</t>
  </si>
  <si>
    <t>G)三菱鉛筆/ﾎﾜｲﾄﾎﾞｰﾄﾞﾏｰｶｰ 中字丸芯 赤 10本/PWB4M.15</t>
  </si>
  <si>
    <t>G)三菱鉛筆/ﾎﾜｲﾄﾎﾞｰﾄﾞﾏｰｶｰ 中字丸芯 黒 10本/PWB4M.24</t>
  </si>
  <si>
    <t>三菱鉛筆/ﾕﾆﾎﾞｰﾙｼｸﾞﾉRT 極細 0.38mm 黒 10本</t>
  </si>
  <si>
    <t>三菱鉛筆/ﾕﾆﾎﾞｰﾙｼｸﾞﾉRT 極細 0.38mm 赤 10本</t>
  </si>
  <si>
    <t>三菱鉛筆/ﾕﾆﾎﾞｰﾙｼｸﾞﾉRT 極細 0.38mm 青 10本</t>
  </si>
  <si>
    <t>G)三菱鉛筆/Very楽ﾉｯｸ 太字 1.0mm 青 10本/SN10010.33</t>
  </si>
  <si>
    <t>G)三菱鉛筆/Very楽ﾉｯｸ 極太 1.4mm 青 10本/SN10014.33</t>
  </si>
  <si>
    <t>三菱鉛筆/ﾕﾆﾎﾞｰﾙｼｸﾞﾉ替芯 0.5mm 黒 10本/UMR5.24</t>
  </si>
  <si>
    <t>三菱鉛筆/ﾕﾆﾎﾞｰﾙｼｸﾞﾉ替芯 0.5mm 赤 10本/UMR5.15</t>
  </si>
  <si>
    <t>三菱鉛筆/ﾕﾆﾎﾞｰﾙｼｸﾞﾉ替芯 0.5mm 青 10本/UMR5.33</t>
  </si>
  <si>
    <t>三菱鉛筆/ﾕﾆﾎﾞｰﾙｼｸﾞﾉ替芯 0.5mm ﾌﾞﾙｰﾌﾞﾗｯｸ 10本</t>
  </si>
  <si>
    <t>三菱鉛筆/ﾕﾆﾎﾞｰﾙｼｸﾞﾉ ｽﾀﾝﾀﾞｰﾄﾞ 0.5mm ﾌﾞﾙｰﾌﾞﾗｯｸ 10本</t>
  </si>
  <si>
    <t>★ﾌﾟﾚｾﾞﾝﾄ/合せ買いｷｬﾝﾍﾟｰﾝ/三菱/ﾌﾟﾛﾊﾟｽ ｳｨﾝﾄﾞｳ ｱｸｱ</t>
  </si>
  <si>
    <t>三菱鉛筆/ﾕﾆﾎﾞｰﾙｼｸﾞﾉRT 0.5mm 黒 10本/UMN105.24</t>
  </si>
  <si>
    <t>G)三菱鉛筆/Very ｼｬ楽 透明ﾋﾟﾝｸ 10本/M5100T.13</t>
  </si>
  <si>
    <t>G)三菱鉛筆/Very ｼｬ楽 黒 10本/M5100.24</t>
  </si>
  <si>
    <t>G)三菱鉛筆/Very ｼｬ楽 透明青 10本/M5100T.33</t>
  </si>
  <si>
    <t>G)三菱鉛筆/Very楽ﾉｯｸ 細字 0.7mm 赤 10本/SN10007.15</t>
  </si>
  <si>
    <t>G)三菱鉛筆/Very楽ﾉｯｸ 細字 0.7mm 黒 10本/SN10007.24</t>
  </si>
  <si>
    <t>G)三菱鉛筆/Very楽ﾉｯｸ 極細 0.5mm 黒 10本/SN10005.24</t>
  </si>
  <si>
    <t>G)三菱鉛筆/Very楽ﾉｯｸ 極細 0.5mm 赤 10本/SN10005.15</t>
  </si>
  <si>
    <t>G)三菱鉛筆/Very楽ﾉｯｸ 細字 0.7mm 青 10本/SN10007.33</t>
  </si>
  <si>
    <t>G)三菱鉛筆/Very楽ﾉｯｸ 太字 1.0mm 赤 10本/SN10010.15</t>
  </si>
  <si>
    <t>G)三菱鉛筆/Very楽ﾉｯｸ 太字 1.0mm 黒 10本/SN10010.24</t>
  </si>
  <si>
    <t>G)三菱鉛筆/Very楽ﾉｯｸ 極太 1.4mm 赤 10本/SN10014.15</t>
  </si>
  <si>
    <t>G)三菱鉛筆/Very楽ﾉｯｸ 極細 0.5mm 青 10本/SN10005.33</t>
  </si>
  <si>
    <t>G)三菱鉛筆/Very楽ﾉｯｸ 極太 1.4mm 黒 10本/SN10014.24</t>
  </si>
  <si>
    <t>G)三菱鉛筆/ﾕﾆﾎﾞｰﾙｼｸﾞﾉ ｴｺﾗｲﾀｰ 0.5mm 黒 10本</t>
  </si>
  <si>
    <t>G)三菱鉛筆/ﾕﾆﾎﾞｰﾙｼｸﾞﾉ ｴｺﾗｲﾀｰ 0.5mm 赤 10本</t>
  </si>
  <si>
    <t>G)三菱鉛筆/ﾕﾆﾎﾞｰﾙｼｸﾞﾉ ｴｺﾗｲﾀｰ 0.5mm 青 10本</t>
  </si>
  <si>
    <t>31/111</t>
  </si>
  <si>
    <t>34/107</t>
  </si>
  <si>
    <t>34/96</t>
  </si>
  <si>
    <t>34/109</t>
  </si>
  <si>
    <t>34/132</t>
  </si>
  <si>
    <t>34/136</t>
  </si>
  <si>
    <t>34/111</t>
  </si>
  <si>
    <t>-</t>
  </si>
  <si>
    <t>430441</t>
  </si>
  <si>
    <t>三菱鉛筆(uni)　ホワイトボードマーカー　太字丸芯　黒　PWB7M</t>
  </si>
  <si>
    <t>三菱鉛筆(uni) ホワイトボードマーカー 太字丸芯 青 PWB7M</t>
  </si>
  <si>
    <t>三菱鉛筆 ユニボールONE038イエロー UMNS38.2 1セット(30本)（直送品）</t>
  </si>
  <si>
    <t>ゲルインクボールペン ユニボールワン 0.38mm オレンジ UMNS38.4 三菱鉛筆uni ユニ 3本</t>
  </si>
  <si>
    <t>三菱鉛筆 ユニボールONE038ライムグリーン UMNS38.5 1セット(30本)（直送品）</t>
  </si>
  <si>
    <t>三菱鉛筆 ユニボールONE038グリーン UMNS38.6 1セット(30本)（直送品）</t>
  </si>
  <si>
    <t>ゲルインクボールペン ユニボールワン 0.38mm グリーンブラック 緑 UMNS38.7 三菱鉛筆uni ユニ 3本</t>
  </si>
  <si>
    <t>三菱鉛筆 ユニボールONE038ライトブルー UMNS38.8 1セット(30本)（直送品）</t>
  </si>
  <si>
    <t>三菱鉛筆 ユニボールONE038バイオレット UMNS38.12 1セット(30本)（直送品）</t>
  </si>
  <si>
    <t>三菱鉛筆 ユニボールONE038ピンク UMNS38.13 1セット(30本)（直送品）</t>
  </si>
  <si>
    <t>ゲルインクボールペン ユニボールワン 0.38ミリ 赤 UMNS38.15 三菱鉛筆uni ユニ</t>
  </si>
  <si>
    <t>ゲルインクボールペン ユニボールワン 0.38ミリ ブラウンブラック 茶色 UMNS38.22 三菱鉛筆uni ユニ 3本</t>
  </si>
  <si>
    <t>ゲルインクボールペン ユニボールワン 0.38ミリ 黒 UMNS38.24 三菱鉛筆uni ユニ</t>
  </si>
  <si>
    <t>三菱鉛筆 ユニボールONE038エメラルド UMNS38.31 1セット(30本)（直送品）</t>
  </si>
  <si>
    <t>ゲルインクボールペン ユニボールワン 0.38ミリ 青 UMNS38.33 三菱鉛筆uni ユニ</t>
  </si>
  <si>
    <t>三菱鉛筆 ユニボールONE038マンダリンオレンジ UMNS38.38 1セット(30本)（直送品）</t>
  </si>
  <si>
    <t>三菱鉛筆 ユニボールONE038ロイヤルブルー UMNS38.40 1セット(30本)（直送品）</t>
  </si>
  <si>
    <t>三菱鉛筆 ユニボールONE038スカイブルー UMNS38.48 1セット(30本)（直送品）</t>
  </si>
  <si>
    <t>三菱鉛筆 ユニボールONE038ライトピンク UMNS38.51 1セット(30本)（直送品）</t>
  </si>
  <si>
    <t>三菱鉛筆 ユニボールONE038ボルドーブラック UMNS38.60 1セット(30本)（直送品）</t>
  </si>
  <si>
    <t>三菱鉛筆 ユニボールＯＮＥ０３８ブルーブラック UMNS38.64 30本（直送品）</t>
  </si>
  <si>
    <t>三菱鉛筆 ユニボールONE038ベビーピンク UMNS38.68 1セット(30本)（直送品）</t>
  </si>
  <si>
    <t>ゲルインクボールペン ユニボールワン 0.38ミリ 8色セット UMNS388C 三菱鉛筆uni ユニ</t>
  </si>
  <si>
    <t>ゲルインクボールペン ユニボールワン 0.38ミリ 黒（黒軸） UMNS38BK.24 三菱鉛筆 uni ユニ</t>
  </si>
  <si>
    <t>三菱鉛筆 ユニボールＯＮＥ０５イエロー UMNS05.2 30本（直送品）</t>
  </si>
  <si>
    <t>三菱鉛筆 ユニボールONE05オレンジ UMNS05.4 1セット(30本)（直送品）</t>
  </si>
  <si>
    <t>三菱鉛筆 ユニボールONE05グリーン UMNS05.6 1セット(30本)（直送品）</t>
  </si>
  <si>
    <t>ゲルインクボールペン ユニボールワン 0.5ミリ 赤 UMNS05.15 三菱鉛筆uni ユニ</t>
  </si>
  <si>
    <t>ゲルインクボールペン ユニボールワン 0.5ミリ 黒 UMNS05.24 三菱鉛筆uni ユニ</t>
  </si>
  <si>
    <t>ゲルインクボールペン ユニボールワン 0.5ミリ 青 UMNS05.33 三菱鉛筆uni ユニ</t>
  </si>
  <si>
    <t>三菱鉛筆 ユニボールONE05スカイブルー UMNS05.48 1セット(30本)（直送品）</t>
  </si>
  <si>
    <t>三菱鉛筆 ユニボールONE05ライトピンク UMNS05.51 1セット(30本)（直送品）</t>
  </si>
  <si>
    <t>ゲルインクボールペン ユニボールワン 0.5ミリ ブルーブラック 紺 UMNS05.64 三菱鉛筆uni ユニ</t>
  </si>
  <si>
    <t>ゲルインクボールペン ユニボールワン 0.5ミリ 黒（黒軸） UMNS05BK.24 三菱鉛筆uni ユニ</t>
  </si>
  <si>
    <t>三菱鉛筆 シャープ消しゴムS SKS 1パック(5個入)</t>
  </si>
  <si>
    <t>三菱鉛筆(uni) ゲルインクボールペンユニボール シグノRT（ノック式エコライター） 0.5mm 黒インク</t>
  </si>
  <si>
    <t>三菱鉛筆(uni)　ホワイトボードマーカー　中字丸芯　赤　PWB4M</t>
  </si>
  <si>
    <t>三菱鉛筆(uni)　ホワイトボードマーカー　中字丸芯　黒　PWB4M</t>
  </si>
  <si>
    <t>三菱鉛筆(uni)　シグノRT極細　0.38mm　黒インク　UMN103.24</t>
  </si>
  <si>
    <t>三菱鉛筆(uni) シグノRT極細 0.38mm 赤インク UMN103.15</t>
  </si>
  <si>
    <t>三菱鉛筆(uni) シグノRT極細 0.38mm 青インク UMN103.33</t>
  </si>
  <si>
    <t>三菱鉛筆(uni) VERY楽ノック SN-100 1.0mm 青</t>
  </si>
  <si>
    <t>三菱鉛筆 VERY楽ノック ボールペン 油性 ノック式 ユニ 1.4mm 太字 青 SN10014.33 1セット（3本入り）（直送品）</t>
  </si>
  <si>
    <t>三菱鉛筆(uni) ゲルインクボールペン替芯 シグノ 0.5mm UMR-5 黒 1本</t>
  </si>
  <si>
    <t>三菱鉛筆(uni) ゲルインクボールペン替芯 シグノ 0.5mm UMR-5 赤 1本</t>
  </si>
  <si>
    <t>三菱鉛筆(uni) ゲルインクボールペン替芯 シグノ 0.5mm UMR-5 青 1本</t>
  </si>
  <si>
    <t>三菱鉛筆 ゲルインクボールペン 替芯 シグノ 0.5mm UMRー5 ブルーブラック UMR5.64 1セット(10本)（直送品）</t>
  </si>
  <si>
    <t>三菱鉛筆 ユニボールシグノＵＭー１００　銀 UM-100.26 1本</t>
  </si>
  <si>
    <t>ボールペン替芯 スタイルフィットリフィル ジェットストリームインク 0.5mm 黒 SXR-89-05 三菱鉛筆uni ユニ</t>
  </si>
  <si>
    <t>三菱鉛筆 油性BP替芯0.5mm SXR8905.15 赤 SXR-89-05-15 1本（直送品）</t>
  </si>
  <si>
    <t>三菱鉛筆 油性BP替芯0.5mm SXR8905.33 青 SXR-89-05-33 1本（直送品）</t>
  </si>
  <si>
    <t>三菱鉛筆 スタイルフィットBP替芯0.7 赤 SXR8907.15 1セット(50本)（直送品）</t>
  </si>
  <si>
    <t>三菱鉛筆(uni)　スタイルフィットリフィル芯　ジェットストリームインク　0.7mm　青　SXR-89-07　10本（直送品）</t>
  </si>
  <si>
    <t>三菱鉛筆 油性BP替芯0.7mm SXR8907.24 黒 SXR-89-07-24 1セット(50本)（直送品）</t>
  </si>
  <si>
    <t>三菱鉛筆uni JETSTREAM（ジェットストリーム） 油性ボールペン替芯 1.0mm 黒 SXR8910.24 13本（直送品）</t>
  </si>
  <si>
    <t>三菱鉛筆 ユニボールシグノUMー100 金 UM-100.25 1本</t>
  </si>
  <si>
    <t>三菱鉛筆 ユニボールシグノノック式 オレンジ UMN103.4 1セット(30本)（直送品）</t>
  </si>
  <si>
    <t>三菱鉛筆 プロパス PUSー102T サクラ PUS102T.51 1セット(30本)（直送品）</t>
  </si>
  <si>
    <t>三菱鉛筆 プロパス PUSー102T ヤマブキ 3 PUS102T.3 1セット(30本)（直送品）</t>
  </si>
  <si>
    <t>三菱鉛筆 プロパス PUSー102T ライム 5 PUS102T.5 1セット(30本)（直送品）</t>
  </si>
  <si>
    <t>三菱鉛筆 プロパス PUSー102T アクア PUS102T.32 1セット(30本)（直送品）</t>
  </si>
  <si>
    <t>三菱鉛筆 プロパス PUSー102T ラベンダー PUS102T.34 1セット(30本)（直送品）</t>
  </si>
  <si>
    <t>三菱鉛筆（uni） プロパスウィンドウ スタンダードカラー PUS102T5C 桃・橙・黄・緑・空色 5色セット</t>
  </si>
  <si>
    <t>三菱鉛筆 プロパスウィンドウ 5色セット ソフトカラー PUS102T5CS 1セット</t>
  </si>
  <si>
    <t>三菱鉛筆uni JETSTREAM（ジェットストリーム） 油性ボールペン替芯 1.0mm 赤 SXR8910.15 13本（直送品）</t>
  </si>
  <si>
    <t>三菱鉛筆uni JETSTREAM（ジェットストリーム） 油性ボールペン替芯 1.0mm 青 SXR8910.33 13本（直送品）</t>
  </si>
  <si>
    <t>三菱鉛筆 プロパス・ウインドウ PUS-102T 水性 3色セット PUS102T3C 1セット</t>
  </si>
  <si>
    <t>三菱鉛筆 ユニボールシグノノック式 黒 UMN105.24 1本</t>
  </si>
  <si>
    <t>三菱鉛筆(uni)　シャープペン　VERYシャ楽　透明桃　M5100T.13　3本　（直送品）</t>
  </si>
  <si>
    <t>三菱シャープ(uni)　VERYシャ楽 M5-100　黒軸</t>
  </si>
  <si>
    <t>三菱シャープ(uni)　VERYシャ楽 M5-100　青軸</t>
  </si>
  <si>
    <t>三菱鉛筆(uni)　VERY楽ノック SN-100　0.7mm　赤</t>
  </si>
  <si>
    <t>三菱鉛筆(uni)　VERY楽ノック SN-100　0.7mm　黒</t>
  </si>
  <si>
    <t>三菱鉛筆(uni)　VERY楽ノック SN-100　0.5mm　黒　1本</t>
  </si>
  <si>
    <t>三菱鉛筆(uni) VERY楽ノック SN-100 0.5mm 赤</t>
  </si>
  <si>
    <t>油性ボールペン VERY楽ノック 0.7mm 青 ノック式 SN-100ー07 三菱鉛筆uniユニ</t>
  </si>
  <si>
    <t>三菱鉛筆(uni) VERY楽ノック SN-100 1.0mm 赤</t>
  </si>
  <si>
    <t>油性ボールペン VERY楽ノック 1.0mm 黒 ノック式 SN-100-10 三菱鉛筆uniユニ</t>
  </si>
  <si>
    <t>三菱鉛筆 VERY楽ノック ボールペン 油性 ノック式 ユニ 1.4mm 太字 赤 SN10014.15 1セット（3本入り）（直送品）</t>
  </si>
  <si>
    <t>三菱鉛筆(uni) VERY楽ノック SN-100 0.5mm 青</t>
  </si>
  <si>
    <t>三菱鉛筆(uni) 蛍光ペン プロパスウインドウ 桃（ピンク） PUS102T.13 1本</t>
  </si>
  <si>
    <t>三菱鉛筆(uni)　蛍光ペン　プロパスウインドウ　黄　PUS102T.2　1本</t>
  </si>
  <si>
    <t>三菱鉛筆(uni) 蛍光ペン プロパスウインドウ 橙（オレンジ） PUS102T.4 1本</t>
  </si>
  <si>
    <t>三菱鉛筆 VERY楽ノック ボールペン 油性 ユニ 1.4mm 太字 黒 SN10014.24 1セット（3本入り）（直送品）</t>
  </si>
  <si>
    <t>三菱鉛筆 蛍光ペン プロパスウインドウ PUSー102T 緑 PUS102T.6 1本</t>
  </si>
  <si>
    <t>三菱鉛筆(uni) 蛍光ペン プロパスウインドウ 空色（スカイブルー） PUS102T.48 1本</t>
  </si>
  <si>
    <t>三菱鉛筆(uni)　ゲルインクボールペン　ユニボールシグノ（エコライター）　0.5mm　黒インク　UM100EW.24</t>
  </si>
  <si>
    <t>三菱鉛筆(uni) ゲルインクボールペン ユニボールシグノ（エコライター） 0.5mm 赤インク UM100EW.15</t>
  </si>
  <si>
    <t>三菱鉛筆(uni) ゲルインクボールペン ユニボールシグノ（エコライター） 0.5mm 青インク UM100EW.33</t>
  </si>
  <si>
    <t>三菱鉛筆(uni)　ホワイトボードマーカー　細字丸芯　黒　PWB2M</t>
  </si>
  <si>
    <t>三菱鉛筆(uni)　ホワイトボードマーカー　細字丸芯　赤　PWB2M</t>
  </si>
  <si>
    <t>三菱鉛筆(uni) ホワイトボードマーカー 細字丸芯 青 PWB2M</t>
  </si>
  <si>
    <t>ゲルインクボールペン ユニボールシグノRT ノック式エコライター 0.5ミリ 青 UMN105EW.33 三菱鉛筆uniユニ</t>
  </si>
  <si>
    <t>三菱鉛筆 ユニボールシグノUMー100 黒 UM-100.24 1本</t>
  </si>
  <si>
    <t>三菱鉛筆 VERYシャ楽 M5ー100Z 黒 M5100Z.24 1本</t>
  </si>
  <si>
    <t>ゲルインクボールペン ユニボールワン 0.38ミリ 赤 １０本 UMNS38.15 三菱鉛筆uni ユニ</t>
  </si>
  <si>
    <t>ゲルインクボールペン ユニボールワン 0.38ミリ 青 10本 UMNS38.33 三菱鉛筆 uni ユニ</t>
  </si>
  <si>
    <t>ゲルインクボールペン ユニボールワン 0.38ミリ 黒（黒軸） 10本 UMNS38BK.24 三菱鉛筆 uni ユニ</t>
  </si>
  <si>
    <t>ゲルインクボールペン ユニボールワン 0.5ミリ 赤 ３本 UMNS05.15 三菱鉛筆uni ユニ</t>
  </si>
  <si>
    <t>ゲルインクボールペン ユニボールシグノRT ノック式エコライター 0.5ミリ 黒 10本 UMN105EW.24 三菱鉛筆uni</t>
  </si>
  <si>
    <t>三菱鉛筆(uni)　ホワイトボードマーカー　中字丸芯　赤　PWB4M　10本</t>
  </si>
  <si>
    <t>三菱鉛筆(uni)　ホワイトボードマーカー　中字丸芯　黒　PWB4M　10本</t>
  </si>
  <si>
    <t>ゲルインクボールペン ユニボールシグノRT 極細 0.38mm 黒 10本 UMN103.24 三菱鉛筆uniユニ</t>
  </si>
  <si>
    <t>ゲルインクボールペン ユニボールシグノRT 極細 0.38mm 赤 10本 UMN103.15 三菱鉛筆uniユニ</t>
  </si>
  <si>
    <t>ゲルインクボールペン ユニボールシグノRT 極細 0.38ミリ 青 10本 UMN103.33 三菱鉛筆uniユニ</t>
  </si>
  <si>
    <t>ボールペン替芯 シグノ単色用 0.5mm 黒 ゲルインク 10本 UMR-5 三菱鉛筆uni ユニ</t>
  </si>
  <si>
    <t>ボールペン替芯 シグノ単色用 0.5mm 赤 ゲルインク 10本 UMR-5 三菱鉛筆uni ユニ</t>
  </si>
  <si>
    <t>ボールペン替芯 シグノ単色用 0.5mm 青 ゲルインク 10本 UMR-5 三菱鉛筆uni ユニ</t>
  </si>
  <si>
    <t>三菱鉛筆 ユニボールシグノノック式 黒 UMN105.24 1セット(30本)</t>
  </si>
  <si>
    <t>三菱鉛筆(uni) シャープペン VERYシャ楽 M5-100 0.5mm 業務用パック 1箱（10本入） 黒軸</t>
  </si>
  <si>
    <t>三菱鉛筆(uni) シャープペン VERYシャ楽 M5-100 0.5mm 業務用パック 1箱（10本入） 青軸</t>
  </si>
  <si>
    <t>三菱鉛筆(uni)　VERY楽ノック SN-100　0.7mm　赤　1箱(10本入）</t>
  </si>
  <si>
    <t>油性ボールペン VERY楽ノック 0.7mm 黒 10本 ノック式 SN-100-07 三菱鉛筆uniユニ</t>
  </si>
  <si>
    <t>油性ボールペン VERY楽ノック 0.7mm 青 10本 ノック式 SN-100-07 三菱鉛筆uniユニ</t>
  </si>
  <si>
    <t>ゲルインクボールペン ユニボールシグノ エコライター 0.5ミリ 黒 10本 UM100EW.24 三菱鉛筆uniユニ</t>
  </si>
  <si>
    <t>ゲルインクボールペン ユニボールシグノ エコライター 0.5ミリ 赤 10本 UM100EW.15 三菱鉛筆uniユニ</t>
  </si>
  <si>
    <t>ゲルインクボールペン ユニボールシグノ エコライター 0.5ミリ 青 10本 UM100EW.33 三菱鉛筆uniユニ</t>
  </si>
  <si>
    <t>1本</t>
  </si>
  <si>
    <t>430469</t>
  </si>
  <si>
    <t>KK65569</t>
  </si>
  <si>
    <t>1セット(30本)</t>
  </si>
  <si>
    <t>EE73983</t>
  </si>
  <si>
    <t>3本</t>
  </si>
  <si>
    <t>KK65577</t>
  </si>
  <si>
    <t>KK65578</t>
  </si>
  <si>
    <t>EE73982</t>
  </si>
  <si>
    <t>KK65582</t>
  </si>
  <si>
    <t>KK65566</t>
  </si>
  <si>
    <t>KK65567</t>
  </si>
  <si>
    <t>X556237</t>
  </si>
  <si>
    <t>EE73984</t>
  </si>
  <si>
    <t>X556238</t>
  </si>
  <si>
    <t>KK65570</t>
  </si>
  <si>
    <t>X556240</t>
  </si>
  <si>
    <t>KK65571</t>
  </si>
  <si>
    <t>KK65572</t>
  </si>
  <si>
    <t>KK65574</t>
  </si>
  <si>
    <t>KK65575</t>
  </si>
  <si>
    <t>KK65576</t>
  </si>
  <si>
    <t>KK65580</t>
  </si>
  <si>
    <t>KK65579</t>
  </si>
  <si>
    <t>X556245</t>
  </si>
  <si>
    <t>1セット</t>
  </si>
  <si>
    <t>X556250</t>
  </si>
  <si>
    <t>KK65558</t>
  </si>
  <si>
    <t>KK65559</t>
  </si>
  <si>
    <t>KK65562</t>
  </si>
  <si>
    <t>X556256</t>
  </si>
  <si>
    <t>X556251</t>
  </si>
  <si>
    <t>X556249</t>
  </si>
  <si>
    <t>KK65560</t>
  </si>
  <si>
    <t>KK65561</t>
  </si>
  <si>
    <t>X556258</t>
  </si>
  <si>
    <t>X556254</t>
  </si>
  <si>
    <t>RH06860</t>
  </si>
  <si>
    <t>1パック（5個入）</t>
  </si>
  <si>
    <t>824365</t>
  </si>
  <si>
    <t>670625</t>
  </si>
  <si>
    <t>670616</t>
  </si>
  <si>
    <t>658602</t>
  </si>
  <si>
    <t>658621</t>
  </si>
  <si>
    <t>658630</t>
  </si>
  <si>
    <t>824454</t>
  </si>
  <si>
    <t>9834522</t>
  </si>
  <si>
    <t>1セット（3本入）</t>
  </si>
  <si>
    <t>1178809</t>
  </si>
  <si>
    <t>1178827</t>
  </si>
  <si>
    <t>1178836</t>
  </si>
  <si>
    <t>KK95002</t>
  </si>
  <si>
    <t>1セット(10本)</t>
  </si>
  <si>
    <t>HN46917</t>
  </si>
  <si>
    <t>8857587</t>
  </si>
  <si>
    <t>AX33505</t>
  </si>
  <si>
    <t>AX33507</t>
  </si>
  <si>
    <t>ARH9180</t>
  </si>
  <si>
    <t>1セット（50本）</t>
  </si>
  <si>
    <t>3458211</t>
  </si>
  <si>
    <t>1箱（10本入）</t>
  </si>
  <si>
    <t>KK94387</t>
  </si>
  <si>
    <t>1セット(50本)</t>
  </si>
  <si>
    <t>3218396</t>
  </si>
  <si>
    <t>1セット（13本）</t>
  </si>
  <si>
    <t>EJ99878</t>
  </si>
  <si>
    <t>KK65554</t>
  </si>
  <si>
    <t>ARH9093</t>
  </si>
  <si>
    <t>1セット（30本）</t>
  </si>
  <si>
    <t>ARH9092</t>
  </si>
  <si>
    <t>ARH9094</t>
  </si>
  <si>
    <t>ARH9089</t>
  </si>
  <si>
    <t>ARH9091</t>
  </si>
  <si>
    <t>8217041</t>
  </si>
  <si>
    <t>1セット（5色入）</t>
  </si>
  <si>
    <t>8229740</t>
  </si>
  <si>
    <t>3218387</t>
  </si>
  <si>
    <t>3218402</t>
  </si>
  <si>
    <t>KJ50351</t>
  </si>
  <si>
    <t>EK41558</t>
  </si>
  <si>
    <t>9834658</t>
  </si>
  <si>
    <t>657857</t>
  </si>
  <si>
    <t>658504</t>
  </si>
  <si>
    <t>657866</t>
  </si>
  <si>
    <t>659271</t>
  </si>
  <si>
    <t>659163</t>
  </si>
  <si>
    <t>630423</t>
  </si>
  <si>
    <t>657991</t>
  </si>
  <si>
    <t>824445</t>
  </si>
  <si>
    <t>824436</t>
  </si>
  <si>
    <t>9834498</t>
  </si>
  <si>
    <t>630432</t>
  </si>
  <si>
    <t>470615</t>
  </si>
  <si>
    <t>470606</t>
  </si>
  <si>
    <t>470590</t>
  </si>
  <si>
    <t>9834504</t>
  </si>
  <si>
    <t>NA01716</t>
  </si>
  <si>
    <t>470571</t>
  </si>
  <si>
    <t>824338</t>
  </si>
  <si>
    <t>824347</t>
  </si>
  <si>
    <t>824356</t>
  </si>
  <si>
    <t>5993709</t>
  </si>
  <si>
    <t>5993727</t>
  </si>
  <si>
    <t>5993692</t>
  </si>
  <si>
    <t>824383</t>
  </si>
  <si>
    <t>XA67507</t>
  </si>
  <si>
    <t>EK41540</t>
  </si>
  <si>
    <t>U430046</t>
  </si>
  <si>
    <t>X851229</t>
  </si>
  <si>
    <t>U430048</t>
  </si>
  <si>
    <t>U430045</t>
  </si>
  <si>
    <t>X851232</t>
  </si>
  <si>
    <t>X851234</t>
  </si>
  <si>
    <t>509980</t>
  </si>
  <si>
    <t>525544</t>
  </si>
  <si>
    <t>525535</t>
  </si>
  <si>
    <t>949619</t>
  </si>
  <si>
    <t>949628</t>
  </si>
  <si>
    <t>949637</t>
  </si>
  <si>
    <t>325759</t>
  </si>
  <si>
    <t>325777</t>
  </si>
  <si>
    <t>325768</t>
  </si>
  <si>
    <t>WW50211</t>
  </si>
  <si>
    <t>503547</t>
  </si>
  <si>
    <t>503725</t>
  </si>
  <si>
    <t>504606</t>
  </si>
  <si>
    <t>502684</t>
  </si>
  <si>
    <t>950727</t>
  </si>
  <si>
    <t>509827</t>
  </si>
  <si>
    <t>950807</t>
  </si>
  <si>
    <t>950816</t>
  </si>
  <si>
    <t>6月
たの</t>
    <rPh sb="1" eb="2">
      <t>ガツ</t>
    </rPh>
    <phoneticPr fontId="2"/>
  </si>
  <si>
    <t>6月
カウ</t>
    <rPh sb="1" eb="2">
      <t>ガツ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</si>
</sst>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0" xfId="0" applyNumberFormat="1">
      <alignment vertical="center"/>
    </xf>
    <xf numFmtId="0" fontId="0" fillId="0" borderId="6" xfId="0" applyNumberFormat="1" applyBorder="1" applyAlignment="1">
      <alignment horizontal="center" vertical="center"/>
    </xf>
    <xf numFmtId="0" fontId="0" fillId="0" borderId="2" xfId="0" applyNumberFormat="1" applyBorder="1">
      <alignment vertical="center"/>
    </xf>
    <xf numFmtId="0" fontId="0" fillId="0" borderId="4" xfId="0" applyNumberFormat="1" applyBorder="1">
      <alignment vertical="center"/>
    </xf>
    <xf numFmtId="0" fontId="0" fillId="0" borderId="0" xfId="0" applyFill="1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" xfId="0" applyNumberFormat="1" applyBorder="1" applyAlignment="1">
      <alignment vertical="center" wrapText="1"/>
    </xf>
    <xf numFmtId="0" fontId="0" fillId="0" borderId="19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3" borderId="10" xfId="0" applyNumberFormat="1" applyFill="1" applyBorder="1">
      <alignment vertical="center"/>
    </xf>
    <xf numFmtId="0" fontId="0" fillId="3" borderId="4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</cellXfs>
  <cellStyles count="1">
    <cellStyle name="標準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D163"/>
  <sheetViews>
    <sheetView tabSelected="1" zoomScale="90" zoomScaleNormal="90" workbookViewId="0">
      <pane xSplit="7" ySplit="5" topLeftCell="L59" activePane="bottomRight" state="frozen"/>
      <selection pane="topRight" activeCell="G1" sqref="G1"/>
      <selection pane="bottomLeft" activeCell="A5" sqref="A5"/>
      <selection pane="bottomRight" activeCell="AE154" sqref="AE154"/>
    </sheetView>
  </sheetViews>
  <sheetFormatPr defaultRowHeight="18.75" outlineLevelCol="1" x14ac:dyDescent="0.4"/>
  <cols>
    <col min="1" max="1" width="4.625" customWidth="1"/>
    <col min="2" max="2" width="5.75" customWidth="1"/>
    <col min="6" max="6" width="48.375" customWidth="1"/>
    <col min="7" max="7" width="15.5" bestFit="1" customWidth="1"/>
    <col min="8" max="11" width="7.5" hidden="1" customWidth="1" outlineLevel="1"/>
    <col min="12" max="12" width="7.625" customWidth="1" collapsed="1"/>
    <col min="13" max="16" width="7.625" customWidth="1"/>
    <col min="17" max="18" width="7.625" hidden="1" customWidth="1" outlineLevel="1"/>
    <col min="19" max="19" width="7.5" customWidth="1" collapsed="1"/>
    <col min="20" max="22" width="7.625" customWidth="1"/>
    <col min="23" max="23" width="4.375" customWidth="1" collapsed="1"/>
    <col min="24" max="25" width="7.625" customWidth="1"/>
    <col min="26" max="26" width="6.125" style="29" customWidth="1"/>
    <col min="27" max="27" width="7.625" customWidth="1"/>
    <col min="28" max="28" width="7.625" style="29" customWidth="1"/>
    <col min="29" max="29" width="6.625" customWidth="1"/>
    <col min="30" max="32" width="7.625" customWidth="1"/>
    <col min="33" max="35" width="7.625" hidden="1" customWidth="1" outlineLevel="1"/>
    <col min="36" max="36" width="7.625" customWidth="1" collapsed="1"/>
    <col min="37" max="38" width="7.625" customWidth="1"/>
    <col min="39" max="41" width="7.625" customWidth="1" outlineLevel="1"/>
    <col min="42" max="45" width="7.625" customWidth="1"/>
    <col min="46" max="46" width="8.75" customWidth="1"/>
    <col min="47" max="55" width="7.625" customWidth="1"/>
  </cols>
  <sheetData>
    <row r="1" spans="1:56" x14ac:dyDescent="0.4">
      <c r="C1" s="28" t="s">
        <v>37</v>
      </c>
      <c r="S1" s="45" t="s">
        <v>34</v>
      </c>
      <c r="T1" s="46"/>
      <c r="U1" s="46"/>
      <c r="V1" s="47"/>
    </row>
    <row r="2" spans="1:56" x14ac:dyDescent="0.4">
      <c r="C2" s="8" t="s">
        <v>22</v>
      </c>
      <c r="D2" s="9" t="s">
        <v>23</v>
      </c>
      <c r="E2" s="9" t="s">
        <v>24</v>
      </c>
      <c r="F2" s="10"/>
      <c r="G2" s="10"/>
      <c r="H2" s="35"/>
      <c r="I2" s="35"/>
      <c r="J2" s="42" t="s">
        <v>25</v>
      </c>
      <c r="K2" s="44"/>
      <c r="L2" s="42" t="s">
        <v>1</v>
      </c>
      <c r="M2" s="43"/>
      <c r="N2" s="43"/>
      <c r="O2" s="44"/>
      <c r="P2" s="11"/>
      <c r="Q2" s="34"/>
      <c r="R2" s="34"/>
      <c r="S2" s="22"/>
      <c r="T2" s="23" t="s">
        <v>28</v>
      </c>
      <c r="U2" s="23"/>
      <c r="V2" s="24" t="s">
        <v>28</v>
      </c>
      <c r="W2" s="10"/>
      <c r="X2" s="9" t="s">
        <v>33</v>
      </c>
      <c r="Y2" s="11"/>
      <c r="Z2" s="30"/>
      <c r="AA2" s="11"/>
      <c r="AB2" s="30"/>
      <c r="AC2" s="11"/>
      <c r="AD2" s="21" t="s">
        <v>35</v>
      </c>
      <c r="AE2" s="11"/>
      <c r="AF2" s="11"/>
      <c r="AG2" s="26"/>
      <c r="AH2" s="11"/>
      <c r="AI2" s="11"/>
      <c r="AJ2" s="11"/>
      <c r="AK2" s="11"/>
      <c r="AL2" s="11"/>
      <c r="AM2" s="11"/>
      <c r="AN2" s="11"/>
      <c r="AO2" s="11"/>
      <c r="AP2">
        <v>51</v>
      </c>
      <c r="AW2">
        <v>14</v>
      </c>
      <c r="AX2">
        <v>28</v>
      </c>
    </row>
    <row r="3" spans="1:56" ht="75" x14ac:dyDescent="0.4">
      <c r="A3" s="1" t="s">
        <v>43</v>
      </c>
      <c r="B3" s="1" t="s">
        <v>48</v>
      </c>
      <c r="C3" s="2" t="s">
        <v>2</v>
      </c>
      <c r="D3" s="2" t="s">
        <v>6</v>
      </c>
      <c r="E3" s="2" t="s">
        <v>7</v>
      </c>
      <c r="F3" s="2" t="s">
        <v>0</v>
      </c>
      <c r="G3" s="12" t="s">
        <v>4</v>
      </c>
      <c r="H3" s="12" t="s">
        <v>45</v>
      </c>
      <c r="I3" s="12" t="s">
        <v>46</v>
      </c>
      <c r="J3" s="12" t="s">
        <v>19</v>
      </c>
      <c r="K3" s="12" t="s">
        <v>20</v>
      </c>
      <c r="L3" s="12" t="s">
        <v>56</v>
      </c>
      <c r="M3" s="2" t="s">
        <v>5</v>
      </c>
      <c r="N3" s="2" t="s">
        <v>54</v>
      </c>
      <c r="O3" s="2" t="s">
        <v>13</v>
      </c>
      <c r="P3" s="12" t="s">
        <v>41</v>
      </c>
      <c r="Q3" s="12" t="s">
        <v>17</v>
      </c>
      <c r="R3" s="12" t="s">
        <v>18</v>
      </c>
      <c r="S3" s="12" t="s">
        <v>52</v>
      </c>
      <c r="T3" s="12" t="s">
        <v>53</v>
      </c>
      <c r="U3" s="2" t="s">
        <v>54</v>
      </c>
      <c r="V3" s="12" t="s">
        <v>55</v>
      </c>
      <c r="W3" s="14" t="s">
        <v>3</v>
      </c>
      <c r="X3" s="19" t="s">
        <v>14</v>
      </c>
      <c r="Y3" s="2" t="s">
        <v>13</v>
      </c>
      <c r="Z3" s="31" t="s">
        <v>38</v>
      </c>
      <c r="AA3" s="12" t="s">
        <v>57</v>
      </c>
      <c r="AB3" s="36" t="s">
        <v>47</v>
      </c>
      <c r="AC3" s="2" t="s">
        <v>13</v>
      </c>
      <c r="AD3" s="13" t="s">
        <v>26</v>
      </c>
      <c r="AE3" s="2" t="s">
        <v>13</v>
      </c>
      <c r="AF3" s="2" t="s">
        <v>27</v>
      </c>
      <c r="AG3" s="25" t="s">
        <v>29</v>
      </c>
      <c r="AH3" s="12" t="s">
        <v>30</v>
      </c>
      <c r="AI3" s="12" t="s">
        <v>31</v>
      </c>
      <c r="AJ3" s="12" t="s">
        <v>21</v>
      </c>
      <c r="AK3" s="12" t="s">
        <v>32</v>
      </c>
      <c r="AL3" s="12" t="s">
        <v>15</v>
      </c>
      <c r="AM3" s="12" t="s">
        <v>16</v>
      </c>
      <c r="AN3" s="12" t="s">
        <v>17</v>
      </c>
      <c r="AO3" s="12" t="s">
        <v>18</v>
      </c>
      <c r="AP3" s="2" t="s">
        <v>8</v>
      </c>
      <c r="AQ3" s="2" t="s">
        <v>9</v>
      </c>
      <c r="AR3" s="2" t="s">
        <v>10</v>
      </c>
      <c r="AS3" s="2" t="s">
        <v>11</v>
      </c>
      <c r="AT3" s="12" t="s">
        <v>36</v>
      </c>
      <c r="AU3" s="2" t="s">
        <v>49</v>
      </c>
      <c r="AV3" s="2" t="s">
        <v>12</v>
      </c>
      <c r="AW3" s="17" t="s">
        <v>39</v>
      </c>
      <c r="AX3" s="17" t="s">
        <v>40</v>
      </c>
      <c r="AY3" s="15" t="s">
        <v>44</v>
      </c>
      <c r="AZ3" s="37" t="s">
        <v>480</v>
      </c>
      <c r="BA3" s="38" t="s">
        <v>50</v>
      </c>
      <c r="BB3" s="38" t="s">
        <v>481</v>
      </c>
      <c r="BC3" s="38" t="s">
        <v>51</v>
      </c>
      <c r="BD3" s="33" t="s">
        <v>42</v>
      </c>
    </row>
    <row r="4" spans="1:56" x14ac:dyDescent="0.4">
      <c r="A4" s="3">
        <v>44</v>
      </c>
      <c r="B4" s="3">
        <v>44</v>
      </c>
      <c r="C4" s="40">
        <v>660413</v>
      </c>
      <c r="D4" s="4" t="str">
        <f t="shared" ref="D4:D35" si="0">TEXT(C4,"000000")</f>
        <v>660413</v>
      </c>
      <c r="E4" s="4">
        <v>660413</v>
      </c>
      <c r="F4" s="4" t="s">
        <v>105</v>
      </c>
      <c r="G4" s="5">
        <v>4902778510339</v>
      </c>
      <c r="H4" s="5"/>
      <c r="I4" s="5"/>
      <c r="J4" s="5">
        <v>2</v>
      </c>
      <c r="K4" s="5">
        <v>2</v>
      </c>
      <c r="L4" s="4">
        <v>60</v>
      </c>
      <c r="M4" s="4">
        <v>52</v>
      </c>
      <c r="N4" s="4">
        <v>30.6</v>
      </c>
      <c r="O4" s="6">
        <f t="shared" ref="O4:O35" si="1">IFERROR(1-N4/M4,"-")</f>
        <v>0.41153846153846152</v>
      </c>
      <c r="P4" s="4" t="s">
        <v>230</v>
      </c>
      <c r="Q4" s="4" t="s">
        <v>230</v>
      </c>
      <c r="R4" s="4" t="s">
        <v>230</v>
      </c>
      <c r="S4" s="4">
        <v>80</v>
      </c>
      <c r="T4" s="4">
        <f t="shared" ref="T4:T35" si="2">IF(W4="",S4,S4*W4)</f>
        <v>80</v>
      </c>
      <c r="U4" s="4">
        <v>40.799999999999997</v>
      </c>
      <c r="V4" s="4">
        <f t="shared" ref="V4:V35" si="3">IF(W4="",U4,U4*W4)</f>
        <v>40.799999999999997</v>
      </c>
      <c r="W4" s="4"/>
      <c r="X4" s="20">
        <f t="shared" ref="X4:X35" si="4">ROUND(M4*AL4,0)</f>
        <v>69</v>
      </c>
      <c r="Y4" s="6">
        <f t="shared" ref="Y4:Y35" si="5">IFERROR(1-V4/X4,"-")</f>
        <v>0.40869565217391313</v>
      </c>
      <c r="Z4" s="32">
        <v>114.5</v>
      </c>
      <c r="AA4" s="4">
        <f t="shared" ref="AA4:AA35" si="6">AV4</f>
        <v>46</v>
      </c>
      <c r="AB4" s="32">
        <f t="shared" ref="AB4:AB35" si="7">IFERROR(AA4*AL4,"-")</f>
        <v>61.333333333333329</v>
      </c>
      <c r="AC4" s="6">
        <f t="shared" ref="AC4:AC35" si="8">IFERROR(1-V4/AB4,"-")</f>
        <v>0.33478260869565213</v>
      </c>
      <c r="AD4" s="7">
        <v>69</v>
      </c>
      <c r="AE4" s="6">
        <f t="shared" ref="AE4:AE35" si="9">1-V4/AD4</f>
        <v>0.40869565217391313</v>
      </c>
      <c r="AF4" s="4">
        <f t="shared" ref="AF4:AF35" si="10">AD4-V4</f>
        <v>28.200000000000003</v>
      </c>
      <c r="AG4" s="27"/>
      <c r="AH4" s="6"/>
      <c r="AI4" s="6"/>
      <c r="AJ4" s="6">
        <f t="shared" ref="AJ4:AJ35" si="11">IFERROR(T4/L4,"-")</f>
        <v>1.3333333333333333</v>
      </c>
      <c r="AK4" s="6">
        <f t="shared" ref="AK4:AK35" si="12">IFERROR(AD4/M4,"-")</f>
        <v>1.3269230769230769</v>
      </c>
      <c r="AL4" s="6">
        <f t="shared" ref="AL4:AL35" si="13">IFERROR(V4/N4,"-")</f>
        <v>1.3333333333333333</v>
      </c>
      <c r="AM4" s="4" t="str">
        <f t="shared" ref="AM4:AM35" si="14">IFERROR(ROUND($AD4*P4/$M4,0),"-")</f>
        <v>-</v>
      </c>
      <c r="AN4" s="4" t="str">
        <f t="shared" ref="AN4:AN35" si="15">IF(Q4="","-",Q4)</f>
        <v>-</v>
      </c>
      <c r="AO4" s="4" t="str">
        <f t="shared" ref="AO4:AO35" si="16">IF(R4="","-",R4)</f>
        <v>-</v>
      </c>
      <c r="AP4" s="4">
        <v>0</v>
      </c>
      <c r="AQ4" s="4" t="s">
        <v>397</v>
      </c>
      <c r="AR4" s="4"/>
      <c r="AS4" s="4"/>
      <c r="AT4" s="4" t="s">
        <v>349</v>
      </c>
      <c r="AU4" s="4">
        <v>46</v>
      </c>
      <c r="AV4" s="4">
        <f t="shared" ref="AV4:AV35" si="17">IF(AR4="",AU4,AR4/AS4*AU4)</f>
        <v>46</v>
      </c>
      <c r="AW4" s="18">
        <v>4</v>
      </c>
      <c r="AX4" s="18">
        <v>1</v>
      </c>
      <c r="AY4" s="16">
        <v>5</v>
      </c>
      <c r="AZ4">
        <v>420</v>
      </c>
      <c r="BA4">
        <f t="shared" ref="BA4:BA35" si="18">IFERROR(AZ4*AL4,"-")</f>
        <v>560</v>
      </c>
      <c r="BB4">
        <v>54</v>
      </c>
      <c r="BC4">
        <f t="shared" ref="BC4:BC35" si="19">IFERROR(BB4*AL4,"-")</f>
        <v>72</v>
      </c>
      <c r="BD4" t="s">
        <v>275</v>
      </c>
    </row>
    <row r="5" spans="1:56" x14ac:dyDescent="0.4">
      <c r="A5" s="3">
        <v>109</v>
      </c>
      <c r="B5" s="3">
        <v>44</v>
      </c>
      <c r="C5" s="40">
        <v>660413</v>
      </c>
      <c r="D5" s="4" t="str">
        <f t="shared" si="0"/>
        <v>660413</v>
      </c>
      <c r="E5" s="4">
        <v>660414</v>
      </c>
      <c r="F5" s="4" t="s">
        <v>200</v>
      </c>
      <c r="G5" s="5">
        <v>4902778510339</v>
      </c>
      <c r="H5" s="5">
        <v>8</v>
      </c>
      <c r="I5" s="5" t="str">
        <f>C5&amp;H5</f>
        <v>6604138</v>
      </c>
      <c r="J5" s="5"/>
      <c r="K5" s="5"/>
      <c r="L5" s="4">
        <v>600</v>
      </c>
      <c r="M5" s="4">
        <v>452</v>
      </c>
      <c r="N5" s="4">
        <v>306</v>
      </c>
      <c r="O5" s="6">
        <f t="shared" si="1"/>
        <v>0.32300884955752207</v>
      </c>
      <c r="P5" s="4" t="s">
        <v>230</v>
      </c>
      <c r="Q5" s="4" t="s">
        <v>230</v>
      </c>
      <c r="R5" s="4" t="s">
        <v>230</v>
      </c>
      <c r="S5" s="4">
        <v>80</v>
      </c>
      <c r="T5" s="4">
        <f t="shared" si="2"/>
        <v>800</v>
      </c>
      <c r="U5" s="4">
        <v>40.799999999999997</v>
      </c>
      <c r="V5" s="4">
        <f t="shared" si="3"/>
        <v>408</v>
      </c>
      <c r="W5" s="4">
        <v>10</v>
      </c>
      <c r="X5" s="20">
        <f t="shared" si="4"/>
        <v>603</v>
      </c>
      <c r="Y5" s="6">
        <f t="shared" si="5"/>
        <v>0.3233830845771144</v>
      </c>
      <c r="Z5" s="32">
        <v>114.5</v>
      </c>
      <c r="AA5" s="4">
        <f t="shared" si="6"/>
        <v>441</v>
      </c>
      <c r="AB5" s="32">
        <f t="shared" si="7"/>
        <v>588</v>
      </c>
      <c r="AC5" s="6">
        <f t="shared" si="8"/>
        <v>0.30612244897959184</v>
      </c>
      <c r="AD5" s="7">
        <v>603</v>
      </c>
      <c r="AE5" s="6">
        <f t="shared" si="9"/>
        <v>0.3233830845771144</v>
      </c>
      <c r="AF5" s="4">
        <f t="shared" si="10"/>
        <v>195</v>
      </c>
      <c r="AG5" s="27"/>
      <c r="AH5" s="6"/>
      <c r="AI5" s="6"/>
      <c r="AJ5" s="6">
        <f t="shared" si="11"/>
        <v>1.3333333333333333</v>
      </c>
      <c r="AK5" s="6">
        <f t="shared" si="12"/>
        <v>1.334070796460177</v>
      </c>
      <c r="AL5" s="6">
        <f t="shared" si="13"/>
        <v>1.3333333333333333</v>
      </c>
      <c r="AM5" s="4" t="str">
        <f t="shared" si="14"/>
        <v>-</v>
      </c>
      <c r="AN5" s="4" t="str">
        <f t="shared" si="15"/>
        <v>-</v>
      </c>
      <c r="AO5" s="4" t="str">
        <f t="shared" si="16"/>
        <v>-</v>
      </c>
      <c r="AP5" s="4" t="s">
        <v>229</v>
      </c>
      <c r="AQ5" s="4" t="s">
        <v>468</v>
      </c>
      <c r="AR5" s="4"/>
      <c r="AS5" s="4"/>
      <c r="AT5" s="4" t="s">
        <v>409</v>
      </c>
      <c r="AU5" s="4">
        <v>441</v>
      </c>
      <c r="AV5" s="4">
        <f t="shared" si="17"/>
        <v>441</v>
      </c>
      <c r="AW5" s="18">
        <v>4</v>
      </c>
      <c r="AX5" s="18">
        <v>1</v>
      </c>
      <c r="AY5" s="16">
        <v>5</v>
      </c>
      <c r="AZ5">
        <v>420</v>
      </c>
      <c r="BA5">
        <f t="shared" si="18"/>
        <v>560</v>
      </c>
      <c r="BB5">
        <v>54</v>
      </c>
      <c r="BC5">
        <f t="shared" si="19"/>
        <v>72</v>
      </c>
      <c r="BD5" t="s">
        <v>337</v>
      </c>
    </row>
    <row r="6" spans="1:56" x14ac:dyDescent="0.4">
      <c r="A6" s="3">
        <v>45</v>
      </c>
      <c r="B6" s="3">
        <v>45</v>
      </c>
      <c r="C6" s="39">
        <v>660415</v>
      </c>
      <c r="D6" s="4" t="str">
        <f t="shared" si="0"/>
        <v>660415</v>
      </c>
      <c r="E6" s="4">
        <v>660415</v>
      </c>
      <c r="F6" s="4" t="s">
        <v>106</v>
      </c>
      <c r="G6" s="5">
        <v>4902778510322</v>
      </c>
      <c r="H6" s="5"/>
      <c r="I6" s="5"/>
      <c r="J6" s="5">
        <v>2</v>
      </c>
      <c r="K6" s="5">
        <v>2</v>
      </c>
      <c r="L6" s="4">
        <v>60</v>
      </c>
      <c r="M6" s="4">
        <v>52</v>
      </c>
      <c r="N6" s="4">
        <v>30.6</v>
      </c>
      <c r="O6" s="6">
        <f t="shared" si="1"/>
        <v>0.41153846153846152</v>
      </c>
      <c r="P6" s="4" t="s">
        <v>230</v>
      </c>
      <c r="Q6" s="4" t="s">
        <v>230</v>
      </c>
      <c r="R6" s="4" t="s">
        <v>230</v>
      </c>
      <c r="S6" s="4">
        <v>80</v>
      </c>
      <c r="T6" s="4">
        <f t="shared" si="2"/>
        <v>80</v>
      </c>
      <c r="U6" s="4">
        <v>40.799999999999997</v>
      </c>
      <c r="V6" s="4">
        <f t="shared" si="3"/>
        <v>40.799999999999997</v>
      </c>
      <c r="W6" s="4"/>
      <c r="X6" s="20">
        <f t="shared" si="4"/>
        <v>69</v>
      </c>
      <c r="Y6" s="6">
        <f t="shared" si="5"/>
        <v>0.40869565217391313</v>
      </c>
      <c r="Z6" s="32">
        <v>45.75</v>
      </c>
      <c r="AA6" s="4">
        <f t="shared" si="6"/>
        <v>46</v>
      </c>
      <c r="AB6" s="32">
        <f t="shared" si="7"/>
        <v>61.333333333333329</v>
      </c>
      <c r="AC6" s="6">
        <f t="shared" si="8"/>
        <v>0.33478260869565213</v>
      </c>
      <c r="AD6" s="7">
        <v>69</v>
      </c>
      <c r="AE6" s="6">
        <f t="shared" si="9"/>
        <v>0.40869565217391313</v>
      </c>
      <c r="AF6" s="4">
        <f t="shared" si="10"/>
        <v>28.200000000000003</v>
      </c>
      <c r="AG6" s="27"/>
      <c r="AH6" s="6"/>
      <c r="AI6" s="6"/>
      <c r="AJ6" s="6">
        <f t="shared" si="11"/>
        <v>1.3333333333333333</v>
      </c>
      <c r="AK6" s="6">
        <f t="shared" si="12"/>
        <v>1.3269230769230769</v>
      </c>
      <c r="AL6" s="6">
        <f t="shared" si="13"/>
        <v>1.3333333333333333</v>
      </c>
      <c r="AM6" s="4" t="str">
        <f t="shared" si="14"/>
        <v>-</v>
      </c>
      <c r="AN6" s="4" t="str">
        <f t="shared" si="15"/>
        <v>-</v>
      </c>
      <c r="AO6" s="4" t="str">
        <f t="shared" si="16"/>
        <v>-</v>
      </c>
      <c r="AP6" s="4">
        <v>0</v>
      </c>
      <c r="AQ6" s="4" t="s">
        <v>398</v>
      </c>
      <c r="AR6" s="4"/>
      <c r="AS6" s="4"/>
      <c r="AT6" s="4" t="s">
        <v>349</v>
      </c>
      <c r="AU6" s="4">
        <v>46</v>
      </c>
      <c r="AV6" s="4">
        <f t="shared" si="17"/>
        <v>46</v>
      </c>
      <c r="AW6" s="18">
        <v>4</v>
      </c>
      <c r="AX6" s="18">
        <v>1</v>
      </c>
      <c r="AY6" s="16">
        <v>5</v>
      </c>
      <c r="AZ6">
        <v>420</v>
      </c>
      <c r="BA6">
        <f t="shared" si="18"/>
        <v>560</v>
      </c>
      <c r="BB6">
        <v>54</v>
      </c>
      <c r="BC6">
        <f t="shared" si="19"/>
        <v>72</v>
      </c>
      <c r="BD6" t="s">
        <v>276</v>
      </c>
    </row>
    <row r="7" spans="1:56" x14ac:dyDescent="0.4">
      <c r="A7" s="3">
        <v>109</v>
      </c>
      <c r="B7" s="3">
        <v>45</v>
      </c>
      <c r="C7" s="39">
        <v>660415</v>
      </c>
      <c r="D7" s="4" t="str">
        <f t="shared" si="0"/>
        <v>660415</v>
      </c>
      <c r="E7" s="4">
        <v>660416</v>
      </c>
      <c r="F7" s="4" t="s">
        <v>201</v>
      </c>
      <c r="G7" s="5">
        <v>4902778510322</v>
      </c>
      <c r="H7" s="5">
        <v>8</v>
      </c>
      <c r="I7" s="5" t="str">
        <f>C7&amp;H7</f>
        <v>6604158</v>
      </c>
      <c r="J7" s="5"/>
      <c r="K7" s="5"/>
      <c r="L7" s="4">
        <v>600</v>
      </c>
      <c r="M7" s="4">
        <v>452</v>
      </c>
      <c r="N7" s="4">
        <v>306</v>
      </c>
      <c r="O7" s="6">
        <f t="shared" si="1"/>
        <v>0.32300884955752207</v>
      </c>
      <c r="P7" s="4" t="s">
        <v>230</v>
      </c>
      <c r="Q7" s="4" t="s">
        <v>230</v>
      </c>
      <c r="R7" s="4" t="s">
        <v>230</v>
      </c>
      <c r="S7" s="4">
        <v>80</v>
      </c>
      <c r="T7" s="4">
        <f t="shared" si="2"/>
        <v>800</v>
      </c>
      <c r="U7" s="4">
        <v>40.799999999999997</v>
      </c>
      <c r="V7" s="4">
        <f t="shared" si="3"/>
        <v>408</v>
      </c>
      <c r="W7" s="4">
        <v>10</v>
      </c>
      <c r="X7" s="20">
        <f t="shared" si="4"/>
        <v>603</v>
      </c>
      <c r="Y7" s="6">
        <f t="shared" si="5"/>
        <v>0.3233830845771144</v>
      </c>
      <c r="Z7" s="32">
        <v>45.75</v>
      </c>
      <c r="AA7" s="4">
        <f t="shared" si="6"/>
        <v>441</v>
      </c>
      <c r="AB7" s="32">
        <f t="shared" si="7"/>
        <v>588</v>
      </c>
      <c r="AC7" s="6">
        <f t="shared" si="8"/>
        <v>0.30612244897959184</v>
      </c>
      <c r="AD7" s="7">
        <v>603</v>
      </c>
      <c r="AE7" s="6">
        <f t="shared" si="9"/>
        <v>0.3233830845771144</v>
      </c>
      <c r="AF7" s="4">
        <f t="shared" si="10"/>
        <v>195</v>
      </c>
      <c r="AG7" s="27"/>
      <c r="AH7" s="6"/>
      <c r="AI7" s="6"/>
      <c r="AJ7" s="6">
        <f t="shared" si="11"/>
        <v>1.3333333333333333</v>
      </c>
      <c r="AK7" s="6">
        <f t="shared" si="12"/>
        <v>1.334070796460177</v>
      </c>
      <c r="AL7" s="6">
        <f t="shared" si="13"/>
        <v>1.3333333333333333</v>
      </c>
      <c r="AM7" s="4" t="str">
        <f t="shared" si="14"/>
        <v>-</v>
      </c>
      <c r="AN7" s="4" t="str">
        <f t="shared" si="15"/>
        <v>-</v>
      </c>
      <c r="AO7" s="4" t="str">
        <f t="shared" si="16"/>
        <v>-</v>
      </c>
      <c r="AP7" s="4" t="s">
        <v>229</v>
      </c>
      <c r="AQ7" s="4" t="s">
        <v>469</v>
      </c>
      <c r="AR7" s="4"/>
      <c r="AS7" s="4"/>
      <c r="AT7" s="4" t="s">
        <v>409</v>
      </c>
      <c r="AU7" s="4">
        <v>441</v>
      </c>
      <c r="AV7" s="4">
        <f t="shared" si="17"/>
        <v>441</v>
      </c>
      <c r="AW7" s="18">
        <v>4</v>
      </c>
      <c r="AX7" s="18">
        <v>1</v>
      </c>
      <c r="AY7" s="16">
        <v>5</v>
      </c>
      <c r="AZ7">
        <v>420</v>
      </c>
      <c r="BA7">
        <f t="shared" si="18"/>
        <v>560</v>
      </c>
      <c r="BB7">
        <v>54</v>
      </c>
      <c r="BC7">
        <f t="shared" si="19"/>
        <v>72</v>
      </c>
      <c r="BD7" t="s">
        <v>338</v>
      </c>
    </row>
    <row r="8" spans="1:56" x14ac:dyDescent="0.4">
      <c r="A8" s="3">
        <v>46</v>
      </c>
      <c r="B8" s="3">
        <v>46</v>
      </c>
      <c r="C8" s="39">
        <v>660417</v>
      </c>
      <c r="D8" s="4" t="str">
        <f t="shared" si="0"/>
        <v>660417</v>
      </c>
      <c r="E8" s="4">
        <v>660417</v>
      </c>
      <c r="F8" s="4" t="s">
        <v>107</v>
      </c>
      <c r="G8" s="5">
        <v>4902778510346</v>
      </c>
      <c r="H8" s="5"/>
      <c r="I8" s="5"/>
      <c r="J8" s="5">
        <v>2</v>
      </c>
      <c r="K8" s="5">
        <v>2</v>
      </c>
      <c r="L8" s="4">
        <v>60</v>
      </c>
      <c r="M8" s="4">
        <v>52</v>
      </c>
      <c r="N8" s="4">
        <v>30.6</v>
      </c>
      <c r="O8" s="6">
        <f t="shared" si="1"/>
        <v>0.41153846153846152</v>
      </c>
      <c r="P8" s="4" t="s">
        <v>230</v>
      </c>
      <c r="Q8" s="4" t="s">
        <v>230</v>
      </c>
      <c r="R8" s="4" t="s">
        <v>230</v>
      </c>
      <c r="S8" s="4">
        <v>80</v>
      </c>
      <c r="T8" s="4">
        <f t="shared" si="2"/>
        <v>80</v>
      </c>
      <c r="U8" s="4">
        <v>40.799999999999997</v>
      </c>
      <c r="V8" s="4">
        <f t="shared" si="3"/>
        <v>40.799999999999997</v>
      </c>
      <c r="W8" s="4"/>
      <c r="X8" s="20">
        <f t="shared" si="4"/>
        <v>69</v>
      </c>
      <c r="Y8" s="6">
        <f t="shared" si="5"/>
        <v>0.40869565217391313</v>
      </c>
      <c r="Z8" s="32">
        <v>1.5</v>
      </c>
      <c r="AA8" s="4">
        <f t="shared" si="6"/>
        <v>46</v>
      </c>
      <c r="AB8" s="32">
        <f t="shared" si="7"/>
        <v>61.333333333333329</v>
      </c>
      <c r="AC8" s="6">
        <f t="shared" si="8"/>
        <v>0.33478260869565213</v>
      </c>
      <c r="AD8" s="7">
        <v>69</v>
      </c>
      <c r="AE8" s="6">
        <f t="shared" si="9"/>
        <v>0.40869565217391313</v>
      </c>
      <c r="AF8" s="4">
        <f t="shared" si="10"/>
        <v>28.200000000000003</v>
      </c>
      <c r="AG8" s="27"/>
      <c r="AH8" s="6"/>
      <c r="AI8" s="6"/>
      <c r="AJ8" s="6">
        <f t="shared" si="11"/>
        <v>1.3333333333333333</v>
      </c>
      <c r="AK8" s="6">
        <f t="shared" si="12"/>
        <v>1.3269230769230769</v>
      </c>
      <c r="AL8" s="6">
        <f t="shared" si="13"/>
        <v>1.3333333333333333</v>
      </c>
      <c r="AM8" s="4" t="str">
        <f t="shared" si="14"/>
        <v>-</v>
      </c>
      <c r="AN8" s="4" t="str">
        <f t="shared" si="15"/>
        <v>-</v>
      </c>
      <c r="AO8" s="4" t="str">
        <f t="shared" si="16"/>
        <v>-</v>
      </c>
      <c r="AP8" s="4">
        <v>0</v>
      </c>
      <c r="AQ8" s="4" t="s">
        <v>399</v>
      </c>
      <c r="AR8" s="4"/>
      <c r="AS8" s="4"/>
      <c r="AT8" s="4" t="s">
        <v>349</v>
      </c>
      <c r="AU8" s="4">
        <v>46</v>
      </c>
      <c r="AV8" s="4">
        <f t="shared" si="17"/>
        <v>46</v>
      </c>
      <c r="AW8" s="18">
        <v>4</v>
      </c>
      <c r="AX8" s="18">
        <v>1</v>
      </c>
      <c r="AY8" s="16">
        <v>5</v>
      </c>
      <c r="AZ8">
        <v>420</v>
      </c>
      <c r="BA8">
        <f t="shared" si="18"/>
        <v>560</v>
      </c>
      <c r="BB8">
        <v>54</v>
      </c>
      <c r="BC8">
        <f t="shared" si="19"/>
        <v>72</v>
      </c>
      <c r="BD8" t="s">
        <v>277</v>
      </c>
    </row>
    <row r="9" spans="1:56" x14ac:dyDescent="0.4">
      <c r="A9" s="3">
        <v>109</v>
      </c>
      <c r="B9" s="3">
        <v>46</v>
      </c>
      <c r="C9" s="39">
        <v>660417</v>
      </c>
      <c r="D9" s="4" t="str">
        <f t="shared" si="0"/>
        <v>660417</v>
      </c>
      <c r="E9" s="4">
        <v>660418</v>
      </c>
      <c r="F9" s="4" t="s">
        <v>202</v>
      </c>
      <c r="G9" s="5">
        <v>4902778510346</v>
      </c>
      <c r="H9" s="5">
        <v>8</v>
      </c>
      <c r="I9" s="5" t="str">
        <f>C9&amp;H9</f>
        <v>6604178</v>
      </c>
      <c r="J9" s="5"/>
      <c r="K9" s="5"/>
      <c r="L9" s="4">
        <v>600</v>
      </c>
      <c r="M9" s="4">
        <v>452</v>
      </c>
      <c r="N9" s="4">
        <v>306</v>
      </c>
      <c r="O9" s="6">
        <f t="shared" si="1"/>
        <v>0.32300884955752207</v>
      </c>
      <c r="P9" s="4" t="s">
        <v>230</v>
      </c>
      <c r="Q9" s="4" t="s">
        <v>230</v>
      </c>
      <c r="R9" s="4" t="s">
        <v>230</v>
      </c>
      <c r="S9" s="4">
        <v>80</v>
      </c>
      <c r="T9" s="4">
        <f t="shared" si="2"/>
        <v>800</v>
      </c>
      <c r="U9" s="4">
        <v>40.799999999999997</v>
      </c>
      <c r="V9" s="4">
        <f t="shared" si="3"/>
        <v>408</v>
      </c>
      <c r="W9" s="4">
        <v>10</v>
      </c>
      <c r="X9" s="20">
        <f t="shared" si="4"/>
        <v>603</v>
      </c>
      <c r="Y9" s="6">
        <f t="shared" si="5"/>
        <v>0.3233830845771144</v>
      </c>
      <c r="Z9" s="32">
        <v>1.5</v>
      </c>
      <c r="AA9" s="4">
        <f t="shared" si="6"/>
        <v>441</v>
      </c>
      <c r="AB9" s="32">
        <f t="shared" si="7"/>
        <v>588</v>
      </c>
      <c r="AC9" s="6">
        <f t="shared" si="8"/>
        <v>0.30612244897959184</v>
      </c>
      <c r="AD9" s="7">
        <v>603</v>
      </c>
      <c r="AE9" s="6">
        <f t="shared" si="9"/>
        <v>0.3233830845771144</v>
      </c>
      <c r="AF9" s="4">
        <f t="shared" si="10"/>
        <v>195</v>
      </c>
      <c r="AG9" s="27"/>
      <c r="AH9" s="6"/>
      <c r="AI9" s="6"/>
      <c r="AJ9" s="6">
        <f t="shared" si="11"/>
        <v>1.3333333333333333</v>
      </c>
      <c r="AK9" s="6">
        <f t="shared" si="12"/>
        <v>1.334070796460177</v>
      </c>
      <c r="AL9" s="6">
        <f t="shared" si="13"/>
        <v>1.3333333333333333</v>
      </c>
      <c r="AM9" s="4" t="str">
        <f t="shared" si="14"/>
        <v>-</v>
      </c>
      <c r="AN9" s="4" t="str">
        <f t="shared" si="15"/>
        <v>-</v>
      </c>
      <c r="AO9" s="4" t="str">
        <f t="shared" si="16"/>
        <v>-</v>
      </c>
      <c r="AP9" s="4" t="s">
        <v>229</v>
      </c>
      <c r="AQ9" s="4" t="s">
        <v>470</v>
      </c>
      <c r="AR9" s="4"/>
      <c r="AS9" s="4"/>
      <c r="AT9" s="4" t="s">
        <v>409</v>
      </c>
      <c r="AU9" s="4">
        <v>441</v>
      </c>
      <c r="AV9" s="4">
        <f t="shared" si="17"/>
        <v>441</v>
      </c>
      <c r="AW9" s="18">
        <v>4</v>
      </c>
      <c r="AX9" s="18">
        <v>1</v>
      </c>
      <c r="AY9" s="16">
        <v>5</v>
      </c>
      <c r="AZ9">
        <v>420</v>
      </c>
      <c r="BA9">
        <f t="shared" si="18"/>
        <v>560</v>
      </c>
      <c r="BB9">
        <v>54</v>
      </c>
      <c r="BC9">
        <f t="shared" si="19"/>
        <v>72</v>
      </c>
      <c r="BD9" t="s">
        <v>339</v>
      </c>
    </row>
    <row r="10" spans="1:56" x14ac:dyDescent="0.4">
      <c r="A10" s="3">
        <v>47</v>
      </c>
      <c r="B10" s="3">
        <v>47</v>
      </c>
      <c r="C10" s="40">
        <v>660629</v>
      </c>
      <c r="D10" s="4" t="str">
        <f t="shared" si="0"/>
        <v>660629</v>
      </c>
      <c r="E10" s="4">
        <v>660629</v>
      </c>
      <c r="F10" s="4" t="s">
        <v>108</v>
      </c>
      <c r="G10" s="5">
        <v>4902778567050</v>
      </c>
      <c r="H10" s="5"/>
      <c r="I10" s="5"/>
      <c r="J10" s="5">
        <v>2</v>
      </c>
      <c r="K10" s="5">
        <v>2</v>
      </c>
      <c r="L10" s="4">
        <v>60</v>
      </c>
      <c r="M10" s="4">
        <v>52</v>
      </c>
      <c r="N10" s="4">
        <v>30.6</v>
      </c>
      <c r="O10" s="6">
        <f t="shared" si="1"/>
        <v>0.41153846153846152</v>
      </c>
      <c r="P10" s="4" t="s">
        <v>230</v>
      </c>
      <c r="Q10" s="4" t="s">
        <v>230</v>
      </c>
      <c r="R10" s="4" t="s">
        <v>230</v>
      </c>
      <c r="S10" s="4">
        <v>80</v>
      </c>
      <c r="T10" s="4">
        <f t="shared" si="2"/>
        <v>80</v>
      </c>
      <c r="U10" s="4">
        <v>40.799999999999997</v>
      </c>
      <c r="V10" s="4">
        <f t="shared" si="3"/>
        <v>40.799999999999997</v>
      </c>
      <c r="W10" s="4"/>
      <c r="X10" s="20">
        <f t="shared" si="4"/>
        <v>69</v>
      </c>
      <c r="Y10" s="6">
        <f t="shared" si="5"/>
        <v>0.40869565217391313</v>
      </c>
      <c r="Z10" s="32">
        <v>13.5</v>
      </c>
      <c r="AA10" s="4">
        <f t="shared" si="6"/>
        <v>60</v>
      </c>
      <c r="AB10" s="32">
        <f t="shared" si="7"/>
        <v>80</v>
      </c>
      <c r="AC10" s="6">
        <f t="shared" si="8"/>
        <v>0.49</v>
      </c>
      <c r="AD10" s="7">
        <v>69</v>
      </c>
      <c r="AE10" s="6">
        <f t="shared" si="9"/>
        <v>0.40869565217391313</v>
      </c>
      <c r="AF10" s="4">
        <f t="shared" si="10"/>
        <v>28.200000000000003</v>
      </c>
      <c r="AG10" s="27"/>
      <c r="AH10" s="6"/>
      <c r="AI10" s="6"/>
      <c r="AJ10" s="6">
        <f t="shared" si="11"/>
        <v>1.3333333333333333</v>
      </c>
      <c r="AK10" s="6">
        <f t="shared" si="12"/>
        <v>1.3269230769230769</v>
      </c>
      <c r="AL10" s="6">
        <f t="shared" si="13"/>
        <v>1.3333333333333333</v>
      </c>
      <c r="AM10" s="4" t="str">
        <f t="shared" si="14"/>
        <v>-</v>
      </c>
      <c r="AN10" s="4" t="str">
        <f t="shared" si="15"/>
        <v>-</v>
      </c>
      <c r="AO10" s="4" t="str">
        <f t="shared" si="16"/>
        <v>-</v>
      </c>
      <c r="AP10" s="4">
        <v>0</v>
      </c>
      <c r="AQ10" s="4" t="s">
        <v>400</v>
      </c>
      <c r="AR10" s="4">
        <v>1</v>
      </c>
      <c r="AS10" s="4">
        <v>10</v>
      </c>
      <c r="AT10" s="4" t="s">
        <v>401</v>
      </c>
      <c r="AU10" s="4">
        <v>600</v>
      </c>
      <c r="AV10" s="4">
        <f t="shared" si="17"/>
        <v>60</v>
      </c>
      <c r="AW10" s="18">
        <v>4</v>
      </c>
      <c r="AX10" s="18">
        <v>1</v>
      </c>
      <c r="AY10" s="16">
        <v>5</v>
      </c>
      <c r="AZ10">
        <v>420</v>
      </c>
      <c r="BA10">
        <f t="shared" si="18"/>
        <v>560</v>
      </c>
      <c r="BB10">
        <v>54</v>
      </c>
      <c r="BC10">
        <f t="shared" si="19"/>
        <v>72</v>
      </c>
      <c r="BD10" t="s">
        <v>278</v>
      </c>
    </row>
    <row r="11" spans="1:56" x14ac:dyDescent="0.4">
      <c r="A11" s="3">
        <v>109</v>
      </c>
      <c r="B11" s="3">
        <v>47</v>
      </c>
      <c r="C11" s="40">
        <v>660629</v>
      </c>
      <c r="D11" s="4" t="str">
        <f t="shared" si="0"/>
        <v>660629</v>
      </c>
      <c r="E11" s="4">
        <v>660630</v>
      </c>
      <c r="F11" s="4" t="s">
        <v>203</v>
      </c>
      <c r="G11" s="5">
        <v>4902778567050</v>
      </c>
      <c r="H11" s="5">
        <v>8</v>
      </c>
      <c r="I11" s="5" t="str">
        <f>C11&amp;H11</f>
        <v>6606298</v>
      </c>
      <c r="J11" s="5"/>
      <c r="K11" s="5"/>
      <c r="L11" s="4">
        <v>600</v>
      </c>
      <c r="M11" s="4">
        <v>452</v>
      </c>
      <c r="N11" s="4">
        <v>306</v>
      </c>
      <c r="O11" s="6">
        <f t="shared" si="1"/>
        <v>0.32300884955752207</v>
      </c>
      <c r="P11" s="4" t="s">
        <v>230</v>
      </c>
      <c r="Q11" s="4" t="s">
        <v>230</v>
      </c>
      <c r="R11" s="4" t="s">
        <v>230</v>
      </c>
      <c r="S11" s="4">
        <v>80</v>
      </c>
      <c r="T11" s="4">
        <f t="shared" si="2"/>
        <v>800</v>
      </c>
      <c r="U11" s="4">
        <v>40.799999999999997</v>
      </c>
      <c r="V11" s="4">
        <f t="shared" si="3"/>
        <v>408</v>
      </c>
      <c r="W11" s="4">
        <v>10</v>
      </c>
      <c r="X11" s="20">
        <f t="shared" si="4"/>
        <v>603</v>
      </c>
      <c r="Y11" s="6">
        <f t="shared" si="5"/>
        <v>0.3233830845771144</v>
      </c>
      <c r="Z11" s="32">
        <v>13.5</v>
      </c>
      <c r="AA11" s="4">
        <f t="shared" si="6"/>
        <v>600</v>
      </c>
      <c r="AB11" s="32">
        <f t="shared" si="7"/>
        <v>800</v>
      </c>
      <c r="AC11" s="6">
        <f t="shared" si="8"/>
        <v>0.49</v>
      </c>
      <c r="AD11" s="7">
        <v>603</v>
      </c>
      <c r="AE11" s="6">
        <f t="shared" si="9"/>
        <v>0.3233830845771144</v>
      </c>
      <c r="AF11" s="4">
        <f t="shared" si="10"/>
        <v>195</v>
      </c>
      <c r="AG11" s="27"/>
      <c r="AH11" s="6"/>
      <c r="AI11" s="6"/>
      <c r="AJ11" s="6">
        <f t="shared" si="11"/>
        <v>1.3333333333333333</v>
      </c>
      <c r="AK11" s="6">
        <f t="shared" si="12"/>
        <v>1.334070796460177</v>
      </c>
      <c r="AL11" s="6">
        <f t="shared" si="13"/>
        <v>1.3333333333333333</v>
      </c>
      <c r="AM11" s="4" t="str">
        <f t="shared" si="14"/>
        <v>-</v>
      </c>
      <c r="AN11" s="4" t="str">
        <f t="shared" si="15"/>
        <v>-</v>
      </c>
      <c r="AO11" s="4" t="str">
        <f t="shared" si="16"/>
        <v>-</v>
      </c>
      <c r="AP11" s="4" t="s">
        <v>229</v>
      </c>
      <c r="AQ11" s="4" t="s">
        <v>400</v>
      </c>
      <c r="AR11" s="4"/>
      <c r="AS11" s="4"/>
      <c r="AT11" s="4" t="s">
        <v>401</v>
      </c>
      <c r="AU11" s="4">
        <v>600</v>
      </c>
      <c r="AV11" s="4">
        <f t="shared" si="17"/>
        <v>600</v>
      </c>
      <c r="AW11" s="18">
        <v>4</v>
      </c>
      <c r="AX11" s="18">
        <v>1</v>
      </c>
      <c r="AY11" s="16">
        <v>5</v>
      </c>
      <c r="AZ11">
        <v>420</v>
      </c>
      <c r="BA11">
        <f t="shared" si="18"/>
        <v>560</v>
      </c>
      <c r="BB11">
        <v>54</v>
      </c>
      <c r="BC11">
        <f t="shared" si="19"/>
        <v>72</v>
      </c>
      <c r="BD11" t="s">
        <v>278</v>
      </c>
    </row>
    <row r="12" spans="1:56" x14ac:dyDescent="0.4">
      <c r="A12" s="3">
        <v>35</v>
      </c>
      <c r="B12" s="3">
        <v>35</v>
      </c>
      <c r="C12" s="32">
        <v>179188</v>
      </c>
      <c r="D12" s="4" t="str">
        <f t="shared" si="0"/>
        <v>179188</v>
      </c>
      <c r="E12" s="4">
        <v>179188</v>
      </c>
      <c r="F12" s="4" t="s">
        <v>96</v>
      </c>
      <c r="G12" s="5">
        <v>4902778707753</v>
      </c>
      <c r="H12" s="5"/>
      <c r="I12" s="5"/>
      <c r="J12" s="5">
        <v>1</v>
      </c>
      <c r="K12" s="5">
        <v>1</v>
      </c>
      <c r="L12" s="4">
        <v>50</v>
      </c>
      <c r="M12" s="4">
        <v>40</v>
      </c>
      <c r="N12" s="4">
        <v>25.5</v>
      </c>
      <c r="O12" s="6">
        <f t="shared" si="1"/>
        <v>0.36250000000000004</v>
      </c>
      <c r="P12" s="4" t="s">
        <v>230</v>
      </c>
      <c r="Q12" s="4" t="s">
        <v>230</v>
      </c>
      <c r="R12" s="4" t="s">
        <v>230</v>
      </c>
      <c r="S12" s="4">
        <v>100</v>
      </c>
      <c r="T12" s="4">
        <f t="shared" si="2"/>
        <v>100</v>
      </c>
      <c r="U12" s="4">
        <v>51</v>
      </c>
      <c r="V12" s="4">
        <f t="shared" si="3"/>
        <v>51</v>
      </c>
      <c r="W12" s="4"/>
      <c r="X12" s="20">
        <f t="shared" si="4"/>
        <v>80</v>
      </c>
      <c r="Y12" s="6">
        <f t="shared" si="5"/>
        <v>0.36250000000000004</v>
      </c>
      <c r="Z12" s="32">
        <v>1379.75</v>
      </c>
      <c r="AA12" s="4">
        <f t="shared" si="6"/>
        <v>50</v>
      </c>
      <c r="AB12" s="32">
        <f t="shared" si="7"/>
        <v>100</v>
      </c>
      <c r="AC12" s="6">
        <f t="shared" si="8"/>
        <v>0.49</v>
      </c>
      <c r="AD12" s="7">
        <v>85</v>
      </c>
      <c r="AE12" s="6">
        <f t="shared" si="9"/>
        <v>0.4</v>
      </c>
      <c r="AF12" s="4">
        <f t="shared" si="10"/>
        <v>34</v>
      </c>
      <c r="AG12" s="27"/>
      <c r="AH12" s="6"/>
      <c r="AI12" s="6"/>
      <c r="AJ12" s="6">
        <f t="shared" si="11"/>
        <v>2</v>
      </c>
      <c r="AK12" s="6">
        <f t="shared" si="12"/>
        <v>2.125</v>
      </c>
      <c r="AL12" s="6">
        <f t="shared" si="13"/>
        <v>2</v>
      </c>
      <c r="AM12" s="4" t="str">
        <f t="shared" si="14"/>
        <v>-</v>
      </c>
      <c r="AN12" s="4" t="str">
        <f t="shared" si="15"/>
        <v>-</v>
      </c>
      <c r="AO12" s="4" t="str">
        <f t="shared" si="16"/>
        <v>-</v>
      </c>
      <c r="AP12" s="4">
        <v>0</v>
      </c>
      <c r="AQ12" s="4" t="s">
        <v>386</v>
      </c>
      <c r="AR12" s="4"/>
      <c r="AS12" s="4"/>
      <c r="AT12" s="4" t="s">
        <v>387</v>
      </c>
      <c r="AU12" s="4">
        <v>50</v>
      </c>
      <c r="AV12" s="4">
        <f t="shared" si="17"/>
        <v>50</v>
      </c>
      <c r="AW12" s="18">
        <v>4</v>
      </c>
      <c r="AX12" s="18">
        <v>1</v>
      </c>
      <c r="AY12" s="16">
        <v>5</v>
      </c>
      <c r="AZ12" t="s">
        <v>230</v>
      </c>
      <c r="BA12" t="str">
        <f t="shared" si="18"/>
        <v>-</v>
      </c>
      <c r="BB12" t="s">
        <v>230</v>
      </c>
      <c r="BC12" t="str">
        <f t="shared" si="19"/>
        <v>-</v>
      </c>
      <c r="BD12" t="s">
        <v>266</v>
      </c>
    </row>
    <row r="13" spans="1:56" x14ac:dyDescent="0.4">
      <c r="A13" s="3">
        <v>49</v>
      </c>
      <c r="B13" s="3">
        <v>49</v>
      </c>
      <c r="C13" s="32">
        <v>667324</v>
      </c>
      <c r="D13" s="4" t="str">
        <f t="shared" si="0"/>
        <v>667324</v>
      </c>
      <c r="E13" s="4">
        <v>667324</v>
      </c>
      <c r="F13" s="4" t="s">
        <v>110</v>
      </c>
      <c r="G13" s="5">
        <v>4902778137390</v>
      </c>
      <c r="H13" s="5"/>
      <c r="I13" s="5"/>
      <c r="J13" s="5">
        <v>1</v>
      </c>
      <c r="K13" s="5">
        <v>1</v>
      </c>
      <c r="L13" s="4">
        <v>80</v>
      </c>
      <c r="M13" s="4">
        <v>69</v>
      </c>
      <c r="N13" s="4">
        <v>40.799999999999997</v>
      </c>
      <c r="O13" s="6">
        <f t="shared" si="1"/>
        <v>0.40869565217391313</v>
      </c>
      <c r="P13" s="4" t="s">
        <v>230</v>
      </c>
      <c r="Q13" s="4" t="s">
        <v>230</v>
      </c>
      <c r="R13" s="4" t="s">
        <v>230</v>
      </c>
      <c r="S13" s="4">
        <v>100</v>
      </c>
      <c r="T13" s="4">
        <f t="shared" si="2"/>
        <v>100</v>
      </c>
      <c r="U13" s="4">
        <v>51</v>
      </c>
      <c r="V13" s="4">
        <f t="shared" si="3"/>
        <v>51</v>
      </c>
      <c r="W13" s="4"/>
      <c r="X13" s="20">
        <f t="shared" si="4"/>
        <v>86</v>
      </c>
      <c r="Y13" s="6">
        <f t="shared" si="5"/>
        <v>0.40697674418604646</v>
      </c>
      <c r="Z13" s="32">
        <v>40.5</v>
      </c>
      <c r="AA13" s="4">
        <f t="shared" si="6"/>
        <v>68</v>
      </c>
      <c r="AB13" s="32">
        <f t="shared" si="7"/>
        <v>85</v>
      </c>
      <c r="AC13" s="6">
        <f t="shared" si="8"/>
        <v>0.4</v>
      </c>
      <c r="AD13" s="7">
        <v>85</v>
      </c>
      <c r="AE13" s="6">
        <f t="shared" si="9"/>
        <v>0.4</v>
      </c>
      <c r="AF13" s="4">
        <f t="shared" si="10"/>
        <v>34</v>
      </c>
      <c r="AG13" s="27"/>
      <c r="AH13" s="6"/>
      <c r="AI13" s="6"/>
      <c r="AJ13" s="6">
        <f t="shared" si="11"/>
        <v>1.25</v>
      </c>
      <c r="AK13" s="6">
        <f t="shared" si="12"/>
        <v>1.2318840579710144</v>
      </c>
      <c r="AL13" s="6">
        <f t="shared" si="13"/>
        <v>1.25</v>
      </c>
      <c r="AM13" s="4" t="str">
        <f t="shared" si="14"/>
        <v>-</v>
      </c>
      <c r="AN13" s="4" t="str">
        <f t="shared" si="15"/>
        <v>-</v>
      </c>
      <c r="AO13" s="4" t="str">
        <f t="shared" si="16"/>
        <v>-</v>
      </c>
      <c r="AP13" s="4" t="s">
        <v>226</v>
      </c>
      <c r="AQ13" s="4" t="s">
        <v>403</v>
      </c>
      <c r="AR13" s="4"/>
      <c r="AS13" s="4"/>
      <c r="AT13" s="4" t="s">
        <v>349</v>
      </c>
      <c r="AU13" s="4">
        <v>68</v>
      </c>
      <c r="AV13" s="4">
        <f t="shared" si="17"/>
        <v>68</v>
      </c>
      <c r="AW13" s="18">
        <v>4</v>
      </c>
      <c r="AX13" s="18">
        <v>1</v>
      </c>
      <c r="AY13" s="16">
        <v>5</v>
      </c>
      <c r="AZ13" t="s">
        <v>230</v>
      </c>
      <c r="BA13" t="str">
        <f t="shared" si="18"/>
        <v>-</v>
      </c>
      <c r="BB13">
        <v>680</v>
      </c>
      <c r="BC13">
        <f t="shared" si="19"/>
        <v>850</v>
      </c>
      <c r="BD13" t="s">
        <v>280</v>
      </c>
    </row>
    <row r="14" spans="1:56" x14ac:dyDescent="0.4">
      <c r="A14" s="3">
        <v>50</v>
      </c>
      <c r="B14" s="3">
        <v>50</v>
      </c>
      <c r="C14" s="32">
        <v>667325</v>
      </c>
      <c r="D14" s="4" t="str">
        <f t="shared" si="0"/>
        <v>667325</v>
      </c>
      <c r="E14" s="4">
        <v>667325</v>
      </c>
      <c r="F14" s="4" t="s">
        <v>111</v>
      </c>
      <c r="G14" s="5">
        <v>4902778137383</v>
      </c>
      <c r="H14" s="5"/>
      <c r="I14" s="5"/>
      <c r="J14" s="5">
        <v>1</v>
      </c>
      <c r="K14" s="5">
        <v>1</v>
      </c>
      <c r="L14" s="4">
        <v>80</v>
      </c>
      <c r="M14" s="4">
        <v>69</v>
      </c>
      <c r="N14" s="4">
        <v>40.799999999999997</v>
      </c>
      <c r="O14" s="6">
        <f t="shared" si="1"/>
        <v>0.40869565217391313</v>
      </c>
      <c r="P14" s="4" t="s">
        <v>230</v>
      </c>
      <c r="Q14" s="4" t="s">
        <v>230</v>
      </c>
      <c r="R14" s="4" t="s">
        <v>230</v>
      </c>
      <c r="S14" s="4">
        <v>100</v>
      </c>
      <c r="T14" s="4">
        <f t="shared" si="2"/>
        <v>100</v>
      </c>
      <c r="U14" s="4">
        <v>51</v>
      </c>
      <c r="V14" s="4">
        <f t="shared" si="3"/>
        <v>51</v>
      </c>
      <c r="W14" s="4"/>
      <c r="X14" s="20">
        <f t="shared" si="4"/>
        <v>86</v>
      </c>
      <c r="Y14" s="6">
        <f t="shared" si="5"/>
        <v>0.40697674418604646</v>
      </c>
      <c r="Z14" s="32">
        <v>15.75</v>
      </c>
      <c r="AA14" s="4">
        <f t="shared" si="6"/>
        <v>80</v>
      </c>
      <c r="AB14" s="32">
        <f t="shared" si="7"/>
        <v>100</v>
      </c>
      <c r="AC14" s="6">
        <f t="shared" si="8"/>
        <v>0.49</v>
      </c>
      <c r="AD14" s="7">
        <v>85</v>
      </c>
      <c r="AE14" s="6">
        <f t="shared" si="9"/>
        <v>0.4</v>
      </c>
      <c r="AF14" s="4">
        <f t="shared" si="10"/>
        <v>34</v>
      </c>
      <c r="AG14" s="27"/>
      <c r="AH14" s="6"/>
      <c r="AI14" s="6"/>
      <c r="AJ14" s="6">
        <f t="shared" si="11"/>
        <v>1.25</v>
      </c>
      <c r="AK14" s="6">
        <f t="shared" si="12"/>
        <v>1.2318840579710144</v>
      </c>
      <c r="AL14" s="6">
        <f t="shared" si="13"/>
        <v>1.25</v>
      </c>
      <c r="AM14" s="4" t="str">
        <f t="shared" si="14"/>
        <v>-</v>
      </c>
      <c r="AN14" s="4" t="str">
        <f t="shared" si="15"/>
        <v>-</v>
      </c>
      <c r="AO14" s="4" t="str">
        <f t="shared" si="16"/>
        <v>-</v>
      </c>
      <c r="AP14" s="4" t="s">
        <v>226</v>
      </c>
      <c r="AQ14" s="4" t="s">
        <v>404</v>
      </c>
      <c r="AR14" s="4"/>
      <c r="AS14" s="4"/>
      <c r="AT14" s="4" t="s">
        <v>349</v>
      </c>
      <c r="AU14" s="4">
        <v>80</v>
      </c>
      <c r="AV14" s="4">
        <f t="shared" si="17"/>
        <v>80</v>
      </c>
      <c r="AW14" s="18">
        <v>4</v>
      </c>
      <c r="AX14" s="18">
        <v>1</v>
      </c>
      <c r="AY14" s="16">
        <v>5</v>
      </c>
      <c r="AZ14" t="s">
        <v>230</v>
      </c>
      <c r="BA14" t="str">
        <f t="shared" si="18"/>
        <v>-</v>
      </c>
      <c r="BB14">
        <v>680</v>
      </c>
      <c r="BC14">
        <f t="shared" si="19"/>
        <v>850</v>
      </c>
      <c r="BD14" t="s">
        <v>281</v>
      </c>
    </row>
    <row r="15" spans="1:56" x14ac:dyDescent="0.4">
      <c r="A15" s="3">
        <v>51</v>
      </c>
      <c r="B15" s="3">
        <v>51</v>
      </c>
      <c r="C15" s="32">
        <v>667326</v>
      </c>
      <c r="D15" s="4" t="str">
        <f t="shared" si="0"/>
        <v>667326</v>
      </c>
      <c r="E15" s="4">
        <v>667326</v>
      </c>
      <c r="F15" s="4" t="s">
        <v>112</v>
      </c>
      <c r="G15" s="5">
        <v>4902778137406</v>
      </c>
      <c r="H15" s="5"/>
      <c r="I15" s="5"/>
      <c r="J15" s="5">
        <v>1</v>
      </c>
      <c r="K15" s="5">
        <v>1</v>
      </c>
      <c r="L15" s="4">
        <v>80</v>
      </c>
      <c r="M15" s="4">
        <v>69</v>
      </c>
      <c r="N15" s="4">
        <v>40.799999999999997</v>
      </c>
      <c r="O15" s="6">
        <f t="shared" si="1"/>
        <v>0.40869565217391313</v>
      </c>
      <c r="P15" s="4" t="s">
        <v>230</v>
      </c>
      <c r="Q15" s="4" t="s">
        <v>230</v>
      </c>
      <c r="R15" s="4" t="s">
        <v>230</v>
      </c>
      <c r="S15" s="4">
        <v>100</v>
      </c>
      <c r="T15" s="4">
        <f t="shared" si="2"/>
        <v>100</v>
      </c>
      <c r="U15" s="4">
        <v>51</v>
      </c>
      <c r="V15" s="4">
        <f t="shared" si="3"/>
        <v>51</v>
      </c>
      <c r="W15" s="4"/>
      <c r="X15" s="20">
        <f t="shared" si="4"/>
        <v>86</v>
      </c>
      <c r="Y15" s="6">
        <f t="shared" si="5"/>
        <v>0.40697674418604646</v>
      </c>
      <c r="Z15" s="32">
        <v>21</v>
      </c>
      <c r="AA15" s="4">
        <f t="shared" si="6"/>
        <v>80</v>
      </c>
      <c r="AB15" s="32">
        <f t="shared" si="7"/>
        <v>100</v>
      </c>
      <c r="AC15" s="6">
        <f t="shared" si="8"/>
        <v>0.49</v>
      </c>
      <c r="AD15" s="7">
        <v>85</v>
      </c>
      <c r="AE15" s="6">
        <f t="shared" si="9"/>
        <v>0.4</v>
      </c>
      <c r="AF15" s="4">
        <f t="shared" si="10"/>
        <v>34</v>
      </c>
      <c r="AG15" s="27"/>
      <c r="AH15" s="6"/>
      <c r="AI15" s="6"/>
      <c r="AJ15" s="6">
        <f t="shared" si="11"/>
        <v>1.25</v>
      </c>
      <c r="AK15" s="6">
        <f t="shared" si="12"/>
        <v>1.2318840579710144</v>
      </c>
      <c r="AL15" s="6">
        <f t="shared" si="13"/>
        <v>1.25</v>
      </c>
      <c r="AM15" s="4" t="str">
        <f t="shared" si="14"/>
        <v>-</v>
      </c>
      <c r="AN15" s="4" t="str">
        <f t="shared" si="15"/>
        <v>-</v>
      </c>
      <c r="AO15" s="4" t="str">
        <f t="shared" si="16"/>
        <v>-</v>
      </c>
      <c r="AP15" s="4" t="s">
        <v>226</v>
      </c>
      <c r="AQ15" s="4" t="s">
        <v>405</v>
      </c>
      <c r="AR15" s="4"/>
      <c r="AS15" s="4"/>
      <c r="AT15" s="4" t="s">
        <v>349</v>
      </c>
      <c r="AU15" s="4">
        <v>80</v>
      </c>
      <c r="AV15" s="4">
        <f t="shared" si="17"/>
        <v>80</v>
      </c>
      <c r="AW15" s="18">
        <v>4</v>
      </c>
      <c r="AX15" s="18">
        <v>1</v>
      </c>
      <c r="AY15" s="16">
        <v>5</v>
      </c>
      <c r="AZ15" t="s">
        <v>230</v>
      </c>
      <c r="BA15" t="str">
        <f t="shared" si="18"/>
        <v>-</v>
      </c>
      <c r="BB15">
        <v>680</v>
      </c>
      <c r="BC15">
        <f t="shared" si="19"/>
        <v>850</v>
      </c>
      <c r="BD15" t="s">
        <v>282</v>
      </c>
    </row>
    <row r="16" spans="1:56" x14ac:dyDescent="0.4">
      <c r="A16" s="3">
        <v>52</v>
      </c>
      <c r="B16" s="3">
        <v>52</v>
      </c>
      <c r="C16" s="32">
        <v>667327</v>
      </c>
      <c r="D16" s="4" t="str">
        <f t="shared" si="0"/>
        <v>667327</v>
      </c>
      <c r="E16" s="4">
        <v>667327</v>
      </c>
      <c r="F16" s="4" t="s">
        <v>113</v>
      </c>
      <c r="G16" s="5">
        <v>4902778092323</v>
      </c>
      <c r="H16" s="5"/>
      <c r="I16" s="5"/>
      <c r="J16" s="5">
        <v>1</v>
      </c>
      <c r="K16" s="5">
        <v>1</v>
      </c>
      <c r="L16" s="4">
        <v>80</v>
      </c>
      <c r="M16" s="4">
        <v>69</v>
      </c>
      <c r="N16" s="4">
        <v>40.799999999999997</v>
      </c>
      <c r="O16" s="6">
        <f t="shared" si="1"/>
        <v>0.40869565217391313</v>
      </c>
      <c r="P16" s="4" t="s">
        <v>230</v>
      </c>
      <c r="Q16" s="4" t="s">
        <v>230</v>
      </c>
      <c r="R16" s="4" t="s">
        <v>230</v>
      </c>
      <c r="S16" s="4">
        <v>100</v>
      </c>
      <c r="T16" s="4">
        <f t="shared" si="2"/>
        <v>100</v>
      </c>
      <c r="U16" s="4">
        <v>51</v>
      </c>
      <c r="V16" s="4">
        <f t="shared" si="3"/>
        <v>51</v>
      </c>
      <c r="W16" s="4"/>
      <c r="X16" s="20">
        <f t="shared" si="4"/>
        <v>86</v>
      </c>
      <c r="Y16" s="6">
        <f t="shared" si="5"/>
        <v>0.40697674418604646</v>
      </c>
      <c r="Z16" s="32">
        <v>15.5</v>
      </c>
      <c r="AA16" s="4">
        <f t="shared" si="6"/>
        <v>80</v>
      </c>
      <c r="AB16" s="32">
        <f t="shared" si="7"/>
        <v>100</v>
      </c>
      <c r="AC16" s="6">
        <f t="shared" si="8"/>
        <v>0.49</v>
      </c>
      <c r="AD16" s="7">
        <v>85</v>
      </c>
      <c r="AE16" s="6">
        <f t="shared" si="9"/>
        <v>0.4</v>
      </c>
      <c r="AF16" s="4">
        <f t="shared" si="10"/>
        <v>34</v>
      </c>
      <c r="AG16" s="27"/>
      <c r="AH16" s="6"/>
      <c r="AI16" s="6"/>
      <c r="AJ16" s="6">
        <f t="shared" si="11"/>
        <v>1.25</v>
      </c>
      <c r="AK16" s="6">
        <f t="shared" si="12"/>
        <v>1.2318840579710144</v>
      </c>
      <c r="AL16" s="6">
        <f t="shared" si="13"/>
        <v>1.25</v>
      </c>
      <c r="AM16" s="4" t="str">
        <f t="shared" si="14"/>
        <v>-</v>
      </c>
      <c r="AN16" s="4" t="str">
        <f t="shared" si="15"/>
        <v>-</v>
      </c>
      <c r="AO16" s="4" t="str">
        <f t="shared" si="16"/>
        <v>-</v>
      </c>
      <c r="AP16" s="4" t="s">
        <v>226</v>
      </c>
      <c r="AQ16" s="4" t="s">
        <v>406</v>
      </c>
      <c r="AR16" s="4">
        <v>1</v>
      </c>
      <c r="AS16" s="4">
        <v>50</v>
      </c>
      <c r="AT16" s="4" t="s">
        <v>407</v>
      </c>
      <c r="AU16" s="4">
        <v>4000</v>
      </c>
      <c r="AV16" s="4">
        <f t="shared" si="17"/>
        <v>80</v>
      </c>
      <c r="AW16" s="18">
        <v>4</v>
      </c>
      <c r="AX16" s="18">
        <v>1</v>
      </c>
      <c r="AY16" s="16">
        <v>5</v>
      </c>
      <c r="AZ16">
        <v>640</v>
      </c>
      <c r="BA16">
        <f t="shared" si="18"/>
        <v>800</v>
      </c>
      <c r="BB16">
        <v>679</v>
      </c>
      <c r="BC16">
        <f t="shared" si="19"/>
        <v>848.75</v>
      </c>
      <c r="BD16" t="s">
        <v>283</v>
      </c>
    </row>
    <row r="17" spans="1:56" x14ac:dyDescent="0.4">
      <c r="A17" s="3">
        <v>53</v>
      </c>
      <c r="B17" s="3">
        <v>53</v>
      </c>
      <c r="C17" s="32">
        <v>667328</v>
      </c>
      <c r="D17" s="4" t="str">
        <f t="shared" si="0"/>
        <v>667328</v>
      </c>
      <c r="E17" s="4">
        <v>667328</v>
      </c>
      <c r="F17" s="4" t="s">
        <v>114</v>
      </c>
      <c r="G17" s="5">
        <v>4902778092347</v>
      </c>
      <c r="H17" s="5"/>
      <c r="I17" s="5"/>
      <c r="J17" s="5">
        <v>1</v>
      </c>
      <c r="K17" s="5">
        <v>1</v>
      </c>
      <c r="L17" s="4">
        <v>80</v>
      </c>
      <c r="M17" s="4">
        <v>69</v>
      </c>
      <c r="N17" s="4">
        <v>40.799999999999997</v>
      </c>
      <c r="O17" s="6">
        <f t="shared" si="1"/>
        <v>0.40869565217391313</v>
      </c>
      <c r="P17" s="4" t="s">
        <v>230</v>
      </c>
      <c r="Q17" s="4" t="s">
        <v>230</v>
      </c>
      <c r="R17" s="4" t="s">
        <v>230</v>
      </c>
      <c r="S17" s="4">
        <v>100</v>
      </c>
      <c r="T17" s="4">
        <f t="shared" si="2"/>
        <v>100</v>
      </c>
      <c r="U17" s="4">
        <v>51</v>
      </c>
      <c r="V17" s="4">
        <f t="shared" si="3"/>
        <v>51</v>
      </c>
      <c r="W17" s="4"/>
      <c r="X17" s="20">
        <f t="shared" si="4"/>
        <v>86</v>
      </c>
      <c r="Y17" s="6">
        <f t="shared" si="5"/>
        <v>0.40697674418604646</v>
      </c>
      <c r="Z17" s="32">
        <v>8.75</v>
      </c>
      <c r="AA17" s="4">
        <f t="shared" si="6"/>
        <v>56</v>
      </c>
      <c r="AB17" s="32">
        <f t="shared" si="7"/>
        <v>70</v>
      </c>
      <c r="AC17" s="6">
        <f t="shared" si="8"/>
        <v>0.27142857142857146</v>
      </c>
      <c r="AD17" s="7">
        <v>85</v>
      </c>
      <c r="AE17" s="6">
        <f t="shared" si="9"/>
        <v>0.4</v>
      </c>
      <c r="AF17" s="4">
        <f t="shared" si="10"/>
        <v>34</v>
      </c>
      <c r="AG17" s="27"/>
      <c r="AH17" s="6"/>
      <c r="AI17" s="6"/>
      <c r="AJ17" s="6">
        <f t="shared" si="11"/>
        <v>1.25</v>
      </c>
      <c r="AK17" s="6">
        <f t="shared" si="12"/>
        <v>1.2318840579710144</v>
      </c>
      <c r="AL17" s="6">
        <f t="shared" si="13"/>
        <v>1.25</v>
      </c>
      <c r="AM17" s="4" t="str">
        <f t="shared" si="14"/>
        <v>-</v>
      </c>
      <c r="AN17" s="4" t="str">
        <f t="shared" si="15"/>
        <v>-</v>
      </c>
      <c r="AO17" s="4" t="str">
        <f t="shared" si="16"/>
        <v>-</v>
      </c>
      <c r="AP17" s="4" t="s">
        <v>226</v>
      </c>
      <c r="AQ17" s="4" t="s">
        <v>408</v>
      </c>
      <c r="AR17" s="4">
        <v>1</v>
      </c>
      <c r="AS17" s="4">
        <v>10</v>
      </c>
      <c r="AT17" s="4" t="s">
        <v>409</v>
      </c>
      <c r="AU17" s="4">
        <v>560</v>
      </c>
      <c r="AV17" s="4">
        <f t="shared" si="17"/>
        <v>56</v>
      </c>
      <c r="AW17" s="18">
        <v>4</v>
      </c>
      <c r="AX17" s="18">
        <v>1</v>
      </c>
      <c r="AY17" s="16">
        <v>5</v>
      </c>
      <c r="AZ17">
        <v>640</v>
      </c>
      <c r="BA17">
        <f t="shared" si="18"/>
        <v>800</v>
      </c>
      <c r="BB17">
        <v>679</v>
      </c>
      <c r="BC17">
        <f t="shared" si="19"/>
        <v>848.75</v>
      </c>
      <c r="BD17" t="s">
        <v>284</v>
      </c>
    </row>
    <row r="18" spans="1:56" x14ac:dyDescent="0.4">
      <c r="A18" s="3">
        <v>54</v>
      </c>
      <c r="B18" s="3">
        <v>54</v>
      </c>
      <c r="C18" s="32">
        <v>678530</v>
      </c>
      <c r="D18" s="4" t="str">
        <f t="shared" si="0"/>
        <v>678530</v>
      </c>
      <c r="E18" s="4">
        <v>678530</v>
      </c>
      <c r="F18" s="4" t="s">
        <v>115</v>
      </c>
      <c r="G18" s="5">
        <v>4902778092330</v>
      </c>
      <c r="H18" s="5"/>
      <c r="I18" s="5"/>
      <c r="J18" s="5">
        <v>1</v>
      </c>
      <c r="K18" s="5">
        <v>1</v>
      </c>
      <c r="L18" s="4">
        <v>80</v>
      </c>
      <c r="M18" s="4">
        <v>69</v>
      </c>
      <c r="N18" s="4">
        <v>40.799999999999997</v>
      </c>
      <c r="O18" s="6">
        <f t="shared" si="1"/>
        <v>0.40869565217391313</v>
      </c>
      <c r="P18" s="4" t="s">
        <v>230</v>
      </c>
      <c r="Q18" s="4" t="s">
        <v>230</v>
      </c>
      <c r="R18" s="4" t="s">
        <v>230</v>
      </c>
      <c r="S18" s="4">
        <v>100</v>
      </c>
      <c r="T18" s="4">
        <f t="shared" si="2"/>
        <v>100</v>
      </c>
      <c r="U18" s="4">
        <v>51</v>
      </c>
      <c r="V18" s="4">
        <f t="shared" si="3"/>
        <v>51</v>
      </c>
      <c r="W18" s="4"/>
      <c r="X18" s="20">
        <f t="shared" si="4"/>
        <v>86</v>
      </c>
      <c r="Y18" s="6">
        <f t="shared" si="5"/>
        <v>0.40697674418604646</v>
      </c>
      <c r="Z18" s="32">
        <v>24.5</v>
      </c>
      <c r="AA18" s="4">
        <f t="shared" si="6"/>
        <v>80</v>
      </c>
      <c r="AB18" s="32">
        <f t="shared" si="7"/>
        <v>100</v>
      </c>
      <c r="AC18" s="6">
        <f t="shared" si="8"/>
        <v>0.49</v>
      </c>
      <c r="AD18" s="7">
        <v>85</v>
      </c>
      <c r="AE18" s="6">
        <f t="shared" si="9"/>
        <v>0.4</v>
      </c>
      <c r="AF18" s="4">
        <f t="shared" si="10"/>
        <v>34</v>
      </c>
      <c r="AG18" s="27"/>
      <c r="AH18" s="6"/>
      <c r="AI18" s="6"/>
      <c r="AJ18" s="6">
        <f t="shared" si="11"/>
        <v>1.25</v>
      </c>
      <c r="AK18" s="6">
        <f t="shared" si="12"/>
        <v>1.2318840579710144</v>
      </c>
      <c r="AL18" s="6">
        <f t="shared" si="13"/>
        <v>1.25</v>
      </c>
      <c r="AM18" s="4" t="str">
        <f t="shared" si="14"/>
        <v>-</v>
      </c>
      <c r="AN18" s="4" t="str">
        <f t="shared" si="15"/>
        <v>-</v>
      </c>
      <c r="AO18" s="4" t="str">
        <f t="shared" si="16"/>
        <v>-</v>
      </c>
      <c r="AP18" s="4" t="s">
        <v>226</v>
      </c>
      <c r="AQ18" s="4" t="s">
        <v>410</v>
      </c>
      <c r="AR18" s="4">
        <v>1</v>
      </c>
      <c r="AS18" s="4">
        <v>50</v>
      </c>
      <c r="AT18" s="4" t="s">
        <v>411</v>
      </c>
      <c r="AU18" s="4">
        <v>4000</v>
      </c>
      <c r="AV18" s="4">
        <f t="shared" si="17"/>
        <v>80</v>
      </c>
      <c r="AW18" s="18">
        <v>4</v>
      </c>
      <c r="AX18" s="18">
        <v>1</v>
      </c>
      <c r="AY18" s="16">
        <v>5</v>
      </c>
      <c r="AZ18">
        <v>640</v>
      </c>
      <c r="BA18">
        <f t="shared" si="18"/>
        <v>800</v>
      </c>
      <c r="BB18">
        <v>80</v>
      </c>
      <c r="BC18">
        <f t="shared" si="19"/>
        <v>100</v>
      </c>
      <c r="BD18" t="s">
        <v>285</v>
      </c>
    </row>
    <row r="19" spans="1:56" x14ac:dyDescent="0.4">
      <c r="A19" s="3">
        <v>55</v>
      </c>
      <c r="B19" s="3">
        <v>55</v>
      </c>
      <c r="C19" s="32">
        <v>678531</v>
      </c>
      <c r="D19" s="4" t="str">
        <f t="shared" si="0"/>
        <v>678531</v>
      </c>
      <c r="E19" s="4">
        <v>678531</v>
      </c>
      <c r="F19" s="4" t="s">
        <v>116</v>
      </c>
      <c r="G19" s="5">
        <v>4902778092361</v>
      </c>
      <c r="H19" s="5"/>
      <c r="I19" s="5"/>
      <c r="J19" s="5">
        <v>1</v>
      </c>
      <c r="K19" s="5">
        <v>1</v>
      </c>
      <c r="L19" s="4">
        <v>80</v>
      </c>
      <c r="M19" s="4">
        <v>68</v>
      </c>
      <c r="N19" s="4">
        <v>40.799999999999997</v>
      </c>
      <c r="O19" s="6">
        <f t="shared" si="1"/>
        <v>0.4</v>
      </c>
      <c r="P19" s="4" t="s">
        <v>230</v>
      </c>
      <c r="Q19" s="4" t="s">
        <v>230</v>
      </c>
      <c r="R19" s="4" t="s">
        <v>230</v>
      </c>
      <c r="S19" s="4">
        <v>100</v>
      </c>
      <c r="T19" s="4">
        <f t="shared" si="2"/>
        <v>100</v>
      </c>
      <c r="U19" s="4">
        <v>51</v>
      </c>
      <c r="V19" s="4">
        <f t="shared" si="3"/>
        <v>51</v>
      </c>
      <c r="W19" s="4"/>
      <c r="X19" s="20">
        <f t="shared" si="4"/>
        <v>85</v>
      </c>
      <c r="Y19" s="6">
        <f t="shared" si="5"/>
        <v>0.4</v>
      </c>
      <c r="Z19" s="32">
        <v>5.75</v>
      </c>
      <c r="AA19" s="4">
        <f t="shared" si="6"/>
        <v>79.692307692307693</v>
      </c>
      <c r="AB19" s="32">
        <f t="shared" si="7"/>
        <v>99.615384615384613</v>
      </c>
      <c r="AC19" s="6">
        <f t="shared" si="8"/>
        <v>0.48803088803088801</v>
      </c>
      <c r="AD19" s="7">
        <v>85</v>
      </c>
      <c r="AE19" s="6">
        <f t="shared" si="9"/>
        <v>0.4</v>
      </c>
      <c r="AF19" s="4">
        <f t="shared" si="10"/>
        <v>34</v>
      </c>
      <c r="AG19" s="27"/>
      <c r="AH19" s="6"/>
      <c r="AI19" s="6"/>
      <c r="AJ19" s="6">
        <f t="shared" si="11"/>
        <v>1.25</v>
      </c>
      <c r="AK19" s="6">
        <f t="shared" si="12"/>
        <v>1.25</v>
      </c>
      <c r="AL19" s="6">
        <f t="shared" si="13"/>
        <v>1.25</v>
      </c>
      <c r="AM19" s="4" t="str">
        <f t="shared" si="14"/>
        <v>-</v>
      </c>
      <c r="AN19" s="4" t="str">
        <f t="shared" si="15"/>
        <v>-</v>
      </c>
      <c r="AO19" s="4" t="str">
        <f t="shared" si="16"/>
        <v>-</v>
      </c>
      <c r="AP19" s="4">
        <v>0</v>
      </c>
      <c r="AQ19" s="4" t="s">
        <v>412</v>
      </c>
      <c r="AR19" s="4">
        <v>1</v>
      </c>
      <c r="AS19" s="4">
        <v>13</v>
      </c>
      <c r="AT19" s="4" t="s">
        <v>413</v>
      </c>
      <c r="AU19" s="4">
        <v>1036</v>
      </c>
      <c r="AV19" s="4">
        <f t="shared" si="17"/>
        <v>79.692307692307693</v>
      </c>
      <c r="AW19" s="18">
        <v>4</v>
      </c>
      <c r="AX19" s="18">
        <v>1</v>
      </c>
      <c r="AY19" s="16">
        <v>5</v>
      </c>
      <c r="AZ19">
        <v>640</v>
      </c>
      <c r="BA19">
        <f t="shared" si="18"/>
        <v>800</v>
      </c>
      <c r="BB19">
        <v>764</v>
      </c>
      <c r="BC19">
        <f t="shared" si="19"/>
        <v>955</v>
      </c>
      <c r="BD19" t="s">
        <v>286</v>
      </c>
    </row>
    <row r="20" spans="1:56" x14ac:dyDescent="0.4">
      <c r="A20" s="3">
        <v>67</v>
      </c>
      <c r="B20" s="3">
        <v>67</v>
      </c>
      <c r="C20" s="32">
        <v>698944</v>
      </c>
      <c r="D20" s="4" t="str">
        <f t="shared" si="0"/>
        <v>698944</v>
      </c>
      <c r="E20" s="4">
        <v>698944</v>
      </c>
      <c r="F20" s="4" t="s">
        <v>128</v>
      </c>
      <c r="G20" s="5">
        <v>4902778092354</v>
      </c>
      <c r="H20" s="5"/>
      <c r="I20" s="5"/>
      <c r="J20" s="5">
        <v>1</v>
      </c>
      <c r="K20" s="5">
        <v>1</v>
      </c>
      <c r="L20" s="4">
        <v>80</v>
      </c>
      <c r="M20" s="4">
        <v>69</v>
      </c>
      <c r="N20" s="4">
        <v>40.799999999999997</v>
      </c>
      <c r="O20" s="6">
        <f t="shared" si="1"/>
        <v>0.40869565217391313</v>
      </c>
      <c r="P20" s="4" t="s">
        <v>230</v>
      </c>
      <c r="Q20" s="4" t="s">
        <v>230</v>
      </c>
      <c r="R20" s="4" t="s">
        <v>230</v>
      </c>
      <c r="S20" s="4">
        <v>100</v>
      </c>
      <c r="T20" s="4">
        <f t="shared" si="2"/>
        <v>100</v>
      </c>
      <c r="U20" s="4">
        <v>51</v>
      </c>
      <c r="V20" s="4">
        <f t="shared" si="3"/>
        <v>51</v>
      </c>
      <c r="W20" s="4"/>
      <c r="X20" s="20">
        <f t="shared" si="4"/>
        <v>86</v>
      </c>
      <c r="Y20" s="6">
        <f t="shared" si="5"/>
        <v>0.40697674418604646</v>
      </c>
      <c r="Z20" s="32">
        <v>2.5</v>
      </c>
      <c r="AA20" s="4">
        <f t="shared" si="6"/>
        <v>79.692307692307693</v>
      </c>
      <c r="AB20" s="32">
        <f t="shared" si="7"/>
        <v>99.615384615384613</v>
      </c>
      <c r="AC20" s="6">
        <f t="shared" si="8"/>
        <v>0.48803088803088801</v>
      </c>
      <c r="AD20" s="7">
        <v>85</v>
      </c>
      <c r="AE20" s="6">
        <f t="shared" si="9"/>
        <v>0.4</v>
      </c>
      <c r="AF20" s="4">
        <f t="shared" si="10"/>
        <v>34</v>
      </c>
      <c r="AG20" s="27"/>
      <c r="AH20" s="6"/>
      <c r="AI20" s="6"/>
      <c r="AJ20" s="6">
        <f t="shared" si="11"/>
        <v>1.25</v>
      </c>
      <c r="AK20" s="6">
        <f t="shared" si="12"/>
        <v>1.2318840579710144</v>
      </c>
      <c r="AL20" s="6">
        <f t="shared" si="13"/>
        <v>1.25</v>
      </c>
      <c r="AM20" s="4" t="str">
        <f t="shared" si="14"/>
        <v>-</v>
      </c>
      <c r="AN20" s="4" t="str">
        <f t="shared" si="15"/>
        <v>-</v>
      </c>
      <c r="AO20" s="4" t="str">
        <f t="shared" si="16"/>
        <v>-</v>
      </c>
      <c r="AP20" s="4">
        <v>0</v>
      </c>
      <c r="AQ20" s="4" t="s">
        <v>425</v>
      </c>
      <c r="AR20" s="4">
        <v>1</v>
      </c>
      <c r="AS20" s="4">
        <v>13</v>
      </c>
      <c r="AT20" s="4" t="s">
        <v>413</v>
      </c>
      <c r="AU20" s="4">
        <v>1036</v>
      </c>
      <c r="AV20" s="4">
        <f t="shared" si="17"/>
        <v>79.692307692307693</v>
      </c>
      <c r="AW20" s="18">
        <v>4</v>
      </c>
      <c r="AX20" s="18">
        <v>1</v>
      </c>
      <c r="AY20" s="16">
        <v>5</v>
      </c>
      <c r="AZ20" t="s">
        <v>230</v>
      </c>
      <c r="BA20" t="str">
        <f t="shared" si="18"/>
        <v>-</v>
      </c>
      <c r="BB20">
        <v>764</v>
      </c>
      <c r="BC20">
        <f t="shared" si="19"/>
        <v>955</v>
      </c>
      <c r="BD20" t="s">
        <v>296</v>
      </c>
    </row>
    <row r="21" spans="1:56" x14ac:dyDescent="0.4">
      <c r="A21" s="3">
        <v>68</v>
      </c>
      <c r="B21" s="3">
        <v>68</v>
      </c>
      <c r="C21" s="32">
        <v>698945</v>
      </c>
      <c r="D21" s="4" t="str">
        <f t="shared" si="0"/>
        <v>698945</v>
      </c>
      <c r="E21" s="4">
        <v>698945</v>
      </c>
      <c r="F21" s="4" t="s">
        <v>129</v>
      </c>
      <c r="G21" s="5">
        <v>4902778092378</v>
      </c>
      <c r="H21" s="5"/>
      <c r="I21" s="5"/>
      <c r="J21" s="5">
        <v>1</v>
      </c>
      <c r="K21" s="5">
        <v>1</v>
      </c>
      <c r="L21" s="4">
        <v>80</v>
      </c>
      <c r="M21" s="4">
        <v>69</v>
      </c>
      <c r="N21" s="4">
        <v>40.799999999999997</v>
      </c>
      <c r="O21" s="6">
        <f t="shared" si="1"/>
        <v>0.40869565217391313</v>
      </c>
      <c r="P21" s="4" t="s">
        <v>230</v>
      </c>
      <c r="Q21" s="4" t="s">
        <v>230</v>
      </c>
      <c r="R21" s="4" t="s">
        <v>230</v>
      </c>
      <c r="S21" s="4">
        <v>100</v>
      </c>
      <c r="T21" s="4">
        <f t="shared" si="2"/>
        <v>100</v>
      </c>
      <c r="U21" s="4">
        <v>51</v>
      </c>
      <c r="V21" s="4">
        <f t="shared" si="3"/>
        <v>51</v>
      </c>
      <c r="W21" s="4"/>
      <c r="X21" s="20">
        <f t="shared" si="4"/>
        <v>86</v>
      </c>
      <c r="Y21" s="6">
        <f t="shared" si="5"/>
        <v>0.40697674418604646</v>
      </c>
      <c r="Z21" s="32">
        <v>2.25</v>
      </c>
      <c r="AA21" s="4">
        <f t="shared" si="6"/>
        <v>79.692307692307693</v>
      </c>
      <c r="AB21" s="32">
        <f t="shared" si="7"/>
        <v>99.615384615384613</v>
      </c>
      <c r="AC21" s="6">
        <f t="shared" si="8"/>
        <v>0.48803088803088801</v>
      </c>
      <c r="AD21" s="7">
        <v>85</v>
      </c>
      <c r="AE21" s="6">
        <f t="shared" si="9"/>
        <v>0.4</v>
      </c>
      <c r="AF21" s="4">
        <f t="shared" si="10"/>
        <v>34</v>
      </c>
      <c r="AG21" s="27"/>
      <c r="AH21" s="6"/>
      <c r="AI21" s="6"/>
      <c r="AJ21" s="6">
        <f t="shared" si="11"/>
        <v>1.25</v>
      </c>
      <c r="AK21" s="6">
        <f t="shared" si="12"/>
        <v>1.2318840579710144</v>
      </c>
      <c r="AL21" s="6">
        <f t="shared" si="13"/>
        <v>1.25</v>
      </c>
      <c r="AM21" s="4" t="str">
        <f t="shared" si="14"/>
        <v>-</v>
      </c>
      <c r="AN21" s="4" t="str">
        <f t="shared" si="15"/>
        <v>-</v>
      </c>
      <c r="AO21" s="4" t="str">
        <f t="shared" si="16"/>
        <v>-</v>
      </c>
      <c r="AP21" s="4">
        <v>0</v>
      </c>
      <c r="AQ21" s="4" t="s">
        <v>426</v>
      </c>
      <c r="AR21" s="4">
        <v>1</v>
      </c>
      <c r="AS21" s="4">
        <v>13</v>
      </c>
      <c r="AT21" s="4" t="s">
        <v>413</v>
      </c>
      <c r="AU21" s="4">
        <v>1036</v>
      </c>
      <c r="AV21" s="4">
        <f t="shared" si="17"/>
        <v>79.692307692307693</v>
      </c>
      <c r="AW21" s="18">
        <v>4</v>
      </c>
      <c r="AX21" s="18">
        <v>1</v>
      </c>
      <c r="AY21" s="16">
        <v>5</v>
      </c>
      <c r="AZ21">
        <v>640</v>
      </c>
      <c r="BA21">
        <f t="shared" si="18"/>
        <v>800</v>
      </c>
      <c r="BB21">
        <v>764</v>
      </c>
      <c r="BC21">
        <f t="shared" si="19"/>
        <v>955</v>
      </c>
      <c r="BD21" t="s">
        <v>297</v>
      </c>
    </row>
    <row r="22" spans="1:56" x14ac:dyDescent="0.4">
      <c r="A22" s="3">
        <v>92</v>
      </c>
      <c r="B22" s="3">
        <v>92</v>
      </c>
      <c r="C22" s="32">
        <v>937790</v>
      </c>
      <c r="D22" s="4" t="str">
        <f t="shared" si="0"/>
        <v>937790</v>
      </c>
      <c r="E22" s="4">
        <v>937790</v>
      </c>
      <c r="F22" s="4" t="s">
        <v>153</v>
      </c>
      <c r="G22" s="5">
        <v>4902778281208</v>
      </c>
      <c r="H22" s="5"/>
      <c r="I22" s="5"/>
      <c r="J22" s="5">
        <v>1</v>
      </c>
      <c r="K22" s="5">
        <v>1</v>
      </c>
      <c r="L22" s="4">
        <v>70</v>
      </c>
      <c r="M22" s="4">
        <v>58</v>
      </c>
      <c r="N22" s="4">
        <v>35.700000000000003</v>
      </c>
      <c r="O22" s="6">
        <f t="shared" si="1"/>
        <v>0.38448275862068959</v>
      </c>
      <c r="P22" s="4" t="s">
        <v>230</v>
      </c>
      <c r="Q22" s="4" t="s">
        <v>230</v>
      </c>
      <c r="R22" s="4" t="s">
        <v>230</v>
      </c>
      <c r="S22" s="4">
        <v>100</v>
      </c>
      <c r="T22" s="4">
        <f t="shared" si="2"/>
        <v>100</v>
      </c>
      <c r="U22" s="4">
        <v>51</v>
      </c>
      <c r="V22" s="4">
        <f t="shared" si="3"/>
        <v>51</v>
      </c>
      <c r="W22" s="4"/>
      <c r="X22" s="20">
        <f t="shared" si="4"/>
        <v>83</v>
      </c>
      <c r="Y22" s="6">
        <f t="shared" si="5"/>
        <v>0.38554216867469882</v>
      </c>
      <c r="Z22" s="32">
        <v>55.25</v>
      </c>
      <c r="AA22" s="4">
        <f t="shared" si="6"/>
        <v>50</v>
      </c>
      <c r="AB22" s="32">
        <f t="shared" si="7"/>
        <v>71.428571428571416</v>
      </c>
      <c r="AC22" s="6">
        <f t="shared" si="8"/>
        <v>0.28599999999999992</v>
      </c>
      <c r="AD22" s="7">
        <v>80</v>
      </c>
      <c r="AE22" s="6">
        <f t="shared" si="9"/>
        <v>0.36250000000000004</v>
      </c>
      <c r="AF22" s="4">
        <f t="shared" si="10"/>
        <v>29</v>
      </c>
      <c r="AG22" s="27"/>
      <c r="AH22" s="6"/>
      <c r="AI22" s="6"/>
      <c r="AJ22" s="6">
        <f t="shared" si="11"/>
        <v>1.4285714285714286</v>
      </c>
      <c r="AK22" s="6">
        <f t="shared" si="12"/>
        <v>1.3793103448275863</v>
      </c>
      <c r="AL22" s="6">
        <f t="shared" si="13"/>
        <v>1.4285714285714284</v>
      </c>
      <c r="AM22" s="4" t="str">
        <f t="shared" si="14"/>
        <v>-</v>
      </c>
      <c r="AN22" s="4" t="str">
        <f t="shared" si="15"/>
        <v>-</v>
      </c>
      <c r="AO22" s="4" t="str">
        <f t="shared" si="16"/>
        <v>-</v>
      </c>
      <c r="AP22" s="4">
        <v>0</v>
      </c>
      <c r="AQ22" s="4" t="s">
        <v>450</v>
      </c>
      <c r="AR22" s="4"/>
      <c r="AS22" s="4"/>
      <c r="AT22" s="4" t="s">
        <v>349</v>
      </c>
      <c r="AU22" s="4">
        <v>50</v>
      </c>
      <c r="AV22" s="4">
        <f t="shared" si="17"/>
        <v>50</v>
      </c>
      <c r="AW22" s="18">
        <v>4</v>
      </c>
      <c r="AX22" s="18">
        <v>1</v>
      </c>
      <c r="AY22" s="16">
        <v>5</v>
      </c>
      <c r="AZ22" t="s">
        <v>230</v>
      </c>
      <c r="BA22" t="str">
        <f t="shared" si="18"/>
        <v>-</v>
      </c>
      <c r="BB22">
        <v>58</v>
      </c>
      <c r="BC22">
        <f t="shared" si="19"/>
        <v>82.857142857142847</v>
      </c>
      <c r="BD22" t="s">
        <v>321</v>
      </c>
    </row>
    <row r="23" spans="1:56" x14ac:dyDescent="0.4">
      <c r="A23" s="3">
        <v>93</v>
      </c>
      <c r="B23" s="3">
        <v>93</v>
      </c>
      <c r="C23" s="32">
        <v>937791</v>
      </c>
      <c r="D23" s="4" t="str">
        <f t="shared" si="0"/>
        <v>937791</v>
      </c>
      <c r="E23" s="4">
        <v>937791</v>
      </c>
      <c r="F23" s="4" t="s">
        <v>154</v>
      </c>
      <c r="G23" s="5">
        <v>4902778281178</v>
      </c>
      <c r="H23" s="5"/>
      <c r="I23" s="5"/>
      <c r="J23" s="5">
        <v>1</v>
      </c>
      <c r="K23" s="5">
        <v>1</v>
      </c>
      <c r="L23" s="4">
        <v>70</v>
      </c>
      <c r="M23" s="4">
        <v>58</v>
      </c>
      <c r="N23" s="4">
        <v>35.700000000000003</v>
      </c>
      <c r="O23" s="6">
        <f t="shared" si="1"/>
        <v>0.38448275862068959</v>
      </c>
      <c r="P23" s="4" t="s">
        <v>230</v>
      </c>
      <c r="Q23" s="4" t="s">
        <v>230</v>
      </c>
      <c r="R23" s="4" t="s">
        <v>230</v>
      </c>
      <c r="S23" s="4">
        <v>100</v>
      </c>
      <c r="T23" s="4">
        <f t="shared" si="2"/>
        <v>100</v>
      </c>
      <c r="U23" s="4">
        <v>51</v>
      </c>
      <c r="V23" s="4">
        <f t="shared" si="3"/>
        <v>51</v>
      </c>
      <c r="W23" s="4"/>
      <c r="X23" s="20">
        <f t="shared" si="4"/>
        <v>83</v>
      </c>
      <c r="Y23" s="6">
        <f t="shared" si="5"/>
        <v>0.38554216867469882</v>
      </c>
      <c r="Z23" s="32">
        <v>11</v>
      </c>
      <c r="AA23" s="4">
        <f t="shared" si="6"/>
        <v>50</v>
      </c>
      <c r="AB23" s="32">
        <f t="shared" si="7"/>
        <v>71.428571428571416</v>
      </c>
      <c r="AC23" s="6">
        <f t="shared" si="8"/>
        <v>0.28599999999999992</v>
      </c>
      <c r="AD23" s="7">
        <v>80</v>
      </c>
      <c r="AE23" s="6">
        <f t="shared" si="9"/>
        <v>0.36250000000000004</v>
      </c>
      <c r="AF23" s="4">
        <f t="shared" si="10"/>
        <v>29</v>
      </c>
      <c r="AG23" s="27"/>
      <c r="AH23" s="6"/>
      <c r="AI23" s="6"/>
      <c r="AJ23" s="6">
        <f t="shared" si="11"/>
        <v>1.4285714285714286</v>
      </c>
      <c r="AK23" s="6">
        <f t="shared" si="12"/>
        <v>1.3793103448275863</v>
      </c>
      <c r="AL23" s="6">
        <f t="shared" si="13"/>
        <v>1.4285714285714284</v>
      </c>
      <c r="AM23" s="4" t="str">
        <f t="shared" si="14"/>
        <v>-</v>
      </c>
      <c r="AN23" s="4" t="str">
        <f t="shared" si="15"/>
        <v>-</v>
      </c>
      <c r="AO23" s="4" t="str">
        <f t="shared" si="16"/>
        <v>-</v>
      </c>
      <c r="AP23" s="4">
        <v>0</v>
      </c>
      <c r="AQ23" s="4" t="s">
        <v>451</v>
      </c>
      <c r="AR23" s="4"/>
      <c r="AS23" s="4"/>
      <c r="AT23" s="4" t="s">
        <v>349</v>
      </c>
      <c r="AU23" s="4">
        <v>50</v>
      </c>
      <c r="AV23" s="4">
        <f t="shared" si="17"/>
        <v>50</v>
      </c>
      <c r="AW23" s="18">
        <v>4</v>
      </c>
      <c r="AX23" s="18">
        <v>1</v>
      </c>
      <c r="AY23" s="16">
        <v>5</v>
      </c>
      <c r="AZ23" t="s">
        <v>230</v>
      </c>
      <c r="BA23" t="str">
        <f t="shared" si="18"/>
        <v>-</v>
      </c>
      <c r="BB23">
        <v>58</v>
      </c>
      <c r="BC23">
        <f t="shared" si="19"/>
        <v>82.857142857142847</v>
      </c>
      <c r="BD23" t="s">
        <v>322</v>
      </c>
    </row>
    <row r="24" spans="1:56" x14ac:dyDescent="0.4">
      <c r="A24" s="3">
        <v>94</v>
      </c>
      <c r="B24" s="3">
        <v>94</v>
      </c>
      <c r="C24" s="32">
        <v>937792</v>
      </c>
      <c r="D24" s="4" t="str">
        <f t="shared" si="0"/>
        <v>937792</v>
      </c>
      <c r="E24" s="4">
        <v>937792</v>
      </c>
      <c r="F24" s="4" t="s">
        <v>155</v>
      </c>
      <c r="G24" s="5">
        <v>4902778281598</v>
      </c>
      <c r="H24" s="5"/>
      <c r="I24" s="5"/>
      <c r="J24" s="5">
        <v>1</v>
      </c>
      <c r="K24" s="5">
        <v>1</v>
      </c>
      <c r="L24" s="4">
        <v>70</v>
      </c>
      <c r="M24" s="4">
        <v>58</v>
      </c>
      <c r="N24" s="4">
        <v>35.700000000000003</v>
      </c>
      <c r="O24" s="6">
        <f t="shared" si="1"/>
        <v>0.38448275862068959</v>
      </c>
      <c r="P24" s="4" t="s">
        <v>230</v>
      </c>
      <c r="Q24" s="4" t="s">
        <v>230</v>
      </c>
      <c r="R24" s="4" t="s">
        <v>230</v>
      </c>
      <c r="S24" s="4">
        <v>100</v>
      </c>
      <c r="T24" s="4">
        <f t="shared" si="2"/>
        <v>100</v>
      </c>
      <c r="U24" s="4">
        <v>51</v>
      </c>
      <c r="V24" s="4">
        <f t="shared" si="3"/>
        <v>51</v>
      </c>
      <c r="W24" s="4"/>
      <c r="X24" s="20">
        <f t="shared" si="4"/>
        <v>83</v>
      </c>
      <c r="Y24" s="6">
        <f t="shared" si="5"/>
        <v>0.38554216867469882</v>
      </c>
      <c r="Z24" s="32">
        <v>13.750000000000002</v>
      </c>
      <c r="AA24" s="4">
        <f t="shared" si="6"/>
        <v>56</v>
      </c>
      <c r="AB24" s="32">
        <f t="shared" si="7"/>
        <v>79.999999999999986</v>
      </c>
      <c r="AC24" s="6">
        <f t="shared" si="8"/>
        <v>0.36249999999999993</v>
      </c>
      <c r="AD24" s="7">
        <v>80</v>
      </c>
      <c r="AE24" s="6">
        <f t="shared" si="9"/>
        <v>0.36250000000000004</v>
      </c>
      <c r="AF24" s="4">
        <f t="shared" si="10"/>
        <v>29</v>
      </c>
      <c r="AG24" s="27"/>
      <c r="AH24" s="6"/>
      <c r="AI24" s="6"/>
      <c r="AJ24" s="6">
        <f t="shared" si="11"/>
        <v>1.4285714285714286</v>
      </c>
      <c r="AK24" s="6">
        <f t="shared" si="12"/>
        <v>1.3793103448275863</v>
      </c>
      <c r="AL24" s="6">
        <f t="shared" si="13"/>
        <v>1.4285714285714284</v>
      </c>
      <c r="AM24" s="4" t="str">
        <f t="shared" si="14"/>
        <v>-</v>
      </c>
      <c r="AN24" s="4" t="str">
        <f t="shared" si="15"/>
        <v>-</v>
      </c>
      <c r="AO24" s="4" t="str">
        <f t="shared" si="16"/>
        <v>-</v>
      </c>
      <c r="AP24" s="4">
        <v>0</v>
      </c>
      <c r="AQ24" s="4" t="s">
        <v>452</v>
      </c>
      <c r="AR24" s="4"/>
      <c r="AS24" s="4"/>
      <c r="AT24" s="4" t="s">
        <v>349</v>
      </c>
      <c r="AU24" s="4">
        <v>56</v>
      </c>
      <c r="AV24" s="4">
        <f t="shared" si="17"/>
        <v>56</v>
      </c>
      <c r="AW24" s="18">
        <v>4</v>
      </c>
      <c r="AX24" s="18">
        <v>1</v>
      </c>
      <c r="AY24" s="16">
        <v>5</v>
      </c>
      <c r="AZ24" t="s">
        <v>230</v>
      </c>
      <c r="BA24" t="str">
        <f t="shared" si="18"/>
        <v>-</v>
      </c>
      <c r="BB24">
        <v>58</v>
      </c>
      <c r="BC24">
        <f t="shared" si="19"/>
        <v>82.857142857142847</v>
      </c>
      <c r="BD24" t="s">
        <v>323</v>
      </c>
    </row>
    <row r="25" spans="1:56" x14ac:dyDescent="0.4">
      <c r="A25" s="3">
        <v>37</v>
      </c>
      <c r="B25" s="3">
        <v>37</v>
      </c>
      <c r="C25" s="40">
        <v>388015</v>
      </c>
      <c r="D25" s="4" t="str">
        <f t="shared" si="0"/>
        <v>388015</v>
      </c>
      <c r="E25" s="4">
        <v>388015</v>
      </c>
      <c r="F25" s="4" t="s">
        <v>98</v>
      </c>
      <c r="G25" s="5">
        <v>4902778974438</v>
      </c>
      <c r="H25" s="5"/>
      <c r="I25" s="5"/>
      <c r="J25" s="5">
        <v>2</v>
      </c>
      <c r="K25" s="5">
        <v>2</v>
      </c>
      <c r="L25" s="4">
        <v>100</v>
      </c>
      <c r="M25" s="4">
        <v>77</v>
      </c>
      <c r="N25" s="4">
        <v>51</v>
      </c>
      <c r="O25" s="6">
        <f t="shared" si="1"/>
        <v>0.33766233766233766</v>
      </c>
      <c r="P25" s="4" t="s">
        <v>230</v>
      </c>
      <c r="Q25" s="4" t="s">
        <v>230</v>
      </c>
      <c r="R25" s="4" t="s">
        <v>230</v>
      </c>
      <c r="S25" s="4">
        <v>120</v>
      </c>
      <c r="T25" s="4">
        <f t="shared" si="2"/>
        <v>120</v>
      </c>
      <c r="U25" s="4">
        <v>61.2</v>
      </c>
      <c r="V25" s="4">
        <f t="shared" si="3"/>
        <v>61.2</v>
      </c>
      <c r="W25" s="4"/>
      <c r="X25" s="20">
        <f t="shared" si="4"/>
        <v>92</v>
      </c>
      <c r="Y25" s="6">
        <f t="shared" si="5"/>
        <v>0.33478260869565213</v>
      </c>
      <c r="Z25" s="32">
        <v>11.75</v>
      </c>
      <c r="AA25" s="4">
        <f t="shared" si="6"/>
        <v>63</v>
      </c>
      <c r="AB25" s="32">
        <f t="shared" si="7"/>
        <v>75.599999999999994</v>
      </c>
      <c r="AC25" s="6">
        <f t="shared" si="8"/>
        <v>0.19047619047619035</v>
      </c>
      <c r="AD25" s="7">
        <v>94</v>
      </c>
      <c r="AE25" s="6">
        <f t="shared" si="9"/>
        <v>0.34893617021276591</v>
      </c>
      <c r="AF25" s="4">
        <f t="shared" si="10"/>
        <v>32.799999999999997</v>
      </c>
      <c r="AG25" s="27"/>
      <c r="AH25" s="6"/>
      <c r="AI25" s="6"/>
      <c r="AJ25" s="6">
        <f t="shared" si="11"/>
        <v>1.2</v>
      </c>
      <c r="AK25" s="6">
        <f t="shared" si="12"/>
        <v>1.2207792207792207</v>
      </c>
      <c r="AL25" s="6">
        <f t="shared" si="13"/>
        <v>1.2</v>
      </c>
      <c r="AM25" s="4" t="str">
        <f t="shared" si="14"/>
        <v>-</v>
      </c>
      <c r="AN25" s="4" t="str">
        <f t="shared" si="15"/>
        <v>-</v>
      </c>
      <c r="AO25" s="4" t="str">
        <f t="shared" si="16"/>
        <v>-</v>
      </c>
      <c r="AP25" s="4">
        <v>0</v>
      </c>
      <c r="AQ25" s="4" t="s">
        <v>389</v>
      </c>
      <c r="AR25" s="4"/>
      <c r="AS25" s="4"/>
      <c r="AT25" s="4" t="s">
        <v>349</v>
      </c>
      <c r="AU25" s="4">
        <v>63</v>
      </c>
      <c r="AV25" s="4">
        <f t="shared" si="17"/>
        <v>63</v>
      </c>
      <c r="AW25" s="18">
        <v>4</v>
      </c>
      <c r="AX25" s="18">
        <v>1</v>
      </c>
      <c r="AY25" s="16">
        <v>5</v>
      </c>
      <c r="AZ25" t="s">
        <v>230</v>
      </c>
      <c r="BA25" t="str">
        <f t="shared" si="18"/>
        <v>-</v>
      </c>
      <c r="BB25">
        <v>82</v>
      </c>
      <c r="BC25">
        <f t="shared" si="19"/>
        <v>98.399999999999991</v>
      </c>
      <c r="BD25" t="s">
        <v>268</v>
      </c>
    </row>
    <row r="26" spans="1:56" x14ac:dyDescent="0.4">
      <c r="A26" s="3">
        <v>109</v>
      </c>
      <c r="B26" s="3">
        <v>37</v>
      </c>
      <c r="C26" s="40">
        <v>388015</v>
      </c>
      <c r="D26" s="4" t="str">
        <f t="shared" si="0"/>
        <v>388015</v>
      </c>
      <c r="E26" s="4">
        <v>388017</v>
      </c>
      <c r="F26" s="4" t="s">
        <v>193</v>
      </c>
      <c r="G26" s="5">
        <v>4902778974438</v>
      </c>
      <c r="H26" s="5">
        <v>8</v>
      </c>
      <c r="I26" s="5" t="str">
        <f>C26&amp;H26</f>
        <v>3880158</v>
      </c>
      <c r="J26" s="5"/>
      <c r="K26" s="5"/>
      <c r="L26" s="4">
        <v>1000</v>
      </c>
      <c r="M26" s="4">
        <v>685</v>
      </c>
      <c r="N26" s="4">
        <v>510</v>
      </c>
      <c r="O26" s="6">
        <f t="shared" si="1"/>
        <v>0.25547445255474455</v>
      </c>
      <c r="P26" s="4" t="s">
        <v>230</v>
      </c>
      <c r="Q26" s="4" t="s">
        <v>230</v>
      </c>
      <c r="R26" s="4" t="s">
        <v>230</v>
      </c>
      <c r="S26" s="4">
        <v>120</v>
      </c>
      <c r="T26" s="4">
        <f t="shared" si="2"/>
        <v>1200</v>
      </c>
      <c r="U26" s="4">
        <v>61.2</v>
      </c>
      <c r="V26" s="4">
        <f t="shared" si="3"/>
        <v>612</v>
      </c>
      <c r="W26" s="4">
        <v>10</v>
      </c>
      <c r="X26" s="20">
        <f t="shared" si="4"/>
        <v>822</v>
      </c>
      <c r="Y26" s="6">
        <f t="shared" si="5"/>
        <v>0.25547445255474455</v>
      </c>
      <c r="Z26" s="32">
        <v>11.75</v>
      </c>
      <c r="AA26" s="4">
        <f t="shared" si="6"/>
        <v>591</v>
      </c>
      <c r="AB26" s="32">
        <f t="shared" si="7"/>
        <v>709.19999999999993</v>
      </c>
      <c r="AC26" s="6">
        <f t="shared" si="8"/>
        <v>0.13705583756345174</v>
      </c>
      <c r="AD26" s="7">
        <v>838</v>
      </c>
      <c r="AE26" s="6">
        <f t="shared" si="9"/>
        <v>0.26968973747016711</v>
      </c>
      <c r="AF26" s="4">
        <f t="shared" si="10"/>
        <v>226</v>
      </c>
      <c r="AG26" s="27"/>
      <c r="AH26" s="6"/>
      <c r="AI26" s="6"/>
      <c r="AJ26" s="6">
        <f t="shared" si="11"/>
        <v>1.2</v>
      </c>
      <c r="AK26" s="6">
        <f t="shared" si="12"/>
        <v>1.2233576642335766</v>
      </c>
      <c r="AL26" s="6">
        <f t="shared" si="13"/>
        <v>1.2</v>
      </c>
      <c r="AM26" s="4" t="str">
        <f t="shared" si="14"/>
        <v>-</v>
      </c>
      <c r="AN26" s="4" t="str">
        <f t="shared" si="15"/>
        <v>-</v>
      </c>
      <c r="AO26" s="4" t="str">
        <f t="shared" si="16"/>
        <v>-</v>
      </c>
      <c r="AP26" s="4">
        <v>0</v>
      </c>
      <c r="AQ26" s="4" t="s">
        <v>463</v>
      </c>
      <c r="AR26" s="4"/>
      <c r="AS26" s="4"/>
      <c r="AT26" s="4" t="s">
        <v>409</v>
      </c>
      <c r="AU26" s="4">
        <v>591</v>
      </c>
      <c r="AV26" s="4">
        <f t="shared" si="17"/>
        <v>591</v>
      </c>
      <c r="AW26" s="18">
        <v>4</v>
      </c>
      <c r="AX26" s="18">
        <v>1</v>
      </c>
      <c r="AY26" s="16">
        <v>5</v>
      </c>
      <c r="AZ26" t="s">
        <v>230</v>
      </c>
      <c r="BA26" t="str">
        <f t="shared" si="18"/>
        <v>-</v>
      </c>
      <c r="BB26">
        <v>82</v>
      </c>
      <c r="BC26">
        <f t="shared" si="19"/>
        <v>98.399999999999991</v>
      </c>
      <c r="BD26" t="s">
        <v>332</v>
      </c>
    </row>
    <row r="27" spans="1:56" x14ac:dyDescent="0.4">
      <c r="A27" s="3">
        <v>38</v>
      </c>
      <c r="B27" s="3">
        <v>38</v>
      </c>
      <c r="C27" s="40">
        <v>388016</v>
      </c>
      <c r="D27" s="4" t="str">
        <f t="shared" si="0"/>
        <v>388016</v>
      </c>
      <c r="E27" s="4">
        <v>388016</v>
      </c>
      <c r="F27" s="4" t="s">
        <v>99</v>
      </c>
      <c r="G27" s="5">
        <v>4902778974421</v>
      </c>
      <c r="H27" s="5"/>
      <c r="I27" s="5"/>
      <c r="J27" s="5">
        <v>2</v>
      </c>
      <c r="K27" s="5">
        <v>2</v>
      </c>
      <c r="L27" s="4">
        <v>100</v>
      </c>
      <c r="M27" s="4">
        <v>77</v>
      </c>
      <c r="N27" s="4">
        <v>51</v>
      </c>
      <c r="O27" s="6">
        <f t="shared" si="1"/>
        <v>0.33766233766233766</v>
      </c>
      <c r="P27" s="4" t="s">
        <v>230</v>
      </c>
      <c r="Q27" s="4" t="s">
        <v>230</v>
      </c>
      <c r="R27" s="4" t="s">
        <v>230</v>
      </c>
      <c r="S27" s="4">
        <v>120</v>
      </c>
      <c r="T27" s="4">
        <f t="shared" si="2"/>
        <v>120</v>
      </c>
      <c r="U27" s="4">
        <v>61.2</v>
      </c>
      <c r="V27" s="4">
        <f t="shared" si="3"/>
        <v>61.2</v>
      </c>
      <c r="W27" s="4"/>
      <c r="X27" s="20">
        <f t="shared" si="4"/>
        <v>92</v>
      </c>
      <c r="Y27" s="6">
        <f t="shared" si="5"/>
        <v>0.33478260869565213</v>
      </c>
      <c r="Z27" s="32">
        <v>59.75</v>
      </c>
      <c r="AA27" s="4">
        <f t="shared" si="6"/>
        <v>79</v>
      </c>
      <c r="AB27" s="32">
        <f t="shared" si="7"/>
        <v>94.8</v>
      </c>
      <c r="AC27" s="6">
        <f t="shared" si="8"/>
        <v>0.35443037974683544</v>
      </c>
      <c r="AD27" s="7">
        <v>94</v>
      </c>
      <c r="AE27" s="6">
        <f t="shared" si="9"/>
        <v>0.34893617021276591</v>
      </c>
      <c r="AF27" s="4">
        <f t="shared" si="10"/>
        <v>32.799999999999997</v>
      </c>
      <c r="AG27" s="27"/>
      <c r="AH27" s="6"/>
      <c r="AI27" s="6"/>
      <c r="AJ27" s="6">
        <f t="shared" si="11"/>
        <v>1.2</v>
      </c>
      <c r="AK27" s="6">
        <f t="shared" si="12"/>
        <v>1.2207792207792207</v>
      </c>
      <c r="AL27" s="6">
        <f t="shared" si="13"/>
        <v>1.2</v>
      </c>
      <c r="AM27" s="4" t="str">
        <f t="shared" si="14"/>
        <v>-</v>
      </c>
      <c r="AN27" s="4" t="str">
        <f t="shared" si="15"/>
        <v>-</v>
      </c>
      <c r="AO27" s="4" t="str">
        <f t="shared" si="16"/>
        <v>-</v>
      </c>
      <c r="AP27" s="4">
        <v>0</v>
      </c>
      <c r="AQ27" s="4" t="s">
        <v>390</v>
      </c>
      <c r="AR27" s="4"/>
      <c r="AS27" s="4"/>
      <c r="AT27" s="4" t="s">
        <v>349</v>
      </c>
      <c r="AU27" s="4">
        <v>79</v>
      </c>
      <c r="AV27" s="4">
        <f t="shared" si="17"/>
        <v>79</v>
      </c>
      <c r="AW27" s="18">
        <v>4</v>
      </c>
      <c r="AX27" s="18">
        <v>1</v>
      </c>
      <c r="AY27" s="16">
        <v>5</v>
      </c>
      <c r="AZ27" t="s">
        <v>230</v>
      </c>
      <c r="BA27" t="str">
        <f t="shared" si="18"/>
        <v>-</v>
      </c>
      <c r="BB27">
        <v>82</v>
      </c>
      <c r="BC27">
        <f t="shared" si="19"/>
        <v>98.399999999999991</v>
      </c>
      <c r="BD27" t="s">
        <v>269</v>
      </c>
    </row>
    <row r="28" spans="1:56" x14ac:dyDescent="0.4">
      <c r="A28" s="3">
        <v>109</v>
      </c>
      <c r="B28" s="3">
        <v>38</v>
      </c>
      <c r="C28" s="40">
        <v>388016</v>
      </c>
      <c r="D28" s="4" t="str">
        <f t="shared" si="0"/>
        <v>388016</v>
      </c>
      <c r="E28" s="4">
        <v>388018</v>
      </c>
      <c r="F28" s="4" t="s">
        <v>194</v>
      </c>
      <c r="G28" s="5">
        <v>4902778974421</v>
      </c>
      <c r="H28" s="5">
        <v>8</v>
      </c>
      <c r="I28" s="5" t="str">
        <f>C28&amp;H28</f>
        <v>3880168</v>
      </c>
      <c r="J28" s="5"/>
      <c r="K28" s="5"/>
      <c r="L28" s="4">
        <v>1000</v>
      </c>
      <c r="M28" s="4">
        <v>685</v>
      </c>
      <c r="N28" s="4">
        <v>510</v>
      </c>
      <c r="O28" s="6">
        <f t="shared" si="1"/>
        <v>0.25547445255474455</v>
      </c>
      <c r="P28" s="4" t="s">
        <v>230</v>
      </c>
      <c r="Q28" s="4" t="s">
        <v>230</v>
      </c>
      <c r="R28" s="4" t="s">
        <v>230</v>
      </c>
      <c r="S28" s="4">
        <v>120</v>
      </c>
      <c r="T28" s="4">
        <f t="shared" si="2"/>
        <v>1200</v>
      </c>
      <c r="U28" s="4">
        <v>61.2</v>
      </c>
      <c r="V28" s="4">
        <f t="shared" si="3"/>
        <v>612</v>
      </c>
      <c r="W28" s="4">
        <v>10</v>
      </c>
      <c r="X28" s="20">
        <f t="shared" si="4"/>
        <v>822</v>
      </c>
      <c r="Y28" s="6">
        <f t="shared" si="5"/>
        <v>0.25547445255474455</v>
      </c>
      <c r="Z28" s="32">
        <v>59.75</v>
      </c>
      <c r="AA28" s="4">
        <f t="shared" si="6"/>
        <v>699</v>
      </c>
      <c r="AB28" s="32">
        <f t="shared" si="7"/>
        <v>838.8</v>
      </c>
      <c r="AC28" s="6">
        <f t="shared" si="8"/>
        <v>0.27038626609442051</v>
      </c>
      <c r="AD28" s="7">
        <v>838</v>
      </c>
      <c r="AE28" s="6">
        <f t="shared" si="9"/>
        <v>0.26968973747016711</v>
      </c>
      <c r="AF28" s="4">
        <f t="shared" si="10"/>
        <v>226</v>
      </c>
      <c r="AG28" s="27"/>
      <c r="AH28" s="6"/>
      <c r="AI28" s="6"/>
      <c r="AJ28" s="6">
        <f t="shared" si="11"/>
        <v>1.2</v>
      </c>
      <c r="AK28" s="6">
        <f t="shared" si="12"/>
        <v>1.2233576642335766</v>
      </c>
      <c r="AL28" s="6">
        <f t="shared" si="13"/>
        <v>1.2</v>
      </c>
      <c r="AM28" s="4" t="str">
        <f t="shared" si="14"/>
        <v>-</v>
      </c>
      <c r="AN28" s="4" t="str">
        <f t="shared" si="15"/>
        <v>-</v>
      </c>
      <c r="AO28" s="4" t="str">
        <f t="shared" si="16"/>
        <v>-</v>
      </c>
      <c r="AP28" s="4">
        <v>0</v>
      </c>
      <c r="AQ28" s="4" t="s">
        <v>464</v>
      </c>
      <c r="AR28" s="4"/>
      <c r="AS28" s="4"/>
      <c r="AT28" s="4" t="s">
        <v>409</v>
      </c>
      <c r="AU28" s="4">
        <v>699</v>
      </c>
      <c r="AV28" s="4">
        <f t="shared" si="17"/>
        <v>699</v>
      </c>
      <c r="AW28" s="18">
        <v>4</v>
      </c>
      <c r="AX28" s="18">
        <v>1</v>
      </c>
      <c r="AY28" s="16">
        <v>5</v>
      </c>
      <c r="AZ28" t="s">
        <v>230</v>
      </c>
      <c r="BA28" t="str">
        <f t="shared" si="18"/>
        <v>-</v>
      </c>
      <c r="BB28">
        <v>82</v>
      </c>
      <c r="BC28">
        <f t="shared" si="19"/>
        <v>98.399999999999991</v>
      </c>
      <c r="BD28" t="s">
        <v>333</v>
      </c>
    </row>
    <row r="29" spans="1:56" x14ac:dyDescent="0.4">
      <c r="A29" s="3">
        <v>36</v>
      </c>
      <c r="B29" s="3">
        <v>36</v>
      </c>
      <c r="C29" s="40">
        <v>355941</v>
      </c>
      <c r="D29" s="4" t="str">
        <f t="shared" si="0"/>
        <v>355941</v>
      </c>
      <c r="E29" s="4">
        <v>355941</v>
      </c>
      <c r="F29" s="4" t="s">
        <v>97</v>
      </c>
      <c r="G29" s="5">
        <v>4902778693407</v>
      </c>
      <c r="H29" s="5"/>
      <c r="I29" s="5"/>
      <c r="J29" s="5">
        <v>2</v>
      </c>
      <c r="K29" s="5">
        <v>2</v>
      </c>
      <c r="L29" s="4">
        <v>100</v>
      </c>
      <c r="M29" s="4">
        <v>79</v>
      </c>
      <c r="N29" s="4">
        <v>51</v>
      </c>
      <c r="O29" s="6">
        <f t="shared" si="1"/>
        <v>0.35443037974683544</v>
      </c>
      <c r="P29" s="4" t="s">
        <v>230</v>
      </c>
      <c r="Q29" s="4" t="s">
        <v>230</v>
      </c>
      <c r="R29" s="4" t="s">
        <v>230</v>
      </c>
      <c r="S29" s="4">
        <v>120</v>
      </c>
      <c r="T29" s="4">
        <f t="shared" si="2"/>
        <v>120</v>
      </c>
      <c r="U29" s="4">
        <v>61.2</v>
      </c>
      <c r="V29" s="4">
        <f t="shared" si="3"/>
        <v>61.2</v>
      </c>
      <c r="W29" s="4"/>
      <c r="X29" s="20">
        <f t="shared" si="4"/>
        <v>95</v>
      </c>
      <c r="Y29" s="6">
        <f t="shared" si="5"/>
        <v>0.35578947368421054</v>
      </c>
      <c r="Z29" s="32">
        <v>37.25</v>
      </c>
      <c r="AA29" s="4">
        <f t="shared" si="6"/>
        <v>79</v>
      </c>
      <c r="AB29" s="32">
        <f t="shared" si="7"/>
        <v>94.8</v>
      </c>
      <c r="AC29" s="6">
        <f t="shared" si="8"/>
        <v>0.35443037974683544</v>
      </c>
      <c r="AD29" s="7">
        <v>93</v>
      </c>
      <c r="AE29" s="6">
        <f t="shared" si="9"/>
        <v>0.34193548387096773</v>
      </c>
      <c r="AF29" s="4">
        <f t="shared" si="10"/>
        <v>31.799999999999997</v>
      </c>
      <c r="AG29" s="27"/>
      <c r="AH29" s="6"/>
      <c r="AI29" s="6"/>
      <c r="AJ29" s="6">
        <f t="shared" si="11"/>
        <v>1.2</v>
      </c>
      <c r="AK29" s="6">
        <f t="shared" si="12"/>
        <v>1.1772151898734178</v>
      </c>
      <c r="AL29" s="6">
        <f t="shared" si="13"/>
        <v>1.2</v>
      </c>
      <c r="AM29" s="4" t="str">
        <f t="shared" si="14"/>
        <v>-</v>
      </c>
      <c r="AN29" s="4" t="str">
        <f t="shared" si="15"/>
        <v>-</v>
      </c>
      <c r="AO29" s="4" t="str">
        <f t="shared" si="16"/>
        <v>-</v>
      </c>
      <c r="AP29" s="4">
        <v>0</v>
      </c>
      <c r="AQ29" s="4" t="s">
        <v>388</v>
      </c>
      <c r="AR29" s="4"/>
      <c r="AS29" s="4"/>
      <c r="AT29" s="4" t="s">
        <v>349</v>
      </c>
      <c r="AU29" s="4">
        <v>79</v>
      </c>
      <c r="AV29" s="4">
        <f t="shared" si="17"/>
        <v>79</v>
      </c>
      <c r="AW29" s="18">
        <v>4</v>
      </c>
      <c r="AX29" s="18">
        <v>1</v>
      </c>
      <c r="AY29" s="16">
        <v>5</v>
      </c>
      <c r="AZ29" t="s">
        <v>230</v>
      </c>
      <c r="BA29" t="str">
        <f t="shared" si="18"/>
        <v>-</v>
      </c>
      <c r="BB29">
        <v>78</v>
      </c>
      <c r="BC29">
        <f t="shared" si="19"/>
        <v>93.6</v>
      </c>
      <c r="BD29" t="s">
        <v>267</v>
      </c>
    </row>
    <row r="30" spans="1:56" x14ac:dyDescent="0.4">
      <c r="A30" s="3">
        <v>109</v>
      </c>
      <c r="B30" s="3">
        <v>36</v>
      </c>
      <c r="C30" s="40">
        <v>355941</v>
      </c>
      <c r="D30" s="4" t="str">
        <f t="shared" si="0"/>
        <v>355941</v>
      </c>
      <c r="E30" s="4">
        <v>355942</v>
      </c>
      <c r="F30" s="4" t="s">
        <v>192</v>
      </c>
      <c r="G30" s="5">
        <v>4902778693407</v>
      </c>
      <c r="H30" s="5">
        <v>8</v>
      </c>
      <c r="I30" s="5" t="str">
        <f>C30&amp;H30</f>
        <v>3559418</v>
      </c>
      <c r="J30" s="5"/>
      <c r="K30" s="5"/>
      <c r="L30" s="4">
        <v>1000</v>
      </c>
      <c r="M30" s="4">
        <v>719</v>
      </c>
      <c r="N30" s="4">
        <v>510</v>
      </c>
      <c r="O30" s="6">
        <f t="shared" si="1"/>
        <v>0.29068150208623089</v>
      </c>
      <c r="P30" s="4" t="s">
        <v>230</v>
      </c>
      <c r="Q30" s="4" t="s">
        <v>230</v>
      </c>
      <c r="R30" s="4" t="s">
        <v>230</v>
      </c>
      <c r="S30" s="4">
        <v>120</v>
      </c>
      <c r="T30" s="4">
        <f t="shared" si="2"/>
        <v>1200</v>
      </c>
      <c r="U30" s="4">
        <v>61.2</v>
      </c>
      <c r="V30" s="4">
        <f t="shared" si="3"/>
        <v>612</v>
      </c>
      <c r="W30" s="4">
        <v>10</v>
      </c>
      <c r="X30" s="20">
        <f t="shared" si="4"/>
        <v>863</v>
      </c>
      <c r="Y30" s="6">
        <f t="shared" si="5"/>
        <v>0.29084588644264198</v>
      </c>
      <c r="Z30" s="32">
        <v>37.25</v>
      </c>
      <c r="AA30" s="4">
        <f t="shared" si="6"/>
        <v>737</v>
      </c>
      <c r="AB30" s="32">
        <f t="shared" si="7"/>
        <v>884.4</v>
      </c>
      <c r="AC30" s="6">
        <f t="shared" si="8"/>
        <v>0.30800542740841241</v>
      </c>
      <c r="AD30" s="7">
        <v>883</v>
      </c>
      <c r="AE30" s="6">
        <f t="shared" si="9"/>
        <v>0.30690826727066822</v>
      </c>
      <c r="AF30" s="4">
        <f t="shared" si="10"/>
        <v>271</v>
      </c>
      <c r="AG30" s="27"/>
      <c r="AH30" s="6"/>
      <c r="AI30" s="6"/>
      <c r="AJ30" s="6">
        <f t="shared" si="11"/>
        <v>1.2</v>
      </c>
      <c r="AK30" s="6">
        <f t="shared" si="12"/>
        <v>1.2280945757997219</v>
      </c>
      <c r="AL30" s="6">
        <f t="shared" si="13"/>
        <v>1.2</v>
      </c>
      <c r="AM30" s="4" t="str">
        <f t="shared" si="14"/>
        <v>-</v>
      </c>
      <c r="AN30" s="4" t="str">
        <f t="shared" si="15"/>
        <v>-</v>
      </c>
      <c r="AO30" s="4" t="str">
        <f t="shared" si="16"/>
        <v>-</v>
      </c>
      <c r="AP30" s="4">
        <v>0</v>
      </c>
      <c r="AQ30" s="4" t="s">
        <v>462</v>
      </c>
      <c r="AR30" s="4"/>
      <c r="AS30" s="4"/>
      <c r="AT30" s="4" t="s">
        <v>409</v>
      </c>
      <c r="AU30" s="4">
        <v>737</v>
      </c>
      <c r="AV30" s="4">
        <f t="shared" si="17"/>
        <v>737</v>
      </c>
      <c r="AW30" s="18">
        <v>4</v>
      </c>
      <c r="AX30" s="18">
        <v>1</v>
      </c>
      <c r="AY30" s="16">
        <v>5</v>
      </c>
      <c r="AZ30" t="s">
        <v>230</v>
      </c>
      <c r="BA30" t="str">
        <f t="shared" si="18"/>
        <v>-</v>
      </c>
      <c r="BB30">
        <v>78</v>
      </c>
      <c r="BC30">
        <f t="shared" si="19"/>
        <v>93.6</v>
      </c>
      <c r="BD30" t="s">
        <v>331</v>
      </c>
    </row>
    <row r="31" spans="1:56" x14ac:dyDescent="0.4">
      <c r="A31" s="3">
        <v>96</v>
      </c>
      <c r="B31" s="3">
        <v>96</v>
      </c>
      <c r="C31" s="4" t="s">
        <v>59</v>
      </c>
      <c r="D31" s="4" t="str">
        <f t="shared" si="0"/>
        <v>J700WK</v>
      </c>
      <c r="E31" s="4" t="s">
        <v>59</v>
      </c>
      <c r="F31" s="4" t="s">
        <v>157</v>
      </c>
      <c r="G31" s="5">
        <v>4902778693414</v>
      </c>
      <c r="H31" s="5"/>
      <c r="I31" s="5"/>
      <c r="J31" s="5">
        <v>1</v>
      </c>
      <c r="K31" s="5">
        <v>1</v>
      </c>
      <c r="L31" s="4">
        <v>100</v>
      </c>
      <c r="M31" s="4">
        <v>79</v>
      </c>
      <c r="N31" s="4">
        <v>51</v>
      </c>
      <c r="O31" s="6">
        <f t="shared" si="1"/>
        <v>0.35443037974683544</v>
      </c>
      <c r="P31" s="4" t="s">
        <v>230</v>
      </c>
      <c r="Q31" s="4" t="s">
        <v>230</v>
      </c>
      <c r="R31" s="4" t="s">
        <v>230</v>
      </c>
      <c r="S31" s="4">
        <v>120</v>
      </c>
      <c r="T31" s="4">
        <f t="shared" si="2"/>
        <v>120</v>
      </c>
      <c r="U31" s="4">
        <v>61.2</v>
      </c>
      <c r="V31" s="4">
        <f t="shared" si="3"/>
        <v>61.2</v>
      </c>
      <c r="W31" s="4"/>
      <c r="X31" s="20">
        <f t="shared" si="4"/>
        <v>95</v>
      </c>
      <c r="Y31" s="6">
        <f t="shared" si="5"/>
        <v>0.35578947368421054</v>
      </c>
      <c r="Z31" s="32">
        <v>4.25</v>
      </c>
      <c r="AA31" s="4">
        <f t="shared" si="6"/>
        <v>79</v>
      </c>
      <c r="AB31" s="32">
        <f t="shared" si="7"/>
        <v>94.8</v>
      </c>
      <c r="AC31" s="6">
        <f t="shared" si="8"/>
        <v>0.35443037974683544</v>
      </c>
      <c r="AD31" s="7">
        <v>93</v>
      </c>
      <c r="AE31" s="6">
        <f t="shared" si="9"/>
        <v>0.34193548387096773</v>
      </c>
      <c r="AF31" s="4">
        <f t="shared" si="10"/>
        <v>31.799999999999997</v>
      </c>
      <c r="AG31" s="27"/>
      <c r="AH31" s="6"/>
      <c r="AI31" s="6"/>
      <c r="AJ31" s="6">
        <f t="shared" si="11"/>
        <v>1.2</v>
      </c>
      <c r="AK31" s="6">
        <f t="shared" si="12"/>
        <v>1.1772151898734178</v>
      </c>
      <c r="AL31" s="6">
        <f t="shared" si="13"/>
        <v>1.2</v>
      </c>
      <c r="AM31" s="4" t="str">
        <f t="shared" si="14"/>
        <v>-</v>
      </c>
      <c r="AN31" s="4" t="str">
        <f t="shared" si="15"/>
        <v>-</v>
      </c>
      <c r="AO31" s="4" t="str">
        <f t="shared" si="16"/>
        <v>-</v>
      </c>
      <c r="AP31" s="4">
        <v>0</v>
      </c>
      <c r="AQ31" s="4" t="s">
        <v>453</v>
      </c>
      <c r="AR31" s="4"/>
      <c r="AS31" s="4"/>
      <c r="AT31" s="4" t="s">
        <v>349</v>
      </c>
      <c r="AU31" s="4">
        <v>79</v>
      </c>
      <c r="AV31" s="4">
        <f t="shared" si="17"/>
        <v>79</v>
      </c>
      <c r="AW31" s="18">
        <v>4</v>
      </c>
      <c r="AX31" s="18">
        <v>1</v>
      </c>
      <c r="AY31" s="16">
        <v>5</v>
      </c>
      <c r="AZ31" t="s">
        <v>230</v>
      </c>
      <c r="BA31" t="str">
        <f t="shared" si="18"/>
        <v>-</v>
      </c>
      <c r="BB31">
        <v>75</v>
      </c>
      <c r="BC31">
        <f t="shared" si="19"/>
        <v>90</v>
      </c>
      <c r="BD31" t="s">
        <v>324</v>
      </c>
    </row>
    <row r="32" spans="1:56" x14ac:dyDescent="0.4">
      <c r="A32" s="3">
        <v>39</v>
      </c>
      <c r="B32" s="3">
        <v>39</v>
      </c>
      <c r="C32" s="40">
        <v>600576</v>
      </c>
      <c r="D32" s="4" t="str">
        <f t="shared" si="0"/>
        <v>600576</v>
      </c>
      <c r="E32" s="4">
        <v>600576</v>
      </c>
      <c r="F32" s="4" t="s">
        <v>100</v>
      </c>
      <c r="G32" s="5">
        <v>4902778720806</v>
      </c>
      <c r="H32" s="5"/>
      <c r="I32" s="5"/>
      <c r="J32" s="5">
        <v>2</v>
      </c>
      <c r="K32" s="5">
        <v>2</v>
      </c>
      <c r="L32" s="4">
        <v>100</v>
      </c>
      <c r="M32" s="4">
        <v>82</v>
      </c>
      <c r="N32" s="4">
        <v>51</v>
      </c>
      <c r="O32" s="6">
        <f t="shared" si="1"/>
        <v>0.37804878048780488</v>
      </c>
      <c r="P32" s="4" t="s">
        <v>230</v>
      </c>
      <c r="Q32" s="4" t="s">
        <v>230</v>
      </c>
      <c r="R32" s="4" t="s">
        <v>230</v>
      </c>
      <c r="S32" s="4">
        <v>120</v>
      </c>
      <c r="T32" s="4">
        <f t="shared" si="2"/>
        <v>120</v>
      </c>
      <c r="U32" s="4">
        <v>61.2</v>
      </c>
      <c r="V32" s="4">
        <f t="shared" si="3"/>
        <v>61.2</v>
      </c>
      <c r="W32" s="4"/>
      <c r="X32" s="20">
        <f t="shared" si="4"/>
        <v>98</v>
      </c>
      <c r="Y32" s="6">
        <f t="shared" si="5"/>
        <v>0.3755102040816326</v>
      </c>
      <c r="Z32" s="32">
        <v>214.75</v>
      </c>
      <c r="AA32" s="4">
        <f t="shared" si="6"/>
        <v>81</v>
      </c>
      <c r="AB32" s="32">
        <f t="shared" si="7"/>
        <v>97.2</v>
      </c>
      <c r="AC32" s="6">
        <f t="shared" si="8"/>
        <v>0.37037037037037035</v>
      </c>
      <c r="AD32" s="7">
        <v>93</v>
      </c>
      <c r="AE32" s="6">
        <f t="shared" si="9"/>
        <v>0.34193548387096773</v>
      </c>
      <c r="AF32" s="4">
        <f t="shared" si="10"/>
        <v>31.799999999999997</v>
      </c>
      <c r="AG32" s="27"/>
      <c r="AH32" s="6"/>
      <c r="AI32" s="6"/>
      <c r="AJ32" s="6">
        <f t="shared" si="11"/>
        <v>1.2</v>
      </c>
      <c r="AK32" s="6">
        <f t="shared" si="12"/>
        <v>1.1341463414634145</v>
      </c>
      <c r="AL32" s="6">
        <f t="shared" si="13"/>
        <v>1.2</v>
      </c>
      <c r="AM32" s="4" t="str">
        <f t="shared" si="14"/>
        <v>-</v>
      </c>
      <c r="AN32" s="4" t="str">
        <f t="shared" si="15"/>
        <v>-</v>
      </c>
      <c r="AO32" s="4" t="str">
        <f t="shared" si="16"/>
        <v>-</v>
      </c>
      <c r="AP32" s="4" t="s">
        <v>224</v>
      </c>
      <c r="AQ32" s="4" t="s">
        <v>391</v>
      </c>
      <c r="AR32" s="4"/>
      <c r="AS32" s="4"/>
      <c r="AT32" s="4" t="s">
        <v>349</v>
      </c>
      <c r="AU32" s="4">
        <v>81</v>
      </c>
      <c r="AV32" s="4">
        <f t="shared" si="17"/>
        <v>81</v>
      </c>
      <c r="AW32" s="18">
        <v>4</v>
      </c>
      <c r="AX32" s="18">
        <v>1</v>
      </c>
      <c r="AY32" s="16">
        <v>5</v>
      </c>
      <c r="AZ32">
        <v>78</v>
      </c>
      <c r="BA32">
        <f t="shared" si="18"/>
        <v>93.6</v>
      </c>
      <c r="BB32">
        <v>78</v>
      </c>
      <c r="BC32">
        <f t="shared" si="19"/>
        <v>93.6</v>
      </c>
      <c r="BD32" t="s">
        <v>270</v>
      </c>
    </row>
    <row r="33" spans="1:56" x14ac:dyDescent="0.4">
      <c r="A33" s="3">
        <v>109</v>
      </c>
      <c r="B33" s="3">
        <v>39</v>
      </c>
      <c r="C33" s="40">
        <v>600576</v>
      </c>
      <c r="D33" s="4" t="str">
        <f t="shared" si="0"/>
        <v>600576</v>
      </c>
      <c r="E33" s="4">
        <v>628375</v>
      </c>
      <c r="F33" s="4" t="s">
        <v>195</v>
      </c>
      <c r="G33" s="5">
        <v>4902778720806</v>
      </c>
      <c r="H33" s="5">
        <v>8</v>
      </c>
      <c r="I33" s="5" t="str">
        <f>C33&amp;H33</f>
        <v>6005768</v>
      </c>
      <c r="J33" s="5"/>
      <c r="K33" s="5"/>
      <c r="L33" s="4">
        <v>1000</v>
      </c>
      <c r="M33" s="4">
        <v>757</v>
      </c>
      <c r="N33" s="4">
        <v>510</v>
      </c>
      <c r="O33" s="6">
        <f t="shared" si="1"/>
        <v>0.32628797886393657</v>
      </c>
      <c r="P33" s="4" t="s">
        <v>230</v>
      </c>
      <c r="Q33" s="4" t="s">
        <v>230</v>
      </c>
      <c r="R33" s="4" t="s">
        <v>230</v>
      </c>
      <c r="S33" s="4">
        <v>120</v>
      </c>
      <c r="T33" s="4">
        <f t="shared" si="2"/>
        <v>1200</v>
      </c>
      <c r="U33" s="4">
        <v>61.2</v>
      </c>
      <c r="V33" s="4">
        <f t="shared" si="3"/>
        <v>612</v>
      </c>
      <c r="W33" s="4">
        <v>10</v>
      </c>
      <c r="X33" s="20">
        <f t="shared" si="4"/>
        <v>908</v>
      </c>
      <c r="Y33" s="6">
        <f t="shared" si="5"/>
        <v>0.32599118942731276</v>
      </c>
      <c r="Z33" s="32">
        <v>214.75</v>
      </c>
      <c r="AA33" s="4">
        <f t="shared" si="6"/>
        <v>737</v>
      </c>
      <c r="AB33" s="32">
        <f t="shared" si="7"/>
        <v>884.4</v>
      </c>
      <c r="AC33" s="6">
        <f t="shared" si="8"/>
        <v>0.30800542740841241</v>
      </c>
      <c r="AD33" s="7">
        <v>883</v>
      </c>
      <c r="AE33" s="6">
        <f t="shared" si="9"/>
        <v>0.30690826727066822</v>
      </c>
      <c r="AF33" s="4">
        <f t="shared" si="10"/>
        <v>271</v>
      </c>
      <c r="AG33" s="27"/>
      <c r="AH33" s="6"/>
      <c r="AI33" s="6"/>
      <c r="AJ33" s="6">
        <f t="shared" si="11"/>
        <v>1.2</v>
      </c>
      <c r="AK33" s="6">
        <f t="shared" si="12"/>
        <v>1.1664464993394981</v>
      </c>
      <c r="AL33" s="6">
        <f t="shared" si="13"/>
        <v>1.2</v>
      </c>
      <c r="AM33" s="4" t="str">
        <f t="shared" si="14"/>
        <v>-</v>
      </c>
      <c r="AN33" s="4" t="str">
        <f t="shared" si="15"/>
        <v>-</v>
      </c>
      <c r="AO33" s="4" t="str">
        <f t="shared" si="16"/>
        <v>-</v>
      </c>
      <c r="AP33" s="4" t="s">
        <v>224</v>
      </c>
      <c r="AQ33" s="4" t="s">
        <v>465</v>
      </c>
      <c r="AR33" s="4"/>
      <c r="AS33" s="4"/>
      <c r="AT33" s="4" t="s">
        <v>409</v>
      </c>
      <c r="AU33" s="4">
        <v>737</v>
      </c>
      <c r="AV33" s="4">
        <f t="shared" si="17"/>
        <v>737</v>
      </c>
      <c r="AW33" s="18">
        <v>4</v>
      </c>
      <c r="AX33" s="18">
        <v>1</v>
      </c>
      <c r="AY33" s="16">
        <v>5</v>
      </c>
      <c r="AZ33">
        <v>78</v>
      </c>
      <c r="BA33">
        <f t="shared" si="18"/>
        <v>93.6</v>
      </c>
      <c r="BB33">
        <v>78</v>
      </c>
      <c r="BC33">
        <f t="shared" si="19"/>
        <v>93.6</v>
      </c>
      <c r="BD33" t="s">
        <v>334</v>
      </c>
    </row>
    <row r="34" spans="1:56" x14ac:dyDescent="0.4">
      <c r="A34" s="3">
        <v>40</v>
      </c>
      <c r="B34" s="3">
        <v>40</v>
      </c>
      <c r="C34" s="40">
        <v>600577</v>
      </c>
      <c r="D34" s="4" t="str">
        <f t="shared" si="0"/>
        <v>600577</v>
      </c>
      <c r="E34" s="4">
        <v>600577</v>
      </c>
      <c r="F34" s="4" t="s">
        <v>101</v>
      </c>
      <c r="G34" s="5">
        <v>4902778720790</v>
      </c>
      <c r="H34" s="5"/>
      <c r="I34" s="5"/>
      <c r="J34" s="5">
        <v>2</v>
      </c>
      <c r="K34" s="5">
        <v>2</v>
      </c>
      <c r="L34" s="4">
        <v>100</v>
      </c>
      <c r="M34" s="4">
        <v>82</v>
      </c>
      <c r="N34" s="4">
        <v>51</v>
      </c>
      <c r="O34" s="6">
        <f t="shared" si="1"/>
        <v>0.37804878048780488</v>
      </c>
      <c r="P34" s="4" t="s">
        <v>230</v>
      </c>
      <c r="Q34" s="4" t="s">
        <v>230</v>
      </c>
      <c r="R34" s="4" t="s">
        <v>230</v>
      </c>
      <c r="S34" s="4">
        <v>120</v>
      </c>
      <c r="T34" s="4">
        <f t="shared" si="2"/>
        <v>120</v>
      </c>
      <c r="U34" s="4">
        <v>61.2</v>
      </c>
      <c r="V34" s="4">
        <f t="shared" si="3"/>
        <v>61.2</v>
      </c>
      <c r="W34" s="4"/>
      <c r="X34" s="20">
        <f t="shared" si="4"/>
        <v>98</v>
      </c>
      <c r="Y34" s="6">
        <f t="shared" si="5"/>
        <v>0.3755102040816326</v>
      </c>
      <c r="Z34" s="32">
        <v>74</v>
      </c>
      <c r="AA34" s="4">
        <f t="shared" si="6"/>
        <v>81</v>
      </c>
      <c r="AB34" s="32">
        <f t="shared" si="7"/>
        <v>97.2</v>
      </c>
      <c r="AC34" s="6">
        <f t="shared" si="8"/>
        <v>0.37037037037037035</v>
      </c>
      <c r="AD34" s="7">
        <v>93</v>
      </c>
      <c r="AE34" s="6">
        <f t="shared" si="9"/>
        <v>0.34193548387096773</v>
      </c>
      <c r="AF34" s="4">
        <f t="shared" si="10"/>
        <v>31.799999999999997</v>
      </c>
      <c r="AG34" s="27"/>
      <c r="AH34" s="6"/>
      <c r="AI34" s="6"/>
      <c r="AJ34" s="6">
        <f t="shared" si="11"/>
        <v>1.2</v>
      </c>
      <c r="AK34" s="6">
        <f t="shared" si="12"/>
        <v>1.1341463414634145</v>
      </c>
      <c r="AL34" s="6">
        <f t="shared" si="13"/>
        <v>1.2</v>
      </c>
      <c r="AM34" s="4" t="str">
        <f t="shared" si="14"/>
        <v>-</v>
      </c>
      <c r="AN34" s="4" t="str">
        <f t="shared" si="15"/>
        <v>-</v>
      </c>
      <c r="AO34" s="4" t="str">
        <f t="shared" si="16"/>
        <v>-</v>
      </c>
      <c r="AP34" s="4" t="s">
        <v>224</v>
      </c>
      <c r="AQ34" s="4" t="s">
        <v>392</v>
      </c>
      <c r="AR34" s="4"/>
      <c r="AS34" s="4"/>
      <c r="AT34" s="4" t="s">
        <v>349</v>
      </c>
      <c r="AU34" s="4">
        <v>81</v>
      </c>
      <c r="AV34" s="4">
        <f t="shared" si="17"/>
        <v>81</v>
      </c>
      <c r="AW34" s="18">
        <v>4</v>
      </c>
      <c r="AX34" s="18">
        <v>1</v>
      </c>
      <c r="AY34" s="16">
        <v>5</v>
      </c>
      <c r="AZ34" t="s">
        <v>230</v>
      </c>
      <c r="BA34" t="str">
        <f t="shared" si="18"/>
        <v>-</v>
      </c>
      <c r="BB34">
        <v>78</v>
      </c>
      <c r="BC34">
        <f t="shared" si="19"/>
        <v>93.6</v>
      </c>
      <c r="BD34" t="s">
        <v>271</v>
      </c>
    </row>
    <row r="35" spans="1:56" x14ac:dyDescent="0.4">
      <c r="A35" s="3">
        <v>109</v>
      </c>
      <c r="B35" s="3">
        <v>40</v>
      </c>
      <c r="C35" s="40">
        <v>600577</v>
      </c>
      <c r="D35" s="4" t="str">
        <f t="shared" si="0"/>
        <v>600577</v>
      </c>
      <c r="E35" s="4">
        <v>628376</v>
      </c>
      <c r="F35" s="4" t="s">
        <v>196</v>
      </c>
      <c r="G35" s="5">
        <v>4902778720790</v>
      </c>
      <c r="H35" s="5">
        <v>8</v>
      </c>
      <c r="I35" s="5" t="str">
        <f>C35&amp;H35</f>
        <v>6005778</v>
      </c>
      <c r="J35" s="5"/>
      <c r="K35" s="5"/>
      <c r="L35" s="4">
        <v>1000</v>
      </c>
      <c r="M35" s="4">
        <v>757</v>
      </c>
      <c r="N35" s="4">
        <v>510</v>
      </c>
      <c r="O35" s="6">
        <f t="shared" si="1"/>
        <v>0.32628797886393657</v>
      </c>
      <c r="P35" s="4" t="s">
        <v>230</v>
      </c>
      <c r="Q35" s="4" t="s">
        <v>230</v>
      </c>
      <c r="R35" s="4" t="s">
        <v>230</v>
      </c>
      <c r="S35" s="4">
        <v>120</v>
      </c>
      <c r="T35" s="4">
        <f t="shared" si="2"/>
        <v>1200</v>
      </c>
      <c r="U35" s="4">
        <v>61.2</v>
      </c>
      <c r="V35" s="4">
        <f t="shared" si="3"/>
        <v>612</v>
      </c>
      <c r="W35" s="4">
        <v>10</v>
      </c>
      <c r="X35" s="20">
        <f t="shared" si="4"/>
        <v>908</v>
      </c>
      <c r="Y35" s="6">
        <f t="shared" si="5"/>
        <v>0.32599118942731276</v>
      </c>
      <c r="Z35" s="32">
        <v>74</v>
      </c>
      <c r="AA35" s="4">
        <f t="shared" si="6"/>
        <v>737</v>
      </c>
      <c r="AB35" s="32">
        <f t="shared" si="7"/>
        <v>884.4</v>
      </c>
      <c r="AC35" s="6">
        <f t="shared" si="8"/>
        <v>0.30800542740841241</v>
      </c>
      <c r="AD35" s="7">
        <v>883</v>
      </c>
      <c r="AE35" s="6">
        <f t="shared" si="9"/>
        <v>0.30690826727066822</v>
      </c>
      <c r="AF35" s="4">
        <f t="shared" si="10"/>
        <v>271</v>
      </c>
      <c r="AG35" s="27"/>
      <c r="AH35" s="6"/>
      <c r="AI35" s="6"/>
      <c r="AJ35" s="6">
        <f t="shared" si="11"/>
        <v>1.2</v>
      </c>
      <c r="AK35" s="6">
        <f t="shared" si="12"/>
        <v>1.1664464993394981</v>
      </c>
      <c r="AL35" s="6">
        <f t="shared" si="13"/>
        <v>1.2</v>
      </c>
      <c r="AM35" s="4" t="str">
        <f t="shared" si="14"/>
        <v>-</v>
      </c>
      <c r="AN35" s="4" t="str">
        <f t="shared" si="15"/>
        <v>-</v>
      </c>
      <c r="AO35" s="4" t="str">
        <f t="shared" si="16"/>
        <v>-</v>
      </c>
      <c r="AP35" s="4" t="s">
        <v>224</v>
      </c>
      <c r="AQ35" s="4" t="s">
        <v>466</v>
      </c>
      <c r="AR35" s="4"/>
      <c r="AS35" s="4"/>
      <c r="AT35" s="4" t="s">
        <v>409</v>
      </c>
      <c r="AU35" s="4">
        <v>737</v>
      </c>
      <c r="AV35" s="4">
        <f t="shared" si="17"/>
        <v>737</v>
      </c>
      <c r="AW35" s="18">
        <v>4</v>
      </c>
      <c r="AX35" s="18">
        <v>1</v>
      </c>
      <c r="AY35" s="16">
        <v>5</v>
      </c>
      <c r="AZ35" t="s">
        <v>230</v>
      </c>
      <c r="BA35" t="str">
        <f t="shared" si="18"/>
        <v>-</v>
      </c>
      <c r="BB35">
        <v>78</v>
      </c>
      <c r="BC35">
        <f t="shared" si="19"/>
        <v>93.6</v>
      </c>
      <c r="BD35" t="s">
        <v>335</v>
      </c>
    </row>
    <row r="36" spans="1:56" x14ac:dyDescent="0.4">
      <c r="A36" s="3">
        <v>41</v>
      </c>
      <c r="B36" s="3">
        <v>41</v>
      </c>
      <c r="C36" s="40">
        <v>600578</v>
      </c>
      <c r="D36" s="4" t="str">
        <f t="shared" ref="D36:D67" si="20">TEXT(C36,"000000")</f>
        <v>600578</v>
      </c>
      <c r="E36" s="4">
        <v>600578</v>
      </c>
      <c r="F36" s="4" t="s">
        <v>102</v>
      </c>
      <c r="G36" s="5">
        <v>4902778720813</v>
      </c>
      <c r="H36" s="5"/>
      <c r="I36" s="5"/>
      <c r="J36" s="5">
        <v>2</v>
      </c>
      <c r="K36" s="5">
        <v>2</v>
      </c>
      <c r="L36" s="4">
        <v>100</v>
      </c>
      <c r="M36" s="4">
        <v>82</v>
      </c>
      <c r="N36" s="4">
        <v>51</v>
      </c>
      <c r="O36" s="6">
        <f t="shared" ref="O36:O67" si="21">IFERROR(1-N36/M36,"-")</f>
        <v>0.37804878048780488</v>
      </c>
      <c r="P36" s="4" t="s">
        <v>230</v>
      </c>
      <c r="Q36" s="4" t="s">
        <v>230</v>
      </c>
      <c r="R36" s="4" t="s">
        <v>230</v>
      </c>
      <c r="S36" s="4">
        <v>120</v>
      </c>
      <c r="T36" s="4">
        <f t="shared" ref="T36:T67" si="22">IF(W36="",S36,S36*W36)</f>
        <v>120</v>
      </c>
      <c r="U36" s="4">
        <v>61.2</v>
      </c>
      <c r="V36" s="4">
        <f t="shared" ref="V36:V67" si="23">IF(W36="",U36,U36*W36)</f>
        <v>61.2</v>
      </c>
      <c r="W36" s="4"/>
      <c r="X36" s="20">
        <f t="shared" ref="X36:X67" si="24">ROUND(M36*AL36,0)</f>
        <v>98</v>
      </c>
      <c r="Y36" s="6">
        <f t="shared" ref="Y36:Y67" si="25">IFERROR(1-V36/X36,"-")</f>
        <v>0.3755102040816326</v>
      </c>
      <c r="Z36" s="32">
        <v>32.75</v>
      </c>
      <c r="AA36" s="4">
        <f t="shared" ref="AA36:AA67" si="26">AV36</f>
        <v>81</v>
      </c>
      <c r="AB36" s="32">
        <f t="shared" ref="AB36:AB67" si="27">IFERROR(AA36*AL36,"-")</f>
        <v>97.2</v>
      </c>
      <c r="AC36" s="6">
        <f t="shared" ref="AC36:AC67" si="28">IFERROR(1-V36/AB36,"-")</f>
        <v>0.37037037037037035</v>
      </c>
      <c r="AD36" s="7">
        <v>93</v>
      </c>
      <c r="AE36" s="6">
        <f t="shared" ref="AE36:AE67" si="29">1-V36/AD36</f>
        <v>0.34193548387096773</v>
      </c>
      <c r="AF36" s="4">
        <f t="shared" ref="AF36:AF67" si="30">AD36-V36</f>
        <v>31.799999999999997</v>
      </c>
      <c r="AG36" s="27"/>
      <c r="AH36" s="6"/>
      <c r="AI36" s="6"/>
      <c r="AJ36" s="6">
        <f t="shared" ref="AJ36:AJ67" si="31">IFERROR(T36/L36,"-")</f>
        <v>1.2</v>
      </c>
      <c r="AK36" s="6">
        <f t="shared" ref="AK36:AK67" si="32">IFERROR(AD36/M36,"-")</f>
        <v>1.1341463414634145</v>
      </c>
      <c r="AL36" s="6">
        <f t="shared" ref="AL36:AL67" si="33">IFERROR(V36/N36,"-")</f>
        <v>1.2</v>
      </c>
      <c r="AM36" s="4" t="str">
        <f t="shared" ref="AM36:AM67" si="34">IFERROR(ROUND($AD36*P36/$M36,0),"-")</f>
        <v>-</v>
      </c>
      <c r="AN36" s="4" t="str">
        <f t="shared" ref="AN36:AN67" si="35">IF(Q36="","-",Q36)</f>
        <v>-</v>
      </c>
      <c r="AO36" s="4" t="str">
        <f t="shared" ref="AO36:AO67" si="36">IF(R36="","-",R36)</f>
        <v>-</v>
      </c>
      <c r="AP36" s="4" t="s">
        <v>224</v>
      </c>
      <c r="AQ36" s="4" t="s">
        <v>393</v>
      </c>
      <c r="AR36" s="4"/>
      <c r="AS36" s="4"/>
      <c r="AT36" s="4" t="s">
        <v>349</v>
      </c>
      <c r="AU36" s="4">
        <v>81</v>
      </c>
      <c r="AV36" s="4">
        <f t="shared" ref="AV36:AV67" si="37">IF(AR36="",AU36,AR36/AS36*AU36)</f>
        <v>81</v>
      </c>
      <c r="AW36" s="18">
        <v>4</v>
      </c>
      <c r="AX36" s="18">
        <v>1</v>
      </c>
      <c r="AY36" s="16">
        <v>5</v>
      </c>
      <c r="AZ36" t="s">
        <v>230</v>
      </c>
      <c r="BA36" t="str">
        <f t="shared" ref="BA36:BA67" si="38">IFERROR(AZ36*AL36,"-")</f>
        <v>-</v>
      </c>
      <c r="BB36">
        <v>78</v>
      </c>
      <c r="BC36">
        <f t="shared" ref="BC36:BC67" si="39">IFERROR(BB36*AL36,"-")</f>
        <v>93.6</v>
      </c>
      <c r="BD36" t="s">
        <v>272</v>
      </c>
    </row>
    <row r="37" spans="1:56" x14ac:dyDescent="0.4">
      <c r="A37" s="3">
        <v>109</v>
      </c>
      <c r="B37" s="3">
        <v>41</v>
      </c>
      <c r="C37" s="40">
        <v>600578</v>
      </c>
      <c r="D37" s="4" t="str">
        <f t="shared" si="20"/>
        <v>600578</v>
      </c>
      <c r="E37" s="4">
        <v>628377</v>
      </c>
      <c r="F37" s="4" t="s">
        <v>197</v>
      </c>
      <c r="G37" s="5">
        <v>4902778720813</v>
      </c>
      <c r="H37" s="5">
        <v>8</v>
      </c>
      <c r="I37" s="5" t="str">
        <f>C37&amp;H37</f>
        <v>6005788</v>
      </c>
      <c r="J37" s="5"/>
      <c r="K37" s="5"/>
      <c r="L37" s="4">
        <v>1000</v>
      </c>
      <c r="M37" s="4">
        <v>757</v>
      </c>
      <c r="N37" s="4">
        <v>510</v>
      </c>
      <c r="O37" s="6">
        <f t="shared" si="21"/>
        <v>0.32628797886393657</v>
      </c>
      <c r="P37" s="4" t="s">
        <v>230</v>
      </c>
      <c r="Q37" s="4" t="s">
        <v>230</v>
      </c>
      <c r="R37" s="4" t="s">
        <v>230</v>
      </c>
      <c r="S37" s="4">
        <v>120</v>
      </c>
      <c r="T37" s="4">
        <f t="shared" si="22"/>
        <v>1200</v>
      </c>
      <c r="U37" s="4">
        <v>61.2</v>
      </c>
      <c r="V37" s="4">
        <f t="shared" si="23"/>
        <v>612</v>
      </c>
      <c r="W37" s="4">
        <v>10</v>
      </c>
      <c r="X37" s="20">
        <f t="shared" si="24"/>
        <v>908</v>
      </c>
      <c r="Y37" s="6">
        <f t="shared" si="25"/>
        <v>0.32599118942731276</v>
      </c>
      <c r="Z37" s="32">
        <v>32.75</v>
      </c>
      <c r="AA37" s="4">
        <f t="shared" si="26"/>
        <v>737</v>
      </c>
      <c r="AB37" s="32">
        <f t="shared" si="27"/>
        <v>884.4</v>
      </c>
      <c r="AC37" s="6">
        <f t="shared" si="28"/>
        <v>0.30800542740841241</v>
      </c>
      <c r="AD37" s="7">
        <v>883</v>
      </c>
      <c r="AE37" s="6">
        <f t="shared" si="29"/>
        <v>0.30690826727066822</v>
      </c>
      <c r="AF37" s="4">
        <f t="shared" si="30"/>
        <v>271</v>
      </c>
      <c r="AG37" s="27"/>
      <c r="AH37" s="6"/>
      <c r="AI37" s="6"/>
      <c r="AJ37" s="6">
        <f t="shared" si="31"/>
        <v>1.2</v>
      </c>
      <c r="AK37" s="6">
        <f t="shared" si="32"/>
        <v>1.1664464993394981</v>
      </c>
      <c r="AL37" s="6">
        <f t="shared" si="33"/>
        <v>1.2</v>
      </c>
      <c r="AM37" s="4" t="str">
        <f t="shared" si="34"/>
        <v>-</v>
      </c>
      <c r="AN37" s="4" t="str">
        <f t="shared" si="35"/>
        <v>-</v>
      </c>
      <c r="AO37" s="4" t="str">
        <f t="shared" si="36"/>
        <v>-</v>
      </c>
      <c r="AP37" s="4" t="s">
        <v>224</v>
      </c>
      <c r="AQ37" s="4" t="s">
        <v>467</v>
      </c>
      <c r="AR37" s="4"/>
      <c r="AS37" s="4"/>
      <c r="AT37" s="4" t="s">
        <v>409</v>
      </c>
      <c r="AU37" s="4">
        <v>737</v>
      </c>
      <c r="AV37" s="4">
        <f t="shared" si="37"/>
        <v>737</v>
      </c>
      <c r="AW37" s="18">
        <v>4</v>
      </c>
      <c r="AX37" s="18">
        <v>1</v>
      </c>
      <c r="AY37" s="16">
        <v>5</v>
      </c>
      <c r="AZ37" t="s">
        <v>230</v>
      </c>
      <c r="BA37" t="str">
        <f t="shared" si="38"/>
        <v>-</v>
      </c>
      <c r="BB37">
        <v>78</v>
      </c>
      <c r="BC37">
        <f t="shared" si="39"/>
        <v>93.6</v>
      </c>
      <c r="BD37" t="s">
        <v>336</v>
      </c>
    </row>
    <row r="38" spans="1:56" x14ac:dyDescent="0.4">
      <c r="A38" s="3">
        <v>57</v>
      </c>
      <c r="B38" s="3">
        <v>57</v>
      </c>
      <c r="C38" s="32">
        <v>681844</v>
      </c>
      <c r="D38" s="4" t="str">
        <f t="shared" si="20"/>
        <v>681844</v>
      </c>
      <c r="E38" s="4">
        <v>681844</v>
      </c>
      <c r="F38" s="4" t="s">
        <v>118</v>
      </c>
      <c r="G38" s="5">
        <v>4902778720769</v>
      </c>
      <c r="H38" s="5"/>
      <c r="I38" s="5"/>
      <c r="J38" s="5">
        <v>1</v>
      </c>
      <c r="K38" s="5">
        <v>1</v>
      </c>
      <c r="L38" s="4">
        <v>100</v>
      </c>
      <c r="M38" s="4">
        <v>80</v>
      </c>
      <c r="N38" s="4">
        <v>51</v>
      </c>
      <c r="O38" s="6">
        <f t="shared" si="21"/>
        <v>0.36250000000000004</v>
      </c>
      <c r="P38" s="4" t="s">
        <v>230</v>
      </c>
      <c r="Q38" s="4" t="s">
        <v>230</v>
      </c>
      <c r="R38" s="4" t="s">
        <v>230</v>
      </c>
      <c r="S38" s="4">
        <v>120</v>
      </c>
      <c r="T38" s="4">
        <f t="shared" si="22"/>
        <v>120</v>
      </c>
      <c r="U38" s="4">
        <v>61.2</v>
      </c>
      <c r="V38" s="4">
        <f t="shared" si="23"/>
        <v>61.2</v>
      </c>
      <c r="W38" s="4"/>
      <c r="X38" s="20">
        <f t="shared" si="24"/>
        <v>96</v>
      </c>
      <c r="Y38" s="6">
        <f t="shared" si="25"/>
        <v>0.36249999999999993</v>
      </c>
      <c r="Z38" s="32">
        <v>5.25</v>
      </c>
      <c r="AA38" s="4">
        <f t="shared" si="26"/>
        <v>100</v>
      </c>
      <c r="AB38" s="32">
        <f t="shared" si="27"/>
        <v>120</v>
      </c>
      <c r="AC38" s="6">
        <f t="shared" si="28"/>
        <v>0.49</v>
      </c>
      <c r="AD38" s="7">
        <v>93</v>
      </c>
      <c r="AE38" s="6">
        <f t="shared" si="29"/>
        <v>0.34193548387096773</v>
      </c>
      <c r="AF38" s="4">
        <f t="shared" si="30"/>
        <v>31.799999999999997</v>
      </c>
      <c r="AG38" s="27"/>
      <c r="AH38" s="6"/>
      <c r="AI38" s="6"/>
      <c r="AJ38" s="6">
        <f t="shared" si="31"/>
        <v>1.2</v>
      </c>
      <c r="AK38" s="6">
        <f t="shared" si="32"/>
        <v>1.1625000000000001</v>
      </c>
      <c r="AL38" s="6">
        <f t="shared" si="33"/>
        <v>1.2</v>
      </c>
      <c r="AM38" s="4" t="str">
        <f t="shared" si="34"/>
        <v>-</v>
      </c>
      <c r="AN38" s="4" t="str">
        <f t="shared" si="35"/>
        <v>-</v>
      </c>
      <c r="AO38" s="4" t="str">
        <f t="shared" si="36"/>
        <v>-</v>
      </c>
      <c r="AP38" s="4">
        <v>0</v>
      </c>
      <c r="AQ38" s="4" t="s">
        <v>415</v>
      </c>
      <c r="AR38" s="4">
        <v>1</v>
      </c>
      <c r="AS38" s="4">
        <v>30</v>
      </c>
      <c r="AT38" s="4" t="s">
        <v>352</v>
      </c>
      <c r="AU38" s="4">
        <v>3000</v>
      </c>
      <c r="AV38" s="4">
        <f t="shared" si="37"/>
        <v>100</v>
      </c>
      <c r="AW38" s="18">
        <v>4</v>
      </c>
      <c r="AX38" s="18">
        <v>1</v>
      </c>
      <c r="AY38" s="16">
        <v>5</v>
      </c>
      <c r="AZ38" t="s">
        <v>230</v>
      </c>
      <c r="BA38" t="str">
        <f t="shared" si="38"/>
        <v>-</v>
      </c>
      <c r="BB38" t="s">
        <v>230</v>
      </c>
      <c r="BC38" t="str">
        <f t="shared" si="39"/>
        <v>-</v>
      </c>
      <c r="BD38" t="s">
        <v>288</v>
      </c>
    </row>
    <row r="39" spans="1:56" x14ac:dyDescent="0.4">
      <c r="A39" s="3">
        <v>48</v>
      </c>
      <c r="B39" s="3">
        <v>48</v>
      </c>
      <c r="C39" s="32">
        <v>662546</v>
      </c>
      <c r="D39" s="4" t="str">
        <f t="shared" si="20"/>
        <v>662546</v>
      </c>
      <c r="E39" s="4">
        <v>662546</v>
      </c>
      <c r="F39" s="4" t="s">
        <v>109</v>
      </c>
      <c r="G39" s="5">
        <v>4902778569535</v>
      </c>
      <c r="H39" s="5"/>
      <c r="I39" s="5"/>
      <c r="J39" s="5">
        <v>1</v>
      </c>
      <c r="K39" s="5">
        <v>1</v>
      </c>
      <c r="L39" s="4">
        <v>100</v>
      </c>
      <c r="M39" s="4">
        <v>77</v>
      </c>
      <c r="N39" s="4">
        <v>51</v>
      </c>
      <c r="O39" s="6">
        <f t="shared" si="21"/>
        <v>0.33766233766233766</v>
      </c>
      <c r="P39" s="4" t="s">
        <v>230</v>
      </c>
      <c r="Q39" s="4" t="s">
        <v>230</v>
      </c>
      <c r="R39" s="4" t="s">
        <v>230</v>
      </c>
      <c r="S39" s="4">
        <v>120</v>
      </c>
      <c r="T39" s="4">
        <f t="shared" si="22"/>
        <v>120</v>
      </c>
      <c r="U39" s="4">
        <v>61.2</v>
      </c>
      <c r="V39" s="4">
        <f t="shared" si="23"/>
        <v>61.2</v>
      </c>
      <c r="W39" s="4"/>
      <c r="X39" s="20">
        <f t="shared" si="24"/>
        <v>92</v>
      </c>
      <c r="Y39" s="6">
        <f t="shared" si="25"/>
        <v>0.33478260869565213</v>
      </c>
      <c r="Z39" s="32">
        <v>121.24999999999999</v>
      </c>
      <c r="AA39" s="4">
        <f t="shared" si="26"/>
        <v>120</v>
      </c>
      <c r="AB39" s="32">
        <f t="shared" si="27"/>
        <v>144</v>
      </c>
      <c r="AC39" s="6">
        <f t="shared" si="28"/>
        <v>0.57499999999999996</v>
      </c>
      <c r="AD39" s="7">
        <v>93</v>
      </c>
      <c r="AE39" s="6">
        <f t="shared" si="29"/>
        <v>0.34193548387096773</v>
      </c>
      <c r="AF39" s="4">
        <f t="shared" si="30"/>
        <v>31.799999999999997</v>
      </c>
      <c r="AG39" s="27"/>
      <c r="AH39" s="6"/>
      <c r="AI39" s="6"/>
      <c r="AJ39" s="6">
        <f t="shared" si="31"/>
        <v>1.2</v>
      </c>
      <c r="AK39" s="6">
        <f t="shared" si="32"/>
        <v>1.2077922077922079</v>
      </c>
      <c r="AL39" s="6">
        <f t="shared" si="33"/>
        <v>1.2</v>
      </c>
      <c r="AM39" s="4" t="str">
        <f t="shared" si="34"/>
        <v>-</v>
      </c>
      <c r="AN39" s="4" t="str">
        <f t="shared" si="35"/>
        <v>-</v>
      </c>
      <c r="AO39" s="4" t="str">
        <f t="shared" si="36"/>
        <v>-</v>
      </c>
      <c r="AP39" s="4">
        <v>0</v>
      </c>
      <c r="AQ39" s="4" t="s">
        <v>402</v>
      </c>
      <c r="AR39" s="4"/>
      <c r="AS39" s="4"/>
      <c r="AT39" s="4" t="s">
        <v>349</v>
      </c>
      <c r="AU39" s="4">
        <v>120</v>
      </c>
      <c r="AV39" s="4">
        <f t="shared" si="37"/>
        <v>120</v>
      </c>
      <c r="AW39" s="18">
        <v>4</v>
      </c>
      <c r="AX39" s="18">
        <v>1</v>
      </c>
      <c r="AY39" s="16">
        <v>5</v>
      </c>
      <c r="AZ39" t="s">
        <v>230</v>
      </c>
      <c r="BA39" t="str">
        <f t="shared" si="38"/>
        <v>-</v>
      </c>
      <c r="BB39">
        <v>100</v>
      </c>
      <c r="BC39">
        <f t="shared" si="39"/>
        <v>120</v>
      </c>
      <c r="BD39" t="s">
        <v>279</v>
      </c>
    </row>
    <row r="40" spans="1:56" x14ac:dyDescent="0.4">
      <c r="A40" s="3">
        <v>56</v>
      </c>
      <c r="B40" s="3">
        <v>56</v>
      </c>
      <c r="C40" s="32">
        <v>680407</v>
      </c>
      <c r="D40" s="4" t="str">
        <f t="shared" si="20"/>
        <v>680407</v>
      </c>
      <c r="E40" s="4">
        <v>680407</v>
      </c>
      <c r="F40" s="4" t="s">
        <v>117</v>
      </c>
      <c r="G40" s="5">
        <v>4902778569528</v>
      </c>
      <c r="H40" s="5"/>
      <c r="I40" s="5"/>
      <c r="J40" s="5">
        <v>1</v>
      </c>
      <c r="K40" s="5">
        <v>1</v>
      </c>
      <c r="L40" s="4">
        <v>100</v>
      </c>
      <c r="M40" s="4">
        <v>76</v>
      </c>
      <c r="N40" s="4">
        <v>51</v>
      </c>
      <c r="O40" s="6">
        <f t="shared" si="21"/>
        <v>0.32894736842105265</v>
      </c>
      <c r="P40" s="4" t="s">
        <v>230</v>
      </c>
      <c r="Q40" s="4" t="s">
        <v>230</v>
      </c>
      <c r="R40" s="4" t="s">
        <v>230</v>
      </c>
      <c r="S40" s="4">
        <v>120</v>
      </c>
      <c r="T40" s="4">
        <f t="shared" si="22"/>
        <v>120</v>
      </c>
      <c r="U40" s="4">
        <v>61.2</v>
      </c>
      <c r="V40" s="4">
        <f t="shared" si="23"/>
        <v>61.2</v>
      </c>
      <c r="W40" s="4"/>
      <c r="X40" s="20">
        <f t="shared" si="24"/>
        <v>91</v>
      </c>
      <c r="Y40" s="6">
        <f t="shared" si="25"/>
        <v>0.32747252747252742</v>
      </c>
      <c r="Z40" s="32">
        <v>9.75</v>
      </c>
      <c r="AA40" s="4">
        <f t="shared" si="26"/>
        <v>103</v>
      </c>
      <c r="AB40" s="32">
        <f t="shared" si="27"/>
        <v>123.6</v>
      </c>
      <c r="AC40" s="6">
        <f t="shared" si="28"/>
        <v>0.50485436893203883</v>
      </c>
      <c r="AD40" s="7">
        <v>93</v>
      </c>
      <c r="AE40" s="6">
        <f t="shared" si="29"/>
        <v>0.34193548387096773</v>
      </c>
      <c r="AF40" s="4">
        <f t="shared" si="30"/>
        <v>31.799999999999997</v>
      </c>
      <c r="AG40" s="27"/>
      <c r="AH40" s="6"/>
      <c r="AI40" s="6"/>
      <c r="AJ40" s="6">
        <f t="shared" si="31"/>
        <v>1.2</v>
      </c>
      <c r="AK40" s="6">
        <f t="shared" si="32"/>
        <v>1.2236842105263157</v>
      </c>
      <c r="AL40" s="6">
        <f t="shared" si="33"/>
        <v>1.2</v>
      </c>
      <c r="AM40" s="4" t="str">
        <f t="shared" si="34"/>
        <v>-</v>
      </c>
      <c r="AN40" s="4" t="str">
        <f t="shared" si="35"/>
        <v>-</v>
      </c>
      <c r="AO40" s="4" t="str">
        <f t="shared" si="36"/>
        <v>-</v>
      </c>
      <c r="AP40" s="4">
        <v>0</v>
      </c>
      <c r="AQ40" s="4" t="s">
        <v>414</v>
      </c>
      <c r="AR40" s="4"/>
      <c r="AS40" s="4"/>
      <c r="AT40" s="4" t="s">
        <v>349</v>
      </c>
      <c r="AU40" s="4">
        <v>103</v>
      </c>
      <c r="AV40" s="4">
        <f t="shared" si="37"/>
        <v>103</v>
      </c>
      <c r="AW40" s="18">
        <v>4</v>
      </c>
      <c r="AX40" s="18">
        <v>1</v>
      </c>
      <c r="AY40" s="16">
        <v>5</v>
      </c>
      <c r="AZ40" t="s">
        <v>230</v>
      </c>
      <c r="BA40" t="str">
        <f t="shared" si="38"/>
        <v>-</v>
      </c>
      <c r="BB40" t="s">
        <v>230</v>
      </c>
      <c r="BC40" t="str">
        <f t="shared" si="39"/>
        <v>-</v>
      </c>
      <c r="BD40" t="s">
        <v>287</v>
      </c>
    </row>
    <row r="41" spans="1:56" x14ac:dyDescent="0.4">
      <c r="A41" s="3">
        <v>61</v>
      </c>
      <c r="B41" s="3">
        <v>61</v>
      </c>
      <c r="C41" s="40">
        <v>696617</v>
      </c>
      <c r="D41" s="4" t="str">
        <f t="shared" si="20"/>
        <v>696617</v>
      </c>
      <c r="E41" s="4">
        <v>696617</v>
      </c>
      <c r="F41" s="4" t="s">
        <v>122</v>
      </c>
      <c r="G41" s="5">
        <v>4902778569542</v>
      </c>
      <c r="H41" s="5"/>
      <c r="I41" s="5"/>
      <c r="J41" s="5">
        <v>2</v>
      </c>
      <c r="K41" s="5">
        <v>2</v>
      </c>
      <c r="L41" s="4">
        <v>100</v>
      </c>
      <c r="M41" s="4">
        <v>79</v>
      </c>
      <c r="N41" s="4">
        <v>51</v>
      </c>
      <c r="O41" s="6">
        <f t="shared" si="21"/>
        <v>0.35443037974683544</v>
      </c>
      <c r="P41" s="4" t="s">
        <v>230</v>
      </c>
      <c r="Q41" s="4" t="s">
        <v>230</v>
      </c>
      <c r="R41" s="4" t="s">
        <v>230</v>
      </c>
      <c r="S41" s="4">
        <v>120</v>
      </c>
      <c r="T41" s="4">
        <f t="shared" si="22"/>
        <v>120</v>
      </c>
      <c r="U41" s="4">
        <v>61.2</v>
      </c>
      <c r="V41" s="4">
        <f t="shared" si="23"/>
        <v>61.2</v>
      </c>
      <c r="W41" s="4"/>
      <c r="X41" s="20">
        <f t="shared" si="24"/>
        <v>95</v>
      </c>
      <c r="Y41" s="6">
        <f t="shared" si="25"/>
        <v>0.35578947368421054</v>
      </c>
      <c r="Z41" s="32">
        <v>13.5</v>
      </c>
      <c r="AA41" s="4" t="str">
        <f t="shared" si="26"/>
        <v>-</v>
      </c>
      <c r="AB41" s="32" t="str">
        <f t="shared" si="27"/>
        <v>-</v>
      </c>
      <c r="AC41" s="6" t="str">
        <f t="shared" si="28"/>
        <v>-</v>
      </c>
      <c r="AD41" s="7">
        <v>93</v>
      </c>
      <c r="AE41" s="6">
        <f t="shared" si="29"/>
        <v>0.34193548387096773</v>
      </c>
      <c r="AF41" s="4">
        <f t="shared" si="30"/>
        <v>31.799999999999997</v>
      </c>
      <c r="AG41" s="27"/>
      <c r="AH41" s="6"/>
      <c r="AI41" s="6"/>
      <c r="AJ41" s="6">
        <f t="shared" si="31"/>
        <v>1.2</v>
      </c>
      <c r="AK41" s="6">
        <f t="shared" si="32"/>
        <v>1.1772151898734178</v>
      </c>
      <c r="AL41" s="6">
        <f t="shared" si="33"/>
        <v>1.2</v>
      </c>
      <c r="AM41" s="4" t="str">
        <f t="shared" si="34"/>
        <v>-</v>
      </c>
      <c r="AN41" s="4" t="str">
        <f t="shared" si="35"/>
        <v>-</v>
      </c>
      <c r="AO41" s="4" t="str">
        <f t="shared" si="36"/>
        <v>-</v>
      </c>
      <c r="AP41" s="4">
        <v>0</v>
      </c>
      <c r="AQ41" s="4" t="s">
        <v>230</v>
      </c>
      <c r="AR41" s="4"/>
      <c r="AS41" s="4"/>
      <c r="AT41" s="4" t="s">
        <v>230</v>
      </c>
      <c r="AU41" s="4" t="s">
        <v>230</v>
      </c>
      <c r="AV41" s="4" t="str">
        <f t="shared" si="37"/>
        <v>-</v>
      </c>
      <c r="AW41" s="18">
        <v>4</v>
      </c>
      <c r="AX41" s="18">
        <v>1</v>
      </c>
      <c r="AY41" s="16">
        <v>5</v>
      </c>
      <c r="AZ41" t="s">
        <v>230</v>
      </c>
      <c r="BA41" t="str">
        <f t="shared" si="38"/>
        <v>-</v>
      </c>
      <c r="BB41">
        <v>79</v>
      </c>
      <c r="BC41">
        <f t="shared" si="39"/>
        <v>94.8</v>
      </c>
      <c r="BD41" t="s">
        <v>230</v>
      </c>
    </row>
    <row r="42" spans="1:56" x14ac:dyDescent="0.4">
      <c r="A42" s="3">
        <v>109</v>
      </c>
      <c r="B42" s="3">
        <v>61</v>
      </c>
      <c r="C42" s="40">
        <v>696617</v>
      </c>
      <c r="D42" s="4" t="str">
        <f t="shared" si="20"/>
        <v>696617</v>
      </c>
      <c r="E42" s="4">
        <v>696619</v>
      </c>
      <c r="F42" s="4" t="s">
        <v>204</v>
      </c>
      <c r="G42" s="5">
        <v>4902778569542</v>
      </c>
      <c r="H42" s="5">
        <v>8</v>
      </c>
      <c r="I42" s="5" t="str">
        <f>C42&amp;H42</f>
        <v>6966178</v>
      </c>
      <c r="J42" s="5"/>
      <c r="K42" s="5"/>
      <c r="L42" s="4">
        <v>1000</v>
      </c>
      <c r="M42" s="4">
        <v>680</v>
      </c>
      <c r="N42" s="4">
        <v>510</v>
      </c>
      <c r="O42" s="6">
        <f t="shared" si="21"/>
        <v>0.25</v>
      </c>
      <c r="P42" s="4" t="s">
        <v>230</v>
      </c>
      <c r="Q42" s="4" t="s">
        <v>230</v>
      </c>
      <c r="R42" s="4" t="s">
        <v>230</v>
      </c>
      <c r="S42" s="4">
        <v>120</v>
      </c>
      <c r="T42" s="4">
        <f t="shared" si="22"/>
        <v>1200</v>
      </c>
      <c r="U42" s="4">
        <v>61.2</v>
      </c>
      <c r="V42" s="4">
        <f t="shared" si="23"/>
        <v>612</v>
      </c>
      <c r="W42" s="4">
        <v>10</v>
      </c>
      <c r="X42" s="20">
        <f t="shared" si="24"/>
        <v>816</v>
      </c>
      <c r="Y42" s="6">
        <f t="shared" si="25"/>
        <v>0.25</v>
      </c>
      <c r="Z42" s="32">
        <v>13.5</v>
      </c>
      <c r="AA42" s="4" t="str">
        <f t="shared" si="26"/>
        <v>-</v>
      </c>
      <c r="AB42" s="32" t="str">
        <f t="shared" si="27"/>
        <v>-</v>
      </c>
      <c r="AC42" s="6" t="str">
        <f t="shared" si="28"/>
        <v>-</v>
      </c>
      <c r="AD42" s="7">
        <v>883</v>
      </c>
      <c r="AE42" s="6">
        <f t="shared" si="29"/>
        <v>0.30690826727066822</v>
      </c>
      <c r="AF42" s="4">
        <f t="shared" si="30"/>
        <v>271</v>
      </c>
      <c r="AG42" s="27"/>
      <c r="AH42" s="6"/>
      <c r="AI42" s="6"/>
      <c r="AJ42" s="6">
        <f t="shared" si="31"/>
        <v>1.2</v>
      </c>
      <c r="AK42" s="6">
        <f t="shared" si="32"/>
        <v>1.2985294117647059</v>
      </c>
      <c r="AL42" s="6">
        <f t="shared" si="33"/>
        <v>1.2</v>
      </c>
      <c r="AM42" s="4" t="str">
        <f t="shared" si="34"/>
        <v>-</v>
      </c>
      <c r="AN42" s="4" t="str">
        <f t="shared" si="35"/>
        <v>-</v>
      </c>
      <c r="AO42" s="4" t="str">
        <f t="shared" si="36"/>
        <v>-</v>
      </c>
      <c r="AP42" s="4">
        <v>0</v>
      </c>
      <c r="AQ42" s="4" t="s">
        <v>230</v>
      </c>
      <c r="AR42" s="4"/>
      <c r="AS42" s="4"/>
      <c r="AT42" s="4" t="s">
        <v>230</v>
      </c>
      <c r="AU42" s="4" t="s">
        <v>230</v>
      </c>
      <c r="AV42" s="4" t="str">
        <f t="shared" si="37"/>
        <v>-</v>
      </c>
      <c r="AW42" s="18">
        <v>4</v>
      </c>
      <c r="AX42" s="18">
        <v>1</v>
      </c>
      <c r="AY42" s="16">
        <v>5</v>
      </c>
      <c r="AZ42" t="s">
        <v>230</v>
      </c>
      <c r="BA42" t="str">
        <f t="shared" si="38"/>
        <v>-</v>
      </c>
      <c r="BB42">
        <v>79</v>
      </c>
      <c r="BC42">
        <f t="shared" si="39"/>
        <v>94.8</v>
      </c>
      <c r="BD42" t="s">
        <v>230</v>
      </c>
    </row>
    <row r="43" spans="1:56" x14ac:dyDescent="0.4">
      <c r="A43" s="3">
        <v>70</v>
      </c>
      <c r="B43" s="3">
        <v>70</v>
      </c>
      <c r="C43" s="40">
        <v>731538</v>
      </c>
      <c r="D43" s="4" t="str">
        <f t="shared" si="20"/>
        <v>731538</v>
      </c>
      <c r="E43" s="4">
        <v>731538</v>
      </c>
      <c r="F43" s="4" t="s">
        <v>131</v>
      </c>
      <c r="G43" s="5">
        <v>4902778693308</v>
      </c>
      <c r="H43" s="5"/>
      <c r="I43" s="5"/>
      <c r="J43" s="5">
        <v>2</v>
      </c>
      <c r="K43" s="5">
        <v>2</v>
      </c>
      <c r="L43" s="4">
        <v>100</v>
      </c>
      <c r="M43" s="4">
        <v>82</v>
      </c>
      <c r="N43" s="4">
        <v>51</v>
      </c>
      <c r="O43" s="6">
        <f t="shared" si="21"/>
        <v>0.37804878048780488</v>
      </c>
      <c r="P43" s="4" t="s">
        <v>230</v>
      </c>
      <c r="Q43" s="4" t="s">
        <v>230</v>
      </c>
      <c r="R43" s="4" t="s">
        <v>230</v>
      </c>
      <c r="S43" s="4">
        <v>120</v>
      </c>
      <c r="T43" s="4">
        <f t="shared" si="22"/>
        <v>120</v>
      </c>
      <c r="U43" s="4">
        <v>61.2</v>
      </c>
      <c r="V43" s="4">
        <f t="shared" si="23"/>
        <v>61.2</v>
      </c>
      <c r="W43" s="4"/>
      <c r="X43" s="20">
        <f t="shared" si="24"/>
        <v>98</v>
      </c>
      <c r="Y43" s="6">
        <f t="shared" si="25"/>
        <v>0.3755102040816326</v>
      </c>
      <c r="Z43" s="32">
        <v>198.5</v>
      </c>
      <c r="AA43" s="4">
        <f t="shared" si="26"/>
        <v>100</v>
      </c>
      <c r="AB43" s="32">
        <f t="shared" si="27"/>
        <v>120</v>
      </c>
      <c r="AC43" s="6">
        <f t="shared" si="28"/>
        <v>0.49</v>
      </c>
      <c r="AD43" s="7">
        <v>93</v>
      </c>
      <c r="AE43" s="6">
        <f t="shared" si="29"/>
        <v>0.34193548387096773</v>
      </c>
      <c r="AF43" s="4">
        <f t="shared" si="30"/>
        <v>31.799999999999997</v>
      </c>
      <c r="AG43" s="27"/>
      <c r="AH43" s="6"/>
      <c r="AI43" s="6"/>
      <c r="AJ43" s="6">
        <f t="shared" si="31"/>
        <v>1.2</v>
      </c>
      <c r="AK43" s="6">
        <f t="shared" si="32"/>
        <v>1.1341463414634145</v>
      </c>
      <c r="AL43" s="6">
        <f t="shared" si="33"/>
        <v>1.2</v>
      </c>
      <c r="AM43" s="4" t="str">
        <f t="shared" si="34"/>
        <v>-</v>
      </c>
      <c r="AN43" s="4" t="str">
        <f t="shared" si="35"/>
        <v>-</v>
      </c>
      <c r="AO43" s="4" t="str">
        <f t="shared" si="36"/>
        <v>-</v>
      </c>
      <c r="AP43" s="4" t="s">
        <v>224</v>
      </c>
      <c r="AQ43" s="4" t="s">
        <v>428</v>
      </c>
      <c r="AR43" s="4"/>
      <c r="AS43" s="4"/>
      <c r="AT43" s="4" t="s">
        <v>349</v>
      </c>
      <c r="AU43" s="4">
        <v>100</v>
      </c>
      <c r="AV43" s="4">
        <f t="shared" si="37"/>
        <v>100</v>
      </c>
      <c r="AW43" s="18">
        <v>4</v>
      </c>
      <c r="AX43" s="18">
        <v>1</v>
      </c>
      <c r="AY43" s="16">
        <v>5</v>
      </c>
      <c r="AZ43" t="s">
        <v>230</v>
      </c>
      <c r="BA43" t="str">
        <f t="shared" si="38"/>
        <v>-</v>
      </c>
      <c r="BB43">
        <v>79</v>
      </c>
      <c r="BC43">
        <f t="shared" si="39"/>
        <v>94.8</v>
      </c>
      <c r="BD43" t="s">
        <v>299</v>
      </c>
    </row>
    <row r="44" spans="1:56" x14ac:dyDescent="0.4">
      <c r="A44" s="3">
        <v>109</v>
      </c>
      <c r="B44" s="3">
        <v>70</v>
      </c>
      <c r="C44" s="40">
        <v>731538</v>
      </c>
      <c r="D44" s="4" t="str">
        <f t="shared" si="20"/>
        <v>731538</v>
      </c>
      <c r="E44" s="4">
        <v>628372</v>
      </c>
      <c r="F44" s="4" t="s">
        <v>206</v>
      </c>
      <c r="G44" s="5">
        <v>4902778693308</v>
      </c>
      <c r="H44" s="5">
        <v>8</v>
      </c>
      <c r="I44" s="5" t="str">
        <f>C44&amp;H44</f>
        <v>7315388</v>
      </c>
      <c r="J44" s="5"/>
      <c r="K44" s="5"/>
      <c r="L44" s="4">
        <v>0</v>
      </c>
      <c r="M44" s="4">
        <v>757</v>
      </c>
      <c r="N44" s="4">
        <v>510</v>
      </c>
      <c r="O44" s="6">
        <f t="shared" si="21"/>
        <v>0.32628797886393657</v>
      </c>
      <c r="P44" s="4" t="s">
        <v>230</v>
      </c>
      <c r="Q44" s="4" t="s">
        <v>230</v>
      </c>
      <c r="R44" s="4" t="s">
        <v>230</v>
      </c>
      <c r="S44" s="4">
        <v>120</v>
      </c>
      <c r="T44" s="4">
        <f t="shared" si="22"/>
        <v>1200</v>
      </c>
      <c r="U44" s="4">
        <v>61.2</v>
      </c>
      <c r="V44" s="4">
        <f t="shared" si="23"/>
        <v>612</v>
      </c>
      <c r="W44" s="4">
        <v>10</v>
      </c>
      <c r="X44" s="20">
        <f t="shared" si="24"/>
        <v>908</v>
      </c>
      <c r="Y44" s="6">
        <f t="shared" si="25"/>
        <v>0.32599118942731276</v>
      </c>
      <c r="Z44" s="32">
        <v>198.5</v>
      </c>
      <c r="AA44" s="4">
        <f t="shared" si="26"/>
        <v>957</v>
      </c>
      <c r="AB44" s="32">
        <f t="shared" si="27"/>
        <v>1148.3999999999999</v>
      </c>
      <c r="AC44" s="6">
        <f t="shared" si="28"/>
        <v>0.46708463949843249</v>
      </c>
      <c r="AD44" s="7">
        <v>883</v>
      </c>
      <c r="AE44" s="6">
        <f t="shared" si="29"/>
        <v>0.30690826727066822</v>
      </c>
      <c r="AF44" s="4">
        <f t="shared" si="30"/>
        <v>271</v>
      </c>
      <c r="AG44" s="27"/>
      <c r="AH44" s="6"/>
      <c r="AI44" s="6"/>
      <c r="AJ44" s="6" t="str">
        <f t="shared" si="31"/>
        <v>-</v>
      </c>
      <c r="AK44" s="6">
        <f t="shared" si="32"/>
        <v>1.1664464993394981</v>
      </c>
      <c r="AL44" s="6">
        <f t="shared" si="33"/>
        <v>1.2</v>
      </c>
      <c r="AM44" s="4" t="str">
        <f t="shared" si="34"/>
        <v>-</v>
      </c>
      <c r="AN44" s="4" t="str">
        <f t="shared" si="35"/>
        <v>-</v>
      </c>
      <c r="AO44" s="4" t="str">
        <f t="shared" si="36"/>
        <v>-</v>
      </c>
      <c r="AP44" s="4" t="s">
        <v>224</v>
      </c>
      <c r="AQ44" s="4" t="s">
        <v>471</v>
      </c>
      <c r="AR44" s="4">
        <v>10</v>
      </c>
      <c r="AS44" s="4">
        <v>30</v>
      </c>
      <c r="AT44" s="4" t="s">
        <v>417</v>
      </c>
      <c r="AU44" s="4">
        <v>2871</v>
      </c>
      <c r="AV44" s="4">
        <f t="shared" si="37"/>
        <v>957</v>
      </c>
      <c r="AW44" s="18">
        <v>4</v>
      </c>
      <c r="AX44" s="18">
        <v>1</v>
      </c>
      <c r="AY44" s="16">
        <v>5</v>
      </c>
      <c r="AZ44" t="s">
        <v>230</v>
      </c>
      <c r="BA44" t="str">
        <f t="shared" si="38"/>
        <v>-</v>
      </c>
      <c r="BB44">
        <v>79</v>
      </c>
      <c r="BC44">
        <f t="shared" si="39"/>
        <v>94.8</v>
      </c>
      <c r="BD44" t="s">
        <v>340</v>
      </c>
    </row>
    <row r="45" spans="1:56" x14ac:dyDescent="0.4">
      <c r="A45" s="3">
        <v>89</v>
      </c>
      <c r="B45" s="3">
        <v>89</v>
      </c>
      <c r="C45" s="40">
        <v>758376</v>
      </c>
      <c r="D45" s="4" t="str">
        <f t="shared" si="20"/>
        <v>758376</v>
      </c>
      <c r="E45" s="4">
        <v>758376</v>
      </c>
      <c r="F45" s="4" t="s">
        <v>150</v>
      </c>
      <c r="G45" s="5">
        <v>4902778711910</v>
      </c>
      <c r="H45" s="5"/>
      <c r="I45" s="5"/>
      <c r="J45" s="5">
        <v>2</v>
      </c>
      <c r="K45" s="5">
        <v>2</v>
      </c>
      <c r="L45" s="4">
        <v>100</v>
      </c>
      <c r="M45" s="4">
        <v>72</v>
      </c>
      <c r="N45" s="4">
        <v>51</v>
      </c>
      <c r="O45" s="6">
        <f t="shared" si="21"/>
        <v>0.29166666666666663</v>
      </c>
      <c r="P45" s="4" t="s">
        <v>230</v>
      </c>
      <c r="Q45" s="4" t="s">
        <v>230</v>
      </c>
      <c r="R45" s="4" t="s">
        <v>230</v>
      </c>
      <c r="S45" s="4">
        <v>120</v>
      </c>
      <c r="T45" s="4">
        <f t="shared" si="22"/>
        <v>120</v>
      </c>
      <c r="U45" s="4">
        <v>61.2</v>
      </c>
      <c r="V45" s="4">
        <f t="shared" si="23"/>
        <v>61.2</v>
      </c>
      <c r="W45" s="4"/>
      <c r="X45" s="20">
        <f t="shared" si="24"/>
        <v>86</v>
      </c>
      <c r="Y45" s="6">
        <f t="shared" si="25"/>
        <v>0.28837209302325573</v>
      </c>
      <c r="Z45" s="32">
        <v>118.5</v>
      </c>
      <c r="AA45" s="4">
        <f t="shared" si="26"/>
        <v>71</v>
      </c>
      <c r="AB45" s="32">
        <f t="shared" si="27"/>
        <v>85.2</v>
      </c>
      <c r="AC45" s="6">
        <f t="shared" si="28"/>
        <v>0.28169014084507038</v>
      </c>
      <c r="AD45" s="7">
        <v>85</v>
      </c>
      <c r="AE45" s="6">
        <f t="shared" si="29"/>
        <v>0.27999999999999992</v>
      </c>
      <c r="AF45" s="4">
        <f t="shared" si="30"/>
        <v>23.799999999999997</v>
      </c>
      <c r="AG45" s="27"/>
      <c r="AH45" s="6"/>
      <c r="AI45" s="6"/>
      <c r="AJ45" s="6">
        <f t="shared" si="31"/>
        <v>1.2</v>
      </c>
      <c r="AK45" s="6">
        <f t="shared" si="32"/>
        <v>1.1805555555555556</v>
      </c>
      <c r="AL45" s="6">
        <f t="shared" si="33"/>
        <v>1.2</v>
      </c>
      <c r="AM45" s="4" t="str">
        <f t="shared" si="34"/>
        <v>-</v>
      </c>
      <c r="AN45" s="4" t="str">
        <f t="shared" si="35"/>
        <v>-</v>
      </c>
      <c r="AO45" s="4" t="str">
        <f t="shared" si="36"/>
        <v>-</v>
      </c>
      <c r="AP45" s="4" t="s">
        <v>224</v>
      </c>
      <c r="AQ45" s="4" t="s">
        <v>447</v>
      </c>
      <c r="AR45" s="4"/>
      <c r="AS45" s="4"/>
      <c r="AT45" s="4" t="s">
        <v>349</v>
      </c>
      <c r="AU45" s="4">
        <v>71</v>
      </c>
      <c r="AV45" s="4">
        <f t="shared" si="37"/>
        <v>71</v>
      </c>
      <c r="AW45" s="18">
        <v>4</v>
      </c>
      <c r="AX45" s="18">
        <v>1</v>
      </c>
      <c r="AY45" s="16">
        <v>5</v>
      </c>
      <c r="AZ45" t="s">
        <v>230</v>
      </c>
      <c r="BA45" t="str">
        <f t="shared" si="38"/>
        <v>-</v>
      </c>
      <c r="BB45">
        <v>71</v>
      </c>
      <c r="BC45">
        <f t="shared" si="39"/>
        <v>85.2</v>
      </c>
      <c r="BD45" t="s">
        <v>318</v>
      </c>
    </row>
    <row r="46" spans="1:56" x14ac:dyDescent="0.4">
      <c r="A46" s="3">
        <v>109</v>
      </c>
      <c r="B46" s="3">
        <v>89</v>
      </c>
      <c r="C46" s="40">
        <v>758376</v>
      </c>
      <c r="D46" s="4" t="str">
        <f t="shared" si="20"/>
        <v>758376</v>
      </c>
      <c r="E46" s="4">
        <v>613366</v>
      </c>
      <c r="F46" s="4" t="s">
        <v>220</v>
      </c>
      <c r="G46" s="5">
        <v>4902778711910</v>
      </c>
      <c r="H46" s="5">
        <v>8</v>
      </c>
      <c r="I46" s="5" t="str">
        <f>C46&amp;H46</f>
        <v>7583768</v>
      </c>
      <c r="J46" s="5"/>
      <c r="K46" s="5"/>
      <c r="L46" s="4">
        <v>1000</v>
      </c>
      <c r="M46" s="4">
        <v>710</v>
      </c>
      <c r="N46" s="4">
        <v>510</v>
      </c>
      <c r="O46" s="6">
        <f t="shared" si="21"/>
        <v>0.28169014084507038</v>
      </c>
      <c r="P46" s="4" t="s">
        <v>230</v>
      </c>
      <c r="Q46" s="4" t="s">
        <v>230</v>
      </c>
      <c r="R46" s="4" t="s">
        <v>230</v>
      </c>
      <c r="S46" s="4">
        <v>120</v>
      </c>
      <c r="T46" s="4">
        <f t="shared" si="22"/>
        <v>1200</v>
      </c>
      <c r="U46" s="4">
        <v>61.2</v>
      </c>
      <c r="V46" s="4">
        <f t="shared" si="23"/>
        <v>612</v>
      </c>
      <c r="W46" s="4">
        <v>10</v>
      </c>
      <c r="X46" s="20">
        <f t="shared" si="24"/>
        <v>852</v>
      </c>
      <c r="Y46" s="6">
        <f t="shared" si="25"/>
        <v>0.28169014084507038</v>
      </c>
      <c r="Z46" s="32">
        <v>118.5</v>
      </c>
      <c r="AA46" s="4">
        <f t="shared" si="26"/>
        <v>700</v>
      </c>
      <c r="AB46" s="32">
        <f t="shared" si="27"/>
        <v>840</v>
      </c>
      <c r="AC46" s="6">
        <f t="shared" si="28"/>
        <v>0.27142857142857146</v>
      </c>
      <c r="AD46" s="7">
        <v>840</v>
      </c>
      <c r="AE46" s="6">
        <f t="shared" si="29"/>
        <v>0.27142857142857146</v>
      </c>
      <c r="AF46" s="4">
        <f t="shared" si="30"/>
        <v>228</v>
      </c>
      <c r="AG46" s="27"/>
      <c r="AH46" s="6"/>
      <c r="AI46" s="6"/>
      <c r="AJ46" s="6">
        <f t="shared" si="31"/>
        <v>1.2</v>
      </c>
      <c r="AK46" s="6">
        <f t="shared" si="32"/>
        <v>1.1830985915492958</v>
      </c>
      <c r="AL46" s="6">
        <f t="shared" si="33"/>
        <v>1.2</v>
      </c>
      <c r="AM46" s="4" t="str">
        <f t="shared" si="34"/>
        <v>-</v>
      </c>
      <c r="AN46" s="4" t="str">
        <f t="shared" si="35"/>
        <v>-</v>
      </c>
      <c r="AO46" s="4" t="str">
        <f t="shared" si="36"/>
        <v>-</v>
      </c>
      <c r="AP46" s="4" t="s">
        <v>224</v>
      </c>
      <c r="AQ46" s="4" t="s">
        <v>477</v>
      </c>
      <c r="AR46" s="4"/>
      <c r="AS46" s="4"/>
      <c r="AT46" s="4" t="s">
        <v>409</v>
      </c>
      <c r="AU46" s="4">
        <v>700</v>
      </c>
      <c r="AV46" s="4">
        <f t="shared" si="37"/>
        <v>700</v>
      </c>
      <c r="AW46" s="18">
        <v>4</v>
      </c>
      <c r="AX46" s="18">
        <v>1</v>
      </c>
      <c r="AY46" s="16">
        <v>5</v>
      </c>
      <c r="AZ46" t="s">
        <v>230</v>
      </c>
      <c r="BA46" t="str">
        <f t="shared" si="38"/>
        <v>-</v>
      </c>
      <c r="BB46">
        <v>71</v>
      </c>
      <c r="BC46">
        <f t="shared" si="39"/>
        <v>85.2</v>
      </c>
      <c r="BD46" t="s">
        <v>346</v>
      </c>
    </row>
    <row r="47" spans="1:56" x14ac:dyDescent="0.4">
      <c r="A47" s="3">
        <v>90</v>
      </c>
      <c r="B47" s="3">
        <v>90</v>
      </c>
      <c r="C47" s="40">
        <v>758385</v>
      </c>
      <c r="D47" s="4" t="str">
        <f t="shared" si="20"/>
        <v>758385</v>
      </c>
      <c r="E47" s="4">
        <v>758385</v>
      </c>
      <c r="F47" s="4" t="s">
        <v>151</v>
      </c>
      <c r="G47" s="5">
        <v>4902778711903</v>
      </c>
      <c r="H47" s="5"/>
      <c r="I47" s="5"/>
      <c r="J47" s="5">
        <v>2</v>
      </c>
      <c r="K47" s="5">
        <v>2</v>
      </c>
      <c r="L47" s="4">
        <v>100</v>
      </c>
      <c r="M47" s="4">
        <v>72</v>
      </c>
      <c r="N47" s="4">
        <v>51</v>
      </c>
      <c r="O47" s="6">
        <f t="shared" si="21"/>
        <v>0.29166666666666663</v>
      </c>
      <c r="P47" s="4" t="s">
        <v>230</v>
      </c>
      <c r="Q47" s="4" t="s">
        <v>230</v>
      </c>
      <c r="R47" s="4" t="s">
        <v>230</v>
      </c>
      <c r="S47" s="4">
        <v>120</v>
      </c>
      <c r="T47" s="4">
        <f t="shared" si="22"/>
        <v>120</v>
      </c>
      <c r="U47" s="4">
        <v>61.2</v>
      </c>
      <c r="V47" s="4">
        <f t="shared" si="23"/>
        <v>61.2</v>
      </c>
      <c r="W47" s="4"/>
      <c r="X47" s="20">
        <f t="shared" si="24"/>
        <v>86</v>
      </c>
      <c r="Y47" s="6">
        <f t="shared" si="25"/>
        <v>0.28837209302325573</v>
      </c>
      <c r="Z47" s="32">
        <v>79.5</v>
      </c>
      <c r="AA47" s="4">
        <f t="shared" si="26"/>
        <v>71</v>
      </c>
      <c r="AB47" s="32">
        <f t="shared" si="27"/>
        <v>85.2</v>
      </c>
      <c r="AC47" s="6">
        <f t="shared" si="28"/>
        <v>0.28169014084507038</v>
      </c>
      <c r="AD47" s="7">
        <v>85</v>
      </c>
      <c r="AE47" s="6">
        <f t="shared" si="29"/>
        <v>0.27999999999999992</v>
      </c>
      <c r="AF47" s="4">
        <f t="shared" si="30"/>
        <v>23.799999999999997</v>
      </c>
      <c r="AG47" s="27"/>
      <c r="AH47" s="6"/>
      <c r="AI47" s="6"/>
      <c r="AJ47" s="6">
        <f t="shared" si="31"/>
        <v>1.2</v>
      </c>
      <c r="AK47" s="6">
        <f t="shared" si="32"/>
        <v>1.1805555555555556</v>
      </c>
      <c r="AL47" s="6">
        <f t="shared" si="33"/>
        <v>1.2</v>
      </c>
      <c r="AM47" s="4" t="str">
        <f t="shared" si="34"/>
        <v>-</v>
      </c>
      <c r="AN47" s="4" t="str">
        <f t="shared" si="35"/>
        <v>-</v>
      </c>
      <c r="AO47" s="4" t="str">
        <f t="shared" si="36"/>
        <v>-</v>
      </c>
      <c r="AP47" s="4" t="s">
        <v>224</v>
      </c>
      <c r="AQ47" s="4" t="s">
        <v>448</v>
      </c>
      <c r="AR47" s="4"/>
      <c r="AS47" s="4"/>
      <c r="AT47" s="4" t="s">
        <v>349</v>
      </c>
      <c r="AU47" s="4">
        <v>71</v>
      </c>
      <c r="AV47" s="4">
        <f t="shared" si="37"/>
        <v>71</v>
      </c>
      <c r="AW47" s="18">
        <v>4</v>
      </c>
      <c r="AX47" s="18">
        <v>1</v>
      </c>
      <c r="AY47" s="16">
        <v>5</v>
      </c>
      <c r="AZ47" t="s">
        <v>230</v>
      </c>
      <c r="BA47" t="str">
        <f t="shared" si="38"/>
        <v>-</v>
      </c>
      <c r="BB47">
        <v>71</v>
      </c>
      <c r="BC47">
        <f t="shared" si="39"/>
        <v>85.2</v>
      </c>
      <c r="BD47" t="s">
        <v>319</v>
      </c>
    </row>
    <row r="48" spans="1:56" x14ac:dyDescent="0.4">
      <c r="A48" s="3">
        <v>109</v>
      </c>
      <c r="B48" s="3">
        <v>90</v>
      </c>
      <c r="C48" s="40">
        <v>758385</v>
      </c>
      <c r="D48" s="4" t="str">
        <f t="shared" si="20"/>
        <v>758385</v>
      </c>
      <c r="E48" s="4">
        <v>628380</v>
      </c>
      <c r="F48" s="4" t="s">
        <v>221</v>
      </c>
      <c r="G48" s="5">
        <v>4902778711903</v>
      </c>
      <c r="H48" s="5">
        <v>8</v>
      </c>
      <c r="I48" s="5" t="str">
        <f>C48&amp;H48</f>
        <v>7583858</v>
      </c>
      <c r="J48" s="5"/>
      <c r="K48" s="5"/>
      <c r="L48" s="4">
        <v>1000</v>
      </c>
      <c r="M48" s="4">
        <v>710</v>
      </c>
      <c r="N48" s="4">
        <v>510</v>
      </c>
      <c r="O48" s="6">
        <f t="shared" si="21"/>
        <v>0.28169014084507038</v>
      </c>
      <c r="P48" s="4" t="s">
        <v>230</v>
      </c>
      <c r="Q48" s="4" t="s">
        <v>230</v>
      </c>
      <c r="R48" s="4" t="s">
        <v>230</v>
      </c>
      <c r="S48" s="4">
        <v>120</v>
      </c>
      <c r="T48" s="4">
        <f t="shared" si="22"/>
        <v>1200</v>
      </c>
      <c r="U48" s="4">
        <v>61.2</v>
      </c>
      <c r="V48" s="4">
        <f t="shared" si="23"/>
        <v>612</v>
      </c>
      <c r="W48" s="4">
        <v>10</v>
      </c>
      <c r="X48" s="20">
        <f t="shared" si="24"/>
        <v>852</v>
      </c>
      <c r="Y48" s="6">
        <f t="shared" si="25"/>
        <v>0.28169014084507038</v>
      </c>
      <c r="Z48" s="32">
        <v>79.5</v>
      </c>
      <c r="AA48" s="4">
        <f t="shared" si="26"/>
        <v>700</v>
      </c>
      <c r="AB48" s="32">
        <f t="shared" si="27"/>
        <v>840</v>
      </c>
      <c r="AC48" s="6">
        <f t="shared" si="28"/>
        <v>0.27142857142857146</v>
      </c>
      <c r="AD48" s="7">
        <v>840</v>
      </c>
      <c r="AE48" s="6">
        <f t="shared" si="29"/>
        <v>0.27142857142857146</v>
      </c>
      <c r="AF48" s="4">
        <f t="shared" si="30"/>
        <v>228</v>
      </c>
      <c r="AG48" s="27"/>
      <c r="AH48" s="6"/>
      <c r="AI48" s="6"/>
      <c r="AJ48" s="6">
        <f t="shared" si="31"/>
        <v>1.2</v>
      </c>
      <c r="AK48" s="6">
        <f t="shared" si="32"/>
        <v>1.1830985915492958</v>
      </c>
      <c r="AL48" s="6">
        <f t="shared" si="33"/>
        <v>1.2</v>
      </c>
      <c r="AM48" s="4" t="str">
        <f t="shared" si="34"/>
        <v>-</v>
      </c>
      <c r="AN48" s="4" t="str">
        <f t="shared" si="35"/>
        <v>-</v>
      </c>
      <c r="AO48" s="4" t="str">
        <f t="shared" si="36"/>
        <v>-</v>
      </c>
      <c r="AP48" s="4" t="s">
        <v>224</v>
      </c>
      <c r="AQ48" s="4" t="s">
        <v>478</v>
      </c>
      <c r="AR48" s="4"/>
      <c r="AS48" s="4"/>
      <c r="AT48" s="4" t="s">
        <v>409</v>
      </c>
      <c r="AU48" s="4">
        <v>700</v>
      </c>
      <c r="AV48" s="4">
        <f t="shared" si="37"/>
        <v>700</v>
      </c>
      <c r="AW48" s="18">
        <v>4</v>
      </c>
      <c r="AX48" s="18">
        <v>1</v>
      </c>
      <c r="AY48" s="16">
        <v>5</v>
      </c>
      <c r="AZ48" t="s">
        <v>230</v>
      </c>
      <c r="BA48" t="str">
        <f t="shared" si="38"/>
        <v>-</v>
      </c>
      <c r="BB48">
        <v>71</v>
      </c>
      <c r="BC48">
        <f t="shared" si="39"/>
        <v>85.2</v>
      </c>
      <c r="BD48" t="s">
        <v>347</v>
      </c>
    </row>
    <row r="49" spans="1:56" x14ac:dyDescent="0.4">
      <c r="A49" s="3">
        <v>91</v>
      </c>
      <c r="B49" s="3">
        <v>91</v>
      </c>
      <c r="C49" s="40">
        <v>758394</v>
      </c>
      <c r="D49" s="4" t="str">
        <f t="shared" si="20"/>
        <v>758394</v>
      </c>
      <c r="E49" s="4">
        <v>758394</v>
      </c>
      <c r="F49" s="4" t="s">
        <v>152</v>
      </c>
      <c r="G49" s="5">
        <v>4902778711927</v>
      </c>
      <c r="H49" s="5"/>
      <c r="I49" s="5"/>
      <c r="J49" s="5">
        <v>2</v>
      </c>
      <c r="K49" s="5">
        <v>2</v>
      </c>
      <c r="L49" s="4">
        <v>100</v>
      </c>
      <c r="M49" s="4">
        <v>72</v>
      </c>
      <c r="N49" s="4">
        <v>51</v>
      </c>
      <c r="O49" s="6">
        <f t="shared" si="21"/>
        <v>0.29166666666666663</v>
      </c>
      <c r="P49" s="4" t="s">
        <v>230</v>
      </c>
      <c r="Q49" s="4" t="s">
        <v>230</v>
      </c>
      <c r="R49" s="4" t="s">
        <v>230</v>
      </c>
      <c r="S49" s="4">
        <v>120</v>
      </c>
      <c r="T49" s="4">
        <f t="shared" si="22"/>
        <v>120</v>
      </c>
      <c r="U49" s="4">
        <v>61.2</v>
      </c>
      <c r="V49" s="4">
        <f t="shared" si="23"/>
        <v>61.2</v>
      </c>
      <c r="W49" s="4"/>
      <c r="X49" s="20">
        <f t="shared" si="24"/>
        <v>86</v>
      </c>
      <c r="Y49" s="6">
        <f t="shared" si="25"/>
        <v>0.28837209302325573</v>
      </c>
      <c r="Z49" s="32">
        <v>23</v>
      </c>
      <c r="AA49" s="4">
        <f t="shared" si="26"/>
        <v>71</v>
      </c>
      <c r="AB49" s="32">
        <f t="shared" si="27"/>
        <v>85.2</v>
      </c>
      <c r="AC49" s="6">
        <f t="shared" si="28"/>
        <v>0.28169014084507038</v>
      </c>
      <c r="AD49" s="7">
        <v>85</v>
      </c>
      <c r="AE49" s="6">
        <f t="shared" si="29"/>
        <v>0.27999999999999992</v>
      </c>
      <c r="AF49" s="4">
        <f t="shared" si="30"/>
        <v>23.799999999999997</v>
      </c>
      <c r="AG49" s="27"/>
      <c r="AH49" s="6"/>
      <c r="AI49" s="6"/>
      <c r="AJ49" s="6">
        <f t="shared" si="31"/>
        <v>1.2</v>
      </c>
      <c r="AK49" s="6">
        <f t="shared" si="32"/>
        <v>1.1805555555555556</v>
      </c>
      <c r="AL49" s="6">
        <f t="shared" si="33"/>
        <v>1.2</v>
      </c>
      <c r="AM49" s="4" t="str">
        <f t="shared" si="34"/>
        <v>-</v>
      </c>
      <c r="AN49" s="4" t="str">
        <f t="shared" si="35"/>
        <v>-</v>
      </c>
      <c r="AO49" s="4" t="str">
        <f t="shared" si="36"/>
        <v>-</v>
      </c>
      <c r="AP49" s="4" t="s">
        <v>224</v>
      </c>
      <c r="AQ49" s="4" t="s">
        <v>449</v>
      </c>
      <c r="AR49" s="4"/>
      <c r="AS49" s="4"/>
      <c r="AT49" s="4" t="s">
        <v>349</v>
      </c>
      <c r="AU49" s="4">
        <v>71</v>
      </c>
      <c r="AV49" s="4">
        <f t="shared" si="37"/>
        <v>71</v>
      </c>
      <c r="AW49" s="18">
        <v>4</v>
      </c>
      <c r="AX49" s="18">
        <v>1</v>
      </c>
      <c r="AY49" s="16">
        <v>5</v>
      </c>
      <c r="AZ49" t="s">
        <v>230</v>
      </c>
      <c r="BA49" t="str">
        <f t="shared" si="38"/>
        <v>-</v>
      </c>
      <c r="BB49">
        <v>71</v>
      </c>
      <c r="BC49">
        <f t="shared" si="39"/>
        <v>85.2</v>
      </c>
      <c r="BD49" t="s">
        <v>320</v>
      </c>
    </row>
    <row r="50" spans="1:56" x14ac:dyDescent="0.4">
      <c r="A50" s="3">
        <v>109</v>
      </c>
      <c r="B50" s="3">
        <v>91</v>
      </c>
      <c r="C50" s="40">
        <v>758394</v>
      </c>
      <c r="D50" s="4" t="str">
        <f t="shared" si="20"/>
        <v>758394</v>
      </c>
      <c r="E50" s="4">
        <v>628381</v>
      </c>
      <c r="F50" s="4" t="s">
        <v>222</v>
      </c>
      <c r="G50" s="5">
        <v>4902778711927</v>
      </c>
      <c r="H50" s="5">
        <v>8</v>
      </c>
      <c r="I50" s="5" t="str">
        <f>C50&amp;H50</f>
        <v>7583948</v>
      </c>
      <c r="J50" s="5"/>
      <c r="K50" s="5"/>
      <c r="L50" s="4">
        <v>1000</v>
      </c>
      <c r="M50" s="4">
        <v>710</v>
      </c>
      <c r="N50" s="4">
        <v>510</v>
      </c>
      <c r="O50" s="6">
        <f t="shared" si="21"/>
        <v>0.28169014084507038</v>
      </c>
      <c r="P50" s="4" t="s">
        <v>230</v>
      </c>
      <c r="Q50" s="4" t="s">
        <v>230</v>
      </c>
      <c r="R50" s="4" t="s">
        <v>230</v>
      </c>
      <c r="S50" s="4">
        <v>120</v>
      </c>
      <c r="T50" s="4">
        <f t="shared" si="22"/>
        <v>1200</v>
      </c>
      <c r="U50" s="4">
        <v>61.2</v>
      </c>
      <c r="V50" s="4">
        <f t="shared" si="23"/>
        <v>612</v>
      </c>
      <c r="W50" s="4">
        <v>10</v>
      </c>
      <c r="X50" s="20">
        <f t="shared" si="24"/>
        <v>852</v>
      </c>
      <c r="Y50" s="6">
        <f t="shared" si="25"/>
        <v>0.28169014084507038</v>
      </c>
      <c r="Z50" s="32">
        <v>23</v>
      </c>
      <c r="AA50" s="4">
        <f t="shared" si="26"/>
        <v>700</v>
      </c>
      <c r="AB50" s="32">
        <f t="shared" si="27"/>
        <v>840</v>
      </c>
      <c r="AC50" s="6">
        <f t="shared" si="28"/>
        <v>0.27142857142857146</v>
      </c>
      <c r="AD50" s="7">
        <v>840</v>
      </c>
      <c r="AE50" s="6">
        <f t="shared" si="29"/>
        <v>0.27142857142857146</v>
      </c>
      <c r="AF50" s="4">
        <f t="shared" si="30"/>
        <v>228</v>
      </c>
      <c r="AG50" s="27"/>
      <c r="AH50" s="6"/>
      <c r="AI50" s="6"/>
      <c r="AJ50" s="6">
        <f t="shared" si="31"/>
        <v>1.2</v>
      </c>
      <c r="AK50" s="6">
        <f t="shared" si="32"/>
        <v>1.1830985915492958</v>
      </c>
      <c r="AL50" s="6">
        <f t="shared" si="33"/>
        <v>1.2</v>
      </c>
      <c r="AM50" s="4" t="str">
        <f t="shared" si="34"/>
        <v>-</v>
      </c>
      <c r="AN50" s="4" t="str">
        <f t="shared" si="35"/>
        <v>-</v>
      </c>
      <c r="AO50" s="4" t="str">
        <f t="shared" si="36"/>
        <v>-</v>
      </c>
      <c r="AP50" s="4" t="s">
        <v>224</v>
      </c>
      <c r="AQ50" s="4" t="s">
        <v>479</v>
      </c>
      <c r="AR50" s="4"/>
      <c r="AS50" s="4"/>
      <c r="AT50" s="4" t="s">
        <v>409</v>
      </c>
      <c r="AU50" s="4">
        <v>700</v>
      </c>
      <c r="AV50" s="4">
        <f t="shared" si="37"/>
        <v>700</v>
      </c>
      <c r="AW50" s="18">
        <v>4</v>
      </c>
      <c r="AX50" s="18">
        <v>1</v>
      </c>
      <c r="AY50" s="16">
        <v>5</v>
      </c>
      <c r="AZ50" t="s">
        <v>230</v>
      </c>
      <c r="BA50" t="str">
        <f t="shared" si="38"/>
        <v>-</v>
      </c>
      <c r="BB50">
        <v>71</v>
      </c>
      <c r="BC50">
        <f t="shared" si="39"/>
        <v>85.2</v>
      </c>
      <c r="BD50" t="s">
        <v>348</v>
      </c>
    </row>
    <row r="51" spans="1:56" x14ac:dyDescent="0.4">
      <c r="A51" s="3">
        <v>97</v>
      </c>
      <c r="B51" s="3">
        <v>97</v>
      </c>
      <c r="C51" s="4" t="s">
        <v>60</v>
      </c>
      <c r="D51" s="4" t="str">
        <f t="shared" si="20"/>
        <v>J699WK</v>
      </c>
      <c r="E51" s="4" t="s">
        <v>60</v>
      </c>
      <c r="F51" s="4" t="s">
        <v>158</v>
      </c>
      <c r="G51" s="5">
        <v>4902778509081</v>
      </c>
      <c r="H51" s="5"/>
      <c r="I51" s="5"/>
      <c r="J51" s="5">
        <v>1</v>
      </c>
      <c r="K51" s="5">
        <v>1</v>
      </c>
      <c r="L51" s="4">
        <v>100</v>
      </c>
      <c r="M51" s="4">
        <v>79</v>
      </c>
      <c r="N51" s="4">
        <v>51</v>
      </c>
      <c r="O51" s="6">
        <f t="shared" si="21"/>
        <v>0.35443037974683544</v>
      </c>
      <c r="P51" s="4" t="s">
        <v>230</v>
      </c>
      <c r="Q51" s="4" t="s">
        <v>230</v>
      </c>
      <c r="R51" s="4" t="s">
        <v>230</v>
      </c>
      <c r="S51" s="4">
        <v>120</v>
      </c>
      <c r="T51" s="4">
        <f t="shared" si="22"/>
        <v>120</v>
      </c>
      <c r="U51" s="4">
        <v>61.2</v>
      </c>
      <c r="V51" s="4">
        <f t="shared" si="23"/>
        <v>61.2</v>
      </c>
      <c r="W51" s="4"/>
      <c r="X51" s="20">
        <f t="shared" si="24"/>
        <v>95</v>
      </c>
      <c r="Y51" s="6">
        <f t="shared" si="25"/>
        <v>0.35578947368421054</v>
      </c>
      <c r="Z51" s="32">
        <v>3.5000000000000004</v>
      </c>
      <c r="AA51" s="4">
        <f t="shared" si="26"/>
        <v>100</v>
      </c>
      <c r="AB51" s="32">
        <f t="shared" si="27"/>
        <v>120</v>
      </c>
      <c r="AC51" s="6">
        <f t="shared" si="28"/>
        <v>0.49</v>
      </c>
      <c r="AD51" s="7">
        <v>95</v>
      </c>
      <c r="AE51" s="6">
        <f t="shared" si="29"/>
        <v>0.35578947368421054</v>
      </c>
      <c r="AF51" s="4">
        <f t="shared" si="30"/>
        <v>33.799999999999997</v>
      </c>
      <c r="AG51" s="27"/>
      <c r="AH51" s="6"/>
      <c r="AI51" s="6"/>
      <c r="AJ51" s="6">
        <f t="shared" si="31"/>
        <v>1.2</v>
      </c>
      <c r="AK51" s="6">
        <f t="shared" si="32"/>
        <v>1.2025316455696202</v>
      </c>
      <c r="AL51" s="6">
        <f t="shared" si="33"/>
        <v>1.2</v>
      </c>
      <c r="AM51" s="4" t="str">
        <f t="shared" si="34"/>
        <v>-</v>
      </c>
      <c r="AN51" s="4" t="str">
        <f t="shared" si="35"/>
        <v>-</v>
      </c>
      <c r="AO51" s="4" t="str">
        <f t="shared" si="36"/>
        <v>-</v>
      </c>
      <c r="AP51" s="4">
        <v>0</v>
      </c>
      <c r="AQ51" s="4" t="s">
        <v>454</v>
      </c>
      <c r="AR51" s="4"/>
      <c r="AS51" s="4"/>
      <c r="AT51" s="4" t="s">
        <v>349</v>
      </c>
      <c r="AU51" s="4">
        <v>100</v>
      </c>
      <c r="AV51" s="4">
        <f t="shared" si="37"/>
        <v>100</v>
      </c>
      <c r="AW51" s="18">
        <v>4</v>
      </c>
      <c r="AX51" s="18">
        <v>1</v>
      </c>
      <c r="AY51" s="16">
        <v>5</v>
      </c>
      <c r="AZ51">
        <v>79</v>
      </c>
      <c r="BA51">
        <f t="shared" si="38"/>
        <v>94.8</v>
      </c>
      <c r="BB51">
        <v>79</v>
      </c>
      <c r="BC51">
        <f t="shared" si="39"/>
        <v>94.8</v>
      </c>
      <c r="BD51" t="s">
        <v>325</v>
      </c>
    </row>
    <row r="52" spans="1:56" x14ac:dyDescent="0.4">
      <c r="A52" s="3">
        <v>58</v>
      </c>
      <c r="B52" s="3">
        <v>58</v>
      </c>
      <c r="C52" s="32">
        <v>695266</v>
      </c>
      <c r="D52" s="4" t="str">
        <f t="shared" si="20"/>
        <v>695266</v>
      </c>
      <c r="E52" s="4">
        <v>695266</v>
      </c>
      <c r="F52" s="4" t="s">
        <v>119</v>
      </c>
      <c r="G52" s="5">
        <v>4902778133576</v>
      </c>
      <c r="H52" s="5"/>
      <c r="I52" s="5"/>
      <c r="J52" s="5">
        <v>1</v>
      </c>
      <c r="K52" s="5">
        <v>1</v>
      </c>
      <c r="L52" s="4">
        <v>100</v>
      </c>
      <c r="M52" s="4">
        <v>80</v>
      </c>
      <c r="N52" s="4">
        <v>51</v>
      </c>
      <c r="O52" s="6">
        <f t="shared" si="21"/>
        <v>0.36250000000000004</v>
      </c>
      <c r="P52" s="4" t="s">
        <v>230</v>
      </c>
      <c r="Q52" s="4" t="s">
        <v>230</v>
      </c>
      <c r="R52" s="4" t="s">
        <v>230</v>
      </c>
      <c r="S52" s="4">
        <v>120</v>
      </c>
      <c r="T52" s="4">
        <f t="shared" si="22"/>
        <v>120</v>
      </c>
      <c r="U52" s="4">
        <v>61.2</v>
      </c>
      <c r="V52" s="4">
        <f t="shared" si="23"/>
        <v>61.2</v>
      </c>
      <c r="W52" s="4"/>
      <c r="X52" s="20">
        <f t="shared" si="24"/>
        <v>96</v>
      </c>
      <c r="Y52" s="6">
        <f t="shared" si="25"/>
        <v>0.36249999999999993</v>
      </c>
      <c r="Z52" s="32">
        <v>8.5</v>
      </c>
      <c r="AA52" s="4">
        <f t="shared" si="26"/>
        <v>100</v>
      </c>
      <c r="AB52" s="32">
        <f t="shared" si="27"/>
        <v>120</v>
      </c>
      <c r="AC52" s="6">
        <f t="shared" si="28"/>
        <v>0.49</v>
      </c>
      <c r="AD52" s="7">
        <v>96</v>
      </c>
      <c r="AE52" s="6">
        <f t="shared" si="29"/>
        <v>0.36249999999999993</v>
      </c>
      <c r="AF52" s="4">
        <f t="shared" si="30"/>
        <v>34.799999999999997</v>
      </c>
      <c r="AG52" s="27"/>
      <c r="AH52" s="6"/>
      <c r="AI52" s="6"/>
      <c r="AJ52" s="6">
        <f t="shared" si="31"/>
        <v>1.2</v>
      </c>
      <c r="AK52" s="6">
        <f t="shared" si="32"/>
        <v>1.2</v>
      </c>
      <c r="AL52" s="6">
        <f t="shared" si="33"/>
        <v>1.2</v>
      </c>
      <c r="AM52" s="4" t="str">
        <f t="shared" si="34"/>
        <v>-</v>
      </c>
      <c r="AN52" s="4" t="str">
        <f t="shared" si="35"/>
        <v>-</v>
      </c>
      <c r="AO52" s="4" t="str">
        <f t="shared" si="36"/>
        <v>-</v>
      </c>
      <c r="AP52" s="4" t="s">
        <v>227</v>
      </c>
      <c r="AQ52" s="4" t="s">
        <v>416</v>
      </c>
      <c r="AR52" s="4">
        <v>1</v>
      </c>
      <c r="AS52" s="4">
        <v>30</v>
      </c>
      <c r="AT52" s="4" t="s">
        <v>417</v>
      </c>
      <c r="AU52" s="4">
        <v>3000</v>
      </c>
      <c r="AV52" s="4">
        <f t="shared" si="37"/>
        <v>100</v>
      </c>
      <c r="AW52" s="18">
        <v>4</v>
      </c>
      <c r="AX52" s="18">
        <v>1</v>
      </c>
      <c r="AY52" s="16">
        <v>5</v>
      </c>
      <c r="AZ52">
        <v>70</v>
      </c>
      <c r="BA52">
        <f t="shared" si="38"/>
        <v>84</v>
      </c>
      <c r="BB52">
        <v>954</v>
      </c>
      <c r="BC52">
        <f t="shared" si="39"/>
        <v>1144.8</v>
      </c>
      <c r="BD52" t="s">
        <v>289</v>
      </c>
    </row>
    <row r="53" spans="1:56" x14ac:dyDescent="0.4">
      <c r="A53" s="3">
        <v>59</v>
      </c>
      <c r="B53" s="3">
        <v>59</v>
      </c>
      <c r="C53" s="32">
        <v>695267</v>
      </c>
      <c r="D53" s="4" t="str">
        <f t="shared" si="20"/>
        <v>695267</v>
      </c>
      <c r="E53" s="4">
        <v>695267</v>
      </c>
      <c r="F53" s="4" t="s">
        <v>120</v>
      </c>
      <c r="G53" s="5">
        <v>4902778133538</v>
      </c>
      <c r="H53" s="5"/>
      <c r="I53" s="5"/>
      <c r="J53" s="5">
        <v>1</v>
      </c>
      <c r="K53" s="5">
        <v>1</v>
      </c>
      <c r="L53" s="4">
        <v>100</v>
      </c>
      <c r="M53" s="4">
        <v>80</v>
      </c>
      <c r="N53" s="4">
        <v>51</v>
      </c>
      <c r="O53" s="6">
        <f t="shared" si="21"/>
        <v>0.36250000000000004</v>
      </c>
      <c r="P53" s="4" t="s">
        <v>230</v>
      </c>
      <c r="Q53" s="4" t="s">
        <v>230</v>
      </c>
      <c r="R53" s="4" t="s">
        <v>230</v>
      </c>
      <c r="S53" s="4">
        <v>120</v>
      </c>
      <c r="T53" s="4">
        <f t="shared" si="22"/>
        <v>120</v>
      </c>
      <c r="U53" s="4">
        <v>61.2</v>
      </c>
      <c r="V53" s="4">
        <f t="shared" si="23"/>
        <v>61.2</v>
      </c>
      <c r="W53" s="4"/>
      <c r="X53" s="20">
        <f t="shared" si="24"/>
        <v>96</v>
      </c>
      <c r="Y53" s="6">
        <f t="shared" si="25"/>
        <v>0.36249999999999993</v>
      </c>
      <c r="Z53" s="32">
        <v>6.75</v>
      </c>
      <c r="AA53" s="4">
        <f t="shared" si="26"/>
        <v>100</v>
      </c>
      <c r="AB53" s="32">
        <f t="shared" si="27"/>
        <v>120</v>
      </c>
      <c r="AC53" s="6">
        <f t="shared" si="28"/>
        <v>0.49</v>
      </c>
      <c r="AD53" s="7">
        <v>96</v>
      </c>
      <c r="AE53" s="6">
        <f t="shared" si="29"/>
        <v>0.36249999999999993</v>
      </c>
      <c r="AF53" s="4">
        <f t="shared" si="30"/>
        <v>34.799999999999997</v>
      </c>
      <c r="AG53" s="27"/>
      <c r="AH53" s="6"/>
      <c r="AI53" s="6"/>
      <c r="AJ53" s="6">
        <f t="shared" si="31"/>
        <v>1.2</v>
      </c>
      <c r="AK53" s="6">
        <f t="shared" si="32"/>
        <v>1.2</v>
      </c>
      <c r="AL53" s="6">
        <f t="shared" si="33"/>
        <v>1.2</v>
      </c>
      <c r="AM53" s="4" t="str">
        <f t="shared" si="34"/>
        <v>-</v>
      </c>
      <c r="AN53" s="4" t="str">
        <f t="shared" si="35"/>
        <v>-</v>
      </c>
      <c r="AO53" s="4" t="str">
        <f t="shared" si="36"/>
        <v>-</v>
      </c>
      <c r="AP53" s="4" t="s">
        <v>227</v>
      </c>
      <c r="AQ53" s="4" t="s">
        <v>418</v>
      </c>
      <c r="AR53" s="4">
        <v>1</v>
      </c>
      <c r="AS53" s="4">
        <v>30</v>
      </c>
      <c r="AT53" s="4" t="s">
        <v>417</v>
      </c>
      <c r="AU53" s="4">
        <v>3000</v>
      </c>
      <c r="AV53" s="4">
        <f t="shared" si="37"/>
        <v>100</v>
      </c>
      <c r="AW53" s="18">
        <v>4</v>
      </c>
      <c r="AX53" s="18">
        <v>1</v>
      </c>
      <c r="AY53" s="16">
        <v>5</v>
      </c>
      <c r="AZ53">
        <v>70</v>
      </c>
      <c r="BA53">
        <f t="shared" si="38"/>
        <v>84</v>
      </c>
      <c r="BB53">
        <v>954</v>
      </c>
      <c r="BC53">
        <f t="shared" si="39"/>
        <v>1144.8</v>
      </c>
      <c r="BD53" t="s">
        <v>290</v>
      </c>
    </row>
    <row r="54" spans="1:56" x14ac:dyDescent="0.4">
      <c r="A54" s="3">
        <v>60</v>
      </c>
      <c r="B54" s="3">
        <v>60</v>
      </c>
      <c r="C54" s="32">
        <v>695269</v>
      </c>
      <c r="D54" s="4" t="str">
        <f t="shared" si="20"/>
        <v>695269</v>
      </c>
      <c r="E54" s="4">
        <v>695269</v>
      </c>
      <c r="F54" s="4" t="s">
        <v>121</v>
      </c>
      <c r="G54" s="5">
        <v>4902778133545</v>
      </c>
      <c r="H54" s="5"/>
      <c r="I54" s="5"/>
      <c r="J54" s="5">
        <v>1</v>
      </c>
      <c r="K54" s="5">
        <v>1</v>
      </c>
      <c r="L54" s="4">
        <v>100</v>
      </c>
      <c r="M54" s="4">
        <v>80</v>
      </c>
      <c r="N54" s="4">
        <v>51</v>
      </c>
      <c r="O54" s="6">
        <f t="shared" si="21"/>
        <v>0.36250000000000004</v>
      </c>
      <c r="P54" s="4" t="s">
        <v>230</v>
      </c>
      <c r="Q54" s="4" t="s">
        <v>230</v>
      </c>
      <c r="R54" s="4" t="s">
        <v>230</v>
      </c>
      <c r="S54" s="4">
        <v>120</v>
      </c>
      <c r="T54" s="4">
        <f t="shared" si="22"/>
        <v>120</v>
      </c>
      <c r="U54" s="4">
        <v>61.2</v>
      </c>
      <c r="V54" s="4">
        <f t="shared" si="23"/>
        <v>61.2</v>
      </c>
      <c r="W54" s="4"/>
      <c r="X54" s="20">
        <f t="shared" si="24"/>
        <v>96</v>
      </c>
      <c r="Y54" s="6">
        <f t="shared" si="25"/>
        <v>0.36249999999999993</v>
      </c>
      <c r="Z54" s="32">
        <v>6.25</v>
      </c>
      <c r="AA54" s="4">
        <f t="shared" si="26"/>
        <v>100</v>
      </c>
      <c r="AB54" s="32">
        <f t="shared" si="27"/>
        <v>120</v>
      </c>
      <c r="AC54" s="6">
        <f t="shared" si="28"/>
        <v>0.49</v>
      </c>
      <c r="AD54" s="7">
        <v>96</v>
      </c>
      <c r="AE54" s="6">
        <f t="shared" si="29"/>
        <v>0.36249999999999993</v>
      </c>
      <c r="AF54" s="4">
        <f t="shared" si="30"/>
        <v>34.799999999999997</v>
      </c>
      <c r="AG54" s="27"/>
      <c r="AH54" s="6"/>
      <c r="AI54" s="6"/>
      <c r="AJ54" s="6">
        <f t="shared" si="31"/>
        <v>1.2</v>
      </c>
      <c r="AK54" s="6">
        <f t="shared" si="32"/>
        <v>1.2</v>
      </c>
      <c r="AL54" s="6">
        <f t="shared" si="33"/>
        <v>1.2</v>
      </c>
      <c r="AM54" s="4" t="str">
        <f t="shared" si="34"/>
        <v>-</v>
      </c>
      <c r="AN54" s="4" t="str">
        <f t="shared" si="35"/>
        <v>-</v>
      </c>
      <c r="AO54" s="4" t="str">
        <f t="shared" si="36"/>
        <v>-</v>
      </c>
      <c r="AP54" s="4" t="s">
        <v>227</v>
      </c>
      <c r="AQ54" s="4" t="s">
        <v>419</v>
      </c>
      <c r="AR54" s="4">
        <v>1</v>
      </c>
      <c r="AS54" s="4">
        <v>30</v>
      </c>
      <c r="AT54" s="4" t="s">
        <v>417</v>
      </c>
      <c r="AU54" s="4">
        <v>3000</v>
      </c>
      <c r="AV54" s="4">
        <f t="shared" si="37"/>
        <v>100</v>
      </c>
      <c r="AW54" s="18">
        <v>4</v>
      </c>
      <c r="AX54" s="18">
        <v>1</v>
      </c>
      <c r="AY54" s="16">
        <v>5</v>
      </c>
      <c r="AZ54">
        <v>70</v>
      </c>
      <c r="BA54">
        <f t="shared" si="38"/>
        <v>84</v>
      </c>
      <c r="BB54">
        <v>954</v>
      </c>
      <c r="BC54">
        <f t="shared" si="39"/>
        <v>1144.8</v>
      </c>
      <c r="BD54" t="s">
        <v>291</v>
      </c>
    </row>
    <row r="55" spans="1:56" x14ac:dyDescent="0.4">
      <c r="A55" s="3">
        <v>62</v>
      </c>
      <c r="B55" s="3">
        <v>62</v>
      </c>
      <c r="C55" s="40">
        <v>695270</v>
      </c>
      <c r="D55" s="4" t="str">
        <f t="shared" si="20"/>
        <v>695270</v>
      </c>
      <c r="E55" s="4">
        <v>695270</v>
      </c>
      <c r="F55" s="4" t="s">
        <v>123</v>
      </c>
      <c r="G55" s="5">
        <v>4902778133552</v>
      </c>
      <c r="H55" s="5"/>
      <c r="I55" s="5"/>
      <c r="J55" s="5">
        <v>2</v>
      </c>
      <c r="K55" s="5">
        <v>1</v>
      </c>
      <c r="L55" s="4">
        <v>100</v>
      </c>
      <c r="M55" s="4">
        <v>80</v>
      </c>
      <c r="N55" s="4">
        <v>51</v>
      </c>
      <c r="O55" s="6">
        <f t="shared" si="21"/>
        <v>0.36250000000000004</v>
      </c>
      <c r="P55" s="4" t="s">
        <v>230</v>
      </c>
      <c r="Q55" s="4" t="s">
        <v>230</v>
      </c>
      <c r="R55" s="4" t="s">
        <v>230</v>
      </c>
      <c r="S55" s="4">
        <v>120</v>
      </c>
      <c r="T55" s="4">
        <f t="shared" si="22"/>
        <v>120</v>
      </c>
      <c r="U55" s="4">
        <v>61.2</v>
      </c>
      <c r="V55" s="4">
        <f t="shared" si="23"/>
        <v>61.2</v>
      </c>
      <c r="W55" s="4"/>
      <c r="X55" s="20">
        <f t="shared" si="24"/>
        <v>96</v>
      </c>
      <c r="Y55" s="6">
        <f t="shared" si="25"/>
        <v>0.36249999999999993</v>
      </c>
      <c r="Z55" s="32">
        <v>8.5</v>
      </c>
      <c r="AA55" s="4">
        <f t="shared" si="26"/>
        <v>100</v>
      </c>
      <c r="AB55" s="32">
        <f t="shared" si="27"/>
        <v>120</v>
      </c>
      <c r="AC55" s="6">
        <f t="shared" si="28"/>
        <v>0.49</v>
      </c>
      <c r="AD55" s="7">
        <v>96</v>
      </c>
      <c r="AE55" s="6">
        <f t="shared" si="29"/>
        <v>0.36249999999999993</v>
      </c>
      <c r="AF55" s="4">
        <f t="shared" si="30"/>
        <v>34.799999999999997</v>
      </c>
      <c r="AG55" s="27"/>
      <c r="AH55" s="6"/>
      <c r="AI55" s="6"/>
      <c r="AJ55" s="6">
        <f t="shared" si="31"/>
        <v>1.2</v>
      </c>
      <c r="AK55" s="6">
        <f t="shared" si="32"/>
        <v>1.2</v>
      </c>
      <c r="AL55" s="6">
        <f t="shared" si="33"/>
        <v>1.2</v>
      </c>
      <c r="AM55" s="4" t="str">
        <f t="shared" si="34"/>
        <v>-</v>
      </c>
      <c r="AN55" s="4" t="str">
        <f t="shared" si="35"/>
        <v>-</v>
      </c>
      <c r="AO55" s="4" t="str">
        <f t="shared" si="36"/>
        <v>-</v>
      </c>
      <c r="AP55" s="4" t="s">
        <v>227</v>
      </c>
      <c r="AQ55" s="4" t="s">
        <v>420</v>
      </c>
      <c r="AR55" s="4">
        <v>1</v>
      </c>
      <c r="AS55" s="4">
        <v>30</v>
      </c>
      <c r="AT55" s="4" t="s">
        <v>417</v>
      </c>
      <c r="AU55" s="4">
        <v>3000</v>
      </c>
      <c r="AV55" s="4">
        <f t="shared" si="37"/>
        <v>100</v>
      </c>
      <c r="AW55" s="18">
        <v>4</v>
      </c>
      <c r="AX55" s="18">
        <v>1</v>
      </c>
      <c r="AY55" s="16">
        <v>5</v>
      </c>
      <c r="AZ55">
        <v>70</v>
      </c>
      <c r="BA55">
        <f t="shared" si="38"/>
        <v>84</v>
      </c>
      <c r="BB55">
        <v>954</v>
      </c>
      <c r="BC55">
        <f t="shared" si="39"/>
        <v>1144.8</v>
      </c>
      <c r="BD55" t="s">
        <v>292</v>
      </c>
    </row>
    <row r="56" spans="1:56" x14ac:dyDescent="0.4">
      <c r="A56" s="3">
        <v>109</v>
      </c>
      <c r="B56" s="3">
        <v>62</v>
      </c>
      <c r="C56" s="40">
        <v>695270</v>
      </c>
      <c r="D56" s="4" t="str">
        <f t="shared" si="20"/>
        <v>695270</v>
      </c>
      <c r="E56" s="4" t="s">
        <v>160</v>
      </c>
      <c r="F56" s="4" t="s">
        <v>205</v>
      </c>
      <c r="G56" s="5">
        <v>4902778133552</v>
      </c>
      <c r="H56" s="5">
        <v>8</v>
      </c>
      <c r="I56" s="5" t="str">
        <f>C56&amp;H56</f>
        <v>6952708</v>
      </c>
      <c r="J56" s="5"/>
      <c r="K56" s="5"/>
      <c r="L56" s="4">
        <v>100</v>
      </c>
      <c r="M56" s="4">
        <v>0</v>
      </c>
      <c r="N56" s="4">
        <v>51</v>
      </c>
      <c r="O56" s="6" t="str">
        <f t="shared" si="21"/>
        <v>-</v>
      </c>
      <c r="P56" s="4" t="s">
        <v>230</v>
      </c>
      <c r="Q56" s="4" t="s">
        <v>230</v>
      </c>
      <c r="R56" s="4" t="s">
        <v>230</v>
      </c>
      <c r="S56" s="4">
        <v>120</v>
      </c>
      <c r="T56" s="4">
        <f t="shared" si="22"/>
        <v>120</v>
      </c>
      <c r="U56" s="4">
        <v>61.2</v>
      </c>
      <c r="V56" s="4">
        <f t="shared" si="23"/>
        <v>61.2</v>
      </c>
      <c r="W56" s="4"/>
      <c r="X56" s="20">
        <f t="shared" si="24"/>
        <v>0</v>
      </c>
      <c r="Y56" s="6" t="str">
        <f t="shared" si="25"/>
        <v>-</v>
      </c>
      <c r="Z56" s="32">
        <v>0</v>
      </c>
      <c r="AA56" s="4">
        <f t="shared" si="26"/>
        <v>100</v>
      </c>
      <c r="AB56" s="32">
        <f t="shared" si="27"/>
        <v>120</v>
      </c>
      <c r="AC56" s="6">
        <f t="shared" si="28"/>
        <v>0.49</v>
      </c>
      <c r="AD56" s="7">
        <v>0</v>
      </c>
      <c r="AE56" s="6" t="e">
        <f t="shared" si="29"/>
        <v>#DIV/0!</v>
      </c>
      <c r="AF56" s="4">
        <f t="shared" si="30"/>
        <v>-61.2</v>
      </c>
      <c r="AG56" s="27"/>
      <c r="AH56" s="6"/>
      <c r="AI56" s="6"/>
      <c r="AJ56" s="6">
        <f t="shared" si="31"/>
        <v>1.2</v>
      </c>
      <c r="AK56" s="6" t="str">
        <f t="shared" si="32"/>
        <v>-</v>
      </c>
      <c r="AL56" s="6">
        <f t="shared" si="33"/>
        <v>1.2</v>
      </c>
      <c r="AM56" s="4" t="str">
        <f t="shared" si="34"/>
        <v>-</v>
      </c>
      <c r="AN56" s="4" t="str">
        <f t="shared" si="35"/>
        <v>-</v>
      </c>
      <c r="AO56" s="4" t="str">
        <f t="shared" si="36"/>
        <v>-</v>
      </c>
      <c r="AP56" s="4">
        <v>0</v>
      </c>
      <c r="AQ56" s="4" t="s">
        <v>420</v>
      </c>
      <c r="AR56" s="4">
        <v>1</v>
      </c>
      <c r="AS56" s="4">
        <v>30</v>
      </c>
      <c r="AT56" s="4" t="s">
        <v>417</v>
      </c>
      <c r="AU56" s="4">
        <v>3000</v>
      </c>
      <c r="AV56" s="4">
        <f t="shared" si="37"/>
        <v>100</v>
      </c>
      <c r="AW56" s="18">
        <v>4</v>
      </c>
      <c r="AX56" s="18">
        <v>12</v>
      </c>
      <c r="AY56" s="16">
        <v>98</v>
      </c>
      <c r="AZ56">
        <v>70</v>
      </c>
      <c r="BA56">
        <f t="shared" si="38"/>
        <v>84</v>
      </c>
      <c r="BB56">
        <v>954</v>
      </c>
      <c r="BC56">
        <f t="shared" si="39"/>
        <v>1144.8</v>
      </c>
      <c r="BD56" t="s">
        <v>292</v>
      </c>
    </row>
    <row r="57" spans="1:56" x14ac:dyDescent="0.4">
      <c r="A57" s="3">
        <v>63</v>
      </c>
      <c r="B57" s="3">
        <v>63</v>
      </c>
      <c r="C57" s="32">
        <v>695271</v>
      </c>
      <c r="D57" s="4" t="str">
        <f t="shared" si="20"/>
        <v>695271</v>
      </c>
      <c r="E57" s="4">
        <v>695271</v>
      </c>
      <c r="F57" s="4" t="s">
        <v>124</v>
      </c>
      <c r="G57" s="5">
        <v>4902778133569</v>
      </c>
      <c r="H57" s="5"/>
      <c r="I57" s="5"/>
      <c r="J57" s="5">
        <v>1</v>
      </c>
      <c r="K57" s="5">
        <v>1</v>
      </c>
      <c r="L57" s="4">
        <v>100</v>
      </c>
      <c r="M57" s="4">
        <v>80</v>
      </c>
      <c r="N57" s="4">
        <v>51</v>
      </c>
      <c r="O57" s="6">
        <f t="shared" si="21"/>
        <v>0.36250000000000004</v>
      </c>
      <c r="P57" s="4" t="s">
        <v>230</v>
      </c>
      <c r="Q57" s="4" t="s">
        <v>230</v>
      </c>
      <c r="R57" s="4" t="s">
        <v>230</v>
      </c>
      <c r="S57" s="4">
        <v>120</v>
      </c>
      <c r="T57" s="4">
        <f t="shared" si="22"/>
        <v>120</v>
      </c>
      <c r="U57" s="4">
        <v>61.2</v>
      </c>
      <c r="V57" s="4">
        <f t="shared" si="23"/>
        <v>61.2</v>
      </c>
      <c r="W57" s="4"/>
      <c r="X57" s="20">
        <f t="shared" si="24"/>
        <v>96</v>
      </c>
      <c r="Y57" s="6">
        <f t="shared" si="25"/>
        <v>0.36249999999999993</v>
      </c>
      <c r="Z57" s="32">
        <v>7.2499999999999991</v>
      </c>
      <c r="AA57" s="4">
        <f t="shared" si="26"/>
        <v>100</v>
      </c>
      <c r="AB57" s="32">
        <f t="shared" si="27"/>
        <v>120</v>
      </c>
      <c r="AC57" s="6">
        <f t="shared" si="28"/>
        <v>0.49</v>
      </c>
      <c r="AD57" s="7">
        <v>96</v>
      </c>
      <c r="AE57" s="6">
        <f t="shared" si="29"/>
        <v>0.36249999999999993</v>
      </c>
      <c r="AF57" s="4">
        <f t="shared" si="30"/>
        <v>34.799999999999997</v>
      </c>
      <c r="AG57" s="27"/>
      <c r="AH57" s="6"/>
      <c r="AI57" s="6"/>
      <c r="AJ57" s="6">
        <f t="shared" si="31"/>
        <v>1.2</v>
      </c>
      <c r="AK57" s="6">
        <f t="shared" si="32"/>
        <v>1.2</v>
      </c>
      <c r="AL57" s="6">
        <f t="shared" si="33"/>
        <v>1.2</v>
      </c>
      <c r="AM57" s="4" t="str">
        <f t="shared" si="34"/>
        <v>-</v>
      </c>
      <c r="AN57" s="4" t="str">
        <f t="shared" si="35"/>
        <v>-</v>
      </c>
      <c r="AO57" s="4" t="str">
        <f t="shared" si="36"/>
        <v>-</v>
      </c>
      <c r="AP57" s="4" t="s">
        <v>227</v>
      </c>
      <c r="AQ57" s="4" t="s">
        <v>421</v>
      </c>
      <c r="AR57" s="4">
        <v>1</v>
      </c>
      <c r="AS57" s="4">
        <v>30</v>
      </c>
      <c r="AT57" s="4" t="s">
        <v>417</v>
      </c>
      <c r="AU57" s="4">
        <v>3000</v>
      </c>
      <c r="AV57" s="4">
        <f t="shared" si="37"/>
        <v>100</v>
      </c>
      <c r="AW57" s="18">
        <v>4</v>
      </c>
      <c r="AX57" s="18">
        <v>1</v>
      </c>
      <c r="AY57" s="16">
        <v>5</v>
      </c>
      <c r="AZ57">
        <v>70</v>
      </c>
      <c r="BA57">
        <f t="shared" si="38"/>
        <v>84</v>
      </c>
      <c r="BB57">
        <v>954</v>
      </c>
      <c r="BC57">
        <f t="shared" si="39"/>
        <v>1144.8</v>
      </c>
      <c r="BD57" t="s">
        <v>293</v>
      </c>
    </row>
    <row r="58" spans="1:56" x14ac:dyDescent="0.4">
      <c r="A58" s="3">
        <v>83</v>
      </c>
      <c r="B58" s="3">
        <v>83</v>
      </c>
      <c r="C58" s="32">
        <v>746658</v>
      </c>
      <c r="D58" s="4" t="str">
        <f t="shared" si="20"/>
        <v>746658</v>
      </c>
      <c r="E58" s="4">
        <v>746658</v>
      </c>
      <c r="F58" s="4" t="s">
        <v>144</v>
      </c>
      <c r="G58" s="5">
        <v>4902778692479</v>
      </c>
      <c r="H58" s="5"/>
      <c r="I58" s="5"/>
      <c r="J58" s="5">
        <v>1</v>
      </c>
      <c r="K58" s="5">
        <v>1</v>
      </c>
      <c r="L58" s="4">
        <v>100</v>
      </c>
      <c r="M58" s="4">
        <v>79</v>
      </c>
      <c r="N58" s="4">
        <v>51</v>
      </c>
      <c r="O58" s="6">
        <f t="shared" si="21"/>
        <v>0.35443037974683544</v>
      </c>
      <c r="P58" s="4" t="s">
        <v>230</v>
      </c>
      <c r="Q58" s="4" t="s">
        <v>230</v>
      </c>
      <c r="R58" s="4" t="s">
        <v>230</v>
      </c>
      <c r="S58" s="4">
        <v>120</v>
      </c>
      <c r="T58" s="4">
        <f t="shared" si="22"/>
        <v>120</v>
      </c>
      <c r="U58" s="4">
        <v>61.2</v>
      </c>
      <c r="V58" s="4">
        <f t="shared" si="23"/>
        <v>61.2</v>
      </c>
      <c r="W58" s="4"/>
      <c r="X58" s="20">
        <f t="shared" si="24"/>
        <v>95</v>
      </c>
      <c r="Y58" s="6">
        <f t="shared" si="25"/>
        <v>0.35578947368421054</v>
      </c>
      <c r="Z58" s="32">
        <v>118.75</v>
      </c>
      <c r="AA58" s="4">
        <f t="shared" si="26"/>
        <v>70</v>
      </c>
      <c r="AB58" s="32">
        <f t="shared" si="27"/>
        <v>84</v>
      </c>
      <c r="AC58" s="6">
        <f t="shared" si="28"/>
        <v>0.27142857142857135</v>
      </c>
      <c r="AD58" s="7">
        <v>96</v>
      </c>
      <c r="AE58" s="6">
        <f t="shared" si="29"/>
        <v>0.36249999999999993</v>
      </c>
      <c r="AF58" s="4">
        <f t="shared" si="30"/>
        <v>34.799999999999997</v>
      </c>
      <c r="AG58" s="27"/>
      <c r="AH58" s="6"/>
      <c r="AI58" s="6"/>
      <c r="AJ58" s="6">
        <f t="shared" si="31"/>
        <v>1.2</v>
      </c>
      <c r="AK58" s="6">
        <f t="shared" si="32"/>
        <v>1.2151898734177216</v>
      </c>
      <c r="AL58" s="6">
        <f t="shared" si="33"/>
        <v>1.2</v>
      </c>
      <c r="AM58" s="4" t="str">
        <f t="shared" si="34"/>
        <v>-</v>
      </c>
      <c r="AN58" s="4" t="str">
        <f t="shared" si="35"/>
        <v>-</v>
      </c>
      <c r="AO58" s="4" t="str">
        <f t="shared" si="36"/>
        <v>-</v>
      </c>
      <c r="AP58" s="4" t="s">
        <v>227</v>
      </c>
      <c r="AQ58" s="4" t="s">
        <v>441</v>
      </c>
      <c r="AR58" s="4"/>
      <c r="AS58" s="4"/>
      <c r="AT58" s="4" t="s">
        <v>349</v>
      </c>
      <c r="AU58" s="4">
        <v>70</v>
      </c>
      <c r="AV58" s="4">
        <f t="shared" si="37"/>
        <v>70</v>
      </c>
      <c r="AW58" s="18">
        <v>4</v>
      </c>
      <c r="AX58" s="18">
        <v>1</v>
      </c>
      <c r="AY58" s="16">
        <v>5</v>
      </c>
      <c r="AZ58">
        <v>70</v>
      </c>
      <c r="BA58">
        <f t="shared" si="38"/>
        <v>84</v>
      </c>
      <c r="BB58">
        <v>87</v>
      </c>
      <c r="BC58">
        <f t="shared" si="39"/>
        <v>104.39999999999999</v>
      </c>
      <c r="BD58" t="s">
        <v>312</v>
      </c>
    </row>
    <row r="59" spans="1:56" x14ac:dyDescent="0.4">
      <c r="A59" s="3">
        <v>84</v>
      </c>
      <c r="B59" s="3">
        <v>84</v>
      </c>
      <c r="C59" s="32">
        <v>746667</v>
      </c>
      <c r="D59" s="4" t="str">
        <f t="shared" si="20"/>
        <v>746667</v>
      </c>
      <c r="E59" s="4">
        <v>746667</v>
      </c>
      <c r="F59" s="4" t="s">
        <v>145</v>
      </c>
      <c r="G59" s="5">
        <v>4902778692462</v>
      </c>
      <c r="H59" s="5"/>
      <c r="I59" s="5"/>
      <c r="J59" s="5">
        <v>1</v>
      </c>
      <c r="K59" s="5">
        <v>1</v>
      </c>
      <c r="L59" s="4">
        <v>100</v>
      </c>
      <c r="M59" s="4">
        <v>79</v>
      </c>
      <c r="N59" s="4">
        <v>51</v>
      </c>
      <c r="O59" s="6">
        <f t="shared" si="21"/>
        <v>0.35443037974683544</v>
      </c>
      <c r="P59" s="4" t="s">
        <v>230</v>
      </c>
      <c r="Q59" s="4" t="s">
        <v>230</v>
      </c>
      <c r="R59" s="4" t="s">
        <v>230</v>
      </c>
      <c r="S59" s="4">
        <v>120</v>
      </c>
      <c r="T59" s="4">
        <f t="shared" si="22"/>
        <v>120</v>
      </c>
      <c r="U59" s="4">
        <v>61.2</v>
      </c>
      <c r="V59" s="4">
        <f t="shared" si="23"/>
        <v>61.2</v>
      </c>
      <c r="W59" s="4"/>
      <c r="X59" s="20">
        <f t="shared" si="24"/>
        <v>95</v>
      </c>
      <c r="Y59" s="6">
        <f t="shared" si="25"/>
        <v>0.35578947368421054</v>
      </c>
      <c r="Z59" s="32">
        <v>93.75</v>
      </c>
      <c r="AA59" s="4">
        <f t="shared" si="26"/>
        <v>70</v>
      </c>
      <c r="AB59" s="32">
        <f t="shared" si="27"/>
        <v>84</v>
      </c>
      <c r="AC59" s="6">
        <f t="shared" si="28"/>
        <v>0.27142857142857135</v>
      </c>
      <c r="AD59" s="7">
        <v>96</v>
      </c>
      <c r="AE59" s="6">
        <f t="shared" si="29"/>
        <v>0.36249999999999993</v>
      </c>
      <c r="AF59" s="4">
        <f t="shared" si="30"/>
        <v>34.799999999999997</v>
      </c>
      <c r="AG59" s="27"/>
      <c r="AH59" s="6"/>
      <c r="AI59" s="6"/>
      <c r="AJ59" s="6">
        <f t="shared" si="31"/>
        <v>1.2</v>
      </c>
      <c r="AK59" s="6">
        <f t="shared" si="32"/>
        <v>1.2151898734177216</v>
      </c>
      <c r="AL59" s="6">
        <f t="shared" si="33"/>
        <v>1.2</v>
      </c>
      <c r="AM59" s="4" t="str">
        <f t="shared" si="34"/>
        <v>-</v>
      </c>
      <c r="AN59" s="4" t="str">
        <f t="shared" si="35"/>
        <v>-</v>
      </c>
      <c r="AO59" s="4" t="str">
        <f t="shared" si="36"/>
        <v>-</v>
      </c>
      <c r="AP59" s="4" t="s">
        <v>227</v>
      </c>
      <c r="AQ59" s="4" t="s">
        <v>442</v>
      </c>
      <c r="AR59" s="4"/>
      <c r="AS59" s="4"/>
      <c r="AT59" s="4" t="s">
        <v>349</v>
      </c>
      <c r="AU59" s="4">
        <v>70</v>
      </c>
      <c r="AV59" s="4">
        <f t="shared" si="37"/>
        <v>70</v>
      </c>
      <c r="AW59" s="18">
        <v>4</v>
      </c>
      <c r="AX59" s="18">
        <v>1</v>
      </c>
      <c r="AY59" s="16">
        <v>5</v>
      </c>
      <c r="AZ59">
        <v>70</v>
      </c>
      <c r="BA59">
        <f t="shared" si="38"/>
        <v>84</v>
      </c>
      <c r="BB59">
        <v>87</v>
      </c>
      <c r="BC59">
        <f t="shared" si="39"/>
        <v>104.39999999999999</v>
      </c>
      <c r="BD59" t="s">
        <v>313</v>
      </c>
    </row>
    <row r="60" spans="1:56" x14ac:dyDescent="0.4">
      <c r="A60" s="3">
        <v>85</v>
      </c>
      <c r="B60" s="3">
        <v>85</v>
      </c>
      <c r="C60" s="32">
        <v>746676</v>
      </c>
      <c r="D60" s="4" t="str">
        <f t="shared" si="20"/>
        <v>746676</v>
      </c>
      <c r="E60" s="4">
        <v>746676</v>
      </c>
      <c r="F60" s="4" t="s">
        <v>146</v>
      </c>
      <c r="G60" s="5">
        <v>4902778692455</v>
      </c>
      <c r="H60" s="5"/>
      <c r="I60" s="5"/>
      <c r="J60" s="5">
        <v>1</v>
      </c>
      <c r="K60" s="5">
        <v>1</v>
      </c>
      <c r="L60" s="4">
        <v>100</v>
      </c>
      <c r="M60" s="4">
        <v>80</v>
      </c>
      <c r="N60" s="4">
        <v>51</v>
      </c>
      <c r="O60" s="6">
        <f t="shared" si="21"/>
        <v>0.36250000000000004</v>
      </c>
      <c r="P60" s="4" t="s">
        <v>230</v>
      </c>
      <c r="Q60" s="4" t="s">
        <v>230</v>
      </c>
      <c r="R60" s="4" t="s">
        <v>230</v>
      </c>
      <c r="S60" s="4">
        <v>120</v>
      </c>
      <c r="T60" s="4">
        <f t="shared" si="22"/>
        <v>120</v>
      </c>
      <c r="U60" s="4">
        <v>61.2</v>
      </c>
      <c r="V60" s="4">
        <f t="shared" si="23"/>
        <v>61.2</v>
      </c>
      <c r="W60" s="4"/>
      <c r="X60" s="20">
        <f t="shared" si="24"/>
        <v>96</v>
      </c>
      <c r="Y60" s="6">
        <f t="shared" si="25"/>
        <v>0.36249999999999993</v>
      </c>
      <c r="Z60" s="32">
        <v>39.5</v>
      </c>
      <c r="AA60" s="4">
        <f t="shared" si="26"/>
        <v>70</v>
      </c>
      <c r="AB60" s="32">
        <f t="shared" si="27"/>
        <v>84</v>
      </c>
      <c r="AC60" s="6">
        <f t="shared" si="28"/>
        <v>0.27142857142857135</v>
      </c>
      <c r="AD60" s="7">
        <v>96</v>
      </c>
      <c r="AE60" s="6">
        <f t="shared" si="29"/>
        <v>0.36249999999999993</v>
      </c>
      <c r="AF60" s="4">
        <f t="shared" si="30"/>
        <v>34.799999999999997</v>
      </c>
      <c r="AG60" s="27"/>
      <c r="AH60" s="6"/>
      <c r="AI60" s="6"/>
      <c r="AJ60" s="6">
        <f t="shared" si="31"/>
        <v>1.2</v>
      </c>
      <c r="AK60" s="6">
        <f t="shared" si="32"/>
        <v>1.2</v>
      </c>
      <c r="AL60" s="6">
        <f t="shared" si="33"/>
        <v>1.2</v>
      </c>
      <c r="AM60" s="4" t="str">
        <f t="shared" si="34"/>
        <v>-</v>
      </c>
      <c r="AN60" s="4" t="str">
        <f t="shared" si="35"/>
        <v>-</v>
      </c>
      <c r="AO60" s="4" t="str">
        <f t="shared" si="36"/>
        <v>-</v>
      </c>
      <c r="AP60" s="4" t="s">
        <v>227</v>
      </c>
      <c r="AQ60" s="4" t="s">
        <v>443</v>
      </c>
      <c r="AR60" s="4"/>
      <c r="AS60" s="4"/>
      <c r="AT60" s="4" t="s">
        <v>349</v>
      </c>
      <c r="AU60" s="4">
        <v>70</v>
      </c>
      <c r="AV60" s="4">
        <f t="shared" si="37"/>
        <v>70</v>
      </c>
      <c r="AW60" s="18">
        <v>4</v>
      </c>
      <c r="AX60" s="18">
        <v>1</v>
      </c>
      <c r="AY60" s="16">
        <v>5</v>
      </c>
      <c r="AZ60">
        <v>70</v>
      </c>
      <c r="BA60">
        <f t="shared" si="38"/>
        <v>84</v>
      </c>
      <c r="BB60">
        <v>87</v>
      </c>
      <c r="BC60">
        <f t="shared" si="39"/>
        <v>104.39999999999999</v>
      </c>
      <c r="BD60" t="s">
        <v>314</v>
      </c>
    </row>
    <row r="61" spans="1:56" x14ac:dyDescent="0.4">
      <c r="A61" s="3">
        <v>87</v>
      </c>
      <c r="B61" s="3">
        <v>87</v>
      </c>
      <c r="C61" s="32">
        <v>746685</v>
      </c>
      <c r="D61" s="4" t="str">
        <f t="shared" si="20"/>
        <v>746685</v>
      </c>
      <c r="E61" s="4">
        <v>746685</v>
      </c>
      <c r="F61" s="4" t="s">
        <v>148</v>
      </c>
      <c r="G61" s="5">
        <v>4902778692448</v>
      </c>
      <c r="H61" s="5"/>
      <c r="I61" s="5"/>
      <c r="J61" s="5">
        <v>1</v>
      </c>
      <c r="K61" s="5">
        <v>1</v>
      </c>
      <c r="L61" s="4">
        <v>100</v>
      </c>
      <c r="M61" s="4">
        <v>80</v>
      </c>
      <c r="N61" s="4">
        <v>51</v>
      </c>
      <c r="O61" s="6">
        <f t="shared" si="21"/>
        <v>0.36250000000000004</v>
      </c>
      <c r="P61" s="4" t="s">
        <v>230</v>
      </c>
      <c r="Q61" s="4" t="s">
        <v>230</v>
      </c>
      <c r="R61" s="4" t="s">
        <v>230</v>
      </c>
      <c r="S61" s="4">
        <v>120</v>
      </c>
      <c r="T61" s="4">
        <f t="shared" si="22"/>
        <v>120</v>
      </c>
      <c r="U61" s="4">
        <v>61.2</v>
      </c>
      <c r="V61" s="4">
        <f t="shared" si="23"/>
        <v>61.2</v>
      </c>
      <c r="W61" s="4"/>
      <c r="X61" s="20">
        <f t="shared" si="24"/>
        <v>96</v>
      </c>
      <c r="Y61" s="6">
        <f t="shared" si="25"/>
        <v>0.36249999999999993</v>
      </c>
      <c r="Z61" s="32">
        <v>37.75</v>
      </c>
      <c r="AA61" s="4">
        <f t="shared" si="26"/>
        <v>120</v>
      </c>
      <c r="AB61" s="32">
        <f t="shared" si="27"/>
        <v>144</v>
      </c>
      <c r="AC61" s="6">
        <f t="shared" si="28"/>
        <v>0.57499999999999996</v>
      </c>
      <c r="AD61" s="7">
        <v>96</v>
      </c>
      <c r="AE61" s="6">
        <f t="shared" si="29"/>
        <v>0.36249999999999993</v>
      </c>
      <c r="AF61" s="4">
        <f t="shared" si="30"/>
        <v>34.799999999999997</v>
      </c>
      <c r="AG61" s="27"/>
      <c r="AH61" s="6"/>
      <c r="AI61" s="6"/>
      <c r="AJ61" s="6">
        <f t="shared" si="31"/>
        <v>1.2</v>
      </c>
      <c r="AK61" s="6">
        <f t="shared" si="32"/>
        <v>1.2</v>
      </c>
      <c r="AL61" s="6">
        <f t="shared" si="33"/>
        <v>1.2</v>
      </c>
      <c r="AM61" s="4" t="str">
        <f t="shared" si="34"/>
        <v>-</v>
      </c>
      <c r="AN61" s="4" t="str">
        <f t="shared" si="35"/>
        <v>-</v>
      </c>
      <c r="AO61" s="4" t="str">
        <f t="shared" si="36"/>
        <v>-</v>
      </c>
      <c r="AP61" s="4" t="s">
        <v>227</v>
      </c>
      <c r="AQ61" s="4" t="s">
        <v>445</v>
      </c>
      <c r="AR61" s="4"/>
      <c r="AS61" s="4"/>
      <c r="AT61" s="4" t="s">
        <v>349</v>
      </c>
      <c r="AU61" s="4">
        <v>120</v>
      </c>
      <c r="AV61" s="4">
        <f t="shared" si="37"/>
        <v>120</v>
      </c>
      <c r="AW61" s="18">
        <v>4</v>
      </c>
      <c r="AX61" s="18">
        <v>1</v>
      </c>
      <c r="AY61" s="16">
        <v>5</v>
      </c>
      <c r="AZ61">
        <v>70</v>
      </c>
      <c r="BA61">
        <f t="shared" si="38"/>
        <v>84</v>
      </c>
      <c r="BB61">
        <v>87</v>
      </c>
      <c r="BC61">
        <f t="shared" si="39"/>
        <v>104.39999999999999</v>
      </c>
      <c r="BD61" t="s">
        <v>316</v>
      </c>
    </row>
    <row r="62" spans="1:56" x14ac:dyDescent="0.4">
      <c r="A62" s="3">
        <v>88</v>
      </c>
      <c r="B62" s="3">
        <v>88</v>
      </c>
      <c r="C62" s="32">
        <v>746694</v>
      </c>
      <c r="D62" s="4" t="str">
        <f t="shared" si="20"/>
        <v>746694</v>
      </c>
      <c r="E62" s="4">
        <v>746694</v>
      </c>
      <c r="F62" s="4" t="s">
        <v>149</v>
      </c>
      <c r="G62" s="5">
        <v>4902778692431</v>
      </c>
      <c r="H62" s="5"/>
      <c r="I62" s="5"/>
      <c r="J62" s="5">
        <v>1</v>
      </c>
      <c r="K62" s="5">
        <v>1</v>
      </c>
      <c r="L62" s="4">
        <v>100</v>
      </c>
      <c r="M62" s="4">
        <v>80</v>
      </c>
      <c r="N62" s="4">
        <v>51</v>
      </c>
      <c r="O62" s="6">
        <f t="shared" si="21"/>
        <v>0.36250000000000004</v>
      </c>
      <c r="P62" s="4" t="s">
        <v>230</v>
      </c>
      <c r="Q62" s="4" t="s">
        <v>230</v>
      </c>
      <c r="R62" s="4" t="s">
        <v>230</v>
      </c>
      <c r="S62" s="4">
        <v>120</v>
      </c>
      <c r="T62" s="4">
        <f t="shared" si="22"/>
        <v>120</v>
      </c>
      <c r="U62" s="4">
        <v>61.2</v>
      </c>
      <c r="V62" s="4">
        <f t="shared" si="23"/>
        <v>61.2</v>
      </c>
      <c r="W62" s="4"/>
      <c r="X62" s="20">
        <f t="shared" si="24"/>
        <v>96</v>
      </c>
      <c r="Y62" s="6">
        <f t="shared" si="25"/>
        <v>0.36249999999999993</v>
      </c>
      <c r="Z62" s="32">
        <v>41.75</v>
      </c>
      <c r="AA62" s="4">
        <f t="shared" si="26"/>
        <v>70</v>
      </c>
      <c r="AB62" s="32">
        <f t="shared" si="27"/>
        <v>84</v>
      </c>
      <c r="AC62" s="6">
        <f t="shared" si="28"/>
        <v>0.27142857142857135</v>
      </c>
      <c r="AD62" s="7">
        <v>96</v>
      </c>
      <c r="AE62" s="6">
        <f t="shared" si="29"/>
        <v>0.36249999999999993</v>
      </c>
      <c r="AF62" s="4">
        <f t="shared" si="30"/>
        <v>34.799999999999997</v>
      </c>
      <c r="AG62" s="27"/>
      <c r="AH62" s="6"/>
      <c r="AI62" s="6"/>
      <c r="AJ62" s="6">
        <f t="shared" si="31"/>
        <v>1.2</v>
      </c>
      <c r="AK62" s="6">
        <f t="shared" si="32"/>
        <v>1.2</v>
      </c>
      <c r="AL62" s="6">
        <f t="shared" si="33"/>
        <v>1.2</v>
      </c>
      <c r="AM62" s="4" t="str">
        <f t="shared" si="34"/>
        <v>-</v>
      </c>
      <c r="AN62" s="4" t="str">
        <f t="shared" si="35"/>
        <v>-</v>
      </c>
      <c r="AO62" s="4" t="str">
        <f t="shared" si="36"/>
        <v>-</v>
      </c>
      <c r="AP62" s="4" t="s">
        <v>227</v>
      </c>
      <c r="AQ62" s="4" t="s">
        <v>446</v>
      </c>
      <c r="AR62" s="4"/>
      <c r="AS62" s="4"/>
      <c r="AT62" s="4" t="s">
        <v>349</v>
      </c>
      <c r="AU62" s="4">
        <v>70</v>
      </c>
      <c r="AV62" s="4">
        <f t="shared" si="37"/>
        <v>70</v>
      </c>
      <c r="AW62" s="18">
        <v>4</v>
      </c>
      <c r="AX62" s="18">
        <v>1</v>
      </c>
      <c r="AY62" s="16">
        <v>5</v>
      </c>
      <c r="AZ62">
        <v>70</v>
      </c>
      <c r="BA62">
        <f t="shared" si="38"/>
        <v>84</v>
      </c>
      <c r="BB62">
        <v>87</v>
      </c>
      <c r="BC62">
        <f t="shared" si="39"/>
        <v>104.39999999999999</v>
      </c>
      <c r="BD62" t="s">
        <v>317</v>
      </c>
    </row>
    <row r="63" spans="1:56" x14ac:dyDescent="0.4">
      <c r="A63" s="3">
        <v>42</v>
      </c>
      <c r="B63" s="3">
        <v>42</v>
      </c>
      <c r="C63" s="40">
        <v>626810</v>
      </c>
      <c r="D63" s="4" t="str">
        <f t="shared" si="20"/>
        <v>626810</v>
      </c>
      <c r="E63" s="4">
        <v>626810</v>
      </c>
      <c r="F63" s="4" t="s">
        <v>103</v>
      </c>
      <c r="G63" s="5">
        <v>4902778717813</v>
      </c>
      <c r="H63" s="5"/>
      <c r="I63" s="5"/>
      <c r="J63" s="5">
        <v>2</v>
      </c>
      <c r="K63" s="5">
        <v>2</v>
      </c>
      <c r="L63" s="4">
        <v>100</v>
      </c>
      <c r="M63" s="4">
        <v>79</v>
      </c>
      <c r="N63" s="4">
        <v>51</v>
      </c>
      <c r="O63" s="6">
        <f t="shared" si="21"/>
        <v>0.35443037974683544</v>
      </c>
      <c r="P63" s="4" t="s">
        <v>230</v>
      </c>
      <c r="Q63" s="4" t="s">
        <v>230</v>
      </c>
      <c r="R63" s="4" t="s">
        <v>230</v>
      </c>
      <c r="S63" s="4">
        <v>120</v>
      </c>
      <c r="T63" s="4">
        <f t="shared" si="22"/>
        <v>120</v>
      </c>
      <c r="U63" s="4">
        <v>61.2</v>
      </c>
      <c r="V63" s="4">
        <f t="shared" si="23"/>
        <v>61.2</v>
      </c>
      <c r="W63" s="4"/>
      <c r="X63" s="20">
        <f t="shared" si="24"/>
        <v>95</v>
      </c>
      <c r="Y63" s="6">
        <f t="shared" si="25"/>
        <v>0.35578947368421054</v>
      </c>
      <c r="Z63" s="32">
        <v>3.25</v>
      </c>
      <c r="AA63" s="4">
        <f t="shared" si="26"/>
        <v>78</v>
      </c>
      <c r="AB63" s="32">
        <f t="shared" si="27"/>
        <v>93.6</v>
      </c>
      <c r="AC63" s="6">
        <f t="shared" si="28"/>
        <v>0.34615384615384603</v>
      </c>
      <c r="AD63" s="7">
        <v>93</v>
      </c>
      <c r="AE63" s="6">
        <f t="shared" si="29"/>
        <v>0.34193548387096773</v>
      </c>
      <c r="AF63" s="4">
        <f t="shared" si="30"/>
        <v>31.799999999999997</v>
      </c>
      <c r="AG63" s="27"/>
      <c r="AH63" s="6"/>
      <c r="AI63" s="6"/>
      <c r="AJ63" s="6">
        <f t="shared" si="31"/>
        <v>1.2</v>
      </c>
      <c r="AK63" s="6">
        <f t="shared" si="32"/>
        <v>1.1772151898734178</v>
      </c>
      <c r="AL63" s="6">
        <f t="shared" si="33"/>
        <v>1.2</v>
      </c>
      <c r="AM63" s="4" t="str">
        <f t="shared" si="34"/>
        <v>-</v>
      </c>
      <c r="AN63" s="4" t="str">
        <f t="shared" si="35"/>
        <v>-</v>
      </c>
      <c r="AO63" s="4" t="str">
        <f t="shared" si="36"/>
        <v>-</v>
      </c>
      <c r="AP63" s="4" t="s">
        <v>225</v>
      </c>
      <c r="AQ63" s="4" t="s">
        <v>394</v>
      </c>
      <c r="AR63" s="4"/>
      <c r="AS63" s="4"/>
      <c r="AT63" s="4" t="s">
        <v>349</v>
      </c>
      <c r="AU63" s="4">
        <v>78</v>
      </c>
      <c r="AV63" s="4">
        <f t="shared" si="37"/>
        <v>78</v>
      </c>
      <c r="AW63" s="18">
        <v>4</v>
      </c>
      <c r="AX63" s="18">
        <v>1</v>
      </c>
      <c r="AY63" s="16">
        <v>5</v>
      </c>
      <c r="AZ63">
        <v>70</v>
      </c>
      <c r="BA63">
        <f t="shared" si="38"/>
        <v>84</v>
      </c>
      <c r="BB63">
        <v>74</v>
      </c>
      <c r="BC63">
        <f t="shared" si="39"/>
        <v>88.8</v>
      </c>
      <c r="BD63" t="s">
        <v>273</v>
      </c>
    </row>
    <row r="64" spans="1:56" x14ac:dyDescent="0.4">
      <c r="A64" s="3">
        <v>109</v>
      </c>
      <c r="B64" s="3">
        <v>42</v>
      </c>
      <c r="C64" s="40">
        <v>626810</v>
      </c>
      <c r="D64" s="4" t="str">
        <f t="shared" si="20"/>
        <v>626810</v>
      </c>
      <c r="E64" s="4">
        <v>631288</v>
      </c>
      <c r="F64" s="4" t="s">
        <v>198</v>
      </c>
      <c r="G64" s="5">
        <v>4902778717813</v>
      </c>
      <c r="H64" s="5">
        <v>8</v>
      </c>
      <c r="I64" s="5" t="str">
        <f>C64&amp;H64</f>
        <v>6268108</v>
      </c>
      <c r="J64" s="5"/>
      <c r="K64" s="5"/>
      <c r="L64" s="4">
        <v>0</v>
      </c>
      <c r="M64" s="4">
        <v>757</v>
      </c>
      <c r="N64" s="4">
        <v>510</v>
      </c>
      <c r="O64" s="6">
        <f t="shared" si="21"/>
        <v>0.32628797886393657</v>
      </c>
      <c r="P64" s="4" t="s">
        <v>230</v>
      </c>
      <c r="Q64" s="4" t="s">
        <v>230</v>
      </c>
      <c r="R64" s="4" t="s">
        <v>230</v>
      </c>
      <c r="S64" s="4">
        <v>120</v>
      </c>
      <c r="T64" s="4">
        <f t="shared" si="22"/>
        <v>1200</v>
      </c>
      <c r="U64" s="4">
        <v>61.2</v>
      </c>
      <c r="V64" s="4">
        <f t="shared" si="23"/>
        <v>612</v>
      </c>
      <c r="W64" s="4">
        <v>10</v>
      </c>
      <c r="X64" s="20">
        <f t="shared" si="24"/>
        <v>908</v>
      </c>
      <c r="Y64" s="6">
        <f t="shared" si="25"/>
        <v>0.32599118942731276</v>
      </c>
      <c r="Z64" s="32">
        <v>3.25</v>
      </c>
      <c r="AA64" s="4">
        <f t="shared" si="26"/>
        <v>780</v>
      </c>
      <c r="AB64" s="32">
        <f t="shared" si="27"/>
        <v>936</v>
      </c>
      <c r="AC64" s="6">
        <f t="shared" si="28"/>
        <v>0.34615384615384615</v>
      </c>
      <c r="AD64" s="7">
        <v>883</v>
      </c>
      <c r="AE64" s="6">
        <f t="shared" si="29"/>
        <v>0.30690826727066822</v>
      </c>
      <c r="AF64" s="4">
        <f t="shared" si="30"/>
        <v>271</v>
      </c>
      <c r="AG64" s="27"/>
      <c r="AH64" s="6"/>
      <c r="AI64" s="6"/>
      <c r="AJ64" s="6" t="str">
        <f t="shared" si="31"/>
        <v>-</v>
      </c>
      <c r="AK64" s="6">
        <f t="shared" si="32"/>
        <v>1.1664464993394981</v>
      </c>
      <c r="AL64" s="6">
        <f t="shared" si="33"/>
        <v>1.2</v>
      </c>
      <c r="AM64" s="4" t="str">
        <f t="shared" si="34"/>
        <v>-</v>
      </c>
      <c r="AN64" s="4" t="str">
        <f t="shared" si="35"/>
        <v>-</v>
      </c>
      <c r="AO64" s="4" t="str">
        <f t="shared" si="36"/>
        <v>-</v>
      </c>
      <c r="AP64" s="4" t="s">
        <v>225</v>
      </c>
      <c r="AQ64" s="4" t="s">
        <v>394</v>
      </c>
      <c r="AR64" s="4">
        <v>10</v>
      </c>
      <c r="AS64" s="4">
        <v>1</v>
      </c>
      <c r="AT64" s="4" t="s">
        <v>349</v>
      </c>
      <c r="AU64" s="4">
        <v>78</v>
      </c>
      <c r="AV64" s="4">
        <f t="shared" si="37"/>
        <v>780</v>
      </c>
      <c r="AW64" s="18">
        <v>4</v>
      </c>
      <c r="AX64" s="18">
        <v>1</v>
      </c>
      <c r="AY64" s="16">
        <v>5</v>
      </c>
      <c r="AZ64">
        <v>70</v>
      </c>
      <c r="BA64">
        <f t="shared" si="38"/>
        <v>84</v>
      </c>
      <c r="BB64">
        <v>74</v>
      </c>
      <c r="BC64">
        <f t="shared" si="39"/>
        <v>88.8</v>
      </c>
      <c r="BD64" t="s">
        <v>273</v>
      </c>
    </row>
    <row r="65" spans="1:56" x14ac:dyDescent="0.4">
      <c r="A65" s="3">
        <v>43</v>
      </c>
      <c r="B65" s="3">
        <v>43</v>
      </c>
      <c r="C65" s="40">
        <v>626811</v>
      </c>
      <c r="D65" s="4" t="str">
        <f t="shared" si="20"/>
        <v>626811</v>
      </c>
      <c r="E65" s="4">
        <v>626811</v>
      </c>
      <c r="F65" s="4" t="s">
        <v>104</v>
      </c>
      <c r="G65" s="5">
        <v>4902778717868</v>
      </c>
      <c r="H65" s="5"/>
      <c r="I65" s="5"/>
      <c r="J65" s="5">
        <v>2</v>
      </c>
      <c r="K65" s="5">
        <v>2</v>
      </c>
      <c r="L65" s="4">
        <v>100</v>
      </c>
      <c r="M65" s="4">
        <v>79</v>
      </c>
      <c r="N65" s="4">
        <v>51</v>
      </c>
      <c r="O65" s="6">
        <f t="shared" si="21"/>
        <v>0.35443037974683544</v>
      </c>
      <c r="P65" s="4" t="s">
        <v>230</v>
      </c>
      <c r="Q65" s="4" t="s">
        <v>230</v>
      </c>
      <c r="R65" s="4" t="s">
        <v>230</v>
      </c>
      <c r="S65" s="4">
        <v>120</v>
      </c>
      <c r="T65" s="4">
        <f t="shared" si="22"/>
        <v>120</v>
      </c>
      <c r="U65" s="4">
        <v>61.2</v>
      </c>
      <c r="V65" s="4">
        <f t="shared" si="23"/>
        <v>61.2</v>
      </c>
      <c r="W65" s="4"/>
      <c r="X65" s="20">
        <f t="shared" si="24"/>
        <v>95</v>
      </c>
      <c r="Y65" s="6">
        <f t="shared" si="25"/>
        <v>0.35578947368421054</v>
      </c>
      <c r="Z65" s="32">
        <v>14.75</v>
      </c>
      <c r="AA65" s="4">
        <f t="shared" si="26"/>
        <v>95</v>
      </c>
      <c r="AB65" s="32">
        <f t="shared" si="27"/>
        <v>114</v>
      </c>
      <c r="AC65" s="6">
        <f t="shared" si="28"/>
        <v>0.4631578947368421</v>
      </c>
      <c r="AD65" s="7">
        <v>93</v>
      </c>
      <c r="AE65" s="6">
        <f t="shared" si="29"/>
        <v>0.34193548387096773</v>
      </c>
      <c r="AF65" s="4">
        <f t="shared" si="30"/>
        <v>31.799999999999997</v>
      </c>
      <c r="AG65" s="27"/>
      <c r="AH65" s="6"/>
      <c r="AI65" s="6"/>
      <c r="AJ65" s="6">
        <f t="shared" si="31"/>
        <v>1.2</v>
      </c>
      <c r="AK65" s="6">
        <f t="shared" si="32"/>
        <v>1.1772151898734178</v>
      </c>
      <c r="AL65" s="6">
        <f t="shared" si="33"/>
        <v>1.2</v>
      </c>
      <c r="AM65" s="4" t="str">
        <f t="shared" si="34"/>
        <v>-</v>
      </c>
      <c r="AN65" s="4" t="str">
        <f t="shared" si="35"/>
        <v>-</v>
      </c>
      <c r="AO65" s="4" t="str">
        <f t="shared" si="36"/>
        <v>-</v>
      </c>
      <c r="AP65" s="4" t="s">
        <v>225</v>
      </c>
      <c r="AQ65" s="4" t="s">
        <v>395</v>
      </c>
      <c r="AR65" s="4">
        <v>1</v>
      </c>
      <c r="AS65" s="4">
        <v>3</v>
      </c>
      <c r="AT65" s="4" t="s">
        <v>396</v>
      </c>
      <c r="AU65" s="4">
        <v>285</v>
      </c>
      <c r="AV65" s="4">
        <f t="shared" si="37"/>
        <v>95</v>
      </c>
      <c r="AW65" s="18">
        <v>4</v>
      </c>
      <c r="AX65" s="18">
        <v>1</v>
      </c>
      <c r="AY65" s="16">
        <v>5</v>
      </c>
      <c r="AZ65">
        <v>70</v>
      </c>
      <c r="BA65">
        <f t="shared" si="38"/>
        <v>84</v>
      </c>
      <c r="BB65" t="s">
        <v>230</v>
      </c>
      <c r="BC65" t="str">
        <f t="shared" si="39"/>
        <v>-</v>
      </c>
      <c r="BD65" t="s">
        <v>274</v>
      </c>
    </row>
    <row r="66" spans="1:56" x14ac:dyDescent="0.4">
      <c r="A66" s="3">
        <v>109</v>
      </c>
      <c r="B66" s="3">
        <v>43</v>
      </c>
      <c r="C66" s="40">
        <v>626811</v>
      </c>
      <c r="D66" s="4" t="str">
        <f t="shared" si="20"/>
        <v>626811</v>
      </c>
      <c r="E66" s="4">
        <v>631289</v>
      </c>
      <c r="F66" s="4" t="s">
        <v>199</v>
      </c>
      <c r="G66" s="5">
        <v>4902778717868</v>
      </c>
      <c r="H66" s="5">
        <v>8</v>
      </c>
      <c r="I66" s="5" t="str">
        <f>C66&amp;H66</f>
        <v>6268118</v>
      </c>
      <c r="J66" s="5"/>
      <c r="K66" s="5"/>
      <c r="L66" s="4">
        <v>0</v>
      </c>
      <c r="M66" s="4">
        <v>757</v>
      </c>
      <c r="N66" s="4">
        <v>510</v>
      </c>
      <c r="O66" s="6">
        <f t="shared" si="21"/>
        <v>0.32628797886393657</v>
      </c>
      <c r="P66" s="4" t="s">
        <v>230</v>
      </c>
      <c r="Q66" s="4" t="s">
        <v>230</v>
      </c>
      <c r="R66" s="4" t="s">
        <v>230</v>
      </c>
      <c r="S66" s="4">
        <v>120</v>
      </c>
      <c r="T66" s="4">
        <f t="shared" si="22"/>
        <v>1200</v>
      </c>
      <c r="U66" s="4">
        <v>61.2</v>
      </c>
      <c r="V66" s="4">
        <f t="shared" si="23"/>
        <v>612</v>
      </c>
      <c r="W66" s="4">
        <v>10</v>
      </c>
      <c r="X66" s="20">
        <f t="shared" si="24"/>
        <v>908</v>
      </c>
      <c r="Y66" s="6">
        <f t="shared" si="25"/>
        <v>0.32599118942731276</v>
      </c>
      <c r="Z66" s="32">
        <v>14.75</v>
      </c>
      <c r="AA66" s="4">
        <f t="shared" si="26"/>
        <v>950</v>
      </c>
      <c r="AB66" s="32">
        <f t="shared" si="27"/>
        <v>1140</v>
      </c>
      <c r="AC66" s="6">
        <f t="shared" si="28"/>
        <v>0.4631578947368421</v>
      </c>
      <c r="AD66" s="7">
        <v>883</v>
      </c>
      <c r="AE66" s="6">
        <f t="shared" si="29"/>
        <v>0.30690826727066822</v>
      </c>
      <c r="AF66" s="4">
        <f t="shared" si="30"/>
        <v>271</v>
      </c>
      <c r="AG66" s="27"/>
      <c r="AH66" s="6"/>
      <c r="AI66" s="6"/>
      <c r="AJ66" s="6" t="str">
        <f t="shared" si="31"/>
        <v>-</v>
      </c>
      <c r="AK66" s="6">
        <f t="shared" si="32"/>
        <v>1.1664464993394981</v>
      </c>
      <c r="AL66" s="6">
        <f t="shared" si="33"/>
        <v>1.2</v>
      </c>
      <c r="AM66" s="4" t="str">
        <f t="shared" si="34"/>
        <v>-</v>
      </c>
      <c r="AN66" s="4" t="str">
        <f t="shared" si="35"/>
        <v>-</v>
      </c>
      <c r="AO66" s="4" t="str">
        <f t="shared" si="36"/>
        <v>-</v>
      </c>
      <c r="AP66" s="4" t="s">
        <v>225</v>
      </c>
      <c r="AQ66" s="4" t="s">
        <v>395</v>
      </c>
      <c r="AR66" s="4">
        <v>10</v>
      </c>
      <c r="AS66" s="4">
        <v>3</v>
      </c>
      <c r="AT66" s="4" t="s">
        <v>396</v>
      </c>
      <c r="AU66" s="4">
        <v>285</v>
      </c>
      <c r="AV66" s="4">
        <f t="shared" si="37"/>
        <v>950</v>
      </c>
      <c r="AW66" s="18">
        <v>4</v>
      </c>
      <c r="AX66" s="18">
        <v>1</v>
      </c>
      <c r="AY66" s="16">
        <v>5</v>
      </c>
      <c r="AZ66">
        <v>70</v>
      </c>
      <c r="BA66">
        <f t="shared" si="38"/>
        <v>84</v>
      </c>
      <c r="BB66" t="s">
        <v>230</v>
      </c>
      <c r="BC66" t="str">
        <f t="shared" si="39"/>
        <v>-</v>
      </c>
      <c r="BD66" t="s">
        <v>274</v>
      </c>
    </row>
    <row r="67" spans="1:56" x14ac:dyDescent="0.4">
      <c r="A67" s="3">
        <v>71</v>
      </c>
      <c r="B67" s="3">
        <v>71</v>
      </c>
      <c r="C67" s="40">
        <v>731628</v>
      </c>
      <c r="D67" s="4" t="str">
        <f t="shared" si="20"/>
        <v>731628</v>
      </c>
      <c r="E67" s="4">
        <v>731628</v>
      </c>
      <c r="F67" s="4" t="s">
        <v>132</v>
      </c>
      <c r="G67" s="5">
        <v>4902778716793</v>
      </c>
      <c r="H67" s="5"/>
      <c r="I67" s="5"/>
      <c r="J67" s="5">
        <v>2</v>
      </c>
      <c r="K67" s="5">
        <v>2</v>
      </c>
      <c r="L67" s="4">
        <v>100</v>
      </c>
      <c r="M67" s="4">
        <v>79</v>
      </c>
      <c r="N67" s="4">
        <v>51</v>
      </c>
      <c r="O67" s="6">
        <f t="shared" si="21"/>
        <v>0.35443037974683544</v>
      </c>
      <c r="P67" s="4" t="s">
        <v>230</v>
      </c>
      <c r="Q67" s="4" t="s">
        <v>230</v>
      </c>
      <c r="R67" s="4" t="s">
        <v>230</v>
      </c>
      <c r="S67" s="4">
        <v>120</v>
      </c>
      <c r="T67" s="4">
        <f t="shared" si="22"/>
        <v>120</v>
      </c>
      <c r="U67" s="4">
        <v>61.2</v>
      </c>
      <c r="V67" s="4">
        <f t="shared" si="23"/>
        <v>61.2</v>
      </c>
      <c r="W67" s="4"/>
      <c r="X67" s="20">
        <f t="shared" si="24"/>
        <v>95</v>
      </c>
      <c r="Y67" s="6">
        <f t="shared" si="25"/>
        <v>0.35578947368421054</v>
      </c>
      <c r="Z67" s="32">
        <v>46.25</v>
      </c>
      <c r="AA67" s="4">
        <f t="shared" si="26"/>
        <v>95</v>
      </c>
      <c r="AB67" s="32">
        <f t="shared" si="27"/>
        <v>114</v>
      </c>
      <c r="AC67" s="6">
        <f t="shared" si="28"/>
        <v>0.4631578947368421</v>
      </c>
      <c r="AD67" s="7">
        <v>93</v>
      </c>
      <c r="AE67" s="6">
        <f t="shared" si="29"/>
        <v>0.34193548387096773</v>
      </c>
      <c r="AF67" s="4">
        <f t="shared" si="30"/>
        <v>31.799999999999997</v>
      </c>
      <c r="AG67" s="27"/>
      <c r="AH67" s="6"/>
      <c r="AI67" s="6"/>
      <c r="AJ67" s="6">
        <f t="shared" si="31"/>
        <v>1.2</v>
      </c>
      <c r="AK67" s="6">
        <f t="shared" si="32"/>
        <v>1.1772151898734178</v>
      </c>
      <c r="AL67" s="6">
        <f t="shared" si="33"/>
        <v>1.2</v>
      </c>
      <c r="AM67" s="4" t="str">
        <f t="shared" si="34"/>
        <v>-</v>
      </c>
      <c r="AN67" s="4" t="str">
        <f t="shared" si="35"/>
        <v>-</v>
      </c>
      <c r="AO67" s="4" t="str">
        <f t="shared" si="36"/>
        <v>-</v>
      </c>
      <c r="AP67" s="4" t="s">
        <v>228</v>
      </c>
      <c r="AQ67" s="4" t="s">
        <v>429</v>
      </c>
      <c r="AR67" s="4">
        <v>1</v>
      </c>
      <c r="AS67" s="4">
        <v>3</v>
      </c>
      <c r="AT67" s="4" t="s">
        <v>396</v>
      </c>
      <c r="AU67" s="4">
        <v>285</v>
      </c>
      <c r="AV67" s="4">
        <f t="shared" si="37"/>
        <v>95</v>
      </c>
      <c r="AW67" s="18">
        <v>4</v>
      </c>
      <c r="AX67" s="18">
        <v>1</v>
      </c>
      <c r="AY67" s="16">
        <v>5</v>
      </c>
      <c r="AZ67">
        <v>70</v>
      </c>
      <c r="BA67">
        <f t="shared" si="38"/>
        <v>84</v>
      </c>
      <c r="BB67">
        <v>95</v>
      </c>
      <c r="BC67">
        <f t="shared" si="39"/>
        <v>114</v>
      </c>
      <c r="BD67" t="s">
        <v>300</v>
      </c>
    </row>
    <row r="68" spans="1:56" x14ac:dyDescent="0.4">
      <c r="A68" s="3">
        <v>109</v>
      </c>
      <c r="B68" s="3">
        <v>71</v>
      </c>
      <c r="C68" s="40">
        <v>731628</v>
      </c>
      <c r="D68" s="4" t="str">
        <f t="shared" ref="D68:D99" si="40">TEXT(C68,"000000")</f>
        <v>731628</v>
      </c>
      <c r="E68" s="4">
        <v>631249</v>
      </c>
      <c r="F68" s="4" t="s">
        <v>207</v>
      </c>
      <c r="G68" s="5">
        <v>4902778716793</v>
      </c>
      <c r="H68" s="5">
        <v>8</v>
      </c>
      <c r="I68" s="5" t="str">
        <f>C68&amp;H68</f>
        <v>7316288</v>
      </c>
      <c r="J68" s="5"/>
      <c r="K68" s="5"/>
      <c r="L68" s="4">
        <v>0</v>
      </c>
      <c r="M68" s="4">
        <v>757</v>
      </c>
      <c r="N68" s="4">
        <v>510</v>
      </c>
      <c r="O68" s="6">
        <f t="shared" ref="O68:O99" si="41">IFERROR(1-N68/M68,"-")</f>
        <v>0.32628797886393657</v>
      </c>
      <c r="P68" s="4">
        <v>698</v>
      </c>
      <c r="Q68" s="4">
        <v>3</v>
      </c>
      <c r="R68" s="4">
        <v>99999</v>
      </c>
      <c r="S68" s="4">
        <v>120</v>
      </c>
      <c r="T68" s="4">
        <f t="shared" ref="T68:T99" si="42">IF(W68="",S68,S68*W68)</f>
        <v>1200</v>
      </c>
      <c r="U68" s="4">
        <v>61.2</v>
      </c>
      <c r="V68" s="4">
        <f t="shared" ref="V68:V99" si="43">IF(W68="",U68,U68*W68)</f>
        <v>612</v>
      </c>
      <c r="W68" s="4">
        <v>10</v>
      </c>
      <c r="X68" s="20">
        <f t="shared" ref="X68:X99" si="44">ROUND(M68*AL68,0)</f>
        <v>908</v>
      </c>
      <c r="Y68" s="6">
        <f t="shared" ref="Y68:Y99" si="45">IFERROR(1-V68/X68,"-")</f>
        <v>0.32599118942731276</v>
      </c>
      <c r="Z68" s="32">
        <v>46.25</v>
      </c>
      <c r="AA68" s="4">
        <f t="shared" ref="AA68:AA99" si="46">AV68</f>
        <v>950</v>
      </c>
      <c r="AB68" s="32">
        <f t="shared" ref="AB68:AB99" si="47">IFERROR(AA68*AL68,"-")</f>
        <v>1140</v>
      </c>
      <c r="AC68" s="6">
        <f t="shared" ref="AC68:AC99" si="48">IFERROR(1-V68/AB68,"-")</f>
        <v>0.4631578947368421</v>
      </c>
      <c r="AD68" s="7">
        <v>883</v>
      </c>
      <c r="AE68" s="6">
        <f t="shared" ref="AE68:AE99" si="49">1-V68/AD68</f>
        <v>0.30690826727066822</v>
      </c>
      <c r="AF68" s="4">
        <f t="shared" ref="AF68:AF99" si="50">AD68-V68</f>
        <v>271</v>
      </c>
      <c r="AG68" s="27"/>
      <c r="AH68" s="6"/>
      <c r="AI68" s="6"/>
      <c r="AJ68" s="6" t="str">
        <f t="shared" ref="AJ68:AJ99" si="51">IFERROR(T68/L68,"-")</f>
        <v>-</v>
      </c>
      <c r="AK68" s="6">
        <f t="shared" ref="AK68:AK99" si="52">IFERROR(AD68/M68,"-")</f>
        <v>1.1664464993394981</v>
      </c>
      <c r="AL68" s="6">
        <f t="shared" ref="AL68:AL99" si="53">IFERROR(V68/N68,"-")</f>
        <v>1.2</v>
      </c>
      <c r="AM68" s="4">
        <f t="shared" ref="AM68:AM99" si="54">IFERROR(ROUND($AD68*P68/$M68,0),"-")</f>
        <v>814</v>
      </c>
      <c r="AN68" s="4">
        <f t="shared" ref="AN68:AN99" si="55">IF(Q68="","-",Q68)</f>
        <v>3</v>
      </c>
      <c r="AO68" s="4">
        <f t="shared" ref="AO68:AO99" si="56">IF(R68="","-",R68)</f>
        <v>99999</v>
      </c>
      <c r="AP68" s="4" t="s">
        <v>228</v>
      </c>
      <c r="AQ68" s="4" t="s">
        <v>429</v>
      </c>
      <c r="AR68" s="4">
        <v>10</v>
      </c>
      <c r="AS68" s="4">
        <v>3</v>
      </c>
      <c r="AT68" s="4" t="s">
        <v>396</v>
      </c>
      <c r="AU68" s="4">
        <v>285</v>
      </c>
      <c r="AV68" s="4">
        <f t="shared" ref="AV68:AV99" si="57">IF(AR68="",AU68,AR68/AS68*AU68)</f>
        <v>950</v>
      </c>
      <c r="AW68" s="18">
        <v>4</v>
      </c>
      <c r="AX68" s="18">
        <v>1</v>
      </c>
      <c r="AY68" s="16">
        <v>5</v>
      </c>
      <c r="AZ68">
        <v>70</v>
      </c>
      <c r="BA68">
        <f t="shared" ref="BA68:BA99" si="58">IFERROR(AZ68*AL68,"-")</f>
        <v>84</v>
      </c>
      <c r="BB68">
        <v>95</v>
      </c>
      <c r="BC68">
        <f t="shared" ref="BC68:BC99" si="59">IFERROR(BB68*AL68,"-")</f>
        <v>114</v>
      </c>
      <c r="BD68" t="s">
        <v>300</v>
      </c>
    </row>
    <row r="69" spans="1:56" x14ac:dyDescent="0.4">
      <c r="A69" s="3">
        <v>72</v>
      </c>
      <c r="B69" s="3">
        <v>72</v>
      </c>
      <c r="C69" s="40">
        <v>731637</v>
      </c>
      <c r="D69" s="4" t="str">
        <f t="shared" si="40"/>
        <v>731637</v>
      </c>
      <c r="E69" s="4">
        <v>731637</v>
      </c>
      <c r="F69" s="4" t="s">
        <v>133</v>
      </c>
      <c r="G69" s="5">
        <v>4902778716762</v>
      </c>
      <c r="H69" s="5"/>
      <c r="I69" s="5"/>
      <c r="J69" s="5">
        <v>2</v>
      </c>
      <c r="K69" s="5">
        <v>2</v>
      </c>
      <c r="L69" s="4">
        <v>100</v>
      </c>
      <c r="M69" s="4">
        <v>78</v>
      </c>
      <c r="N69" s="4">
        <v>51</v>
      </c>
      <c r="O69" s="6">
        <f t="shared" si="41"/>
        <v>0.34615384615384615</v>
      </c>
      <c r="P69" s="4" t="s">
        <v>230</v>
      </c>
      <c r="Q69" s="4" t="s">
        <v>230</v>
      </c>
      <c r="R69" s="4" t="s">
        <v>230</v>
      </c>
      <c r="S69" s="4">
        <v>120</v>
      </c>
      <c r="T69" s="4">
        <f t="shared" si="42"/>
        <v>120</v>
      </c>
      <c r="U69" s="4">
        <v>61.2</v>
      </c>
      <c r="V69" s="4">
        <f t="shared" si="43"/>
        <v>61.2</v>
      </c>
      <c r="W69" s="4"/>
      <c r="X69" s="20">
        <f t="shared" si="44"/>
        <v>94</v>
      </c>
      <c r="Y69" s="6">
        <f t="shared" si="45"/>
        <v>0.34893617021276591</v>
      </c>
      <c r="Z69" s="32">
        <v>300.75</v>
      </c>
      <c r="AA69" s="4">
        <f t="shared" si="46"/>
        <v>70</v>
      </c>
      <c r="AB69" s="32">
        <f t="shared" si="47"/>
        <v>84</v>
      </c>
      <c r="AC69" s="6">
        <f t="shared" si="48"/>
        <v>0.27142857142857135</v>
      </c>
      <c r="AD69" s="7">
        <v>93</v>
      </c>
      <c r="AE69" s="6">
        <f t="shared" si="49"/>
        <v>0.34193548387096773</v>
      </c>
      <c r="AF69" s="4">
        <f t="shared" si="50"/>
        <v>31.799999999999997</v>
      </c>
      <c r="AG69" s="27"/>
      <c r="AH69" s="6"/>
      <c r="AI69" s="6"/>
      <c r="AJ69" s="6">
        <f t="shared" si="51"/>
        <v>1.2</v>
      </c>
      <c r="AK69" s="6">
        <f t="shared" si="52"/>
        <v>1.1923076923076923</v>
      </c>
      <c r="AL69" s="6">
        <f t="shared" si="53"/>
        <v>1.2</v>
      </c>
      <c r="AM69" s="4" t="str">
        <f t="shared" si="54"/>
        <v>-</v>
      </c>
      <c r="AN69" s="4" t="str">
        <f t="shared" si="55"/>
        <v>-</v>
      </c>
      <c r="AO69" s="4" t="str">
        <f t="shared" si="56"/>
        <v>-</v>
      </c>
      <c r="AP69" s="4" t="s">
        <v>228</v>
      </c>
      <c r="AQ69" s="4" t="s">
        <v>430</v>
      </c>
      <c r="AR69" s="4"/>
      <c r="AS69" s="4"/>
      <c r="AT69" s="4" t="s">
        <v>349</v>
      </c>
      <c r="AU69" s="4">
        <v>70</v>
      </c>
      <c r="AV69" s="4">
        <f t="shared" si="57"/>
        <v>70</v>
      </c>
      <c r="AW69" s="18">
        <v>4</v>
      </c>
      <c r="AX69" s="18">
        <v>1</v>
      </c>
      <c r="AY69" s="16">
        <v>5</v>
      </c>
      <c r="AZ69">
        <v>70</v>
      </c>
      <c r="BA69">
        <f t="shared" si="58"/>
        <v>84</v>
      </c>
      <c r="BB69">
        <v>95</v>
      </c>
      <c r="BC69">
        <f t="shared" si="59"/>
        <v>114</v>
      </c>
      <c r="BD69" t="s">
        <v>301</v>
      </c>
    </row>
    <row r="70" spans="1:56" x14ac:dyDescent="0.4">
      <c r="A70" s="3">
        <v>109</v>
      </c>
      <c r="B70" s="3">
        <v>72</v>
      </c>
      <c r="C70" s="40">
        <v>731637</v>
      </c>
      <c r="D70" s="4" t="str">
        <f t="shared" si="40"/>
        <v>731637</v>
      </c>
      <c r="E70" s="4">
        <v>631248</v>
      </c>
      <c r="F70" s="4" t="s">
        <v>208</v>
      </c>
      <c r="G70" s="5">
        <v>4902778716762</v>
      </c>
      <c r="H70" s="5">
        <v>8</v>
      </c>
      <c r="I70" s="5" t="str">
        <f>C70&amp;H70</f>
        <v>7316378</v>
      </c>
      <c r="J70" s="5"/>
      <c r="K70" s="5"/>
      <c r="L70" s="4">
        <v>1000</v>
      </c>
      <c r="M70" s="4">
        <v>700</v>
      </c>
      <c r="N70" s="4">
        <v>510</v>
      </c>
      <c r="O70" s="6">
        <f t="shared" si="41"/>
        <v>0.27142857142857146</v>
      </c>
      <c r="P70" s="4" t="s">
        <v>230</v>
      </c>
      <c r="Q70" s="4" t="s">
        <v>230</v>
      </c>
      <c r="R70" s="4" t="s">
        <v>230</v>
      </c>
      <c r="S70" s="4">
        <v>120</v>
      </c>
      <c r="T70" s="4">
        <f t="shared" si="42"/>
        <v>1200</v>
      </c>
      <c r="U70" s="4">
        <v>61.2</v>
      </c>
      <c r="V70" s="4">
        <f t="shared" si="43"/>
        <v>612</v>
      </c>
      <c r="W70" s="4">
        <v>10</v>
      </c>
      <c r="X70" s="20">
        <f t="shared" si="44"/>
        <v>840</v>
      </c>
      <c r="Y70" s="6">
        <f t="shared" si="45"/>
        <v>0.27142857142857146</v>
      </c>
      <c r="Z70" s="32">
        <v>300.75</v>
      </c>
      <c r="AA70" s="4">
        <f t="shared" si="46"/>
        <v>664</v>
      </c>
      <c r="AB70" s="32">
        <f t="shared" si="47"/>
        <v>796.8</v>
      </c>
      <c r="AC70" s="6">
        <f t="shared" si="48"/>
        <v>0.23192771084337349</v>
      </c>
      <c r="AD70" s="7">
        <v>883</v>
      </c>
      <c r="AE70" s="6">
        <f t="shared" si="49"/>
        <v>0.30690826727066822</v>
      </c>
      <c r="AF70" s="4">
        <f t="shared" si="50"/>
        <v>271</v>
      </c>
      <c r="AG70" s="27"/>
      <c r="AH70" s="6"/>
      <c r="AI70" s="6"/>
      <c r="AJ70" s="6">
        <f t="shared" si="51"/>
        <v>1.2</v>
      </c>
      <c r="AK70" s="6">
        <f t="shared" si="52"/>
        <v>1.2614285714285713</v>
      </c>
      <c r="AL70" s="6">
        <f t="shared" si="53"/>
        <v>1.2</v>
      </c>
      <c r="AM70" s="4" t="str">
        <f t="shared" si="54"/>
        <v>-</v>
      </c>
      <c r="AN70" s="4" t="str">
        <f t="shared" si="55"/>
        <v>-</v>
      </c>
      <c r="AO70" s="4" t="str">
        <f t="shared" si="56"/>
        <v>-</v>
      </c>
      <c r="AP70" s="4" t="s">
        <v>228</v>
      </c>
      <c r="AQ70" s="4" t="s">
        <v>472</v>
      </c>
      <c r="AR70" s="4"/>
      <c r="AS70" s="4"/>
      <c r="AT70" s="4" t="s">
        <v>409</v>
      </c>
      <c r="AU70" s="4">
        <v>664</v>
      </c>
      <c r="AV70" s="4">
        <f t="shared" si="57"/>
        <v>664</v>
      </c>
      <c r="AW70" s="18">
        <v>4</v>
      </c>
      <c r="AX70" s="18">
        <v>1</v>
      </c>
      <c r="AY70" s="16">
        <v>5</v>
      </c>
      <c r="AZ70">
        <v>70</v>
      </c>
      <c r="BA70">
        <f t="shared" si="58"/>
        <v>84</v>
      </c>
      <c r="BB70">
        <v>95</v>
      </c>
      <c r="BC70">
        <f t="shared" si="59"/>
        <v>114</v>
      </c>
      <c r="BD70" t="s">
        <v>341</v>
      </c>
    </row>
    <row r="71" spans="1:56" x14ac:dyDescent="0.4">
      <c r="A71" s="3">
        <v>73</v>
      </c>
      <c r="B71" s="3">
        <v>73</v>
      </c>
      <c r="C71" s="40">
        <v>731646</v>
      </c>
      <c r="D71" s="4" t="str">
        <f t="shared" si="40"/>
        <v>731646</v>
      </c>
      <c r="E71" s="4">
        <v>731646</v>
      </c>
      <c r="F71" s="4" t="s">
        <v>134</v>
      </c>
      <c r="G71" s="5">
        <v>4902778716809</v>
      </c>
      <c r="H71" s="5"/>
      <c r="I71" s="5"/>
      <c r="J71" s="5">
        <v>2</v>
      </c>
      <c r="K71" s="5">
        <v>2</v>
      </c>
      <c r="L71" s="4">
        <v>100</v>
      </c>
      <c r="M71" s="4">
        <v>79</v>
      </c>
      <c r="N71" s="4">
        <v>51</v>
      </c>
      <c r="O71" s="6">
        <f t="shared" si="41"/>
        <v>0.35443037974683544</v>
      </c>
      <c r="P71" s="4" t="s">
        <v>230</v>
      </c>
      <c r="Q71" s="4" t="s">
        <v>230</v>
      </c>
      <c r="R71" s="4" t="s">
        <v>230</v>
      </c>
      <c r="S71" s="4">
        <v>120</v>
      </c>
      <c r="T71" s="4">
        <f t="shared" si="42"/>
        <v>120</v>
      </c>
      <c r="U71" s="4">
        <v>61.2</v>
      </c>
      <c r="V71" s="4">
        <f t="shared" si="43"/>
        <v>61.2</v>
      </c>
      <c r="W71" s="4"/>
      <c r="X71" s="20">
        <f t="shared" si="44"/>
        <v>95</v>
      </c>
      <c r="Y71" s="6">
        <f t="shared" si="45"/>
        <v>0.35578947368421054</v>
      </c>
      <c r="Z71" s="32">
        <v>258</v>
      </c>
      <c r="AA71" s="4">
        <f t="shared" si="46"/>
        <v>70</v>
      </c>
      <c r="AB71" s="32">
        <f t="shared" si="47"/>
        <v>84</v>
      </c>
      <c r="AC71" s="6">
        <f t="shared" si="48"/>
        <v>0.27142857142857135</v>
      </c>
      <c r="AD71" s="7">
        <v>93</v>
      </c>
      <c r="AE71" s="6">
        <f t="shared" si="49"/>
        <v>0.34193548387096773</v>
      </c>
      <c r="AF71" s="4">
        <f t="shared" si="50"/>
        <v>31.799999999999997</v>
      </c>
      <c r="AG71" s="27"/>
      <c r="AH71" s="6"/>
      <c r="AI71" s="6"/>
      <c r="AJ71" s="6">
        <f t="shared" si="51"/>
        <v>1.2</v>
      </c>
      <c r="AK71" s="6">
        <f t="shared" si="52"/>
        <v>1.1772151898734178</v>
      </c>
      <c r="AL71" s="6">
        <f t="shared" si="53"/>
        <v>1.2</v>
      </c>
      <c r="AM71" s="4" t="str">
        <f t="shared" si="54"/>
        <v>-</v>
      </c>
      <c r="AN71" s="4" t="str">
        <f t="shared" si="55"/>
        <v>-</v>
      </c>
      <c r="AO71" s="4" t="str">
        <f t="shared" si="56"/>
        <v>-</v>
      </c>
      <c r="AP71" s="4" t="s">
        <v>228</v>
      </c>
      <c r="AQ71" s="4" t="s">
        <v>431</v>
      </c>
      <c r="AR71" s="4"/>
      <c r="AS71" s="4"/>
      <c r="AT71" s="4" t="s">
        <v>349</v>
      </c>
      <c r="AU71" s="4">
        <v>70</v>
      </c>
      <c r="AV71" s="4">
        <f t="shared" si="57"/>
        <v>70</v>
      </c>
      <c r="AW71" s="18">
        <v>4</v>
      </c>
      <c r="AX71" s="18">
        <v>1</v>
      </c>
      <c r="AY71" s="16">
        <v>5</v>
      </c>
      <c r="AZ71" t="s">
        <v>230</v>
      </c>
      <c r="BA71" t="str">
        <f t="shared" si="58"/>
        <v>-</v>
      </c>
      <c r="BB71">
        <v>95</v>
      </c>
      <c r="BC71">
        <f t="shared" si="59"/>
        <v>114</v>
      </c>
      <c r="BD71" t="s">
        <v>302</v>
      </c>
    </row>
    <row r="72" spans="1:56" x14ac:dyDescent="0.4">
      <c r="A72" s="3">
        <v>109</v>
      </c>
      <c r="B72" s="3">
        <v>73</v>
      </c>
      <c r="C72" s="40">
        <v>731646</v>
      </c>
      <c r="D72" s="4" t="str">
        <f t="shared" si="40"/>
        <v>731646</v>
      </c>
      <c r="E72" s="4">
        <v>631250</v>
      </c>
      <c r="F72" s="4" t="s">
        <v>209</v>
      </c>
      <c r="G72" s="5">
        <v>4902778716809</v>
      </c>
      <c r="H72" s="5">
        <v>8</v>
      </c>
      <c r="I72" s="5" t="str">
        <f>C72&amp;H72</f>
        <v>7316468</v>
      </c>
      <c r="J72" s="5"/>
      <c r="K72" s="5"/>
      <c r="L72" s="4">
        <v>1000</v>
      </c>
      <c r="M72" s="4">
        <v>721</v>
      </c>
      <c r="N72" s="4">
        <v>510</v>
      </c>
      <c r="O72" s="6">
        <f t="shared" si="41"/>
        <v>0.29264909847434117</v>
      </c>
      <c r="P72" s="4" t="s">
        <v>230</v>
      </c>
      <c r="Q72" s="4" t="s">
        <v>230</v>
      </c>
      <c r="R72" s="4" t="s">
        <v>230</v>
      </c>
      <c r="S72" s="4">
        <v>120</v>
      </c>
      <c r="T72" s="4">
        <f t="shared" si="42"/>
        <v>1200</v>
      </c>
      <c r="U72" s="4">
        <v>61.2</v>
      </c>
      <c r="V72" s="4">
        <f t="shared" si="43"/>
        <v>612</v>
      </c>
      <c r="W72" s="4">
        <v>10</v>
      </c>
      <c r="X72" s="20">
        <f t="shared" si="44"/>
        <v>865</v>
      </c>
      <c r="Y72" s="6">
        <f t="shared" si="45"/>
        <v>0.292485549132948</v>
      </c>
      <c r="Z72" s="32">
        <v>258</v>
      </c>
      <c r="AA72" s="4">
        <f t="shared" si="46"/>
        <v>664</v>
      </c>
      <c r="AB72" s="32">
        <f t="shared" si="47"/>
        <v>796.8</v>
      </c>
      <c r="AC72" s="6">
        <f t="shared" si="48"/>
        <v>0.23192771084337349</v>
      </c>
      <c r="AD72" s="7">
        <v>883</v>
      </c>
      <c r="AE72" s="6">
        <f t="shared" si="49"/>
        <v>0.30690826727066822</v>
      </c>
      <c r="AF72" s="4">
        <f t="shared" si="50"/>
        <v>271</v>
      </c>
      <c r="AG72" s="27"/>
      <c r="AH72" s="6"/>
      <c r="AI72" s="6"/>
      <c r="AJ72" s="6">
        <f t="shared" si="51"/>
        <v>1.2</v>
      </c>
      <c r="AK72" s="6">
        <f t="shared" si="52"/>
        <v>1.2246879334257974</v>
      </c>
      <c r="AL72" s="6">
        <f t="shared" si="53"/>
        <v>1.2</v>
      </c>
      <c r="AM72" s="4" t="str">
        <f t="shared" si="54"/>
        <v>-</v>
      </c>
      <c r="AN72" s="4" t="str">
        <f t="shared" si="55"/>
        <v>-</v>
      </c>
      <c r="AO72" s="4" t="str">
        <f t="shared" si="56"/>
        <v>-</v>
      </c>
      <c r="AP72" s="4" t="s">
        <v>228</v>
      </c>
      <c r="AQ72" s="4" t="s">
        <v>473</v>
      </c>
      <c r="AR72" s="4"/>
      <c r="AS72" s="4"/>
      <c r="AT72" s="4" t="s">
        <v>409</v>
      </c>
      <c r="AU72" s="4">
        <v>664</v>
      </c>
      <c r="AV72" s="4">
        <f t="shared" si="57"/>
        <v>664</v>
      </c>
      <c r="AW72" s="18">
        <v>4</v>
      </c>
      <c r="AX72" s="18">
        <v>1</v>
      </c>
      <c r="AY72" s="16">
        <v>5</v>
      </c>
      <c r="AZ72" t="s">
        <v>230</v>
      </c>
      <c r="BA72" t="str">
        <f t="shared" si="58"/>
        <v>-</v>
      </c>
      <c r="BB72">
        <v>95</v>
      </c>
      <c r="BC72">
        <f t="shared" si="59"/>
        <v>114</v>
      </c>
      <c r="BD72" t="s">
        <v>342</v>
      </c>
    </row>
    <row r="73" spans="1:56" x14ac:dyDescent="0.4">
      <c r="A73" s="3">
        <v>74</v>
      </c>
      <c r="B73" s="3">
        <v>74</v>
      </c>
      <c r="C73" s="40">
        <v>731745</v>
      </c>
      <c r="D73" s="4" t="str">
        <f t="shared" si="40"/>
        <v>731745</v>
      </c>
      <c r="E73" s="4">
        <v>731745</v>
      </c>
      <c r="F73" s="4" t="s">
        <v>135</v>
      </c>
      <c r="G73" s="5">
        <v>4902778717264</v>
      </c>
      <c r="H73" s="5"/>
      <c r="I73" s="5"/>
      <c r="J73" s="5">
        <v>2</v>
      </c>
      <c r="K73" s="5">
        <v>2</v>
      </c>
      <c r="L73" s="4">
        <v>100</v>
      </c>
      <c r="M73" s="4">
        <v>79</v>
      </c>
      <c r="N73" s="4">
        <v>51</v>
      </c>
      <c r="O73" s="6">
        <f t="shared" si="41"/>
        <v>0.35443037974683544</v>
      </c>
      <c r="P73" s="4" t="s">
        <v>230</v>
      </c>
      <c r="Q73" s="4" t="s">
        <v>230</v>
      </c>
      <c r="R73" s="4" t="s">
        <v>230</v>
      </c>
      <c r="S73" s="4">
        <v>120</v>
      </c>
      <c r="T73" s="4">
        <f t="shared" si="42"/>
        <v>120</v>
      </c>
      <c r="U73" s="4">
        <v>61.2</v>
      </c>
      <c r="V73" s="4">
        <f t="shared" si="43"/>
        <v>61.2</v>
      </c>
      <c r="W73" s="4"/>
      <c r="X73" s="20">
        <f t="shared" si="44"/>
        <v>95</v>
      </c>
      <c r="Y73" s="6">
        <f t="shared" si="45"/>
        <v>0.35578947368421054</v>
      </c>
      <c r="Z73" s="32">
        <v>187</v>
      </c>
      <c r="AA73" s="4">
        <f t="shared" si="46"/>
        <v>78</v>
      </c>
      <c r="AB73" s="32">
        <f t="shared" si="47"/>
        <v>93.6</v>
      </c>
      <c r="AC73" s="6">
        <f t="shared" si="48"/>
        <v>0.34615384615384603</v>
      </c>
      <c r="AD73" s="7">
        <v>93</v>
      </c>
      <c r="AE73" s="6">
        <f t="shared" si="49"/>
        <v>0.34193548387096773</v>
      </c>
      <c r="AF73" s="4">
        <f t="shared" si="50"/>
        <v>31.799999999999997</v>
      </c>
      <c r="AG73" s="27"/>
      <c r="AH73" s="6"/>
      <c r="AI73" s="6"/>
      <c r="AJ73" s="6">
        <f t="shared" si="51"/>
        <v>1.2</v>
      </c>
      <c r="AK73" s="6">
        <f t="shared" si="52"/>
        <v>1.1772151898734178</v>
      </c>
      <c r="AL73" s="6">
        <f t="shared" si="53"/>
        <v>1.2</v>
      </c>
      <c r="AM73" s="4" t="str">
        <f t="shared" si="54"/>
        <v>-</v>
      </c>
      <c r="AN73" s="4" t="str">
        <f t="shared" si="55"/>
        <v>-</v>
      </c>
      <c r="AO73" s="4" t="str">
        <f t="shared" si="56"/>
        <v>-</v>
      </c>
      <c r="AP73" s="4" t="s">
        <v>225</v>
      </c>
      <c r="AQ73" s="4" t="s">
        <v>432</v>
      </c>
      <c r="AR73" s="4"/>
      <c r="AS73" s="4"/>
      <c r="AT73" s="4" t="s">
        <v>349</v>
      </c>
      <c r="AU73" s="4">
        <v>78</v>
      </c>
      <c r="AV73" s="4">
        <f t="shared" si="57"/>
        <v>78</v>
      </c>
      <c r="AW73" s="18">
        <v>4</v>
      </c>
      <c r="AX73" s="18">
        <v>1</v>
      </c>
      <c r="AY73" s="16">
        <v>5</v>
      </c>
      <c r="AZ73" t="s">
        <v>230</v>
      </c>
      <c r="BA73" t="str">
        <f t="shared" si="58"/>
        <v>-</v>
      </c>
      <c r="BB73">
        <v>78</v>
      </c>
      <c r="BC73">
        <f t="shared" si="59"/>
        <v>93.6</v>
      </c>
      <c r="BD73" t="s">
        <v>303</v>
      </c>
    </row>
    <row r="74" spans="1:56" x14ac:dyDescent="0.4">
      <c r="A74" s="3">
        <v>109</v>
      </c>
      <c r="B74" s="3">
        <v>74</v>
      </c>
      <c r="C74" s="40">
        <v>731745</v>
      </c>
      <c r="D74" s="4" t="str">
        <f t="shared" si="40"/>
        <v>731745</v>
      </c>
      <c r="E74" s="4">
        <v>612147</v>
      </c>
      <c r="F74" s="4" t="s">
        <v>210</v>
      </c>
      <c r="G74" s="5">
        <v>4902778717264</v>
      </c>
      <c r="H74" s="5">
        <v>8</v>
      </c>
      <c r="I74" s="5" t="str">
        <f>C74&amp;H74</f>
        <v>7317458</v>
      </c>
      <c r="J74" s="5"/>
      <c r="K74" s="5"/>
      <c r="L74" s="4">
        <v>1000</v>
      </c>
      <c r="M74" s="4">
        <v>757</v>
      </c>
      <c r="N74" s="4">
        <v>510</v>
      </c>
      <c r="O74" s="6">
        <f t="shared" si="41"/>
        <v>0.32628797886393657</v>
      </c>
      <c r="P74" s="4" t="s">
        <v>230</v>
      </c>
      <c r="Q74" s="4" t="s">
        <v>230</v>
      </c>
      <c r="R74" s="4" t="s">
        <v>230</v>
      </c>
      <c r="S74" s="4">
        <v>120</v>
      </c>
      <c r="T74" s="4">
        <f t="shared" si="42"/>
        <v>1200</v>
      </c>
      <c r="U74" s="4">
        <v>61.2</v>
      </c>
      <c r="V74" s="4">
        <f t="shared" si="43"/>
        <v>612</v>
      </c>
      <c r="W74" s="4">
        <v>10</v>
      </c>
      <c r="X74" s="20">
        <f t="shared" si="44"/>
        <v>908</v>
      </c>
      <c r="Y74" s="6">
        <f t="shared" si="45"/>
        <v>0.32599118942731276</v>
      </c>
      <c r="Z74" s="32">
        <v>187</v>
      </c>
      <c r="AA74" s="4">
        <f t="shared" si="46"/>
        <v>714</v>
      </c>
      <c r="AB74" s="32">
        <f t="shared" si="47"/>
        <v>856.8</v>
      </c>
      <c r="AC74" s="6">
        <f t="shared" si="48"/>
        <v>0.2857142857142857</v>
      </c>
      <c r="AD74" s="7">
        <v>883</v>
      </c>
      <c r="AE74" s="6">
        <f t="shared" si="49"/>
        <v>0.30690826727066822</v>
      </c>
      <c r="AF74" s="4">
        <f t="shared" si="50"/>
        <v>271</v>
      </c>
      <c r="AG74" s="27"/>
      <c r="AH74" s="6"/>
      <c r="AI74" s="6"/>
      <c r="AJ74" s="6">
        <f t="shared" si="51"/>
        <v>1.2</v>
      </c>
      <c r="AK74" s="6">
        <f t="shared" si="52"/>
        <v>1.1664464993394981</v>
      </c>
      <c r="AL74" s="6">
        <f t="shared" si="53"/>
        <v>1.2</v>
      </c>
      <c r="AM74" s="4" t="str">
        <f t="shared" si="54"/>
        <v>-</v>
      </c>
      <c r="AN74" s="4" t="str">
        <f t="shared" si="55"/>
        <v>-</v>
      </c>
      <c r="AO74" s="4" t="str">
        <f t="shared" si="56"/>
        <v>-</v>
      </c>
      <c r="AP74" s="4" t="s">
        <v>225</v>
      </c>
      <c r="AQ74" s="4" t="s">
        <v>474</v>
      </c>
      <c r="AR74" s="4"/>
      <c r="AS74" s="4"/>
      <c r="AT74" s="4" t="s">
        <v>409</v>
      </c>
      <c r="AU74" s="4">
        <v>714</v>
      </c>
      <c r="AV74" s="4">
        <f t="shared" si="57"/>
        <v>714</v>
      </c>
      <c r="AW74" s="18">
        <v>4</v>
      </c>
      <c r="AX74" s="18">
        <v>1</v>
      </c>
      <c r="AY74" s="16">
        <v>5</v>
      </c>
      <c r="AZ74" t="s">
        <v>230</v>
      </c>
      <c r="BA74" t="str">
        <f t="shared" si="58"/>
        <v>-</v>
      </c>
      <c r="BB74">
        <v>78</v>
      </c>
      <c r="BC74">
        <f t="shared" si="59"/>
        <v>93.6</v>
      </c>
      <c r="BD74" t="s">
        <v>343</v>
      </c>
    </row>
    <row r="75" spans="1:56" x14ac:dyDescent="0.4">
      <c r="A75" s="3">
        <v>75</v>
      </c>
      <c r="B75" s="3">
        <v>75</v>
      </c>
      <c r="C75" s="40">
        <v>731754</v>
      </c>
      <c r="D75" s="4" t="str">
        <f t="shared" si="40"/>
        <v>731754</v>
      </c>
      <c r="E75" s="4">
        <v>731754</v>
      </c>
      <c r="F75" s="4" t="s">
        <v>136</v>
      </c>
      <c r="G75" s="5">
        <v>4902778717295</v>
      </c>
      <c r="H75" s="5"/>
      <c r="I75" s="5"/>
      <c r="J75" s="5">
        <v>2</v>
      </c>
      <c r="K75" s="5">
        <v>2</v>
      </c>
      <c r="L75" s="4">
        <v>100</v>
      </c>
      <c r="M75" s="4">
        <v>79</v>
      </c>
      <c r="N75" s="4">
        <v>51</v>
      </c>
      <c r="O75" s="6">
        <f t="shared" si="41"/>
        <v>0.35443037974683544</v>
      </c>
      <c r="P75" s="4" t="s">
        <v>230</v>
      </c>
      <c r="Q75" s="4" t="s">
        <v>230</v>
      </c>
      <c r="R75" s="4" t="s">
        <v>230</v>
      </c>
      <c r="S75" s="4">
        <v>120</v>
      </c>
      <c r="T75" s="4">
        <f t="shared" si="42"/>
        <v>120</v>
      </c>
      <c r="U75" s="4">
        <v>61.2</v>
      </c>
      <c r="V75" s="4">
        <f t="shared" si="43"/>
        <v>61.2</v>
      </c>
      <c r="W75" s="4"/>
      <c r="X75" s="20">
        <f t="shared" si="44"/>
        <v>95</v>
      </c>
      <c r="Y75" s="6">
        <f t="shared" si="45"/>
        <v>0.35578947368421054</v>
      </c>
      <c r="Z75" s="32">
        <v>588.25</v>
      </c>
      <c r="AA75" s="4">
        <f t="shared" si="46"/>
        <v>78</v>
      </c>
      <c r="AB75" s="32">
        <f t="shared" si="47"/>
        <v>93.6</v>
      </c>
      <c r="AC75" s="6">
        <f t="shared" si="48"/>
        <v>0.34615384615384603</v>
      </c>
      <c r="AD75" s="7">
        <v>93</v>
      </c>
      <c r="AE75" s="6">
        <f t="shared" si="49"/>
        <v>0.34193548387096773</v>
      </c>
      <c r="AF75" s="4">
        <f t="shared" si="50"/>
        <v>31.799999999999997</v>
      </c>
      <c r="AG75" s="27"/>
      <c r="AH75" s="6"/>
      <c r="AI75" s="6"/>
      <c r="AJ75" s="6">
        <f t="shared" si="51"/>
        <v>1.2</v>
      </c>
      <c r="AK75" s="6">
        <f t="shared" si="52"/>
        <v>1.1772151898734178</v>
      </c>
      <c r="AL75" s="6">
        <f t="shared" si="53"/>
        <v>1.2</v>
      </c>
      <c r="AM75" s="4" t="str">
        <f t="shared" si="54"/>
        <v>-</v>
      </c>
      <c r="AN75" s="4" t="str">
        <f t="shared" si="55"/>
        <v>-</v>
      </c>
      <c r="AO75" s="4" t="str">
        <f t="shared" si="56"/>
        <v>-</v>
      </c>
      <c r="AP75" s="4" t="s">
        <v>225</v>
      </c>
      <c r="AQ75" s="4" t="s">
        <v>433</v>
      </c>
      <c r="AR75" s="4"/>
      <c r="AS75" s="4"/>
      <c r="AT75" s="4" t="s">
        <v>349</v>
      </c>
      <c r="AU75" s="4">
        <v>78</v>
      </c>
      <c r="AV75" s="4">
        <f t="shared" si="57"/>
        <v>78</v>
      </c>
      <c r="AW75" s="18">
        <v>4</v>
      </c>
      <c r="AX75" s="18">
        <v>1</v>
      </c>
      <c r="AY75" s="16">
        <v>5</v>
      </c>
      <c r="AZ75" t="s">
        <v>230</v>
      </c>
      <c r="BA75" t="str">
        <f t="shared" si="58"/>
        <v>-</v>
      </c>
      <c r="BB75">
        <v>78</v>
      </c>
      <c r="BC75">
        <f t="shared" si="59"/>
        <v>93.6</v>
      </c>
      <c r="BD75" t="s">
        <v>304</v>
      </c>
    </row>
    <row r="76" spans="1:56" x14ac:dyDescent="0.4">
      <c r="A76" s="3">
        <v>109</v>
      </c>
      <c r="B76" s="3">
        <v>75</v>
      </c>
      <c r="C76" s="40">
        <v>731754</v>
      </c>
      <c r="D76" s="4" t="str">
        <f t="shared" si="40"/>
        <v>731754</v>
      </c>
      <c r="E76" s="4">
        <v>612146</v>
      </c>
      <c r="F76" s="4" t="s">
        <v>211</v>
      </c>
      <c r="G76" s="5">
        <v>4902778717295</v>
      </c>
      <c r="H76" s="5">
        <v>8</v>
      </c>
      <c r="I76" s="5" t="str">
        <f>C76&amp;H76</f>
        <v>7317548</v>
      </c>
      <c r="J76" s="5"/>
      <c r="K76" s="5"/>
      <c r="L76" s="4">
        <v>1000</v>
      </c>
      <c r="M76" s="4">
        <v>737</v>
      </c>
      <c r="N76" s="4">
        <v>510</v>
      </c>
      <c r="O76" s="6">
        <f t="shared" si="41"/>
        <v>0.30800542740841252</v>
      </c>
      <c r="P76" s="4" t="s">
        <v>230</v>
      </c>
      <c r="Q76" s="4" t="s">
        <v>230</v>
      </c>
      <c r="R76" s="4" t="s">
        <v>230</v>
      </c>
      <c r="S76" s="4">
        <v>120</v>
      </c>
      <c r="T76" s="4">
        <f t="shared" si="42"/>
        <v>1200</v>
      </c>
      <c r="U76" s="4">
        <v>61.2</v>
      </c>
      <c r="V76" s="4">
        <f t="shared" si="43"/>
        <v>612</v>
      </c>
      <c r="W76" s="4">
        <v>10</v>
      </c>
      <c r="X76" s="20">
        <f t="shared" si="44"/>
        <v>884</v>
      </c>
      <c r="Y76" s="6">
        <f t="shared" si="45"/>
        <v>0.30769230769230771</v>
      </c>
      <c r="Z76" s="32">
        <v>588.25</v>
      </c>
      <c r="AA76" s="4">
        <f t="shared" si="46"/>
        <v>714</v>
      </c>
      <c r="AB76" s="32">
        <f t="shared" si="47"/>
        <v>856.8</v>
      </c>
      <c r="AC76" s="6">
        <f t="shared" si="48"/>
        <v>0.2857142857142857</v>
      </c>
      <c r="AD76" s="7">
        <v>883</v>
      </c>
      <c r="AE76" s="6">
        <f t="shared" si="49"/>
        <v>0.30690826727066822</v>
      </c>
      <c r="AF76" s="4">
        <f t="shared" si="50"/>
        <v>271</v>
      </c>
      <c r="AG76" s="27"/>
      <c r="AH76" s="6"/>
      <c r="AI76" s="6"/>
      <c r="AJ76" s="6">
        <f t="shared" si="51"/>
        <v>1.2</v>
      </c>
      <c r="AK76" s="6">
        <f t="shared" si="52"/>
        <v>1.1981004070556309</v>
      </c>
      <c r="AL76" s="6">
        <f t="shared" si="53"/>
        <v>1.2</v>
      </c>
      <c r="AM76" s="4" t="str">
        <f t="shared" si="54"/>
        <v>-</v>
      </c>
      <c r="AN76" s="4" t="str">
        <f t="shared" si="55"/>
        <v>-</v>
      </c>
      <c r="AO76" s="4" t="str">
        <f t="shared" si="56"/>
        <v>-</v>
      </c>
      <c r="AP76" s="4" t="s">
        <v>225</v>
      </c>
      <c r="AQ76" s="4" t="s">
        <v>475</v>
      </c>
      <c r="AR76" s="4"/>
      <c r="AS76" s="4"/>
      <c r="AT76" s="4" t="s">
        <v>409</v>
      </c>
      <c r="AU76" s="4">
        <v>714</v>
      </c>
      <c r="AV76" s="4">
        <f t="shared" si="57"/>
        <v>714</v>
      </c>
      <c r="AW76" s="18">
        <v>4</v>
      </c>
      <c r="AX76" s="18">
        <v>1</v>
      </c>
      <c r="AY76" s="16">
        <v>5</v>
      </c>
      <c r="AZ76" t="s">
        <v>230</v>
      </c>
      <c r="BA76" t="str">
        <f t="shared" si="58"/>
        <v>-</v>
      </c>
      <c r="BB76">
        <v>78</v>
      </c>
      <c r="BC76">
        <f t="shared" si="59"/>
        <v>93.6</v>
      </c>
      <c r="BD76" t="s">
        <v>344</v>
      </c>
    </row>
    <row r="77" spans="1:56" x14ac:dyDescent="0.4">
      <c r="A77" s="3">
        <v>76</v>
      </c>
      <c r="B77" s="3">
        <v>76</v>
      </c>
      <c r="C77" s="40">
        <v>746145</v>
      </c>
      <c r="D77" s="4" t="str">
        <f t="shared" si="40"/>
        <v>746145</v>
      </c>
      <c r="E77" s="4">
        <v>746145</v>
      </c>
      <c r="F77" s="4" t="s">
        <v>137</v>
      </c>
      <c r="G77" s="5">
        <v>4902778717226</v>
      </c>
      <c r="H77" s="5"/>
      <c r="I77" s="5"/>
      <c r="J77" s="5">
        <v>2</v>
      </c>
      <c r="K77" s="5">
        <v>2</v>
      </c>
      <c r="L77" s="4">
        <v>100</v>
      </c>
      <c r="M77" s="4">
        <v>79</v>
      </c>
      <c r="N77" s="4">
        <v>51</v>
      </c>
      <c r="O77" s="6">
        <f t="shared" si="41"/>
        <v>0.35443037974683544</v>
      </c>
      <c r="P77" s="4" t="s">
        <v>230</v>
      </c>
      <c r="Q77" s="4" t="s">
        <v>230</v>
      </c>
      <c r="R77" s="4" t="s">
        <v>230</v>
      </c>
      <c r="S77" s="4">
        <v>120</v>
      </c>
      <c r="T77" s="4">
        <f t="shared" si="42"/>
        <v>120</v>
      </c>
      <c r="U77" s="4">
        <v>61.2</v>
      </c>
      <c r="V77" s="4">
        <f t="shared" si="43"/>
        <v>61.2</v>
      </c>
      <c r="W77" s="4"/>
      <c r="X77" s="20">
        <f t="shared" si="44"/>
        <v>95</v>
      </c>
      <c r="Y77" s="6">
        <f t="shared" si="45"/>
        <v>0.35578947368421054</v>
      </c>
      <c r="Z77" s="32">
        <v>241.5</v>
      </c>
      <c r="AA77" s="4">
        <f t="shared" si="46"/>
        <v>78</v>
      </c>
      <c r="AB77" s="32">
        <f t="shared" si="47"/>
        <v>93.6</v>
      </c>
      <c r="AC77" s="6">
        <f t="shared" si="48"/>
        <v>0.34615384615384603</v>
      </c>
      <c r="AD77" s="7">
        <v>93</v>
      </c>
      <c r="AE77" s="6">
        <f t="shared" si="49"/>
        <v>0.34193548387096773</v>
      </c>
      <c r="AF77" s="4">
        <f t="shared" si="50"/>
        <v>31.799999999999997</v>
      </c>
      <c r="AG77" s="27"/>
      <c r="AH77" s="6"/>
      <c r="AI77" s="6"/>
      <c r="AJ77" s="6">
        <f t="shared" si="51"/>
        <v>1.2</v>
      </c>
      <c r="AK77" s="6">
        <f t="shared" si="52"/>
        <v>1.1772151898734178</v>
      </c>
      <c r="AL77" s="6">
        <f t="shared" si="53"/>
        <v>1.2</v>
      </c>
      <c r="AM77" s="4" t="str">
        <f t="shared" si="54"/>
        <v>-</v>
      </c>
      <c r="AN77" s="4" t="str">
        <f t="shared" si="55"/>
        <v>-</v>
      </c>
      <c r="AO77" s="4" t="str">
        <f t="shared" si="56"/>
        <v>-</v>
      </c>
      <c r="AP77" s="4" t="s">
        <v>225</v>
      </c>
      <c r="AQ77" s="4" t="s">
        <v>434</v>
      </c>
      <c r="AR77" s="4"/>
      <c r="AS77" s="4"/>
      <c r="AT77" s="4" t="s">
        <v>349</v>
      </c>
      <c r="AU77" s="4">
        <v>78</v>
      </c>
      <c r="AV77" s="4">
        <f t="shared" si="57"/>
        <v>78</v>
      </c>
      <c r="AW77" s="18">
        <v>4</v>
      </c>
      <c r="AX77" s="18">
        <v>1</v>
      </c>
      <c r="AY77" s="16">
        <v>5</v>
      </c>
      <c r="AZ77" t="s">
        <v>230</v>
      </c>
      <c r="BA77" t="str">
        <f t="shared" si="58"/>
        <v>-</v>
      </c>
      <c r="BB77">
        <v>78</v>
      </c>
      <c r="BC77">
        <f t="shared" si="59"/>
        <v>93.6</v>
      </c>
      <c r="BD77" t="s">
        <v>305</v>
      </c>
    </row>
    <row r="78" spans="1:56" x14ac:dyDescent="0.4">
      <c r="A78" s="3">
        <v>109</v>
      </c>
      <c r="B78" s="3">
        <v>76</v>
      </c>
      <c r="C78" s="40">
        <v>746145</v>
      </c>
      <c r="D78" s="4" t="str">
        <f t="shared" si="40"/>
        <v>746145</v>
      </c>
      <c r="E78" s="4">
        <v>628348</v>
      </c>
      <c r="F78" s="4" t="s">
        <v>212</v>
      </c>
      <c r="G78" s="5">
        <v>4902778717226</v>
      </c>
      <c r="H78" s="5">
        <v>8</v>
      </c>
      <c r="I78" s="5" t="str">
        <f>C78&amp;H78</f>
        <v>7461458</v>
      </c>
      <c r="J78" s="5"/>
      <c r="K78" s="5"/>
      <c r="L78" s="4">
        <v>0</v>
      </c>
      <c r="M78" s="4">
        <v>731</v>
      </c>
      <c r="N78" s="4">
        <v>510</v>
      </c>
      <c r="O78" s="6">
        <f t="shared" si="41"/>
        <v>0.30232558139534882</v>
      </c>
      <c r="P78" s="4" t="s">
        <v>230</v>
      </c>
      <c r="Q78" s="4" t="s">
        <v>230</v>
      </c>
      <c r="R78" s="4" t="s">
        <v>230</v>
      </c>
      <c r="S78" s="4">
        <v>120</v>
      </c>
      <c r="T78" s="4">
        <f t="shared" si="42"/>
        <v>1200</v>
      </c>
      <c r="U78" s="4">
        <v>61.2</v>
      </c>
      <c r="V78" s="4">
        <f t="shared" si="43"/>
        <v>612</v>
      </c>
      <c r="W78" s="4">
        <v>10</v>
      </c>
      <c r="X78" s="20">
        <f t="shared" si="44"/>
        <v>877</v>
      </c>
      <c r="Y78" s="6">
        <f t="shared" si="45"/>
        <v>0.30216647662485752</v>
      </c>
      <c r="Z78" s="32">
        <v>241.5</v>
      </c>
      <c r="AA78" s="4">
        <f t="shared" si="46"/>
        <v>780</v>
      </c>
      <c r="AB78" s="32">
        <f t="shared" si="47"/>
        <v>936</v>
      </c>
      <c r="AC78" s="6">
        <f t="shared" si="48"/>
        <v>0.34615384615384615</v>
      </c>
      <c r="AD78" s="7">
        <v>883</v>
      </c>
      <c r="AE78" s="6">
        <f t="shared" si="49"/>
        <v>0.30690826727066822</v>
      </c>
      <c r="AF78" s="4">
        <f t="shared" si="50"/>
        <v>271</v>
      </c>
      <c r="AG78" s="27"/>
      <c r="AH78" s="6"/>
      <c r="AI78" s="6"/>
      <c r="AJ78" s="6" t="str">
        <f t="shared" si="51"/>
        <v>-</v>
      </c>
      <c r="AK78" s="6">
        <f t="shared" si="52"/>
        <v>1.2079343365253079</v>
      </c>
      <c r="AL78" s="6">
        <f t="shared" si="53"/>
        <v>1.2</v>
      </c>
      <c r="AM78" s="4" t="str">
        <f t="shared" si="54"/>
        <v>-</v>
      </c>
      <c r="AN78" s="4" t="str">
        <f t="shared" si="55"/>
        <v>-</v>
      </c>
      <c r="AO78" s="4" t="str">
        <f t="shared" si="56"/>
        <v>-</v>
      </c>
      <c r="AP78" s="4" t="s">
        <v>225</v>
      </c>
      <c r="AQ78" s="4" t="s">
        <v>434</v>
      </c>
      <c r="AR78" s="4">
        <v>10</v>
      </c>
      <c r="AS78" s="4">
        <v>1</v>
      </c>
      <c r="AT78" s="4" t="s">
        <v>349</v>
      </c>
      <c r="AU78" s="4">
        <v>78</v>
      </c>
      <c r="AV78" s="4">
        <f t="shared" si="57"/>
        <v>780</v>
      </c>
      <c r="AW78" s="18">
        <v>4</v>
      </c>
      <c r="AX78" s="18">
        <v>1</v>
      </c>
      <c r="AY78" s="16">
        <v>5</v>
      </c>
      <c r="AZ78" t="s">
        <v>230</v>
      </c>
      <c r="BA78" t="str">
        <f t="shared" si="58"/>
        <v>-</v>
      </c>
      <c r="BB78">
        <v>78</v>
      </c>
      <c r="BC78">
        <f t="shared" si="59"/>
        <v>93.6</v>
      </c>
      <c r="BD78" t="s">
        <v>305</v>
      </c>
    </row>
    <row r="79" spans="1:56" x14ac:dyDescent="0.4">
      <c r="A79" s="3">
        <v>77</v>
      </c>
      <c r="B79" s="3">
        <v>77</v>
      </c>
      <c r="C79" s="40">
        <v>746154</v>
      </c>
      <c r="D79" s="4" t="str">
        <f t="shared" si="40"/>
        <v>746154</v>
      </c>
      <c r="E79" s="4">
        <v>746154</v>
      </c>
      <c r="F79" s="4" t="s">
        <v>138</v>
      </c>
      <c r="G79" s="5">
        <v>4902778717110</v>
      </c>
      <c r="H79" s="5"/>
      <c r="I79" s="5"/>
      <c r="J79" s="5">
        <v>2</v>
      </c>
      <c r="K79" s="5">
        <v>2</v>
      </c>
      <c r="L79" s="4">
        <v>100</v>
      </c>
      <c r="M79" s="4">
        <v>79</v>
      </c>
      <c r="N79" s="4">
        <v>51</v>
      </c>
      <c r="O79" s="6">
        <f t="shared" si="41"/>
        <v>0.35443037974683544</v>
      </c>
      <c r="P79" s="4" t="s">
        <v>230</v>
      </c>
      <c r="Q79" s="4" t="s">
        <v>230</v>
      </c>
      <c r="R79" s="4" t="s">
        <v>230</v>
      </c>
      <c r="S79" s="4">
        <v>120</v>
      </c>
      <c r="T79" s="4">
        <f t="shared" si="42"/>
        <v>120</v>
      </c>
      <c r="U79" s="4">
        <v>61.2</v>
      </c>
      <c r="V79" s="4">
        <f t="shared" si="43"/>
        <v>61.2</v>
      </c>
      <c r="W79" s="4"/>
      <c r="X79" s="20">
        <f t="shared" si="44"/>
        <v>95</v>
      </c>
      <c r="Y79" s="6">
        <f t="shared" si="45"/>
        <v>0.35578947368421054</v>
      </c>
      <c r="Z79" s="32">
        <v>56.999999999999993</v>
      </c>
      <c r="AA79" s="4">
        <f t="shared" si="46"/>
        <v>78</v>
      </c>
      <c r="AB79" s="32">
        <f t="shared" si="47"/>
        <v>93.6</v>
      </c>
      <c r="AC79" s="6">
        <f t="shared" si="48"/>
        <v>0.34615384615384603</v>
      </c>
      <c r="AD79" s="7">
        <v>93</v>
      </c>
      <c r="AE79" s="6">
        <f t="shared" si="49"/>
        <v>0.34193548387096773</v>
      </c>
      <c r="AF79" s="4">
        <f t="shared" si="50"/>
        <v>31.799999999999997</v>
      </c>
      <c r="AG79" s="27"/>
      <c r="AH79" s="6"/>
      <c r="AI79" s="6"/>
      <c r="AJ79" s="6">
        <f t="shared" si="51"/>
        <v>1.2</v>
      </c>
      <c r="AK79" s="6">
        <f t="shared" si="52"/>
        <v>1.1772151898734178</v>
      </c>
      <c r="AL79" s="6">
        <f t="shared" si="53"/>
        <v>1.2</v>
      </c>
      <c r="AM79" s="4" t="str">
        <f t="shared" si="54"/>
        <v>-</v>
      </c>
      <c r="AN79" s="4" t="str">
        <f t="shared" si="55"/>
        <v>-</v>
      </c>
      <c r="AO79" s="4" t="str">
        <f t="shared" si="56"/>
        <v>-</v>
      </c>
      <c r="AP79" s="4" t="s">
        <v>225</v>
      </c>
      <c r="AQ79" s="4" t="s">
        <v>435</v>
      </c>
      <c r="AR79" s="4"/>
      <c r="AS79" s="4"/>
      <c r="AT79" s="4" t="s">
        <v>349</v>
      </c>
      <c r="AU79" s="4">
        <v>78</v>
      </c>
      <c r="AV79" s="4">
        <f t="shared" si="57"/>
        <v>78</v>
      </c>
      <c r="AW79" s="18">
        <v>4</v>
      </c>
      <c r="AX79" s="18">
        <v>1</v>
      </c>
      <c r="AY79" s="16">
        <v>5</v>
      </c>
      <c r="AZ79" t="s">
        <v>230</v>
      </c>
      <c r="BA79" t="str">
        <f t="shared" si="58"/>
        <v>-</v>
      </c>
      <c r="BB79">
        <v>78</v>
      </c>
      <c r="BC79">
        <f t="shared" si="59"/>
        <v>93.6</v>
      </c>
      <c r="BD79" t="s">
        <v>306</v>
      </c>
    </row>
    <row r="80" spans="1:56" x14ac:dyDescent="0.4">
      <c r="A80" s="3">
        <v>109</v>
      </c>
      <c r="B80" s="3">
        <v>77</v>
      </c>
      <c r="C80" s="40">
        <v>746154</v>
      </c>
      <c r="D80" s="4" t="str">
        <f t="shared" si="40"/>
        <v>746154</v>
      </c>
      <c r="E80" s="4">
        <v>631299</v>
      </c>
      <c r="F80" s="4" t="s">
        <v>213</v>
      </c>
      <c r="G80" s="5">
        <v>4902778717110</v>
      </c>
      <c r="H80" s="5">
        <v>8</v>
      </c>
      <c r="I80" s="5" t="str">
        <f>C80&amp;H80</f>
        <v>7461548</v>
      </c>
      <c r="J80" s="5"/>
      <c r="K80" s="5"/>
      <c r="L80" s="4">
        <v>0</v>
      </c>
      <c r="M80" s="4">
        <v>757</v>
      </c>
      <c r="N80" s="4">
        <v>510</v>
      </c>
      <c r="O80" s="6">
        <f t="shared" si="41"/>
        <v>0.32628797886393657</v>
      </c>
      <c r="P80" s="4" t="s">
        <v>230</v>
      </c>
      <c r="Q80" s="4" t="s">
        <v>230</v>
      </c>
      <c r="R80" s="4" t="s">
        <v>230</v>
      </c>
      <c r="S80" s="4">
        <v>120</v>
      </c>
      <c r="T80" s="4">
        <f t="shared" si="42"/>
        <v>1200</v>
      </c>
      <c r="U80" s="4">
        <v>61.2</v>
      </c>
      <c r="V80" s="4">
        <f t="shared" si="43"/>
        <v>612</v>
      </c>
      <c r="W80" s="4">
        <v>10</v>
      </c>
      <c r="X80" s="20">
        <f t="shared" si="44"/>
        <v>908</v>
      </c>
      <c r="Y80" s="6">
        <f t="shared" si="45"/>
        <v>0.32599118942731276</v>
      </c>
      <c r="Z80" s="32">
        <v>56.999999999999993</v>
      </c>
      <c r="AA80" s="4">
        <f t="shared" si="46"/>
        <v>780</v>
      </c>
      <c r="AB80" s="32">
        <f t="shared" si="47"/>
        <v>936</v>
      </c>
      <c r="AC80" s="6">
        <f t="shared" si="48"/>
        <v>0.34615384615384615</v>
      </c>
      <c r="AD80" s="7">
        <v>883</v>
      </c>
      <c r="AE80" s="6">
        <f t="shared" si="49"/>
        <v>0.30690826727066822</v>
      </c>
      <c r="AF80" s="4">
        <f t="shared" si="50"/>
        <v>271</v>
      </c>
      <c r="AG80" s="27"/>
      <c r="AH80" s="6"/>
      <c r="AI80" s="6"/>
      <c r="AJ80" s="6" t="str">
        <f t="shared" si="51"/>
        <v>-</v>
      </c>
      <c r="AK80" s="6">
        <f t="shared" si="52"/>
        <v>1.1664464993394981</v>
      </c>
      <c r="AL80" s="6">
        <f t="shared" si="53"/>
        <v>1.2</v>
      </c>
      <c r="AM80" s="4" t="str">
        <f t="shared" si="54"/>
        <v>-</v>
      </c>
      <c r="AN80" s="4" t="str">
        <f t="shared" si="55"/>
        <v>-</v>
      </c>
      <c r="AO80" s="4" t="str">
        <f t="shared" si="56"/>
        <v>-</v>
      </c>
      <c r="AP80" s="4" t="s">
        <v>225</v>
      </c>
      <c r="AQ80" s="4" t="s">
        <v>435</v>
      </c>
      <c r="AR80" s="4">
        <v>10</v>
      </c>
      <c r="AS80" s="4">
        <v>1</v>
      </c>
      <c r="AT80" s="4" t="s">
        <v>349</v>
      </c>
      <c r="AU80" s="4">
        <v>78</v>
      </c>
      <c r="AV80" s="4">
        <f t="shared" si="57"/>
        <v>780</v>
      </c>
      <c r="AW80" s="18">
        <v>4</v>
      </c>
      <c r="AX80" s="18">
        <v>1</v>
      </c>
      <c r="AY80" s="16">
        <v>5</v>
      </c>
      <c r="AZ80" t="s">
        <v>230</v>
      </c>
      <c r="BA80" t="str">
        <f t="shared" si="58"/>
        <v>-</v>
      </c>
      <c r="BB80">
        <v>78</v>
      </c>
      <c r="BC80">
        <f t="shared" si="59"/>
        <v>93.6</v>
      </c>
      <c r="BD80" t="s">
        <v>306</v>
      </c>
    </row>
    <row r="81" spans="1:56" x14ac:dyDescent="0.4">
      <c r="A81" s="3">
        <v>78</v>
      </c>
      <c r="B81" s="3">
        <v>78</v>
      </c>
      <c r="C81" s="40">
        <v>731763</v>
      </c>
      <c r="D81" s="4" t="str">
        <f t="shared" si="40"/>
        <v>731763</v>
      </c>
      <c r="E81" s="4">
        <v>731763</v>
      </c>
      <c r="F81" s="4" t="s">
        <v>139</v>
      </c>
      <c r="G81" s="5">
        <v>4902778717325</v>
      </c>
      <c r="H81" s="5"/>
      <c r="I81" s="5"/>
      <c r="J81" s="5">
        <v>2</v>
      </c>
      <c r="K81" s="5">
        <v>2</v>
      </c>
      <c r="L81" s="4">
        <v>100</v>
      </c>
      <c r="M81" s="4">
        <v>79</v>
      </c>
      <c r="N81" s="4">
        <v>51</v>
      </c>
      <c r="O81" s="6">
        <f t="shared" si="41"/>
        <v>0.35443037974683544</v>
      </c>
      <c r="P81" s="4" t="s">
        <v>230</v>
      </c>
      <c r="Q81" s="4" t="s">
        <v>230</v>
      </c>
      <c r="R81" s="4" t="s">
        <v>230</v>
      </c>
      <c r="S81" s="4">
        <v>120</v>
      </c>
      <c r="T81" s="4">
        <f t="shared" si="42"/>
        <v>120</v>
      </c>
      <c r="U81" s="4">
        <v>61.2</v>
      </c>
      <c r="V81" s="4">
        <f t="shared" si="43"/>
        <v>61.2</v>
      </c>
      <c r="W81" s="4"/>
      <c r="X81" s="20">
        <f t="shared" si="44"/>
        <v>95</v>
      </c>
      <c r="Y81" s="6">
        <f t="shared" si="45"/>
        <v>0.35578947368421054</v>
      </c>
      <c r="Z81" s="32">
        <v>54.25</v>
      </c>
      <c r="AA81" s="4">
        <f t="shared" si="46"/>
        <v>78</v>
      </c>
      <c r="AB81" s="32">
        <f t="shared" si="47"/>
        <v>93.6</v>
      </c>
      <c r="AC81" s="6">
        <f t="shared" si="48"/>
        <v>0.34615384615384603</v>
      </c>
      <c r="AD81" s="7">
        <v>93</v>
      </c>
      <c r="AE81" s="6">
        <f t="shared" si="49"/>
        <v>0.34193548387096773</v>
      </c>
      <c r="AF81" s="4">
        <f t="shared" si="50"/>
        <v>31.799999999999997</v>
      </c>
      <c r="AG81" s="27"/>
      <c r="AH81" s="6"/>
      <c r="AI81" s="6"/>
      <c r="AJ81" s="6">
        <f t="shared" si="51"/>
        <v>1.2</v>
      </c>
      <c r="AK81" s="6">
        <f t="shared" si="52"/>
        <v>1.1772151898734178</v>
      </c>
      <c r="AL81" s="6">
        <f t="shared" si="53"/>
        <v>1.2</v>
      </c>
      <c r="AM81" s="4" t="str">
        <f t="shared" si="54"/>
        <v>-</v>
      </c>
      <c r="AN81" s="4" t="str">
        <f t="shared" si="55"/>
        <v>-</v>
      </c>
      <c r="AO81" s="4" t="str">
        <f t="shared" si="56"/>
        <v>-</v>
      </c>
      <c r="AP81" s="4" t="s">
        <v>225</v>
      </c>
      <c r="AQ81" s="4" t="s">
        <v>436</v>
      </c>
      <c r="AR81" s="4"/>
      <c r="AS81" s="4"/>
      <c r="AT81" s="4" t="s">
        <v>349</v>
      </c>
      <c r="AU81" s="4">
        <v>78</v>
      </c>
      <c r="AV81" s="4">
        <f t="shared" si="57"/>
        <v>78</v>
      </c>
      <c r="AW81" s="18">
        <v>4</v>
      </c>
      <c r="AX81" s="18">
        <v>1</v>
      </c>
      <c r="AY81" s="16">
        <v>5</v>
      </c>
      <c r="AZ81" t="s">
        <v>230</v>
      </c>
      <c r="BA81" t="str">
        <f t="shared" si="58"/>
        <v>-</v>
      </c>
      <c r="BB81">
        <v>78</v>
      </c>
      <c r="BC81">
        <f t="shared" si="59"/>
        <v>93.6</v>
      </c>
      <c r="BD81" t="s">
        <v>307</v>
      </c>
    </row>
    <row r="82" spans="1:56" x14ac:dyDescent="0.4">
      <c r="A82" s="3">
        <v>109</v>
      </c>
      <c r="B82" s="3">
        <v>78</v>
      </c>
      <c r="C82" s="40">
        <v>731763</v>
      </c>
      <c r="D82" s="4" t="str">
        <f t="shared" si="40"/>
        <v>731763</v>
      </c>
      <c r="E82" s="4">
        <v>628347</v>
      </c>
      <c r="F82" s="4" t="s">
        <v>214</v>
      </c>
      <c r="G82" s="5">
        <v>4902778717325</v>
      </c>
      <c r="H82" s="5">
        <v>8</v>
      </c>
      <c r="I82" s="5" t="str">
        <f>C82&amp;H82</f>
        <v>7317638</v>
      </c>
      <c r="J82" s="5"/>
      <c r="K82" s="5"/>
      <c r="L82" s="4">
        <v>1000</v>
      </c>
      <c r="M82" s="4">
        <v>757</v>
      </c>
      <c r="N82" s="4">
        <v>510</v>
      </c>
      <c r="O82" s="6">
        <f t="shared" si="41"/>
        <v>0.32628797886393657</v>
      </c>
      <c r="P82" s="4" t="s">
        <v>230</v>
      </c>
      <c r="Q82" s="4" t="s">
        <v>230</v>
      </c>
      <c r="R82" s="4" t="s">
        <v>230</v>
      </c>
      <c r="S82" s="4">
        <v>120</v>
      </c>
      <c r="T82" s="4">
        <f t="shared" si="42"/>
        <v>1200</v>
      </c>
      <c r="U82" s="4">
        <v>61.2</v>
      </c>
      <c r="V82" s="4">
        <f t="shared" si="43"/>
        <v>612</v>
      </c>
      <c r="W82" s="4">
        <v>10</v>
      </c>
      <c r="X82" s="20">
        <f t="shared" si="44"/>
        <v>908</v>
      </c>
      <c r="Y82" s="6">
        <f t="shared" si="45"/>
        <v>0.32599118942731276</v>
      </c>
      <c r="Z82" s="32">
        <v>54.25</v>
      </c>
      <c r="AA82" s="4">
        <f t="shared" si="46"/>
        <v>737</v>
      </c>
      <c r="AB82" s="32">
        <f t="shared" si="47"/>
        <v>884.4</v>
      </c>
      <c r="AC82" s="6">
        <f t="shared" si="48"/>
        <v>0.30800542740841241</v>
      </c>
      <c r="AD82" s="7">
        <v>883</v>
      </c>
      <c r="AE82" s="6">
        <f t="shared" si="49"/>
        <v>0.30690826727066822</v>
      </c>
      <c r="AF82" s="4">
        <f t="shared" si="50"/>
        <v>271</v>
      </c>
      <c r="AG82" s="27"/>
      <c r="AH82" s="6"/>
      <c r="AI82" s="6"/>
      <c r="AJ82" s="6">
        <f t="shared" si="51"/>
        <v>1.2</v>
      </c>
      <c r="AK82" s="6">
        <f t="shared" si="52"/>
        <v>1.1664464993394981</v>
      </c>
      <c r="AL82" s="6">
        <f t="shared" si="53"/>
        <v>1.2</v>
      </c>
      <c r="AM82" s="4" t="str">
        <f t="shared" si="54"/>
        <v>-</v>
      </c>
      <c r="AN82" s="4" t="str">
        <f t="shared" si="55"/>
        <v>-</v>
      </c>
      <c r="AO82" s="4" t="str">
        <f t="shared" si="56"/>
        <v>-</v>
      </c>
      <c r="AP82" s="4" t="s">
        <v>225</v>
      </c>
      <c r="AQ82" s="4" t="s">
        <v>476</v>
      </c>
      <c r="AR82" s="4"/>
      <c r="AS82" s="4"/>
      <c r="AT82" s="4" t="s">
        <v>409</v>
      </c>
      <c r="AU82" s="4">
        <v>737</v>
      </c>
      <c r="AV82" s="4">
        <f t="shared" si="57"/>
        <v>737</v>
      </c>
      <c r="AW82" s="18">
        <v>4</v>
      </c>
      <c r="AX82" s="18">
        <v>1</v>
      </c>
      <c r="AY82" s="16">
        <v>5</v>
      </c>
      <c r="AZ82" t="s">
        <v>230</v>
      </c>
      <c r="BA82" t="str">
        <f t="shared" si="58"/>
        <v>-</v>
      </c>
      <c r="BB82">
        <v>78</v>
      </c>
      <c r="BC82">
        <f t="shared" si="59"/>
        <v>93.6</v>
      </c>
      <c r="BD82" t="s">
        <v>345</v>
      </c>
    </row>
    <row r="83" spans="1:56" x14ac:dyDescent="0.4">
      <c r="A83" s="3">
        <v>79</v>
      </c>
      <c r="B83" s="3">
        <v>79</v>
      </c>
      <c r="C83" s="40">
        <v>731772</v>
      </c>
      <c r="D83" s="4" t="str">
        <f t="shared" si="40"/>
        <v>731772</v>
      </c>
      <c r="E83" s="4">
        <v>731772</v>
      </c>
      <c r="F83" s="4" t="s">
        <v>140</v>
      </c>
      <c r="G83" s="5">
        <v>4902778717790</v>
      </c>
      <c r="H83" s="5"/>
      <c r="I83" s="5"/>
      <c r="J83" s="5">
        <v>2</v>
      </c>
      <c r="K83" s="5">
        <v>2</v>
      </c>
      <c r="L83" s="4">
        <v>100</v>
      </c>
      <c r="M83" s="4">
        <v>79</v>
      </c>
      <c r="N83" s="4">
        <v>51</v>
      </c>
      <c r="O83" s="6">
        <f t="shared" si="41"/>
        <v>0.35443037974683544</v>
      </c>
      <c r="P83" s="4" t="s">
        <v>230</v>
      </c>
      <c r="Q83" s="4" t="s">
        <v>230</v>
      </c>
      <c r="R83" s="4" t="s">
        <v>230</v>
      </c>
      <c r="S83" s="4">
        <v>120</v>
      </c>
      <c r="T83" s="4">
        <f t="shared" si="42"/>
        <v>120</v>
      </c>
      <c r="U83" s="4">
        <v>61.2</v>
      </c>
      <c r="V83" s="4">
        <f t="shared" si="43"/>
        <v>61.2</v>
      </c>
      <c r="W83" s="4"/>
      <c r="X83" s="20">
        <f t="shared" si="44"/>
        <v>95</v>
      </c>
      <c r="Y83" s="6">
        <f t="shared" si="45"/>
        <v>0.35578947368421054</v>
      </c>
      <c r="Z83" s="32">
        <v>38.5</v>
      </c>
      <c r="AA83" s="4">
        <f t="shared" si="46"/>
        <v>78</v>
      </c>
      <c r="AB83" s="32">
        <f t="shared" si="47"/>
        <v>93.6</v>
      </c>
      <c r="AC83" s="6">
        <f t="shared" si="48"/>
        <v>0.34615384615384603</v>
      </c>
      <c r="AD83" s="7">
        <v>93</v>
      </c>
      <c r="AE83" s="6">
        <f t="shared" si="49"/>
        <v>0.34193548387096773</v>
      </c>
      <c r="AF83" s="4">
        <f t="shared" si="50"/>
        <v>31.799999999999997</v>
      </c>
      <c r="AG83" s="27"/>
      <c r="AH83" s="6"/>
      <c r="AI83" s="6"/>
      <c r="AJ83" s="6">
        <f t="shared" si="51"/>
        <v>1.2</v>
      </c>
      <c r="AK83" s="6">
        <f t="shared" si="52"/>
        <v>1.1772151898734178</v>
      </c>
      <c r="AL83" s="6">
        <f t="shared" si="53"/>
        <v>1.2</v>
      </c>
      <c r="AM83" s="4" t="str">
        <f t="shared" si="54"/>
        <v>-</v>
      </c>
      <c r="AN83" s="4" t="str">
        <f t="shared" si="55"/>
        <v>-</v>
      </c>
      <c r="AO83" s="4" t="str">
        <f t="shared" si="56"/>
        <v>-</v>
      </c>
      <c r="AP83" s="4" t="s">
        <v>225</v>
      </c>
      <c r="AQ83" s="4" t="s">
        <v>437</v>
      </c>
      <c r="AR83" s="4"/>
      <c r="AS83" s="4"/>
      <c r="AT83" s="4" t="s">
        <v>349</v>
      </c>
      <c r="AU83" s="4">
        <v>78</v>
      </c>
      <c r="AV83" s="4">
        <f t="shared" si="57"/>
        <v>78</v>
      </c>
      <c r="AW83" s="18">
        <v>4</v>
      </c>
      <c r="AX83" s="18">
        <v>1</v>
      </c>
      <c r="AY83" s="16">
        <v>5</v>
      </c>
      <c r="AZ83">
        <v>70</v>
      </c>
      <c r="BA83">
        <f t="shared" si="58"/>
        <v>84</v>
      </c>
      <c r="BB83">
        <v>74</v>
      </c>
      <c r="BC83">
        <f t="shared" si="59"/>
        <v>88.8</v>
      </c>
      <c r="BD83" t="s">
        <v>308</v>
      </c>
    </row>
    <row r="84" spans="1:56" x14ac:dyDescent="0.4">
      <c r="A84" s="3">
        <v>109</v>
      </c>
      <c r="B84" s="3">
        <v>79</v>
      </c>
      <c r="C84" s="40">
        <v>731772</v>
      </c>
      <c r="D84" s="4" t="str">
        <f t="shared" si="40"/>
        <v>731772</v>
      </c>
      <c r="E84" s="4">
        <v>631301</v>
      </c>
      <c r="F84" s="4" t="s">
        <v>215</v>
      </c>
      <c r="G84" s="5">
        <v>4902778717790</v>
      </c>
      <c r="H84" s="5">
        <v>8</v>
      </c>
      <c r="I84" s="5" t="str">
        <f>C84&amp;H84</f>
        <v>7317728</v>
      </c>
      <c r="J84" s="5"/>
      <c r="K84" s="5"/>
      <c r="L84" s="4">
        <v>0</v>
      </c>
      <c r="M84" s="4">
        <v>757</v>
      </c>
      <c r="N84" s="4">
        <v>510</v>
      </c>
      <c r="O84" s="6">
        <f t="shared" si="41"/>
        <v>0.32628797886393657</v>
      </c>
      <c r="P84" s="4" t="s">
        <v>230</v>
      </c>
      <c r="Q84" s="4" t="s">
        <v>230</v>
      </c>
      <c r="R84" s="4" t="s">
        <v>230</v>
      </c>
      <c r="S84" s="4">
        <v>120</v>
      </c>
      <c r="T84" s="4">
        <f t="shared" si="42"/>
        <v>1200</v>
      </c>
      <c r="U84" s="4">
        <v>61.2</v>
      </c>
      <c r="V84" s="4">
        <f t="shared" si="43"/>
        <v>612</v>
      </c>
      <c r="W84" s="4">
        <v>10</v>
      </c>
      <c r="X84" s="20">
        <f t="shared" si="44"/>
        <v>908</v>
      </c>
      <c r="Y84" s="6">
        <f t="shared" si="45"/>
        <v>0.32599118942731276</v>
      </c>
      <c r="Z84" s="32">
        <v>38.5</v>
      </c>
      <c r="AA84" s="4">
        <f t="shared" si="46"/>
        <v>780</v>
      </c>
      <c r="AB84" s="32">
        <f t="shared" si="47"/>
        <v>936</v>
      </c>
      <c r="AC84" s="6">
        <f t="shared" si="48"/>
        <v>0.34615384615384615</v>
      </c>
      <c r="AD84" s="7">
        <v>883</v>
      </c>
      <c r="AE84" s="6">
        <f t="shared" si="49"/>
        <v>0.30690826727066822</v>
      </c>
      <c r="AF84" s="4">
        <f t="shared" si="50"/>
        <v>271</v>
      </c>
      <c r="AG84" s="27"/>
      <c r="AH84" s="6"/>
      <c r="AI84" s="6"/>
      <c r="AJ84" s="6" t="str">
        <f t="shared" si="51"/>
        <v>-</v>
      </c>
      <c r="AK84" s="6">
        <f t="shared" si="52"/>
        <v>1.1664464993394981</v>
      </c>
      <c r="AL84" s="6">
        <f t="shared" si="53"/>
        <v>1.2</v>
      </c>
      <c r="AM84" s="4" t="str">
        <f t="shared" si="54"/>
        <v>-</v>
      </c>
      <c r="AN84" s="4" t="str">
        <f t="shared" si="55"/>
        <v>-</v>
      </c>
      <c r="AO84" s="4" t="str">
        <f t="shared" si="56"/>
        <v>-</v>
      </c>
      <c r="AP84" s="4" t="s">
        <v>225</v>
      </c>
      <c r="AQ84" s="4" t="s">
        <v>437</v>
      </c>
      <c r="AR84" s="4">
        <v>10</v>
      </c>
      <c r="AS84" s="4">
        <v>1</v>
      </c>
      <c r="AT84" s="4" t="s">
        <v>349</v>
      </c>
      <c r="AU84" s="4">
        <v>78</v>
      </c>
      <c r="AV84" s="4">
        <f t="shared" si="57"/>
        <v>780</v>
      </c>
      <c r="AW84" s="18">
        <v>4</v>
      </c>
      <c r="AX84" s="18">
        <v>1</v>
      </c>
      <c r="AY84" s="16">
        <v>5</v>
      </c>
      <c r="AZ84">
        <v>70</v>
      </c>
      <c r="BA84">
        <f t="shared" si="58"/>
        <v>84</v>
      </c>
      <c r="BB84">
        <v>74</v>
      </c>
      <c r="BC84">
        <f t="shared" si="59"/>
        <v>88.8</v>
      </c>
      <c r="BD84" t="s">
        <v>308</v>
      </c>
    </row>
    <row r="85" spans="1:56" x14ac:dyDescent="0.4">
      <c r="A85" s="3">
        <v>80</v>
      </c>
      <c r="B85" s="3">
        <v>80</v>
      </c>
      <c r="C85" s="40">
        <v>731781</v>
      </c>
      <c r="D85" s="4" t="str">
        <f t="shared" si="40"/>
        <v>731781</v>
      </c>
      <c r="E85" s="4">
        <v>731781</v>
      </c>
      <c r="F85" s="4" t="s">
        <v>141</v>
      </c>
      <c r="G85" s="5">
        <v>4902778717806</v>
      </c>
      <c r="H85" s="5"/>
      <c r="I85" s="5"/>
      <c r="J85" s="5">
        <v>2</v>
      </c>
      <c r="K85" s="5">
        <v>2</v>
      </c>
      <c r="L85" s="4">
        <v>100</v>
      </c>
      <c r="M85" s="4">
        <v>79</v>
      </c>
      <c r="N85" s="4">
        <v>51</v>
      </c>
      <c r="O85" s="6">
        <f t="shared" si="41"/>
        <v>0.35443037974683544</v>
      </c>
      <c r="P85" s="4" t="s">
        <v>230</v>
      </c>
      <c r="Q85" s="4" t="s">
        <v>230</v>
      </c>
      <c r="R85" s="4" t="s">
        <v>230</v>
      </c>
      <c r="S85" s="4">
        <v>120</v>
      </c>
      <c r="T85" s="4">
        <f t="shared" si="42"/>
        <v>120</v>
      </c>
      <c r="U85" s="4">
        <v>61.2</v>
      </c>
      <c r="V85" s="4">
        <f t="shared" si="43"/>
        <v>61.2</v>
      </c>
      <c r="W85" s="4"/>
      <c r="X85" s="20">
        <f t="shared" si="44"/>
        <v>95</v>
      </c>
      <c r="Y85" s="6">
        <f t="shared" si="45"/>
        <v>0.35578947368421054</v>
      </c>
      <c r="Z85" s="32">
        <v>173.5</v>
      </c>
      <c r="AA85" s="4">
        <f t="shared" si="46"/>
        <v>78</v>
      </c>
      <c r="AB85" s="32">
        <f t="shared" si="47"/>
        <v>93.6</v>
      </c>
      <c r="AC85" s="6">
        <f t="shared" si="48"/>
        <v>0.34615384615384603</v>
      </c>
      <c r="AD85" s="7">
        <v>93</v>
      </c>
      <c r="AE85" s="6">
        <f t="shared" si="49"/>
        <v>0.34193548387096773</v>
      </c>
      <c r="AF85" s="4">
        <f t="shared" si="50"/>
        <v>31.799999999999997</v>
      </c>
      <c r="AG85" s="27"/>
      <c r="AH85" s="6"/>
      <c r="AI85" s="6"/>
      <c r="AJ85" s="6">
        <f t="shared" si="51"/>
        <v>1.2</v>
      </c>
      <c r="AK85" s="6">
        <f t="shared" si="52"/>
        <v>1.1772151898734178</v>
      </c>
      <c r="AL85" s="6">
        <f t="shared" si="53"/>
        <v>1.2</v>
      </c>
      <c r="AM85" s="4" t="str">
        <f t="shared" si="54"/>
        <v>-</v>
      </c>
      <c r="AN85" s="4" t="str">
        <f t="shared" si="55"/>
        <v>-</v>
      </c>
      <c r="AO85" s="4" t="str">
        <f t="shared" si="56"/>
        <v>-</v>
      </c>
      <c r="AP85" s="4" t="s">
        <v>225</v>
      </c>
      <c r="AQ85" s="4" t="s">
        <v>438</v>
      </c>
      <c r="AR85" s="4"/>
      <c r="AS85" s="4"/>
      <c r="AT85" s="4" t="s">
        <v>349</v>
      </c>
      <c r="AU85" s="4">
        <v>78</v>
      </c>
      <c r="AV85" s="4">
        <f t="shared" si="57"/>
        <v>78</v>
      </c>
      <c r="AW85" s="18">
        <v>4</v>
      </c>
      <c r="AX85" s="18">
        <v>1</v>
      </c>
      <c r="AY85" s="16">
        <v>5</v>
      </c>
      <c r="AZ85">
        <v>70</v>
      </c>
      <c r="BA85">
        <f t="shared" si="58"/>
        <v>84</v>
      </c>
      <c r="BB85">
        <v>74</v>
      </c>
      <c r="BC85">
        <f t="shared" si="59"/>
        <v>88.8</v>
      </c>
      <c r="BD85" t="s">
        <v>309</v>
      </c>
    </row>
    <row r="86" spans="1:56" x14ac:dyDescent="0.4">
      <c r="A86" s="3">
        <v>109</v>
      </c>
      <c r="B86" s="3">
        <v>80</v>
      </c>
      <c r="C86" s="40">
        <v>731781</v>
      </c>
      <c r="D86" s="4" t="str">
        <f t="shared" si="40"/>
        <v>731781</v>
      </c>
      <c r="E86" s="4">
        <v>628349</v>
      </c>
      <c r="F86" s="4" t="s">
        <v>216</v>
      </c>
      <c r="G86" s="5">
        <v>4902778717806</v>
      </c>
      <c r="H86" s="5">
        <v>8</v>
      </c>
      <c r="I86" s="5" t="str">
        <f>C86&amp;H86</f>
        <v>7317818</v>
      </c>
      <c r="J86" s="5"/>
      <c r="K86" s="5"/>
      <c r="L86" s="4">
        <v>0</v>
      </c>
      <c r="M86" s="4">
        <v>757</v>
      </c>
      <c r="N86" s="4">
        <v>510</v>
      </c>
      <c r="O86" s="6">
        <f t="shared" si="41"/>
        <v>0.32628797886393657</v>
      </c>
      <c r="P86" s="4" t="s">
        <v>230</v>
      </c>
      <c r="Q86" s="4" t="s">
        <v>230</v>
      </c>
      <c r="R86" s="4" t="s">
        <v>230</v>
      </c>
      <c r="S86" s="4">
        <v>120</v>
      </c>
      <c r="T86" s="4">
        <f t="shared" si="42"/>
        <v>1200</v>
      </c>
      <c r="U86" s="4">
        <v>61.2</v>
      </c>
      <c r="V86" s="4">
        <f t="shared" si="43"/>
        <v>612</v>
      </c>
      <c r="W86" s="4">
        <v>10</v>
      </c>
      <c r="X86" s="20">
        <f t="shared" si="44"/>
        <v>908</v>
      </c>
      <c r="Y86" s="6">
        <f t="shared" si="45"/>
        <v>0.32599118942731276</v>
      </c>
      <c r="Z86" s="32">
        <v>173.5</v>
      </c>
      <c r="AA86" s="4">
        <f t="shared" si="46"/>
        <v>780</v>
      </c>
      <c r="AB86" s="32">
        <f t="shared" si="47"/>
        <v>936</v>
      </c>
      <c r="AC86" s="6">
        <f t="shared" si="48"/>
        <v>0.34615384615384615</v>
      </c>
      <c r="AD86" s="7">
        <v>883</v>
      </c>
      <c r="AE86" s="6">
        <f t="shared" si="49"/>
        <v>0.30690826727066822</v>
      </c>
      <c r="AF86" s="4">
        <f t="shared" si="50"/>
        <v>271</v>
      </c>
      <c r="AG86" s="27"/>
      <c r="AH86" s="6"/>
      <c r="AI86" s="6"/>
      <c r="AJ86" s="6" t="str">
        <f t="shared" si="51"/>
        <v>-</v>
      </c>
      <c r="AK86" s="6">
        <f t="shared" si="52"/>
        <v>1.1664464993394981</v>
      </c>
      <c r="AL86" s="6">
        <f t="shared" si="53"/>
        <v>1.2</v>
      </c>
      <c r="AM86" s="4" t="str">
        <f t="shared" si="54"/>
        <v>-</v>
      </c>
      <c r="AN86" s="4" t="str">
        <f t="shared" si="55"/>
        <v>-</v>
      </c>
      <c r="AO86" s="4" t="str">
        <f t="shared" si="56"/>
        <v>-</v>
      </c>
      <c r="AP86" s="4" t="s">
        <v>225</v>
      </c>
      <c r="AQ86" s="4" t="s">
        <v>438</v>
      </c>
      <c r="AR86" s="4">
        <v>10</v>
      </c>
      <c r="AS86" s="4">
        <v>1</v>
      </c>
      <c r="AT86" s="4" t="s">
        <v>349</v>
      </c>
      <c r="AU86" s="4">
        <v>78</v>
      </c>
      <c r="AV86" s="4">
        <f t="shared" si="57"/>
        <v>780</v>
      </c>
      <c r="AW86" s="18">
        <v>4</v>
      </c>
      <c r="AX86" s="18">
        <v>1</v>
      </c>
      <c r="AY86" s="16">
        <v>5</v>
      </c>
      <c r="AZ86">
        <v>70</v>
      </c>
      <c r="BA86">
        <f t="shared" si="58"/>
        <v>84</v>
      </c>
      <c r="BB86">
        <v>74</v>
      </c>
      <c r="BC86">
        <f t="shared" si="59"/>
        <v>88.8</v>
      </c>
      <c r="BD86" t="s">
        <v>309</v>
      </c>
    </row>
    <row r="87" spans="1:56" x14ac:dyDescent="0.4">
      <c r="A87" s="3">
        <v>81</v>
      </c>
      <c r="B87" s="3">
        <v>81</v>
      </c>
      <c r="C87" s="40">
        <v>731808</v>
      </c>
      <c r="D87" s="4" t="str">
        <f t="shared" si="40"/>
        <v>731808</v>
      </c>
      <c r="E87" s="4">
        <v>731808</v>
      </c>
      <c r="F87" s="4" t="s">
        <v>142</v>
      </c>
      <c r="G87" s="5">
        <v>4902778717844</v>
      </c>
      <c r="H87" s="5"/>
      <c r="I87" s="5"/>
      <c r="J87" s="5">
        <v>2</v>
      </c>
      <c r="K87" s="5">
        <v>2</v>
      </c>
      <c r="L87" s="4">
        <v>100</v>
      </c>
      <c r="M87" s="4">
        <v>79</v>
      </c>
      <c r="N87" s="4">
        <v>51</v>
      </c>
      <c r="O87" s="6">
        <f t="shared" si="41"/>
        <v>0.35443037974683544</v>
      </c>
      <c r="P87" s="4" t="s">
        <v>230</v>
      </c>
      <c r="Q87" s="4" t="s">
        <v>230</v>
      </c>
      <c r="R87" s="4" t="s">
        <v>230</v>
      </c>
      <c r="S87" s="4">
        <v>120</v>
      </c>
      <c r="T87" s="4">
        <f t="shared" si="42"/>
        <v>120</v>
      </c>
      <c r="U87" s="4">
        <v>61.2</v>
      </c>
      <c r="V87" s="4">
        <f t="shared" si="43"/>
        <v>61.2</v>
      </c>
      <c r="W87" s="4"/>
      <c r="X87" s="20">
        <f t="shared" si="44"/>
        <v>95</v>
      </c>
      <c r="Y87" s="6">
        <f t="shared" si="45"/>
        <v>0.35578947368421054</v>
      </c>
      <c r="Z87" s="32">
        <v>47.75</v>
      </c>
      <c r="AA87" s="4">
        <f t="shared" si="46"/>
        <v>95</v>
      </c>
      <c r="AB87" s="32">
        <f t="shared" si="47"/>
        <v>114</v>
      </c>
      <c r="AC87" s="6">
        <f t="shared" si="48"/>
        <v>0.4631578947368421</v>
      </c>
      <c r="AD87" s="7">
        <v>93</v>
      </c>
      <c r="AE87" s="6">
        <f t="shared" si="49"/>
        <v>0.34193548387096773</v>
      </c>
      <c r="AF87" s="4">
        <f t="shared" si="50"/>
        <v>31.799999999999997</v>
      </c>
      <c r="AG87" s="27"/>
      <c r="AH87" s="6"/>
      <c r="AI87" s="6"/>
      <c r="AJ87" s="6">
        <f t="shared" si="51"/>
        <v>1.2</v>
      </c>
      <c r="AK87" s="6">
        <f t="shared" si="52"/>
        <v>1.1772151898734178</v>
      </c>
      <c r="AL87" s="6">
        <f t="shared" si="53"/>
        <v>1.2</v>
      </c>
      <c r="AM87" s="4" t="str">
        <f t="shared" si="54"/>
        <v>-</v>
      </c>
      <c r="AN87" s="4" t="str">
        <f t="shared" si="55"/>
        <v>-</v>
      </c>
      <c r="AO87" s="4" t="str">
        <f t="shared" si="56"/>
        <v>-</v>
      </c>
      <c r="AP87" s="4" t="s">
        <v>225</v>
      </c>
      <c r="AQ87" s="4" t="s">
        <v>439</v>
      </c>
      <c r="AR87" s="4">
        <v>1</v>
      </c>
      <c r="AS87" s="4">
        <v>3</v>
      </c>
      <c r="AT87" s="4" t="s">
        <v>396</v>
      </c>
      <c r="AU87" s="4">
        <v>285</v>
      </c>
      <c r="AV87" s="4">
        <f t="shared" si="57"/>
        <v>95</v>
      </c>
      <c r="AW87" s="18">
        <v>4</v>
      </c>
      <c r="AX87" s="18">
        <v>1</v>
      </c>
      <c r="AY87" s="16">
        <v>5</v>
      </c>
      <c r="AZ87">
        <v>70</v>
      </c>
      <c r="BA87">
        <f t="shared" si="58"/>
        <v>84</v>
      </c>
      <c r="BB87">
        <v>95</v>
      </c>
      <c r="BC87">
        <f t="shared" si="59"/>
        <v>114</v>
      </c>
      <c r="BD87" t="s">
        <v>310</v>
      </c>
    </row>
    <row r="88" spans="1:56" x14ac:dyDescent="0.4">
      <c r="A88" s="3">
        <v>109</v>
      </c>
      <c r="B88" s="3">
        <v>81</v>
      </c>
      <c r="C88" s="40">
        <v>731808</v>
      </c>
      <c r="D88" s="4" t="str">
        <f t="shared" si="40"/>
        <v>731808</v>
      </c>
      <c r="E88" s="4">
        <v>631302</v>
      </c>
      <c r="F88" s="4" t="s">
        <v>217</v>
      </c>
      <c r="G88" s="5">
        <v>4902778717844</v>
      </c>
      <c r="H88" s="5">
        <v>8</v>
      </c>
      <c r="I88" s="5" t="str">
        <f>C88&amp;H88</f>
        <v>7318088</v>
      </c>
      <c r="J88" s="5"/>
      <c r="K88" s="5"/>
      <c r="L88" s="4">
        <v>0</v>
      </c>
      <c r="M88" s="4">
        <v>757</v>
      </c>
      <c r="N88" s="4">
        <v>510</v>
      </c>
      <c r="O88" s="6">
        <f t="shared" si="41"/>
        <v>0.32628797886393657</v>
      </c>
      <c r="P88" s="4" t="s">
        <v>230</v>
      </c>
      <c r="Q88" s="4" t="s">
        <v>230</v>
      </c>
      <c r="R88" s="4" t="s">
        <v>230</v>
      </c>
      <c r="S88" s="4">
        <v>120</v>
      </c>
      <c r="T88" s="4">
        <f t="shared" si="42"/>
        <v>1200</v>
      </c>
      <c r="U88" s="4">
        <v>61.2</v>
      </c>
      <c r="V88" s="4">
        <f t="shared" si="43"/>
        <v>612</v>
      </c>
      <c r="W88" s="4">
        <v>10</v>
      </c>
      <c r="X88" s="20">
        <f t="shared" si="44"/>
        <v>908</v>
      </c>
      <c r="Y88" s="6">
        <f t="shared" si="45"/>
        <v>0.32599118942731276</v>
      </c>
      <c r="Z88" s="32">
        <v>47.75</v>
      </c>
      <c r="AA88" s="4">
        <f t="shared" si="46"/>
        <v>950</v>
      </c>
      <c r="AB88" s="32">
        <f t="shared" si="47"/>
        <v>1140</v>
      </c>
      <c r="AC88" s="6">
        <f t="shared" si="48"/>
        <v>0.4631578947368421</v>
      </c>
      <c r="AD88" s="7">
        <v>883</v>
      </c>
      <c r="AE88" s="6">
        <f t="shared" si="49"/>
        <v>0.30690826727066822</v>
      </c>
      <c r="AF88" s="4">
        <f t="shared" si="50"/>
        <v>271</v>
      </c>
      <c r="AG88" s="27"/>
      <c r="AH88" s="6"/>
      <c r="AI88" s="6"/>
      <c r="AJ88" s="6" t="str">
        <f t="shared" si="51"/>
        <v>-</v>
      </c>
      <c r="AK88" s="6">
        <f t="shared" si="52"/>
        <v>1.1664464993394981</v>
      </c>
      <c r="AL88" s="6">
        <f t="shared" si="53"/>
        <v>1.2</v>
      </c>
      <c r="AM88" s="4" t="str">
        <f t="shared" si="54"/>
        <v>-</v>
      </c>
      <c r="AN88" s="4" t="str">
        <f t="shared" si="55"/>
        <v>-</v>
      </c>
      <c r="AO88" s="4" t="str">
        <f t="shared" si="56"/>
        <v>-</v>
      </c>
      <c r="AP88" s="4" t="s">
        <v>225</v>
      </c>
      <c r="AQ88" s="4" t="s">
        <v>439</v>
      </c>
      <c r="AR88" s="4">
        <v>10</v>
      </c>
      <c r="AS88" s="4">
        <v>3</v>
      </c>
      <c r="AT88" s="4" t="s">
        <v>396</v>
      </c>
      <c r="AU88" s="4">
        <v>285</v>
      </c>
      <c r="AV88" s="4">
        <f t="shared" si="57"/>
        <v>950</v>
      </c>
      <c r="AW88" s="18">
        <v>4</v>
      </c>
      <c r="AX88" s="18">
        <v>1</v>
      </c>
      <c r="AY88" s="16">
        <v>5</v>
      </c>
      <c r="AZ88">
        <v>70</v>
      </c>
      <c r="BA88">
        <f t="shared" si="58"/>
        <v>84</v>
      </c>
      <c r="BB88">
        <v>95</v>
      </c>
      <c r="BC88">
        <f t="shared" si="59"/>
        <v>114</v>
      </c>
      <c r="BD88" t="s">
        <v>310</v>
      </c>
    </row>
    <row r="89" spans="1:56" x14ac:dyDescent="0.4">
      <c r="A89" s="3">
        <v>82</v>
      </c>
      <c r="B89" s="3">
        <v>82</v>
      </c>
      <c r="C89" s="40">
        <v>746163</v>
      </c>
      <c r="D89" s="4" t="str">
        <f t="shared" si="40"/>
        <v>746163</v>
      </c>
      <c r="E89" s="4">
        <v>746163</v>
      </c>
      <c r="F89" s="4" t="s">
        <v>143</v>
      </c>
      <c r="G89" s="5">
        <v>4902778717233</v>
      </c>
      <c r="H89" s="5"/>
      <c r="I89" s="5"/>
      <c r="J89" s="5">
        <v>2</v>
      </c>
      <c r="K89" s="5">
        <v>2</v>
      </c>
      <c r="L89" s="4">
        <v>100</v>
      </c>
      <c r="M89" s="4">
        <v>79</v>
      </c>
      <c r="N89" s="4">
        <v>51</v>
      </c>
      <c r="O89" s="6">
        <f t="shared" si="41"/>
        <v>0.35443037974683544</v>
      </c>
      <c r="P89" s="4" t="s">
        <v>230</v>
      </c>
      <c r="Q89" s="4" t="s">
        <v>230</v>
      </c>
      <c r="R89" s="4" t="s">
        <v>230</v>
      </c>
      <c r="S89" s="4">
        <v>120</v>
      </c>
      <c r="T89" s="4">
        <f t="shared" si="42"/>
        <v>120</v>
      </c>
      <c r="U89" s="4">
        <v>61.2</v>
      </c>
      <c r="V89" s="4">
        <f t="shared" si="43"/>
        <v>61.2</v>
      </c>
      <c r="W89" s="4"/>
      <c r="X89" s="20">
        <f t="shared" si="44"/>
        <v>95</v>
      </c>
      <c r="Y89" s="6">
        <f t="shared" si="45"/>
        <v>0.35578947368421054</v>
      </c>
      <c r="Z89" s="32">
        <v>16.75</v>
      </c>
      <c r="AA89" s="4">
        <f t="shared" si="46"/>
        <v>78</v>
      </c>
      <c r="AB89" s="32">
        <f t="shared" si="47"/>
        <v>93.6</v>
      </c>
      <c r="AC89" s="6">
        <f t="shared" si="48"/>
        <v>0.34615384615384603</v>
      </c>
      <c r="AD89" s="7">
        <v>93</v>
      </c>
      <c r="AE89" s="6">
        <f t="shared" si="49"/>
        <v>0.34193548387096773</v>
      </c>
      <c r="AF89" s="4">
        <f t="shared" si="50"/>
        <v>31.799999999999997</v>
      </c>
      <c r="AG89" s="27"/>
      <c r="AH89" s="6"/>
      <c r="AI89" s="6"/>
      <c r="AJ89" s="6">
        <f t="shared" si="51"/>
        <v>1.2</v>
      </c>
      <c r="AK89" s="6">
        <f t="shared" si="52"/>
        <v>1.1772151898734178</v>
      </c>
      <c r="AL89" s="6">
        <f t="shared" si="53"/>
        <v>1.2</v>
      </c>
      <c r="AM89" s="4" t="str">
        <f t="shared" si="54"/>
        <v>-</v>
      </c>
      <c r="AN89" s="4" t="str">
        <f t="shared" si="55"/>
        <v>-</v>
      </c>
      <c r="AO89" s="4" t="str">
        <f t="shared" si="56"/>
        <v>-</v>
      </c>
      <c r="AP89" s="4" t="s">
        <v>225</v>
      </c>
      <c r="AQ89" s="4" t="s">
        <v>440</v>
      </c>
      <c r="AR89" s="4"/>
      <c r="AS89" s="4"/>
      <c r="AT89" s="4" t="s">
        <v>349</v>
      </c>
      <c r="AU89" s="4">
        <v>78</v>
      </c>
      <c r="AV89" s="4">
        <f t="shared" si="57"/>
        <v>78</v>
      </c>
      <c r="AW89" s="18">
        <v>4</v>
      </c>
      <c r="AX89" s="18">
        <v>1</v>
      </c>
      <c r="AY89" s="16">
        <v>5</v>
      </c>
      <c r="AZ89" t="s">
        <v>230</v>
      </c>
      <c r="BA89" t="str">
        <f t="shared" si="58"/>
        <v>-</v>
      </c>
      <c r="BB89">
        <v>78</v>
      </c>
      <c r="BC89">
        <f t="shared" si="59"/>
        <v>93.6</v>
      </c>
      <c r="BD89" t="s">
        <v>311</v>
      </c>
    </row>
    <row r="90" spans="1:56" x14ac:dyDescent="0.4">
      <c r="A90" s="3">
        <v>109</v>
      </c>
      <c r="B90" s="3">
        <v>82</v>
      </c>
      <c r="C90" s="40">
        <v>746163</v>
      </c>
      <c r="D90" s="4" t="str">
        <f t="shared" si="40"/>
        <v>746163</v>
      </c>
      <c r="E90" s="4">
        <v>631300</v>
      </c>
      <c r="F90" s="4" t="s">
        <v>218</v>
      </c>
      <c r="G90" s="5">
        <v>4902778717233</v>
      </c>
      <c r="H90" s="5">
        <v>8</v>
      </c>
      <c r="I90" s="5" t="str">
        <f>C90&amp;H90</f>
        <v>7461638</v>
      </c>
      <c r="J90" s="5"/>
      <c r="K90" s="5"/>
      <c r="L90" s="4">
        <v>0</v>
      </c>
      <c r="M90" s="4">
        <v>757</v>
      </c>
      <c r="N90" s="4">
        <v>510</v>
      </c>
      <c r="O90" s="6">
        <f t="shared" si="41"/>
        <v>0.32628797886393657</v>
      </c>
      <c r="P90" s="4" t="s">
        <v>230</v>
      </c>
      <c r="Q90" s="4" t="s">
        <v>230</v>
      </c>
      <c r="R90" s="4" t="s">
        <v>230</v>
      </c>
      <c r="S90" s="4">
        <v>120</v>
      </c>
      <c r="T90" s="4">
        <f t="shared" si="42"/>
        <v>1200</v>
      </c>
      <c r="U90" s="4">
        <v>61.2</v>
      </c>
      <c r="V90" s="4">
        <f t="shared" si="43"/>
        <v>612</v>
      </c>
      <c r="W90" s="4">
        <v>10</v>
      </c>
      <c r="X90" s="20">
        <f t="shared" si="44"/>
        <v>908</v>
      </c>
      <c r="Y90" s="6">
        <f t="shared" si="45"/>
        <v>0.32599118942731276</v>
      </c>
      <c r="Z90" s="32">
        <v>16.75</v>
      </c>
      <c r="AA90" s="4">
        <f t="shared" si="46"/>
        <v>780</v>
      </c>
      <c r="AB90" s="32">
        <f t="shared" si="47"/>
        <v>936</v>
      </c>
      <c r="AC90" s="6">
        <f t="shared" si="48"/>
        <v>0.34615384615384615</v>
      </c>
      <c r="AD90" s="7">
        <v>883</v>
      </c>
      <c r="AE90" s="6">
        <f t="shared" si="49"/>
        <v>0.30690826727066822</v>
      </c>
      <c r="AF90" s="4">
        <f t="shared" si="50"/>
        <v>271</v>
      </c>
      <c r="AG90" s="27"/>
      <c r="AH90" s="6"/>
      <c r="AI90" s="6"/>
      <c r="AJ90" s="6" t="str">
        <f t="shared" si="51"/>
        <v>-</v>
      </c>
      <c r="AK90" s="6">
        <f t="shared" si="52"/>
        <v>1.1664464993394981</v>
      </c>
      <c r="AL90" s="6">
        <f t="shared" si="53"/>
        <v>1.2</v>
      </c>
      <c r="AM90" s="4" t="str">
        <f t="shared" si="54"/>
        <v>-</v>
      </c>
      <c r="AN90" s="4" t="str">
        <f t="shared" si="55"/>
        <v>-</v>
      </c>
      <c r="AO90" s="4" t="str">
        <f t="shared" si="56"/>
        <v>-</v>
      </c>
      <c r="AP90" s="4" t="s">
        <v>225</v>
      </c>
      <c r="AQ90" s="4" t="s">
        <v>440</v>
      </c>
      <c r="AR90" s="4">
        <v>10</v>
      </c>
      <c r="AS90" s="4">
        <v>1</v>
      </c>
      <c r="AT90" s="4" t="s">
        <v>349</v>
      </c>
      <c r="AU90" s="4">
        <v>78</v>
      </c>
      <c r="AV90" s="4">
        <f t="shared" si="57"/>
        <v>780</v>
      </c>
      <c r="AW90" s="18">
        <v>4</v>
      </c>
      <c r="AX90" s="18">
        <v>1</v>
      </c>
      <c r="AY90" s="16">
        <v>5</v>
      </c>
      <c r="AZ90" t="s">
        <v>230</v>
      </c>
      <c r="BA90" t="str">
        <f t="shared" si="58"/>
        <v>-</v>
      </c>
      <c r="BB90">
        <v>78</v>
      </c>
      <c r="BC90">
        <f t="shared" si="59"/>
        <v>93.6</v>
      </c>
      <c r="BD90" t="s">
        <v>311</v>
      </c>
    </row>
    <row r="91" spans="1:56" x14ac:dyDescent="0.4">
      <c r="A91" s="3">
        <v>86</v>
      </c>
      <c r="B91" s="3">
        <v>86</v>
      </c>
      <c r="C91" s="40">
        <v>731817</v>
      </c>
      <c r="D91" s="4" t="str">
        <f t="shared" si="40"/>
        <v>731817</v>
      </c>
      <c r="E91" s="4">
        <v>731817</v>
      </c>
      <c r="F91" s="4" t="s">
        <v>147</v>
      </c>
      <c r="G91" s="5">
        <v>4902778717851</v>
      </c>
      <c r="H91" s="5"/>
      <c r="I91" s="5"/>
      <c r="J91" s="5">
        <v>2</v>
      </c>
      <c r="K91" s="5">
        <v>2</v>
      </c>
      <c r="L91" s="4">
        <v>100</v>
      </c>
      <c r="M91" s="4">
        <v>79</v>
      </c>
      <c r="N91" s="4">
        <v>51</v>
      </c>
      <c r="O91" s="6">
        <f t="shared" si="41"/>
        <v>0.35443037974683544</v>
      </c>
      <c r="P91" s="4" t="s">
        <v>230</v>
      </c>
      <c r="Q91" s="4" t="s">
        <v>230</v>
      </c>
      <c r="R91" s="4" t="s">
        <v>230</v>
      </c>
      <c r="S91" s="4">
        <v>120</v>
      </c>
      <c r="T91" s="4">
        <f t="shared" si="42"/>
        <v>120</v>
      </c>
      <c r="U91" s="4">
        <v>61.2</v>
      </c>
      <c r="V91" s="4">
        <f t="shared" si="43"/>
        <v>61.2</v>
      </c>
      <c r="W91" s="4"/>
      <c r="X91" s="20">
        <f t="shared" si="44"/>
        <v>95</v>
      </c>
      <c r="Y91" s="6">
        <f t="shared" si="45"/>
        <v>0.35578947368421054</v>
      </c>
      <c r="Z91" s="32">
        <v>55.000000000000007</v>
      </c>
      <c r="AA91" s="4">
        <f t="shared" si="46"/>
        <v>95</v>
      </c>
      <c r="AB91" s="32">
        <f t="shared" si="47"/>
        <v>114</v>
      </c>
      <c r="AC91" s="6">
        <f t="shared" si="48"/>
        <v>0.4631578947368421</v>
      </c>
      <c r="AD91" s="7">
        <v>93</v>
      </c>
      <c r="AE91" s="6">
        <f t="shared" si="49"/>
        <v>0.34193548387096773</v>
      </c>
      <c r="AF91" s="4">
        <f t="shared" si="50"/>
        <v>31.799999999999997</v>
      </c>
      <c r="AG91" s="27"/>
      <c r="AH91" s="6"/>
      <c r="AI91" s="6"/>
      <c r="AJ91" s="6">
        <f t="shared" si="51"/>
        <v>1.2</v>
      </c>
      <c r="AK91" s="6">
        <f t="shared" si="52"/>
        <v>1.1772151898734178</v>
      </c>
      <c r="AL91" s="6">
        <f t="shared" si="53"/>
        <v>1.2</v>
      </c>
      <c r="AM91" s="4" t="str">
        <f t="shared" si="54"/>
        <v>-</v>
      </c>
      <c r="AN91" s="4" t="str">
        <f t="shared" si="55"/>
        <v>-</v>
      </c>
      <c r="AO91" s="4" t="str">
        <f t="shared" si="56"/>
        <v>-</v>
      </c>
      <c r="AP91" s="4" t="s">
        <v>225</v>
      </c>
      <c r="AQ91" s="4" t="s">
        <v>444</v>
      </c>
      <c r="AR91" s="4">
        <v>1</v>
      </c>
      <c r="AS91" s="4">
        <v>3</v>
      </c>
      <c r="AT91" s="4" t="s">
        <v>396</v>
      </c>
      <c r="AU91" s="4">
        <v>285</v>
      </c>
      <c r="AV91" s="4">
        <f t="shared" si="57"/>
        <v>95</v>
      </c>
      <c r="AW91" s="18">
        <v>4</v>
      </c>
      <c r="AX91" s="18">
        <v>1</v>
      </c>
      <c r="AY91" s="16">
        <v>5</v>
      </c>
      <c r="AZ91">
        <v>70</v>
      </c>
      <c r="BA91">
        <f t="shared" si="58"/>
        <v>84</v>
      </c>
      <c r="BB91">
        <v>95</v>
      </c>
      <c r="BC91">
        <f t="shared" si="59"/>
        <v>114</v>
      </c>
      <c r="BD91" t="s">
        <v>315</v>
      </c>
    </row>
    <row r="92" spans="1:56" x14ac:dyDescent="0.4">
      <c r="A92" s="3">
        <v>109</v>
      </c>
      <c r="B92" s="3">
        <v>86</v>
      </c>
      <c r="C92" s="40">
        <v>731817</v>
      </c>
      <c r="D92" s="4" t="str">
        <f t="shared" si="40"/>
        <v>731817</v>
      </c>
      <c r="E92" s="4">
        <v>628350</v>
      </c>
      <c r="F92" s="4" t="s">
        <v>219</v>
      </c>
      <c r="G92" s="5">
        <v>4902778717851</v>
      </c>
      <c r="H92" s="5">
        <v>8</v>
      </c>
      <c r="I92" s="5" t="str">
        <f>C92&amp;H92</f>
        <v>7318178</v>
      </c>
      <c r="J92" s="5"/>
      <c r="K92" s="5"/>
      <c r="L92" s="4">
        <v>0</v>
      </c>
      <c r="M92" s="4">
        <v>757</v>
      </c>
      <c r="N92" s="4">
        <v>510</v>
      </c>
      <c r="O92" s="6">
        <f t="shared" si="41"/>
        <v>0.32628797886393657</v>
      </c>
      <c r="P92" s="4" t="s">
        <v>230</v>
      </c>
      <c r="Q92" s="4" t="s">
        <v>230</v>
      </c>
      <c r="R92" s="4" t="s">
        <v>230</v>
      </c>
      <c r="S92" s="4">
        <v>120</v>
      </c>
      <c r="T92" s="4">
        <f t="shared" si="42"/>
        <v>1200</v>
      </c>
      <c r="U92" s="4">
        <v>61.2</v>
      </c>
      <c r="V92" s="4">
        <f t="shared" si="43"/>
        <v>612</v>
      </c>
      <c r="W92" s="4">
        <v>10</v>
      </c>
      <c r="X92" s="20">
        <f t="shared" si="44"/>
        <v>908</v>
      </c>
      <c r="Y92" s="6">
        <f t="shared" si="45"/>
        <v>0.32599118942731276</v>
      </c>
      <c r="Z92" s="32">
        <v>55.000000000000007</v>
      </c>
      <c r="AA92" s="4">
        <f t="shared" si="46"/>
        <v>950</v>
      </c>
      <c r="AB92" s="32">
        <f t="shared" si="47"/>
        <v>1140</v>
      </c>
      <c r="AC92" s="6">
        <f t="shared" si="48"/>
        <v>0.4631578947368421</v>
      </c>
      <c r="AD92" s="7">
        <v>883</v>
      </c>
      <c r="AE92" s="6">
        <f t="shared" si="49"/>
        <v>0.30690826727066822</v>
      </c>
      <c r="AF92" s="4">
        <f t="shared" si="50"/>
        <v>271</v>
      </c>
      <c r="AG92" s="27"/>
      <c r="AH92" s="6"/>
      <c r="AI92" s="6"/>
      <c r="AJ92" s="6" t="str">
        <f t="shared" si="51"/>
        <v>-</v>
      </c>
      <c r="AK92" s="6">
        <f t="shared" si="52"/>
        <v>1.1664464993394981</v>
      </c>
      <c r="AL92" s="6">
        <f t="shared" si="53"/>
        <v>1.2</v>
      </c>
      <c r="AM92" s="4" t="str">
        <f t="shared" si="54"/>
        <v>-</v>
      </c>
      <c r="AN92" s="4" t="str">
        <f t="shared" si="55"/>
        <v>-</v>
      </c>
      <c r="AO92" s="4" t="str">
        <f t="shared" si="56"/>
        <v>-</v>
      </c>
      <c r="AP92" s="4" t="s">
        <v>225</v>
      </c>
      <c r="AQ92" s="4" t="s">
        <v>444</v>
      </c>
      <c r="AR92" s="4">
        <v>10</v>
      </c>
      <c r="AS92" s="4">
        <v>3</v>
      </c>
      <c r="AT92" s="4" t="s">
        <v>396</v>
      </c>
      <c r="AU92" s="4">
        <v>285</v>
      </c>
      <c r="AV92" s="4">
        <f t="shared" si="57"/>
        <v>950</v>
      </c>
      <c r="AW92" s="18">
        <v>4</v>
      </c>
      <c r="AX92" s="18">
        <v>1</v>
      </c>
      <c r="AY92" s="16">
        <v>5</v>
      </c>
      <c r="AZ92">
        <v>70</v>
      </c>
      <c r="BA92">
        <f t="shared" si="58"/>
        <v>84</v>
      </c>
      <c r="BB92">
        <v>95</v>
      </c>
      <c r="BC92">
        <f t="shared" si="59"/>
        <v>114</v>
      </c>
      <c r="BD92" t="s">
        <v>315</v>
      </c>
    </row>
    <row r="93" spans="1:56" x14ac:dyDescent="0.4">
      <c r="A93" s="3">
        <v>98</v>
      </c>
      <c r="B93" s="3">
        <v>98</v>
      </c>
      <c r="C93" s="4" t="s">
        <v>61</v>
      </c>
      <c r="D93" s="4" t="str">
        <f t="shared" si="40"/>
        <v>J706WK</v>
      </c>
      <c r="E93" s="4" t="s">
        <v>61</v>
      </c>
      <c r="F93" s="4" t="s">
        <v>159</v>
      </c>
      <c r="G93" s="5">
        <v>4902778725283</v>
      </c>
      <c r="H93" s="5"/>
      <c r="I93" s="5"/>
      <c r="J93" s="5">
        <v>1</v>
      </c>
      <c r="K93" s="5">
        <v>1</v>
      </c>
      <c r="L93" s="4">
        <v>100</v>
      </c>
      <c r="M93" s="4">
        <v>70</v>
      </c>
      <c r="N93" s="4">
        <v>51</v>
      </c>
      <c r="O93" s="6">
        <f t="shared" si="41"/>
        <v>0.27142857142857146</v>
      </c>
      <c r="P93" s="4" t="s">
        <v>230</v>
      </c>
      <c r="Q93" s="4" t="s">
        <v>230</v>
      </c>
      <c r="R93" s="4" t="s">
        <v>230</v>
      </c>
      <c r="S93" s="4">
        <v>120</v>
      </c>
      <c r="T93" s="4">
        <f t="shared" si="42"/>
        <v>120</v>
      </c>
      <c r="U93" s="4">
        <v>61.2</v>
      </c>
      <c r="V93" s="4">
        <f t="shared" si="43"/>
        <v>61.2</v>
      </c>
      <c r="W93" s="4"/>
      <c r="X93" s="20">
        <f t="shared" si="44"/>
        <v>84</v>
      </c>
      <c r="Y93" s="6">
        <f t="shared" si="45"/>
        <v>0.27142857142857135</v>
      </c>
      <c r="Z93" s="32">
        <v>10.25</v>
      </c>
      <c r="AA93" s="4">
        <f t="shared" si="46"/>
        <v>106</v>
      </c>
      <c r="AB93" s="32">
        <f t="shared" si="47"/>
        <v>127.19999999999999</v>
      </c>
      <c r="AC93" s="6">
        <f t="shared" si="48"/>
        <v>0.51886792452830188</v>
      </c>
      <c r="AD93" s="7">
        <v>93</v>
      </c>
      <c r="AE93" s="6">
        <f t="shared" si="49"/>
        <v>0.34193548387096773</v>
      </c>
      <c r="AF93" s="4">
        <f t="shared" si="50"/>
        <v>31.799999999999997</v>
      </c>
      <c r="AG93" s="27"/>
      <c r="AH93" s="6"/>
      <c r="AI93" s="6"/>
      <c r="AJ93" s="6">
        <f t="shared" si="51"/>
        <v>1.2</v>
      </c>
      <c r="AK93" s="6">
        <f t="shared" si="52"/>
        <v>1.3285714285714285</v>
      </c>
      <c r="AL93" s="6">
        <f t="shared" si="53"/>
        <v>1.2</v>
      </c>
      <c r="AM93" s="4" t="str">
        <f t="shared" si="54"/>
        <v>-</v>
      </c>
      <c r="AN93" s="4" t="str">
        <f t="shared" si="55"/>
        <v>-</v>
      </c>
      <c r="AO93" s="4" t="str">
        <f t="shared" si="56"/>
        <v>-</v>
      </c>
      <c r="AP93" s="4">
        <v>0</v>
      </c>
      <c r="AQ93" s="4" t="s">
        <v>455</v>
      </c>
      <c r="AR93" s="4"/>
      <c r="AS93" s="4"/>
      <c r="AT93" s="4" t="s">
        <v>349</v>
      </c>
      <c r="AU93" s="4">
        <v>106</v>
      </c>
      <c r="AV93" s="4">
        <f t="shared" si="57"/>
        <v>106</v>
      </c>
      <c r="AW93" s="18">
        <v>4</v>
      </c>
      <c r="AX93" s="18">
        <v>1</v>
      </c>
      <c r="AY93" s="16">
        <v>5</v>
      </c>
      <c r="AZ93">
        <v>70</v>
      </c>
      <c r="BA93">
        <f t="shared" si="58"/>
        <v>84</v>
      </c>
      <c r="BB93">
        <v>78</v>
      </c>
      <c r="BC93">
        <f t="shared" si="59"/>
        <v>93.6</v>
      </c>
      <c r="BD93" t="s">
        <v>326</v>
      </c>
    </row>
    <row r="94" spans="1:56" x14ac:dyDescent="0.4">
      <c r="A94" s="3">
        <v>3</v>
      </c>
      <c r="B94" s="3">
        <v>3</v>
      </c>
      <c r="C94" s="40">
        <v>158812</v>
      </c>
      <c r="D94" s="4" t="str">
        <f t="shared" si="40"/>
        <v>158812</v>
      </c>
      <c r="E94" s="4">
        <v>158812</v>
      </c>
      <c r="F94" s="4" t="s">
        <v>64</v>
      </c>
      <c r="G94" s="5">
        <v>4902778260890</v>
      </c>
      <c r="H94" s="5"/>
      <c r="I94" s="5"/>
      <c r="J94" s="5">
        <v>2</v>
      </c>
      <c r="K94" s="5">
        <v>2</v>
      </c>
      <c r="L94" s="4">
        <v>120</v>
      </c>
      <c r="M94" s="4">
        <v>97</v>
      </c>
      <c r="N94" s="4">
        <v>61.2</v>
      </c>
      <c r="O94" s="6">
        <f t="shared" si="41"/>
        <v>0.36907216494845363</v>
      </c>
      <c r="P94" s="4" t="s">
        <v>230</v>
      </c>
      <c r="Q94" s="4" t="s">
        <v>230</v>
      </c>
      <c r="R94" s="4" t="s">
        <v>230</v>
      </c>
      <c r="S94" s="4">
        <v>150</v>
      </c>
      <c r="T94" s="4">
        <f t="shared" si="42"/>
        <v>150</v>
      </c>
      <c r="U94" s="4">
        <v>76.5</v>
      </c>
      <c r="V94" s="4">
        <f t="shared" si="43"/>
        <v>76.5</v>
      </c>
      <c r="W94" s="4"/>
      <c r="X94" s="20">
        <f t="shared" si="44"/>
        <v>121</v>
      </c>
      <c r="Y94" s="6">
        <f t="shared" si="45"/>
        <v>0.36776859504132231</v>
      </c>
      <c r="Z94" s="32">
        <v>0.5</v>
      </c>
      <c r="AA94" s="4">
        <f t="shared" si="46"/>
        <v>120</v>
      </c>
      <c r="AB94" s="32">
        <f t="shared" si="47"/>
        <v>150</v>
      </c>
      <c r="AC94" s="6">
        <f t="shared" si="48"/>
        <v>0.49</v>
      </c>
      <c r="AD94" s="7">
        <v>130</v>
      </c>
      <c r="AE94" s="6">
        <f t="shared" si="49"/>
        <v>0.41153846153846152</v>
      </c>
      <c r="AF94" s="4">
        <f t="shared" si="50"/>
        <v>53.5</v>
      </c>
      <c r="AG94" s="27"/>
      <c r="AH94" s="6"/>
      <c r="AI94" s="6"/>
      <c r="AJ94" s="6">
        <f t="shared" si="51"/>
        <v>1.25</v>
      </c>
      <c r="AK94" s="6">
        <f t="shared" si="52"/>
        <v>1.3402061855670102</v>
      </c>
      <c r="AL94" s="6">
        <f t="shared" si="53"/>
        <v>1.25</v>
      </c>
      <c r="AM94" s="4" t="str">
        <f t="shared" si="54"/>
        <v>-</v>
      </c>
      <c r="AN94" s="4" t="str">
        <f t="shared" si="55"/>
        <v>-</v>
      </c>
      <c r="AO94" s="4" t="str">
        <f t="shared" si="56"/>
        <v>-</v>
      </c>
      <c r="AP94" s="4">
        <v>0</v>
      </c>
      <c r="AQ94" s="4" t="s">
        <v>351</v>
      </c>
      <c r="AR94" s="4">
        <v>1</v>
      </c>
      <c r="AS94" s="4">
        <v>30</v>
      </c>
      <c r="AT94" s="4" t="s">
        <v>352</v>
      </c>
      <c r="AU94" s="4">
        <v>3600</v>
      </c>
      <c r="AV94" s="4">
        <f t="shared" si="57"/>
        <v>120</v>
      </c>
      <c r="AW94" s="18">
        <v>4</v>
      </c>
      <c r="AX94" s="18">
        <v>1</v>
      </c>
      <c r="AY94" s="16">
        <v>5</v>
      </c>
      <c r="AZ94" t="s">
        <v>230</v>
      </c>
      <c r="BA94" t="str">
        <f t="shared" si="58"/>
        <v>-</v>
      </c>
      <c r="BB94">
        <v>108</v>
      </c>
      <c r="BC94">
        <f t="shared" si="59"/>
        <v>135</v>
      </c>
      <c r="BD94" t="s">
        <v>234</v>
      </c>
    </row>
    <row r="95" spans="1:56" x14ac:dyDescent="0.4">
      <c r="A95" s="3">
        <v>99</v>
      </c>
      <c r="B95" s="3">
        <v>3</v>
      </c>
      <c r="C95" s="40">
        <v>158812</v>
      </c>
      <c r="D95" s="4" t="str">
        <f t="shared" si="40"/>
        <v>158812</v>
      </c>
      <c r="E95" s="4">
        <v>158875</v>
      </c>
      <c r="F95" s="4" t="s">
        <v>161</v>
      </c>
      <c r="G95" s="5">
        <v>4902778260890</v>
      </c>
      <c r="H95" s="5">
        <v>8</v>
      </c>
      <c r="I95" s="5" t="str">
        <f>C95&amp;H95</f>
        <v>1588128</v>
      </c>
      <c r="J95" s="5"/>
      <c r="K95" s="5"/>
      <c r="L95" s="4">
        <v>1200</v>
      </c>
      <c r="M95" s="4">
        <v>899</v>
      </c>
      <c r="N95" s="4">
        <v>612</v>
      </c>
      <c r="O95" s="6">
        <f t="shared" si="41"/>
        <v>0.3192436040044494</v>
      </c>
      <c r="P95" s="4" t="s">
        <v>230</v>
      </c>
      <c r="Q95" s="4" t="s">
        <v>230</v>
      </c>
      <c r="R95" s="4" t="s">
        <v>230</v>
      </c>
      <c r="S95" s="4">
        <v>150</v>
      </c>
      <c r="T95" s="4">
        <f t="shared" si="42"/>
        <v>1500</v>
      </c>
      <c r="U95" s="4">
        <v>76.5</v>
      </c>
      <c r="V95" s="4">
        <f t="shared" si="43"/>
        <v>765</v>
      </c>
      <c r="W95" s="4">
        <v>10</v>
      </c>
      <c r="X95" s="20">
        <f t="shared" si="44"/>
        <v>1124</v>
      </c>
      <c r="Y95" s="6">
        <f t="shared" si="45"/>
        <v>0.31939501779359436</v>
      </c>
      <c r="Z95" s="32">
        <v>0.5</v>
      </c>
      <c r="AA95" s="4">
        <f t="shared" si="46"/>
        <v>1200</v>
      </c>
      <c r="AB95" s="32">
        <f t="shared" si="47"/>
        <v>1500</v>
      </c>
      <c r="AC95" s="6">
        <f t="shared" si="48"/>
        <v>0.49</v>
      </c>
      <c r="AD95" s="7">
        <v>1230</v>
      </c>
      <c r="AE95" s="6">
        <f t="shared" si="49"/>
        <v>0.37804878048780488</v>
      </c>
      <c r="AF95" s="4">
        <f t="shared" si="50"/>
        <v>465</v>
      </c>
      <c r="AG95" s="27"/>
      <c r="AH95" s="6"/>
      <c r="AI95" s="6"/>
      <c r="AJ95" s="6">
        <f t="shared" si="51"/>
        <v>1.25</v>
      </c>
      <c r="AK95" s="6">
        <f t="shared" si="52"/>
        <v>1.3681868743047831</v>
      </c>
      <c r="AL95" s="6">
        <f t="shared" si="53"/>
        <v>1.25</v>
      </c>
      <c r="AM95" s="4" t="str">
        <f t="shared" si="54"/>
        <v>-</v>
      </c>
      <c r="AN95" s="4" t="str">
        <f t="shared" si="55"/>
        <v>-</v>
      </c>
      <c r="AO95" s="4" t="str">
        <f t="shared" si="56"/>
        <v>-</v>
      </c>
      <c r="AP95" s="4">
        <v>0</v>
      </c>
      <c r="AQ95" s="4" t="s">
        <v>351</v>
      </c>
      <c r="AR95" s="4">
        <v>10</v>
      </c>
      <c r="AS95" s="4">
        <v>30</v>
      </c>
      <c r="AT95" s="4" t="s">
        <v>352</v>
      </c>
      <c r="AU95" s="4">
        <v>3600</v>
      </c>
      <c r="AV95" s="4">
        <f t="shared" si="57"/>
        <v>1200</v>
      </c>
      <c r="AW95" s="18">
        <v>4</v>
      </c>
      <c r="AX95" s="18">
        <v>1</v>
      </c>
      <c r="AY95" s="16">
        <v>5</v>
      </c>
      <c r="AZ95" t="s">
        <v>230</v>
      </c>
      <c r="BA95" t="str">
        <f t="shared" si="58"/>
        <v>-</v>
      </c>
      <c r="BB95">
        <v>108</v>
      </c>
      <c r="BC95">
        <f t="shared" si="59"/>
        <v>135</v>
      </c>
      <c r="BD95" t="s">
        <v>234</v>
      </c>
    </row>
    <row r="96" spans="1:56" x14ac:dyDescent="0.4">
      <c r="A96" s="3">
        <v>4</v>
      </c>
      <c r="B96" s="3">
        <v>4</v>
      </c>
      <c r="C96" s="40">
        <v>158813</v>
      </c>
      <c r="D96" s="4" t="str">
        <f t="shared" si="40"/>
        <v>158813</v>
      </c>
      <c r="E96" s="4">
        <v>158813</v>
      </c>
      <c r="F96" s="4" t="s">
        <v>65</v>
      </c>
      <c r="G96" s="5">
        <v>4902778260906</v>
      </c>
      <c r="H96" s="5"/>
      <c r="I96" s="5"/>
      <c r="J96" s="5">
        <v>2</v>
      </c>
      <c r="K96" s="5">
        <v>2</v>
      </c>
      <c r="L96" s="4">
        <v>120</v>
      </c>
      <c r="M96" s="4">
        <v>79</v>
      </c>
      <c r="N96" s="4">
        <v>61.2</v>
      </c>
      <c r="O96" s="6">
        <f t="shared" si="41"/>
        <v>0.22531645569620251</v>
      </c>
      <c r="P96" s="4" t="s">
        <v>230</v>
      </c>
      <c r="Q96" s="4" t="s">
        <v>230</v>
      </c>
      <c r="R96" s="4" t="s">
        <v>230</v>
      </c>
      <c r="S96" s="4">
        <v>150</v>
      </c>
      <c r="T96" s="4">
        <f t="shared" si="42"/>
        <v>150</v>
      </c>
      <c r="U96" s="4">
        <v>76.5</v>
      </c>
      <c r="V96" s="4">
        <f t="shared" si="43"/>
        <v>76.5</v>
      </c>
      <c r="W96" s="4"/>
      <c r="X96" s="20">
        <f t="shared" si="44"/>
        <v>99</v>
      </c>
      <c r="Y96" s="6">
        <f t="shared" si="45"/>
        <v>0.22727272727272729</v>
      </c>
      <c r="Z96" s="32">
        <v>1.5</v>
      </c>
      <c r="AA96" s="4">
        <f t="shared" si="46"/>
        <v>116.66666666666666</v>
      </c>
      <c r="AB96" s="32">
        <f t="shared" si="47"/>
        <v>145.83333333333331</v>
      </c>
      <c r="AC96" s="6">
        <f t="shared" si="48"/>
        <v>0.47542857142857131</v>
      </c>
      <c r="AD96" s="7">
        <v>130</v>
      </c>
      <c r="AE96" s="6">
        <f t="shared" si="49"/>
        <v>0.41153846153846152</v>
      </c>
      <c r="AF96" s="4">
        <f t="shared" si="50"/>
        <v>53.5</v>
      </c>
      <c r="AG96" s="27"/>
      <c r="AH96" s="6"/>
      <c r="AI96" s="6"/>
      <c r="AJ96" s="6">
        <f t="shared" si="51"/>
        <v>1.25</v>
      </c>
      <c r="AK96" s="6">
        <f t="shared" si="52"/>
        <v>1.6455696202531647</v>
      </c>
      <c r="AL96" s="6">
        <f t="shared" si="53"/>
        <v>1.25</v>
      </c>
      <c r="AM96" s="4" t="str">
        <f t="shared" si="54"/>
        <v>-</v>
      </c>
      <c r="AN96" s="4" t="str">
        <f t="shared" si="55"/>
        <v>-</v>
      </c>
      <c r="AO96" s="4" t="str">
        <f t="shared" si="56"/>
        <v>-</v>
      </c>
      <c r="AP96" s="4">
        <v>0</v>
      </c>
      <c r="AQ96" s="4" t="s">
        <v>353</v>
      </c>
      <c r="AR96" s="4">
        <v>1</v>
      </c>
      <c r="AS96" s="4">
        <v>3</v>
      </c>
      <c r="AT96" s="4" t="s">
        <v>354</v>
      </c>
      <c r="AU96" s="4">
        <v>350</v>
      </c>
      <c r="AV96" s="4">
        <f t="shared" si="57"/>
        <v>116.66666666666666</v>
      </c>
      <c r="AW96" s="18">
        <v>4</v>
      </c>
      <c r="AX96" s="18">
        <v>1</v>
      </c>
      <c r="AY96" s="16">
        <v>5</v>
      </c>
      <c r="AZ96" t="s">
        <v>230</v>
      </c>
      <c r="BA96" t="str">
        <f t="shared" si="58"/>
        <v>-</v>
      </c>
      <c r="BB96">
        <v>108</v>
      </c>
      <c r="BC96">
        <f t="shared" si="59"/>
        <v>135</v>
      </c>
      <c r="BD96" t="s">
        <v>235</v>
      </c>
    </row>
    <row r="97" spans="1:56" x14ac:dyDescent="0.4">
      <c r="A97" s="3">
        <v>100</v>
      </c>
      <c r="B97" s="3">
        <v>4</v>
      </c>
      <c r="C97" s="40">
        <v>158813</v>
      </c>
      <c r="D97" s="4" t="str">
        <f t="shared" si="40"/>
        <v>158813</v>
      </c>
      <c r="E97" s="4">
        <v>158876</v>
      </c>
      <c r="F97" s="4" t="s">
        <v>162</v>
      </c>
      <c r="G97" s="5">
        <v>4902778260906</v>
      </c>
      <c r="H97" s="5">
        <v>8</v>
      </c>
      <c r="I97" s="5" t="str">
        <f>C97&amp;H97</f>
        <v>1588138</v>
      </c>
      <c r="J97" s="5"/>
      <c r="K97" s="5"/>
      <c r="L97" s="4">
        <v>1200</v>
      </c>
      <c r="M97" s="4">
        <v>778</v>
      </c>
      <c r="N97" s="4">
        <v>612</v>
      </c>
      <c r="O97" s="6">
        <f t="shared" si="41"/>
        <v>0.21336760925449871</v>
      </c>
      <c r="P97" s="4" t="s">
        <v>230</v>
      </c>
      <c r="Q97" s="4" t="s">
        <v>230</v>
      </c>
      <c r="R97" s="4" t="s">
        <v>230</v>
      </c>
      <c r="S97" s="4">
        <v>150</v>
      </c>
      <c r="T97" s="4">
        <f t="shared" si="42"/>
        <v>1500</v>
      </c>
      <c r="U97" s="4">
        <v>76.5</v>
      </c>
      <c r="V97" s="4">
        <f t="shared" si="43"/>
        <v>765</v>
      </c>
      <c r="W97" s="4">
        <v>10</v>
      </c>
      <c r="X97" s="20">
        <f t="shared" si="44"/>
        <v>973</v>
      </c>
      <c r="Y97" s="6">
        <f t="shared" si="45"/>
        <v>0.21377183967112023</v>
      </c>
      <c r="Z97" s="32">
        <v>1.5</v>
      </c>
      <c r="AA97" s="4">
        <f t="shared" si="46"/>
        <v>1166.6666666666667</v>
      </c>
      <c r="AB97" s="32">
        <f t="shared" si="47"/>
        <v>1458.3333333333335</v>
      </c>
      <c r="AC97" s="6">
        <f t="shared" si="48"/>
        <v>0.47542857142857153</v>
      </c>
      <c r="AD97" s="7">
        <v>1230</v>
      </c>
      <c r="AE97" s="6">
        <f t="shared" si="49"/>
        <v>0.37804878048780488</v>
      </c>
      <c r="AF97" s="4">
        <f t="shared" si="50"/>
        <v>465</v>
      </c>
      <c r="AG97" s="27"/>
      <c r="AH97" s="6"/>
      <c r="AI97" s="6"/>
      <c r="AJ97" s="6">
        <f t="shared" si="51"/>
        <v>1.25</v>
      </c>
      <c r="AK97" s="6">
        <f t="shared" si="52"/>
        <v>1.5809768637532133</v>
      </c>
      <c r="AL97" s="6">
        <f t="shared" si="53"/>
        <v>1.25</v>
      </c>
      <c r="AM97" s="4" t="str">
        <f t="shared" si="54"/>
        <v>-</v>
      </c>
      <c r="AN97" s="4" t="str">
        <f t="shared" si="55"/>
        <v>-</v>
      </c>
      <c r="AO97" s="4" t="str">
        <f t="shared" si="56"/>
        <v>-</v>
      </c>
      <c r="AP97" s="4">
        <v>0</v>
      </c>
      <c r="AQ97" s="4" t="s">
        <v>353</v>
      </c>
      <c r="AR97" s="4">
        <v>10</v>
      </c>
      <c r="AS97" s="4">
        <v>3</v>
      </c>
      <c r="AT97" s="4" t="s">
        <v>354</v>
      </c>
      <c r="AU97" s="4">
        <v>350</v>
      </c>
      <c r="AV97" s="4">
        <f t="shared" si="57"/>
        <v>1166.6666666666667</v>
      </c>
      <c r="AW97" s="18">
        <v>4</v>
      </c>
      <c r="AX97" s="18">
        <v>1</v>
      </c>
      <c r="AY97" s="16">
        <v>5</v>
      </c>
      <c r="AZ97" t="s">
        <v>230</v>
      </c>
      <c r="BA97" t="str">
        <f t="shared" si="58"/>
        <v>-</v>
      </c>
      <c r="BB97">
        <v>108</v>
      </c>
      <c r="BC97">
        <f t="shared" si="59"/>
        <v>135</v>
      </c>
      <c r="BD97" t="s">
        <v>235</v>
      </c>
    </row>
    <row r="98" spans="1:56" x14ac:dyDescent="0.4">
      <c r="A98" s="3">
        <v>5</v>
      </c>
      <c r="B98" s="3">
        <v>5</v>
      </c>
      <c r="C98" s="40">
        <v>158814</v>
      </c>
      <c r="D98" s="4" t="str">
        <f t="shared" si="40"/>
        <v>158814</v>
      </c>
      <c r="E98" s="4">
        <v>158814</v>
      </c>
      <c r="F98" s="4" t="s">
        <v>66</v>
      </c>
      <c r="G98" s="5">
        <v>4902778260913</v>
      </c>
      <c r="H98" s="5"/>
      <c r="I98" s="5"/>
      <c r="J98" s="5">
        <v>2</v>
      </c>
      <c r="K98" s="5">
        <v>2</v>
      </c>
      <c r="L98" s="4">
        <v>120</v>
      </c>
      <c r="M98" s="4">
        <v>90</v>
      </c>
      <c r="N98" s="4">
        <v>61.2</v>
      </c>
      <c r="O98" s="6">
        <f t="shared" si="41"/>
        <v>0.31999999999999995</v>
      </c>
      <c r="P98" s="4" t="s">
        <v>230</v>
      </c>
      <c r="Q98" s="4" t="s">
        <v>230</v>
      </c>
      <c r="R98" s="4" t="s">
        <v>230</v>
      </c>
      <c r="S98" s="4">
        <v>150</v>
      </c>
      <c r="T98" s="4">
        <f t="shared" si="42"/>
        <v>150</v>
      </c>
      <c r="U98" s="4">
        <v>76.5</v>
      </c>
      <c r="V98" s="4">
        <f t="shared" si="43"/>
        <v>76.5</v>
      </c>
      <c r="W98" s="4"/>
      <c r="X98" s="20">
        <f t="shared" si="44"/>
        <v>113</v>
      </c>
      <c r="Y98" s="6">
        <f t="shared" si="45"/>
        <v>0.32300884955752207</v>
      </c>
      <c r="Z98" s="32">
        <v>2.25</v>
      </c>
      <c r="AA98" s="4">
        <f t="shared" si="46"/>
        <v>120</v>
      </c>
      <c r="AB98" s="32">
        <f t="shared" si="47"/>
        <v>150</v>
      </c>
      <c r="AC98" s="6">
        <f t="shared" si="48"/>
        <v>0.49</v>
      </c>
      <c r="AD98" s="7">
        <v>130</v>
      </c>
      <c r="AE98" s="6">
        <f t="shared" si="49"/>
        <v>0.41153846153846152</v>
      </c>
      <c r="AF98" s="4">
        <f t="shared" si="50"/>
        <v>53.5</v>
      </c>
      <c r="AG98" s="27"/>
      <c r="AH98" s="6"/>
      <c r="AI98" s="6"/>
      <c r="AJ98" s="6">
        <f t="shared" si="51"/>
        <v>1.25</v>
      </c>
      <c r="AK98" s="6">
        <f t="shared" si="52"/>
        <v>1.4444444444444444</v>
      </c>
      <c r="AL98" s="6">
        <f t="shared" si="53"/>
        <v>1.25</v>
      </c>
      <c r="AM98" s="4" t="str">
        <f t="shared" si="54"/>
        <v>-</v>
      </c>
      <c r="AN98" s="4" t="str">
        <f t="shared" si="55"/>
        <v>-</v>
      </c>
      <c r="AO98" s="4" t="str">
        <f t="shared" si="56"/>
        <v>-</v>
      </c>
      <c r="AP98" s="4">
        <v>0</v>
      </c>
      <c r="AQ98" s="4" t="s">
        <v>355</v>
      </c>
      <c r="AR98" s="4">
        <v>1</v>
      </c>
      <c r="AS98" s="4">
        <v>30</v>
      </c>
      <c r="AT98" s="4" t="s">
        <v>352</v>
      </c>
      <c r="AU98" s="4">
        <v>3600</v>
      </c>
      <c r="AV98" s="4">
        <f t="shared" si="57"/>
        <v>120</v>
      </c>
      <c r="AW98" s="18">
        <v>4</v>
      </c>
      <c r="AX98" s="18">
        <v>1</v>
      </c>
      <c r="AY98" s="16">
        <v>5</v>
      </c>
      <c r="AZ98" t="s">
        <v>230</v>
      </c>
      <c r="BA98" t="str">
        <f t="shared" si="58"/>
        <v>-</v>
      </c>
      <c r="BB98">
        <v>108</v>
      </c>
      <c r="BC98">
        <f t="shared" si="59"/>
        <v>135</v>
      </c>
      <c r="BD98" t="s">
        <v>236</v>
      </c>
    </row>
    <row r="99" spans="1:56" x14ac:dyDescent="0.4">
      <c r="A99" s="3">
        <v>101</v>
      </c>
      <c r="B99" s="3">
        <v>5</v>
      </c>
      <c r="C99" s="40">
        <v>158814</v>
      </c>
      <c r="D99" s="4" t="str">
        <f t="shared" si="40"/>
        <v>158814</v>
      </c>
      <c r="E99" s="4">
        <v>158877</v>
      </c>
      <c r="F99" s="4" t="s">
        <v>163</v>
      </c>
      <c r="G99" s="5">
        <v>4902778260913</v>
      </c>
      <c r="H99" s="5">
        <v>8</v>
      </c>
      <c r="I99" s="5" t="str">
        <f>C99&amp;H99</f>
        <v>1588148</v>
      </c>
      <c r="J99" s="5"/>
      <c r="K99" s="5"/>
      <c r="L99" s="4">
        <v>1200</v>
      </c>
      <c r="M99" s="4">
        <v>846</v>
      </c>
      <c r="N99" s="4">
        <v>612</v>
      </c>
      <c r="O99" s="6">
        <f t="shared" si="41"/>
        <v>0.27659574468085102</v>
      </c>
      <c r="P99" s="4" t="s">
        <v>230</v>
      </c>
      <c r="Q99" s="4" t="s">
        <v>230</v>
      </c>
      <c r="R99" s="4" t="s">
        <v>230</v>
      </c>
      <c r="S99" s="4">
        <v>150</v>
      </c>
      <c r="T99" s="4">
        <f t="shared" si="42"/>
        <v>1500</v>
      </c>
      <c r="U99" s="4">
        <v>76.5</v>
      </c>
      <c r="V99" s="4">
        <f t="shared" si="43"/>
        <v>765</v>
      </c>
      <c r="W99" s="4">
        <v>10</v>
      </c>
      <c r="X99" s="20">
        <f t="shared" si="44"/>
        <v>1058</v>
      </c>
      <c r="Y99" s="6">
        <f t="shared" si="45"/>
        <v>0.27693761814744799</v>
      </c>
      <c r="Z99" s="32">
        <v>2.25</v>
      </c>
      <c r="AA99" s="4">
        <f t="shared" si="46"/>
        <v>1200</v>
      </c>
      <c r="AB99" s="32">
        <f t="shared" si="47"/>
        <v>1500</v>
      </c>
      <c r="AC99" s="6">
        <f t="shared" si="48"/>
        <v>0.49</v>
      </c>
      <c r="AD99" s="7">
        <v>1230</v>
      </c>
      <c r="AE99" s="6">
        <f t="shared" si="49"/>
        <v>0.37804878048780488</v>
      </c>
      <c r="AF99" s="4">
        <f t="shared" si="50"/>
        <v>465</v>
      </c>
      <c r="AG99" s="27"/>
      <c r="AH99" s="6"/>
      <c r="AI99" s="6"/>
      <c r="AJ99" s="6">
        <f t="shared" si="51"/>
        <v>1.25</v>
      </c>
      <c r="AK99" s="6">
        <f t="shared" si="52"/>
        <v>1.4539007092198581</v>
      </c>
      <c r="AL99" s="6">
        <f t="shared" si="53"/>
        <v>1.25</v>
      </c>
      <c r="AM99" s="4" t="str">
        <f t="shared" si="54"/>
        <v>-</v>
      </c>
      <c r="AN99" s="4" t="str">
        <f t="shared" si="55"/>
        <v>-</v>
      </c>
      <c r="AO99" s="4" t="str">
        <f t="shared" si="56"/>
        <v>-</v>
      </c>
      <c r="AP99" s="4">
        <v>0</v>
      </c>
      <c r="AQ99" s="4" t="s">
        <v>355</v>
      </c>
      <c r="AR99" s="4">
        <v>10</v>
      </c>
      <c r="AS99" s="4">
        <v>30</v>
      </c>
      <c r="AT99" s="4" t="s">
        <v>352</v>
      </c>
      <c r="AU99" s="4">
        <v>3600</v>
      </c>
      <c r="AV99" s="4">
        <f t="shared" si="57"/>
        <v>1200</v>
      </c>
      <c r="AW99" s="18">
        <v>4</v>
      </c>
      <c r="AX99" s="18">
        <v>1</v>
      </c>
      <c r="AY99" s="16">
        <v>5</v>
      </c>
      <c r="AZ99" t="s">
        <v>230</v>
      </c>
      <c r="BA99" t="str">
        <f t="shared" si="58"/>
        <v>-</v>
      </c>
      <c r="BB99">
        <v>108</v>
      </c>
      <c r="BC99">
        <f t="shared" si="59"/>
        <v>135</v>
      </c>
      <c r="BD99" t="s">
        <v>236</v>
      </c>
    </row>
    <row r="100" spans="1:56" x14ac:dyDescent="0.4">
      <c r="A100" s="3">
        <v>6</v>
      </c>
      <c r="B100" s="3">
        <v>6</v>
      </c>
      <c r="C100" s="40">
        <v>158815</v>
      </c>
      <c r="D100" s="4" t="str">
        <f t="shared" ref="D100:D131" si="60">TEXT(C100,"000000")</f>
        <v>158815</v>
      </c>
      <c r="E100" s="4">
        <v>158815</v>
      </c>
      <c r="F100" s="4" t="s">
        <v>67</v>
      </c>
      <c r="G100" s="5">
        <v>4902778260920</v>
      </c>
      <c r="H100" s="5"/>
      <c r="I100" s="5"/>
      <c r="J100" s="5">
        <v>2</v>
      </c>
      <c r="K100" s="5">
        <v>2</v>
      </c>
      <c r="L100" s="4">
        <v>120</v>
      </c>
      <c r="M100" s="4">
        <v>97</v>
      </c>
      <c r="N100" s="4">
        <v>61.2</v>
      </c>
      <c r="O100" s="6">
        <f t="shared" ref="O100:O131" si="61">IFERROR(1-N100/M100,"-")</f>
        <v>0.36907216494845363</v>
      </c>
      <c r="P100" s="4" t="s">
        <v>230</v>
      </c>
      <c r="Q100" s="4" t="s">
        <v>230</v>
      </c>
      <c r="R100" s="4" t="s">
        <v>230</v>
      </c>
      <c r="S100" s="4">
        <v>150</v>
      </c>
      <c r="T100" s="4">
        <f t="shared" ref="T100:T131" si="62">IF(W100="",S100,S100*W100)</f>
        <v>150</v>
      </c>
      <c r="U100" s="4">
        <v>76.5</v>
      </c>
      <c r="V100" s="4">
        <f t="shared" ref="V100:V131" si="63">IF(W100="",U100,U100*W100)</f>
        <v>76.5</v>
      </c>
      <c r="W100" s="4"/>
      <c r="X100" s="20">
        <f t="shared" ref="X100:X131" si="64">ROUND(M100*AL100,0)</f>
        <v>121</v>
      </c>
      <c r="Y100" s="6">
        <f t="shared" ref="Y100:Y131" si="65">IFERROR(1-V100/X100,"-")</f>
        <v>0.36776859504132231</v>
      </c>
      <c r="Z100" s="32">
        <v>4.25</v>
      </c>
      <c r="AA100" s="4">
        <f t="shared" ref="AA100:AA131" si="66">AV100</f>
        <v>120</v>
      </c>
      <c r="AB100" s="32">
        <f t="shared" ref="AB100:AB131" si="67">IFERROR(AA100*AL100,"-")</f>
        <v>150</v>
      </c>
      <c r="AC100" s="6">
        <f t="shared" ref="AC100:AC131" si="68">IFERROR(1-V100/AB100,"-")</f>
        <v>0.49</v>
      </c>
      <c r="AD100" s="7">
        <v>130</v>
      </c>
      <c r="AE100" s="6">
        <f t="shared" ref="AE100:AE131" si="69">1-V100/AD100</f>
        <v>0.41153846153846152</v>
      </c>
      <c r="AF100" s="4">
        <f t="shared" ref="AF100:AF131" si="70">AD100-V100</f>
        <v>53.5</v>
      </c>
      <c r="AG100" s="27"/>
      <c r="AH100" s="6"/>
      <c r="AI100" s="6"/>
      <c r="AJ100" s="6">
        <f t="shared" ref="AJ100:AJ131" si="71">IFERROR(T100/L100,"-")</f>
        <v>1.25</v>
      </c>
      <c r="AK100" s="6">
        <f t="shared" ref="AK100:AK131" si="72">IFERROR(AD100/M100,"-")</f>
        <v>1.3402061855670102</v>
      </c>
      <c r="AL100" s="6">
        <f t="shared" ref="AL100:AL131" si="73">IFERROR(V100/N100,"-")</f>
        <v>1.25</v>
      </c>
      <c r="AM100" s="4" t="str">
        <f t="shared" ref="AM100:AM131" si="74">IFERROR(ROUND($AD100*P100/$M100,0),"-")</f>
        <v>-</v>
      </c>
      <c r="AN100" s="4" t="str">
        <f t="shared" ref="AN100:AN131" si="75">IF(Q100="","-",Q100)</f>
        <v>-</v>
      </c>
      <c r="AO100" s="4" t="str">
        <f t="shared" ref="AO100:AO131" si="76">IF(R100="","-",R100)</f>
        <v>-</v>
      </c>
      <c r="AP100" s="4">
        <v>0</v>
      </c>
      <c r="AQ100" s="4" t="s">
        <v>356</v>
      </c>
      <c r="AR100" s="4">
        <v>1</v>
      </c>
      <c r="AS100" s="4">
        <v>30</v>
      </c>
      <c r="AT100" s="4" t="s">
        <v>352</v>
      </c>
      <c r="AU100" s="4">
        <v>3600</v>
      </c>
      <c r="AV100" s="4">
        <f t="shared" ref="AV100:AV131" si="77">IF(AR100="",AU100,AR100/AS100*AU100)</f>
        <v>120</v>
      </c>
      <c r="AW100" s="18">
        <v>4</v>
      </c>
      <c r="AX100" s="18">
        <v>1</v>
      </c>
      <c r="AY100" s="16">
        <v>5</v>
      </c>
      <c r="AZ100" t="s">
        <v>230</v>
      </c>
      <c r="BA100" t="str">
        <f t="shared" ref="BA100:BA131" si="78">IFERROR(AZ100*AL100,"-")</f>
        <v>-</v>
      </c>
      <c r="BB100">
        <v>108</v>
      </c>
      <c r="BC100">
        <f t="shared" ref="BC100:BC131" si="79">IFERROR(BB100*AL100,"-")</f>
        <v>135</v>
      </c>
      <c r="BD100" t="s">
        <v>237</v>
      </c>
    </row>
    <row r="101" spans="1:56" x14ac:dyDescent="0.4">
      <c r="A101" s="3">
        <v>102</v>
      </c>
      <c r="B101" s="3">
        <v>6</v>
      </c>
      <c r="C101" s="40">
        <v>158815</v>
      </c>
      <c r="D101" s="4" t="str">
        <f t="shared" si="60"/>
        <v>158815</v>
      </c>
      <c r="E101" s="4">
        <v>158878</v>
      </c>
      <c r="F101" s="4" t="s">
        <v>164</v>
      </c>
      <c r="G101" s="5">
        <v>4902778260920</v>
      </c>
      <c r="H101" s="5">
        <v>8</v>
      </c>
      <c r="I101" s="5" t="str">
        <f>C101&amp;H101</f>
        <v>1588158</v>
      </c>
      <c r="J101" s="5"/>
      <c r="K101" s="5"/>
      <c r="L101" s="4">
        <v>1200</v>
      </c>
      <c r="M101" s="4">
        <v>899</v>
      </c>
      <c r="N101" s="4">
        <v>612</v>
      </c>
      <c r="O101" s="6">
        <f t="shared" si="61"/>
        <v>0.3192436040044494</v>
      </c>
      <c r="P101" s="4" t="s">
        <v>230</v>
      </c>
      <c r="Q101" s="4" t="s">
        <v>230</v>
      </c>
      <c r="R101" s="4" t="s">
        <v>230</v>
      </c>
      <c r="S101" s="4">
        <v>150</v>
      </c>
      <c r="T101" s="4">
        <f t="shared" si="62"/>
        <v>1500</v>
      </c>
      <c r="U101" s="4">
        <v>76.5</v>
      </c>
      <c r="V101" s="4">
        <f t="shared" si="63"/>
        <v>765</v>
      </c>
      <c r="W101" s="4">
        <v>10</v>
      </c>
      <c r="X101" s="20">
        <f t="shared" si="64"/>
        <v>1124</v>
      </c>
      <c r="Y101" s="6">
        <f t="shared" si="65"/>
        <v>0.31939501779359436</v>
      </c>
      <c r="Z101" s="32">
        <v>4.25</v>
      </c>
      <c r="AA101" s="4">
        <f t="shared" si="66"/>
        <v>1200</v>
      </c>
      <c r="AB101" s="32">
        <f t="shared" si="67"/>
        <v>1500</v>
      </c>
      <c r="AC101" s="6">
        <f t="shared" si="68"/>
        <v>0.49</v>
      </c>
      <c r="AD101" s="7">
        <v>1230</v>
      </c>
      <c r="AE101" s="6">
        <f t="shared" si="69"/>
        <v>0.37804878048780488</v>
      </c>
      <c r="AF101" s="4">
        <f t="shared" si="70"/>
        <v>465</v>
      </c>
      <c r="AG101" s="27"/>
      <c r="AH101" s="6"/>
      <c r="AI101" s="6"/>
      <c r="AJ101" s="6">
        <f t="shared" si="71"/>
        <v>1.25</v>
      </c>
      <c r="AK101" s="6">
        <f t="shared" si="72"/>
        <v>1.3681868743047831</v>
      </c>
      <c r="AL101" s="6">
        <f t="shared" si="73"/>
        <v>1.25</v>
      </c>
      <c r="AM101" s="4" t="str">
        <f t="shared" si="74"/>
        <v>-</v>
      </c>
      <c r="AN101" s="4" t="str">
        <f t="shared" si="75"/>
        <v>-</v>
      </c>
      <c r="AO101" s="4" t="str">
        <f t="shared" si="76"/>
        <v>-</v>
      </c>
      <c r="AP101" s="4">
        <v>0</v>
      </c>
      <c r="AQ101" s="4" t="s">
        <v>356</v>
      </c>
      <c r="AR101" s="4">
        <v>10</v>
      </c>
      <c r="AS101" s="4">
        <v>30</v>
      </c>
      <c r="AT101" s="4" t="s">
        <v>352</v>
      </c>
      <c r="AU101" s="4">
        <v>3600</v>
      </c>
      <c r="AV101" s="4">
        <f t="shared" si="77"/>
        <v>1200</v>
      </c>
      <c r="AW101" s="18">
        <v>4</v>
      </c>
      <c r="AX101" s="18">
        <v>1</v>
      </c>
      <c r="AY101" s="16">
        <v>5</v>
      </c>
      <c r="AZ101" t="s">
        <v>230</v>
      </c>
      <c r="BA101" t="str">
        <f t="shared" si="78"/>
        <v>-</v>
      </c>
      <c r="BB101">
        <v>108</v>
      </c>
      <c r="BC101">
        <f t="shared" si="79"/>
        <v>135</v>
      </c>
      <c r="BD101" t="s">
        <v>237</v>
      </c>
    </row>
    <row r="102" spans="1:56" x14ac:dyDescent="0.4">
      <c r="A102" s="3">
        <v>7</v>
      </c>
      <c r="B102" s="3">
        <v>7</v>
      </c>
      <c r="C102" s="39">
        <v>158816</v>
      </c>
      <c r="D102" s="4" t="str">
        <f t="shared" si="60"/>
        <v>158816</v>
      </c>
      <c r="E102" s="4">
        <v>158816</v>
      </c>
      <c r="F102" s="4" t="s">
        <v>68</v>
      </c>
      <c r="G102" s="5">
        <v>4902778260937</v>
      </c>
      <c r="H102" s="5"/>
      <c r="I102" s="5"/>
      <c r="J102" s="5">
        <v>2</v>
      </c>
      <c r="K102" s="5">
        <v>2</v>
      </c>
      <c r="L102" s="4">
        <v>120</v>
      </c>
      <c r="M102" s="4">
        <v>90</v>
      </c>
      <c r="N102" s="4">
        <v>61.2</v>
      </c>
      <c r="O102" s="6">
        <f t="shared" si="61"/>
        <v>0.31999999999999995</v>
      </c>
      <c r="P102" s="4" t="s">
        <v>230</v>
      </c>
      <c r="Q102" s="4" t="s">
        <v>230</v>
      </c>
      <c r="R102" s="4" t="s">
        <v>230</v>
      </c>
      <c r="S102" s="4">
        <v>150</v>
      </c>
      <c r="T102" s="4">
        <f t="shared" si="62"/>
        <v>150</v>
      </c>
      <c r="U102" s="4">
        <v>76.5</v>
      </c>
      <c r="V102" s="4">
        <f t="shared" si="63"/>
        <v>76.5</v>
      </c>
      <c r="W102" s="4"/>
      <c r="X102" s="20">
        <f t="shared" si="64"/>
        <v>113</v>
      </c>
      <c r="Y102" s="6">
        <f t="shared" si="65"/>
        <v>0.32300884955752207</v>
      </c>
      <c r="Z102" s="32">
        <v>2.25</v>
      </c>
      <c r="AA102" s="4">
        <f t="shared" si="66"/>
        <v>116.66666666666666</v>
      </c>
      <c r="AB102" s="32">
        <f t="shared" si="67"/>
        <v>145.83333333333331</v>
      </c>
      <c r="AC102" s="6">
        <f t="shared" si="68"/>
        <v>0.47542857142857131</v>
      </c>
      <c r="AD102" s="7">
        <v>130</v>
      </c>
      <c r="AE102" s="6">
        <f t="shared" si="69"/>
        <v>0.41153846153846152</v>
      </c>
      <c r="AF102" s="4">
        <f t="shared" si="70"/>
        <v>53.5</v>
      </c>
      <c r="AG102" s="27"/>
      <c r="AH102" s="6"/>
      <c r="AI102" s="6"/>
      <c r="AJ102" s="6">
        <f t="shared" si="71"/>
        <v>1.25</v>
      </c>
      <c r="AK102" s="6">
        <f t="shared" si="72"/>
        <v>1.4444444444444444</v>
      </c>
      <c r="AL102" s="6">
        <f t="shared" si="73"/>
        <v>1.25</v>
      </c>
      <c r="AM102" s="4" t="str">
        <f t="shared" si="74"/>
        <v>-</v>
      </c>
      <c r="AN102" s="4" t="str">
        <f t="shared" si="75"/>
        <v>-</v>
      </c>
      <c r="AO102" s="4" t="str">
        <f t="shared" si="76"/>
        <v>-</v>
      </c>
      <c r="AP102" s="4">
        <v>0</v>
      </c>
      <c r="AQ102" s="4" t="s">
        <v>357</v>
      </c>
      <c r="AR102" s="4">
        <v>1</v>
      </c>
      <c r="AS102" s="4">
        <v>3</v>
      </c>
      <c r="AT102" s="4" t="s">
        <v>354</v>
      </c>
      <c r="AU102" s="4">
        <v>350</v>
      </c>
      <c r="AV102" s="4">
        <f t="shared" si="77"/>
        <v>116.66666666666666</v>
      </c>
      <c r="AW102" s="18">
        <v>4</v>
      </c>
      <c r="AX102" s="18">
        <v>1</v>
      </c>
      <c r="AY102" s="16">
        <v>5</v>
      </c>
      <c r="AZ102" t="s">
        <v>230</v>
      </c>
      <c r="BA102" t="str">
        <f t="shared" si="78"/>
        <v>-</v>
      </c>
      <c r="BB102">
        <v>108</v>
      </c>
      <c r="BC102">
        <f t="shared" si="79"/>
        <v>135</v>
      </c>
      <c r="BD102" t="s">
        <v>238</v>
      </c>
    </row>
    <row r="103" spans="1:56" x14ac:dyDescent="0.4">
      <c r="A103" s="3">
        <v>103</v>
      </c>
      <c r="B103" s="3">
        <v>7</v>
      </c>
      <c r="C103" s="39">
        <v>158816</v>
      </c>
      <c r="D103" s="4" t="str">
        <f t="shared" si="60"/>
        <v>158816</v>
      </c>
      <c r="E103" s="4">
        <v>158879</v>
      </c>
      <c r="F103" s="4" t="s">
        <v>165</v>
      </c>
      <c r="G103" s="5">
        <v>4902778260937</v>
      </c>
      <c r="H103" s="5">
        <v>8</v>
      </c>
      <c r="I103" s="5" t="str">
        <f>C103&amp;H103</f>
        <v>1588168</v>
      </c>
      <c r="J103" s="5"/>
      <c r="K103" s="5"/>
      <c r="L103" s="4">
        <v>1200</v>
      </c>
      <c r="M103" s="4">
        <v>846</v>
      </c>
      <c r="N103" s="4">
        <v>612</v>
      </c>
      <c r="O103" s="6">
        <f t="shared" si="61"/>
        <v>0.27659574468085102</v>
      </c>
      <c r="P103" s="4" t="s">
        <v>230</v>
      </c>
      <c r="Q103" s="4" t="s">
        <v>230</v>
      </c>
      <c r="R103" s="4" t="s">
        <v>230</v>
      </c>
      <c r="S103" s="4">
        <v>150</v>
      </c>
      <c r="T103" s="4">
        <f t="shared" si="62"/>
        <v>1500</v>
      </c>
      <c r="U103" s="4">
        <v>76.5</v>
      </c>
      <c r="V103" s="4">
        <f t="shared" si="63"/>
        <v>765</v>
      </c>
      <c r="W103" s="4">
        <v>10</v>
      </c>
      <c r="X103" s="20">
        <f t="shared" si="64"/>
        <v>1058</v>
      </c>
      <c r="Y103" s="6">
        <f t="shared" si="65"/>
        <v>0.27693761814744799</v>
      </c>
      <c r="Z103" s="32">
        <v>2.25</v>
      </c>
      <c r="AA103" s="4">
        <f t="shared" si="66"/>
        <v>1166.6666666666667</v>
      </c>
      <c r="AB103" s="32">
        <f t="shared" si="67"/>
        <v>1458.3333333333335</v>
      </c>
      <c r="AC103" s="6">
        <f t="shared" si="68"/>
        <v>0.47542857142857153</v>
      </c>
      <c r="AD103" s="7">
        <v>1230</v>
      </c>
      <c r="AE103" s="6">
        <f t="shared" si="69"/>
        <v>0.37804878048780488</v>
      </c>
      <c r="AF103" s="4">
        <f t="shared" si="70"/>
        <v>465</v>
      </c>
      <c r="AG103" s="27"/>
      <c r="AH103" s="6"/>
      <c r="AI103" s="6"/>
      <c r="AJ103" s="6">
        <f t="shared" si="71"/>
        <v>1.25</v>
      </c>
      <c r="AK103" s="6">
        <f t="shared" si="72"/>
        <v>1.4539007092198581</v>
      </c>
      <c r="AL103" s="6">
        <f t="shared" si="73"/>
        <v>1.25</v>
      </c>
      <c r="AM103" s="4" t="str">
        <f t="shared" si="74"/>
        <v>-</v>
      </c>
      <c r="AN103" s="4" t="str">
        <f t="shared" si="75"/>
        <v>-</v>
      </c>
      <c r="AO103" s="4" t="str">
        <f t="shared" si="76"/>
        <v>-</v>
      </c>
      <c r="AP103" s="4">
        <v>0</v>
      </c>
      <c r="AQ103" s="4" t="s">
        <v>357</v>
      </c>
      <c r="AR103" s="4">
        <v>10</v>
      </c>
      <c r="AS103" s="4">
        <v>3</v>
      </c>
      <c r="AT103" s="4" t="s">
        <v>354</v>
      </c>
      <c r="AU103" s="4">
        <v>350</v>
      </c>
      <c r="AV103" s="4">
        <f t="shared" si="77"/>
        <v>1166.6666666666667</v>
      </c>
      <c r="AW103" s="18">
        <v>4</v>
      </c>
      <c r="AX103" s="18">
        <v>1</v>
      </c>
      <c r="AY103" s="16">
        <v>5</v>
      </c>
      <c r="AZ103" t="s">
        <v>230</v>
      </c>
      <c r="BA103" t="str">
        <f t="shared" si="78"/>
        <v>-</v>
      </c>
      <c r="BB103">
        <v>108</v>
      </c>
      <c r="BC103">
        <f t="shared" si="79"/>
        <v>135</v>
      </c>
      <c r="BD103" t="s">
        <v>238</v>
      </c>
    </row>
    <row r="104" spans="1:56" x14ac:dyDescent="0.4">
      <c r="A104" s="3">
        <v>8</v>
      </c>
      <c r="B104" s="3">
        <v>8</v>
      </c>
      <c r="C104" s="39">
        <v>158817</v>
      </c>
      <c r="D104" s="4" t="str">
        <f t="shared" si="60"/>
        <v>158817</v>
      </c>
      <c r="E104" s="4">
        <v>158817</v>
      </c>
      <c r="F104" s="4" t="s">
        <v>69</v>
      </c>
      <c r="G104" s="5">
        <v>4902778260944</v>
      </c>
      <c r="H104" s="5"/>
      <c r="I104" s="5"/>
      <c r="J104" s="5">
        <v>2</v>
      </c>
      <c r="K104" s="5">
        <v>2</v>
      </c>
      <c r="L104" s="4">
        <v>120</v>
      </c>
      <c r="M104" s="4">
        <v>91</v>
      </c>
      <c r="N104" s="4">
        <v>61.2</v>
      </c>
      <c r="O104" s="6">
        <f t="shared" si="61"/>
        <v>0.32747252747252742</v>
      </c>
      <c r="P104" s="4" t="s">
        <v>230</v>
      </c>
      <c r="Q104" s="4" t="s">
        <v>230</v>
      </c>
      <c r="R104" s="4" t="s">
        <v>230</v>
      </c>
      <c r="S104" s="4">
        <v>150</v>
      </c>
      <c r="T104" s="4">
        <f t="shared" si="62"/>
        <v>150</v>
      </c>
      <c r="U104" s="4">
        <v>76.5</v>
      </c>
      <c r="V104" s="4">
        <f t="shared" si="63"/>
        <v>76.5</v>
      </c>
      <c r="W104" s="4"/>
      <c r="X104" s="20">
        <f t="shared" si="64"/>
        <v>114</v>
      </c>
      <c r="Y104" s="6">
        <f t="shared" si="65"/>
        <v>0.32894736842105265</v>
      </c>
      <c r="Z104" s="32">
        <v>5.5</v>
      </c>
      <c r="AA104" s="4">
        <f t="shared" si="66"/>
        <v>120</v>
      </c>
      <c r="AB104" s="32">
        <f t="shared" si="67"/>
        <v>150</v>
      </c>
      <c r="AC104" s="6">
        <f t="shared" si="68"/>
        <v>0.49</v>
      </c>
      <c r="AD104" s="7">
        <v>130</v>
      </c>
      <c r="AE104" s="6">
        <f t="shared" si="69"/>
        <v>0.41153846153846152</v>
      </c>
      <c r="AF104" s="4">
        <f t="shared" si="70"/>
        <v>53.5</v>
      </c>
      <c r="AG104" s="27"/>
      <c r="AH104" s="6"/>
      <c r="AI104" s="6"/>
      <c r="AJ104" s="6">
        <f t="shared" si="71"/>
        <v>1.25</v>
      </c>
      <c r="AK104" s="6">
        <f t="shared" si="72"/>
        <v>1.4285714285714286</v>
      </c>
      <c r="AL104" s="6">
        <f t="shared" si="73"/>
        <v>1.25</v>
      </c>
      <c r="AM104" s="4" t="str">
        <f t="shared" si="74"/>
        <v>-</v>
      </c>
      <c r="AN104" s="4" t="str">
        <f t="shared" si="75"/>
        <v>-</v>
      </c>
      <c r="AO104" s="4" t="str">
        <f t="shared" si="76"/>
        <v>-</v>
      </c>
      <c r="AP104" s="4">
        <v>0</v>
      </c>
      <c r="AQ104" s="4" t="s">
        <v>358</v>
      </c>
      <c r="AR104" s="4">
        <v>1</v>
      </c>
      <c r="AS104" s="4">
        <v>30</v>
      </c>
      <c r="AT104" s="4" t="s">
        <v>352</v>
      </c>
      <c r="AU104" s="4">
        <v>3600</v>
      </c>
      <c r="AV104" s="4">
        <f t="shared" si="77"/>
        <v>120</v>
      </c>
      <c r="AW104" s="18">
        <v>4</v>
      </c>
      <c r="AX104" s="18">
        <v>1</v>
      </c>
      <c r="AY104" s="16">
        <v>5</v>
      </c>
      <c r="AZ104" t="s">
        <v>230</v>
      </c>
      <c r="BA104" t="str">
        <f t="shared" si="78"/>
        <v>-</v>
      </c>
      <c r="BB104">
        <v>108</v>
      </c>
      <c r="BC104">
        <f t="shared" si="79"/>
        <v>135</v>
      </c>
      <c r="BD104" t="s">
        <v>239</v>
      </c>
    </row>
    <row r="105" spans="1:56" x14ac:dyDescent="0.4">
      <c r="A105" s="3">
        <v>104</v>
      </c>
      <c r="B105" s="3">
        <v>8</v>
      </c>
      <c r="C105" s="39">
        <v>158817</v>
      </c>
      <c r="D105" s="4" t="str">
        <f t="shared" si="60"/>
        <v>158817</v>
      </c>
      <c r="E105" s="4">
        <v>158880</v>
      </c>
      <c r="F105" s="4" t="s">
        <v>166</v>
      </c>
      <c r="G105" s="5">
        <v>4902778260944</v>
      </c>
      <c r="H105" s="5">
        <v>8</v>
      </c>
      <c r="I105" s="5" t="str">
        <f>C105&amp;H105</f>
        <v>1588178</v>
      </c>
      <c r="J105" s="5"/>
      <c r="K105" s="5"/>
      <c r="L105" s="4">
        <v>1200</v>
      </c>
      <c r="M105" s="4">
        <v>846</v>
      </c>
      <c r="N105" s="4">
        <v>612</v>
      </c>
      <c r="O105" s="6">
        <f t="shared" si="61"/>
        <v>0.27659574468085102</v>
      </c>
      <c r="P105" s="4" t="s">
        <v>230</v>
      </c>
      <c r="Q105" s="4" t="s">
        <v>230</v>
      </c>
      <c r="R105" s="4" t="s">
        <v>230</v>
      </c>
      <c r="S105" s="4">
        <v>150</v>
      </c>
      <c r="T105" s="4">
        <f t="shared" si="62"/>
        <v>1500</v>
      </c>
      <c r="U105" s="4">
        <v>76.5</v>
      </c>
      <c r="V105" s="4">
        <f t="shared" si="63"/>
        <v>765</v>
      </c>
      <c r="W105" s="4">
        <v>10</v>
      </c>
      <c r="X105" s="20">
        <f t="shared" si="64"/>
        <v>1058</v>
      </c>
      <c r="Y105" s="6">
        <f t="shared" si="65"/>
        <v>0.27693761814744799</v>
      </c>
      <c r="Z105" s="32">
        <v>5.5</v>
      </c>
      <c r="AA105" s="4">
        <f t="shared" si="66"/>
        <v>1200</v>
      </c>
      <c r="AB105" s="32">
        <f t="shared" si="67"/>
        <v>1500</v>
      </c>
      <c r="AC105" s="6">
        <f t="shared" si="68"/>
        <v>0.49</v>
      </c>
      <c r="AD105" s="7">
        <v>1230</v>
      </c>
      <c r="AE105" s="6">
        <f t="shared" si="69"/>
        <v>0.37804878048780488</v>
      </c>
      <c r="AF105" s="4">
        <f t="shared" si="70"/>
        <v>465</v>
      </c>
      <c r="AG105" s="27"/>
      <c r="AH105" s="6"/>
      <c r="AI105" s="6"/>
      <c r="AJ105" s="6">
        <f t="shared" si="71"/>
        <v>1.25</v>
      </c>
      <c r="AK105" s="6">
        <f t="shared" si="72"/>
        <v>1.4539007092198581</v>
      </c>
      <c r="AL105" s="6">
        <f t="shared" si="73"/>
        <v>1.25</v>
      </c>
      <c r="AM105" s="4" t="str">
        <f t="shared" si="74"/>
        <v>-</v>
      </c>
      <c r="AN105" s="4" t="str">
        <f t="shared" si="75"/>
        <v>-</v>
      </c>
      <c r="AO105" s="4" t="str">
        <f t="shared" si="76"/>
        <v>-</v>
      </c>
      <c r="AP105" s="4">
        <v>0</v>
      </c>
      <c r="AQ105" s="4" t="s">
        <v>358</v>
      </c>
      <c r="AR105" s="4">
        <v>10</v>
      </c>
      <c r="AS105" s="4">
        <v>30</v>
      </c>
      <c r="AT105" s="4" t="s">
        <v>352</v>
      </c>
      <c r="AU105" s="4">
        <v>3600</v>
      </c>
      <c r="AV105" s="4">
        <f t="shared" si="77"/>
        <v>1200</v>
      </c>
      <c r="AW105" s="18">
        <v>4</v>
      </c>
      <c r="AX105" s="18">
        <v>1</v>
      </c>
      <c r="AY105" s="16">
        <v>5</v>
      </c>
      <c r="AZ105" t="s">
        <v>230</v>
      </c>
      <c r="BA105" t="str">
        <f t="shared" si="78"/>
        <v>-</v>
      </c>
      <c r="BB105">
        <v>108</v>
      </c>
      <c r="BC105">
        <f t="shared" si="79"/>
        <v>135</v>
      </c>
      <c r="BD105" t="s">
        <v>239</v>
      </c>
    </row>
    <row r="106" spans="1:56" x14ac:dyDescent="0.4">
      <c r="A106" s="3">
        <v>9</v>
      </c>
      <c r="B106" s="3">
        <v>9</v>
      </c>
      <c r="C106" s="40">
        <v>158818</v>
      </c>
      <c r="D106" s="4" t="str">
        <f t="shared" si="60"/>
        <v>158818</v>
      </c>
      <c r="E106" s="4">
        <v>158818</v>
      </c>
      <c r="F106" s="4" t="s">
        <v>70</v>
      </c>
      <c r="G106" s="5">
        <v>4902778260968</v>
      </c>
      <c r="H106" s="5"/>
      <c r="I106" s="5"/>
      <c r="J106" s="5">
        <v>2</v>
      </c>
      <c r="K106" s="5">
        <v>2</v>
      </c>
      <c r="L106" s="4">
        <v>120</v>
      </c>
      <c r="M106" s="4">
        <v>97</v>
      </c>
      <c r="N106" s="4">
        <v>61.2</v>
      </c>
      <c r="O106" s="6">
        <f t="shared" si="61"/>
        <v>0.36907216494845363</v>
      </c>
      <c r="P106" s="4" t="s">
        <v>230</v>
      </c>
      <c r="Q106" s="4" t="s">
        <v>230</v>
      </c>
      <c r="R106" s="4" t="s">
        <v>230</v>
      </c>
      <c r="S106" s="4">
        <v>150</v>
      </c>
      <c r="T106" s="4">
        <f t="shared" si="62"/>
        <v>150</v>
      </c>
      <c r="U106" s="4">
        <v>76.5</v>
      </c>
      <c r="V106" s="4">
        <f t="shared" si="63"/>
        <v>76.5</v>
      </c>
      <c r="W106" s="4"/>
      <c r="X106" s="20">
        <f t="shared" si="64"/>
        <v>121</v>
      </c>
      <c r="Y106" s="6">
        <f t="shared" si="65"/>
        <v>0.36776859504132231</v>
      </c>
      <c r="Z106" s="32">
        <v>6.75</v>
      </c>
      <c r="AA106" s="4">
        <f t="shared" si="66"/>
        <v>120</v>
      </c>
      <c r="AB106" s="32">
        <f t="shared" si="67"/>
        <v>150</v>
      </c>
      <c r="AC106" s="6">
        <f t="shared" si="68"/>
        <v>0.49</v>
      </c>
      <c r="AD106" s="7">
        <v>130</v>
      </c>
      <c r="AE106" s="6">
        <f t="shared" si="69"/>
        <v>0.41153846153846152</v>
      </c>
      <c r="AF106" s="4">
        <f t="shared" si="70"/>
        <v>53.5</v>
      </c>
      <c r="AG106" s="27"/>
      <c r="AH106" s="6"/>
      <c r="AI106" s="6"/>
      <c r="AJ106" s="6">
        <f t="shared" si="71"/>
        <v>1.25</v>
      </c>
      <c r="AK106" s="6">
        <f t="shared" si="72"/>
        <v>1.3402061855670102</v>
      </c>
      <c r="AL106" s="6">
        <f t="shared" si="73"/>
        <v>1.25</v>
      </c>
      <c r="AM106" s="4" t="str">
        <f t="shared" si="74"/>
        <v>-</v>
      </c>
      <c r="AN106" s="4" t="str">
        <f t="shared" si="75"/>
        <v>-</v>
      </c>
      <c r="AO106" s="4" t="str">
        <f t="shared" si="76"/>
        <v>-</v>
      </c>
      <c r="AP106" s="4">
        <v>0</v>
      </c>
      <c r="AQ106" s="4" t="s">
        <v>359</v>
      </c>
      <c r="AR106" s="4">
        <v>1</v>
      </c>
      <c r="AS106" s="4">
        <v>30</v>
      </c>
      <c r="AT106" s="4" t="s">
        <v>352</v>
      </c>
      <c r="AU106" s="4">
        <v>3600</v>
      </c>
      <c r="AV106" s="4">
        <f t="shared" si="77"/>
        <v>120</v>
      </c>
      <c r="AW106" s="18">
        <v>4</v>
      </c>
      <c r="AX106" s="18">
        <v>1</v>
      </c>
      <c r="AY106" s="16">
        <v>5</v>
      </c>
      <c r="AZ106" t="s">
        <v>230</v>
      </c>
      <c r="BA106" t="str">
        <f t="shared" si="78"/>
        <v>-</v>
      </c>
      <c r="BB106">
        <v>108</v>
      </c>
      <c r="BC106">
        <f t="shared" si="79"/>
        <v>135</v>
      </c>
      <c r="BD106" t="s">
        <v>240</v>
      </c>
    </row>
    <row r="107" spans="1:56" x14ac:dyDescent="0.4">
      <c r="A107" s="3">
        <v>105</v>
      </c>
      <c r="B107" s="3">
        <v>9</v>
      </c>
      <c r="C107" s="40">
        <v>158818</v>
      </c>
      <c r="D107" s="4" t="str">
        <f t="shared" si="60"/>
        <v>158818</v>
      </c>
      <c r="E107" s="4">
        <v>158882</v>
      </c>
      <c r="F107" s="4" t="s">
        <v>167</v>
      </c>
      <c r="G107" s="5">
        <v>4902778260968</v>
      </c>
      <c r="H107" s="5">
        <v>8</v>
      </c>
      <c r="I107" s="5" t="str">
        <f>C107&amp;H107</f>
        <v>1588188</v>
      </c>
      <c r="J107" s="5"/>
      <c r="K107" s="5"/>
      <c r="L107" s="4">
        <v>1200</v>
      </c>
      <c r="M107" s="4">
        <v>899</v>
      </c>
      <c r="N107" s="4">
        <v>612</v>
      </c>
      <c r="O107" s="6">
        <f t="shared" si="61"/>
        <v>0.3192436040044494</v>
      </c>
      <c r="P107" s="4" t="s">
        <v>230</v>
      </c>
      <c r="Q107" s="4" t="s">
        <v>230</v>
      </c>
      <c r="R107" s="4" t="s">
        <v>230</v>
      </c>
      <c r="S107" s="4">
        <v>150</v>
      </c>
      <c r="T107" s="4">
        <f t="shared" si="62"/>
        <v>1500</v>
      </c>
      <c r="U107" s="4">
        <v>76.5</v>
      </c>
      <c r="V107" s="4">
        <f t="shared" si="63"/>
        <v>765</v>
      </c>
      <c r="W107" s="4">
        <v>10</v>
      </c>
      <c r="X107" s="20">
        <f t="shared" si="64"/>
        <v>1124</v>
      </c>
      <c r="Y107" s="6">
        <f t="shared" si="65"/>
        <v>0.31939501779359436</v>
      </c>
      <c r="Z107" s="32">
        <v>6.75</v>
      </c>
      <c r="AA107" s="4">
        <f t="shared" si="66"/>
        <v>1200</v>
      </c>
      <c r="AB107" s="32">
        <f t="shared" si="67"/>
        <v>1500</v>
      </c>
      <c r="AC107" s="6">
        <f t="shared" si="68"/>
        <v>0.49</v>
      </c>
      <c r="AD107" s="7">
        <v>1230</v>
      </c>
      <c r="AE107" s="6">
        <f t="shared" si="69"/>
        <v>0.37804878048780488</v>
      </c>
      <c r="AF107" s="4">
        <f t="shared" si="70"/>
        <v>465</v>
      </c>
      <c r="AG107" s="27"/>
      <c r="AH107" s="6"/>
      <c r="AI107" s="6"/>
      <c r="AJ107" s="6">
        <f t="shared" si="71"/>
        <v>1.25</v>
      </c>
      <c r="AK107" s="6">
        <f t="shared" si="72"/>
        <v>1.3681868743047831</v>
      </c>
      <c r="AL107" s="6">
        <f t="shared" si="73"/>
        <v>1.25</v>
      </c>
      <c r="AM107" s="4" t="str">
        <f t="shared" si="74"/>
        <v>-</v>
      </c>
      <c r="AN107" s="4" t="str">
        <f t="shared" si="75"/>
        <v>-</v>
      </c>
      <c r="AO107" s="4" t="str">
        <f t="shared" si="76"/>
        <v>-</v>
      </c>
      <c r="AP107" s="4">
        <v>0</v>
      </c>
      <c r="AQ107" s="4" t="s">
        <v>359</v>
      </c>
      <c r="AR107" s="4">
        <v>10</v>
      </c>
      <c r="AS107" s="4">
        <v>30</v>
      </c>
      <c r="AT107" s="4" t="s">
        <v>352</v>
      </c>
      <c r="AU107" s="4">
        <v>3600</v>
      </c>
      <c r="AV107" s="4">
        <f t="shared" si="77"/>
        <v>1200</v>
      </c>
      <c r="AW107" s="18">
        <v>4</v>
      </c>
      <c r="AX107" s="18">
        <v>1</v>
      </c>
      <c r="AY107" s="16">
        <v>5</v>
      </c>
      <c r="AZ107" t="s">
        <v>230</v>
      </c>
      <c r="BA107" t="str">
        <f t="shared" si="78"/>
        <v>-</v>
      </c>
      <c r="BB107">
        <v>108</v>
      </c>
      <c r="BC107">
        <f t="shared" si="79"/>
        <v>135</v>
      </c>
      <c r="BD107" t="s">
        <v>240</v>
      </c>
    </row>
    <row r="108" spans="1:56" x14ac:dyDescent="0.4">
      <c r="A108" s="3">
        <v>10</v>
      </c>
      <c r="B108" s="3">
        <v>10</v>
      </c>
      <c r="C108" s="40">
        <v>158819</v>
      </c>
      <c r="D108" s="4" t="str">
        <f t="shared" si="60"/>
        <v>158819</v>
      </c>
      <c r="E108" s="4">
        <v>158819</v>
      </c>
      <c r="F108" s="4" t="s">
        <v>71</v>
      </c>
      <c r="G108" s="5">
        <v>4902778260975</v>
      </c>
      <c r="H108" s="5"/>
      <c r="I108" s="5"/>
      <c r="J108" s="5">
        <v>2</v>
      </c>
      <c r="K108" s="5">
        <v>2</v>
      </c>
      <c r="L108" s="4">
        <v>120</v>
      </c>
      <c r="M108" s="4">
        <v>96</v>
      </c>
      <c r="N108" s="4">
        <v>61.2</v>
      </c>
      <c r="O108" s="6">
        <f t="shared" si="61"/>
        <v>0.36249999999999993</v>
      </c>
      <c r="P108" s="4" t="s">
        <v>230</v>
      </c>
      <c r="Q108" s="4" t="s">
        <v>230</v>
      </c>
      <c r="R108" s="4" t="s">
        <v>230</v>
      </c>
      <c r="S108" s="4">
        <v>150</v>
      </c>
      <c r="T108" s="4">
        <f t="shared" si="62"/>
        <v>150</v>
      </c>
      <c r="U108" s="4">
        <v>76.5</v>
      </c>
      <c r="V108" s="4">
        <f t="shared" si="63"/>
        <v>76.5</v>
      </c>
      <c r="W108" s="4"/>
      <c r="X108" s="20">
        <f t="shared" si="64"/>
        <v>120</v>
      </c>
      <c r="Y108" s="6">
        <f t="shared" si="65"/>
        <v>0.36250000000000004</v>
      </c>
      <c r="Z108" s="32">
        <v>1.5</v>
      </c>
      <c r="AA108" s="4">
        <f t="shared" si="66"/>
        <v>120</v>
      </c>
      <c r="AB108" s="32">
        <f t="shared" si="67"/>
        <v>150</v>
      </c>
      <c r="AC108" s="6">
        <f t="shared" si="68"/>
        <v>0.49</v>
      </c>
      <c r="AD108" s="7">
        <v>130</v>
      </c>
      <c r="AE108" s="6">
        <f t="shared" si="69"/>
        <v>0.41153846153846152</v>
      </c>
      <c r="AF108" s="4">
        <f t="shared" si="70"/>
        <v>53.5</v>
      </c>
      <c r="AG108" s="27"/>
      <c r="AH108" s="6"/>
      <c r="AI108" s="6"/>
      <c r="AJ108" s="6">
        <f t="shared" si="71"/>
        <v>1.25</v>
      </c>
      <c r="AK108" s="6">
        <f t="shared" si="72"/>
        <v>1.3541666666666667</v>
      </c>
      <c r="AL108" s="6">
        <f t="shared" si="73"/>
        <v>1.25</v>
      </c>
      <c r="AM108" s="4" t="str">
        <f t="shared" si="74"/>
        <v>-</v>
      </c>
      <c r="AN108" s="4" t="str">
        <f t="shared" si="75"/>
        <v>-</v>
      </c>
      <c r="AO108" s="4" t="str">
        <f t="shared" si="76"/>
        <v>-</v>
      </c>
      <c r="AP108" s="4">
        <v>0</v>
      </c>
      <c r="AQ108" s="4" t="s">
        <v>360</v>
      </c>
      <c r="AR108" s="4">
        <v>1</v>
      </c>
      <c r="AS108" s="4">
        <v>30</v>
      </c>
      <c r="AT108" s="4" t="s">
        <v>352</v>
      </c>
      <c r="AU108" s="4">
        <v>3600</v>
      </c>
      <c r="AV108" s="4">
        <f t="shared" si="77"/>
        <v>120</v>
      </c>
      <c r="AW108" s="18">
        <v>4</v>
      </c>
      <c r="AX108" s="18">
        <v>1</v>
      </c>
      <c r="AY108" s="16">
        <v>5</v>
      </c>
      <c r="AZ108" t="s">
        <v>230</v>
      </c>
      <c r="BA108" t="str">
        <f t="shared" si="78"/>
        <v>-</v>
      </c>
      <c r="BB108">
        <v>108</v>
      </c>
      <c r="BC108">
        <f t="shared" si="79"/>
        <v>135</v>
      </c>
      <c r="BD108" t="s">
        <v>241</v>
      </c>
    </row>
    <row r="109" spans="1:56" x14ac:dyDescent="0.4">
      <c r="A109" s="3">
        <v>106</v>
      </c>
      <c r="B109" s="3">
        <v>10</v>
      </c>
      <c r="C109" s="40">
        <v>158819</v>
      </c>
      <c r="D109" s="4" t="str">
        <f t="shared" si="60"/>
        <v>158819</v>
      </c>
      <c r="E109" s="4">
        <v>158883</v>
      </c>
      <c r="F109" s="4" t="s">
        <v>168</v>
      </c>
      <c r="G109" s="5">
        <v>4902778260975</v>
      </c>
      <c r="H109" s="5">
        <v>8</v>
      </c>
      <c r="I109" s="5" t="str">
        <f>C109&amp;H109</f>
        <v>1588198</v>
      </c>
      <c r="J109" s="5"/>
      <c r="K109" s="5"/>
      <c r="L109" s="4">
        <v>1200</v>
      </c>
      <c r="M109" s="4">
        <v>846</v>
      </c>
      <c r="N109" s="4">
        <v>612</v>
      </c>
      <c r="O109" s="6">
        <f t="shared" si="61"/>
        <v>0.27659574468085102</v>
      </c>
      <c r="P109" s="4" t="s">
        <v>230</v>
      </c>
      <c r="Q109" s="4" t="s">
        <v>230</v>
      </c>
      <c r="R109" s="4" t="s">
        <v>230</v>
      </c>
      <c r="S109" s="4">
        <v>150</v>
      </c>
      <c r="T109" s="4">
        <f t="shared" si="62"/>
        <v>1500</v>
      </c>
      <c r="U109" s="4">
        <v>76.5</v>
      </c>
      <c r="V109" s="4">
        <f t="shared" si="63"/>
        <v>765</v>
      </c>
      <c r="W109" s="4">
        <v>10</v>
      </c>
      <c r="X109" s="20">
        <f t="shared" si="64"/>
        <v>1058</v>
      </c>
      <c r="Y109" s="6">
        <f t="shared" si="65"/>
        <v>0.27693761814744799</v>
      </c>
      <c r="Z109" s="32">
        <v>1.5</v>
      </c>
      <c r="AA109" s="4">
        <f t="shared" si="66"/>
        <v>1200</v>
      </c>
      <c r="AB109" s="32">
        <f t="shared" si="67"/>
        <v>1500</v>
      </c>
      <c r="AC109" s="6">
        <f t="shared" si="68"/>
        <v>0.49</v>
      </c>
      <c r="AD109" s="7">
        <v>1230</v>
      </c>
      <c r="AE109" s="6">
        <f t="shared" si="69"/>
        <v>0.37804878048780488</v>
      </c>
      <c r="AF109" s="4">
        <f t="shared" si="70"/>
        <v>465</v>
      </c>
      <c r="AG109" s="27"/>
      <c r="AH109" s="6"/>
      <c r="AI109" s="6"/>
      <c r="AJ109" s="6">
        <f t="shared" si="71"/>
        <v>1.25</v>
      </c>
      <c r="AK109" s="6">
        <f t="shared" si="72"/>
        <v>1.4539007092198581</v>
      </c>
      <c r="AL109" s="6">
        <f t="shared" si="73"/>
        <v>1.25</v>
      </c>
      <c r="AM109" s="4" t="str">
        <f t="shared" si="74"/>
        <v>-</v>
      </c>
      <c r="AN109" s="4" t="str">
        <f t="shared" si="75"/>
        <v>-</v>
      </c>
      <c r="AO109" s="4" t="str">
        <f t="shared" si="76"/>
        <v>-</v>
      </c>
      <c r="AP109" s="4">
        <v>0</v>
      </c>
      <c r="AQ109" s="4" t="s">
        <v>360</v>
      </c>
      <c r="AR109" s="4">
        <v>10</v>
      </c>
      <c r="AS109" s="4">
        <v>30</v>
      </c>
      <c r="AT109" s="4" t="s">
        <v>352</v>
      </c>
      <c r="AU109" s="4">
        <v>3600</v>
      </c>
      <c r="AV109" s="4">
        <f t="shared" si="77"/>
        <v>1200</v>
      </c>
      <c r="AW109" s="18">
        <v>4</v>
      </c>
      <c r="AX109" s="18">
        <v>1</v>
      </c>
      <c r="AY109" s="16">
        <v>5</v>
      </c>
      <c r="AZ109" t="s">
        <v>230</v>
      </c>
      <c r="BA109" t="str">
        <f t="shared" si="78"/>
        <v>-</v>
      </c>
      <c r="BB109">
        <v>108</v>
      </c>
      <c r="BC109">
        <f t="shared" si="79"/>
        <v>135</v>
      </c>
      <c r="BD109" t="s">
        <v>241</v>
      </c>
    </row>
    <row r="110" spans="1:56" x14ac:dyDescent="0.4">
      <c r="A110" s="3">
        <v>11</v>
      </c>
      <c r="B110" s="3">
        <v>11</v>
      </c>
      <c r="C110" s="40">
        <v>158820</v>
      </c>
      <c r="D110" s="4" t="str">
        <f t="shared" si="60"/>
        <v>158820</v>
      </c>
      <c r="E110" s="4">
        <v>158820</v>
      </c>
      <c r="F110" s="4" t="s">
        <v>72</v>
      </c>
      <c r="G110" s="5">
        <v>4902778260982</v>
      </c>
      <c r="H110" s="5"/>
      <c r="I110" s="5"/>
      <c r="J110" s="5">
        <v>2</v>
      </c>
      <c r="K110" s="5">
        <v>2</v>
      </c>
      <c r="L110" s="4">
        <v>120</v>
      </c>
      <c r="M110" s="4">
        <v>97</v>
      </c>
      <c r="N110" s="4">
        <v>61.2</v>
      </c>
      <c r="O110" s="6">
        <f t="shared" si="61"/>
        <v>0.36907216494845363</v>
      </c>
      <c r="P110" s="4" t="s">
        <v>230</v>
      </c>
      <c r="Q110" s="4" t="s">
        <v>230</v>
      </c>
      <c r="R110" s="4" t="s">
        <v>230</v>
      </c>
      <c r="S110" s="4">
        <v>150</v>
      </c>
      <c r="T110" s="4">
        <f t="shared" si="62"/>
        <v>150</v>
      </c>
      <c r="U110" s="4">
        <v>76.5</v>
      </c>
      <c r="V110" s="4">
        <f t="shared" si="63"/>
        <v>76.5</v>
      </c>
      <c r="W110" s="4"/>
      <c r="X110" s="20">
        <f t="shared" si="64"/>
        <v>121</v>
      </c>
      <c r="Y110" s="6">
        <f t="shared" si="65"/>
        <v>0.36776859504132231</v>
      </c>
      <c r="Z110" s="32">
        <v>4.25</v>
      </c>
      <c r="AA110" s="4">
        <f t="shared" si="66"/>
        <v>100</v>
      </c>
      <c r="AB110" s="32">
        <f t="shared" si="67"/>
        <v>125</v>
      </c>
      <c r="AC110" s="6">
        <f t="shared" si="68"/>
        <v>0.38800000000000001</v>
      </c>
      <c r="AD110" s="7">
        <v>130</v>
      </c>
      <c r="AE110" s="6">
        <f t="shared" si="69"/>
        <v>0.41153846153846152</v>
      </c>
      <c r="AF110" s="4">
        <f t="shared" si="70"/>
        <v>53.5</v>
      </c>
      <c r="AG110" s="27"/>
      <c r="AH110" s="6"/>
      <c r="AI110" s="6"/>
      <c r="AJ110" s="6">
        <f t="shared" si="71"/>
        <v>1.25</v>
      </c>
      <c r="AK110" s="6">
        <f t="shared" si="72"/>
        <v>1.3402061855670102</v>
      </c>
      <c r="AL110" s="6">
        <f t="shared" si="73"/>
        <v>1.25</v>
      </c>
      <c r="AM110" s="4" t="str">
        <f t="shared" si="74"/>
        <v>-</v>
      </c>
      <c r="AN110" s="4" t="str">
        <f t="shared" si="75"/>
        <v>-</v>
      </c>
      <c r="AO110" s="4" t="str">
        <f t="shared" si="76"/>
        <v>-</v>
      </c>
      <c r="AP110" s="4">
        <v>0</v>
      </c>
      <c r="AQ110" s="4" t="s">
        <v>361</v>
      </c>
      <c r="AR110" s="4"/>
      <c r="AS110" s="4"/>
      <c r="AT110" s="4" t="s">
        <v>349</v>
      </c>
      <c r="AU110" s="4">
        <v>100</v>
      </c>
      <c r="AV110" s="4">
        <f t="shared" si="77"/>
        <v>100</v>
      </c>
      <c r="AW110" s="18">
        <v>4</v>
      </c>
      <c r="AX110" s="18">
        <v>1</v>
      </c>
      <c r="AY110" s="16">
        <v>5</v>
      </c>
      <c r="AZ110" t="s">
        <v>230</v>
      </c>
      <c r="BA110" t="str">
        <f t="shared" si="78"/>
        <v>-</v>
      </c>
      <c r="BB110">
        <v>108</v>
      </c>
      <c r="BC110">
        <f t="shared" si="79"/>
        <v>135</v>
      </c>
      <c r="BD110" t="s">
        <v>242</v>
      </c>
    </row>
    <row r="111" spans="1:56" x14ac:dyDescent="0.4">
      <c r="A111" s="3">
        <v>107</v>
      </c>
      <c r="B111" s="3">
        <v>11</v>
      </c>
      <c r="C111" s="40">
        <v>158820</v>
      </c>
      <c r="D111" s="4" t="str">
        <f t="shared" si="60"/>
        <v>158820</v>
      </c>
      <c r="E111" s="4">
        <v>158884</v>
      </c>
      <c r="F111" s="4" t="s">
        <v>169</v>
      </c>
      <c r="G111" s="5">
        <v>4902778260982</v>
      </c>
      <c r="H111" s="5">
        <v>8</v>
      </c>
      <c r="I111" s="5" t="str">
        <f>C111&amp;H111</f>
        <v>1588208</v>
      </c>
      <c r="J111" s="5"/>
      <c r="K111" s="5"/>
      <c r="L111" s="4">
        <v>1200</v>
      </c>
      <c r="M111" s="4">
        <v>916</v>
      </c>
      <c r="N111" s="4">
        <v>612</v>
      </c>
      <c r="O111" s="6">
        <f t="shared" si="61"/>
        <v>0.33187772925764192</v>
      </c>
      <c r="P111" s="4" t="s">
        <v>230</v>
      </c>
      <c r="Q111" s="4" t="s">
        <v>230</v>
      </c>
      <c r="R111" s="4" t="s">
        <v>230</v>
      </c>
      <c r="S111" s="4">
        <v>150</v>
      </c>
      <c r="T111" s="4">
        <f t="shared" si="62"/>
        <v>1500</v>
      </c>
      <c r="U111" s="4">
        <v>76.5</v>
      </c>
      <c r="V111" s="4">
        <f t="shared" si="63"/>
        <v>765</v>
      </c>
      <c r="W111" s="4">
        <v>10</v>
      </c>
      <c r="X111" s="20">
        <f t="shared" si="64"/>
        <v>1145</v>
      </c>
      <c r="Y111" s="6">
        <f t="shared" si="65"/>
        <v>0.33187772925764192</v>
      </c>
      <c r="Z111" s="32">
        <v>4.25</v>
      </c>
      <c r="AA111" s="4">
        <f t="shared" si="66"/>
        <v>946</v>
      </c>
      <c r="AB111" s="32">
        <f t="shared" si="67"/>
        <v>1182.5</v>
      </c>
      <c r="AC111" s="6">
        <f t="shared" si="68"/>
        <v>0.35306553911205074</v>
      </c>
      <c r="AD111" s="7">
        <v>1230</v>
      </c>
      <c r="AE111" s="6">
        <f t="shared" si="69"/>
        <v>0.37804878048780488</v>
      </c>
      <c r="AF111" s="4">
        <f t="shared" si="70"/>
        <v>465</v>
      </c>
      <c r="AG111" s="27"/>
      <c r="AH111" s="6"/>
      <c r="AI111" s="6"/>
      <c r="AJ111" s="6">
        <f t="shared" si="71"/>
        <v>1.25</v>
      </c>
      <c r="AK111" s="6">
        <f t="shared" si="72"/>
        <v>1.3427947598253276</v>
      </c>
      <c r="AL111" s="6">
        <f t="shared" si="73"/>
        <v>1.25</v>
      </c>
      <c r="AM111" s="4" t="str">
        <f t="shared" si="74"/>
        <v>-</v>
      </c>
      <c r="AN111" s="4" t="str">
        <f t="shared" si="75"/>
        <v>-</v>
      </c>
      <c r="AO111" s="4" t="str">
        <f t="shared" si="76"/>
        <v>-</v>
      </c>
      <c r="AP111" s="4">
        <v>0</v>
      </c>
      <c r="AQ111" s="4" t="s">
        <v>456</v>
      </c>
      <c r="AR111" s="4"/>
      <c r="AS111" s="4"/>
      <c r="AT111" s="4" t="s">
        <v>409</v>
      </c>
      <c r="AU111" s="4">
        <v>946</v>
      </c>
      <c r="AV111" s="4">
        <f t="shared" si="77"/>
        <v>946</v>
      </c>
      <c r="AW111" s="18">
        <v>4</v>
      </c>
      <c r="AX111" s="18">
        <v>1</v>
      </c>
      <c r="AY111" s="16">
        <v>5</v>
      </c>
      <c r="AZ111" t="s">
        <v>230</v>
      </c>
      <c r="BA111" t="str">
        <f t="shared" si="78"/>
        <v>-</v>
      </c>
      <c r="BB111">
        <v>108</v>
      </c>
      <c r="BC111">
        <f t="shared" si="79"/>
        <v>135</v>
      </c>
      <c r="BD111" t="s">
        <v>327</v>
      </c>
    </row>
    <row r="112" spans="1:56" x14ac:dyDescent="0.4">
      <c r="A112" s="3">
        <v>12</v>
      </c>
      <c r="B112" s="3">
        <v>12</v>
      </c>
      <c r="C112" s="40">
        <v>158821</v>
      </c>
      <c r="D112" s="4" t="str">
        <f t="shared" si="60"/>
        <v>158821</v>
      </c>
      <c r="E112" s="4">
        <v>158821</v>
      </c>
      <c r="F112" s="4" t="s">
        <v>73</v>
      </c>
      <c r="G112" s="5">
        <v>4902778260999</v>
      </c>
      <c r="H112" s="5"/>
      <c r="I112" s="5"/>
      <c r="J112" s="5">
        <v>2</v>
      </c>
      <c r="K112" s="5">
        <v>2</v>
      </c>
      <c r="L112" s="4">
        <v>120</v>
      </c>
      <c r="M112" s="4">
        <v>97</v>
      </c>
      <c r="N112" s="4">
        <v>61.2</v>
      </c>
      <c r="O112" s="6">
        <f t="shared" si="61"/>
        <v>0.36907216494845363</v>
      </c>
      <c r="P112" s="4" t="s">
        <v>230</v>
      </c>
      <c r="Q112" s="4" t="s">
        <v>230</v>
      </c>
      <c r="R112" s="4" t="s">
        <v>230</v>
      </c>
      <c r="S112" s="4">
        <v>150</v>
      </c>
      <c r="T112" s="4">
        <f t="shared" si="62"/>
        <v>150</v>
      </c>
      <c r="U112" s="4">
        <v>76.5</v>
      </c>
      <c r="V112" s="4">
        <f t="shared" si="63"/>
        <v>76.5</v>
      </c>
      <c r="W112" s="4"/>
      <c r="X112" s="20">
        <f t="shared" si="64"/>
        <v>121</v>
      </c>
      <c r="Y112" s="6">
        <f t="shared" si="65"/>
        <v>0.36776859504132231</v>
      </c>
      <c r="Z112" s="32">
        <v>2.75</v>
      </c>
      <c r="AA112" s="4">
        <f t="shared" si="66"/>
        <v>116.66666666666666</v>
      </c>
      <c r="AB112" s="32">
        <f t="shared" si="67"/>
        <v>145.83333333333331</v>
      </c>
      <c r="AC112" s="6">
        <f t="shared" si="68"/>
        <v>0.47542857142857131</v>
      </c>
      <c r="AD112" s="7">
        <v>130</v>
      </c>
      <c r="AE112" s="6">
        <f t="shared" si="69"/>
        <v>0.41153846153846152</v>
      </c>
      <c r="AF112" s="4">
        <f t="shared" si="70"/>
        <v>53.5</v>
      </c>
      <c r="AG112" s="27"/>
      <c r="AH112" s="6"/>
      <c r="AI112" s="6"/>
      <c r="AJ112" s="6">
        <f t="shared" si="71"/>
        <v>1.25</v>
      </c>
      <c r="AK112" s="6">
        <f t="shared" si="72"/>
        <v>1.3402061855670102</v>
      </c>
      <c r="AL112" s="6">
        <f t="shared" si="73"/>
        <v>1.25</v>
      </c>
      <c r="AM112" s="4" t="str">
        <f t="shared" si="74"/>
        <v>-</v>
      </c>
      <c r="AN112" s="4" t="str">
        <f t="shared" si="75"/>
        <v>-</v>
      </c>
      <c r="AO112" s="4" t="str">
        <f t="shared" si="76"/>
        <v>-</v>
      </c>
      <c r="AP112" s="4">
        <v>0</v>
      </c>
      <c r="AQ112" s="4" t="s">
        <v>362</v>
      </c>
      <c r="AR112" s="4">
        <v>1</v>
      </c>
      <c r="AS112" s="4">
        <v>3</v>
      </c>
      <c r="AT112" s="4" t="s">
        <v>354</v>
      </c>
      <c r="AU112" s="4">
        <v>350</v>
      </c>
      <c r="AV112" s="4">
        <f t="shared" si="77"/>
        <v>116.66666666666666</v>
      </c>
      <c r="AW112" s="18">
        <v>4</v>
      </c>
      <c r="AX112" s="18">
        <v>1</v>
      </c>
      <c r="AY112" s="16">
        <v>5</v>
      </c>
      <c r="AZ112" t="s">
        <v>230</v>
      </c>
      <c r="BA112" t="str">
        <f t="shared" si="78"/>
        <v>-</v>
      </c>
      <c r="BB112">
        <v>108</v>
      </c>
      <c r="BC112">
        <f t="shared" si="79"/>
        <v>135</v>
      </c>
      <c r="BD112" t="s">
        <v>243</v>
      </c>
    </row>
    <row r="113" spans="1:56" x14ac:dyDescent="0.4">
      <c r="A113" s="3">
        <v>108</v>
      </c>
      <c r="B113" s="3">
        <v>12</v>
      </c>
      <c r="C113" s="40">
        <v>158821</v>
      </c>
      <c r="D113" s="4" t="str">
        <f t="shared" si="60"/>
        <v>158821</v>
      </c>
      <c r="E113" s="4">
        <v>158885</v>
      </c>
      <c r="F113" s="4" t="s">
        <v>170</v>
      </c>
      <c r="G113" s="5">
        <v>4902778260999</v>
      </c>
      <c r="H113" s="5">
        <v>8</v>
      </c>
      <c r="I113" s="5" t="str">
        <f>C113&amp;H113</f>
        <v>1588218</v>
      </c>
      <c r="J113" s="5"/>
      <c r="K113" s="5"/>
      <c r="L113" s="4">
        <v>1200</v>
      </c>
      <c r="M113" s="4">
        <v>899</v>
      </c>
      <c r="N113" s="4">
        <v>612</v>
      </c>
      <c r="O113" s="6">
        <f t="shared" si="61"/>
        <v>0.3192436040044494</v>
      </c>
      <c r="P113" s="4" t="s">
        <v>230</v>
      </c>
      <c r="Q113" s="4" t="s">
        <v>230</v>
      </c>
      <c r="R113" s="4" t="s">
        <v>230</v>
      </c>
      <c r="S113" s="4">
        <v>150</v>
      </c>
      <c r="T113" s="4">
        <f t="shared" si="62"/>
        <v>1500</v>
      </c>
      <c r="U113" s="4">
        <v>76.5</v>
      </c>
      <c r="V113" s="4">
        <f t="shared" si="63"/>
        <v>765</v>
      </c>
      <c r="W113" s="4">
        <v>10</v>
      </c>
      <c r="X113" s="20">
        <f t="shared" si="64"/>
        <v>1124</v>
      </c>
      <c r="Y113" s="6">
        <f t="shared" si="65"/>
        <v>0.31939501779359436</v>
      </c>
      <c r="Z113" s="32">
        <v>2.75</v>
      </c>
      <c r="AA113" s="4">
        <f t="shared" si="66"/>
        <v>1166.6666666666667</v>
      </c>
      <c r="AB113" s="32">
        <f t="shared" si="67"/>
        <v>1458.3333333333335</v>
      </c>
      <c r="AC113" s="6">
        <f t="shared" si="68"/>
        <v>0.47542857142857153</v>
      </c>
      <c r="AD113" s="7">
        <v>1230</v>
      </c>
      <c r="AE113" s="6">
        <f t="shared" si="69"/>
        <v>0.37804878048780488</v>
      </c>
      <c r="AF113" s="4">
        <f t="shared" si="70"/>
        <v>465</v>
      </c>
      <c r="AG113" s="27"/>
      <c r="AH113" s="6"/>
      <c r="AI113" s="6"/>
      <c r="AJ113" s="6">
        <f t="shared" si="71"/>
        <v>1.25</v>
      </c>
      <c r="AK113" s="6">
        <f t="shared" si="72"/>
        <v>1.3681868743047831</v>
      </c>
      <c r="AL113" s="6">
        <f t="shared" si="73"/>
        <v>1.25</v>
      </c>
      <c r="AM113" s="4" t="str">
        <f t="shared" si="74"/>
        <v>-</v>
      </c>
      <c r="AN113" s="4" t="str">
        <f t="shared" si="75"/>
        <v>-</v>
      </c>
      <c r="AO113" s="4" t="str">
        <f t="shared" si="76"/>
        <v>-</v>
      </c>
      <c r="AP113" s="4">
        <v>0</v>
      </c>
      <c r="AQ113" s="4" t="s">
        <v>362</v>
      </c>
      <c r="AR113" s="4">
        <v>10</v>
      </c>
      <c r="AS113" s="4">
        <v>3</v>
      </c>
      <c r="AT113" s="4" t="s">
        <v>354</v>
      </c>
      <c r="AU113" s="4">
        <v>350</v>
      </c>
      <c r="AV113" s="4">
        <f t="shared" si="77"/>
        <v>1166.6666666666667</v>
      </c>
      <c r="AW113" s="18">
        <v>4</v>
      </c>
      <c r="AX113" s="18">
        <v>1</v>
      </c>
      <c r="AY113" s="16">
        <v>5</v>
      </c>
      <c r="AZ113" t="s">
        <v>230</v>
      </c>
      <c r="BA113" t="str">
        <f t="shared" si="78"/>
        <v>-</v>
      </c>
      <c r="BB113">
        <v>108</v>
      </c>
      <c r="BC113">
        <f t="shared" si="79"/>
        <v>135</v>
      </c>
      <c r="BD113" t="s">
        <v>243</v>
      </c>
    </row>
    <row r="114" spans="1:56" x14ac:dyDescent="0.4">
      <c r="A114" s="3">
        <v>13</v>
      </c>
      <c r="B114" s="3">
        <v>13</v>
      </c>
      <c r="C114" s="40">
        <v>158822</v>
      </c>
      <c r="D114" s="4" t="str">
        <f t="shared" si="60"/>
        <v>158822</v>
      </c>
      <c r="E114" s="4">
        <v>158822</v>
      </c>
      <c r="F114" s="4" t="s">
        <v>74</v>
      </c>
      <c r="G114" s="5">
        <v>4902778261002</v>
      </c>
      <c r="H114" s="5"/>
      <c r="I114" s="5"/>
      <c r="J114" s="5">
        <v>2</v>
      </c>
      <c r="K114" s="5">
        <v>2</v>
      </c>
      <c r="L114" s="4">
        <v>120</v>
      </c>
      <c r="M114" s="4">
        <v>106</v>
      </c>
      <c r="N114" s="4">
        <v>61.2</v>
      </c>
      <c r="O114" s="6">
        <f t="shared" si="61"/>
        <v>0.42264150943396228</v>
      </c>
      <c r="P114" s="4" t="s">
        <v>230</v>
      </c>
      <c r="Q114" s="4" t="s">
        <v>230</v>
      </c>
      <c r="R114" s="4" t="s">
        <v>230</v>
      </c>
      <c r="S114" s="4">
        <v>150</v>
      </c>
      <c r="T114" s="4">
        <f t="shared" si="62"/>
        <v>150</v>
      </c>
      <c r="U114" s="4">
        <v>76.5</v>
      </c>
      <c r="V114" s="4">
        <f t="shared" si="63"/>
        <v>76.5</v>
      </c>
      <c r="W114" s="4"/>
      <c r="X114" s="20">
        <f t="shared" si="64"/>
        <v>133</v>
      </c>
      <c r="Y114" s="6">
        <f t="shared" si="65"/>
        <v>0.42481203007518797</v>
      </c>
      <c r="Z114" s="32">
        <v>5.75</v>
      </c>
      <c r="AA114" s="4">
        <f t="shared" si="66"/>
        <v>113</v>
      </c>
      <c r="AB114" s="32">
        <f t="shared" si="67"/>
        <v>141.25</v>
      </c>
      <c r="AC114" s="6">
        <f t="shared" si="68"/>
        <v>0.45840707964601768</v>
      </c>
      <c r="AD114" s="7">
        <v>130</v>
      </c>
      <c r="AE114" s="6">
        <f t="shared" si="69"/>
        <v>0.41153846153846152</v>
      </c>
      <c r="AF114" s="4">
        <f t="shared" si="70"/>
        <v>53.5</v>
      </c>
      <c r="AG114" s="27"/>
      <c r="AH114" s="6"/>
      <c r="AI114" s="6"/>
      <c r="AJ114" s="6">
        <f t="shared" si="71"/>
        <v>1.25</v>
      </c>
      <c r="AK114" s="6">
        <f t="shared" si="72"/>
        <v>1.2264150943396226</v>
      </c>
      <c r="AL114" s="6">
        <f t="shared" si="73"/>
        <v>1.25</v>
      </c>
      <c r="AM114" s="4" t="str">
        <f t="shared" si="74"/>
        <v>-</v>
      </c>
      <c r="AN114" s="4" t="str">
        <f t="shared" si="75"/>
        <v>-</v>
      </c>
      <c r="AO114" s="4" t="str">
        <f t="shared" si="76"/>
        <v>-</v>
      </c>
      <c r="AP114" s="4">
        <v>0</v>
      </c>
      <c r="AQ114" s="4" t="s">
        <v>363</v>
      </c>
      <c r="AR114" s="4"/>
      <c r="AS114" s="4"/>
      <c r="AT114" s="4" t="s">
        <v>349</v>
      </c>
      <c r="AU114" s="4">
        <v>113</v>
      </c>
      <c r="AV114" s="4">
        <f t="shared" si="77"/>
        <v>113</v>
      </c>
      <c r="AW114" s="18">
        <v>4</v>
      </c>
      <c r="AX114" s="18">
        <v>1</v>
      </c>
      <c r="AY114" s="16">
        <v>5</v>
      </c>
      <c r="AZ114" t="s">
        <v>230</v>
      </c>
      <c r="BA114" t="str">
        <f t="shared" si="78"/>
        <v>-</v>
      </c>
      <c r="BB114">
        <v>108</v>
      </c>
      <c r="BC114">
        <f t="shared" si="79"/>
        <v>135</v>
      </c>
      <c r="BD114" t="s">
        <v>244</v>
      </c>
    </row>
    <row r="115" spans="1:56" x14ac:dyDescent="0.4">
      <c r="A115" s="3">
        <v>109</v>
      </c>
      <c r="B115" s="3">
        <v>13</v>
      </c>
      <c r="C115" s="40">
        <v>158822</v>
      </c>
      <c r="D115" s="4" t="str">
        <f t="shared" si="60"/>
        <v>158822</v>
      </c>
      <c r="E115" s="4">
        <v>158886</v>
      </c>
      <c r="F115" s="4" t="s">
        <v>171</v>
      </c>
      <c r="G115" s="5">
        <v>4902778261002</v>
      </c>
      <c r="H115" s="5">
        <v>8</v>
      </c>
      <c r="I115" s="5" t="str">
        <f>C115&amp;H115</f>
        <v>1588228</v>
      </c>
      <c r="J115" s="5"/>
      <c r="K115" s="5"/>
      <c r="L115" s="4">
        <v>1200</v>
      </c>
      <c r="M115" s="4">
        <v>916</v>
      </c>
      <c r="N115" s="4">
        <v>612</v>
      </c>
      <c r="O115" s="6">
        <f t="shared" si="61"/>
        <v>0.33187772925764192</v>
      </c>
      <c r="P115" s="4" t="s">
        <v>230</v>
      </c>
      <c r="Q115" s="4" t="s">
        <v>230</v>
      </c>
      <c r="R115" s="4" t="s">
        <v>230</v>
      </c>
      <c r="S115" s="4">
        <v>150</v>
      </c>
      <c r="T115" s="4">
        <f t="shared" si="62"/>
        <v>1500</v>
      </c>
      <c r="U115" s="4">
        <v>76.5</v>
      </c>
      <c r="V115" s="4">
        <f t="shared" si="63"/>
        <v>765</v>
      </c>
      <c r="W115" s="4">
        <v>10</v>
      </c>
      <c r="X115" s="20">
        <f t="shared" si="64"/>
        <v>1145</v>
      </c>
      <c r="Y115" s="6">
        <f t="shared" si="65"/>
        <v>0.33187772925764192</v>
      </c>
      <c r="Z115" s="32">
        <v>5.75</v>
      </c>
      <c r="AA115" s="4">
        <f t="shared" si="66"/>
        <v>1093.3333333333335</v>
      </c>
      <c r="AB115" s="32">
        <f t="shared" si="67"/>
        <v>1366.666666666667</v>
      </c>
      <c r="AC115" s="6">
        <f t="shared" si="68"/>
        <v>0.44024390243902456</v>
      </c>
      <c r="AD115" s="7">
        <v>1230</v>
      </c>
      <c r="AE115" s="6">
        <f t="shared" si="69"/>
        <v>0.37804878048780488</v>
      </c>
      <c r="AF115" s="4">
        <f t="shared" si="70"/>
        <v>465</v>
      </c>
      <c r="AG115" s="27"/>
      <c r="AH115" s="6"/>
      <c r="AI115" s="6"/>
      <c r="AJ115" s="6">
        <f t="shared" si="71"/>
        <v>1.25</v>
      </c>
      <c r="AK115" s="6">
        <f t="shared" si="72"/>
        <v>1.3427947598253276</v>
      </c>
      <c r="AL115" s="6">
        <f t="shared" si="73"/>
        <v>1.25</v>
      </c>
      <c r="AM115" s="4" t="str">
        <f t="shared" si="74"/>
        <v>-</v>
      </c>
      <c r="AN115" s="4" t="str">
        <f t="shared" si="75"/>
        <v>-</v>
      </c>
      <c r="AO115" s="4" t="str">
        <f t="shared" si="76"/>
        <v>-</v>
      </c>
      <c r="AP115" s="4">
        <v>0</v>
      </c>
      <c r="AQ115" s="4" t="s">
        <v>457</v>
      </c>
      <c r="AR115" s="4">
        <v>10</v>
      </c>
      <c r="AS115" s="4">
        <v>3</v>
      </c>
      <c r="AT115" s="4" t="s">
        <v>354</v>
      </c>
      <c r="AU115" s="4">
        <v>328</v>
      </c>
      <c r="AV115" s="4">
        <f t="shared" si="77"/>
        <v>1093.3333333333335</v>
      </c>
      <c r="AW115" s="18">
        <v>4</v>
      </c>
      <c r="AX115" s="18">
        <v>1</v>
      </c>
      <c r="AY115" s="16">
        <v>5</v>
      </c>
      <c r="AZ115" t="s">
        <v>230</v>
      </c>
      <c r="BA115" t="str">
        <f t="shared" si="78"/>
        <v>-</v>
      </c>
      <c r="BB115">
        <v>108</v>
      </c>
      <c r="BC115">
        <f t="shared" si="79"/>
        <v>135</v>
      </c>
      <c r="BD115" t="s">
        <v>244</v>
      </c>
    </row>
    <row r="116" spans="1:56" x14ac:dyDescent="0.4">
      <c r="A116" s="3">
        <v>14</v>
      </c>
      <c r="B116" s="3">
        <v>14</v>
      </c>
      <c r="C116" s="40">
        <v>158823</v>
      </c>
      <c r="D116" s="4" t="str">
        <f t="shared" si="60"/>
        <v>158823</v>
      </c>
      <c r="E116" s="4">
        <v>158823</v>
      </c>
      <c r="F116" s="4" t="s">
        <v>75</v>
      </c>
      <c r="G116" s="5">
        <v>4902778261019</v>
      </c>
      <c r="H116" s="5"/>
      <c r="I116" s="5"/>
      <c r="J116" s="5">
        <v>2</v>
      </c>
      <c r="K116" s="5">
        <v>2</v>
      </c>
      <c r="L116" s="4">
        <v>120</v>
      </c>
      <c r="M116" s="4">
        <v>90</v>
      </c>
      <c r="N116" s="4">
        <v>61.2</v>
      </c>
      <c r="O116" s="6">
        <f t="shared" si="61"/>
        <v>0.31999999999999995</v>
      </c>
      <c r="P116" s="4" t="s">
        <v>230</v>
      </c>
      <c r="Q116" s="4" t="s">
        <v>230</v>
      </c>
      <c r="R116" s="4" t="s">
        <v>230</v>
      </c>
      <c r="S116" s="4">
        <v>150</v>
      </c>
      <c r="T116" s="4">
        <f t="shared" si="62"/>
        <v>150</v>
      </c>
      <c r="U116" s="4">
        <v>76.5</v>
      </c>
      <c r="V116" s="4">
        <f t="shared" si="63"/>
        <v>76.5</v>
      </c>
      <c r="W116" s="4"/>
      <c r="X116" s="20">
        <f t="shared" si="64"/>
        <v>113</v>
      </c>
      <c r="Y116" s="6">
        <f t="shared" si="65"/>
        <v>0.32300884955752207</v>
      </c>
      <c r="Z116" s="32">
        <v>2</v>
      </c>
      <c r="AA116" s="4">
        <f t="shared" si="66"/>
        <v>120</v>
      </c>
      <c r="AB116" s="32">
        <f t="shared" si="67"/>
        <v>150</v>
      </c>
      <c r="AC116" s="6">
        <f t="shared" si="68"/>
        <v>0.49</v>
      </c>
      <c r="AD116" s="7">
        <v>130</v>
      </c>
      <c r="AE116" s="6">
        <f t="shared" si="69"/>
        <v>0.41153846153846152</v>
      </c>
      <c r="AF116" s="4">
        <f t="shared" si="70"/>
        <v>53.5</v>
      </c>
      <c r="AG116" s="27"/>
      <c r="AH116" s="6"/>
      <c r="AI116" s="6"/>
      <c r="AJ116" s="6">
        <f t="shared" si="71"/>
        <v>1.25</v>
      </c>
      <c r="AK116" s="6">
        <f t="shared" si="72"/>
        <v>1.4444444444444444</v>
      </c>
      <c r="AL116" s="6">
        <f t="shared" si="73"/>
        <v>1.25</v>
      </c>
      <c r="AM116" s="4" t="str">
        <f t="shared" si="74"/>
        <v>-</v>
      </c>
      <c r="AN116" s="4" t="str">
        <f t="shared" si="75"/>
        <v>-</v>
      </c>
      <c r="AO116" s="4" t="str">
        <f t="shared" si="76"/>
        <v>-</v>
      </c>
      <c r="AP116" s="4">
        <v>0</v>
      </c>
      <c r="AQ116" s="4" t="s">
        <v>364</v>
      </c>
      <c r="AR116" s="4">
        <v>1</v>
      </c>
      <c r="AS116" s="4">
        <v>30</v>
      </c>
      <c r="AT116" s="4" t="s">
        <v>352</v>
      </c>
      <c r="AU116" s="4">
        <v>3600</v>
      </c>
      <c r="AV116" s="4">
        <f t="shared" si="77"/>
        <v>120</v>
      </c>
      <c r="AW116" s="18">
        <v>4</v>
      </c>
      <c r="AX116" s="18">
        <v>1</v>
      </c>
      <c r="AY116" s="16">
        <v>5</v>
      </c>
      <c r="AZ116" t="s">
        <v>230</v>
      </c>
      <c r="BA116" t="str">
        <f t="shared" si="78"/>
        <v>-</v>
      </c>
      <c r="BB116">
        <v>108</v>
      </c>
      <c r="BC116">
        <f t="shared" si="79"/>
        <v>135</v>
      </c>
      <c r="BD116" t="s">
        <v>245</v>
      </c>
    </row>
    <row r="117" spans="1:56" x14ac:dyDescent="0.4">
      <c r="A117" s="3">
        <v>109</v>
      </c>
      <c r="B117" s="3">
        <v>14</v>
      </c>
      <c r="C117" s="40">
        <v>158823</v>
      </c>
      <c r="D117" s="4" t="str">
        <f t="shared" si="60"/>
        <v>158823</v>
      </c>
      <c r="E117" s="4">
        <v>158887</v>
      </c>
      <c r="F117" s="4" t="s">
        <v>172</v>
      </c>
      <c r="G117" s="5">
        <v>4902778261019</v>
      </c>
      <c r="H117" s="5">
        <v>8</v>
      </c>
      <c r="I117" s="5" t="str">
        <f>C117&amp;H117</f>
        <v>1588238</v>
      </c>
      <c r="J117" s="5"/>
      <c r="K117" s="5"/>
      <c r="L117" s="4">
        <v>1200</v>
      </c>
      <c r="M117" s="4">
        <v>846</v>
      </c>
      <c r="N117" s="4">
        <v>612</v>
      </c>
      <c r="O117" s="6">
        <f t="shared" si="61"/>
        <v>0.27659574468085102</v>
      </c>
      <c r="P117" s="4" t="s">
        <v>230</v>
      </c>
      <c r="Q117" s="4" t="s">
        <v>230</v>
      </c>
      <c r="R117" s="4" t="s">
        <v>230</v>
      </c>
      <c r="S117" s="4">
        <v>150</v>
      </c>
      <c r="T117" s="4">
        <f t="shared" si="62"/>
        <v>1500</v>
      </c>
      <c r="U117" s="4">
        <v>76.5</v>
      </c>
      <c r="V117" s="4">
        <f t="shared" si="63"/>
        <v>765</v>
      </c>
      <c r="W117" s="4">
        <v>10</v>
      </c>
      <c r="X117" s="20">
        <f t="shared" si="64"/>
        <v>1058</v>
      </c>
      <c r="Y117" s="6">
        <f t="shared" si="65"/>
        <v>0.27693761814744799</v>
      </c>
      <c r="Z117" s="32">
        <v>2</v>
      </c>
      <c r="AA117" s="4">
        <f t="shared" si="66"/>
        <v>1200</v>
      </c>
      <c r="AB117" s="32">
        <f t="shared" si="67"/>
        <v>1500</v>
      </c>
      <c r="AC117" s="6">
        <f t="shared" si="68"/>
        <v>0.49</v>
      </c>
      <c r="AD117" s="7">
        <v>1230</v>
      </c>
      <c r="AE117" s="6">
        <f t="shared" si="69"/>
        <v>0.37804878048780488</v>
      </c>
      <c r="AF117" s="4">
        <f t="shared" si="70"/>
        <v>465</v>
      </c>
      <c r="AG117" s="27"/>
      <c r="AH117" s="6"/>
      <c r="AI117" s="6"/>
      <c r="AJ117" s="6">
        <f t="shared" si="71"/>
        <v>1.25</v>
      </c>
      <c r="AK117" s="6">
        <f t="shared" si="72"/>
        <v>1.4539007092198581</v>
      </c>
      <c r="AL117" s="6">
        <f t="shared" si="73"/>
        <v>1.25</v>
      </c>
      <c r="AM117" s="4" t="str">
        <f t="shared" si="74"/>
        <v>-</v>
      </c>
      <c r="AN117" s="4" t="str">
        <f t="shared" si="75"/>
        <v>-</v>
      </c>
      <c r="AO117" s="4" t="str">
        <f t="shared" si="76"/>
        <v>-</v>
      </c>
      <c r="AP117" s="4">
        <v>0</v>
      </c>
      <c r="AQ117" s="4" t="s">
        <v>364</v>
      </c>
      <c r="AR117" s="4">
        <v>10</v>
      </c>
      <c r="AS117" s="4">
        <v>30</v>
      </c>
      <c r="AT117" s="4" t="s">
        <v>352</v>
      </c>
      <c r="AU117" s="4">
        <v>3600</v>
      </c>
      <c r="AV117" s="4">
        <f t="shared" si="77"/>
        <v>1200</v>
      </c>
      <c r="AW117" s="18">
        <v>4</v>
      </c>
      <c r="AX117" s="18">
        <v>1</v>
      </c>
      <c r="AY117" s="16">
        <v>5</v>
      </c>
      <c r="AZ117" t="s">
        <v>230</v>
      </c>
      <c r="BA117" t="str">
        <f t="shared" si="78"/>
        <v>-</v>
      </c>
      <c r="BB117">
        <v>108</v>
      </c>
      <c r="BC117">
        <f t="shared" si="79"/>
        <v>135</v>
      </c>
      <c r="BD117" t="s">
        <v>245</v>
      </c>
    </row>
    <row r="118" spans="1:56" x14ac:dyDescent="0.4">
      <c r="A118" s="3">
        <v>15</v>
      </c>
      <c r="B118" s="3">
        <v>15</v>
      </c>
      <c r="C118" s="40">
        <v>158824</v>
      </c>
      <c r="D118" s="4" t="str">
        <f t="shared" si="60"/>
        <v>158824</v>
      </c>
      <c r="E118" s="4">
        <v>158824</v>
      </c>
      <c r="F118" s="4" t="s">
        <v>76</v>
      </c>
      <c r="G118" s="5">
        <v>4902778261026</v>
      </c>
      <c r="H118" s="5"/>
      <c r="I118" s="5"/>
      <c r="J118" s="5">
        <v>2</v>
      </c>
      <c r="K118" s="5">
        <v>2</v>
      </c>
      <c r="L118" s="4">
        <v>120</v>
      </c>
      <c r="M118" s="4">
        <v>97</v>
      </c>
      <c r="N118" s="4">
        <v>61.2</v>
      </c>
      <c r="O118" s="6">
        <f t="shared" si="61"/>
        <v>0.36907216494845363</v>
      </c>
      <c r="P118" s="4" t="s">
        <v>230</v>
      </c>
      <c r="Q118" s="4" t="s">
        <v>230</v>
      </c>
      <c r="R118" s="4" t="s">
        <v>230</v>
      </c>
      <c r="S118" s="4">
        <v>150</v>
      </c>
      <c r="T118" s="4">
        <f t="shared" si="62"/>
        <v>150</v>
      </c>
      <c r="U118" s="4">
        <v>76.5</v>
      </c>
      <c r="V118" s="4">
        <f t="shared" si="63"/>
        <v>76.5</v>
      </c>
      <c r="W118" s="4"/>
      <c r="X118" s="20">
        <f t="shared" si="64"/>
        <v>121</v>
      </c>
      <c r="Y118" s="6">
        <f t="shared" si="65"/>
        <v>0.36776859504132231</v>
      </c>
      <c r="Z118" s="32">
        <v>3.75</v>
      </c>
      <c r="AA118" s="4">
        <f t="shared" si="66"/>
        <v>100</v>
      </c>
      <c r="AB118" s="32">
        <f t="shared" si="67"/>
        <v>125</v>
      </c>
      <c r="AC118" s="6">
        <f t="shared" si="68"/>
        <v>0.38800000000000001</v>
      </c>
      <c r="AD118" s="7">
        <v>130</v>
      </c>
      <c r="AE118" s="6">
        <f t="shared" si="69"/>
        <v>0.41153846153846152</v>
      </c>
      <c r="AF118" s="4">
        <f t="shared" si="70"/>
        <v>53.5</v>
      </c>
      <c r="AG118" s="27"/>
      <c r="AH118" s="6"/>
      <c r="AI118" s="6"/>
      <c r="AJ118" s="6">
        <f t="shared" si="71"/>
        <v>1.25</v>
      </c>
      <c r="AK118" s="6">
        <f t="shared" si="72"/>
        <v>1.3402061855670102</v>
      </c>
      <c r="AL118" s="6">
        <f t="shared" si="73"/>
        <v>1.25</v>
      </c>
      <c r="AM118" s="4" t="str">
        <f t="shared" si="74"/>
        <v>-</v>
      </c>
      <c r="AN118" s="4" t="str">
        <f t="shared" si="75"/>
        <v>-</v>
      </c>
      <c r="AO118" s="4" t="str">
        <f t="shared" si="76"/>
        <v>-</v>
      </c>
      <c r="AP118" s="4">
        <v>0</v>
      </c>
      <c r="AQ118" s="4" t="s">
        <v>365</v>
      </c>
      <c r="AR118" s="4"/>
      <c r="AS118" s="4"/>
      <c r="AT118" s="4" t="s">
        <v>349</v>
      </c>
      <c r="AU118" s="4">
        <v>100</v>
      </c>
      <c r="AV118" s="4">
        <f t="shared" si="77"/>
        <v>100</v>
      </c>
      <c r="AW118" s="18">
        <v>4</v>
      </c>
      <c r="AX118" s="18">
        <v>1</v>
      </c>
      <c r="AY118" s="16">
        <v>5</v>
      </c>
      <c r="AZ118" t="s">
        <v>230</v>
      </c>
      <c r="BA118" t="str">
        <f t="shared" si="78"/>
        <v>-</v>
      </c>
      <c r="BB118">
        <v>108</v>
      </c>
      <c r="BC118">
        <f t="shared" si="79"/>
        <v>135</v>
      </c>
      <c r="BD118" t="s">
        <v>246</v>
      </c>
    </row>
    <row r="119" spans="1:56" x14ac:dyDescent="0.4">
      <c r="A119" s="3">
        <v>109</v>
      </c>
      <c r="B119" s="3">
        <v>15</v>
      </c>
      <c r="C119" s="40">
        <v>158824</v>
      </c>
      <c r="D119" s="4" t="str">
        <f t="shared" si="60"/>
        <v>158824</v>
      </c>
      <c r="E119" s="4">
        <v>158889</v>
      </c>
      <c r="F119" s="4" t="s">
        <v>173</v>
      </c>
      <c r="G119" s="5">
        <v>4902778261026</v>
      </c>
      <c r="H119" s="5">
        <v>8</v>
      </c>
      <c r="I119" s="5" t="str">
        <f>C119&amp;H119</f>
        <v>1588248</v>
      </c>
      <c r="J119" s="5"/>
      <c r="K119" s="5"/>
      <c r="L119" s="4">
        <v>1200</v>
      </c>
      <c r="M119" s="4">
        <v>899</v>
      </c>
      <c r="N119" s="4">
        <v>612</v>
      </c>
      <c r="O119" s="6">
        <f t="shared" si="61"/>
        <v>0.3192436040044494</v>
      </c>
      <c r="P119" s="4" t="s">
        <v>230</v>
      </c>
      <c r="Q119" s="4" t="s">
        <v>230</v>
      </c>
      <c r="R119" s="4" t="s">
        <v>230</v>
      </c>
      <c r="S119" s="4">
        <v>150</v>
      </c>
      <c r="T119" s="4">
        <f t="shared" si="62"/>
        <v>1500</v>
      </c>
      <c r="U119" s="4">
        <v>76.5</v>
      </c>
      <c r="V119" s="4">
        <f t="shared" si="63"/>
        <v>765</v>
      </c>
      <c r="W119" s="4">
        <v>10</v>
      </c>
      <c r="X119" s="20">
        <f t="shared" si="64"/>
        <v>1124</v>
      </c>
      <c r="Y119" s="6">
        <f t="shared" si="65"/>
        <v>0.31939501779359436</v>
      </c>
      <c r="Z119" s="32">
        <v>3.75</v>
      </c>
      <c r="AA119" s="4">
        <f t="shared" si="66"/>
        <v>946</v>
      </c>
      <c r="AB119" s="32">
        <f t="shared" si="67"/>
        <v>1182.5</v>
      </c>
      <c r="AC119" s="6">
        <f t="shared" si="68"/>
        <v>0.35306553911205074</v>
      </c>
      <c r="AD119" s="7">
        <v>1230</v>
      </c>
      <c r="AE119" s="6">
        <f t="shared" si="69"/>
        <v>0.37804878048780488</v>
      </c>
      <c r="AF119" s="4">
        <f t="shared" si="70"/>
        <v>465</v>
      </c>
      <c r="AG119" s="27"/>
      <c r="AH119" s="6"/>
      <c r="AI119" s="6"/>
      <c r="AJ119" s="6">
        <f t="shared" si="71"/>
        <v>1.25</v>
      </c>
      <c r="AK119" s="6">
        <f t="shared" si="72"/>
        <v>1.3681868743047831</v>
      </c>
      <c r="AL119" s="6">
        <f t="shared" si="73"/>
        <v>1.25</v>
      </c>
      <c r="AM119" s="4" t="str">
        <f t="shared" si="74"/>
        <v>-</v>
      </c>
      <c r="AN119" s="4" t="str">
        <f t="shared" si="75"/>
        <v>-</v>
      </c>
      <c r="AO119" s="4" t="str">
        <f t="shared" si="76"/>
        <v>-</v>
      </c>
      <c r="AP119" s="4">
        <v>0</v>
      </c>
      <c r="AQ119" s="4" t="s">
        <v>458</v>
      </c>
      <c r="AR119" s="4"/>
      <c r="AS119" s="4"/>
      <c r="AT119" s="4" t="s">
        <v>409</v>
      </c>
      <c r="AU119" s="4">
        <v>946</v>
      </c>
      <c r="AV119" s="4">
        <f t="shared" si="77"/>
        <v>946</v>
      </c>
      <c r="AW119" s="18">
        <v>4</v>
      </c>
      <c r="AX119" s="18">
        <v>1</v>
      </c>
      <c r="AY119" s="16">
        <v>5</v>
      </c>
      <c r="AZ119" t="s">
        <v>230</v>
      </c>
      <c r="BA119" t="str">
        <f t="shared" si="78"/>
        <v>-</v>
      </c>
      <c r="BB119">
        <v>108</v>
      </c>
      <c r="BC119">
        <f t="shared" si="79"/>
        <v>135</v>
      </c>
      <c r="BD119" t="s">
        <v>328</v>
      </c>
    </row>
    <row r="120" spans="1:56" x14ac:dyDescent="0.4">
      <c r="A120" s="3">
        <v>16</v>
      </c>
      <c r="B120" s="3">
        <v>16</v>
      </c>
      <c r="C120" s="40">
        <v>158825</v>
      </c>
      <c r="D120" s="4" t="str">
        <f t="shared" si="60"/>
        <v>158825</v>
      </c>
      <c r="E120" s="4">
        <v>158825</v>
      </c>
      <c r="F120" s="4" t="s">
        <v>77</v>
      </c>
      <c r="G120" s="5">
        <v>4902778261033</v>
      </c>
      <c r="H120" s="5"/>
      <c r="I120" s="5"/>
      <c r="J120" s="5">
        <v>2</v>
      </c>
      <c r="K120" s="5">
        <v>2</v>
      </c>
      <c r="L120" s="4">
        <v>120</v>
      </c>
      <c r="M120" s="4">
        <v>90</v>
      </c>
      <c r="N120" s="4">
        <v>61.2</v>
      </c>
      <c r="O120" s="6">
        <f t="shared" si="61"/>
        <v>0.31999999999999995</v>
      </c>
      <c r="P120" s="4" t="s">
        <v>230</v>
      </c>
      <c r="Q120" s="4" t="s">
        <v>230</v>
      </c>
      <c r="R120" s="4" t="s">
        <v>230</v>
      </c>
      <c r="S120" s="4">
        <v>150</v>
      </c>
      <c r="T120" s="4">
        <f t="shared" si="62"/>
        <v>150</v>
      </c>
      <c r="U120" s="4">
        <v>76.5</v>
      </c>
      <c r="V120" s="4">
        <f t="shared" si="63"/>
        <v>76.5</v>
      </c>
      <c r="W120" s="4"/>
      <c r="X120" s="20">
        <f t="shared" si="64"/>
        <v>113</v>
      </c>
      <c r="Y120" s="6">
        <f t="shared" si="65"/>
        <v>0.32300884955752207</v>
      </c>
      <c r="Z120" s="32">
        <v>2.75</v>
      </c>
      <c r="AA120" s="4">
        <f t="shared" si="66"/>
        <v>120</v>
      </c>
      <c r="AB120" s="32">
        <f t="shared" si="67"/>
        <v>150</v>
      </c>
      <c r="AC120" s="6">
        <f t="shared" si="68"/>
        <v>0.49</v>
      </c>
      <c r="AD120" s="7">
        <v>130</v>
      </c>
      <c r="AE120" s="6">
        <f t="shared" si="69"/>
        <v>0.41153846153846152</v>
      </c>
      <c r="AF120" s="4">
        <f t="shared" si="70"/>
        <v>53.5</v>
      </c>
      <c r="AG120" s="27"/>
      <c r="AH120" s="6"/>
      <c r="AI120" s="6"/>
      <c r="AJ120" s="6">
        <f t="shared" si="71"/>
        <v>1.25</v>
      </c>
      <c r="AK120" s="6">
        <f t="shared" si="72"/>
        <v>1.4444444444444444</v>
      </c>
      <c r="AL120" s="6">
        <f t="shared" si="73"/>
        <v>1.25</v>
      </c>
      <c r="AM120" s="4" t="str">
        <f t="shared" si="74"/>
        <v>-</v>
      </c>
      <c r="AN120" s="4" t="str">
        <f t="shared" si="75"/>
        <v>-</v>
      </c>
      <c r="AO120" s="4" t="str">
        <f t="shared" si="76"/>
        <v>-</v>
      </c>
      <c r="AP120" s="4">
        <v>0</v>
      </c>
      <c r="AQ120" s="4" t="s">
        <v>366</v>
      </c>
      <c r="AR120" s="4">
        <v>1</v>
      </c>
      <c r="AS120" s="4">
        <v>30</v>
      </c>
      <c r="AT120" s="4" t="s">
        <v>352</v>
      </c>
      <c r="AU120" s="4">
        <v>3600</v>
      </c>
      <c r="AV120" s="4">
        <f t="shared" si="77"/>
        <v>120</v>
      </c>
      <c r="AW120" s="18">
        <v>4</v>
      </c>
      <c r="AX120" s="18">
        <v>1</v>
      </c>
      <c r="AY120" s="16">
        <v>5</v>
      </c>
      <c r="AZ120" t="s">
        <v>230</v>
      </c>
      <c r="BA120" t="str">
        <f t="shared" si="78"/>
        <v>-</v>
      </c>
      <c r="BB120">
        <v>108</v>
      </c>
      <c r="BC120">
        <f t="shared" si="79"/>
        <v>135</v>
      </c>
      <c r="BD120" t="s">
        <v>247</v>
      </c>
    </row>
    <row r="121" spans="1:56" x14ac:dyDescent="0.4">
      <c r="A121" s="3">
        <v>109</v>
      </c>
      <c r="B121" s="3">
        <v>16</v>
      </c>
      <c r="C121" s="40">
        <v>158825</v>
      </c>
      <c r="D121" s="4" t="str">
        <f t="shared" si="60"/>
        <v>158825</v>
      </c>
      <c r="E121" s="4">
        <v>158892</v>
      </c>
      <c r="F121" s="4" t="s">
        <v>174</v>
      </c>
      <c r="G121" s="5">
        <v>4902778261033</v>
      </c>
      <c r="H121" s="5">
        <v>8</v>
      </c>
      <c r="I121" s="5" t="str">
        <f>C121&amp;H121</f>
        <v>1588258</v>
      </c>
      <c r="J121" s="5"/>
      <c r="K121" s="5"/>
      <c r="L121" s="4">
        <v>1200</v>
      </c>
      <c r="M121" s="4">
        <v>846</v>
      </c>
      <c r="N121" s="4">
        <v>612</v>
      </c>
      <c r="O121" s="6">
        <f t="shared" si="61"/>
        <v>0.27659574468085102</v>
      </c>
      <c r="P121" s="4" t="s">
        <v>230</v>
      </c>
      <c r="Q121" s="4" t="s">
        <v>230</v>
      </c>
      <c r="R121" s="4" t="s">
        <v>230</v>
      </c>
      <c r="S121" s="4">
        <v>150</v>
      </c>
      <c r="T121" s="4">
        <f t="shared" si="62"/>
        <v>1500</v>
      </c>
      <c r="U121" s="4">
        <v>76.5</v>
      </c>
      <c r="V121" s="4">
        <f t="shared" si="63"/>
        <v>765</v>
      </c>
      <c r="W121" s="4">
        <v>10</v>
      </c>
      <c r="X121" s="20">
        <f t="shared" si="64"/>
        <v>1058</v>
      </c>
      <c r="Y121" s="6">
        <f t="shared" si="65"/>
        <v>0.27693761814744799</v>
      </c>
      <c r="Z121" s="32">
        <v>2.75</v>
      </c>
      <c r="AA121" s="4">
        <f t="shared" si="66"/>
        <v>1200</v>
      </c>
      <c r="AB121" s="32">
        <f t="shared" si="67"/>
        <v>1500</v>
      </c>
      <c r="AC121" s="6">
        <f t="shared" si="68"/>
        <v>0.49</v>
      </c>
      <c r="AD121" s="7">
        <v>1230</v>
      </c>
      <c r="AE121" s="6">
        <f t="shared" si="69"/>
        <v>0.37804878048780488</v>
      </c>
      <c r="AF121" s="4">
        <f t="shared" si="70"/>
        <v>465</v>
      </c>
      <c r="AG121" s="27"/>
      <c r="AH121" s="6"/>
      <c r="AI121" s="6"/>
      <c r="AJ121" s="6">
        <f t="shared" si="71"/>
        <v>1.25</v>
      </c>
      <c r="AK121" s="6">
        <f t="shared" si="72"/>
        <v>1.4539007092198581</v>
      </c>
      <c r="AL121" s="6">
        <f t="shared" si="73"/>
        <v>1.25</v>
      </c>
      <c r="AM121" s="4" t="str">
        <f t="shared" si="74"/>
        <v>-</v>
      </c>
      <c r="AN121" s="4" t="str">
        <f t="shared" si="75"/>
        <v>-</v>
      </c>
      <c r="AO121" s="4" t="str">
        <f t="shared" si="76"/>
        <v>-</v>
      </c>
      <c r="AP121" s="4">
        <v>0</v>
      </c>
      <c r="AQ121" s="4" t="s">
        <v>366</v>
      </c>
      <c r="AR121" s="4">
        <v>10</v>
      </c>
      <c r="AS121" s="4">
        <v>30</v>
      </c>
      <c r="AT121" s="4" t="s">
        <v>352</v>
      </c>
      <c r="AU121" s="4">
        <v>3600</v>
      </c>
      <c r="AV121" s="4">
        <f t="shared" si="77"/>
        <v>1200</v>
      </c>
      <c r="AW121" s="18">
        <v>4</v>
      </c>
      <c r="AX121" s="18">
        <v>1</v>
      </c>
      <c r="AY121" s="16">
        <v>5</v>
      </c>
      <c r="AZ121" t="s">
        <v>230</v>
      </c>
      <c r="BA121" t="str">
        <f t="shared" si="78"/>
        <v>-</v>
      </c>
      <c r="BB121">
        <v>108</v>
      </c>
      <c r="BC121">
        <f t="shared" si="79"/>
        <v>135</v>
      </c>
      <c r="BD121" t="s">
        <v>247</v>
      </c>
    </row>
    <row r="122" spans="1:56" x14ac:dyDescent="0.4">
      <c r="A122" s="3">
        <v>17</v>
      </c>
      <c r="B122" s="3">
        <v>17</v>
      </c>
      <c r="C122" s="40">
        <v>158826</v>
      </c>
      <c r="D122" s="4" t="str">
        <f t="shared" si="60"/>
        <v>158826</v>
      </c>
      <c r="E122" s="4">
        <v>158826</v>
      </c>
      <c r="F122" s="4" t="s">
        <v>78</v>
      </c>
      <c r="G122" s="5">
        <v>4902778260951</v>
      </c>
      <c r="H122" s="5"/>
      <c r="I122" s="5"/>
      <c r="J122" s="5">
        <v>2</v>
      </c>
      <c r="K122" s="5">
        <v>2</v>
      </c>
      <c r="L122" s="4">
        <v>120</v>
      </c>
      <c r="M122" s="4">
        <v>90</v>
      </c>
      <c r="N122" s="4">
        <v>61.2</v>
      </c>
      <c r="O122" s="6">
        <f t="shared" si="61"/>
        <v>0.31999999999999995</v>
      </c>
      <c r="P122" s="4" t="s">
        <v>230</v>
      </c>
      <c r="Q122" s="4" t="s">
        <v>230</v>
      </c>
      <c r="R122" s="4" t="s">
        <v>230</v>
      </c>
      <c r="S122" s="4">
        <v>150</v>
      </c>
      <c r="T122" s="4">
        <f t="shared" si="62"/>
        <v>150</v>
      </c>
      <c r="U122" s="4">
        <v>76.5</v>
      </c>
      <c r="V122" s="4">
        <f t="shared" si="63"/>
        <v>76.5</v>
      </c>
      <c r="W122" s="4"/>
      <c r="X122" s="20">
        <f t="shared" si="64"/>
        <v>113</v>
      </c>
      <c r="Y122" s="6">
        <f t="shared" si="65"/>
        <v>0.32300884955752207</v>
      </c>
      <c r="Z122" s="32">
        <v>7.2499999999999991</v>
      </c>
      <c r="AA122" s="4">
        <f t="shared" si="66"/>
        <v>120</v>
      </c>
      <c r="AB122" s="32">
        <f t="shared" si="67"/>
        <v>150</v>
      </c>
      <c r="AC122" s="6">
        <f t="shared" si="68"/>
        <v>0.49</v>
      </c>
      <c r="AD122" s="7">
        <v>130</v>
      </c>
      <c r="AE122" s="6">
        <f t="shared" si="69"/>
        <v>0.41153846153846152</v>
      </c>
      <c r="AF122" s="4">
        <f t="shared" si="70"/>
        <v>53.5</v>
      </c>
      <c r="AG122" s="27"/>
      <c r="AH122" s="6"/>
      <c r="AI122" s="6"/>
      <c r="AJ122" s="6">
        <f t="shared" si="71"/>
        <v>1.25</v>
      </c>
      <c r="AK122" s="6">
        <f t="shared" si="72"/>
        <v>1.4444444444444444</v>
      </c>
      <c r="AL122" s="6">
        <f t="shared" si="73"/>
        <v>1.25</v>
      </c>
      <c r="AM122" s="4" t="str">
        <f t="shared" si="74"/>
        <v>-</v>
      </c>
      <c r="AN122" s="4" t="str">
        <f t="shared" si="75"/>
        <v>-</v>
      </c>
      <c r="AO122" s="4" t="str">
        <f t="shared" si="76"/>
        <v>-</v>
      </c>
      <c r="AP122" s="4">
        <v>0</v>
      </c>
      <c r="AQ122" s="4" t="s">
        <v>367</v>
      </c>
      <c r="AR122" s="4">
        <v>1</v>
      </c>
      <c r="AS122" s="4">
        <v>30</v>
      </c>
      <c r="AT122" s="4" t="s">
        <v>352</v>
      </c>
      <c r="AU122" s="4">
        <v>3600</v>
      </c>
      <c r="AV122" s="4">
        <f t="shared" si="77"/>
        <v>120</v>
      </c>
      <c r="AW122" s="18">
        <v>4</v>
      </c>
      <c r="AX122" s="18">
        <v>1</v>
      </c>
      <c r="AY122" s="16">
        <v>5</v>
      </c>
      <c r="AZ122" t="s">
        <v>230</v>
      </c>
      <c r="BA122" t="str">
        <f t="shared" si="78"/>
        <v>-</v>
      </c>
      <c r="BB122">
        <v>108</v>
      </c>
      <c r="BC122">
        <f t="shared" si="79"/>
        <v>135</v>
      </c>
      <c r="BD122" t="s">
        <v>248</v>
      </c>
    </row>
    <row r="123" spans="1:56" x14ac:dyDescent="0.4">
      <c r="A123" s="3">
        <v>109</v>
      </c>
      <c r="B123" s="3">
        <v>17</v>
      </c>
      <c r="C123" s="40">
        <v>158826</v>
      </c>
      <c r="D123" s="4" t="str">
        <f t="shared" si="60"/>
        <v>158826</v>
      </c>
      <c r="E123" s="4">
        <v>158894</v>
      </c>
      <c r="F123" s="4" t="s">
        <v>175</v>
      </c>
      <c r="G123" s="5">
        <v>4902778260951</v>
      </c>
      <c r="H123" s="5">
        <v>8</v>
      </c>
      <c r="I123" s="5" t="str">
        <f>C123&amp;H123</f>
        <v>1588268</v>
      </c>
      <c r="J123" s="5"/>
      <c r="K123" s="5"/>
      <c r="L123" s="4">
        <v>1200</v>
      </c>
      <c r="M123" s="4">
        <v>846</v>
      </c>
      <c r="N123" s="4">
        <v>612</v>
      </c>
      <c r="O123" s="6">
        <f t="shared" si="61"/>
        <v>0.27659574468085102</v>
      </c>
      <c r="P123" s="4" t="s">
        <v>230</v>
      </c>
      <c r="Q123" s="4" t="s">
        <v>230</v>
      </c>
      <c r="R123" s="4" t="s">
        <v>230</v>
      </c>
      <c r="S123" s="4">
        <v>150</v>
      </c>
      <c r="T123" s="4">
        <f t="shared" si="62"/>
        <v>1500</v>
      </c>
      <c r="U123" s="4">
        <v>76.5</v>
      </c>
      <c r="V123" s="4">
        <f t="shared" si="63"/>
        <v>765</v>
      </c>
      <c r="W123" s="4">
        <v>10</v>
      </c>
      <c r="X123" s="20">
        <f t="shared" si="64"/>
        <v>1058</v>
      </c>
      <c r="Y123" s="6">
        <f t="shared" si="65"/>
        <v>0.27693761814744799</v>
      </c>
      <c r="Z123" s="32">
        <v>7.2499999999999991</v>
      </c>
      <c r="AA123" s="4">
        <f t="shared" si="66"/>
        <v>1200</v>
      </c>
      <c r="AB123" s="32">
        <f t="shared" si="67"/>
        <v>1500</v>
      </c>
      <c r="AC123" s="6">
        <f t="shared" si="68"/>
        <v>0.49</v>
      </c>
      <c r="AD123" s="7">
        <v>1230</v>
      </c>
      <c r="AE123" s="6">
        <f t="shared" si="69"/>
        <v>0.37804878048780488</v>
      </c>
      <c r="AF123" s="4">
        <f t="shared" si="70"/>
        <v>465</v>
      </c>
      <c r="AG123" s="27"/>
      <c r="AH123" s="6"/>
      <c r="AI123" s="6"/>
      <c r="AJ123" s="6">
        <f t="shared" si="71"/>
        <v>1.25</v>
      </c>
      <c r="AK123" s="6">
        <f t="shared" si="72"/>
        <v>1.4539007092198581</v>
      </c>
      <c r="AL123" s="6">
        <f t="shared" si="73"/>
        <v>1.25</v>
      </c>
      <c r="AM123" s="4" t="str">
        <f t="shared" si="74"/>
        <v>-</v>
      </c>
      <c r="AN123" s="4" t="str">
        <f t="shared" si="75"/>
        <v>-</v>
      </c>
      <c r="AO123" s="4" t="str">
        <f t="shared" si="76"/>
        <v>-</v>
      </c>
      <c r="AP123" s="4">
        <v>0</v>
      </c>
      <c r="AQ123" s="4" t="s">
        <v>367</v>
      </c>
      <c r="AR123" s="4">
        <v>10</v>
      </c>
      <c r="AS123" s="4">
        <v>30</v>
      </c>
      <c r="AT123" s="4" t="s">
        <v>352</v>
      </c>
      <c r="AU123" s="4">
        <v>3600</v>
      </c>
      <c r="AV123" s="4">
        <f t="shared" si="77"/>
        <v>1200</v>
      </c>
      <c r="AW123" s="18">
        <v>4</v>
      </c>
      <c r="AX123" s="18">
        <v>1</v>
      </c>
      <c r="AY123" s="16">
        <v>5</v>
      </c>
      <c r="AZ123" t="s">
        <v>230</v>
      </c>
      <c r="BA123" t="str">
        <f t="shared" si="78"/>
        <v>-</v>
      </c>
      <c r="BB123">
        <v>108</v>
      </c>
      <c r="BC123">
        <f t="shared" si="79"/>
        <v>135</v>
      </c>
      <c r="BD123" t="s">
        <v>248</v>
      </c>
    </row>
    <row r="124" spans="1:56" x14ac:dyDescent="0.4">
      <c r="A124" s="3">
        <v>18</v>
      </c>
      <c r="B124" s="3">
        <v>18</v>
      </c>
      <c r="C124" s="40">
        <v>158828</v>
      </c>
      <c r="D124" s="4" t="str">
        <f t="shared" si="60"/>
        <v>158828</v>
      </c>
      <c r="E124" s="4">
        <v>158828</v>
      </c>
      <c r="F124" s="4" t="s">
        <v>79</v>
      </c>
      <c r="G124" s="5">
        <v>4902778261040</v>
      </c>
      <c r="H124" s="5"/>
      <c r="I124" s="5"/>
      <c r="J124" s="5">
        <v>2</v>
      </c>
      <c r="K124" s="5">
        <v>2</v>
      </c>
      <c r="L124" s="4">
        <v>120</v>
      </c>
      <c r="M124" s="4">
        <v>90</v>
      </c>
      <c r="N124" s="4">
        <v>61.2</v>
      </c>
      <c r="O124" s="6">
        <f t="shared" si="61"/>
        <v>0.31999999999999995</v>
      </c>
      <c r="P124" s="4" t="s">
        <v>230</v>
      </c>
      <c r="Q124" s="4" t="s">
        <v>230</v>
      </c>
      <c r="R124" s="4" t="s">
        <v>230</v>
      </c>
      <c r="S124" s="4">
        <v>150</v>
      </c>
      <c r="T124" s="4">
        <f t="shared" si="62"/>
        <v>150</v>
      </c>
      <c r="U124" s="4">
        <v>76.5</v>
      </c>
      <c r="V124" s="4">
        <f t="shared" si="63"/>
        <v>76.5</v>
      </c>
      <c r="W124" s="4"/>
      <c r="X124" s="20">
        <f t="shared" si="64"/>
        <v>113</v>
      </c>
      <c r="Y124" s="6">
        <f t="shared" si="65"/>
        <v>0.32300884955752207</v>
      </c>
      <c r="Z124" s="32">
        <v>1</v>
      </c>
      <c r="AA124" s="4">
        <f t="shared" si="66"/>
        <v>120</v>
      </c>
      <c r="AB124" s="32">
        <f t="shared" si="67"/>
        <v>150</v>
      </c>
      <c r="AC124" s="6">
        <f t="shared" si="68"/>
        <v>0.49</v>
      </c>
      <c r="AD124" s="7">
        <v>130</v>
      </c>
      <c r="AE124" s="6">
        <f t="shared" si="69"/>
        <v>0.41153846153846152</v>
      </c>
      <c r="AF124" s="4">
        <f t="shared" si="70"/>
        <v>53.5</v>
      </c>
      <c r="AG124" s="27"/>
      <c r="AH124" s="6"/>
      <c r="AI124" s="6"/>
      <c r="AJ124" s="6">
        <f t="shared" si="71"/>
        <v>1.25</v>
      </c>
      <c r="AK124" s="6">
        <f t="shared" si="72"/>
        <v>1.4444444444444444</v>
      </c>
      <c r="AL124" s="6">
        <f t="shared" si="73"/>
        <v>1.25</v>
      </c>
      <c r="AM124" s="4" t="str">
        <f t="shared" si="74"/>
        <v>-</v>
      </c>
      <c r="AN124" s="4" t="str">
        <f t="shared" si="75"/>
        <v>-</v>
      </c>
      <c r="AO124" s="4" t="str">
        <f t="shared" si="76"/>
        <v>-</v>
      </c>
      <c r="AP124" s="4">
        <v>0</v>
      </c>
      <c r="AQ124" s="4" t="s">
        <v>368</v>
      </c>
      <c r="AR124" s="4">
        <v>1</v>
      </c>
      <c r="AS124" s="4">
        <v>30</v>
      </c>
      <c r="AT124" s="4" t="s">
        <v>352</v>
      </c>
      <c r="AU124" s="4">
        <v>3600</v>
      </c>
      <c r="AV124" s="4">
        <f t="shared" si="77"/>
        <v>120</v>
      </c>
      <c r="AW124" s="18">
        <v>4</v>
      </c>
      <c r="AX124" s="18">
        <v>1</v>
      </c>
      <c r="AY124" s="16">
        <v>5</v>
      </c>
      <c r="AZ124" t="s">
        <v>230</v>
      </c>
      <c r="BA124" t="str">
        <f t="shared" si="78"/>
        <v>-</v>
      </c>
      <c r="BB124">
        <v>108</v>
      </c>
      <c r="BC124">
        <f t="shared" si="79"/>
        <v>135</v>
      </c>
      <c r="BD124" t="s">
        <v>249</v>
      </c>
    </row>
    <row r="125" spans="1:56" x14ac:dyDescent="0.4">
      <c r="A125" s="3">
        <v>109</v>
      </c>
      <c r="B125" s="3">
        <v>18</v>
      </c>
      <c r="C125" s="40">
        <v>158828</v>
      </c>
      <c r="D125" s="4" t="str">
        <f t="shared" si="60"/>
        <v>158828</v>
      </c>
      <c r="E125" s="4">
        <v>158895</v>
      </c>
      <c r="F125" s="4" t="s">
        <v>176</v>
      </c>
      <c r="G125" s="5">
        <v>4902778261040</v>
      </c>
      <c r="H125" s="5">
        <v>8</v>
      </c>
      <c r="I125" s="5" t="str">
        <f>C125&amp;H125</f>
        <v>1588288</v>
      </c>
      <c r="J125" s="5"/>
      <c r="K125" s="5"/>
      <c r="L125" s="4">
        <v>1200</v>
      </c>
      <c r="M125" s="4">
        <v>846</v>
      </c>
      <c r="N125" s="4">
        <v>612</v>
      </c>
      <c r="O125" s="6">
        <f t="shared" si="61"/>
        <v>0.27659574468085102</v>
      </c>
      <c r="P125" s="4" t="s">
        <v>230</v>
      </c>
      <c r="Q125" s="4" t="s">
        <v>230</v>
      </c>
      <c r="R125" s="4" t="s">
        <v>230</v>
      </c>
      <c r="S125" s="4">
        <v>150</v>
      </c>
      <c r="T125" s="4">
        <f t="shared" si="62"/>
        <v>1500</v>
      </c>
      <c r="U125" s="4">
        <v>76.5</v>
      </c>
      <c r="V125" s="4">
        <f t="shared" si="63"/>
        <v>765</v>
      </c>
      <c r="W125" s="4">
        <v>10</v>
      </c>
      <c r="X125" s="20">
        <f t="shared" si="64"/>
        <v>1058</v>
      </c>
      <c r="Y125" s="6">
        <f t="shared" si="65"/>
        <v>0.27693761814744799</v>
      </c>
      <c r="Z125" s="32">
        <v>1</v>
      </c>
      <c r="AA125" s="4">
        <f t="shared" si="66"/>
        <v>1200</v>
      </c>
      <c r="AB125" s="32">
        <f t="shared" si="67"/>
        <v>1500</v>
      </c>
      <c r="AC125" s="6">
        <f t="shared" si="68"/>
        <v>0.49</v>
      </c>
      <c r="AD125" s="7">
        <v>1230</v>
      </c>
      <c r="AE125" s="6">
        <f t="shared" si="69"/>
        <v>0.37804878048780488</v>
      </c>
      <c r="AF125" s="4">
        <f t="shared" si="70"/>
        <v>465</v>
      </c>
      <c r="AG125" s="27"/>
      <c r="AH125" s="6"/>
      <c r="AI125" s="6"/>
      <c r="AJ125" s="6">
        <f t="shared" si="71"/>
        <v>1.25</v>
      </c>
      <c r="AK125" s="6">
        <f t="shared" si="72"/>
        <v>1.4539007092198581</v>
      </c>
      <c r="AL125" s="6">
        <f t="shared" si="73"/>
        <v>1.25</v>
      </c>
      <c r="AM125" s="4" t="str">
        <f t="shared" si="74"/>
        <v>-</v>
      </c>
      <c r="AN125" s="4" t="str">
        <f t="shared" si="75"/>
        <v>-</v>
      </c>
      <c r="AO125" s="4" t="str">
        <f t="shared" si="76"/>
        <v>-</v>
      </c>
      <c r="AP125" s="4">
        <v>0</v>
      </c>
      <c r="AQ125" s="4" t="s">
        <v>368</v>
      </c>
      <c r="AR125" s="4">
        <v>10</v>
      </c>
      <c r="AS125" s="4">
        <v>30</v>
      </c>
      <c r="AT125" s="4" t="s">
        <v>352</v>
      </c>
      <c r="AU125" s="4">
        <v>3600</v>
      </c>
      <c r="AV125" s="4">
        <f t="shared" si="77"/>
        <v>1200</v>
      </c>
      <c r="AW125" s="18">
        <v>4</v>
      </c>
      <c r="AX125" s="18">
        <v>1</v>
      </c>
      <c r="AY125" s="16">
        <v>5</v>
      </c>
      <c r="AZ125" t="s">
        <v>230</v>
      </c>
      <c r="BA125" t="str">
        <f t="shared" si="78"/>
        <v>-</v>
      </c>
      <c r="BB125">
        <v>108</v>
      </c>
      <c r="BC125">
        <f t="shared" si="79"/>
        <v>135</v>
      </c>
      <c r="BD125" t="s">
        <v>249</v>
      </c>
    </row>
    <row r="126" spans="1:56" x14ac:dyDescent="0.4">
      <c r="A126" s="3">
        <v>19</v>
      </c>
      <c r="B126" s="3">
        <v>19</v>
      </c>
      <c r="C126" s="40">
        <v>158830</v>
      </c>
      <c r="D126" s="4" t="str">
        <f t="shared" si="60"/>
        <v>158830</v>
      </c>
      <c r="E126" s="4">
        <v>158830</v>
      </c>
      <c r="F126" s="4" t="s">
        <v>80</v>
      </c>
      <c r="G126" s="5">
        <v>4902778261057</v>
      </c>
      <c r="H126" s="5"/>
      <c r="I126" s="5"/>
      <c r="J126" s="5">
        <v>2</v>
      </c>
      <c r="K126" s="5">
        <v>2</v>
      </c>
      <c r="L126" s="4">
        <v>120</v>
      </c>
      <c r="M126" s="4">
        <v>90</v>
      </c>
      <c r="N126" s="4">
        <v>61.2</v>
      </c>
      <c r="O126" s="6">
        <f t="shared" si="61"/>
        <v>0.31999999999999995</v>
      </c>
      <c r="P126" s="4" t="s">
        <v>230</v>
      </c>
      <c r="Q126" s="4" t="s">
        <v>230</v>
      </c>
      <c r="R126" s="4" t="s">
        <v>230</v>
      </c>
      <c r="S126" s="4">
        <v>150</v>
      </c>
      <c r="T126" s="4">
        <f t="shared" si="62"/>
        <v>150</v>
      </c>
      <c r="U126" s="4">
        <v>76.5</v>
      </c>
      <c r="V126" s="4">
        <f t="shared" si="63"/>
        <v>76.5</v>
      </c>
      <c r="W126" s="4"/>
      <c r="X126" s="20">
        <f t="shared" si="64"/>
        <v>113</v>
      </c>
      <c r="Y126" s="6">
        <f t="shared" si="65"/>
        <v>0.32300884955752207</v>
      </c>
      <c r="Z126" s="32">
        <v>1.5</v>
      </c>
      <c r="AA126" s="4">
        <f t="shared" si="66"/>
        <v>120</v>
      </c>
      <c r="AB126" s="32">
        <f t="shared" si="67"/>
        <v>150</v>
      </c>
      <c r="AC126" s="6">
        <f t="shared" si="68"/>
        <v>0.49</v>
      </c>
      <c r="AD126" s="7">
        <v>130</v>
      </c>
      <c r="AE126" s="6">
        <f t="shared" si="69"/>
        <v>0.41153846153846152</v>
      </c>
      <c r="AF126" s="4">
        <f t="shared" si="70"/>
        <v>53.5</v>
      </c>
      <c r="AG126" s="27"/>
      <c r="AH126" s="6"/>
      <c r="AI126" s="6"/>
      <c r="AJ126" s="6">
        <f t="shared" si="71"/>
        <v>1.25</v>
      </c>
      <c r="AK126" s="6">
        <f t="shared" si="72"/>
        <v>1.4444444444444444</v>
      </c>
      <c r="AL126" s="6">
        <f t="shared" si="73"/>
        <v>1.25</v>
      </c>
      <c r="AM126" s="4" t="str">
        <f t="shared" si="74"/>
        <v>-</v>
      </c>
      <c r="AN126" s="4" t="str">
        <f t="shared" si="75"/>
        <v>-</v>
      </c>
      <c r="AO126" s="4" t="str">
        <f t="shared" si="76"/>
        <v>-</v>
      </c>
      <c r="AP126" s="4">
        <v>0</v>
      </c>
      <c r="AQ126" s="4" t="s">
        <v>369</v>
      </c>
      <c r="AR126" s="4">
        <v>1</v>
      </c>
      <c r="AS126" s="4">
        <v>30</v>
      </c>
      <c r="AT126" s="4" t="s">
        <v>352</v>
      </c>
      <c r="AU126" s="4">
        <v>3600</v>
      </c>
      <c r="AV126" s="4">
        <f t="shared" si="77"/>
        <v>120</v>
      </c>
      <c r="AW126" s="18">
        <v>4</v>
      </c>
      <c r="AX126" s="18">
        <v>1</v>
      </c>
      <c r="AY126" s="16">
        <v>5</v>
      </c>
      <c r="AZ126" t="s">
        <v>230</v>
      </c>
      <c r="BA126" t="str">
        <f t="shared" si="78"/>
        <v>-</v>
      </c>
      <c r="BB126">
        <v>108</v>
      </c>
      <c r="BC126">
        <f t="shared" si="79"/>
        <v>135</v>
      </c>
      <c r="BD126" t="s">
        <v>250</v>
      </c>
    </row>
    <row r="127" spans="1:56" x14ac:dyDescent="0.4">
      <c r="A127" s="3">
        <v>109</v>
      </c>
      <c r="B127" s="3">
        <v>19</v>
      </c>
      <c r="C127" s="40">
        <v>158830</v>
      </c>
      <c r="D127" s="4" t="str">
        <f t="shared" si="60"/>
        <v>158830</v>
      </c>
      <c r="E127" s="4">
        <v>158896</v>
      </c>
      <c r="F127" s="4" t="s">
        <v>177</v>
      </c>
      <c r="G127" s="5">
        <v>4902778261057</v>
      </c>
      <c r="H127" s="5">
        <v>8</v>
      </c>
      <c r="I127" s="5" t="str">
        <f>C127&amp;H127</f>
        <v>1588308</v>
      </c>
      <c r="J127" s="5"/>
      <c r="K127" s="5"/>
      <c r="L127" s="4">
        <v>1200</v>
      </c>
      <c r="M127" s="4">
        <v>846</v>
      </c>
      <c r="N127" s="4">
        <v>612</v>
      </c>
      <c r="O127" s="6">
        <f t="shared" si="61"/>
        <v>0.27659574468085102</v>
      </c>
      <c r="P127" s="4" t="s">
        <v>230</v>
      </c>
      <c r="Q127" s="4" t="s">
        <v>230</v>
      </c>
      <c r="R127" s="4" t="s">
        <v>230</v>
      </c>
      <c r="S127" s="4">
        <v>150</v>
      </c>
      <c r="T127" s="4">
        <f t="shared" si="62"/>
        <v>1500</v>
      </c>
      <c r="U127" s="4">
        <v>76.5</v>
      </c>
      <c r="V127" s="4">
        <f t="shared" si="63"/>
        <v>765</v>
      </c>
      <c r="W127" s="4">
        <v>10</v>
      </c>
      <c r="X127" s="20">
        <f t="shared" si="64"/>
        <v>1058</v>
      </c>
      <c r="Y127" s="6">
        <f t="shared" si="65"/>
        <v>0.27693761814744799</v>
      </c>
      <c r="Z127" s="32">
        <v>1.5</v>
      </c>
      <c r="AA127" s="4">
        <f t="shared" si="66"/>
        <v>1200</v>
      </c>
      <c r="AB127" s="32">
        <f t="shared" si="67"/>
        <v>1500</v>
      </c>
      <c r="AC127" s="6">
        <f t="shared" si="68"/>
        <v>0.49</v>
      </c>
      <c r="AD127" s="7">
        <v>1230</v>
      </c>
      <c r="AE127" s="6">
        <f t="shared" si="69"/>
        <v>0.37804878048780488</v>
      </c>
      <c r="AF127" s="4">
        <f t="shared" si="70"/>
        <v>465</v>
      </c>
      <c r="AG127" s="27"/>
      <c r="AH127" s="6"/>
      <c r="AI127" s="6"/>
      <c r="AJ127" s="6">
        <f t="shared" si="71"/>
        <v>1.25</v>
      </c>
      <c r="AK127" s="6">
        <f t="shared" si="72"/>
        <v>1.4539007092198581</v>
      </c>
      <c r="AL127" s="6">
        <f t="shared" si="73"/>
        <v>1.25</v>
      </c>
      <c r="AM127" s="4" t="str">
        <f t="shared" si="74"/>
        <v>-</v>
      </c>
      <c r="AN127" s="4" t="str">
        <f t="shared" si="75"/>
        <v>-</v>
      </c>
      <c r="AO127" s="4" t="str">
        <f t="shared" si="76"/>
        <v>-</v>
      </c>
      <c r="AP127" s="4">
        <v>0</v>
      </c>
      <c r="AQ127" s="4" t="s">
        <v>369</v>
      </c>
      <c r="AR127" s="4">
        <v>10</v>
      </c>
      <c r="AS127" s="4">
        <v>30</v>
      </c>
      <c r="AT127" s="4" t="s">
        <v>352</v>
      </c>
      <c r="AU127" s="4">
        <v>3600</v>
      </c>
      <c r="AV127" s="4">
        <f t="shared" si="77"/>
        <v>1200</v>
      </c>
      <c r="AW127" s="18">
        <v>4</v>
      </c>
      <c r="AX127" s="18">
        <v>1</v>
      </c>
      <c r="AY127" s="16">
        <v>5</v>
      </c>
      <c r="AZ127" t="s">
        <v>230</v>
      </c>
      <c r="BA127" t="str">
        <f t="shared" si="78"/>
        <v>-</v>
      </c>
      <c r="BB127">
        <v>108</v>
      </c>
      <c r="BC127">
        <f t="shared" si="79"/>
        <v>135</v>
      </c>
      <c r="BD127" t="s">
        <v>250</v>
      </c>
    </row>
    <row r="128" spans="1:56" x14ac:dyDescent="0.4">
      <c r="A128" s="3">
        <v>20</v>
      </c>
      <c r="B128" s="3">
        <v>20</v>
      </c>
      <c r="C128" s="40">
        <v>158831</v>
      </c>
      <c r="D128" s="4" t="str">
        <f t="shared" si="60"/>
        <v>158831</v>
      </c>
      <c r="E128" s="4">
        <v>158831</v>
      </c>
      <c r="F128" s="4" t="s">
        <v>81</v>
      </c>
      <c r="G128" s="5">
        <v>4902778261064</v>
      </c>
      <c r="H128" s="5"/>
      <c r="I128" s="5"/>
      <c r="J128" s="5">
        <v>2</v>
      </c>
      <c r="K128" s="5">
        <v>2</v>
      </c>
      <c r="L128" s="4">
        <v>120</v>
      </c>
      <c r="M128" s="4">
        <v>96</v>
      </c>
      <c r="N128" s="4">
        <v>61.2</v>
      </c>
      <c r="O128" s="6">
        <f t="shared" si="61"/>
        <v>0.36249999999999993</v>
      </c>
      <c r="P128" s="4" t="s">
        <v>230</v>
      </c>
      <c r="Q128" s="4" t="s">
        <v>230</v>
      </c>
      <c r="R128" s="4" t="s">
        <v>230</v>
      </c>
      <c r="S128" s="4">
        <v>150</v>
      </c>
      <c r="T128" s="4">
        <f t="shared" si="62"/>
        <v>150</v>
      </c>
      <c r="U128" s="4">
        <v>76.5</v>
      </c>
      <c r="V128" s="4">
        <f t="shared" si="63"/>
        <v>76.5</v>
      </c>
      <c r="W128" s="4"/>
      <c r="X128" s="20">
        <f t="shared" si="64"/>
        <v>120</v>
      </c>
      <c r="Y128" s="6">
        <f t="shared" si="65"/>
        <v>0.36250000000000004</v>
      </c>
      <c r="Z128" s="32">
        <v>8</v>
      </c>
      <c r="AA128" s="4">
        <f t="shared" si="66"/>
        <v>120</v>
      </c>
      <c r="AB128" s="32">
        <f t="shared" si="67"/>
        <v>150</v>
      </c>
      <c r="AC128" s="6">
        <f t="shared" si="68"/>
        <v>0.49</v>
      </c>
      <c r="AD128" s="7">
        <v>130</v>
      </c>
      <c r="AE128" s="6">
        <f t="shared" si="69"/>
        <v>0.41153846153846152</v>
      </c>
      <c r="AF128" s="4">
        <f t="shared" si="70"/>
        <v>53.5</v>
      </c>
      <c r="AG128" s="27"/>
      <c r="AH128" s="6"/>
      <c r="AI128" s="6"/>
      <c r="AJ128" s="6">
        <f t="shared" si="71"/>
        <v>1.25</v>
      </c>
      <c r="AK128" s="6">
        <f t="shared" si="72"/>
        <v>1.3541666666666667</v>
      </c>
      <c r="AL128" s="6">
        <f t="shared" si="73"/>
        <v>1.25</v>
      </c>
      <c r="AM128" s="4" t="str">
        <f t="shared" si="74"/>
        <v>-</v>
      </c>
      <c r="AN128" s="4" t="str">
        <f t="shared" si="75"/>
        <v>-</v>
      </c>
      <c r="AO128" s="4" t="str">
        <f t="shared" si="76"/>
        <v>-</v>
      </c>
      <c r="AP128" s="4">
        <v>0</v>
      </c>
      <c r="AQ128" s="4" t="s">
        <v>370</v>
      </c>
      <c r="AR128" s="4">
        <v>1</v>
      </c>
      <c r="AS128" s="4">
        <v>30</v>
      </c>
      <c r="AT128" s="4" t="s">
        <v>352</v>
      </c>
      <c r="AU128" s="4">
        <v>3600</v>
      </c>
      <c r="AV128" s="4">
        <f t="shared" si="77"/>
        <v>120</v>
      </c>
      <c r="AW128" s="18">
        <v>4</v>
      </c>
      <c r="AX128" s="18">
        <v>1</v>
      </c>
      <c r="AY128" s="16">
        <v>5</v>
      </c>
      <c r="AZ128" t="s">
        <v>230</v>
      </c>
      <c r="BA128" t="str">
        <f t="shared" si="78"/>
        <v>-</v>
      </c>
      <c r="BB128">
        <v>108</v>
      </c>
      <c r="BC128">
        <f t="shared" si="79"/>
        <v>135</v>
      </c>
      <c r="BD128" t="s">
        <v>251</v>
      </c>
    </row>
    <row r="129" spans="1:56" x14ac:dyDescent="0.4">
      <c r="A129" s="3">
        <v>109</v>
      </c>
      <c r="B129" s="3">
        <v>20</v>
      </c>
      <c r="C129" s="40">
        <v>158831</v>
      </c>
      <c r="D129" s="4" t="str">
        <f t="shared" si="60"/>
        <v>158831</v>
      </c>
      <c r="E129" s="4">
        <v>158898</v>
      </c>
      <c r="F129" s="4" t="s">
        <v>178</v>
      </c>
      <c r="G129" s="5">
        <v>4902778261064</v>
      </c>
      <c r="H129" s="5">
        <v>8</v>
      </c>
      <c r="I129" s="5" t="str">
        <f>C129&amp;H129</f>
        <v>1588318</v>
      </c>
      <c r="J129" s="5"/>
      <c r="K129" s="5"/>
      <c r="L129" s="4">
        <v>1200</v>
      </c>
      <c r="M129" s="4">
        <v>846</v>
      </c>
      <c r="N129" s="4">
        <v>612</v>
      </c>
      <c r="O129" s="6">
        <f t="shared" si="61"/>
        <v>0.27659574468085102</v>
      </c>
      <c r="P129" s="4" t="s">
        <v>230</v>
      </c>
      <c r="Q129" s="4" t="s">
        <v>230</v>
      </c>
      <c r="R129" s="4" t="s">
        <v>230</v>
      </c>
      <c r="S129" s="4">
        <v>150</v>
      </c>
      <c r="T129" s="4">
        <f t="shared" si="62"/>
        <v>1500</v>
      </c>
      <c r="U129" s="4">
        <v>76.5</v>
      </c>
      <c r="V129" s="4">
        <f t="shared" si="63"/>
        <v>765</v>
      </c>
      <c r="W129" s="4">
        <v>10</v>
      </c>
      <c r="X129" s="20">
        <f t="shared" si="64"/>
        <v>1058</v>
      </c>
      <c r="Y129" s="6">
        <f t="shared" si="65"/>
        <v>0.27693761814744799</v>
      </c>
      <c r="Z129" s="32">
        <v>8</v>
      </c>
      <c r="AA129" s="4">
        <f t="shared" si="66"/>
        <v>1200</v>
      </c>
      <c r="AB129" s="32">
        <f t="shared" si="67"/>
        <v>1500</v>
      </c>
      <c r="AC129" s="6">
        <f t="shared" si="68"/>
        <v>0.49</v>
      </c>
      <c r="AD129" s="7">
        <v>1230</v>
      </c>
      <c r="AE129" s="6">
        <f t="shared" si="69"/>
        <v>0.37804878048780488</v>
      </c>
      <c r="AF129" s="4">
        <f t="shared" si="70"/>
        <v>465</v>
      </c>
      <c r="AG129" s="27"/>
      <c r="AH129" s="6"/>
      <c r="AI129" s="6"/>
      <c r="AJ129" s="6">
        <f t="shared" si="71"/>
        <v>1.25</v>
      </c>
      <c r="AK129" s="6">
        <f t="shared" si="72"/>
        <v>1.4539007092198581</v>
      </c>
      <c r="AL129" s="6">
        <f t="shared" si="73"/>
        <v>1.25</v>
      </c>
      <c r="AM129" s="4" t="str">
        <f t="shared" si="74"/>
        <v>-</v>
      </c>
      <c r="AN129" s="4" t="str">
        <f t="shared" si="75"/>
        <v>-</v>
      </c>
      <c r="AO129" s="4" t="str">
        <f t="shared" si="76"/>
        <v>-</v>
      </c>
      <c r="AP129" s="4">
        <v>0</v>
      </c>
      <c r="AQ129" s="4" t="s">
        <v>370</v>
      </c>
      <c r="AR129" s="4">
        <v>10</v>
      </c>
      <c r="AS129" s="4">
        <v>30</v>
      </c>
      <c r="AT129" s="4" t="s">
        <v>352</v>
      </c>
      <c r="AU129" s="4">
        <v>3600</v>
      </c>
      <c r="AV129" s="4">
        <f t="shared" si="77"/>
        <v>1200</v>
      </c>
      <c r="AW129" s="18">
        <v>4</v>
      </c>
      <c r="AX129" s="18">
        <v>1</v>
      </c>
      <c r="AY129" s="16">
        <v>5</v>
      </c>
      <c r="AZ129" t="s">
        <v>230</v>
      </c>
      <c r="BA129" t="str">
        <f t="shared" si="78"/>
        <v>-</v>
      </c>
      <c r="BB129">
        <v>108</v>
      </c>
      <c r="BC129">
        <f t="shared" si="79"/>
        <v>135</v>
      </c>
      <c r="BD129" t="s">
        <v>251</v>
      </c>
    </row>
    <row r="130" spans="1:56" x14ac:dyDescent="0.4">
      <c r="A130" s="3">
        <v>21</v>
      </c>
      <c r="B130" s="3">
        <v>21</v>
      </c>
      <c r="C130" s="40">
        <v>158832</v>
      </c>
      <c r="D130" s="4" t="str">
        <f t="shared" si="60"/>
        <v>158832</v>
      </c>
      <c r="E130" s="4">
        <v>158832</v>
      </c>
      <c r="F130" s="4" t="s">
        <v>82</v>
      </c>
      <c r="G130" s="5">
        <v>4902778261071</v>
      </c>
      <c r="H130" s="5"/>
      <c r="I130" s="5"/>
      <c r="J130" s="5">
        <v>2</v>
      </c>
      <c r="K130" s="5">
        <v>2</v>
      </c>
      <c r="L130" s="4">
        <v>120</v>
      </c>
      <c r="M130" s="4">
        <v>97</v>
      </c>
      <c r="N130" s="4">
        <v>61.2</v>
      </c>
      <c r="O130" s="6">
        <f t="shared" si="61"/>
        <v>0.36907216494845363</v>
      </c>
      <c r="P130" s="4" t="s">
        <v>230</v>
      </c>
      <c r="Q130" s="4" t="s">
        <v>230</v>
      </c>
      <c r="R130" s="4" t="s">
        <v>230</v>
      </c>
      <c r="S130" s="4">
        <v>150</v>
      </c>
      <c r="T130" s="4">
        <f t="shared" si="62"/>
        <v>150</v>
      </c>
      <c r="U130" s="4">
        <v>76.5</v>
      </c>
      <c r="V130" s="4">
        <f t="shared" si="63"/>
        <v>76.5</v>
      </c>
      <c r="W130" s="4"/>
      <c r="X130" s="20">
        <f t="shared" si="64"/>
        <v>121</v>
      </c>
      <c r="Y130" s="6">
        <f t="shared" si="65"/>
        <v>0.36776859504132231</v>
      </c>
      <c r="Z130" s="32">
        <v>4.5</v>
      </c>
      <c r="AA130" s="4">
        <f t="shared" si="66"/>
        <v>120</v>
      </c>
      <c r="AB130" s="32">
        <f t="shared" si="67"/>
        <v>150</v>
      </c>
      <c r="AC130" s="6">
        <f t="shared" si="68"/>
        <v>0.49</v>
      </c>
      <c r="AD130" s="7">
        <v>130</v>
      </c>
      <c r="AE130" s="6">
        <f t="shared" si="69"/>
        <v>0.41153846153846152</v>
      </c>
      <c r="AF130" s="4">
        <f t="shared" si="70"/>
        <v>53.5</v>
      </c>
      <c r="AG130" s="27"/>
      <c r="AH130" s="6"/>
      <c r="AI130" s="6"/>
      <c r="AJ130" s="6">
        <f t="shared" si="71"/>
        <v>1.25</v>
      </c>
      <c r="AK130" s="6">
        <f t="shared" si="72"/>
        <v>1.3402061855670102</v>
      </c>
      <c r="AL130" s="6">
        <f t="shared" si="73"/>
        <v>1.25</v>
      </c>
      <c r="AM130" s="4" t="str">
        <f t="shared" si="74"/>
        <v>-</v>
      </c>
      <c r="AN130" s="4" t="str">
        <f t="shared" si="75"/>
        <v>-</v>
      </c>
      <c r="AO130" s="4" t="str">
        <f t="shared" si="76"/>
        <v>-</v>
      </c>
      <c r="AP130" s="4">
        <v>0</v>
      </c>
      <c r="AQ130" s="4" t="s">
        <v>371</v>
      </c>
      <c r="AR130" s="4">
        <v>1</v>
      </c>
      <c r="AS130" s="4">
        <v>30</v>
      </c>
      <c r="AT130" s="4" t="s">
        <v>352</v>
      </c>
      <c r="AU130" s="4">
        <v>3600</v>
      </c>
      <c r="AV130" s="4">
        <f t="shared" si="77"/>
        <v>120</v>
      </c>
      <c r="AW130" s="18">
        <v>4</v>
      </c>
      <c r="AX130" s="18">
        <v>1</v>
      </c>
      <c r="AY130" s="16">
        <v>5</v>
      </c>
      <c r="AZ130" t="s">
        <v>230</v>
      </c>
      <c r="BA130" t="str">
        <f t="shared" si="78"/>
        <v>-</v>
      </c>
      <c r="BB130">
        <v>108</v>
      </c>
      <c r="BC130">
        <f t="shared" si="79"/>
        <v>135</v>
      </c>
      <c r="BD130" t="s">
        <v>252</v>
      </c>
    </row>
    <row r="131" spans="1:56" x14ac:dyDescent="0.4">
      <c r="A131" s="3">
        <v>109</v>
      </c>
      <c r="B131" s="3">
        <v>21</v>
      </c>
      <c r="C131" s="40">
        <v>158832</v>
      </c>
      <c r="D131" s="4" t="str">
        <f t="shared" si="60"/>
        <v>158832</v>
      </c>
      <c r="E131" s="4">
        <v>158899</v>
      </c>
      <c r="F131" s="4" t="s">
        <v>179</v>
      </c>
      <c r="G131" s="5">
        <v>4902778261071</v>
      </c>
      <c r="H131" s="5">
        <v>8</v>
      </c>
      <c r="I131" s="5" t="str">
        <f>C131&amp;H131</f>
        <v>1588328</v>
      </c>
      <c r="J131" s="5"/>
      <c r="K131" s="5"/>
      <c r="L131" s="4">
        <v>1200</v>
      </c>
      <c r="M131" s="4">
        <v>899</v>
      </c>
      <c r="N131" s="4">
        <v>612</v>
      </c>
      <c r="O131" s="6">
        <f t="shared" si="61"/>
        <v>0.3192436040044494</v>
      </c>
      <c r="P131" s="4" t="s">
        <v>230</v>
      </c>
      <c r="Q131" s="4" t="s">
        <v>230</v>
      </c>
      <c r="R131" s="4" t="s">
        <v>230</v>
      </c>
      <c r="S131" s="4">
        <v>150</v>
      </c>
      <c r="T131" s="4">
        <f t="shared" si="62"/>
        <v>1500</v>
      </c>
      <c r="U131" s="4">
        <v>76.5</v>
      </c>
      <c r="V131" s="4">
        <f t="shared" si="63"/>
        <v>765</v>
      </c>
      <c r="W131" s="4">
        <v>10</v>
      </c>
      <c r="X131" s="20">
        <f t="shared" si="64"/>
        <v>1124</v>
      </c>
      <c r="Y131" s="6">
        <f t="shared" si="65"/>
        <v>0.31939501779359436</v>
      </c>
      <c r="Z131" s="32">
        <v>4.5</v>
      </c>
      <c r="AA131" s="4">
        <f t="shared" si="66"/>
        <v>1200</v>
      </c>
      <c r="AB131" s="32">
        <f t="shared" si="67"/>
        <v>1500</v>
      </c>
      <c r="AC131" s="6">
        <f t="shared" si="68"/>
        <v>0.49</v>
      </c>
      <c r="AD131" s="7">
        <v>1230</v>
      </c>
      <c r="AE131" s="6">
        <f t="shared" si="69"/>
        <v>0.37804878048780488</v>
      </c>
      <c r="AF131" s="4">
        <f t="shared" si="70"/>
        <v>465</v>
      </c>
      <c r="AG131" s="27"/>
      <c r="AH131" s="6"/>
      <c r="AI131" s="6"/>
      <c r="AJ131" s="6">
        <f t="shared" si="71"/>
        <v>1.25</v>
      </c>
      <c r="AK131" s="6">
        <f t="shared" si="72"/>
        <v>1.3681868743047831</v>
      </c>
      <c r="AL131" s="6">
        <f t="shared" si="73"/>
        <v>1.25</v>
      </c>
      <c r="AM131" s="4" t="str">
        <f t="shared" si="74"/>
        <v>-</v>
      </c>
      <c r="AN131" s="4" t="str">
        <f t="shared" si="75"/>
        <v>-</v>
      </c>
      <c r="AO131" s="4" t="str">
        <f t="shared" si="76"/>
        <v>-</v>
      </c>
      <c r="AP131" s="4">
        <v>0</v>
      </c>
      <c r="AQ131" s="4" t="s">
        <v>371</v>
      </c>
      <c r="AR131" s="4">
        <v>10</v>
      </c>
      <c r="AS131" s="4">
        <v>30</v>
      </c>
      <c r="AT131" s="4" t="s">
        <v>352</v>
      </c>
      <c r="AU131" s="4">
        <v>3600</v>
      </c>
      <c r="AV131" s="4">
        <f t="shared" si="77"/>
        <v>1200</v>
      </c>
      <c r="AW131" s="18">
        <v>4</v>
      </c>
      <c r="AX131" s="18">
        <v>1</v>
      </c>
      <c r="AY131" s="16">
        <v>5</v>
      </c>
      <c r="AZ131" t="s">
        <v>230</v>
      </c>
      <c r="BA131" t="str">
        <f t="shared" si="78"/>
        <v>-</v>
      </c>
      <c r="BB131">
        <v>108</v>
      </c>
      <c r="BC131">
        <f t="shared" si="79"/>
        <v>135</v>
      </c>
      <c r="BD131" t="s">
        <v>252</v>
      </c>
    </row>
    <row r="132" spans="1:56" x14ac:dyDescent="0.4">
      <c r="A132" s="3">
        <v>22</v>
      </c>
      <c r="B132" s="3">
        <v>22</v>
      </c>
      <c r="C132" s="40">
        <v>158833</v>
      </c>
      <c r="D132" s="4" t="str">
        <f t="shared" ref="D132:D163" si="80">TEXT(C132,"000000")</f>
        <v>158833</v>
      </c>
      <c r="E132" s="4">
        <v>158833</v>
      </c>
      <c r="F132" s="4" t="s">
        <v>83</v>
      </c>
      <c r="G132" s="5">
        <v>4902778261088</v>
      </c>
      <c r="H132" s="5"/>
      <c r="I132" s="5"/>
      <c r="J132" s="5">
        <v>2</v>
      </c>
      <c r="K132" s="5">
        <v>2</v>
      </c>
      <c r="L132" s="4">
        <v>120</v>
      </c>
      <c r="M132" s="4">
        <v>96</v>
      </c>
      <c r="N132" s="4">
        <v>61.2</v>
      </c>
      <c r="O132" s="6">
        <f t="shared" ref="O132:O163" si="81">IFERROR(1-N132/M132,"-")</f>
        <v>0.36249999999999993</v>
      </c>
      <c r="P132" s="4" t="s">
        <v>230</v>
      </c>
      <c r="Q132" s="4" t="s">
        <v>230</v>
      </c>
      <c r="R132" s="4" t="s">
        <v>230</v>
      </c>
      <c r="S132" s="4">
        <v>150</v>
      </c>
      <c r="T132" s="4">
        <f t="shared" ref="T132:T163" si="82">IF(W132="",S132,S132*W132)</f>
        <v>150</v>
      </c>
      <c r="U132" s="4">
        <v>76.5</v>
      </c>
      <c r="V132" s="4">
        <f t="shared" ref="V132:V163" si="83">IF(W132="",U132,U132*W132)</f>
        <v>76.5</v>
      </c>
      <c r="W132" s="4"/>
      <c r="X132" s="20">
        <f t="shared" ref="X132:X163" si="84">ROUND(M132*AL132,0)</f>
        <v>120</v>
      </c>
      <c r="Y132" s="6">
        <f t="shared" ref="Y132:Y163" si="85">IFERROR(1-V132/X132,"-")</f>
        <v>0.36250000000000004</v>
      </c>
      <c r="Z132" s="32">
        <v>3.75</v>
      </c>
      <c r="AA132" s="4">
        <f t="shared" ref="AA132:AA163" si="86">AV132</f>
        <v>120</v>
      </c>
      <c r="AB132" s="32">
        <f t="shared" ref="AB132:AB163" si="87">IFERROR(AA132*AL132,"-")</f>
        <v>150</v>
      </c>
      <c r="AC132" s="6">
        <f t="shared" ref="AC132:AC163" si="88">IFERROR(1-V132/AB132,"-")</f>
        <v>0.49</v>
      </c>
      <c r="AD132" s="7">
        <v>130</v>
      </c>
      <c r="AE132" s="6">
        <f t="shared" ref="AE132:AE163" si="89">1-V132/AD132</f>
        <v>0.41153846153846152</v>
      </c>
      <c r="AF132" s="4">
        <f t="shared" ref="AF132:AF163" si="90">AD132-V132</f>
        <v>53.5</v>
      </c>
      <c r="AG132" s="27"/>
      <c r="AH132" s="6"/>
      <c r="AI132" s="6"/>
      <c r="AJ132" s="6">
        <f t="shared" ref="AJ132:AJ163" si="91">IFERROR(T132/L132,"-")</f>
        <v>1.25</v>
      </c>
      <c r="AK132" s="6">
        <f t="shared" ref="AK132:AK163" si="92">IFERROR(AD132/M132,"-")</f>
        <v>1.3541666666666667</v>
      </c>
      <c r="AL132" s="6">
        <f t="shared" ref="AL132:AL163" si="93">IFERROR(V132/N132,"-")</f>
        <v>1.25</v>
      </c>
      <c r="AM132" s="4" t="str">
        <f t="shared" ref="AM132:AM163" si="94">IFERROR(ROUND($AD132*P132/$M132,0),"-")</f>
        <v>-</v>
      </c>
      <c r="AN132" s="4" t="str">
        <f t="shared" ref="AN132:AN163" si="95">IF(Q132="","-",Q132)</f>
        <v>-</v>
      </c>
      <c r="AO132" s="4" t="str">
        <f t="shared" ref="AO132:AO163" si="96">IF(R132="","-",R132)</f>
        <v>-</v>
      </c>
      <c r="AP132" s="4">
        <v>0</v>
      </c>
      <c r="AQ132" s="4" t="s">
        <v>372</v>
      </c>
      <c r="AR132" s="4">
        <v>1</v>
      </c>
      <c r="AS132" s="4">
        <v>30</v>
      </c>
      <c r="AT132" s="4" t="s">
        <v>352</v>
      </c>
      <c r="AU132" s="4">
        <v>3600</v>
      </c>
      <c r="AV132" s="4">
        <f t="shared" ref="AV132:AV163" si="97">IF(AR132="",AU132,AR132/AS132*AU132)</f>
        <v>120</v>
      </c>
      <c r="AW132" s="18">
        <v>4</v>
      </c>
      <c r="AX132" s="18">
        <v>1</v>
      </c>
      <c r="AY132" s="16">
        <v>5</v>
      </c>
      <c r="AZ132" t="s">
        <v>230</v>
      </c>
      <c r="BA132" t="str">
        <f t="shared" ref="BA132:BA163" si="98">IFERROR(AZ132*AL132,"-")</f>
        <v>-</v>
      </c>
      <c r="BB132">
        <v>108</v>
      </c>
      <c r="BC132">
        <f t="shared" ref="BC132:BC163" si="99">IFERROR(BB132*AL132,"-")</f>
        <v>135</v>
      </c>
      <c r="BD132" t="s">
        <v>253</v>
      </c>
    </row>
    <row r="133" spans="1:56" x14ac:dyDescent="0.4">
      <c r="A133" s="3">
        <v>109</v>
      </c>
      <c r="B133" s="3">
        <v>22</v>
      </c>
      <c r="C133" s="40">
        <v>158833</v>
      </c>
      <c r="D133" s="4" t="str">
        <f t="shared" si="80"/>
        <v>158833</v>
      </c>
      <c r="E133" s="4">
        <v>158901</v>
      </c>
      <c r="F133" s="4" t="s">
        <v>180</v>
      </c>
      <c r="G133" s="5">
        <v>4902778261088</v>
      </c>
      <c r="H133" s="5">
        <v>8</v>
      </c>
      <c r="I133" s="5" t="str">
        <f>C133&amp;H133</f>
        <v>1588338</v>
      </c>
      <c r="J133" s="5"/>
      <c r="K133" s="5"/>
      <c r="L133" s="4">
        <v>1200</v>
      </c>
      <c r="M133" s="4">
        <v>846</v>
      </c>
      <c r="N133" s="4">
        <v>612</v>
      </c>
      <c r="O133" s="6">
        <f t="shared" si="81"/>
        <v>0.27659574468085102</v>
      </c>
      <c r="P133" s="4" t="s">
        <v>230</v>
      </c>
      <c r="Q133" s="4" t="s">
        <v>230</v>
      </c>
      <c r="R133" s="4" t="s">
        <v>230</v>
      </c>
      <c r="S133" s="4">
        <v>150</v>
      </c>
      <c r="T133" s="4">
        <f t="shared" si="82"/>
        <v>1500</v>
      </c>
      <c r="U133" s="4">
        <v>76.5</v>
      </c>
      <c r="V133" s="4">
        <f t="shared" si="83"/>
        <v>765</v>
      </c>
      <c r="W133" s="4">
        <v>10</v>
      </c>
      <c r="X133" s="20">
        <f t="shared" si="84"/>
        <v>1058</v>
      </c>
      <c r="Y133" s="6">
        <f t="shared" si="85"/>
        <v>0.27693761814744799</v>
      </c>
      <c r="Z133" s="32">
        <v>3.75</v>
      </c>
      <c r="AA133" s="4">
        <f t="shared" si="86"/>
        <v>1200</v>
      </c>
      <c r="AB133" s="32">
        <f t="shared" si="87"/>
        <v>1500</v>
      </c>
      <c r="AC133" s="6">
        <f t="shared" si="88"/>
        <v>0.49</v>
      </c>
      <c r="AD133" s="7">
        <v>1230</v>
      </c>
      <c r="AE133" s="6">
        <f t="shared" si="89"/>
        <v>0.37804878048780488</v>
      </c>
      <c r="AF133" s="4">
        <f t="shared" si="90"/>
        <v>465</v>
      </c>
      <c r="AG133" s="27"/>
      <c r="AH133" s="6"/>
      <c r="AI133" s="6"/>
      <c r="AJ133" s="6">
        <f t="shared" si="91"/>
        <v>1.25</v>
      </c>
      <c r="AK133" s="6">
        <f t="shared" si="92"/>
        <v>1.4539007092198581</v>
      </c>
      <c r="AL133" s="6">
        <f t="shared" si="93"/>
        <v>1.25</v>
      </c>
      <c r="AM133" s="4" t="str">
        <f t="shared" si="94"/>
        <v>-</v>
      </c>
      <c r="AN133" s="4" t="str">
        <f t="shared" si="95"/>
        <v>-</v>
      </c>
      <c r="AO133" s="4" t="str">
        <f t="shared" si="96"/>
        <v>-</v>
      </c>
      <c r="AP133" s="4">
        <v>0</v>
      </c>
      <c r="AQ133" s="4" t="s">
        <v>372</v>
      </c>
      <c r="AR133" s="4">
        <v>10</v>
      </c>
      <c r="AS133" s="4">
        <v>30</v>
      </c>
      <c r="AT133" s="4" t="s">
        <v>352</v>
      </c>
      <c r="AU133" s="4">
        <v>3600</v>
      </c>
      <c r="AV133" s="4">
        <f t="shared" si="97"/>
        <v>1200</v>
      </c>
      <c r="AW133" s="18">
        <v>4</v>
      </c>
      <c r="AX133" s="18">
        <v>1</v>
      </c>
      <c r="AY133" s="16">
        <v>5</v>
      </c>
      <c r="AZ133" t="s">
        <v>230</v>
      </c>
      <c r="BA133" t="str">
        <f t="shared" si="98"/>
        <v>-</v>
      </c>
      <c r="BB133">
        <v>108</v>
      </c>
      <c r="BC133">
        <f t="shared" si="99"/>
        <v>135</v>
      </c>
      <c r="BD133" t="s">
        <v>253</v>
      </c>
    </row>
    <row r="134" spans="1:56" x14ac:dyDescent="0.4">
      <c r="A134" s="3">
        <v>24</v>
      </c>
      <c r="B134" s="3">
        <v>24</v>
      </c>
      <c r="C134" s="40">
        <v>158836</v>
      </c>
      <c r="D134" s="4" t="str">
        <f t="shared" si="80"/>
        <v>158836</v>
      </c>
      <c r="E134" s="4">
        <v>158836</v>
      </c>
      <c r="F134" s="4" t="s">
        <v>85</v>
      </c>
      <c r="G134" s="5">
        <v>4902778261095</v>
      </c>
      <c r="H134" s="5"/>
      <c r="I134" s="5"/>
      <c r="J134" s="5">
        <v>2</v>
      </c>
      <c r="K134" s="5">
        <v>2</v>
      </c>
      <c r="L134" s="4">
        <v>120</v>
      </c>
      <c r="M134" s="4">
        <v>97</v>
      </c>
      <c r="N134" s="4">
        <v>61.2</v>
      </c>
      <c r="O134" s="6">
        <f t="shared" si="81"/>
        <v>0.36907216494845363</v>
      </c>
      <c r="P134" s="4" t="s">
        <v>230</v>
      </c>
      <c r="Q134" s="4" t="s">
        <v>230</v>
      </c>
      <c r="R134" s="4" t="s">
        <v>230</v>
      </c>
      <c r="S134" s="4">
        <v>150</v>
      </c>
      <c r="T134" s="4">
        <f t="shared" si="82"/>
        <v>150</v>
      </c>
      <c r="U134" s="4">
        <v>76.5</v>
      </c>
      <c r="V134" s="4">
        <f t="shared" si="83"/>
        <v>76.5</v>
      </c>
      <c r="W134" s="4"/>
      <c r="X134" s="20">
        <f t="shared" si="84"/>
        <v>121</v>
      </c>
      <c r="Y134" s="6">
        <f t="shared" si="85"/>
        <v>0.36776859504132231</v>
      </c>
      <c r="Z134" s="32">
        <v>19.5</v>
      </c>
      <c r="AA134" s="4">
        <f t="shared" si="86"/>
        <v>100</v>
      </c>
      <c r="AB134" s="32">
        <f t="shared" si="87"/>
        <v>125</v>
      </c>
      <c r="AC134" s="6">
        <f t="shared" si="88"/>
        <v>0.38800000000000001</v>
      </c>
      <c r="AD134" s="7">
        <v>130</v>
      </c>
      <c r="AE134" s="6">
        <f t="shared" si="89"/>
        <v>0.41153846153846152</v>
      </c>
      <c r="AF134" s="4">
        <f t="shared" si="90"/>
        <v>53.5</v>
      </c>
      <c r="AG134" s="27"/>
      <c r="AH134" s="6"/>
      <c r="AI134" s="6"/>
      <c r="AJ134" s="6">
        <f t="shared" si="91"/>
        <v>1.25</v>
      </c>
      <c r="AK134" s="6">
        <f t="shared" si="92"/>
        <v>1.3402061855670102</v>
      </c>
      <c r="AL134" s="6">
        <f t="shared" si="93"/>
        <v>1.25</v>
      </c>
      <c r="AM134" s="4" t="str">
        <f t="shared" si="94"/>
        <v>-</v>
      </c>
      <c r="AN134" s="4" t="str">
        <f t="shared" si="95"/>
        <v>-</v>
      </c>
      <c r="AO134" s="4" t="str">
        <f t="shared" si="96"/>
        <v>-</v>
      </c>
      <c r="AP134" s="4">
        <v>0</v>
      </c>
      <c r="AQ134" s="4" t="s">
        <v>375</v>
      </c>
      <c r="AR134" s="4"/>
      <c r="AS134" s="4"/>
      <c r="AT134" s="4" t="s">
        <v>349</v>
      </c>
      <c r="AU134" s="4">
        <v>100</v>
      </c>
      <c r="AV134" s="4">
        <f t="shared" si="97"/>
        <v>100</v>
      </c>
      <c r="AW134" s="18">
        <v>4</v>
      </c>
      <c r="AX134" s="18">
        <v>1</v>
      </c>
      <c r="AY134" s="16">
        <v>5</v>
      </c>
      <c r="AZ134" t="s">
        <v>230</v>
      </c>
      <c r="BA134" t="str">
        <f t="shared" si="98"/>
        <v>-</v>
      </c>
      <c r="BB134">
        <v>108</v>
      </c>
      <c r="BC134">
        <f t="shared" si="99"/>
        <v>135</v>
      </c>
      <c r="BD134" t="s">
        <v>255</v>
      </c>
    </row>
    <row r="135" spans="1:56" x14ac:dyDescent="0.4">
      <c r="A135" s="3">
        <v>109</v>
      </c>
      <c r="B135" s="3">
        <v>24</v>
      </c>
      <c r="C135" s="40">
        <v>158836</v>
      </c>
      <c r="D135" s="4" t="str">
        <f t="shared" si="80"/>
        <v>158836</v>
      </c>
      <c r="E135" s="4">
        <v>158902</v>
      </c>
      <c r="F135" s="4" t="s">
        <v>181</v>
      </c>
      <c r="G135" s="5">
        <v>4902778261095</v>
      </c>
      <c r="H135" s="5">
        <v>8</v>
      </c>
      <c r="I135" s="5" t="str">
        <f>C135&amp;H135</f>
        <v>1588368</v>
      </c>
      <c r="J135" s="5"/>
      <c r="K135" s="5"/>
      <c r="L135" s="4">
        <v>1200</v>
      </c>
      <c r="M135" s="4">
        <v>916</v>
      </c>
      <c r="N135" s="4">
        <v>612</v>
      </c>
      <c r="O135" s="6">
        <f t="shared" si="81"/>
        <v>0.33187772925764192</v>
      </c>
      <c r="P135" s="4" t="s">
        <v>230</v>
      </c>
      <c r="Q135" s="4" t="s">
        <v>230</v>
      </c>
      <c r="R135" s="4" t="s">
        <v>230</v>
      </c>
      <c r="S135" s="4">
        <v>150</v>
      </c>
      <c r="T135" s="4">
        <f t="shared" si="82"/>
        <v>1500</v>
      </c>
      <c r="U135" s="4">
        <v>76.5</v>
      </c>
      <c r="V135" s="4">
        <f t="shared" si="83"/>
        <v>765</v>
      </c>
      <c r="W135" s="4">
        <v>10</v>
      </c>
      <c r="X135" s="20">
        <f t="shared" si="84"/>
        <v>1145</v>
      </c>
      <c r="Y135" s="6">
        <f t="shared" si="85"/>
        <v>0.33187772925764192</v>
      </c>
      <c r="Z135" s="32">
        <v>19.5</v>
      </c>
      <c r="AA135" s="4">
        <f t="shared" si="86"/>
        <v>946</v>
      </c>
      <c r="AB135" s="32">
        <f t="shared" si="87"/>
        <v>1182.5</v>
      </c>
      <c r="AC135" s="6">
        <f t="shared" si="88"/>
        <v>0.35306553911205074</v>
      </c>
      <c r="AD135" s="7">
        <v>1230</v>
      </c>
      <c r="AE135" s="6">
        <f t="shared" si="89"/>
        <v>0.37804878048780488</v>
      </c>
      <c r="AF135" s="4">
        <f t="shared" si="90"/>
        <v>465</v>
      </c>
      <c r="AG135" s="27"/>
      <c r="AH135" s="6"/>
      <c r="AI135" s="6"/>
      <c r="AJ135" s="6">
        <f t="shared" si="91"/>
        <v>1.25</v>
      </c>
      <c r="AK135" s="6">
        <f t="shared" si="92"/>
        <v>1.3427947598253276</v>
      </c>
      <c r="AL135" s="6">
        <f t="shared" si="93"/>
        <v>1.25</v>
      </c>
      <c r="AM135" s="4" t="str">
        <f t="shared" si="94"/>
        <v>-</v>
      </c>
      <c r="AN135" s="4" t="str">
        <f t="shared" si="95"/>
        <v>-</v>
      </c>
      <c r="AO135" s="4" t="str">
        <f t="shared" si="96"/>
        <v>-</v>
      </c>
      <c r="AP135" s="4">
        <v>0</v>
      </c>
      <c r="AQ135" s="4" t="s">
        <v>459</v>
      </c>
      <c r="AR135" s="4"/>
      <c r="AS135" s="4"/>
      <c r="AT135" s="4" t="s">
        <v>409</v>
      </c>
      <c r="AU135" s="4">
        <v>946</v>
      </c>
      <c r="AV135" s="4">
        <f t="shared" si="97"/>
        <v>946</v>
      </c>
      <c r="AW135" s="18">
        <v>4</v>
      </c>
      <c r="AX135" s="18">
        <v>1</v>
      </c>
      <c r="AY135" s="16">
        <v>5</v>
      </c>
      <c r="AZ135" t="s">
        <v>230</v>
      </c>
      <c r="BA135" t="str">
        <f t="shared" si="98"/>
        <v>-</v>
      </c>
      <c r="BB135">
        <v>108</v>
      </c>
      <c r="BC135">
        <f t="shared" si="99"/>
        <v>135</v>
      </c>
      <c r="BD135" t="s">
        <v>329</v>
      </c>
    </row>
    <row r="136" spans="1:56" x14ac:dyDescent="0.4">
      <c r="A136" s="3">
        <v>25</v>
      </c>
      <c r="B136" s="3">
        <v>25</v>
      </c>
      <c r="C136" s="40">
        <v>158837</v>
      </c>
      <c r="D136" s="4" t="str">
        <f t="shared" si="80"/>
        <v>158837</v>
      </c>
      <c r="E136" s="4">
        <v>158837</v>
      </c>
      <c r="F136" s="4" t="s">
        <v>86</v>
      </c>
      <c r="G136" s="5">
        <v>4902778261200</v>
      </c>
      <c r="H136" s="5"/>
      <c r="I136" s="5"/>
      <c r="J136" s="5">
        <v>2</v>
      </c>
      <c r="K136" s="5">
        <v>2</v>
      </c>
      <c r="L136" s="4">
        <v>120</v>
      </c>
      <c r="M136" s="4">
        <v>95</v>
      </c>
      <c r="N136" s="4">
        <v>61.2</v>
      </c>
      <c r="O136" s="6">
        <f t="shared" si="81"/>
        <v>0.35578947368421054</v>
      </c>
      <c r="P136" s="4" t="s">
        <v>230</v>
      </c>
      <c r="Q136" s="4" t="s">
        <v>230</v>
      </c>
      <c r="R136" s="4" t="s">
        <v>230</v>
      </c>
      <c r="S136" s="4">
        <v>150</v>
      </c>
      <c r="T136" s="4">
        <f t="shared" si="82"/>
        <v>150</v>
      </c>
      <c r="U136" s="4">
        <v>76.5</v>
      </c>
      <c r="V136" s="4">
        <f t="shared" si="83"/>
        <v>76.5</v>
      </c>
      <c r="W136" s="4"/>
      <c r="X136" s="20">
        <f t="shared" si="84"/>
        <v>119</v>
      </c>
      <c r="Y136" s="6">
        <f t="shared" si="85"/>
        <v>0.3571428571428571</v>
      </c>
      <c r="Z136" s="32">
        <v>0.5</v>
      </c>
      <c r="AA136" s="4">
        <f t="shared" si="86"/>
        <v>120</v>
      </c>
      <c r="AB136" s="32">
        <f t="shared" si="87"/>
        <v>150</v>
      </c>
      <c r="AC136" s="6">
        <f t="shared" si="88"/>
        <v>0.49</v>
      </c>
      <c r="AD136" s="7">
        <v>130</v>
      </c>
      <c r="AE136" s="6">
        <f t="shared" si="89"/>
        <v>0.41153846153846152</v>
      </c>
      <c r="AF136" s="4">
        <f t="shared" si="90"/>
        <v>53.5</v>
      </c>
      <c r="AG136" s="27"/>
      <c r="AH136" s="6"/>
      <c r="AI136" s="6"/>
      <c r="AJ136" s="6">
        <f t="shared" si="91"/>
        <v>1.25</v>
      </c>
      <c r="AK136" s="6">
        <f t="shared" si="92"/>
        <v>1.368421052631579</v>
      </c>
      <c r="AL136" s="6">
        <f t="shared" si="93"/>
        <v>1.25</v>
      </c>
      <c r="AM136" s="4" t="str">
        <f t="shared" si="94"/>
        <v>-</v>
      </c>
      <c r="AN136" s="4" t="str">
        <f t="shared" si="95"/>
        <v>-</v>
      </c>
      <c r="AO136" s="4" t="str">
        <f t="shared" si="96"/>
        <v>-</v>
      </c>
      <c r="AP136" s="4">
        <v>0</v>
      </c>
      <c r="AQ136" s="4" t="s">
        <v>376</v>
      </c>
      <c r="AR136" s="4">
        <v>1</v>
      </c>
      <c r="AS136" s="4">
        <v>30</v>
      </c>
      <c r="AT136" s="4" t="s">
        <v>352</v>
      </c>
      <c r="AU136" s="4">
        <v>3600</v>
      </c>
      <c r="AV136" s="4">
        <f t="shared" si="97"/>
        <v>120</v>
      </c>
      <c r="AW136" s="18">
        <v>4</v>
      </c>
      <c r="AX136" s="18">
        <v>1</v>
      </c>
      <c r="AY136" s="16">
        <v>5</v>
      </c>
      <c r="AZ136" t="s">
        <v>230</v>
      </c>
      <c r="BA136" t="str">
        <f t="shared" si="98"/>
        <v>-</v>
      </c>
      <c r="BB136">
        <v>108</v>
      </c>
      <c r="BC136">
        <f t="shared" si="99"/>
        <v>135</v>
      </c>
      <c r="BD136" t="s">
        <v>256</v>
      </c>
    </row>
    <row r="137" spans="1:56" x14ac:dyDescent="0.4">
      <c r="A137" s="3">
        <v>109</v>
      </c>
      <c r="B137" s="3">
        <v>25</v>
      </c>
      <c r="C137" s="40">
        <v>158837</v>
      </c>
      <c r="D137" s="4" t="str">
        <f t="shared" si="80"/>
        <v>158837</v>
      </c>
      <c r="E137" s="4">
        <v>158903</v>
      </c>
      <c r="F137" s="4" t="s">
        <v>182</v>
      </c>
      <c r="G137" s="5">
        <v>4902778261200</v>
      </c>
      <c r="H137" s="5">
        <v>8</v>
      </c>
      <c r="I137" s="5" t="str">
        <f>C137&amp;H137</f>
        <v>1588378</v>
      </c>
      <c r="J137" s="5"/>
      <c r="K137" s="5"/>
      <c r="L137" s="4">
        <v>1200</v>
      </c>
      <c r="M137" s="4">
        <v>899</v>
      </c>
      <c r="N137" s="4">
        <v>612</v>
      </c>
      <c r="O137" s="6">
        <f t="shared" si="81"/>
        <v>0.3192436040044494</v>
      </c>
      <c r="P137" s="4" t="s">
        <v>230</v>
      </c>
      <c r="Q137" s="4" t="s">
        <v>230</v>
      </c>
      <c r="R137" s="4" t="s">
        <v>230</v>
      </c>
      <c r="S137" s="4">
        <v>150</v>
      </c>
      <c r="T137" s="4">
        <f t="shared" si="82"/>
        <v>1500</v>
      </c>
      <c r="U137" s="4">
        <v>76.5</v>
      </c>
      <c r="V137" s="4">
        <f t="shared" si="83"/>
        <v>765</v>
      </c>
      <c r="W137" s="4">
        <v>10</v>
      </c>
      <c r="X137" s="20">
        <f t="shared" si="84"/>
        <v>1124</v>
      </c>
      <c r="Y137" s="6">
        <f t="shared" si="85"/>
        <v>0.31939501779359436</v>
      </c>
      <c r="Z137" s="32">
        <v>0.5</v>
      </c>
      <c r="AA137" s="4">
        <f t="shared" si="86"/>
        <v>1200</v>
      </c>
      <c r="AB137" s="32">
        <f t="shared" si="87"/>
        <v>1500</v>
      </c>
      <c r="AC137" s="6">
        <f t="shared" si="88"/>
        <v>0.49</v>
      </c>
      <c r="AD137" s="7">
        <v>1230</v>
      </c>
      <c r="AE137" s="6">
        <f t="shared" si="89"/>
        <v>0.37804878048780488</v>
      </c>
      <c r="AF137" s="4">
        <f t="shared" si="90"/>
        <v>465</v>
      </c>
      <c r="AG137" s="27"/>
      <c r="AH137" s="6"/>
      <c r="AI137" s="6"/>
      <c r="AJ137" s="6">
        <f t="shared" si="91"/>
        <v>1.25</v>
      </c>
      <c r="AK137" s="6">
        <f t="shared" si="92"/>
        <v>1.3681868743047831</v>
      </c>
      <c r="AL137" s="6">
        <f t="shared" si="93"/>
        <v>1.25</v>
      </c>
      <c r="AM137" s="4" t="str">
        <f t="shared" si="94"/>
        <v>-</v>
      </c>
      <c r="AN137" s="4" t="str">
        <f t="shared" si="95"/>
        <v>-</v>
      </c>
      <c r="AO137" s="4" t="str">
        <f t="shared" si="96"/>
        <v>-</v>
      </c>
      <c r="AP137" s="4">
        <v>0</v>
      </c>
      <c r="AQ137" s="4" t="s">
        <v>376</v>
      </c>
      <c r="AR137" s="4">
        <v>10</v>
      </c>
      <c r="AS137" s="4">
        <v>30</v>
      </c>
      <c r="AT137" s="4" t="s">
        <v>352</v>
      </c>
      <c r="AU137" s="4">
        <v>3600</v>
      </c>
      <c r="AV137" s="4">
        <f t="shared" si="97"/>
        <v>1200</v>
      </c>
      <c r="AW137" s="18">
        <v>4</v>
      </c>
      <c r="AX137" s="18">
        <v>1</v>
      </c>
      <c r="AY137" s="16">
        <v>5</v>
      </c>
      <c r="AZ137" t="s">
        <v>230</v>
      </c>
      <c r="BA137" t="str">
        <f t="shared" si="98"/>
        <v>-</v>
      </c>
      <c r="BB137">
        <v>108</v>
      </c>
      <c r="BC137">
        <f t="shared" si="99"/>
        <v>135</v>
      </c>
      <c r="BD137" t="s">
        <v>256</v>
      </c>
    </row>
    <row r="138" spans="1:56" x14ac:dyDescent="0.4">
      <c r="A138" s="3">
        <v>26</v>
      </c>
      <c r="B138" s="3">
        <v>26</v>
      </c>
      <c r="C138" s="40">
        <v>158838</v>
      </c>
      <c r="D138" s="4" t="str">
        <f t="shared" si="80"/>
        <v>158838</v>
      </c>
      <c r="E138" s="4">
        <v>158838</v>
      </c>
      <c r="F138" s="4" t="s">
        <v>87</v>
      </c>
      <c r="G138" s="5">
        <v>4902778261224</v>
      </c>
      <c r="H138" s="5"/>
      <c r="I138" s="5"/>
      <c r="J138" s="5">
        <v>2</v>
      </c>
      <c r="K138" s="5">
        <v>2</v>
      </c>
      <c r="L138" s="4">
        <v>120</v>
      </c>
      <c r="M138" s="4">
        <v>95</v>
      </c>
      <c r="N138" s="4">
        <v>61.2</v>
      </c>
      <c r="O138" s="6">
        <f t="shared" si="81"/>
        <v>0.35578947368421054</v>
      </c>
      <c r="P138" s="4" t="s">
        <v>230</v>
      </c>
      <c r="Q138" s="4" t="s">
        <v>230</v>
      </c>
      <c r="R138" s="4" t="s">
        <v>230</v>
      </c>
      <c r="S138" s="4">
        <v>150</v>
      </c>
      <c r="T138" s="4">
        <f t="shared" si="82"/>
        <v>150</v>
      </c>
      <c r="U138" s="4">
        <v>76.5</v>
      </c>
      <c r="V138" s="4">
        <f t="shared" si="83"/>
        <v>76.5</v>
      </c>
      <c r="W138" s="4"/>
      <c r="X138" s="20">
        <f t="shared" si="84"/>
        <v>119</v>
      </c>
      <c r="Y138" s="6">
        <f t="shared" si="85"/>
        <v>0.3571428571428571</v>
      </c>
      <c r="Z138" s="32">
        <v>1</v>
      </c>
      <c r="AA138" s="4">
        <f t="shared" si="86"/>
        <v>120</v>
      </c>
      <c r="AB138" s="32">
        <f t="shared" si="87"/>
        <v>150</v>
      </c>
      <c r="AC138" s="6">
        <f t="shared" si="88"/>
        <v>0.49</v>
      </c>
      <c r="AD138" s="7">
        <v>130</v>
      </c>
      <c r="AE138" s="6">
        <f t="shared" si="89"/>
        <v>0.41153846153846152</v>
      </c>
      <c r="AF138" s="4">
        <f t="shared" si="90"/>
        <v>53.5</v>
      </c>
      <c r="AG138" s="27"/>
      <c r="AH138" s="6"/>
      <c r="AI138" s="6"/>
      <c r="AJ138" s="6">
        <f t="shared" si="91"/>
        <v>1.25</v>
      </c>
      <c r="AK138" s="6">
        <f t="shared" si="92"/>
        <v>1.368421052631579</v>
      </c>
      <c r="AL138" s="6">
        <f t="shared" si="93"/>
        <v>1.25</v>
      </c>
      <c r="AM138" s="4" t="str">
        <f t="shared" si="94"/>
        <v>-</v>
      </c>
      <c r="AN138" s="4" t="str">
        <f t="shared" si="95"/>
        <v>-</v>
      </c>
      <c r="AO138" s="4" t="str">
        <f t="shared" si="96"/>
        <v>-</v>
      </c>
      <c r="AP138" s="4">
        <v>0</v>
      </c>
      <c r="AQ138" s="4" t="s">
        <v>377</v>
      </c>
      <c r="AR138" s="4">
        <v>1</v>
      </c>
      <c r="AS138" s="4">
        <v>30</v>
      </c>
      <c r="AT138" s="4" t="s">
        <v>352</v>
      </c>
      <c r="AU138" s="4">
        <v>3600</v>
      </c>
      <c r="AV138" s="4">
        <f t="shared" si="97"/>
        <v>120</v>
      </c>
      <c r="AW138" s="18">
        <v>4</v>
      </c>
      <c r="AX138" s="18">
        <v>1</v>
      </c>
      <c r="AY138" s="16">
        <v>5</v>
      </c>
      <c r="AZ138" t="s">
        <v>230</v>
      </c>
      <c r="BA138" t="str">
        <f t="shared" si="98"/>
        <v>-</v>
      </c>
      <c r="BB138">
        <v>108</v>
      </c>
      <c r="BC138">
        <f t="shared" si="99"/>
        <v>135</v>
      </c>
      <c r="BD138" t="s">
        <v>257</v>
      </c>
    </row>
    <row r="139" spans="1:56" x14ac:dyDescent="0.4">
      <c r="A139" s="3">
        <v>109</v>
      </c>
      <c r="B139" s="3">
        <v>26</v>
      </c>
      <c r="C139" s="40">
        <v>158838</v>
      </c>
      <c r="D139" s="4" t="str">
        <f t="shared" si="80"/>
        <v>158838</v>
      </c>
      <c r="E139" s="4">
        <v>158904</v>
      </c>
      <c r="F139" s="4" t="s">
        <v>183</v>
      </c>
      <c r="G139" s="5">
        <v>4902778261224</v>
      </c>
      <c r="H139" s="5">
        <v>8</v>
      </c>
      <c r="I139" s="5" t="str">
        <f>C139&amp;H139</f>
        <v>1588388</v>
      </c>
      <c r="J139" s="5"/>
      <c r="K139" s="5"/>
      <c r="L139" s="4">
        <v>1200</v>
      </c>
      <c r="M139" s="4">
        <v>899</v>
      </c>
      <c r="N139" s="4">
        <v>612</v>
      </c>
      <c r="O139" s="6">
        <f t="shared" si="81"/>
        <v>0.3192436040044494</v>
      </c>
      <c r="P139" s="4" t="s">
        <v>230</v>
      </c>
      <c r="Q139" s="4" t="s">
        <v>230</v>
      </c>
      <c r="R139" s="4" t="s">
        <v>230</v>
      </c>
      <c r="S139" s="4">
        <v>150</v>
      </c>
      <c r="T139" s="4">
        <f t="shared" si="82"/>
        <v>1500</v>
      </c>
      <c r="U139" s="4">
        <v>76.5</v>
      </c>
      <c r="V139" s="4">
        <f t="shared" si="83"/>
        <v>765</v>
      </c>
      <c r="W139" s="4">
        <v>10</v>
      </c>
      <c r="X139" s="20">
        <f t="shared" si="84"/>
        <v>1124</v>
      </c>
      <c r="Y139" s="6">
        <f t="shared" si="85"/>
        <v>0.31939501779359436</v>
      </c>
      <c r="Z139" s="32">
        <v>1</v>
      </c>
      <c r="AA139" s="4">
        <f t="shared" si="86"/>
        <v>1200</v>
      </c>
      <c r="AB139" s="32">
        <f t="shared" si="87"/>
        <v>1500</v>
      </c>
      <c r="AC139" s="6">
        <f t="shared" si="88"/>
        <v>0.49</v>
      </c>
      <c r="AD139" s="7">
        <v>1230</v>
      </c>
      <c r="AE139" s="6">
        <f t="shared" si="89"/>
        <v>0.37804878048780488</v>
      </c>
      <c r="AF139" s="4">
        <f t="shared" si="90"/>
        <v>465</v>
      </c>
      <c r="AG139" s="27"/>
      <c r="AH139" s="6"/>
      <c r="AI139" s="6"/>
      <c r="AJ139" s="6">
        <f t="shared" si="91"/>
        <v>1.25</v>
      </c>
      <c r="AK139" s="6">
        <f t="shared" si="92"/>
        <v>1.3681868743047831</v>
      </c>
      <c r="AL139" s="6">
        <f t="shared" si="93"/>
        <v>1.25</v>
      </c>
      <c r="AM139" s="4" t="str">
        <f t="shared" si="94"/>
        <v>-</v>
      </c>
      <c r="AN139" s="4" t="str">
        <f t="shared" si="95"/>
        <v>-</v>
      </c>
      <c r="AO139" s="4" t="str">
        <f t="shared" si="96"/>
        <v>-</v>
      </c>
      <c r="AP139" s="4">
        <v>0</v>
      </c>
      <c r="AQ139" s="4" t="s">
        <v>377</v>
      </c>
      <c r="AR139" s="4">
        <v>10</v>
      </c>
      <c r="AS139" s="4">
        <v>30</v>
      </c>
      <c r="AT139" s="4" t="s">
        <v>352</v>
      </c>
      <c r="AU139" s="4">
        <v>3600</v>
      </c>
      <c r="AV139" s="4">
        <f t="shared" si="97"/>
        <v>1200</v>
      </c>
      <c r="AW139" s="18">
        <v>4</v>
      </c>
      <c r="AX139" s="18">
        <v>1</v>
      </c>
      <c r="AY139" s="16">
        <v>5</v>
      </c>
      <c r="AZ139" t="s">
        <v>230</v>
      </c>
      <c r="BA139" t="str">
        <f t="shared" si="98"/>
        <v>-</v>
      </c>
      <c r="BB139">
        <v>108</v>
      </c>
      <c r="BC139">
        <f t="shared" si="99"/>
        <v>135</v>
      </c>
      <c r="BD139" t="s">
        <v>257</v>
      </c>
    </row>
    <row r="140" spans="1:56" x14ac:dyDescent="0.4">
      <c r="A140" s="3">
        <v>27</v>
      </c>
      <c r="B140" s="3">
        <v>27</v>
      </c>
      <c r="C140" s="40">
        <v>158839</v>
      </c>
      <c r="D140" s="4" t="str">
        <f t="shared" si="80"/>
        <v>158839</v>
      </c>
      <c r="E140" s="4">
        <v>158839</v>
      </c>
      <c r="F140" s="4" t="s">
        <v>88</v>
      </c>
      <c r="G140" s="5">
        <v>4902778261231</v>
      </c>
      <c r="H140" s="5"/>
      <c r="I140" s="5"/>
      <c r="J140" s="5">
        <v>2</v>
      </c>
      <c r="K140" s="5">
        <v>2</v>
      </c>
      <c r="L140" s="4">
        <v>120</v>
      </c>
      <c r="M140" s="4">
        <v>97</v>
      </c>
      <c r="N140" s="4">
        <v>61.2</v>
      </c>
      <c r="O140" s="6">
        <f t="shared" si="81"/>
        <v>0.36907216494845363</v>
      </c>
      <c r="P140" s="4" t="s">
        <v>230</v>
      </c>
      <c r="Q140" s="4" t="s">
        <v>230</v>
      </c>
      <c r="R140" s="4" t="s">
        <v>230</v>
      </c>
      <c r="S140" s="4">
        <v>150</v>
      </c>
      <c r="T140" s="4">
        <f t="shared" si="82"/>
        <v>150</v>
      </c>
      <c r="U140" s="4">
        <v>76.5</v>
      </c>
      <c r="V140" s="4">
        <f t="shared" si="83"/>
        <v>76.5</v>
      </c>
      <c r="W140" s="4"/>
      <c r="X140" s="20">
        <f t="shared" si="84"/>
        <v>121</v>
      </c>
      <c r="Y140" s="6">
        <f t="shared" si="85"/>
        <v>0.36776859504132231</v>
      </c>
      <c r="Z140" s="32">
        <v>2.5</v>
      </c>
      <c r="AA140" s="4">
        <f t="shared" si="86"/>
        <v>120</v>
      </c>
      <c r="AB140" s="32">
        <f t="shared" si="87"/>
        <v>150</v>
      </c>
      <c r="AC140" s="6">
        <f t="shared" si="88"/>
        <v>0.49</v>
      </c>
      <c r="AD140" s="7">
        <v>130</v>
      </c>
      <c r="AE140" s="6">
        <f t="shared" si="89"/>
        <v>0.41153846153846152</v>
      </c>
      <c r="AF140" s="4">
        <f t="shared" si="90"/>
        <v>53.5</v>
      </c>
      <c r="AG140" s="27"/>
      <c r="AH140" s="6"/>
      <c r="AI140" s="6"/>
      <c r="AJ140" s="6">
        <f t="shared" si="91"/>
        <v>1.25</v>
      </c>
      <c r="AK140" s="6">
        <f t="shared" si="92"/>
        <v>1.3402061855670102</v>
      </c>
      <c r="AL140" s="6">
        <f t="shared" si="93"/>
        <v>1.25</v>
      </c>
      <c r="AM140" s="4" t="str">
        <f t="shared" si="94"/>
        <v>-</v>
      </c>
      <c r="AN140" s="4" t="str">
        <f t="shared" si="95"/>
        <v>-</v>
      </c>
      <c r="AO140" s="4" t="str">
        <f t="shared" si="96"/>
        <v>-</v>
      </c>
      <c r="AP140" s="4">
        <v>0</v>
      </c>
      <c r="AQ140" s="4" t="s">
        <v>378</v>
      </c>
      <c r="AR140" s="4">
        <v>1</v>
      </c>
      <c r="AS140" s="4">
        <v>30</v>
      </c>
      <c r="AT140" s="4" t="s">
        <v>352</v>
      </c>
      <c r="AU140" s="4">
        <v>3600</v>
      </c>
      <c r="AV140" s="4">
        <f t="shared" si="97"/>
        <v>120</v>
      </c>
      <c r="AW140" s="18">
        <v>4</v>
      </c>
      <c r="AX140" s="18">
        <v>1</v>
      </c>
      <c r="AY140" s="16">
        <v>5</v>
      </c>
      <c r="AZ140" t="s">
        <v>230</v>
      </c>
      <c r="BA140" t="str">
        <f t="shared" si="98"/>
        <v>-</v>
      </c>
      <c r="BB140">
        <v>108</v>
      </c>
      <c r="BC140">
        <f t="shared" si="99"/>
        <v>135</v>
      </c>
      <c r="BD140" t="s">
        <v>258</v>
      </c>
    </row>
    <row r="141" spans="1:56" x14ac:dyDescent="0.4">
      <c r="A141" s="3">
        <v>109</v>
      </c>
      <c r="B141" s="3">
        <v>27</v>
      </c>
      <c r="C141" s="40">
        <v>158839</v>
      </c>
      <c r="D141" s="4" t="str">
        <f t="shared" si="80"/>
        <v>158839</v>
      </c>
      <c r="E141" s="4">
        <v>158905</v>
      </c>
      <c r="F141" s="4" t="s">
        <v>184</v>
      </c>
      <c r="G141" s="5">
        <v>4902778261231</v>
      </c>
      <c r="H141" s="5">
        <v>8</v>
      </c>
      <c r="I141" s="5" t="str">
        <f>C141&amp;H141</f>
        <v>1588398</v>
      </c>
      <c r="J141" s="5"/>
      <c r="K141" s="5"/>
      <c r="L141" s="4">
        <v>1200</v>
      </c>
      <c r="M141" s="4">
        <v>899</v>
      </c>
      <c r="N141" s="4">
        <v>612</v>
      </c>
      <c r="O141" s="6">
        <f t="shared" si="81"/>
        <v>0.3192436040044494</v>
      </c>
      <c r="P141" s="4" t="s">
        <v>230</v>
      </c>
      <c r="Q141" s="4" t="s">
        <v>230</v>
      </c>
      <c r="R141" s="4" t="s">
        <v>230</v>
      </c>
      <c r="S141" s="4">
        <v>150</v>
      </c>
      <c r="T141" s="4">
        <f t="shared" si="82"/>
        <v>1500</v>
      </c>
      <c r="U141" s="4">
        <v>76.5</v>
      </c>
      <c r="V141" s="4">
        <f t="shared" si="83"/>
        <v>765</v>
      </c>
      <c r="W141" s="4">
        <v>10</v>
      </c>
      <c r="X141" s="20">
        <f t="shared" si="84"/>
        <v>1124</v>
      </c>
      <c r="Y141" s="6">
        <f t="shared" si="85"/>
        <v>0.31939501779359436</v>
      </c>
      <c r="Z141" s="32">
        <v>2.5</v>
      </c>
      <c r="AA141" s="4">
        <f t="shared" si="86"/>
        <v>1200</v>
      </c>
      <c r="AB141" s="32">
        <f t="shared" si="87"/>
        <v>1500</v>
      </c>
      <c r="AC141" s="6">
        <f t="shared" si="88"/>
        <v>0.49</v>
      </c>
      <c r="AD141" s="7">
        <v>1230</v>
      </c>
      <c r="AE141" s="6">
        <f t="shared" si="89"/>
        <v>0.37804878048780488</v>
      </c>
      <c r="AF141" s="4">
        <f t="shared" si="90"/>
        <v>465</v>
      </c>
      <c r="AG141" s="27"/>
      <c r="AH141" s="6"/>
      <c r="AI141" s="6"/>
      <c r="AJ141" s="6">
        <f t="shared" si="91"/>
        <v>1.25</v>
      </c>
      <c r="AK141" s="6">
        <f t="shared" si="92"/>
        <v>1.3681868743047831</v>
      </c>
      <c r="AL141" s="6">
        <f t="shared" si="93"/>
        <v>1.25</v>
      </c>
      <c r="AM141" s="4" t="str">
        <f t="shared" si="94"/>
        <v>-</v>
      </c>
      <c r="AN141" s="4" t="str">
        <f t="shared" si="95"/>
        <v>-</v>
      </c>
      <c r="AO141" s="4" t="str">
        <f t="shared" si="96"/>
        <v>-</v>
      </c>
      <c r="AP141" s="4">
        <v>0</v>
      </c>
      <c r="AQ141" s="4" t="s">
        <v>378</v>
      </c>
      <c r="AR141" s="4">
        <v>10</v>
      </c>
      <c r="AS141" s="4">
        <v>30</v>
      </c>
      <c r="AT141" s="4" t="s">
        <v>352</v>
      </c>
      <c r="AU141" s="4">
        <v>3600</v>
      </c>
      <c r="AV141" s="4">
        <f t="shared" si="97"/>
        <v>1200</v>
      </c>
      <c r="AW141" s="18">
        <v>4</v>
      </c>
      <c r="AX141" s="18">
        <v>1</v>
      </c>
      <c r="AY141" s="16">
        <v>5</v>
      </c>
      <c r="AZ141" t="s">
        <v>230</v>
      </c>
      <c r="BA141" t="str">
        <f t="shared" si="98"/>
        <v>-</v>
      </c>
      <c r="BB141">
        <v>108</v>
      </c>
      <c r="BC141">
        <f t="shared" si="99"/>
        <v>135</v>
      </c>
      <c r="BD141" t="s">
        <v>258</v>
      </c>
    </row>
    <row r="142" spans="1:56" x14ac:dyDescent="0.4">
      <c r="A142" s="3">
        <v>28</v>
      </c>
      <c r="B142" s="3">
        <v>28</v>
      </c>
      <c r="C142" s="40">
        <v>158848</v>
      </c>
      <c r="D142" s="4" t="str">
        <f t="shared" si="80"/>
        <v>158848</v>
      </c>
      <c r="E142" s="4">
        <v>158848</v>
      </c>
      <c r="F142" s="4" t="s">
        <v>89</v>
      </c>
      <c r="G142" s="5">
        <v>4902778261255</v>
      </c>
      <c r="H142" s="5"/>
      <c r="I142" s="5"/>
      <c r="J142" s="5">
        <v>2</v>
      </c>
      <c r="K142" s="5">
        <v>2</v>
      </c>
      <c r="L142" s="4">
        <v>120</v>
      </c>
      <c r="M142" s="4">
        <v>98</v>
      </c>
      <c r="N142" s="4">
        <v>61.2</v>
      </c>
      <c r="O142" s="6">
        <f t="shared" si="81"/>
        <v>0.3755102040816326</v>
      </c>
      <c r="P142" s="4" t="s">
        <v>230</v>
      </c>
      <c r="Q142" s="4" t="s">
        <v>230</v>
      </c>
      <c r="R142" s="4" t="s">
        <v>230</v>
      </c>
      <c r="S142" s="4">
        <v>150</v>
      </c>
      <c r="T142" s="4">
        <f t="shared" si="82"/>
        <v>150</v>
      </c>
      <c r="U142" s="4">
        <v>76.5</v>
      </c>
      <c r="V142" s="4">
        <f t="shared" si="83"/>
        <v>76.5</v>
      </c>
      <c r="W142" s="4"/>
      <c r="X142" s="20">
        <f t="shared" si="84"/>
        <v>123</v>
      </c>
      <c r="Y142" s="6">
        <f t="shared" si="85"/>
        <v>0.37804878048780488</v>
      </c>
      <c r="Z142" s="32">
        <v>3.5000000000000004</v>
      </c>
      <c r="AA142" s="4">
        <f t="shared" si="86"/>
        <v>113</v>
      </c>
      <c r="AB142" s="32">
        <f t="shared" si="87"/>
        <v>141.25</v>
      </c>
      <c r="AC142" s="6">
        <f t="shared" si="88"/>
        <v>0.45840707964601768</v>
      </c>
      <c r="AD142" s="7">
        <v>130</v>
      </c>
      <c r="AE142" s="6">
        <f t="shared" si="89"/>
        <v>0.41153846153846152</v>
      </c>
      <c r="AF142" s="4">
        <f t="shared" si="90"/>
        <v>53.5</v>
      </c>
      <c r="AG142" s="27"/>
      <c r="AH142" s="6"/>
      <c r="AI142" s="6"/>
      <c r="AJ142" s="6">
        <f t="shared" si="91"/>
        <v>1.25</v>
      </c>
      <c r="AK142" s="6">
        <f t="shared" si="92"/>
        <v>1.3265306122448979</v>
      </c>
      <c r="AL142" s="6">
        <f t="shared" si="93"/>
        <v>1.25</v>
      </c>
      <c r="AM142" s="4" t="str">
        <f t="shared" si="94"/>
        <v>-</v>
      </c>
      <c r="AN142" s="4" t="str">
        <f t="shared" si="95"/>
        <v>-</v>
      </c>
      <c r="AO142" s="4" t="str">
        <f t="shared" si="96"/>
        <v>-</v>
      </c>
      <c r="AP142" s="4" t="s">
        <v>223</v>
      </c>
      <c r="AQ142" s="4" t="s">
        <v>379</v>
      </c>
      <c r="AR142" s="4"/>
      <c r="AS142" s="4"/>
      <c r="AT142" s="4" t="s">
        <v>349</v>
      </c>
      <c r="AU142" s="4">
        <v>113</v>
      </c>
      <c r="AV142" s="4">
        <f t="shared" si="97"/>
        <v>113</v>
      </c>
      <c r="AW142" s="18">
        <v>4</v>
      </c>
      <c r="AX142" s="18">
        <v>1</v>
      </c>
      <c r="AY142" s="16">
        <v>5</v>
      </c>
      <c r="AZ142" t="s">
        <v>230</v>
      </c>
      <c r="BA142" t="str">
        <f t="shared" si="98"/>
        <v>-</v>
      </c>
      <c r="BB142">
        <v>108</v>
      </c>
      <c r="BC142">
        <f t="shared" si="99"/>
        <v>135</v>
      </c>
      <c r="BD142" t="s">
        <v>259</v>
      </c>
    </row>
    <row r="143" spans="1:56" x14ac:dyDescent="0.4">
      <c r="A143" s="3">
        <v>109</v>
      </c>
      <c r="B143" s="3">
        <v>28</v>
      </c>
      <c r="C143" s="40">
        <v>158848</v>
      </c>
      <c r="D143" s="4" t="str">
        <f t="shared" si="80"/>
        <v>158848</v>
      </c>
      <c r="E143" s="4">
        <v>158907</v>
      </c>
      <c r="F143" s="4" t="s">
        <v>185</v>
      </c>
      <c r="G143" s="5">
        <v>4902778261255</v>
      </c>
      <c r="H143" s="5">
        <v>8</v>
      </c>
      <c r="I143" s="5" t="str">
        <f>C143&amp;H143</f>
        <v>1588488</v>
      </c>
      <c r="J143" s="5"/>
      <c r="K143" s="5"/>
      <c r="L143" s="4">
        <v>1200</v>
      </c>
      <c r="M143" s="4">
        <v>925</v>
      </c>
      <c r="N143" s="4">
        <v>612</v>
      </c>
      <c r="O143" s="6">
        <f t="shared" si="81"/>
        <v>0.33837837837837836</v>
      </c>
      <c r="P143" s="4" t="s">
        <v>230</v>
      </c>
      <c r="Q143" s="4" t="s">
        <v>230</v>
      </c>
      <c r="R143" s="4" t="s">
        <v>230</v>
      </c>
      <c r="S143" s="4">
        <v>150</v>
      </c>
      <c r="T143" s="4">
        <f t="shared" si="82"/>
        <v>1500</v>
      </c>
      <c r="U143" s="4">
        <v>76.5</v>
      </c>
      <c r="V143" s="4">
        <f t="shared" si="83"/>
        <v>765</v>
      </c>
      <c r="W143" s="4">
        <v>10</v>
      </c>
      <c r="X143" s="20">
        <f t="shared" si="84"/>
        <v>1156</v>
      </c>
      <c r="Y143" s="6">
        <f t="shared" si="85"/>
        <v>0.33823529411764708</v>
      </c>
      <c r="Z143" s="32">
        <v>3.5000000000000004</v>
      </c>
      <c r="AA143" s="4">
        <f t="shared" si="86"/>
        <v>1093.3333333333335</v>
      </c>
      <c r="AB143" s="32">
        <f t="shared" si="87"/>
        <v>1366.666666666667</v>
      </c>
      <c r="AC143" s="6">
        <f t="shared" si="88"/>
        <v>0.44024390243902456</v>
      </c>
      <c r="AD143" s="7">
        <v>1230</v>
      </c>
      <c r="AE143" s="6">
        <f t="shared" si="89"/>
        <v>0.37804878048780488</v>
      </c>
      <c r="AF143" s="4">
        <f t="shared" si="90"/>
        <v>465</v>
      </c>
      <c r="AG143" s="27"/>
      <c r="AH143" s="6"/>
      <c r="AI143" s="6"/>
      <c r="AJ143" s="6">
        <f t="shared" si="91"/>
        <v>1.25</v>
      </c>
      <c r="AK143" s="6">
        <f t="shared" si="92"/>
        <v>1.3297297297297297</v>
      </c>
      <c r="AL143" s="6">
        <f t="shared" si="93"/>
        <v>1.25</v>
      </c>
      <c r="AM143" s="4" t="str">
        <f t="shared" si="94"/>
        <v>-</v>
      </c>
      <c r="AN143" s="4" t="str">
        <f t="shared" si="95"/>
        <v>-</v>
      </c>
      <c r="AO143" s="4" t="str">
        <f t="shared" si="96"/>
        <v>-</v>
      </c>
      <c r="AP143" s="4" t="s">
        <v>223</v>
      </c>
      <c r="AQ143" s="4" t="s">
        <v>460</v>
      </c>
      <c r="AR143" s="4">
        <v>10</v>
      </c>
      <c r="AS143" s="4">
        <v>3</v>
      </c>
      <c r="AT143" s="4" t="s">
        <v>354</v>
      </c>
      <c r="AU143" s="4">
        <v>328</v>
      </c>
      <c r="AV143" s="4">
        <f t="shared" si="97"/>
        <v>1093.3333333333335</v>
      </c>
      <c r="AW143" s="18">
        <v>4</v>
      </c>
      <c r="AX143" s="18">
        <v>1</v>
      </c>
      <c r="AY143" s="16">
        <v>5</v>
      </c>
      <c r="AZ143" t="s">
        <v>230</v>
      </c>
      <c r="BA143" t="str">
        <f t="shared" si="98"/>
        <v>-</v>
      </c>
      <c r="BB143">
        <v>108</v>
      </c>
      <c r="BC143">
        <f t="shared" si="99"/>
        <v>135</v>
      </c>
      <c r="BD143" t="s">
        <v>330</v>
      </c>
    </row>
    <row r="144" spans="1:56" x14ac:dyDescent="0.4">
      <c r="A144" s="3">
        <v>29</v>
      </c>
      <c r="B144" s="3">
        <v>29</v>
      </c>
      <c r="C144" s="40">
        <v>158849</v>
      </c>
      <c r="D144" s="4" t="str">
        <f t="shared" si="80"/>
        <v>158849</v>
      </c>
      <c r="E144" s="4">
        <v>158849</v>
      </c>
      <c r="F144" s="4" t="s">
        <v>90</v>
      </c>
      <c r="G144" s="5">
        <v>4902778261262</v>
      </c>
      <c r="H144" s="5"/>
      <c r="I144" s="5"/>
      <c r="J144" s="5">
        <v>2</v>
      </c>
      <c r="K144" s="5">
        <v>2</v>
      </c>
      <c r="L144" s="4">
        <v>120</v>
      </c>
      <c r="M144" s="4">
        <v>96</v>
      </c>
      <c r="N144" s="4">
        <v>61.2</v>
      </c>
      <c r="O144" s="6">
        <f t="shared" si="81"/>
        <v>0.36249999999999993</v>
      </c>
      <c r="P144" s="4" t="s">
        <v>230</v>
      </c>
      <c r="Q144" s="4" t="s">
        <v>230</v>
      </c>
      <c r="R144" s="4" t="s">
        <v>230</v>
      </c>
      <c r="S144" s="4">
        <v>150</v>
      </c>
      <c r="T144" s="4">
        <f t="shared" si="82"/>
        <v>150</v>
      </c>
      <c r="U144" s="4">
        <v>76.5</v>
      </c>
      <c r="V144" s="4">
        <f t="shared" si="83"/>
        <v>76.5</v>
      </c>
      <c r="W144" s="4"/>
      <c r="X144" s="20">
        <f t="shared" si="84"/>
        <v>120</v>
      </c>
      <c r="Y144" s="6">
        <f t="shared" si="85"/>
        <v>0.36250000000000004</v>
      </c>
      <c r="Z144" s="32">
        <v>11</v>
      </c>
      <c r="AA144" s="4">
        <f t="shared" si="86"/>
        <v>108</v>
      </c>
      <c r="AB144" s="32">
        <f t="shared" si="87"/>
        <v>135</v>
      </c>
      <c r="AC144" s="6">
        <f t="shared" si="88"/>
        <v>0.43333333333333335</v>
      </c>
      <c r="AD144" s="7">
        <v>130</v>
      </c>
      <c r="AE144" s="6">
        <f t="shared" si="89"/>
        <v>0.41153846153846152</v>
      </c>
      <c r="AF144" s="4">
        <f t="shared" si="90"/>
        <v>53.5</v>
      </c>
      <c r="AG144" s="27"/>
      <c r="AH144" s="6"/>
      <c r="AI144" s="6"/>
      <c r="AJ144" s="6">
        <f t="shared" si="91"/>
        <v>1.25</v>
      </c>
      <c r="AK144" s="6">
        <f t="shared" si="92"/>
        <v>1.3541666666666667</v>
      </c>
      <c r="AL144" s="6">
        <f t="shared" si="93"/>
        <v>1.25</v>
      </c>
      <c r="AM144" s="4" t="str">
        <f t="shared" si="94"/>
        <v>-</v>
      </c>
      <c r="AN144" s="4" t="str">
        <f t="shared" si="95"/>
        <v>-</v>
      </c>
      <c r="AO144" s="4" t="str">
        <f t="shared" si="96"/>
        <v>-</v>
      </c>
      <c r="AP144" s="4">
        <v>0</v>
      </c>
      <c r="AQ144" s="4" t="s">
        <v>380</v>
      </c>
      <c r="AR144" s="4"/>
      <c r="AS144" s="4"/>
      <c r="AT144" s="4" t="s">
        <v>349</v>
      </c>
      <c r="AU144" s="4">
        <v>108</v>
      </c>
      <c r="AV144" s="4">
        <f t="shared" si="97"/>
        <v>108</v>
      </c>
      <c r="AW144" s="18">
        <v>4</v>
      </c>
      <c r="AX144" s="18">
        <v>1</v>
      </c>
      <c r="AY144" s="16">
        <v>5</v>
      </c>
      <c r="AZ144" t="s">
        <v>230</v>
      </c>
      <c r="BA144" t="str">
        <f t="shared" si="98"/>
        <v>-</v>
      </c>
      <c r="BB144">
        <v>108</v>
      </c>
      <c r="BC144">
        <f t="shared" si="99"/>
        <v>135</v>
      </c>
      <c r="BD144" t="s">
        <v>260</v>
      </c>
    </row>
    <row r="145" spans="1:56" x14ac:dyDescent="0.4">
      <c r="A145" s="3">
        <v>109</v>
      </c>
      <c r="B145" s="3">
        <v>29</v>
      </c>
      <c r="C145" s="40">
        <v>158849</v>
      </c>
      <c r="D145" s="4" t="str">
        <f t="shared" si="80"/>
        <v>158849</v>
      </c>
      <c r="E145" s="4">
        <v>158908</v>
      </c>
      <c r="F145" s="4" t="s">
        <v>186</v>
      </c>
      <c r="G145" s="5">
        <v>4902778261262</v>
      </c>
      <c r="H145" s="5">
        <v>8</v>
      </c>
      <c r="I145" s="5" t="str">
        <f>C145&amp;H145</f>
        <v>1588498</v>
      </c>
      <c r="J145" s="5"/>
      <c r="K145" s="5"/>
      <c r="L145" s="4">
        <v>1200</v>
      </c>
      <c r="M145" s="4">
        <v>846</v>
      </c>
      <c r="N145" s="4">
        <v>612</v>
      </c>
      <c r="O145" s="6">
        <f t="shared" si="81"/>
        <v>0.27659574468085102</v>
      </c>
      <c r="P145" s="4" t="s">
        <v>230</v>
      </c>
      <c r="Q145" s="4" t="s">
        <v>230</v>
      </c>
      <c r="R145" s="4" t="s">
        <v>230</v>
      </c>
      <c r="S145" s="4">
        <v>150</v>
      </c>
      <c r="T145" s="4">
        <f t="shared" si="82"/>
        <v>1500</v>
      </c>
      <c r="U145" s="4">
        <v>76.5</v>
      </c>
      <c r="V145" s="4">
        <f t="shared" si="83"/>
        <v>765</v>
      </c>
      <c r="W145" s="4">
        <v>10</v>
      </c>
      <c r="X145" s="20">
        <f t="shared" si="84"/>
        <v>1058</v>
      </c>
      <c r="Y145" s="6">
        <f t="shared" si="85"/>
        <v>0.27693761814744799</v>
      </c>
      <c r="Z145" s="32">
        <v>11</v>
      </c>
      <c r="AA145" s="4">
        <f t="shared" si="86"/>
        <v>1080</v>
      </c>
      <c r="AB145" s="32">
        <f t="shared" si="87"/>
        <v>1350</v>
      </c>
      <c r="AC145" s="6">
        <f t="shared" si="88"/>
        <v>0.43333333333333335</v>
      </c>
      <c r="AD145" s="7">
        <v>1230</v>
      </c>
      <c r="AE145" s="6">
        <f t="shared" si="89"/>
        <v>0.37804878048780488</v>
      </c>
      <c r="AF145" s="4">
        <f t="shared" si="90"/>
        <v>465</v>
      </c>
      <c r="AG145" s="27"/>
      <c r="AH145" s="6"/>
      <c r="AI145" s="6"/>
      <c r="AJ145" s="6">
        <f t="shared" si="91"/>
        <v>1.25</v>
      </c>
      <c r="AK145" s="6">
        <f t="shared" si="92"/>
        <v>1.4539007092198581</v>
      </c>
      <c r="AL145" s="6">
        <f t="shared" si="93"/>
        <v>1.25</v>
      </c>
      <c r="AM145" s="4" t="str">
        <f t="shared" si="94"/>
        <v>-</v>
      </c>
      <c r="AN145" s="4" t="str">
        <f t="shared" si="95"/>
        <v>-</v>
      </c>
      <c r="AO145" s="4" t="str">
        <f t="shared" si="96"/>
        <v>-</v>
      </c>
      <c r="AP145" s="4">
        <v>0</v>
      </c>
      <c r="AQ145" s="4" t="s">
        <v>380</v>
      </c>
      <c r="AR145" s="4">
        <v>10</v>
      </c>
      <c r="AS145" s="4">
        <v>1</v>
      </c>
      <c r="AT145" s="4" t="s">
        <v>349</v>
      </c>
      <c r="AU145" s="4">
        <v>108</v>
      </c>
      <c r="AV145" s="4">
        <f t="shared" si="97"/>
        <v>1080</v>
      </c>
      <c r="AW145" s="18">
        <v>4</v>
      </c>
      <c r="AX145" s="18">
        <v>1</v>
      </c>
      <c r="AY145" s="16">
        <v>5</v>
      </c>
      <c r="AZ145" t="s">
        <v>230</v>
      </c>
      <c r="BA145" t="str">
        <f t="shared" si="98"/>
        <v>-</v>
      </c>
      <c r="BB145">
        <v>108</v>
      </c>
      <c r="BC145">
        <f t="shared" si="99"/>
        <v>135</v>
      </c>
      <c r="BD145" t="s">
        <v>260</v>
      </c>
    </row>
    <row r="146" spans="1:56" x14ac:dyDescent="0.4">
      <c r="A146" s="3">
        <v>30</v>
      </c>
      <c r="B146" s="3">
        <v>30</v>
      </c>
      <c r="C146" s="40">
        <v>158850</v>
      </c>
      <c r="D146" s="4" t="str">
        <f t="shared" si="80"/>
        <v>158850</v>
      </c>
      <c r="E146" s="4">
        <v>158850</v>
      </c>
      <c r="F146" s="4" t="s">
        <v>91</v>
      </c>
      <c r="G146" s="5">
        <v>4902778261279</v>
      </c>
      <c r="H146" s="5"/>
      <c r="I146" s="5"/>
      <c r="J146" s="5">
        <v>2</v>
      </c>
      <c r="K146" s="5">
        <v>2</v>
      </c>
      <c r="L146" s="4">
        <v>120</v>
      </c>
      <c r="M146" s="4">
        <v>98</v>
      </c>
      <c r="N146" s="4">
        <v>61.2</v>
      </c>
      <c r="O146" s="6">
        <f t="shared" si="81"/>
        <v>0.3755102040816326</v>
      </c>
      <c r="P146" s="4" t="s">
        <v>230</v>
      </c>
      <c r="Q146" s="4" t="s">
        <v>230</v>
      </c>
      <c r="R146" s="4" t="s">
        <v>230</v>
      </c>
      <c r="S146" s="4">
        <v>150</v>
      </c>
      <c r="T146" s="4">
        <f t="shared" si="82"/>
        <v>150</v>
      </c>
      <c r="U146" s="4">
        <v>76.5</v>
      </c>
      <c r="V146" s="4">
        <f t="shared" si="83"/>
        <v>76.5</v>
      </c>
      <c r="W146" s="4"/>
      <c r="X146" s="20">
        <f t="shared" si="84"/>
        <v>123</v>
      </c>
      <c r="Y146" s="6">
        <f t="shared" si="85"/>
        <v>0.37804878048780488</v>
      </c>
      <c r="Z146" s="32">
        <v>1.7500000000000002</v>
      </c>
      <c r="AA146" s="4">
        <f t="shared" si="86"/>
        <v>108</v>
      </c>
      <c r="AB146" s="32">
        <f t="shared" si="87"/>
        <v>135</v>
      </c>
      <c r="AC146" s="6">
        <f t="shared" si="88"/>
        <v>0.43333333333333335</v>
      </c>
      <c r="AD146" s="7">
        <v>130</v>
      </c>
      <c r="AE146" s="6">
        <f t="shared" si="89"/>
        <v>0.41153846153846152</v>
      </c>
      <c r="AF146" s="4">
        <f t="shared" si="90"/>
        <v>53.5</v>
      </c>
      <c r="AG146" s="27"/>
      <c r="AH146" s="6"/>
      <c r="AI146" s="6"/>
      <c r="AJ146" s="6">
        <f t="shared" si="91"/>
        <v>1.25</v>
      </c>
      <c r="AK146" s="6">
        <f t="shared" si="92"/>
        <v>1.3265306122448979</v>
      </c>
      <c r="AL146" s="6">
        <f t="shared" si="93"/>
        <v>1.25</v>
      </c>
      <c r="AM146" s="4" t="str">
        <f t="shared" si="94"/>
        <v>-</v>
      </c>
      <c r="AN146" s="4" t="str">
        <f t="shared" si="95"/>
        <v>-</v>
      </c>
      <c r="AO146" s="4" t="str">
        <f t="shared" si="96"/>
        <v>-</v>
      </c>
      <c r="AP146" s="4" t="s">
        <v>223</v>
      </c>
      <c r="AQ146" s="4" t="s">
        <v>381</v>
      </c>
      <c r="AR146" s="4"/>
      <c r="AS146" s="4"/>
      <c r="AT146" s="4" t="s">
        <v>349</v>
      </c>
      <c r="AU146" s="4">
        <v>108</v>
      </c>
      <c r="AV146" s="4">
        <f t="shared" si="97"/>
        <v>108</v>
      </c>
      <c r="AW146" s="18">
        <v>4</v>
      </c>
      <c r="AX146" s="18">
        <v>1</v>
      </c>
      <c r="AY146" s="16">
        <v>5</v>
      </c>
      <c r="AZ146" t="s">
        <v>230</v>
      </c>
      <c r="BA146" t="str">
        <f t="shared" si="98"/>
        <v>-</v>
      </c>
      <c r="BB146">
        <v>108</v>
      </c>
      <c r="BC146">
        <f t="shared" si="99"/>
        <v>135</v>
      </c>
      <c r="BD146" t="s">
        <v>261</v>
      </c>
    </row>
    <row r="147" spans="1:56" x14ac:dyDescent="0.4">
      <c r="A147" s="3">
        <v>109</v>
      </c>
      <c r="B147" s="3">
        <v>30</v>
      </c>
      <c r="C147" s="40">
        <v>158850</v>
      </c>
      <c r="D147" s="4" t="str">
        <f t="shared" si="80"/>
        <v>158850</v>
      </c>
      <c r="E147" s="4">
        <v>158910</v>
      </c>
      <c r="F147" s="4" t="s">
        <v>187</v>
      </c>
      <c r="G147" s="5">
        <v>4902778261279</v>
      </c>
      <c r="H147" s="5">
        <v>8</v>
      </c>
      <c r="I147" s="5" t="str">
        <f>C147&amp;H147</f>
        <v>1588508</v>
      </c>
      <c r="J147" s="5"/>
      <c r="K147" s="5"/>
      <c r="L147" s="4">
        <v>1200</v>
      </c>
      <c r="M147" s="4">
        <v>907</v>
      </c>
      <c r="N147" s="4">
        <v>612</v>
      </c>
      <c r="O147" s="6">
        <f t="shared" si="81"/>
        <v>0.32524807056229332</v>
      </c>
      <c r="P147" s="4" t="s">
        <v>230</v>
      </c>
      <c r="Q147" s="4" t="s">
        <v>230</v>
      </c>
      <c r="R147" s="4" t="s">
        <v>230</v>
      </c>
      <c r="S147" s="4">
        <v>150</v>
      </c>
      <c r="T147" s="4">
        <f t="shared" si="82"/>
        <v>1500</v>
      </c>
      <c r="U147" s="4">
        <v>76.5</v>
      </c>
      <c r="V147" s="4">
        <f t="shared" si="83"/>
        <v>765</v>
      </c>
      <c r="W147" s="4">
        <v>10</v>
      </c>
      <c r="X147" s="20">
        <f t="shared" si="84"/>
        <v>1134</v>
      </c>
      <c r="Y147" s="6">
        <f t="shared" si="85"/>
        <v>0.32539682539682535</v>
      </c>
      <c r="Z147" s="32">
        <v>1.7500000000000002</v>
      </c>
      <c r="AA147" s="4">
        <f t="shared" si="86"/>
        <v>1080</v>
      </c>
      <c r="AB147" s="32">
        <f t="shared" si="87"/>
        <v>1350</v>
      </c>
      <c r="AC147" s="6">
        <f t="shared" si="88"/>
        <v>0.43333333333333335</v>
      </c>
      <c r="AD147" s="7">
        <v>1230</v>
      </c>
      <c r="AE147" s="6">
        <f t="shared" si="89"/>
        <v>0.37804878048780488</v>
      </c>
      <c r="AF147" s="4">
        <f t="shared" si="90"/>
        <v>465</v>
      </c>
      <c r="AG147" s="27"/>
      <c r="AH147" s="6"/>
      <c r="AI147" s="6"/>
      <c r="AJ147" s="6">
        <f t="shared" si="91"/>
        <v>1.25</v>
      </c>
      <c r="AK147" s="6">
        <f t="shared" si="92"/>
        <v>1.3561190738699007</v>
      </c>
      <c r="AL147" s="6">
        <f t="shared" si="93"/>
        <v>1.25</v>
      </c>
      <c r="AM147" s="4" t="str">
        <f t="shared" si="94"/>
        <v>-</v>
      </c>
      <c r="AN147" s="4" t="str">
        <f t="shared" si="95"/>
        <v>-</v>
      </c>
      <c r="AO147" s="4" t="str">
        <f t="shared" si="96"/>
        <v>-</v>
      </c>
      <c r="AP147" s="4" t="s">
        <v>223</v>
      </c>
      <c r="AQ147" s="4" t="s">
        <v>381</v>
      </c>
      <c r="AR147" s="4">
        <v>10</v>
      </c>
      <c r="AS147" s="4">
        <v>1</v>
      </c>
      <c r="AT147" s="4" t="s">
        <v>349</v>
      </c>
      <c r="AU147" s="4">
        <v>108</v>
      </c>
      <c r="AV147" s="4">
        <f t="shared" si="97"/>
        <v>1080</v>
      </c>
      <c r="AW147" s="18">
        <v>4</v>
      </c>
      <c r="AX147" s="18">
        <v>1</v>
      </c>
      <c r="AY147" s="16">
        <v>5</v>
      </c>
      <c r="AZ147" t="s">
        <v>230</v>
      </c>
      <c r="BA147" t="str">
        <f t="shared" si="98"/>
        <v>-</v>
      </c>
      <c r="BB147">
        <v>108</v>
      </c>
      <c r="BC147">
        <f t="shared" si="99"/>
        <v>135</v>
      </c>
      <c r="BD147" t="s">
        <v>261</v>
      </c>
    </row>
    <row r="148" spans="1:56" x14ac:dyDescent="0.4">
      <c r="A148" s="3">
        <v>31</v>
      </c>
      <c r="B148" s="3">
        <v>31</v>
      </c>
      <c r="C148" s="40">
        <v>158851</v>
      </c>
      <c r="D148" s="4" t="str">
        <f t="shared" si="80"/>
        <v>158851</v>
      </c>
      <c r="E148" s="4">
        <v>158851</v>
      </c>
      <c r="F148" s="4" t="s">
        <v>92</v>
      </c>
      <c r="G148" s="5">
        <v>4902778261286</v>
      </c>
      <c r="H148" s="5"/>
      <c r="I148" s="5"/>
      <c r="J148" s="5">
        <v>2</v>
      </c>
      <c r="K148" s="5">
        <v>2</v>
      </c>
      <c r="L148" s="4">
        <v>120</v>
      </c>
      <c r="M148" s="4">
        <v>73</v>
      </c>
      <c r="N148" s="4">
        <v>61.2</v>
      </c>
      <c r="O148" s="6">
        <f t="shared" si="81"/>
        <v>0.16164383561643836</v>
      </c>
      <c r="P148" s="4" t="s">
        <v>230</v>
      </c>
      <c r="Q148" s="4" t="s">
        <v>230</v>
      </c>
      <c r="R148" s="4" t="s">
        <v>230</v>
      </c>
      <c r="S148" s="4">
        <v>150</v>
      </c>
      <c r="T148" s="4">
        <f t="shared" si="82"/>
        <v>150</v>
      </c>
      <c r="U148" s="4">
        <v>76.5</v>
      </c>
      <c r="V148" s="4">
        <f t="shared" si="83"/>
        <v>76.5</v>
      </c>
      <c r="W148" s="4"/>
      <c r="X148" s="20">
        <f t="shared" si="84"/>
        <v>91</v>
      </c>
      <c r="Y148" s="6">
        <f t="shared" si="85"/>
        <v>0.15934065934065933</v>
      </c>
      <c r="Z148" s="32">
        <v>0.5</v>
      </c>
      <c r="AA148" s="4">
        <f t="shared" si="86"/>
        <v>120</v>
      </c>
      <c r="AB148" s="32">
        <f t="shared" si="87"/>
        <v>150</v>
      </c>
      <c r="AC148" s="6">
        <f t="shared" si="88"/>
        <v>0.49</v>
      </c>
      <c r="AD148" s="7">
        <v>130</v>
      </c>
      <c r="AE148" s="6">
        <f t="shared" si="89"/>
        <v>0.41153846153846152</v>
      </c>
      <c r="AF148" s="4">
        <f t="shared" si="90"/>
        <v>53.5</v>
      </c>
      <c r="AG148" s="27"/>
      <c r="AH148" s="6"/>
      <c r="AI148" s="6"/>
      <c r="AJ148" s="6">
        <f t="shared" si="91"/>
        <v>1.25</v>
      </c>
      <c r="AK148" s="6">
        <f t="shared" si="92"/>
        <v>1.7808219178082192</v>
      </c>
      <c r="AL148" s="6">
        <f t="shared" si="93"/>
        <v>1.25</v>
      </c>
      <c r="AM148" s="4" t="str">
        <f t="shared" si="94"/>
        <v>-</v>
      </c>
      <c r="AN148" s="4" t="str">
        <f t="shared" si="95"/>
        <v>-</v>
      </c>
      <c r="AO148" s="4" t="str">
        <f t="shared" si="96"/>
        <v>-</v>
      </c>
      <c r="AP148" s="4">
        <v>0</v>
      </c>
      <c r="AQ148" s="4" t="s">
        <v>382</v>
      </c>
      <c r="AR148" s="4">
        <v>1</v>
      </c>
      <c r="AS148" s="4">
        <v>30</v>
      </c>
      <c r="AT148" s="4" t="s">
        <v>352</v>
      </c>
      <c r="AU148" s="4">
        <v>3600</v>
      </c>
      <c r="AV148" s="4">
        <f t="shared" si="97"/>
        <v>120</v>
      </c>
      <c r="AW148" s="18">
        <v>4</v>
      </c>
      <c r="AX148" s="18">
        <v>1</v>
      </c>
      <c r="AY148" s="16">
        <v>5</v>
      </c>
      <c r="AZ148" t="s">
        <v>230</v>
      </c>
      <c r="BA148" t="str">
        <f t="shared" si="98"/>
        <v>-</v>
      </c>
      <c r="BB148">
        <v>108</v>
      </c>
      <c r="BC148">
        <f t="shared" si="99"/>
        <v>135</v>
      </c>
      <c r="BD148" t="s">
        <v>262</v>
      </c>
    </row>
    <row r="149" spans="1:56" x14ac:dyDescent="0.4">
      <c r="A149" s="3">
        <v>109</v>
      </c>
      <c r="B149" s="3">
        <v>31</v>
      </c>
      <c r="C149" s="40">
        <v>158851</v>
      </c>
      <c r="D149" s="4" t="str">
        <f t="shared" si="80"/>
        <v>158851</v>
      </c>
      <c r="E149" s="4">
        <v>158911</v>
      </c>
      <c r="F149" s="4" t="s">
        <v>188</v>
      </c>
      <c r="G149" s="5">
        <v>4902778261286</v>
      </c>
      <c r="H149" s="5">
        <v>8</v>
      </c>
      <c r="I149" s="5" t="str">
        <f>C149&amp;H149</f>
        <v>1588518</v>
      </c>
      <c r="J149" s="5"/>
      <c r="K149" s="5"/>
      <c r="L149" s="4">
        <v>1200</v>
      </c>
      <c r="M149" s="4">
        <v>685</v>
      </c>
      <c r="N149" s="4">
        <v>612</v>
      </c>
      <c r="O149" s="6">
        <f t="shared" si="81"/>
        <v>0.10656934306569343</v>
      </c>
      <c r="P149" s="4" t="s">
        <v>230</v>
      </c>
      <c r="Q149" s="4" t="s">
        <v>230</v>
      </c>
      <c r="R149" s="4" t="s">
        <v>230</v>
      </c>
      <c r="S149" s="4">
        <v>150</v>
      </c>
      <c r="T149" s="4">
        <f t="shared" si="82"/>
        <v>1500</v>
      </c>
      <c r="U149" s="4">
        <v>76.5</v>
      </c>
      <c r="V149" s="4">
        <f t="shared" si="83"/>
        <v>765</v>
      </c>
      <c r="W149" s="4">
        <v>10</v>
      </c>
      <c r="X149" s="20">
        <f t="shared" si="84"/>
        <v>856</v>
      </c>
      <c r="Y149" s="6">
        <f t="shared" si="85"/>
        <v>0.10630841121495327</v>
      </c>
      <c r="Z149" s="32">
        <v>0.5</v>
      </c>
      <c r="AA149" s="4">
        <f t="shared" si="86"/>
        <v>1200</v>
      </c>
      <c r="AB149" s="32">
        <f t="shared" si="87"/>
        <v>1500</v>
      </c>
      <c r="AC149" s="6">
        <f t="shared" si="88"/>
        <v>0.49</v>
      </c>
      <c r="AD149" s="7">
        <v>1230</v>
      </c>
      <c r="AE149" s="6">
        <f t="shared" si="89"/>
        <v>0.37804878048780488</v>
      </c>
      <c r="AF149" s="4">
        <f t="shared" si="90"/>
        <v>465</v>
      </c>
      <c r="AG149" s="27"/>
      <c r="AH149" s="6"/>
      <c r="AI149" s="6"/>
      <c r="AJ149" s="6">
        <f t="shared" si="91"/>
        <v>1.25</v>
      </c>
      <c r="AK149" s="6">
        <f t="shared" si="92"/>
        <v>1.7956204379562044</v>
      </c>
      <c r="AL149" s="6">
        <f t="shared" si="93"/>
        <v>1.25</v>
      </c>
      <c r="AM149" s="4" t="str">
        <f t="shared" si="94"/>
        <v>-</v>
      </c>
      <c r="AN149" s="4" t="str">
        <f t="shared" si="95"/>
        <v>-</v>
      </c>
      <c r="AO149" s="4" t="str">
        <f t="shared" si="96"/>
        <v>-</v>
      </c>
      <c r="AP149" s="4">
        <v>0</v>
      </c>
      <c r="AQ149" s="4" t="s">
        <v>382</v>
      </c>
      <c r="AR149" s="4">
        <v>10</v>
      </c>
      <c r="AS149" s="4">
        <v>30</v>
      </c>
      <c r="AT149" s="4" t="s">
        <v>352</v>
      </c>
      <c r="AU149" s="4">
        <v>3600</v>
      </c>
      <c r="AV149" s="4">
        <f t="shared" si="97"/>
        <v>1200</v>
      </c>
      <c r="AW149" s="18">
        <v>4</v>
      </c>
      <c r="AX149" s="18">
        <v>1</v>
      </c>
      <c r="AY149" s="16">
        <v>5</v>
      </c>
      <c r="AZ149" t="s">
        <v>230</v>
      </c>
      <c r="BA149" t="str">
        <f t="shared" si="98"/>
        <v>-</v>
      </c>
      <c r="BB149">
        <v>108</v>
      </c>
      <c r="BC149">
        <f t="shared" si="99"/>
        <v>135</v>
      </c>
      <c r="BD149" t="s">
        <v>262</v>
      </c>
    </row>
    <row r="150" spans="1:56" x14ac:dyDescent="0.4">
      <c r="A150" s="3">
        <v>32</v>
      </c>
      <c r="B150" s="3">
        <v>32</v>
      </c>
      <c r="C150" s="40">
        <v>158855</v>
      </c>
      <c r="D150" s="4" t="str">
        <f t="shared" si="80"/>
        <v>158855</v>
      </c>
      <c r="E150" s="4">
        <v>158855</v>
      </c>
      <c r="F150" s="4" t="s">
        <v>93</v>
      </c>
      <c r="G150" s="5">
        <v>4902778261293</v>
      </c>
      <c r="H150" s="5"/>
      <c r="I150" s="5"/>
      <c r="J150" s="5">
        <v>2</v>
      </c>
      <c r="K150" s="5">
        <v>2</v>
      </c>
      <c r="L150" s="4">
        <v>120</v>
      </c>
      <c r="M150" s="4">
        <v>84</v>
      </c>
      <c r="N150" s="4">
        <v>61.2</v>
      </c>
      <c r="O150" s="6">
        <f t="shared" si="81"/>
        <v>0.27142857142857135</v>
      </c>
      <c r="P150" s="4" t="s">
        <v>230</v>
      </c>
      <c r="Q150" s="4" t="s">
        <v>230</v>
      </c>
      <c r="R150" s="4" t="s">
        <v>230</v>
      </c>
      <c r="S150" s="4">
        <v>150</v>
      </c>
      <c r="T150" s="4">
        <f t="shared" si="82"/>
        <v>150</v>
      </c>
      <c r="U150" s="4">
        <v>76.5</v>
      </c>
      <c r="V150" s="4">
        <f t="shared" si="83"/>
        <v>76.5</v>
      </c>
      <c r="W150" s="4"/>
      <c r="X150" s="20">
        <f t="shared" si="84"/>
        <v>105</v>
      </c>
      <c r="Y150" s="6">
        <f t="shared" si="85"/>
        <v>0.27142857142857146</v>
      </c>
      <c r="Z150" s="32">
        <v>1</v>
      </c>
      <c r="AA150" s="4">
        <f t="shared" si="86"/>
        <v>120</v>
      </c>
      <c r="AB150" s="32">
        <f t="shared" si="87"/>
        <v>150</v>
      </c>
      <c r="AC150" s="6">
        <f t="shared" si="88"/>
        <v>0.49</v>
      </c>
      <c r="AD150" s="7">
        <v>130</v>
      </c>
      <c r="AE150" s="6">
        <f t="shared" si="89"/>
        <v>0.41153846153846152</v>
      </c>
      <c r="AF150" s="4">
        <f t="shared" si="90"/>
        <v>53.5</v>
      </c>
      <c r="AG150" s="27"/>
      <c r="AH150" s="6"/>
      <c r="AI150" s="6"/>
      <c r="AJ150" s="6">
        <f t="shared" si="91"/>
        <v>1.25</v>
      </c>
      <c r="AK150" s="6">
        <f t="shared" si="92"/>
        <v>1.5476190476190477</v>
      </c>
      <c r="AL150" s="6">
        <f t="shared" si="93"/>
        <v>1.25</v>
      </c>
      <c r="AM150" s="4" t="str">
        <f t="shared" si="94"/>
        <v>-</v>
      </c>
      <c r="AN150" s="4" t="str">
        <f t="shared" si="95"/>
        <v>-</v>
      </c>
      <c r="AO150" s="4" t="str">
        <f t="shared" si="96"/>
        <v>-</v>
      </c>
      <c r="AP150" s="4">
        <v>0</v>
      </c>
      <c r="AQ150" s="4" t="s">
        <v>383</v>
      </c>
      <c r="AR150" s="4">
        <v>1</v>
      </c>
      <c r="AS150" s="4">
        <v>30</v>
      </c>
      <c r="AT150" s="4" t="s">
        <v>352</v>
      </c>
      <c r="AU150" s="4">
        <v>3600</v>
      </c>
      <c r="AV150" s="4">
        <f t="shared" si="97"/>
        <v>120</v>
      </c>
      <c r="AW150" s="18">
        <v>4</v>
      </c>
      <c r="AX150" s="18">
        <v>1</v>
      </c>
      <c r="AY150" s="16">
        <v>5</v>
      </c>
      <c r="AZ150" t="s">
        <v>230</v>
      </c>
      <c r="BA150" t="str">
        <f t="shared" si="98"/>
        <v>-</v>
      </c>
      <c r="BB150">
        <v>108</v>
      </c>
      <c r="BC150">
        <f t="shared" si="99"/>
        <v>135</v>
      </c>
      <c r="BD150" t="s">
        <v>263</v>
      </c>
    </row>
    <row r="151" spans="1:56" x14ac:dyDescent="0.4">
      <c r="A151" s="3">
        <v>109</v>
      </c>
      <c r="B151" s="3">
        <v>32</v>
      </c>
      <c r="C151" s="40">
        <v>158855</v>
      </c>
      <c r="D151" s="4" t="str">
        <f t="shared" si="80"/>
        <v>158855</v>
      </c>
      <c r="E151" s="4">
        <v>158912</v>
      </c>
      <c r="F151" s="4" t="s">
        <v>189</v>
      </c>
      <c r="G151" s="5">
        <v>4902778261293</v>
      </c>
      <c r="H151" s="5">
        <v>8</v>
      </c>
      <c r="I151" s="5" t="str">
        <f>C151&amp;H151</f>
        <v>1588558</v>
      </c>
      <c r="J151" s="5"/>
      <c r="K151" s="5"/>
      <c r="L151" s="4">
        <v>1200</v>
      </c>
      <c r="M151" s="4">
        <v>762</v>
      </c>
      <c r="N151" s="4">
        <v>612</v>
      </c>
      <c r="O151" s="6">
        <f t="shared" si="81"/>
        <v>0.19685039370078738</v>
      </c>
      <c r="P151" s="4" t="s">
        <v>230</v>
      </c>
      <c r="Q151" s="4" t="s">
        <v>230</v>
      </c>
      <c r="R151" s="4" t="s">
        <v>230</v>
      </c>
      <c r="S151" s="4">
        <v>150</v>
      </c>
      <c r="T151" s="4">
        <f t="shared" si="82"/>
        <v>1500</v>
      </c>
      <c r="U151" s="4">
        <v>76.5</v>
      </c>
      <c r="V151" s="4">
        <f t="shared" si="83"/>
        <v>765</v>
      </c>
      <c r="W151" s="4">
        <v>10</v>
      </c>
      <c r="X151" s="20">
        <f t="shared" si="84"/>
        <v>953</v>
      </c>
      <c r="Y151" s="6">
        <f t="shared" si="85"/>
        <v>0.19727177334732426</v>
      </c>
      <c r="Z151" s="32">
        <v>1</v>
      </c>
      <c r="AA151" s="4">
        <f t="shared" si="86"/>
        <v>1200</v>
      </c>
      <c r="AB151" s="32">
        <f t="shared" si="87"/>
        <v>1500</v>
      </c>
      <c r="AC151" s="6">
        <f t="shared" si="88"/>
        <v>0.49</v>
      </c>
      <c r="AD151" s="7">
        <v>1230</v>
      </c>
      <c r="AE151" s="6">
        <f t="shared" si="89"/>
        <v>0.37804878048780488</v>
      </c>
      <c r="AF151" s="4">
        <f t="shared" si="90"/>
        <v>465</v>
      </c>
      <c r="AG151" s="27"/>
      <c r="AH151" s="6"/>
      <c r="AI151" s="6"/>
      <c r="AJ151" s="6">
        <f t="shared" si="91"/>
        <v>1.25</v>
      </c>
      <c r="AK151" s="6">
        <f t="shared" si="92"/>
        <v>1.6141732283464567</v>
      </c>
      <c r="AL151" s="6">
        <f t="shared" si="93"/>
        <v>1.25</v>
      </c>
      <c r="AM151" s="4" t="str">
        <f t="shared" si="94"/>
        <v>-</v>
      </c>
      <c r="AN151" s="4" t="str">
        <f t="shared" si="95"/>
        <v>-</v>
      </c>
      <c r="AO151" s="4" t="str">
        <f t="shared" si="96"/>
        <v>-</v>
      </c>
      <c r="AP151" s="4">
        <v>0</v>
      </c>
      <c r="AQ151" s="4" t="s">
        <v>383</v>
      </c>
      <c r="AR151" s="4">
        <v>10</v>
      </c>
      <c r="AS151" s="4">
        <v>30</v>
      </c>
      <c r="AT151" s="4" t="s">
        <v>352</v>
      </c>
      <c r="AU151" s="4">
        <v>3600</v>
      </c>
      <c r="AV151" s="4">
        <f t="shared" si="97"/>
        <v>1200</v>
      </c>
      <c r="AW151" s="18">
        <v>4</v>
      </c>
      <c r="AX151" s="18">
        <v>1</v>
      </c>
      <c r="AY151" s="16">
        <v>5</v>
      </c>
      <c r="AZ151" t="s">
        <v>230</v>
      </c>
      <c r="BA151" t="str">
        <f t="shared" si="98"/>
        <v>-</v>
      </c>
      <c r="BB151">
        <v>108</v>
      </c>
      <c r="BC151">
        <f t="shared" si="99"/>
        <v>135</v>
      </c>
      <c r="BD151" t="s">
        <v>263</v>
      </c>
    </row>
    <row r="152" spans="1:56" x14ac:dyDescent="0.4">
      <c r="A152" s="3">
        <v>33</v>
      </c>
      <c r="B152" s="3">
        <v>33</v>
      </c>
      <c r="C152" s="40">
        <v>158859</v>
      </c>
      <c r="D152" s="4" t="str">
        <f t="shared" si="80"/>
        <v>158859</v>
      </c>
      <c r="E152" s="4">
        <v>158859</v>
      </c>
      <c r="F152" s="4" t="s">
        <v>94</v>
      </c>
      <c r="G152" s="5">
        <v>4902778261309</v>
      </c>
      <c r="H152" s="5"/>
      <c r="I152" s="5"/>
      <c r="J152" s="5">
        <v>2</v>
      </c>
      <c r="K152" s="5">
        <v>2</v>
      </c>
      <c r="L152" s="4">
        <v>120</v>
      </c>
      <c r="M152" s="4">
        <v>97</v>
      </c>
      <c r="N152" s="4">
        <v>61.2</v>
      </c>
      <c r="O152" s="6">
        <f t="shared" si="81"/>
        <v>0.36907216494845363</v>
      </c>
      <c r="P152" s="4" t="s">
        <v>230</v>
      </c>
      <c r="Q152" s="4" t="s">
        <v>230</v>
      </c>
      <c r="R152" s="4" t="s">
        <v>230</v>
      </c>
      <c r="S152" s="4">
        <v>150</v>
      </c>
      <c r="T152" s="4">
        <f t="shared" si="82"/>
        <v>150</v>
      </c>
      <c r="U152" s="4">
        <v>76.5</v>
      </c>
      <c r="V152" s="4">
        <f t="shared" si="83"/>
        <v>76.5</v>
      </c>
      <c r="W152" s="4"/>
      <c r="X152" s="20">
        <f t="shared" si="84"/>
        <v>121</v>
      </c>
      <c r="Y152" s="6">
        <f t="shared" si="85"/>
        <v>0.36776859504132231</v>
      </c>
      <c r="Z152" s="32">
        <v>1</v>
      </c>
      <c r="AA152" s="4">
        <f t="shared" si="86"/>
        <v>108</v>
      </c>
      <c r="AB152" s="32">
        <f t="shared" si="87"/>
        <v>135</v>
      </c>
      <c r="AC152" s="6">
        <f t="shared" si="88"/>
        <v>0.43333333333333335</v>
      </c>
      <c r="AD152" s="7">
        <v>130</v>
      </c>
      <c r="AE152" s="6">
        <f t="shared" si="89"/>
        <v>0.41153846153846152</v>
      </c>
      <c r="AF152" s="4">
        <f t="shared" si="90"/>
        <v>53.5</v>
      </c>
      <c r="AG152" s="27"/>
      <c r="AH152" s="6"/>
      <c r="AI152" s="6"/>
      <c r="AJ152" s="6">
        <f t="shared" si="91"/>
        <v>1.25</v>
      </c>
      <c r="AK152" s="6">
        <f t="shared" si="92"/>
        <v>1.3402061855670102</v>
      </c>
      <c r="AL152" s="6">
        <f t="shared" si="93"/>
        <v>1.25</v>
      </c>
      <c r="AM152" s="4" t="str">
        <f t="shared" si="94"/>
        <v>-</v>
      </c>
      <c r="AN152" s="4" t="str">
        <f t="shared" si="95"/>
        <v>-</v>
      </c>
      <c r="AO152" s="4" t="str">
        <f t="shared" si="96"/>
        <v>-</v>
      </c>
      <c r="AP152" s="4">
        <v>0</v>
      </c>
      <c r="AQ152" s="4" t="s">
        <v>384</v>
      </c>
      <c r="AR152" s="4"/>
      <c r="AS152" s="4"/>
      <c r="AT152" s="4" t="s">
        <v>349</v>
      </c>
      <c r="AU152" s="4">
        <v>108</v>
      </c>
      <c r="AV152" s="4">
        <f t="shared" si="97"/>
        <v>108</v>
      </c>
      <c r="AW152" s="18">
        <v>4</v>
      </c>
      <c r="AX152" s="18">
        <v>1</v>
      </c>
      <c r="AY152" s="16">
        <v>5</v>
      </c>
      <c r="AZ152" t="s">
        <v>230</v>
      </c>
      <c r="BA152" t="str">
        <f t="shared" si="98"/>
        <v>-</v>
      </c>
      <c r="BB152">
        <v>108</v>
      </c>
      <c r="BC152">
        <f t="shared" si="99"/>
        <v>135</v>
      </c>
      <c r="BD152" t="s">
        <v>264</v>
      </c>
    </row>
    <row r="153" spans="1:56" x14ac:dyDescent="0.4">
      <c r="A153" s="3">
        <v>109</v>
      </c>
      <c r="B153" s="3">
        <v>33</v>
      </c>
      <c r="C153" s="40">
        <v>158859</v>
      </c>
      <c r="D153" s="4" t="str">
        <f t="shared" si="80"/>
        <v>158859</v>
      </c>
      <c r="E153" s="4">
        <v>158913</v>
      </c>
      <c r="F153" s="4" t="s">
        <v>190</v>
      </c>
      <c r="G153" s="5">
        <v>4902778261309</v>
      </c>
      <c r="H153" s="5">
        <v>8</v>
      </c>
      <c r="I153" s="5" t="str">
        <f>C153&amp;H153</f>
        <v>1588598</v>
      </c>
      <c r="J153" s="5"/>
      <c r="K153" s="5"/>
      <c r="L153" s="4">
        <v>1200</v>
      </c>
      <c r="M153" s="4">
        <v>899</v>
      </c>
      <c r="N153" s="4">
        <v>612</v>
      </c>
      <c r="O153" s="6">
        <f t="shared" si="81"/>
        <v>0.3192436040044494</v>
      </c>
      <c r="P153" s="4" t="s">
        <v>230</v>
      </c>
      <c r="Q153" s="4" t="s">
        <v>230</v>
      </c>
      <c r="R153" s="4" t="s">
        <v>230</v>
      </c>
      <c r="S153" s="4">
        <v>150</v>
      </c>
      <c r="T153" s="4">
        <f t="shared" si="82"/>
        <v>1500</v>
      </c>
      <c r="U153" s="4">
        <v>76.5</v>
      </c>
      <c r="V153" s="4">
        <f t="shared" si="83"/>
        <v>765</v>
      </c>
      <c r="W153" s="4">
        <v>10</v>
      </c>
      <c r="X153" s="20">
        <f t="shared" si="84"/>
        <v>1124</v>
      </c>
      <c r="Y153" s="6">
        <f t="shared" si="85"/>
        <v>0.31939501779359436</v>
      </c>
      <c r="Z153" s="32">
        <v>1</v>
      </c>
      <c r="AA153" s="4">
        <f t="shared" si="86"/>
        <v>1080</v>
      </c>
      <c r="AB153" s="32">
        <f t="shared" si="87"/>
        <v>1350</v>
      </c>
      <c r="AC153" s="6">
        <f t="shared" si="88"/>
        <v>0.43333333333333335</v>
      </c>
      <c r="AD153" s="7">
        <v>1230</v>
      </c>
      <c r="AE153" s="6">
        <f t="shared" si="89"/>
        <v>0.37804878048780488</v>
      </c>
      <c r="AF153" s="4">
        <f t="shared" si="90"/>
        <v>465</v>
      </c>
      <c r="AG153" s="27"/>
      <c r="AH153" s="6"/>
      <c r="AI153" s="6"/>
      <c r="AJ153" s="6">
        <f t="shared" si="91"/>
        <v>1.25</v>
      </c>
      <c r="AK153" s="6">
        <f t="shared" si="92"/>
        <v>1.3681868743047831</v>
      </c>
      <c r="AL153" s="6">
        <f t="shared" si="93"/>
        <v>1.25</v>
      </c>
      <c r="AM153" s="4" t="str">
        <f t="shared" si="94"/>
        <v>-</v>
      </c>
      <c r="AN153" s="4" t="str">
        <f t="shared" si="95"/>
        <v>-</v>
      </c>
      <c r="AO153" s="4" t="str">
        <f t="shared" si="96"/>
        <v>-</v>
      </c>
      <c r="AP153" s="4">
        <v>0</v>
      </c>
      <c r="AQ153" s="4" t="s">
        <v>384</v>
      </c>
      <c r="AR153" s="4">
        <v>10</v>
      </c>
      <c r="AS153" s="4">
        <v>1</v>
      </c>
      <c r="AT153" s="4" t="s">
        <v>349</v>
      </c>
      <c r="AU153" s="4">
        <v>108</v>
      </c>
      <c r="AV153" s="4">
        <f t="shared" si="97"/>
        <v>1080</v>
      </c>
      <c r="AW153" s="18">
        <v>4</v>
      </c>
      <c r="AX153" s="18">
        <v>1</v>
      </c>
      <c r="AY153" s="16">
        <v>5</v>
      </c>
      <c r="AZ153" t="s">
        <v>230</v>
      </c>
      <c r="BA153" t="str">
        <f t="shared" si="98"/>
        <v>-</v>
      </c>
      <c r="BB153">
        <v>108</v>
      </c>
      <c r="BC153">
        <f t="shared" si="99"/>
        <v>135</v>
      </c>
      <c r="BD153" t="s">
        <v>264</v>
      </c>
    </row>
    <row r="154" spans="1:56" x14ac:dyDescent="0.4">
      <c r="A154" s="3">
        <v>34</v>
      </c>
      <c r="B154" s="3">
        <v>34</v>
      </c>
      <c r="C154" s="40">
        <v>158860</v>
      </c>
      <c r="D154" s="4" t="str">
        <f t="shared" si="80"/>
        <v>158860</v>
      </c>
      <c r="E154" s="4">
        <v>158860</v>
      </c>
      <c r="F154" s="4" t="s">
        <v>95</v>
      </c>
      <c r="G154" s="5">
        <v>4902778261316</v>
      </c>
      <c r="H154" s="5"/>
      <c r="I154" s="5"/>
      <c r="J154" s="5">
        <v>2</v>
      </c>
      <c r="K154" s="5">
        <v>2</v>
      </c>
      <c r="L154" s="4">
        <v>120</v>
      </c>
      <c r="M154" s="4">
        <v>98</v>
      </c>
      <c r="N154" s="4">
        <v>61.2</v>
      </c>
      <c r="O154" s="6">
        <f t="shared" si="81"/>
        <v>0.3755102040816326</v>
      </c>
      <c r="P154" s="4" t="s">
        <v>230</v>
      </c>
      <c r="Q154" s="4" t="s">
        <v>230</v>
      </c>
      <c r="R154" s="4" t="s">
        <v>230</v>
      </c>
      <c r="S154" s="4">
        <v>150</v>
      </c>
      <c r="T154" s="4">
        <f t="shared" si="82"/>
        <v>150</v>
      </c>
      <c r="U154" s="4">
        <v>76.5</v>
      </c>
      <c r="V154" s="4">
        <f t="shared" si="83"/>
        <v>76.5</v>
      </c>
      <c r="W154" s="4"/>
      <c r="X154" s="20">
        <f t="shared" si="84"/>
        <v>123</v>
      </c>
      <c r="Y154" s="6">
        <f t="shared" si="85"/>
        <v>0.37804878048780488</v>
      </c>
      <c r="Z154" s="32">
        <v>31.75</v>
      </c>
      <c r="AA154" s="4">
        <f t="shared" si="86"/>
        <v>113</v>
      </c>
      <c r="AB154" s="32">
        <f t="shared" si="87"/>
        <v>141.25</v>
      </c>
      <c r="AC154" s="6">
        <f t="shared" si="88"/>
        <v>0.45840707964601768</v>
      </c>
      <c r="AD154" s="7">
        <v>130</v>
      </c>
      <c r="AE154" s="6">
        <f t="shared" si="89"/>
        <v>0.41153846153846152</v>
      </c>
      <c r="AF154" s="4">
        <f t="shared" si="90"/>
        <v>53.5</v>
      </c>
      <c r="AG154" s="27"/>
      <c r="AH154" s="6"/>
      <c r="AI154" s="6"/>
      <c r="AJ154" s="6">
        <f t="shared" si="91"/>
        <v>1.25</v>
      </c>
      <c r="AK154" s="6">
        <f t="shared" si="92"/>
        <v>1.3265306122448979</v>
      </c>
      <c r="AL154" s="6">
        <f t="shared" si="93"/>
        <v>1.25</v>
      </c>
      <c r="AM154" s="4" t="str">
        <f t="shared" si="94"/>
        <v>-</v>
      </c>
      <c r="AN154" s="4" t="str">
        <f t="shared" si="95"/>
        <v>-</v>
      </c>
      <c r="AO154" s="4" t="str">
        <f t="shared" si="96"/>
        <v>-</v>
      </c>
      <c r="AP154" s="4" t="s">
        <v>223</v>
      </c>
      <c r="AQ154" s="4" t="s">
        <v>385</v>
      </c>
      <c r="AR154" s="4"/>
      <c r="AS154" s="4"/>
      <c r="AT154" s="4" t="s">
        <v>349</v>
      </c>
      <c r="AU154" s="4">
        <v>113</v>
      </c>
      <c r="AV154" s="4">
        <f t="shared" si="97"/>
        <v>113</v>
      </c>
      <c r="AW154" s="18">
        <v>4</v>
      </c>
      <c r="AX154" s="18">
        <v>1</v>
      </c>
      <c r="AY154" s="16">
        <v>5</v>
      </c>
      <c r="AZ154" t="s">
        <v>230</v>
      </c>
      <c r="BA154" t="str">
        <f t="shared" si="98"/>
        <v>-</v>
      </c>
      <c r="BB154">
        <v>108</v>
      </c>
      <c r="BC154">
        <f t="shared" si="99"/>
        <v>135</v>
      </c>
      <c r="BD154" t="s">
        <v>265</v>
      </c>
    </row>
    <row r="155" spans="1:56" x14ac:dyDescent="0.4">
      <c r="A155" s="3">
        <v>109</v>
      </c>
      <c r="B155" s="3">
        <v>34</v>
      </c>
      <c r="C155" s="40">
        <v>158860</v>
      </c>
      <c r="D155" s="4" t="str">
        <f t="shared" si="80"/>
        <v>158860</v>
      </c>
      <c r="E155" s="4">
        <v>158914</v>
      </c>
      <c r="F155" s="4" t="s">
        <v>191</v>
      </c>
      <c r="G155" s="5">
        <v>4902778261316</v>
      </c>
      <c r="H155" s="5">
        <v>8</v>
      </c>
      <c r="I155" s="5" t="str">
        <f>C155&amp;H155</f>
        <v>1588608</v>
      </c>
      <c r="J155" s="5"/>
      <c r="K155" s="5"/>
      <c r="L155" s="4">
        <v>1200</v>
      </c>
      <c r="M155" s="4">
        <v>925</v>
      </c>
      <c r="N155" s="4">
        <v>612</v>
      </c>
      <c r="O155" s="6">
        <f t="shared" si="81"/>
        <v>0.33837837837837836</v>
      </c>
      <c r="P155" s="4" t="s">
        <v>230</v>
      </c>
      <c r="Q155" s="4" t="s">
        <v>230</v>
      </c>
      <c r="R155" s="4" t="s">
        <v>230</v>
      </c>
      <c r="S155" s="4">
        <v>150</v>
      </c>
      <c r="T155" s="4">
        <f t="shared" si="82"/>
        <v>1500</v>
      </c>
      <c r="U155" s="4">
        <v>76.5</v>
      </c>
      <c r="V155" s="4">
        <f t="shared" si="83"/>
        <v>765</v>
      </c>
      <c r="W155" s="4">
        <v>10</v>
      </c>
      <c r="X155" s="20">
        <f t="shared" si="84"/>
        <v>1156</v>
      </c>
      <c r="Y155" s="6">
        <f t="shared" si="85"/>
        <v>0.33823529411764708</v>
      </c>
      <c r="Z155" s="32">
        <v>31.75</v>
      </c>
      <c r="AA155" s="4">
        <f t="shared" si="86"/>
        <v>1093.3333333333335</v>
      </c>
      <c r="AB155" s="32">
        <f t="shared" si="87"/>
        <v>1366.666666666667</v>
      </c>
      <c r="AC155" s="6">
        <f t="shared" si="88"/>
        <v>0.44024390243902456</v>
      </c>
      <c r="AD155" s="7">
        <v>1230</v>
      </c>
      <c r="AE155" s="6">
        <f t="shared" si="89"/>
        <v>0.37804878048780488</v>
      </c>
      <c r="AF155" s="4">
        <f t="shared" si="90"/>
        <v>465</v>
      </c>
      <c r="AG155" s="27"/>
      <c r="AH155" s="6"/>
      <c r="AI155" s="6"/>
      <c r="AJ155" s="6">
        <f t="shared" si="91"/>
        <v>1.25</v>
      </c>
      <c r="AK155" s="6">
        <f t="shared" si="92"/>
        <v>1.3297297297297297</v>
      </c>
      <c r="AL155" s="6">
        <f t="shared" si="93"/>
        <v>1.25</v>
      </c>
      <c r="AM155" s="4" t="str">
        <f t="shared" si="94"/>
        <v>-</v>
      </c>
      <c r="AN155" s="4" t="str">
        <f t="shared" si="95"/>
        <v>-</v>
      </c>
      <c r="AO155" s="4" t="str">
        <f t="shared" si="96"/>
        <v>-</v>
      </c>
      <c r="AP155" s="4" t="s">
        <v>223</v>
      </c>
      <c r="AQ155" s="4" t="s">
        <v>461</v>
      </c>
      <c r="AR155" s="4">
        <v>10</v>
      </c>
      <c r="AS155" s="4">
        <v>3</v>
      </c>
      <c r="AT155" s="4" t="s">
        <v>354</v>
      </c>
      <c r="AU155" s="4">
        <v>328</v>
      </c>
      <c r="AV155" s="4">
        <f t="shared" si="97"/>
        <v>1093.3333333333335</v>
      </c>
      <c r="AW155" s="18">
        <v>4</v>
      </c>
      <c r="AX155" s="18">
        <v>1</v>
      </c>
      <c r="AY155" s="16">
        <v>5</v>
      </c>
      <c r="AZ155" t="s">
        <v>230</v>
      </c>
      <c r="BA155" t="str">
        <f t="shared" si="98"/>
        <v>-</v>
      </c>
      <c r="BB155">
        <v>108</v>
      </c>
      <c r="BC155">
        <f t="shared" si="99"/>
        <v>135</v>
      </c>
      <c r="BD155" t="s">
        <v>265</v>
      </c>
    </row>
    <row r="156" spans="1:56" x14ac:dyDescent="0.4">
      <c r="A156" s="3">
        <v>66</v>
      </c>
      <c r="B156" s="3">
        <v>66</v>
      </c>
      <c r="C156" s="32">
        <v>698684</v>
      </c>
      <c r="D156" s="4" t="str">
        <f t="shared" si="80"/>
        <v>698684</v>
      </c>
      <c r="E156" s="4">
        <v>698684</v>
      </c>
      <c r="F156" s="4" t="s">
        <v>127</v>
      </c>
      <c r="G156" s="5">
        <v>4902778611876</v>
      </c>
      <c r="H156" s="5"/>
      <c r="I156" s="5"/>
      <c r="J156" s="5">
        <v>1</v>
      </c>
      <c r="K156" s="5">
        <v>1</v>
      </c>
      <c r="L156" s="4">
        <v>100</v>
      </c>
      <c r="M156" s="4">
        <v>64</v>
      </c>
      <c r="N156" s="4">
        <v>51</v>
      </c>
      <c r="O156" s="6">
        <f t="shared" si="81"/>
        <v>0.203125</v>
      </c>
      <c r="P156" s="4" t="s">
        <v>230</v>
      </c>
      <c r="Q156" s="4" t="s">
        <v>230</v>
      </c>
      <c r="R156" s="4" t="s">
        <v>230</v>
      </c>
      <c r="S156" s="4">
        <v>150</v>
      </c>
      <c r="T156" s="4">
        <f t="shared" si="82"/>
        <v>150</v>
      </c>
      <c r="U156" s="4">
        <v>76.5</v>
      </c>
      <c r="V156" s="4">
        <f t="shared" si="83"/>
        <v>76.5</v>
      </c>
      <c r="W156" s="4"/>
      <c r="X156" s="20">
        <f t="shared" si="84"/>
        <v>96</v>
      </c>
      <c r="Y156" s="6">
        <f t="shared" si="85"/>
        <v>0.203125</v>
      </c>
      <c r="Z156" s="32">
        <v>0.5</v>
      </c>
      <c r="AA156" s="4" t="str">
        <f t="shared" si="86"/>
        <v>-</v>
      </c>
      <c r="AB156" s="32" t="str">
        <f t="shared" si="87"/>
        <v>-</v>
      </c>
      <c r="AC156" s="6" t="str">
        <f t="shared" si="88"/>
        <v>-</v>
      </c>
      <c r="AD156" s="7">
        <v>110</v>
      </c>
      <c r="AE156" s="6">
        <f t="shared" si="89"/>
        <v>0.30454545454545456</v>
      </c>
      <c r="AF156" s="4">
        <f t="shared" si="90"/>
        <v>33.5</v>
      </c>
      <c r="AG156" s="27"/>
      <c r="AH156" s="6"/>
      <c r="AI156" s="6"/>
      <c r="AJ156" s="6">
        <f t="shared" si="91"/>
        <v>1.5</v>
      </c>
      <c r="AK156" s="6">
        <f t="shared" si="92"/>
        <v>1.71875</v>
      </c>
      <c r="AL156" s="6">
        <f t="shared" si="93"/>
        <v>1.5</v>
      </c>
      <c r="AM156" s="4" t="str">
        <f t="shared" si="94"/>
        <v>-</v>
      </c>
      <c r="AN156" s="4" t="str">
        <f t="shared" si="95"/>
        <v>-</v>
      </c>
      <c r="AO156" s="4" t="str">
        <f t="shared" si="96"/>
        <v>-</v>
      </c>
      <c r="AP156" s="4">
        <v>0</v>
      </c>
      <c r="AQ156" s="4" t="s">
        <v>230</v>
      </c>
      <c r="AR156" s="4"/>
      <c r="AS156" s="4"/>
      <c r="AT156" s="4" t="s">
        <v>230</v>
      </c>
      <c r="AU156" s="4" t="s">
        <v>230</v>
      </c>
      <c r="AV156" s="4" t="str">
        <f t="shared" si="97"/>
        <v>-</v>
      </c>
      <c r="AW156" s="18">
        <v>4</v>
      </c>
      <c r="AX156" s="18">
        <v>1</v>
      </c>
      <c r="AY156" s="16">
        <v>5</v>
      </c>
      <c r="AZ156" t="s">
        <v>230</v>
      </c>
      <c r="BA156" t="str">
        <f t="shared" si="98"/>
        <v>-</v>
      </c>
      <c r="BB156" t="s">
        <v>230</v>
      </c>
      <c r="BC156" t="str">
        <f t="shared" si="99"/>
        <v>-</v>
      </c>
      <c r="BD156" t="s">
        <v>230</v>
      </c>
    </row>
    <row r="157" spans="1:56" x14ac:dyDescent="0.4">
      <c r="A157" s="3">
        <v>1</v>
      </c>
      <c r="B157" s="3">
        <v>1</v>
      </c>
      <c r="C157" s="32">
        <v>100439</v>
      </c>
      <c r="D157" s="4" t="str">
        <f t="shared" si="80"/>
        <v>100439</v>
      </c>
      <c r="E157" s="4">
        <v>100439</v>
      </c>
      <c r="F157" s="4" t="s">
        <v>62</v>
      </c>
      <c r="G157" s="5">
        <v>4902778974377</v>
      </c>
      <c r="H157" s="5"/>
      <c r="I157" s="5"/>
      <c r="J157" s="5">
        <v>1</v>
      </c>
      <c r="K157" s="5">
        <v>1</v>
      </c>
      <c r="L157" s="4">
        <v>180</v>
      </c>
      <c r="M157" s="4">
        <v>145</v>
      </c>
      <c r="N157" s="4">
        <v>91.8</v>
      </c>
      <c r="O157" s="6">
        <f t="shared" si="81"/>
        <v>0.36689655172413793</v>
      </c>
      <c r="P157" s="4" t="s">
        <v>230</v>
      </c>
      <c r="Q157" s="4" t="s">
        <v>230</v>
      </c>
      <c r="R157" s="4" t="s">
        <v>230</v>
      </c>
      <c r="S157" s="4">
        <v>200</v>
      </c>
      <c r="T157" s="4">
        <f t="shared" si="82"/>
        <v>200</v>
      </c>
      <c r="U157" s="4">
        <v>102</v>
      </c>
      <c r="V157" s="4">
        <f t="shared" si="83"/>
        <v>102</v>
      </c>
      <c r="W157" s="4"/>
      <c r="X157" s="20">
        <f t="shared" si="84"/>
        <v>161</v>
      </c>
      <c r="Y157" s="6">
        <f t="shared" si="85"/>
        <v>0.36645962732919257</v>
      </c>
      <c r="Z157" s="32">
        <v>9</v>
      </c>
      <c r="AA157" s="4">
        <f t="shared" si="86"/>
        <v>129</v>
      </c>
      <c r="AB157" s="32">
        <f t="shared" si="87"/>
        <v>143.33333333333334</v>
      </c>
      <c r="AC157" s="6">
        <f t="shared" si="88"/>
        <v>0.28837209302325584</v>
      </c>
      <c r="AD157" s="7">
        <v>143</v>
      </c>
      <c r="AE157" s="6">
        <f t="shared" si="89"/>
        <v>0.28671328671328666</v>
      </c>
      <c r="AF157" s="4">
        <f t="shared" si="90"/>
        <v>41</v>
      </c>
      <c r="AG157" s="27"/>
      <c r="AH157" s="6" t="e">
        <f>1-V157/AG157</f>
        <v>#DIV/0!</v>
      </c>
      <c r="AI157" s="4">
        <f>AG157-V157</f>
        <v>-102</v>
      </c>
      <c r="AJ157" s="6">
        <f t="shared" si="91"/>
        <v>1.1111111111111112</v>
      </c>
      <c r="AK157" s="6">
        <f t="shared" si="92"/>
        <v>0.98620689655172411</v>
      </c>
      <c r="AL157" s="6">
        <f t="shared" si="93"/>
        <v>1.1111111111111112</v>
      </c>
      <c r="AM157" s="4" t="str">
        <f t="shared" si="94"/>
        <v>-</v>
      </c>
      <c r="AN157" s="4" t="str">
        <f t="shared" si="95"/>
        <v>-</v>
      </c>
      <c r="AO157" s="4" t="str">
        <f t="shared" si="96"/>
        <v>-</v>
      </c>
      <c r="AP157" s="4">
        <v>0</v>
      </c>
      <c r="AQ157" s="4" t="s">
        <v>231</v>
      </c>
      <c r="AR157" s="4"/>
      <c r="AS157" s="4"/>
      <c r="AT157" s="4" t="s">
        <v>349</v>
      </c>
      <c r="AU157" s="4">
        <v>129</v>
      </c>
      <c r="AV157" s="4">
        <f t="shared" si="97"/>
        <v>129</v>
      </c>
      <c r="AW157" s="18">
        <v>4</v>
      </c>
      <c r="AX157" s="18">
        <v>1</v>
      </c>
      <c r="AY157" s="16">
        <v>5</v>
      </c>
      <c r="AZ157" t="s">
        <v>230</v>
      </c>
      <c r="BA157" t="str">
        <f t="shared" si="98"/>
        <v>-</v>
      </c>
      <c r="BB157">
        <v>135</v>
      </c>
      <c r="BC157">
        <f t="shared" si="99"/>
        <v>150</v>
      </c>
      <c r="BD157" t="s">
        <v>232</v>
      </c>
    </row>
    <row r="158" spans="1:56" x14ac:dyDescent="0.4">
      <c r="A158" s="3">
        <v>2</v>
      </c>
      <c r="B158" s="3">
        <v>2</v>
      </c>
      <c r="C158" s="32">
        <v>100442</v>
      </c>
      <c r="D158" s="4" t="str">
        <f t="shared" si="80"/>
        <v>100442</v>
      </c>
      <c r="E158" s="4">
        <v>100442</v>
      </c>
      <c r="F158" s="4" t="s">
        <v>63</v>
      </c>
      <c r="G158" s="5">
        <v>4902778974391</v>
      </c>
      <c r="H158" s="5"/>
      <c r="I158" s="5"/>
      <c r="J158" s="5">
        <v>1</v>
      </c>
      <c r="K158" s="5">
        <v>1</v>
      </c>
      <c r="L158" s="4">
        <v>180</v>
      </c>
      <c r="M158" s="4">
        <v>144</v>
      </c>
      <c r="N158" s="4">
        <v>91.8</v>
      </c>
      <c r="O158" s="6">
        <f t="shared" si="81"/>
        <v>0.36250000000000004</v>
      </c>
      <c r="P158" s="4" t="s">
        <v>230</v>
      </c>
      <c r="Q158" s="4" t="s">
        <v>230</v>
      </c>
      <c r="R158" s="4" t="s">
        <v>230</v>
      </c>
      <c r="S158" s="4">
        <v>200</v>
      </c>
      <c r="T158" s="4">
        <f t="shared" si="82"/>
        <v>200</v>
      </c>
      <c r="U158" s="4">
        <v>102</v>
      </c>
      <c r="V158" s="4">
        <f t="shared" si="83"/>
        <v>102</v>
      </c>
      <c r="W158" s="4"/>
      <c r="X158" s="20">
        <f t="shared" si="84"/>
        <v>160</v>
      </c>
      <c r="Y158" s="6">
        <f t="shared" si="85"/>
        <v>0.36250000000000004</v>
      </c>
      <c r="Z158" s="32">
        <v>2.25</v>
      </c>
      <c r="AA158" s="4">
        <f t="shared" si="86"/>
        <v>129</v>
      </c>
      <c r="AB158" s="32">
        <f t="shared" si="87"/>
        <v>143.33333333333334</v>
      </c>
      <c r="AC158" s="6">
        <f t="shared" si="88"/>
        <v>0.28837209302325584</v>
      </c>
      <c r="AD158" s="7">
        <v>143</v>
      </c>
      <c r="AE158" s="6">
        <f t="shared" si="89"/>
        <v>0.28671328671328666</v>
      </c>
      <c r="AF158" s="4">
        <f t="shared" si="90"/>
        <v>41</v>
      </c>
      <c r="AG158" s="27"/>
      <c r="AH158" s="6"/>
      <c r="AI158" s="6"/>
      <c r="AJ158" s="6">
        <f t="shared" si="91"/>
        <v>1.1111111111111112</v>
      </c>
      <c r="AK158" s="6">
        <f t="shared" si="92"/>
        <v>0.99305555555555558</v>
      </c>
      <c r="AL158" s="6">
        <f t="shared" si="93"/>
        <v>1.1111111111111112</v>
      </c>
      <c r="AM158" s="4" t="str">
        <f t="shared" si="94"/>
        <v>-</v>
      </c>
      <c r="AN158" s="4" t="str">
        <f t="shared" si="95"/>
        <v>-</v>
      </c>
      <c r="AO158" s="4" t="str">
        <f t="shared" si="96"/>
        <v>-</v>
      </c>
      <c r="AP158" s="4">
        <v>0</v>
      </c>
      <c r="AQ158" s="4" t="s">
        <v>350</v>
      </c>
      <c r="AR158" s="4"/>
      <c r="AS158" s="4"/>
      <c r="AT158" s="4" t="s">
        <v>349</v>
      </c>
      <c r="AU158" s="4">
        <v>129</v>
      </c>
      <c r="AV158" s="4">
        <f t="shared" si="97"/>
        <v>129</v>
      </c>
      <c r="AW158" s="18">
        <v>4</v>
      </c>
      <c r="AX158" s="18">
        <v>1</v>
      </c>
      <c r="AY158" s="16">
        <v>5</v>
      </c>
      <c r="AZ158" t="s">
        <v>230</v>
      </c>
      <c r="BA158" t="str">
        <f t="shared" si="98"/>
        <v>-</v>
      </c>
      <c r="BB158">
        <v>135</v>
      </c>
      <c r="BC158">
        <f t="shared" si="99"/>
        <v>150</v>
      </c>
      <c r="BD158" t="s">
        <v>233</v>
      </c>
    </row>
    <row r="159" spans="1:56" x14ac:dyDescent="0.4">
      <c r="A159" s="3">
        <v>69</v>
      </c>
      <c r="B159" s="3">
        <v>69</v>
      </c>
      <c r="C159" s="32">
        <v>698955</v>
      </c>
      <c r="D159" s="4" t="str">
        <f t="shared" si="80"/>
        <v>698955</v>
      </c>
      <c r="E159" s="4">
        <v>698955</v>
      </c>
      <c r="F159" s="4" t="s">
        <v>130</v>
      </c>
      <c r="G159" s="5">
        <v>4902778692424</v>
      </c>
      <c r="H159" s="5"/>
      <c r="I159" s="5"/>
      <c r="J159" s="5">
        <v>1</v>
      </c>
      <c r="K159" s="5">
        <v>1</v>
      </c>
      <c r="L159" s="4">
        <v>300</v>
      </c>
      <c r="M159" s="4">
        <v>256</v>
      </c>
      <c r="N159" s="4">
        <v>153</v>
      </c>
      <c r="O159" s="6">
        <f t="shared" si="81"/>
        <v>0.40234375</v>
      </c>
      <c r="P159" s="4" t="s">
        <v>230</v>
      </c>
      <c r="Q159" s="4" t="s">
        <v>230</v>
      </c>
      <c r="R159" s="4" t="s">
        <v>230</v>
      </c>
      <c r="S159" s="4">
        <v>360</v>
      </c>
      <c r="T159" s="4">
        <f t="shared" si="82"/>
        <v>360</v>
      </c>
      <c r="U159" s="4">
        <v>183.6</v>
      </c>
      <c r="V159" s="4">
        <f t="shared" si="83"/>
        <v>183.6</v>
      </c>
      <c r="W159" s="4"/>
      <c r="X159" s="20">
        <f t="shared" si="84"/>
        <v>307</v>
      </c>
      <c r="Y159" s="6">
        <f t="shared" si="85"/>
        <v>0.40195439739413685</v>
      </c>
      <c r="Z159" s="32">
        <v>2.75</v>
      </c>
      <c r="AA159" s="4">
        <f t="shared" si="86"/>
        <v>250</v>
      </c>
      <c r="AB159" s="32">
        <f t="shared" si="87"/>
        <v>300</v>
      </c>
      <c r="AC159" s="6">
        <f t="shared" si="88"/>
        <v>0.38800000000000001</v>
      </c>
      <c r="AD159" s="7">
        <v>285</v>
      </c>
      <c r="AE159" s="6">
        <f t="shared" si="89"/>
        <v>0.35578947368421054</v>
      </c>
      <c r="AF159" s="4">
        <f t="shared" si="90"/>
        <v>101.4</v>
      </c>
      <c r="AG159" s="27"/>
      <c r="AH159" s="6"/>
      <c r="AI159" s="6"/>
      <c r="AJ159" s="6">
        <f t="shared" si="91"/>
        <v>1.2</v>
      </c>
      <c r="AK159" s="6">
        <f t="shared" si="92"/>
        <v>1.11328125</v>
      </c>
      <c r="AL159" s="6">
        <f t="shared" si="93"/>
        <v>1.2</v>
      </c>
      <c r="AM159" s="4" t="str">
        <f t="shared" si="94"/>
        <v>-</v>
      </c>
      <c r="AN159" s="4" t="str">
        <f t="shared" si="95"/>
        <v>-</v>
      </c>
      <c r="AO159" s="4" t="str">
        <f t="shared" si="96"/>
        <v>-</v>
      </c>
      <c r="AP159" s="4">
        <v>0</v>
      </c>
      <c r="AQ159" s="4" t="s">
        <v>427</v>
      </c>
      <c r="AR159" s="4"/>
      <c r="AS159" s="4"/>
      <c r="AT159" s="4" t="s">
        <v>374</v>
      </c>
      <c r="AU159" s="4">
        <v>250</v>
      </c>
      <c r="AV159" s="4">
        <f t="shared" si="97"/>
        <v>250</v>
      </c>
      <c r="AW159" s="18">
        <v>4</v>
      </c>
      <c r="AX159" s="18">
        <v>1</v>
      </c>
      <c r="AY159" s="16">
        <v>5</v>
      </c>
      <c r="AZ159" t="s">
        <v>230</v>
      </c>
      <c r="BA159" t="str">
        <f t="shared" si="98"/>
        <v>-</v>
      </c>
      <c r="BB159">
        <v>251</v>
      </c>
      <c r="BC159">
        <f t="shared" si="99"/>
        <v>301.2</v>
      </c>
      <c r="BD159" t="s">
        <v>298</v>
      </c>
    </row>
    <row r="160" spans="1:56" x14ac:dyDescent="0.4">
      <c r="A160" s="3">
        <v>64</v>
      </c>
      <c r="B160" s="3">
        <v>64</v>
      </c>
      <c r="C160" s="32">
        <v>695272</v>
      </c>
      <c r="D160" s="4" t="str">
        <f t="shared" si="80"/>
        <v>695272</v>
      </c>
      <c r="E160" s="4">
        <v>695272</v>
      </c>
      <c r="F160" s="4" t="s">
        <v>125</v>
      </c>
      <c r="G160" s="5">
        <v>4902778692417</v>
      </c>
      <c r="H160" s="5"/>
      <c r="I160" s="5"/>
      <c r="J160" s="5">
        <v>1</v>
      </c>
      <c r="K160" s="5">
        <v>1</v>
      </c>
      <c r="L160" s="4">
        <v>500</v>
      </c>
      <c r="M160" s="4">
        <v>383</v>
      </c>
      <c r="N160" s="4">
        <v>255</v>
      </c>
      <c r="O160" s="6">
        <f t="shared" si="81"/>
        <v>0.33420365535248042</v>
      </c>
      <c r="P160" s="4" t="s">
        <v>230</v>
      </c>
      <c r="Q160" s="4" t="s">
        <v>230</v>
      </c>
      <c r="R160" s="4" t="s">
        <v>230</v>
      </c>
      <c r="S160" s="4">
        <v>600</v>
      </c>
      <c r="T160" s="4">
        <f t="shared" si="82"/>
        <v>600</v>
      </c>
      <c r="U160" s="4">
        <v>306</v>
      </c>
      <c r="V160" s="4">
        <f t="shared" si="83"/>
        <v>306</v>
      </c>
      <c r="W160" s="4"/>
      <c r="X160" s="20">
        <f t="shared" si="84"/>
        <v>460</v>
      </c>
      <c r="Y160" s="6">
        <f t="shared" si="85"/>
        <v>0.33478260869565213</v>
      </c>
      <c r="Z160" s="32">
        <v>54.500000000000007</v>
      </c>
      <c r="AA160" s="4">
        <f t="shared" si="86"/>
        <v>391</v>
      </c>
      <c r="AB160" s="32">
        <f t="shared" si="87"/>
        <v>469.2</v>
      </c>
      <c r="AC160" s="6">
        <f t="shared" si="88"/>
        <v>0.34782608695652173</v>
      </c>
      <c r="AD160" s="7">
        <v>465</v>
      </c>
      <c r="AE160" s="6">
        <f t="shared" si="89"/>
        <v>0.34193548387096773</v>
      </c>
      <c r="AF160" s="4">
        <f t="shared" si="90"/>
        <v>159</v>
      </c>
      <c r="AG160" s="27"/>
      <c r="AH160" s="6"/>
      <c r="AI160" s="6"/>
      <c r="AJ160" s="6">
        <f t="shared" si="91"/>
        <v>1.2</v>
      </c>
      <c r="AK160" s="6">
        <f t="shared" si="92"/>
        <v>1.2140992167101827</v>
      </c>
      <c r="AL160" s="6">
        <f t="shared" si="93"/>
        <v>1.2</v>
      </c>
      <c r="AM160" s="4" t="str">
        <f t="shared" si="94"/>
        <v>-</v>
      </c>
      <c r="AN160" s="4" t="str">
        <f t="shared" si="95"/>
        <v>-</v>
      </c>
      <c r="AO160" s="4" t="str">
        <f t="shared" si="96"/>
        <v>-</v>
      </c>
      <c r="AP160" s="4" t="s">
        <v>227</v>
      </c>
      <c r="AQ160" s="4" t="s">
        <v>422</v>
      </c>
      <c r="AR160" s="4"/>
      <c r="AS160" s="4"/>
      <c r="AT160" s="4" t="s">
        <v>423</v>
      </c>
      <c r="AU160" s="4">
        <v>391</v>
      </c>
      <c r="AV160" s="4">
        <f t="shared" si="97"/>
        <v>391</v>
      </c>
      <c r="AW160" s="18">
        <v>4</v>
      </c>
      <c r="AX160" s="18">
        <v>1</v>
      </c>
      <c r="AY160" s="16">
        <v>5</v>
      </c>
      <c r="AZ160" t="s">
        <v>230</v>
      </c>
      <c r="BA160" t="str">
        <f t="shared" si="98"/>
        <v>-</v>
      </c>
      <c r="BB160">
        <v>407</v>
      </c>
      <c r="BC160">
        <f t="shared" si="99"/>
        <v>488.4</v>
      </c>
      <c r="BD160" t="s">
        <v>294</v>
      </c>
    </row>
    <row r="161" spans="1:56" x14ac:dyDescent="0.4">
      <c r="A161" s="3">
        <v>65</v>
      </c>
      <c r="B161" s="3">
        <v>65</v>
      </c>
      <c r="C161" s="32">
        <v>695273</v>
      </c>
      <c r="D161" s="4" t="str">
        <f t="shared" si="80"/>
        <v>695273</v>
      </c>
      <c r="E161" s="4">
        <v>695273</v>
      </c>
      <c r="F161" s="4" t="s">
        <v>126</v>
      </c>
      <c r="G161" s="5">
        <v>4902778133583</v>
      </c>
      <c r="H161" s="5"/>
      <c r="I161" s="5"/>
      <c r="J161" s="5">
        <v>1</v>
      </c>
      <c r="K161" s="5">
        <v>1</v>
      </c>
      <c r="L161" s="4">
        <v>500</v>
      </c>
      <c r="M161" s="4">
        <v>383</v>
      </c>
      <c r="N161" s="4">
        <v>255</v>
      </c>
      <c r="O161" s="6">
        <f t="shared" si="81"/>
        <v>0.33420365535248042</v>
      </c>
      <c r="P161" s="4" t="s">
        <v>230</v>
      </c>
      <c r="Q161" s="4" t="s">
        <v>230</v>
      </c>
      <c r="R161" s="4" t="s">
        <v>230</v>
      </c>
      <c r="S161" s="4">
        <v>600</v>
      </c>
      <c r="T161" s="4">
        <f t="shared" si="82"/>
        <v>600</v>
      </c>
      <c r="U161" s="4">
        <v>306</v>
      </c>
      <c r="V161" s="4">
        <f t="shared" si="83"/>
        <v>306</v>
      </c>
      <c r="W161" s="4"/>
      <c r="X161" s="20">
        <f t="shared" si="84"/>
        <v>460</v>
      </c>
      <c r="Y161" s="6">
        <f t="shared" si="85"/>
        <v>0.33478260869565213</v>
      </c>
      <c r="Z161" s="32">
        <v>6.75</v>
      </c>
      <c r="AA161" s="4">
        <f t="shared" si="86"/>
        <v>528</v>
      </c>
      <c r="AB161" s="32">
        <f t="shared" si="87"/>
        <v>633.6</v>
      </c>
      <c r="AC161" s="6">
        <f t="shared" si="88"/>
        <v>0.51704545454545459</v>
      </c>
      <c r="AD161" s="7">
        <v>465</v>
      </c>
      <c r="AE161" s="6">
        <f t="shared" si="89"/>
        <v>0.34193548387096773</v>
      </c>
      <c r="AF161" s="4">
        <f t="shared" si="90"/>
        <v>159</v>
      </c>
      <c r="AG161" s="27"/>
      <c r="AH161" s="6"/>
      <c r="AI161" s="6"/>
      <c r="AJ161" s="6">
        <f t="shared" si="91"/>
        <v>1.2</v>
      </c>
      <c r="AK161" s="6">
        <f t="shared" si="92"/>
        <v>1.2140992167101827</v>
      </c>
      <c r="AL161" s="6">
        <f t="shared" si="93"/>
        <v>1.2</v>
      </c>
      <c r="AM161" s="4" t="str">
        <f t="shared" si="94"/>
        <v>-</v>
      </c>
      <c r="AN161" s="4" t="str">
        <f t="shared" si="95"/>
        <v>-</v>
      </c>
      <c r="AO161" s="4" t="str">
        <f t="shared" si="96"/>
        <v>-</v>
      </c>
      <c r="AP161" s="4" t="s">
        <v>227</v>
      </c>
      <c r="AQ161" s="4" t="s">
        <v>424</v>
      </c>
      <c r="AR161" s="4"/>
      <c r="AS161" s="4"/>
      <c r="AT161" s="4" t="s">
        <v>374</v>
      </c>
      <c r="AU161" s="4">
        <v>528</v>
      </c>
      <c r="AV161" s="4">
        <f t="shared" si="97"/>
        <v>528</v>
      </c>
      <c r="AW161" s="18">
        <v>4</v>
      </c>
      <c r="AX161" s="18">
        <v>1</v>
      </c>
      <c r="AY161" s="16">
        <v>5</v>
      </c>
      <c r="AZ161" t="s">
        <v>230</v>
      </c>
      <c r="BA161" t="str">
        <f t="shared" si="98"/>
        <v>-</v>
      </c>
      <c r="BB161">
        <v>480</v>
      </c>
      <c r="BC161">
        <f t="shared" si="99"/>
        <v>576</v>
      </c>
      <c r="BD161" t="s">
        <v>295</v>
      </c>
    </row>
    <row r="162" spans="1:56" x14ac:dyDescent="0.4">
      <c r="A162" s="3">
        <v>95</v>
      </c>
      <c r="B162" s="3">
        <v>95</v>
      </c>
      <c r="C162" s="4" t="s">
        <v>58</v>
      </c>
      <c r="D162" s="4" t="str">
        <f t="shared" si="80"/>
        <v>J0109Y</v>
      </c>
      <c r="E162" s="4" t="s">
        <v>58</v>
      </c>
      <c r="F162" s="4" t="s">
        <v>156</v>
      </c>
      <c r="G162" s="5">
        <v>4902778319697</v>
      </c>
      <c r="H162" s="5"/>
      <c r="I162" s="5"/>
      <c r="J162" s="5">
        <v>1</v>
      </c>
      <c r="K162" s="5">
        <v>1</v>
      </c>
      <c r="L162" s="4">
        <v>960</v>
      </c>
      <c r="M162" s="4">
        <v>783</v>
      </c>
      <c r="N162" s="4">
        <v>489.6</v>
      </c>
      <c r="O162" s="6">
        <f t="shared" si="81"/>
        <v>0.37471264367816093</v>
      </c>
      <c r="P162" s="4" t="s">
        <v>230</v>
      </c>
      <c r="Q162" s="4" t="s">
        <v>230</v>
      </c>
      <c r="R162" s="4" t="s">
        <v>230</v>
      </c>
      <c r="S162" s="4">
        <v>1200</v>
      </c>
      <c r="T162" s="4">
        <f t="shared" si="82"/>
        <v>1200</v>
      </c>
      <c r="U162" s="4">
        <v>612</v>
      </c>
      <c r="V162" s="4">
        <f t="shared" si="83"/>
        <v>612</v>
      </c>
      <c r="W162" s="4"/>
      <c r="X162" s="20">
        <f t="shared" si="84"/>
        <v>979</v>
      </c>
      <c r="Y162" s="6">
        <f t="shared" si="85"/>
        <v>0.37487231869254345</v>
      </c>
      <c r="Z162" s="32">
        <v>147</v>
      </c>
      <c r="AA162" s="4" t="str">
        <f t="shared" si="86"/>
        <v>-</v>
      </c>
      <c r="AB162" s="32" t="str">
        <f t="shared" si="87"/>
        <v>-</v>
      </c>
      <c r="AC162" s="6" t="str">
        <f t="shared" si="88"/>
        <v>-</v>
      </c>
      <c r="AD162" s="7">
        <v>988</v>
      </c>
      <c r="AE162" s="6">
        <f t="shared" si="89"/>
        <v>0.38056680161943324</v>
      </c>
      <c r="AF162" s="4">
        <f t="shared" si="90"/>
        <v>376</v>
      </c>
      <c r="AG162" s="27"/>
      <c r="AH162" s="6"/>
      <c r="AI162" s="6"/>
      <c r="AJ162" s="6">
        <f t="shared" si="91"/>
        <v>1.25</v>
      </c>
      <c r="AK162" s="6">
        <f t="shared" si="92"/>
        <v>1.2618135376756066</v>
      </c>
      <c r="AL162" s="6">
        <f t="shared" si="93"/>
        <v>1.25</v>
      </c>
      <c r="AM162" s="4" t="str">
        <f t="shared" si="94"/>
        <v>-</v>
      </c>
      <c r="AN162" s="4" t="str">
        <f t="shared" si="95"/>
        <v>-</v>
      </c>
      <c r="AO162" s="4" t="str">
        <f t="shared" si="96"/>
        <v>-</v>
      </c>
      <c r="AP162" s="4">
        <v>0</v>
      </c>
      <c r="AQ162" s="4" t="s">
        <v>230</v>
      </c>
      <c r="AR162" s="4"/>
      <c r="AS162" s="4"/>
      <c r="AT162" s="4" t="s">
        <v>230</v>
      </c>
      <c r="AU162" s="4" t="s">
        <v>230</v>
      </c>
      <c r="AV162" s="4" t="str">
        <f t="shared" si="97"/>
        <v>-</v>
      </c>
      <c r="AW162" s="18">
        <v>4</v>
      </c>
      <c r="AX162" s="18">
        <v>1</v>
      </c>
      <c r="AY162" s="16">
        <v>5</v>
      </c>
      <c r="AZ162" t="s">
        <v>230</v>
      </c>
      <c r="BA162" t="str">
        <f t="shared" si="98"/>
        <v>-</v>
      </c>
      <c r="BB162" t="s">
        <v>230</v>
      </c>
      <c r="BC162" t="str">
        <f t="shared" si="99"/>
        <v>-</v>
      </c>
      <c r="BD162" t="s">
        <v>230</v>
      </c>
    </row>
    <row r="163" spans="1:56" x14ac:dyDescent="0.4">
      <c r="A163" s="3">
        <v>23</v>
      </c>
      <c r="B163" s="3">
        <v>23</v>
      </c>
      <c r="C163" s="32">
        <v>158835</v>
      </c>
      <c r="D163" s="4" t="str">
        <f t="shared" si="80"/>
        <v>158835</v>
      </c>
      <c r="E163" s="4">
        <v>158835</v>
      </c>
      <c r="F163" s="41" t="s">
        <v>84</v>
      </c>
      <c r="G163" s="5">
        <v>4902778261439</v>
      </c>
      <c r="H163" s="5"/>
      <c r="I163" s="5"/>
      <c r="J163" s="5">
        <v>1</v>
      </c>
      <c r="K163" s="5">
        <v>1</v>
      </c>
      <c r="L163" s="4">
        <v>960</v>
      </c>
      <c r="M163" s="4">
        <v>783</v>
      </c>
      <c r="N163" s="4">
        <v>489.6</v>
      </c>
      <c r="O163" s="6">
        <f t="shared" si="81"/>
        <v>0.37471264367816093</v>
      </c>
      <c r="P163" s="4" t="s">
        <v>230</v>
      </c>
      <c r="Q163" s="4" t="s">
        <v>230</v>
      </c>
      <c r="R163" s="4" t="s">
        <v>230</v>
      </c>
      <c r="S163" s="4">
        <v>1200</v>
      </c>
      <c r="T163" s="4">
        <f t="shared" si="82"/>
        <v>1200</v>
      </c>
      <c r="U163" s="4">
        <v>612</v>
      </c>
      <c r="V163" s="4">
        <f t="shared" si="83"/>
        <v>612</v>
      </c>
      <c r="W163" s="4"/>
      <c r="X163" s="20">
        <f t="shared" si="84"/>
        <v>979</v>
      </c>
      <c r="Y163" s="6">
        <f t="shared" si="85"/>
        <v>0.37487231869254345</v>
      </c>
      <c r="Z163" s="32">
        <v>8.75</v>
      </c>
      <c r="AA163" s="4">
        <f t="shared" si="86"/>
        <v>800</v>
      </c>
      <c r="AB163" s="32">
        <f t="shared" si="87"/>
        <v>1000</v>
      </c>
      <c r="AC163" s="6">
        <f t="shared" si="88"/>
        <v>0.38800000000000001</v>
      </c>
      <c r="AD163" s="7">
        <v>988</v>
      </c>
      <c r="AE163" s="6">
        <f t="shared" si="89"/>
        <v>0.38056680161943324</v>
      </c>
      <c r="AF163" s="4">
        <f t="shared" si="90"/>
        <v>376</v>
      </c>
      <c r="AG163" s="27"/>
      <c r="AH163" s="6"/>
      <c r="AI163" s="6"/>
      <c r="AJ163" s="6">
        <f t="shared" si="91"/>
        <v>1.25</v>
      </c>
      <c r="AK163" s="6">
        <f t="shared" si="92"/>
        <v>1.2618135376756066</v>
      </c>
      <c r="AL163" s="6">
        <f t="shared" si="93"/>
        <v>1.25</v>
      </c>
      <c r="AM163" s="4" t="str">
        <f t="shared" si="94"/>
        <v>-</v>
      </c>
      <c r="AN163" s="4" t="str">
        <f t="shared" si="95"/>
        <v>-</v>
      </c>
      <c r="AO163" s="4" t="str">
        <f t="shared" si="96"/>
        <v>-</v>
      </c>
      <c r="AP163" s="4">
        <v>0</v>
      </c>
      <c r="AQ163" s="4" t="s">
        <v>373</v>
      </c>
      <c r="AR163" s="4"/>
      <c r="AS163" s="4"/>
      <c r="AT163" s="4" t="s">
        <v>374</v>
      </c>
      <c r="AU163" s="4">
        <v>800</v>
      </c>
      <c r="AV163" s="4">
        <f t="shared" si="97"/>
        <v>800</v>
      </c>
      <c r="AW163" s="18">
        <v>4</v>
      </c>
      <c r="AX163" s="18">
        <v>1</v>
      </c>
      <c r="AY163" s="16">
        <v>5</v>
      </c>
      <c r="AZ163">
        <v>764</v>
      </c>
      <c r="BA163">
        <f t="shared" si="98"/>
        <v>955</v>
      </c>
      <c r="BB163">
        <v>864</v>
      </c>
      <c r="BC163">
        <f t="shared" si="99"/>
        <v>1080</v>
      </c>
      <c r="BD163" t="s">
        <v>254</v>
      </c>
    </row>
  </sheetData>
  <autoFilter ref="A3:BD163" xr:uid="{7A1660CF-9003-4B2D-B659-7F339ED5B476}">
    <sortState xmlns:xlrd2="http://schemas.microsoft.com/office/spreadsheetml/2017/richdata2" ref="A4:BD163">
      <sortCondition ref="U4:U163"/>
    </sortState>
  </autoFilter>
  <mergeCells count="3">
    <mergeCell ref="L2:O2"/>
    <mergeCell ref="J2:K2"/>
    <mergeCell ref="S1:V1"/>
  </mergeCells>
  <phoneticPr fontId="2"/>
  <conditionalFormatting sqref="AD4:AD163">
    <cfRule type="cellIs" dxfId="2" priority="4" operator="greaterThan">
      <formula>$T4</formula>
    </cfRule>
  </conditionalFormatting>
  <conditionalFormatting sqref="AB4:AB163">
    <cfRule type="cellIs" dxfId="1" priority="2" operator="lessThan">
      <formula>$AD4</formula>
    </cfRule>
  </conditionalFormatting>
  <conditionalFormatting sqref="AE4:AE163">
    <cfRule type="cellIs" dxfId="0" priority="1" operator="less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滋樹 渡辺</cp:lastModifiedBy>
  <dcterms:created xsi:type="dcterms:W3CDTF">2022-07-07T00:08:53Z</dcterms:created>
  <dcterms:modified xsi:type="dcterms:W3CDTF">2026-06-05T07:24:55Z</dcterms:modified>
</cp:coreProperties>
</file>