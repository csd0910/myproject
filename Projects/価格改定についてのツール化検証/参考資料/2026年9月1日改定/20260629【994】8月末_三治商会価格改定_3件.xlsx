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ﾐ_三治商会_994\価格改定\20260629_8月末\"/>
    </mc:Choice>
  </mc:AlternateContent>
  <xr:revisionPtr revIDLastSave="0" documentId="13_ncr:1_{2E108C1B-4E48-4E68-BF09-3DE3C190548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J18" i="1" l="1"/>
  <c r="AH18" i="1" s="1"/>
  <c r="AR18" i="1"/>
  <c r="AC18" i="1"/>
  <c r="AS18" i="1" s="1"/>
  <c r="AA18" i="1"/>
  <c r="AQ18" i="1" s="1"/>
  <c r="P18" i="1"/>
  <c r="D18" i="1"/>
  <c r="F18" i="1" s="1"/>
  <c r="BJ17" i="1"/>
  <c r="AH17" i="1" s="1"/>
  <c r="AR17" i="1"/>
  <c r="AC17" i="1"/>
  <c r="AL17" i="1" s="1"/>
  <c r="AA17" i="1"/>
  <c r="AQ17" i="1" s="1"/>
  <c r="P17" i="1"/>
  <c r="D17" i="1"/>
  <c r="F17" i="1" s="1"/>
  <c r="BJ16" i="1"/>
  <c r="AH16" i="1" s="1"/>
  <c r="AR16" i="1"/>
  <c r="AC16" i="1"/>
  <c r="AM16" i="1" s="1"/>
  <c r="AA16" i="1"/>
  <c r="AQ16" i="1" s="1"/>
  <c r="P16" i="1"/>
  <c r="D16" i="1"/>
  <c r="F16" i="1" s="1"/>
  <c r="BJ15" i="1"/>
  <c r="AH15" i="1" s="1"/>
  <c r="AR15" i="1"/>
  <c r="AC15" i="1"/>
  <c r="AL15" i="1" s="1"/>
  <c r="AA15" i="1"/>
  <c r="AQ15" i="1" s="1"/>
  <c r="P15" i="1"/>
  <c r="D15" i="1"/>
  <c r="F15" i="1" s="1"/>
  <c r="BJ14" i="1"/>
  <c r="AH14" i="1" s="1"/>
  <c r="AR14" i="1"/>
  <c r="AC14" i="1"/>
  <c r="AS14" i="1" s="1"/>
  <c r="AA14" i="1"/>
  <c r="AQ14" i="1" s="1"/>
  <c r="P14" i="1"/>
  <c r="D14" i="1"/>
  <c r="F14" i="1" s="1"/>
  <c r="BJ13" i="1"/>
  <c r="AH13" i="1" s="1"/>
  <c r="AR13" i="1"/>
  <c r="AC13" i="1"/>
  <c r="AS13" i="1" s="1"/>
  <c r="BR13" i="1" s="1"/>
  <c r="AA13" i="1"/>
  <c r="AQ13" i="1" s="1"/>
  <c r="P13" i="1"/>
  <c r="D13" i="1"/>
  <c r="F13" i="1" s="1"/>
  <c r="BJ12" i="1"/>
  <c r="AR12" i="1"/>
  <c r="AH12" i="1"/>
  <c r="AC12" i="1"/>
  <c r="AM12" i="1" s="1"/>
  <c r="AA12" i="1"/>
  <c r="AQ12" i="1" s="1"/>
  <c r="P12" i="1"/>
  <c r="D12" i="1"/>
  <c r="F12" i="1" s="1"/>
  <c r="BJ11" i="1"/>
  <c r="AH11" i="1" s="1"/>
  <c r="AR11" i="1"/>
  <c r="AC11" i="1"/>
  <c r="AS11" i="1" s="1"/>
  <c r="AE11" i="1" s="1"/>
  <c r="AF11" i="1" s="1"/>
  <c r="AA11" i="1"/>
  <c r="AQ11" i="1" s="1"/>
  <c r="P11" i="1"/>
  <c r="D11" i="1"/>
  <c r="F11" i="1" s="1"/>
  <c r="BJ10" i="1"/>
  <c r="AH10" i="1" s="1"/>
  <c r="AR10" i="1"/>
  <c r="AC10" i="1"/>
  <c r="AS10" i="1" s="1"/>
  <c r="AA10" i="1"/>
  <c r="AQ10" i="1" s="1"/>
  <c r="P10" i="1"/>
  <c r="D10" i="1"/>
  <c r="F10" i="1" s="1"/>
  <c r="BJ9" i="1"/>
  <c r="AH9" i="1" s="1"/>
  <c r="AR9" i="1"/>
  <c r="AC9" i="1"/>
  <c r="AS9" i="1" s="1"/>
  <c r="BR9" i="1" s="1"/>
  <c r="AA9" i="1"/>
  <c r="AQ9" i="1" s="1"/>
  <c r="P9" i="1"/>
  <c r="D9" i="1"/>
  <c r="F9" i="1" s="1"/>
  <c r="BJ8" i="1"/>
  <c r="AH8" i="1" s="1"/>
  <c r="AR8" i="1"/>
  <c r="AC8" i="1"/>
  <c r="AM8" i="1" s="1"/>
  <c r="AA8" i="1"/>
  <c r="AQ8" i="1" s="1"/>
  <c r="P8" i="1"/>
  <c r="D8" i="1"/>
  <c r="F8" i="1" s="1"/>
  <c r="BJ7" i="1"/>
  <c r="AH7" i="1" s="1"/>
  <c r="AV7" i="1"/>
  <c r="AU7" i="1"/>
  <c r="AT7" i="1"/>
  <c r="AR7" i="1"/>
  <c r="AC7" i="1"/>
  <c r="AL7" i="1" s="1"/>
  <c r="AA7" i="1"/>
  <c r="AQ7" i="1" s="1"/>
  <c r="P7" i="1"/>
  <c r="D7" i="1"/>
  <c r="F7" i="1" s="1"/>
  <c r="AT4" i="1"/>
  <c r="AR6" i="1"/>
  <c r="P6" i="1"/>
  <c r="P5" i="1"/>
  <c r="AR5" i="1"/>
  <c r="AV4" i="1"/>
  <c r="AU4" i="1"/>
  <c r="AL13" i="1" l="1"/>
  <c r="AM13" i="1"/>
  <c r="AM17" i="1"/>
  <c r="AS15" i="1"/>
  <c r="AE15" i="1" s="1"/>
  <c r="AF15" i="1" s="1"/>
  <c r="AM7" i="1"/>
  <c r="AM15" i="1"/>
  <c r="AI13" i="1"/>
  <c r="AJ13" i="1" s="1"/>
  <c r="AM9" i="1"/>
  <c r="AL11" i="1"/>
  <c r="AI18" i="1"/>
  <c r="AJ18" i="1" s="1"/>
  <c r="AM11" i="1"/>
  <c r="AL18" i="1"/>
  <c r="AI9" i="1"/>
  <c r="AJ9" i="1" s="1"/>
  <c r="AL9" i="1"/>
  <c r="AI11" i="1"/>
  <c r="AJ11" i="1" s="1"/>
  <c r="BO10" i="1"/>
  <c r="AI10" i="1"/>
  <c r="AJ10" i="1" s="1"/>
  <c r="BR10" i="1"/>
  <c r="AE10" i="1"/>
  <c r="AF10" i="1" s="1"/>
  <c r="BR18" i="1"/>
  <c r="BO18" i="1"/>
  <c r="AE18" i="1"/>
  <c r="AF18" i="1" s="1"/>
  <c r="BO14" i="1"/>
  <c r="AI14" i="1"/>
  <c r="AJ14" i="1" s="1"/>
  <c r="AE14" i="1"/>
  <c r="AF14" i="1" s="1"/>
  <c r="BR14" i="1"/>
  <c r="AP7" i="1"/>
  <c r="AS8" i="1"/>
  <c r="AL10" i="1"/>
  <c r="BO11" i="1"/>
  <c r="AS12" i="1"/>
  <c r="AL14" i="1"/>
  <c r="AS16" i="1"/>
  <c r="AE9" i="1"/>
  <c r="AF9" i="1" s="1"/>
  <c r="AM10" i="1"/>
  <c r="BR11" i="1"/>
  <c r="AE13" i="1"/>
  <c r="AF13" i="1" s="1"/>
  <c r="AM14" i="1"/>
  <c r="AM18" i="1"/>
  <c r="AS17" i="1"/>
  <c r="AI17" i="1" s="1"/>
  <c r="AJ17" i="1" s="1"/>
  <c r="AL8" i="1"/>
  <c r="AO7" i="1"/>
  <c r="AS7" i="1"/>
  <c r="AI7" i="1" s="1"/>
  <c r="AJ7" i="1" s="1"/>
  <c r="BO9" i="1"/>
  <c r="AL12" i="1"/>
  <c r="BO13" i="1"/>
  <c r="AL16" i="1"/>
  <c r="P4" i="1"/>
  <c r="AR4" i="1"/>
  <c r="BO15" i="1" l="1"/>
  <c r="BR15" i="1"/>
  <c r="AI15" i="1"/>
  <c r="AJ15" i="1" s="1"/>
  <c r="BR12" i="1"/>
  <c r="BO12" i="1"/>
  <c r="AI12" i="1"/>
  <c r="AJ12" i="1" s="1"/>
  <c r="AE12" i="1"/>
  <c r="AF12" i="1" s="1"/>
  <c r="AE16" i="1"/>
  <c r="AF16" i="1" s="1"/>
  <c r="BR16" i="1"/>
  <c r="BO16" i="1"/>
  <c r="AI16" i="1"/>
  <c r="AJ16" i="1" s="1"/>
  <c r="BR8" i="1"/>
  <c r="AE8" i="1"/>
  <c r="AF8" i="1" s="1"/>
  <c r="BO8" i="1"/>
  <c r="AI8" i="1"/>
  <c r="AJ8" i="1" s="1"/>
  <c r="BR17" i="1"/>
  <c r="BO17" i="1"/>
  <c r="AE17" i="1"/>
  <c r="AF17" i="1" s="1"/>
  <c r="BR7" i="1"/>
  <c r="BO7" i="1"/>
  <c r="AE7" i="1"/>
  <c r="AF7" i="1" s="1"/>
  <c r="BJ5" i="1"/>
  <c r="AH5" i="1" s="1"/>
  <c r="BJ6" i="1"/>
  <c r="AH6" i="1" s="1"/>
  <c r="BJ4" i="1"/>
  <c r="AH4" i="1" s="1"/>
  <c r="AC5" i="1"/>
  <c r="AS5" i="1" s="1"/>
  <c r="AE5" i="1" s="1"/>
  <c r="AF5" i="1" s="1"/>
  <c r="AC6" i="1"/>
  <c r="AS6" i="1" s="1"/>
  <c r="AA5" i="1"/>
  <c r="AQ5" i="1" s="1"/>
  <c r="AA6" i="1"/>
  <c r="AQ6" i="1" s="1"/>
  <c r="D5" i="1"/>
  <c r="F5" i="1" s="1"/>
  <c r="D6" i="1"/>
  <c r="F6" i="1" s="1"/>
  <c r="D4" i="1"/>
  <c r="F4" i="1" s="1"/>
  <c r="AC4" i="1"/>
  <c r="AS4" i="1" s="1"/>
  <c r="AA4" i="1"/>
  <c r="AQ4" i="1" s="1"/>
  <c r="BO5" i="1" l="1"/>
  <c r="BR5" i="1"/>
  <c r="BO6" i="1"/>
  <c r="BR6" i="1"/>
  <c r="AI6" i="1"/>
  <c r="AJ6" i="1" s="1"/>
  <c r="AI5" i="1"/>
  <c r="AJ5" i="1" s="1"/>
  <c r="AI4" i="1"/>
  <c r="AJ4" i="1" s="1"/>
  <c r="BR4" i="1"/>
  <c r="BO4" i="1"/>
  <c r="AL5" i="1"/>
  <c r="AL4" i="1"/>
  <c r="AE6" i="1"/>
  <c r="AF6" i="1" s="1"/>
  <c r="AM6" i="1"/>
  <c r="AM5" i="1"/>
  <c r="AL6" i="1"/>
  <c r="AO4" i="1"/>
  <c r="AP4" i="1"/>
  <c r="AM4" i="1"/>
  <c r="AE4" i="1"/>
  <c r="AF4" i="1" s="1"/>
</calcChain>
</file>

<file path=xl/sharedStrings.xml><?xml version="1.0" encoding="utf-8"?>
<sst xmlns="http://schemas.openxmlformats.org/spreadsheetml/2006/main" count="225" uniqueCount="136">
  <si>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</si>
  <si>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</si>
  <si>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</si>
  <si>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</si>
  <si>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</si>
  <si>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</si>
  <si>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</si>
  <si>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</si>
  <si>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</si>
  <si>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</si>
  <si>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</si>
  <si>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</si>
  <si>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</si>
  <si>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</si>
  <si>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</si>
  <si>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</si>
  <si>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</si>
  <si>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</si>
  <si>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</si>
  <si>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</si>
  <si>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</si>
  <si>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</si>
  <si>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</si>
  <si>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</si>
  <si>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</si>
  <si>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</si>
  <si>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</si>
  <si>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</si>
  <si>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</si>
  <si>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</si>
  <si>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</si>
  <si>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</si>
  <si>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</si>
  <si>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</si>
  <si>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</si>
  <si>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</si>
  <si>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</si>
  <si>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</si>
  <si>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</si>
  <si>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</si>
  <si>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</si>
  <si>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</si>
  <si>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</si>
  <si>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</si>
  <si>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</si>
  <si>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</si>
  <si>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</si>
  <si>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</si>
  <si>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</si>
  <si>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</si>
  <si>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</si>
  <si>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</si>
  <si>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</si>
  <si>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</si>
  <si>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</si>
  <si>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</si>
  <si>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</si>
  <si>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</si>
  <si>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</si>
  <si>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</si>
  <si>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</si>
  <si>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</si>
  <si>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</si>
  <si>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</si>
  <si>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</si>
  <si>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</si>
  <si>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JV9353</t>
  </si>
  <si>
    <t>J4408W</t>
  </si>
  <si>
    <t>J4409W</t>
  </si>
  <si>
    <t>ﾗｲｸｲｯﾄ/積み重ねても中が見えるﾌﾀ付きﾎﾞｯｸｽ ｽﾘﾑ ﾎﾜｲﾄ</t>
  </si>
  <si>
    <t>ﾗｲｸｲｯﾄ/積み重ねても中が見えるﾌﾀ付きﾎﾞｯｸｽ ﾜｲﾄﾞ ﾎﾜｲﾄ</t>
  </si>
  <si>
    <t>ｻﾜﾌｼﾞ/ﾚｼﾞ袋ﾎﾙﾀﾞｰ 流し台扉用/RH-02W</t>
    <phoneticPr fontId="2"/>
  </si>
  <si>
    <t>-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</si>
  <si>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</si>
  <si>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</si>
  <si>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サワフジ レジ袋ホルダー 流し台扉用 423628 1個（直送品）</t>
  </si>
  <si>
    <t>AEX7652</t>
  </si>
  <si>
    <t>1個</t>
    <rPh sb="1" eb="2">
      <t>コ</t>
    </rPh>
    <phoneticPr fontId="2"/>
  </si>
  <si>
    <t>吉川国工業所 収納ボックス 積み重ねても中身が見える 幅39×奥行23×高さ15cm クリア 334593 1個（直送品）</t>
  </si>
  <si>
    <t>APJ7264</t>
  </si>
  <si>
    <t>品目+
FW荷姿</t>
    <rPh sb="0" eb="2">
      <t>ヒンモク</t>
    </rPh>
    <rPh sb="6" eb="8">
      <t>ニスガタ</t>
    </rPh>
    <phoneticPr fontId="2"/>
  </si>
  <si>
    <t>J92476</t>
  </si>
  <si>
    <t>ｵﾙﾃﾞｨ/ﾊﾞﾗﾝｽﾊﾟｯｸ ひも付 半透明 11号 200枚/BPN11H</t>
  </si>
  <si>
    <t>HN02669</t>
  </si>
  <si>
    <t>1個</t>
  </si>
  <si>
    <t>オルディ ゴミ袋 規格袋 11号 厚さ0.01mm 200枚入り 半透明 ひも付き バランスパック 234805 1個</t>
  </si>
  <si>
    <t>J92477</t>
  </si>
  <si>
    <t>ｵﾙﾃﾞｨ/ﾊﾞﾗﾝｽﾊﾟｯｸ ひも付 半透明 12号 200枚/BPN12H</t>
  </si>
  <si>
    <t>HN02606</t>
  </si>
  <si>
    <t>オルディ ゴミ袋 規格袋 12号 厚さ0.01mm 200枚入り 半透明 ひも付き バランスパック 216404 1個</t>
  </si>
  <si>
    <t>J92499</t>
  </si>
  <si>
    <t>ｵﾙﾃﾞｨ/ﾊﾞﾗﾝｽﾊﾟｯｸ 半透明 11号 200枚/BPN11</t>
  </si>
  <si>
    <t>XJ03039</t>
  </si>
  <si>
    <t>1箱(16000枚)</t>
  </si>
  <si>
    <t>王子アドバ バランスパック 11号 半透明 1ケース(200枚/冊×10冊×8パック) BPN11 1箱(16000枚)（直送品）</t>
  </si>
  <si>
    <t>J92500</t>
  </si>
  <si>
    <t>ｵﾙﾃﾞｨ/ﾊﾞﾗﾝｽﾊﾟｯｸ 半透明 12号 200枚/BPN12</t>
  </si>
  <si>
    <t>XJ03040</t>
  </si>
  <si>
    <t>1箱(12000枚)</t>
  </si>
  <si>
    <t>王子アドバ バランスパック 12号 半透明 1ケース(200枚/冊×10冊×6パック) BPN12 1箱(12000枚)（直送品）</t>
  </si>
  <si>
    <t>J92503</t>
  </si>
  <si>
    <t>ｵﾙﾃﾞｨ/ﾊﾞﾗﾝｽﾊﾟｯｸ 半透明 15号 200枚/BPN15</t>
  </si>
  <si>
    <t>XJ03043</t>
  </si>
  <si>
    <t>1箱(8000枚)</t>
  </si>
  <si>
    <t>王子アドバ バランスパック 15号 半透明 1ケース(200枚/冊×10冊×4パック) BPN15 1箱(8000枚) 61-6426-72（直送品）</t>
  </si>
  <si>
    <t>J92478</t>
  </si>
  <si>
    <t>ｵﾙﾃﾞｨ/ﾊﾞﾗﾝｽﾊﾟｯｸ ひも付 半透明 13号 200枚/BPN13H</t>
  </si>
  <si>
    <t>XJ03045</t>
  </si>
  <si>
    <t>王子アドバ バランスパック13号ひも付半透明 1ケース(200枚/冊×10冊×6パック) BPN13H 1箱(12000枚)（直送品）</t>
  </si>
  <si>
    <t>J92412</t>
  </si>
  <si>
    <t>ｵﾙﾃﾞｨ/ｴﾌﾟﾛﾝﾌﾞﾛｯｸ 手提げ袋 乳白 L 40号 100枚</t>
  </si>
  <si>
    <t>-</t>
  </si>
  <si>
    <t>J92410</t>
  </si>
  <si>
    <t>ｵﾙﾃﾞｨ/ｴﾌﾟﾛﾝﾌﾞﾛｯｸ 手提げ袋 乳白 2L 45号 100枚</t>
  </si>
  <si>
    <t>N661023</t>
  </si>
  <si>
    <t>1セット(600枚:100枚×6袋)</t>
  </si>
  <si>
    <t>オルディ ポリエチレン手提げ袋 0-9643-05 1セット(600枚:100枚×6袋)（直送品）</t>
  </si>
  <si>
    <t>J92411</t>
  </si>
  <si>
    <t>ｵﾙﾃﾞｨ/ｴﾌﾟﾛﾝﾌﾞﾛｯｸ 手提げ袋 乳白 3L 50号 100枚</t>
  </si>
  <si>
    <t>N657727</t>
  </si>
  <si>
    <t>1セット(400枚:100枚×4袋)</t>
  </si>
  <si>
    <t>オルディ ポリエチレン手提げ袋 0-9643-06 1セット(400枚:100枚×4袋)（直送品）</t>
  </si>
  <si>
    <t>J92646</t>
  </si>
  <si>
    <t>ｵﾙﾃﾞｨ/ﾎﾟﾘﾊﾞｯｸﾞ規格袋 透明 5号 100×190mm 100枚/L03</t>
  </si>
  <si>
    <t>HN02561</t>
  </si>
  <si>
    <t>オルディ ゴミ袋 規格袋 5号 厚さ0.03mm 100枚入り ポリバッグ 透明 188326 1個（直送品）</t>
  </si>
  <si>
    <t>J92648</t>
  </si>
  <si>
    <t>ｵﾙﾃﾞｨ/ﾎﾟﾘﾊﾞｯｸﾞ規格袋 透明 7号 120×230mm 100枚/L03</t>
  </si>
  <si>
    <t>HN02559</t>
  </si>
  <si>
    <t>オルディ ゴミ袋 規格袋 7号 厚さ0.03mm 100枚入り ポリバッグ 透明 188328 1個（直送品）</t>
  </si>
  <si>
    <t>5747AJ</t>
  </si>
  <si>
    <t>ｵﾙﾃﾞｨ/KESMELL 消臭袋 M ｸﾞﾚｰ 半透明 15枚入</t>
  </si>
  <si>
    <t>HE85496</t>
  </si>
  <si>
    <t>1セット(15冊)</t>
  </si>
  <si>
    <t>オルディ KESMELL消臭袋Mグレー半透明15P KS-SHGYMT-15 1セット(15冊)（直送品）</t>
  </si>
  <si>
    <t>7月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</si>
</sst>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</cellXfs>
  <cellStyles count="1">
    <cellStyle name="標準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S18"/>
  <sheetViews>
    <sheetView tabSelected="1" zoomScale="90" zoomScaleNormal="90" workbookViewId="0">
      <pane xSplit="8" ySplit="5" topLeftCell="M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70" width="7.625" customWidth="1"/>
  </cols>
  <sheetData>
    <row r="1" spans="1:71" x14ac:dyDescent="0.4">
      <c r="C1" s="29" t="s">
        <v>43</v>
      </c>
      <c r="Z1" s="43" t="s">
        <v>40</v>
      </c>
      <c r="AA1" s="44"/>
      <c r="AB1" s="44"/>
      <c r="AC1" s="45"/>
    </row>
    <row r="2" spans="1:71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0" t="s">
        <v>31</v>
      </c>
      <c r="L2" s="42"/>
      <c r="M2" s="40" t="s">
        <v>1</v>
      </c>
      <c r="N2" s="41"/>
      <c r="O2" s="41"/>
      <c r="P2" s="42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1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6" t="s">
        <v>80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64</v>
      </c>
      <c r="N3" s="2" t="s">
        <v>5</v>
      </c>
      <c r="O3" s="2" t="s">
        <v>62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60</v>
      </c>
      <c r="AA3" s="12" t="s">
        <v>61</v>
      </c>
      <c r="AB3" s="2" t="s">
        <v>62</v>
      </c>
      <c r="AC3" s="12" t="s">
        <v>63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65</v>
      </c>
      <c r="AI3" s="37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12" t="s">
        <v>57</v>
      </c>
      <c r="BI3" s="2" t="s">
        <v>57</v>
      </c>
      <c r="BJ3" s="2" t="s">
        <v>12</v>
      </c>
      <c r="BK3" s="18" t="s">
        <v>45</v>
      </c>
      <c r="BL3" s="18" t="s">
        <v>46</v>
      </c>
      <c r="BM3" s="15" t="s">
        <v>52</v>
      </c>
      <c r="BN3" s="38" t="s">
        <v>73</v>
      </c>
      <c r="BO3" s="39" t="s">
        <v>58</v>
      </c>
      <c r="BP3" s="39" t="s">
        <v>74</v>
      </c>
      <c r="BQ3" s="39" t="s">
        <v>135</v>
      </c>
      <c r="BR3" s="39" t="s">
        <v>59</v>
      </c>
      <c r="BS3" s="34" t="s">
        <v>50</v>
      </c>
    </row>
    <row r="4" spans="1:71" x14ac:dyDescent="0.4">
      <c r="A4" s="3">
        <v>1</v>
      </c>
      <c r="B4" s="3">
        <v>1</v>
      </c>
      <c r="C4" s="4" t="s">
        <v>66</v>
      </c>
      <c r="D4" s="4" t="str">
        <f>TEXT(C4,"000000")</f>
        <v>JV9353</v>
      </c>
      <c r="E4" s="4" t="s">
        <v>66</v>
      </c>
      <c r="F4" s="4" t="str">
        <f>D4&amp;I4</f>
        <v>JV93535</v>
      </c>
      <c r="G4" s="4" t="s">
        <v>71</v>
      </c>
      <c r="H4" s="5">
        <v>4973306390136</v>
      </c>
      <c r="I4" s="5">
        <v>5</v>
      </c>
      <c r="J4" s="5"/>
      <c r="K4" s="5">
        <v>1</v>
      </c>
      <c r="L4" s="5">
        <v>1</v>
      </c>
      <c r="M4" s="4">
        <v>0</v>
      </c>
      <c r="N4" s="4">
        <v>450</v>
      </c>
      <c r="O4" s="4">
        <v>283</v>
      </c>
      <c r="P4" s="6">
        <f>IFERROR(1-O4/N4,"-")</f>
        <v>0.37111111111111106</v>
      </c>
      <c r="Q4" s="4" t="s">
        <v>72</v>
      </c>
      <c r="R4" s="4"/>
      <c r="S4" s="4"/>
      <c r="T4" s="4"/>
      <c r="U4" s="4"/>
      <c r="V4" s="4"/>
      <c r="W4" s="4"/>
      <c r="X4" s="4"/>
      <c r="Y4" s="4"/>
      <c r="Z4" s="4">
        <v>0</v>
      </c>
      <c r="AA4" s="4">
        <f>IF(AD4="",Z4,Z4*AD4)</f>
        <v>0</v>
      </c>
      <c r="AB4" s="4">
        <v>320</v>
      </c>
      <c r="AC4" s="4">
        <f>IF(AD4="",AB4,AB4*AD4)</f>
        <v>320</v>
      </c>
      <c r="AD4" s="4"/>
      <c r="AE4" s="21">
        <f t="shared" ref="AE4:AE18" si="0">ROUND(N4*AS4,0)</f>
        <v>509</v>
      </c>
      <c r="AF4" s="6">
        <f>IFERROR(1-AC4/AE4,"-")</f>
        <v>0.37131630648330061</v>
      </c>
      <c r="AG4" s="33">
        <v>0.75</v>
      </c>
      <c r="AH4" s="4">
        <f>BJ4</f>
        <v>477</v>
      </c>
      <c r="AI4" s="33">
        <f>IFERROR(AH4*AS4,"-")</f>
        <v>539.36395759717311</v>
      </c>
      <c r="AJ4" s="6">
        <f>IFERROR(1-AC4/AI4,"-")</f>
        <v>0.40670859538784065</v>
      </c>
      <c r="AK4" s="7">
        <v>510</v>
      </c>
      <c r="AL4" s="6">
        <f t="shared" ref="AL4:AL18" si="1">1-AC4/AK4</f>
        <v>0.37254901960784315</v>
      </c>
      <c r="AM4" s="4">
        <f t="shared" ref="AM4:AM18" si="2">AK4-AC4</f>
        <v>190</v>
      </c>
      <c r="AN4" s="28"/>
      <c r="AO4" s="6" t="e">
        <f>1-AC4/AN4</f>
        <v>#DIV/0!</v>
      </c>
      <c r="AP4" s="4">
        <f>AN4-AC4</f>
        <v>-320</v>
      </c>
      <c r="AQ4" s="6" t="str">
        <f>IFERROR(AA4/M4,"-")</f>
        <v>-</v>
      </c>
      <c r="AR4" s="6">
        <f>IFERROR(AK4/N4,"-")</f>
        <v>1.1333333333333333</v>
      </c>
      <c r="AS4" s="6">
        <f>IFERROR(AC4/O4,"-")</f>
        <v>1.1307420494699647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76</v>
      </c>
      <c r="BE4" s="4"/>
      <c r="BF4" s="4"/>
      <c r="BG4" s="4" t="s">
        <v>77</v>
      </c>
      <c r="BH4" s="4">
        <v>477</v>
      </c>
      <c r="BI4" s="4">
        <v>477</v>
      </c>
      <c r="BJ4" s="4">
        <f t="shared" ref="BJ4:BJ5" si="3">IF(BE4="",BI4,BE4/BF4*BI4)</f>
        <v>477</v>
      </c>
      <c r="BK4" s="19">
        <v>4</v>
      </c>
      <c r="BL4" s="19">
        <v>8</v>
      </c>
      <c r="BM4" s="16">
        <v>18</v>
      </c>
      <c r="BN4" t="s">
        <v>72</v>
      </c>
      <c r="BO4" t="str">
        <f>IFERROR(BN4*AS4,"-")</f>
        <v>-</v>
      </c>
      <c r="BP4">
        <v>490</v>
      </c>
      <c r="BQ4">
        <v>490</v>
      </c>
      <c r="BR4">
        <f>IFERROR(BQ4*AS4,"-")</f>
        <v>554.06360424028276</v>
      </c>
      <c r="BS4" t="s">
        <v>75</v>
      </c>
    </row>
    <row r="5" spans="1:71" x14ac:dyDescent="0.4">
      <c r="A5" s="3">
        <v>2</v>
      </c>
      <c r="B5" s="3">
        <v>2</v>
      </c>
      <c r="C5" s="4" t="s">
        <v>67</v>
      </c>
      <c r="D5" s="4" t="str">
        <f t="shared" ref="D5:D6" si="4">TEXT(C5,"000000")</f>
        <v>J4408W</v>
      </c>
      <c r="E5" s="4" t="s">
        <v>67</v>
      </c>
      <c r="F5" s="4" t="str">
        <f t="shared" ref="F5:F6" si="5">D5&amp;I5</f>
        <v>J4408W5</v>
      </c>
      <c r="G5" s="4" t="s">
        <v>69</v>
      </c>
      <c r="H5" s="5">
        <v>4979625227016</v>
      </c>
      <c r="I5" s="5">
        <v>5</v>
      </c>
      <c r="J5" s="5"/>
      <c r="K5" s="5">
        <v>1</v>
      </c>
      <c r="L5" s="5">
        <v>1</v>
      </c>
      <c r="M5" s="4">
        <v>900</v>
      </c>
      <c r="N5" s="4">
        <v>724</v>
      </c>
      <c r="O5" s="4">
        <v>495</v>
      </c>
      <c r="P5" s="6">
        <f t="shared" ref="P5:P6" si="6">IFERROR(1-O5/N5,"-")</f>
        <v>0.31629834254143652</v>
      </c>
      <c r="Q5" s="4" t="s">
        <v>72</v>
      </c>
      <c r="R5" s="4"/>
      <c r="S5" s="4"/>
      <c r="T5" s="4"/>
      <c r="U5" s="4"/>
      <c r="V5" s="4"/>
      <c r="W5" s="4"/>
      <c r="X5" s="4"/>
      <c r="Y5" s="4"/>
      <c r="Z5" s="4">
        <v>1150</v>
      </c>
      <c r="AA5" s="4">
        <f t="shared" ref="AA5:AA6" si="7">IF(AD5="",Z5,Z5*AD5)</f>
        <v>1150</v>
      </c>
      <c r="AB5" s="4">
        <v>633</v>
      </c>
      <c r="AC5" s="4">
        <f t="shared" ref="AC5:AC6" si="8">IF(AD5="",AB5,AB5*AD5)</f>
        <v>633</v>
      </c>
      <c r="AD5" s="4"/>
      <c r="AE5" s="21">
        <f t="shared" si="0"/>
        <v>926</v>
      </c>
      <c r="AF5" s="6">
        <f t="shared" ref="AF5:AF6" si="9">IFERROR(1-AC5/AE5,"-")</f>
        <v>0.31641468682505403</v>
      </c>
      <c r="AG5" s="33">
        <v>0.25</v>
      </c>
      <c r="AH5" s="4" t="str">
        <f t="shared" ref="AH5:AH6" si="10">BJ5</f>
        <v>-</v>
      </c>
      <c r="AI5" s="33" t="str">
        <f t="shared" ref="AI5:AI6" si="11">IFERROR(AH5*AS5,"-")</f>
        <v>-</v>
      </c>
      <c r="AJ5" s="6" t="str">
        <f t="shared" ref="AJ5:AJ6" si="12">IFERROR(1-AC5/AI5,"-")</f>
        <v>-</v>
      </c>
      <c r="AK5" s="7">
        <v>980</v>
      </c>
      <c r="AL5" s="6">
        <f t="shared" si="1"/>
        <v>0.35408163265306125</v>
      </c>
      <c r="AM5" s="4">
        <f t="shared" si="2"/>
        <v>347</v>
      </c>
      <c r="AN5" s="28"/>
      <c r="AO5" s="6"/>
      <c r="AP5" s="6"/>
      <c r="AQ5" s="6">
        <f t="shared" ref="AQ5:AQ6" si="13">IFERROR(AA5/M5,"-")</f>
        <v>1.2777777777777777</v>
      </c>
      <c r="AR5" s="6">
        <f t="shared" ref="AR5:AR6" si="14">IFERROR(AK5/N5,"-")</f>
        <v>1.3535911602209945</v>
      </c>
      <c r="AS5" s="6">
        <f t="shared" ref="AS5:AS6" si="15">IFERROR(AC5/O5,"-")</f>
        <v>1.2787878787878788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72</v>
      </c>
      <c r="BE5" s="4"/>
      <c r="BF5" s="4"/>
      <c r="BG5" s="4" t="s">
        <v>72</v>
      </c>
      <c r="BH5" s="4" t="s">
        <v>111</v>
      </c>
      <c r="BI5" s="4" t="s">
        <v>72</v>
      </c>
      <c r="BJ5" s="4" t="str">
        <f t="shared" si="3"/>
        <v>-</v>
      </c>
      <c r="BK5" s="19">
        <v>4</v>
      </c>
      <c r="BL5" s="19">
        <v>8</v>
      </c>
      <c r="BM5" s="16">
        <v>6</v>
      </c>
      <c r="BN5" t="s">
        <v>72</v>
      </c>
      <c r="BO5" t="str">
        <f t="shared" ref="BO5:BO6" si="16">IFERROR(BN5*AS5,"-")</f>
        <v>-</v>
      </c>
      <c r="BP5" t="s">
        <v>111</v>
      </c>
      <c r="BQ5" t="s">
        <v>72</v>
      </c>
      <c r="BR5" t="str">
        <f>IFERROR(BQ5*AS5,"-")</f>
        <v>-</v>
      </c>
      <c r="BS5" t="s">
        <v>72</v>
      </c>
    </row>
    <row r="6" spans="1:71" x14ac:dyDescent="0.4">
      <c r="A6" s="3">
        <v>3</v>
      </c>
      <c r="B6" s="3">
        <v>3</v>
      </c>
      <c r="C6" s="17" t="s">
        <v>68</v>
      </c>
      <c r="D6" s="4" t="str">
        <f t="shared" si="4"/>
        <v>J4409W</v>
      </c>
      <c r="E6" s="4" t="s">
        <v>68</v>
      </c>
      <c r="F6" s="4" t="str">
        <f t="shared" si="5"/>
        <v>J4409W5</v>
      </c>
      <c r="G6" s="4" t="s">
        <v>70</v>
      </c>
      <c r="H6" s="5">
        <v>4979625227023</v>
      </c>
      <c r="I6" s="5">
        <v>5</v>
      </c>
      <c r="J6" s="5"/>
      <c r="K6" s="5">
        <v>1</v>
      </c>
      <c r="L6" s="5">
        <v>1</v>
      </c>
      <c r="M6" s="4">
        <v>900</v>
      </c>
      <c r="N6" s="4">
        <v>785</v>
      </c>
      <c r="O6" s="4">
        <v>495</v>
      </c>
      <c r="P6" s="6">
        <f t="shared" si="6"/>
        <v>0.36942675159235672</v>
      </c>
      <c r="Q6" s="4" t="s">
        <v>72</v>
      </c>
      <c r="R6" s="4"/>
      <c r="S6" s="4"/>
      <c r="T6" s="4"/>
      <c r="U6" s="4"/>
      <c r="V6" s="4"/>
      <c r="W6" s="4"/>
      <c r="X6" s="4"/>
      <c r="Y6" s="4"/>
      <c r="Z6" s="4">
        <v>1150</v>
      </c>
      <c r="AA6" s="4">
        <f t="shared" si="7"/>
        <v>1150</v>
      </c>
      <c r="AB6" s="4">
        <v>633</v>
      </c>
      <c r="AC6" s="4">
        <f t="shared" si="8"/>
        <v>633</v>
      </c>
      <c r="AD6" s="4"/>
      <c r="AE6" s="21">
        <f t="shared" si="0"/>
        <v>1004</v>
      </c>
      <c r="AF6" s="6">
        <f t="shared" si="9"/>
        <v>0.36952191235059761</v>
      </c>
      <c r="AG6" s="33">
        <v>0.25</v>
      </c>
      <c r="AH6" s="4">
        <f t="shared" si="10"/>
        <v>813</v>
      </c>
      <c r="AI6" s="33">
        <f t="shared" si="11"/>
        <v>1039.6545454545455</v>
      </c>
      <c r="AJ6" s="6">
        <f t="shared" si="12"/>
        <v>0.39114391143911442</v>
      </c>
      <c r="AK6" s="7">
        <v>1000</v>
      </c>
      <c r="AL6" s="6">
        <f t="shared" si="1"/>
        <v>0.36699999999999999</v>
      </c>
      <c r="AM6" s="4">
        <f t="shared" si="2"/>
        <v>367</v>
      </c>
      <c r="AN6" s="28"/>
      <c r="AO6" s="6"/>
      <c r="AP6" s="6"/>
      <c r="AQ6" s="6">
        <f t="shared" si="13"/>
        <v>1.2777777777777777</v>
      </c>
      <c r="AR6" s="6">
        <f t="shared" si="14"/>
        <v>1.2738853503184713</v>
      </c>
      <c r="AS6" s="6">
        <f t="shared" si="15"/>
        <v>1.2787878787878788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79</v>
      </c>
      <c r="BE6" s="4"/>
      <c r="BF6" s="4"/>
      <c r="BG6" s="4" t="s">
        <v>77</v>
      </c>
      <c r="BH6" s="4">
        <v>813</v>
      </c>
      <c r="BI6" s="4">
        <v>813</v>
      </c>
      <c r="BJ6" s="4">
        <f t="shared" ref="BJ6:BJ18" si="17">IF(BE6="",BI6,BE6/BF6*BI6)</f>
        <v>813</v>
      </c>
      <c r="BK6" s="19">
        <v>4</v>
      </c>
      <c r="BL6" s="19">
        <v>8</v>
      </c>
      <c r="BM6" s="16">
        <v>6</v>
      </c>
      <c r="BN6" t="s">
        <v>72</v>
      </c>
      <c r="BO6" t="str">
        <f t="shared" si="16"/>
        <v>-</v>
      </c>
      <c r="BP6" t="s">
        <v>111</v>
      </c>
      <c r="BQ6" t="s">
        <v>72</v>
      </c>
      <c r="BR6" t="str">
        <f>IFERROR(BQ6*AS6,"-")</f>
        <v>-</v>
      </c>
      <c r="BS6" t="s">
        <v>78</v>
      </c>
    </row>
    <row r="7" spans="1:71" x14ac:dyDescent="0.4">
      <c r="A7" s="3">
        <v>1</v>
      </c>
      <c r="B7" s="3">
        <v>1</v>
      </c>
      <c r="C7" s="4" t="s">
        <v>81</v>
      </c>
      <c r="D7" s="4" t="str">
        <f>TEXT(C7,"000000")</f>
        <v>J92476</v>
      </c>
      <c r="E7" s="4" t="s">
        <v>81</v>
      </c>
      <c r="F7" s="4" t="str">
        <f>D7&amp;I7</f>
        <v>J924765</v>
      </c>
      <c r="G7" s="4" t="s">
        <v>82</v>
      </c>
      <c r="H7" s="5">
        <v>4562121171312</v>
      </c>
      <c r="I7" s="4">
        <v>5</v>
      </c>
      <c r="J7" s="5"/>
      <c r="K7" s="5">
        <v>1</v>
      </c>
      <c r="L7" s="5">
        <v>1</v>
      </c>
      <c r="M7" s="4">
        <v>0</v>
      </c>
      <c r="N7" s="4">
        <v>201</v>
      </c>
      <c r="O7" s="4">
        <v>135</v>
      </c>
      <c r="P7" s="6">
        <f>IFERROR(1-O7/N7,"-")</f>
        <v>0.32835820895522383</v>
      </c>
      <c r="Q7" s="4" t="s">
        <v>72</v>
      </c>
      <c r="R7" s="4"/>
      <c r="S7" s="4"/>
      <c r="T7" s="4"/>
      <c r="U7" s="4"/>
      <c r="V7" s="4"/>
      <c r="W7" s="4"/>
      <c r="X7" s="4"/>
      <c r="Y7" s="4"/>
      <c r="Z7" s="4">
        <v>0</v>
      </c>
      <c r="AA7" s="4">
        <f>IF(AD7="",Z7,Z7*AD7)</f>
        <v>0</v>
      </c>
      <c r="AB7" s="4">
        <v>178</v>
      </c>
      <c r="AC7" s="4">
        <f>IF(AD7="",AB7,AB7*AD7)</f>
        <v>178</v>
      </c>
      <c r="AD7" s="4"/>
      <c r="AE7" s="21">
        <f t="shared" si="0"/>
        <v>265</v>
      </c>
      <c r="AF7" s="6">
        <f>IFERROR(1-AC7/AE7,"-")</f>
        <v>0.32830188679245287</v>
      </c>
      <c r="AG7" s="4">
        <v>19.25</v>
      </c>
      <c r="AH7" s="4">
        <f>BJ7</f>
        <v>220</v>
      </c>
      <c r="AI7" s="4">
        <f>IFERROR(AH7*AS7,"-")</f>
        <v>290.07407407407408</v>
      </c>
      <c r="AJ7" s="6">
        <f>IFERROR(1-AC7/AI7,"-")</f>
        <v>0.38636363636363635</v>
      </c>
      <c r="AK7" s="7">
        <v>280</v>
      </c>
      <c r="AL7" s="6">
        <f t="shared" si="1"/>
        <v>0.36428571428571432</v>
      </c>
      <c r="AM7" s="4">
        <f t="shared" si="2"/>
        <v>102</v>
      </c>
      <c r="AN7" s="28"/>
      <c r="AO7" s="6" t="e">
        <f>1-AC7/AN7</f>
        <v>#DIV/0!</v>
      </c>
      <c r="AP7" s="4">
        <f>AN7-AC7</f>
        <v>-178</v>
      </c>
      <c r="AQ7" s="6" t="str">
        <f>IFERROR(AA7/M7,"-")</f>
        <v>-</v>
      </c>
      <c r="AR7" s="6">
        <f>IFERROR(AK7/N7,"-")</f>
        <v>1.3930348258706469</v>
      </c>
      <c r="AS7" s="6">
        <f>IFERROR(AC7/O7,"-")</f>
        <v>1.3185185185185184</v>
      </c>
      <c r="AT7" s="4" t="str">
        <f>IFERROR(ROUND($AK7*Q7/$N7,0),"-")</f>
        <v>-</v>
      </c>
      <c r="AU7" s="4" t="str">
        <f>IF(R7="","-",R7)</f>
        <v>-</v>
      </c>
      <c r="AV7" s="4" t="str">
        <f>IF(S7="","-",S7)</f>
        <v>-</v>
      </c>
      <c r="AW7" s="4"/>
      <c r="AX7" s="4"/>
      <c r="AY7" s="4"/>
      <c r="AZ7" s="4"/>
      <c r="BA7" s="4"/>
      <c r="BB7" s="4"/>
      <c r="BC7" s="4">
        <v>0</v>
      </c>
      <c r="BD7" s="4" t="s">
        <v>83</v>
      </c>
      <c r="BE7" s="4"/>
      <c r="BF7" s="4"/>
      <c r="BG7" s="4" t="s">
        <v>84</v>
      </c>
      <c r="BH7" s="4"/>
      <c r="BI7" s="4">
        <v>220</v>
      </c>
      <c r="BJ7" s="4">
        <f t="shared" si="17"/>
        <v>220</v>
      </c>
      <c r="BK7" s="19">
        <v>4</v>
      </c>
      <c r="BL7" s="19">
        <v>1</v>
      </c>
      <c r="BM7" s="16">
        <v>18</v>
      </c>
      <c r="BN7" t="s">
        <v>72</v>
      </c>
      <c r="BO7" t="str">
        <f>IFERROR(BN7*AS7,"-")</f>
        <v>-</v>
      </c>
      <c r="BP7" t="s">
        <v>111</v>
      </c>
      <c r="BQ7">
        <v>464</v>
      </c>
      <c r="BR7">
        <f>IFERROR(BQ7*AS7,"-")</f>
        <v>611.79259259259254</v>
      </c>
      <c r="BS7" t="s">
        <v>85</v>
      </c>
    </row>
    <row r="8" spans="1:71" x14ac:dyDescent="0.4">
      <c r="A8" s="3">
        <v>2</v>
      </c>
      <c r="B8" s="3">
        <v>2</v>
      </c>
      <c r="C8" s="4" t="s">
        <v>86</v>
      </c>
      <c r="D8" s="4" t="str">
        <f t="shared" ref="D8:D18" si="18">TEXT(C8,"000000")</f>
        <v>J92477</v>
      </c>
      <c r="E8" s="4" t="s">
        <v>86</v>
      </c>
      <c r="F8" s="4" t="str">
        <f t="shared" ref="F8:F18" si="19">D8&amp;I8</f>
        <v>J924775</v>
      </c>
      <c r="G8" s="4" t="s">
        <v>87</v>
      </c>
      <c r="H8" s="5">
        <v>4562121171329</v>
      </c>
      <c r="I8" s="4">
        <v>5</v>
      </c>
      <c r="J8" s="5"/>
      <c r="K8" s="5">
        <v>1</v>
      </c>
      <c r="L8" s="5">
        <v>1</v>
      </c>
      <c r="M8" s="4">
        <v>0</v>
      </c>
      <c r="N8" s="4">
        <v>251</v>
      </c>
      <c r="O8" s="4">
        <v>174</v>
      </c>
      <c r="P8" s="6">
        <f t="shared" ref="P8:P18" si="20">IFERROR(1-O8/N8,"-")</f>
        <v>0.30677290836653381</v>
      </c>
      <c r="Q8" s="4" t="s">
        <v>72</v>
      </c>
      <c r="R8" s="4"/>
      <c r="S8" s="4"/>
      <c r="T8" s="4"/>
      <c r="U8" s="4"/>
      <c r="V8" s="4"/>
      <c r="W8" s="4"/>
      <c r="X8" s="4"/>
      <c r="Y8" s="4"/>
      <c r="Z8" s="4">
        <v>0</v>
      </c>
      <c r="AA8" s="4">
        <f t="shared" ref="AA8:AA18" si="21">IF(AD8="",Z8,Z8*AD8)</f>
        <v>0</v>
      </c>
      <c r="AB8" s="4">
        <v>228</v>
      </c>
      <c r="AC8" s="4">
        <f t="shared" ref="AC8:AC18" si="22">IF(AD8="",AB8,AB8*AD8)</f>
        <v>228</v>
      </c>
      <c r="AD8" s="4"/>
      <c r="AE8" s="21">
        <f t="shared" si="0"/>
        <v>329</v>
      </c>
      <c r="AF8" s="6">
        <f t="shared" ref="AF8:AF18" si="23">IFERROR(1-AC8/AE8,"-")</f>
        <v>0.30699088145896658</v>
      </c>
      <c r="AG8" s="4">
        <v>28.999999999999996</v>
      </c>
      <c r="AH8" s="4">
        <f t="shared" ref="AH8:AH18" si="24">BJ8</f>
        <v>328</v>
      </c>
      <c r="AI8" s="4">
        <f t="shared" ref="AI8:AI18" si="25">IFERROR(AH8*AS8,"-")</f>
        <v>429.79310344827587</v>
      </c>
      <c r="AJ8" s="6">
        <f t="shared" ref="AJ8:AJ18" si="26">IFERROR(1-AC8/AI8,"-")</f>
        <v>0.46951219512195119</v>
      </c>
      <c r="AK8" s="7">
        <v>350</v>
      </c>
      <c r="AL8" s="6">
        <f t="shared" si="1"/>
        <v>0.34857142857142853</v>
      </c>
      <c r="AM8" s="4">
        <f t="shared" si="2"/>
        <v>122</v>
      </c>
      <c r="AN8" s="28"/>
      <c r="AO8" s="6"/>
      <c r="AP8" s="6"/>
      <c r="AQ8" s="6" t="str">
        <f t="shared" ref="AQ8:AQ18" si="27">IFERROR(AA8/M8,"-")</f>
        <v>-</v>
      </c>
      <c r="AR8" s="6">
        <f t="shared" ref="AR8:AR18" si="28">IFERROR(AK8/N8,"-")</f>
        <v>1.3944223107569722</v>
      </c>
      <c r="AS8" s="6">
        <f t="shared" ref="AS8:AS18" si="29">IFERROR(AC8/O8,"-")</f>
        <v>1.3103448275862069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88</v>
      </c>
      <c r="BE8" s="4"/>
      <c r="BF8" s="4"/>
      <c r="BG8" s="4" t="s">
        <v>84</v>
      </c>
      <c r="BH8" s="4"/>
      <c r="BI8" s="4">
        <v>328</v>
      </c>
      <c r="BJ8" s="4">
        <f t="shared" si="17"/>
        <v>328</v>
      </c>
      <c r="BK8" s="19">
        <v>4</v>
      </c>
      <c r="BL8" s="19">
        <v>1</v>
      </c>
      <c r="BM8" s="16">
        <v>18</v>
      </c>
      <c r="BN8" t="s">
        <v>72</v>
      </c>
      <c r="BO8" t="str">
        <f t="shared" ref="BO8:BO18" si="30">IFERROR(BN8*AS8,"-")</f>
        <v>-</v>
      </c>
      <c r="BP8" t="s">
        <v>111</v>
      </c>
      <c r="BQ8">
        <v>594</v>
      </c>
      <c r="BR8">
        <f>IFERROR(BQ8*AS8,"-")</f>
        <v>778.34482758620686</v>
      </c>
      <c r="BS8" t="s">
        <v>89</v>
      </c>
    </row>
    <row r="9" spans="1:71" x14ac:dyDescent="0.4">
      <c r="A9" s="3">
        <v>3</v>
      </c>
      <c r="B9" s="3">
        <v>3</v>
      </c>
      <c r="C9" s="17" t="s">
        <v>90</v>
      </c>
      <c r="D9" s="4" t="str">
        <f t="shared" si="18"/>
        <v>J92499</v>
      </c>
      <c r="E9" s="4" t="s">
        <v>90</v>
      </c>
      <c r="F9" s="4" t="str">
        <f t="shared" si="19"/>
        <v>J924995</v>
      </c>
      <c r="G9" s="4" t="s">
        <v>91</v>
      </c>
      <c r="H9" s="5">
        <v>4562121174863</v>
      </c>
      <c r="I9" s="4">
        <v>5</v>
      </c>
      <c r="J9" s="5"/>
      <c r="K9" s="5">
        <v>1</v>
      </c>
      <c r="L9" s="5">
        <v>1</v>
      </c>
      <c r="M9" s="4">
        <v>0</v>
      </c>
      <c r="N9" s="4">
        <v>190</v>
      </c>
      <c r="O9" s="4">
        <v>129</v>
      </c>
      <c r="P9" s="6">
        <f t="shared" si="20"/>
        <v>0.32105263157894737</v>
      </c>
      <c r="Q9" s="4" t="s">
        <v>72</v>
      </c>
      <c r="R9" s="4"/>
      <c r="S9" s="4"/>
      <c r="T9" s="4"/>
      <c r="U9" s="4"/>
      <c r="V9" s="4"/>
      <c r="W9" s="4"/>
      <c r="X9" s="4"/>
      <c r="Y9" s="4"/>
      <c r="Z9" s="4">
        <v>0</v>
      </c>
      <c r="AA9" s="4">
        <f t="shared" si="21"/>
        <v>0</v>
      </c>
      <c r="AB9" s="4">
        <v>170</v>
      </c>
      <c r="AC9" s="4">
        <f t="shared" si="22"/>
        <v>170</v>
      </c>
      <c r="AD9" s="4"/>
      <c r="AE9" s="21">
        <f t="shared" si="0"/>
        <v>250</v>
      </c>
      <c r="AF9" s="6">
        <f t="shared" si="23"/>
        <v>0.31999999999999995</v>
      </c>
      <c r="AG9" s="4">
        <v>13.25</v>
      </c>
      <c r="AH9" s="4">
        <f t="shared" si="24"/>
        <v>243.77500000000001</v>
      </c>
      <c r="AI9" s="4">
        <f t="shared" si="25"/>
        <v>321.25387596899225</v>
      </c>
      <c r="AJ9" s="6">
        <f t="shared" si="26"/>
        <v>0.47082350528150962</v>
      </c>
      <c r="AK9" s="7">
        <v>260</v>
      </c>
      <c r="AL9" s="6">
        <f t="shared" si="1"/>
        <v>0.34615384615384615</v>
      </c>
      <c r="AM9" s="4">
        <f t="shared" si="2"/>
        <v>90</v>
      </c>
      <c r="AN9" s="28"/>
      <c r="AO9" s="6"/>
      <c r="AP9" s="6"/>
      <c r="AQ9" s="6" t="str">
        <f t="shared" si="27"/>
        <v>-</v>
      </c>
      <c r="AR9" s="6">
        <f t="shared" si="28"/>
        <v>1.368421052631579</v>
      </c>
      <c r="AS9" s="6">
        <f t="shared" si="29"/>
        <v>1.317829457364341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92</v>
      </c>
      <c r="BE9" s="4">
        <v>200</v>
      </c>
      <c r="BF9" s="4">
        <v>16000</v>
      </c>
      <c r="BG9" s="4" t="s">
        <v>93</v>
      </c>
      <c r="BH9" s="4"/>
      <c r="BI9" s="4">
        <v>19502</v>
      </c>
      <c r="BJ9" s="4">
        <f t="shared" si="17"/>
        <v>243.77500000000001</v>
      </c>
      <c r="BK9" s="19">
        <v>4</v>
      </c>
      <c r="BL9" s="19">
        <v>1</v>
      </c>
      <c r="BM9" s="16">
        <v>18</v>
      </c>
      <c r="BN9" t="s">
        <v>72</v>
      </c>
      <c r="BO9" t="str">
        <f t="shared" si="30"/>
        <v>-</v>
      </c>
      <c r="BP9" t="s">
        <v>111</v>
      </c>
      <c r="BQ9">
        <v>428</v>
      </c>
      <c r="BR9">
        <f>IFERROR(BQ9*AS9,"-")</f>
        <v>564.03100775193798</v>
      </c>
      <c r="BS9" t="s">
        <v>94</v>
      </c>
    </row>
    <row r="10" spans="1:71" x14ac:dyDescent="0.4">
      <c r="A10" s="3">
        <v>4</v>
      </c>
      <c r="B10" s="3">
        <v>4</v>
      </c>
      <c r="C10" s="17" t="s">
        <v>95</v>
      </c>
      <c r="D10" s="4" t="str">
        <f t="shared" si="18"/>
        <v>J92500</v>
      </c>
      <c r="E10" s="4" t="s">
        <v>95</v>
      </c>
      <c r="F10" s="4" t="str">
        <f t="shared" si="19"/>
        <v>J925005</v>
      </c>
      <c r="G10" s="4" t="s">
        <v>96</v>
      </c>
      <c r="H10" s="5">
        <v>4562121174870</v>
      </c>
      <c r="I10" s="4">
        <v>5</v>
      </c>
      <c r="J10" s="5"/>
      <c r="K10" s="5">
        <v>1</v>
      </c>
      <c r="L10" s="5">
        <v>1</v>
      </c>
      <c r="M10" s="4">
        <v>0</v>
      </c>
      <c r="N10" s="4">
        <v>240</v>
      </c>
      <c r="O10" s="4">
        <v>169</v>
      </c>
      <c r="P10" s="6">
        <f t="shared" si="20"/>
        <v>0.29583333333333328</v>
      </c>
      <c r="Q10" s="4" t="s">
        <v>72</v>
      </c>
      <c r="R10" s="4"/>
      <c r="S10" s="4"/>
      <c r="T10" s="4"/>
      <c r="U10" s="4"/>
      <c r="V10" s="4"/>
      <c r="W10" s="4"/>
      <c r="X10" s="4"/>
      <c r="Y10" s="4"/>
      <c r="Z10" s="4">
        <v>0</v>
      </c>
      <c r="AA10" s="4">
        <f t="shared" si="21"/>
        <v>0</v>
      </c>
      <c r="AB10" s="4">
        <v>221</v>
      </c>
      <c r="AC10" s="4">
        <f t="shared" si="22"/>
        <v>221</v>
      </c>
      <c r="AD10" s="4"/>
      <c r="AE10" s="21">
        <f t="shared" si="0"/>
        <v>314</v>
      </c>
      <c r="AF10" s="6">
        <f t="shared" si="23"/>
        <v>0.29617834394904463</v>
      </c>
      <c r="AG10" s="4">
        <v>26.5</v>
      </c>
      <c r="AH10" s="4">
        <f t="shared" si="24"/>
        <v>325.0333333333333</v>
      </c>
      <c r="AI10" s="4">
        <f t="shared" si="25"/>
        <v>425.04358974358973</v>
      </c>
      <c r="AJ10" s="6">
        <f t="shared" si="26"/>
        <v>0.48005332786380883</v>
      </c>
      <c r="AK10" s="7">
        <v>340</v>
      </c>
      <c r="AL10" s="6">
        <f t="shared" si="1"/>
        <v>0.35</v>
      </c>
      <c r="AM10" s="4">
        <f t="shared" si="2"/>
        <v>119</v>
      </c>
      <c r="AN10" s="28"/>
      <c r="AO10" s="6"/>
      <c r="AP10" s="6"/>
      <c r="AQ10" s="6" t="str">
        <f t="shared" si="27"/>
        <v>-</v>
      </c>
      <c r="AR10" s="6">
        <f t="shared" si="28"/>
        <v>1.4166666666666667</v>
      </c>
      <c r="AS10" s="6">
        <f t="shared" si="29"/>
        <v>1.3076923076923077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97</v>
      </c>
      <c r="BE10" s="4">
        <v>200</v>
      </c>
      <c r="BF10" s="4">
        <v>12000</v>
      </c>
      <c r="BG10" s="4" t="s">
        <v>98</v>
      </c>
      <c r="BH10" s="4"/>
      <c r="BI10" s="4">
        <v>19502</v>
      </c>
      <c r="BJ10" s="4">
        <f t="shared" si="17"/>
        <v>325.0333333333333</v>
      </c>
      <c r="BK10" s="19">
        <v>4</v>
      </c>
      <c r="BL10" s="19">
        <v>1</v>
      </c>
      <c r="BM10" s="16">
        <v>18</v>
      </c>
      <c r="BN10" t="s">
        <v>72</v>
      </c>
      <c r="BO10" t="str">
        <f t="shared" si="30"/>
        <v>-</v>
      </c>
      <c r="BP10" t="s">
        <v>111</v>
      </c>
      <c r="BQ10">
        <v>552</v>
      </c>
      <c r="BR10">
        <f>IFERROR(BQ10*AS10,"-")</f>
        <v>721.84615384615381</v>
      </c>
      <c r="BS10" t="s">
        <v>99</v>
      </c>
    </row>
    <row r="11" spans="1:71" x14ac:dyDescent="0.4">
      <c r="A11" s="3">
        <v>5</v>
      </c>
      <c r="B11" s="3">
        <v>5</v>
      </c>
      <c r="C11" s="17" t="s">
        <v>100</v>
      </c>
      <c r="D11" s="4" t="str">
        <f t="shared" si="18"/>
        <v>J92503</v>
      </c>
      <c r="E11" s="4" t="s">
        <v>100</v>
      </c>
      <c r="F11" s="4" t="str">
        <f t="shared" si="19"/>
        <v>J925035</v>
      </c>
      <c r="G11" s="4" t="s">
        <v>101</v>
      </c>
      <c r="H11" s="5">
        <v>4562121174900</v>
      </c>
      <c r="I11" s="4">
        <v>5</v>
      </c>
      <c r="J11" s="5"/>
      <c r="K11" s="5">
        <v>1</v>
      </c>
      <c r="L11" s="5">
        <v>1</v>
      </c>
      <c r="M11" s="4">
        <v>0</v>
      </c>
      <c r="N11" s="4">
        <v>429</v>
      </c>
      <c r="O11" s="4">
        <v>294</v>
      </c>
      <c r="P11" s="6">
        <f t="shared" si="20"/>
        <v>0.31468531468531469</v>
      </c>
      <c r="Q11" s="4" t="s">
        <v>72</v>
      </c>
      <c r="R11" s="4"/>
      <c r="S11" s="4"/>
      <c r="T11" s="4"/>
      <c r="U11" s="4"/>
      <c r="V11" s="4"/>
      <c r="W11" s="4"/>
      <c r="X11" s="4"/>
      <c r="Y11" s="4"/>
      <c r="Z11" s="4">
        <v>0</v>
      </c>
      <c r="AA11" s="4">
        <f t="shared" si="21"/>
        <v>0</v>
      </c>
      <c r="AB11" s="4">
        <v>384</v>
      </c>
      <c r="AC11" s="4">
        <f t="shared" si="22"/>
        <v>384</v>
      </c>
      <c r="AD11" s="4"/>
      <c r="AE11" s="21">
        <f t="shared" si="0"/>
        <v>560</v>
      </c>
      <c r="AF11" s="6">
        <f t="shared" si="23"/>
        <v>0.31428571428571428</v>
      </c>
      <c r="AG11" s="4">
        <v>3.25</v>
      </c>
      <c r="AH11" s="4">
        <f t="shared" si="24"/>
        <v>540</v>
      </c>
      <c r="AI11" s="4">
        <f t="shared" si="25"/>
        <v>705.30612244897952</v>
      </c>
      <c r="AJ11" s="6">
        <f t="shared" si="26"/>
        <v>0.45555555555555549</v>
      </c>
      <c r="AK11" s="7">
        <v>590</v>
      </c>
      <c r="AL11" s="6">
        <f t="shared" si="1"/>
        <v>0.3491525423728814</v>
      </c>
      <c r="AM11" s="4">
        <f t="shared" si="2"/>
        <v>206</v>
      </c>
      <c r="AN11" s="28"/>
      <c r="AO11" s="6"/>
      <c r="AP11" s="6"/>
      <c r="AQ11" s="6" t="str">
        <f t="shared" si="27"/>
        <v>-</v>
      </c>
      <c r="AR11" s="6">
        <f t="shared" si="28"/>
        <v>1.3752913752913754</v>
      </c>
      <c r="AS11" s="6">
        <f t="shared" si="29"/>
        <v>1.3061224489795917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102</v>
      </c>
      <c r="BE11" s="4">
        <v>200</v>
      </c>
      <c r="BF11" s="4">
        <v>8000</v>
      </c>
      <c r="BG11" s="4" t="s">
        <v>103</v>
      </c>
      <c r="BH11" s="4"/>
      <c r="BI11" s="4">
        <v>21600</v>
      </c>
      <c r="BJ11" s="4">
        <f t="shared" si="17"/>
        <v>540</v>
      </c>
      <c r="BK11" s="19">
        <v>4</v>
      </c>
      <c r="BL11" s="19">
        <v>1</v>
      </c>
      <c r="BM11" s="16">
        <v>18</v>
      </c>
      <c r="BN11" t="s">
        <v>72</v>
      </c>
      <c r="BO11" t="str">
        <f t="shared" si="30"/>
        <v>-</v>
      </c>
      <c r="BP11" t="s">
        <v>111</v>
      </c>
      <c r="BQ11">
        <v>836</v>
      </c>
      <c r="BR11">
        <f>IFERROR(BQ11*AS11,"-")</f>
        <v>1091.9183673469388</v>
      </c>
      <c r="BS11" t="s">
        <v>104</v>
      </c>
    </row>
    <row r="12" spans="1:71" x14ac:dyDescent="0.4">
      <c r="A12" s="3">
        <v>6</v>
      </c>
      <c r="B12" s="3">
        <v>6</v>
      </c>
      <c r="C12" s="17" t="s">
        <v>105</v>
      </c>
      <c r="D12" s="4" t="str">
        <f t="shared" si="18"/>
        <v>J92478</v>
      </c>
      <c r="E12" s="4" t="s">
        <v>105</v>
      </c>
      <c r="F12" s="4" t="str">
        <f t="shared" si="19"/>
        <v>J924785</v>
      </c>
      <c r="G12" s="4" t="s">
        <v>106</v>
      </c>
      <c r="H12" s="5">
        <v>4562121174955</v>
      </c>
      <c r="I12" s="4">
        <v>5</v>
      </c>
      <c r="J12" s="5"/>
      <c r="K12" s="5">
        <v>1</v>
      </c>
      <c r="L12" s="5">
        <v>1</v>
      </c>
      <c r="M12" s="4">
        <v>0</v>
      </c>
      <c r="N12" s="4">
        <v>319</v>
      </c>
      <c r="O12" s="4">
        <v>217</v>
      </c>
      <c r="P12" s="6">
        <f t="shared" si="20"/>
        <v>0.31974921630094044</v>
      </c>
      <c r="Q12" s="4" t="s">
        <v>72</v>
      </c>
      <c r="R12" s="4"/>
      <c r="S12" s="4"/>
      <c r="T12" s="4"/>
      <c r="U12" s="4"/>
      <c r="V12" s="4"/>
      <c r="W12" s="4"/>
      <c r="X12" s="4"/>
      <c r="Y12" s="4"/>
      <c r="Z12" s="4">
        <v>0</v>
      </c>
      <c r="AA12" s="4">
        <f t="shared" si="21"/>
        <v>0</v>
      </c>
      <c r="AB12" s="4">
        <v>284</v>
      </c>
      <c r="AC12" s="4">
        <f t="shared" si="22"/>
        <v>284</v>
      </c>
      <c r="AD12" s="4"/>
      <c r="AE12" s="21">
        <f t="shared" si="0"/>
        <v>417</v>
      </c>
      <c r="AF12" s="6">
        <f t="shared" si="23"/>
        <v>0.31894484412470026</v>
      </c>
      <c r="AG12" s="4">
        <v>36.25</v>
      </c>
      <c r="AH12" s="4">
        <f t="shared" si="24"/>
        <v>411.7</v>
      </c>
      <c r="AI12" s="4">
        <f t="shared" si="25"/>
        <v>538.81474654377882</v>
      </c>
      <c r="AJ12" s="6">
        <f t="shared" si="26"/>
        <v>0.47291717269856692</v>
      </c>
      <c r="AK12" s="7">
        <v>440</v>
      </c>
      <c r="AL12" s="6">
        <f t="shared" si="1"/>
        <v>0.3545454545454545</v>
      </c>
      <c r="AM12" s="4">
        <f t="shared" si="2"/>
        <v>156</v>
      </c>
      <c r="AN12" s="28"/>
      <c r="AO12" s="6"/>
      <c r="AP12" s="6"/>
      <c r="AQ12" s="6" t="str">
        <f t="shared" si="27"/>
        <v>-</v>
      </c>
      <c r="AR12" s="6">
        <f t="shared" si="28"/>
        <v>1.3793103448275863</v>
      </c>
      <c r="AS12" s="6">
        <f t="shared" si="29"/>
        <v>1.3087557603686637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107</v>
      </c>
      <c r="BE12" s="4">
        <v>200</v>
      </c>
      <c r="BF12" s="4">
        <v>12000</v>
      </c>
      <c r="BG12" s="4" t="s">
        <v>98</v>
      </c>
      <c r="BH12" s="4"/>
      <c r="BI12" s="4">
        <v>24702</v>
      </c>
      <c r="BJ12" s="4">
        <f t="shared" si="17"/>
        <v>411.7</v>
      </c>
      <c r="BK12" s="19">
        <v>4</v>
      </c>
      <c r="BL12" s="19">
        <v>1</v>
      </c>
      <c r="BM12" s="16">
        <v>18</v>
      </c>
      <c r="BN12" t="s">
        <v>72</v>
      </c>
      <c r="BO12" t="str">
        <f t="shared" si="30"/>
        <v>-</v>
      </c>
      <c r="BP12" t="s">
        <v>111</v>
      </c>
      <c r="BQ12">
        <v>732</v>
      </c>
      <c r="BR12">
        <f>IFERROR(BQ12*AS12,"-")</f>
        <v>958.00921658986181</v>
      </c>
      <c r="BS12" t="s">
        <v>108</v>
      </c>
    </row>
    <row r="13" spans="1:71" x14ac:dyDescent="0.4">
      <c r="A13" s="3">
        <v>7</v>
      </c>
      <c r="B13" s="3">
        <v>7</v>
      </c>
      <c r="C13" s="4" t="s">
        <v>109</v>
      </c>
      <c r="D13" s="4" t="str">
        <f t="shared" si="18"/>
        <v>J92412</v>
      </c>
      <c r="E13" s="4" t="s">
        <v>109</v>
      </c>
      <c r="F13" s="4" t="str">
        <f t="shared" si="19"/>
        <v>J924125</v>
      </c>
      <c r="G13" s="4" t="s">
        <v>110</v>
      </c>
      <c r="H13" s="5">
        <v>4972759512669</v>
      </c>
      <c r="I13" s="4">
        <v>5</v>
      </c>
      <c r="J13" s="5"/>
      <c r="K13" s="5">
        <v>1</v>
      </c>
      <c r="L13" s="5">
        <v>1</v>
      </c>
      <c r="M13" s="4">
        <v>0</v>
      </c>
      <c r="N13" s="4">
        <v>442</v>
      </c>
      <c r="O13" s="4">
        <v>301</v>
      </c>
      <c r="P13" s="6">
        <f t="shared" si="20"/>
        <v>0.3190045248868778</v>
      </c>
      <c r="Q13" s="4" t="s">
        <v>72</v>
      </c>
      <c r="R13" s="4"/>
      <c r="S13" s="4"/>
      <c r="T13" s="4"/>
      <c r="U13" s="4"/>
      <c r="V13" s="4"/>
      <c r="W13" s="4"/>
      <c r="X13" s="4"/>
      <c r="Y13" s="4"/>
      <c r="Z13" s="4">
        <v>0</v>
      </c>
      <c r="AA13" s="4">
        <f t="shared" si="21"/>
        <v>0</v>
      </c>
      <c r="AB13" s="4">
        <v>393</v>
      </c>
      <c r="AC13" s="4">
        <f t="shared" si="22"/>
        <v>393</v>
      </c>
      <c r="AD13" s="4"/>
      <c r="AE13" s="21">
        <f t="shared" si="0"/>
        <v>577</v>
      </c>
      <c r="AF13" s="6">
        <f t="shared" si="23"/>
        <v>0.3188908145580589</v>
      </c>
      <c r="AG13" s="4">
        <v>34.75</v>
      </c>
      <c r="AH13" s="4" t="str">
        <f t="shared" si="24"/>
        <v>-</v>
      </c>
      <c r="AI13" s="4" t="str">
        <f t="shared" si="25"/>
        <v>-</v>
      </c>
      <c r="AJ13" s="6" t="str">
        <f t="shared" si="26"/>
        <v>-</v>
      </c>
      <c r="AK13" s="7">
        <v>600</v>
      </c>
      <c r="AL13" s="6">
        <f t="shared" si="1"/>
        <v>0.34499999999999997</v>
      </c>
      <c r="AM13" s="4">
        <f t="shared" si="2"/>
        <v>207</v>
      </c>
      <c r="AN13" s="28"/>
      <c r="AO13" s="6"/>
      <c r="AP13" s="6"/>
      <c r="AQ13" s="6" t="str">
        <f t="shared" si="27"/>
        <v>-</v>
      </c>
      <c r="AR13" s="6">
        <f t="shared" si="28"/>
        <v>1.3574660633484164</v>
      </c>
      <c r="AS13" s="6">
        <f t="shared" si="29"/>
        <v>1.3056478405315615</v>
      </c>
      <c r="AT13" s="4"/>
      <c r="AU13" s="4"/>
      <c r="AV13" s="4"/>
      <c r="AW13" s="4"/>
      <c r="AX13" s="4"/>
      <c r="AY13" s="4"/>
      <c r="AZ13" s="4"/>
      <c r="BA13" s="4"/>
      <c r="BB13" s="4"/>
      <c r="BC13" s="4">
        <v>0</v>
      </c>
      <c r="BD13" s="4" t="s">
        <v>111</v>
      </c>
      <c r="BE13" s="4"/>
      <c r="BF13" s="4"/>
      <c r="BG13" s="4" t="s">
        <v>111</v>
      </c>
      <c r="BH13" s="4"/>
      <c r="BI13" s="4" t="s">
        <v>111</v>
      </c>
      <c r="BJ13" s="4" t="str">
        <f t="shared" si="17"/>
        <v>-</v>
      </c>
      <c r="BK13" s="19">
        <v>4</v>
      </c>
      <c r="BL13" s="19">
        <v>1</v>
      </c>
      <c r="BM13" s="16">
        <v>18</v>
      </c>
      <c r="BN13" t="s">
        <v>72</v>
      </c>
      <c r="BO13" t="str">
        <f t="shared" si="30"/>
        <v>-</v>
      </c>
      <c r="BP13" t="s">
        <v>111</v>
      </c>
      <c r="BQ13" t="s">
        <v>111</v>
      </c>
      <c r="BR13" t="str">
        <f>IFERROR(BQ13*AS13,"-")</f>
        <v>-</v>
      </c>
      <c r="BS13" t="s">
        <v>111</v>
      </c>
    </row>
    <row r="14" spans="1:71" x14ac:dyDescent="0.4">
      <c r="A14" s="3">
        <v>8</v>
      </c>
      <c r="B14" s="3">
        <v>8</v>
      </c>
      <c r="C14" s="4" t="s">
        <v>112</v>
      </c>
      <c r="D14" s="4" t="str">
        <f t="shared" si="18"/>
        <v>J92410</v>
      </c>
      <c r="E14" s="4" t="s">
        <v>112</v>
      </c>
      <c r="F14" s="4" t="str">
        <f t="shared" si="19"/>
        <v>J924105</v>
      </c>
      <c r="G14" s="4" t="s">
        <v>113</v>
      </c>
      <c r="H14" s="5">
        <v>4972759512676</v>
      </c>
      <c r="I14" s="4">
        <v>5</v>
      </c>
      <c r="J14" s="5"/>
      <c r="K14" s="5">
        <v>1</v>
      </c>
      <c r="L14" s="5">
        <v>1</v>
      </c>
      <c r="M14" s="4">
        <v>0</v>
      </c>
      <c r="N14" s="4">
        <v>574</v>
      </c>
      <c r="O14" s="4">
        <v>394</v>
      </c>
      <c r="P14" s="6">
        <f t="shared" si="20"/>
        <v>0.31358885017421601</v>
      </c>
      <c r="Q14" s="4" t="s">
        <v>72</v>
      </c>
      <c r="R14" s="4"/>
      <c r="S14" s="4"/>
      <c r="T14" s="4"/>
      <c r="U14" s="4"/>
      <c r="V14" s="4"/>
      <c r="W14" s="4"/>
      <c r="X14" s="4"/>
      <c r="Y14" s="4"/>
      <c r="Z14" s="4">
        <v>0</v>
      </c>
      <c r="AA14" s="4">
        <f t="shared" si="21"/>
        <v>0</v>
      </c>
      <c r="AB14" s="4">
        <v>515</v>
      </c>
      <c r="AC14" s="4">
        <f t="shared" si="22"/>
        <v>515</v>
      </c>
      <c r="AD14" s="4"/>
      <c r="AE14" s="21">
        <f t="shared" si="0"/>
        <v>750</v>
      </c>
      <c r="AF14" s="6">
        <f t="shared" si="23"/>
        <v>0.31333333333333335</v>
      </c>
      <c r="AG14" s="4">
        <v>26.5</v>
      </c>
      <c r="AH14" s="4">
        <f t="shared" si="24"/>
        <v>712.83333333333326</v>
      </c>
      <c r="AI14" s="4">
        <f t="shared" si="25"/>
        <v>931.74915397631128</v>
      </c>
      <c r="AJ14" s="6">
        <f t="shared" si="26"/>
        <v>0.44727612812719197</v>
      </c>
      <c r="AK14" s="7">
        <v>800</v>
      </c>
      <c r="AL14" s="6">
        <f t="shared" si="1"/>
        <v>0.35624999999999996</v>
      </c>
      <c r="AM14" s="4">
        <f t="shared" si="2"/>
        <v>285</v>
      </c>
      <c r="AN14" s="28"/>
      <c r="AO14" s="6"/>
      <c r="AP14" s="6"/>
      <c r="AQ14" s="6" t="str">
        <f t="shared" si="27"/>
        <v>-</v>
      </c>
      <c r="AR14" s="6">
        <f t="shared" si="28"/>
        <v>1.3937282229965158</v>
      </c>
      <c r="AS14" s="6">
        <f t="shared" si="29"/>
        <v>1.3071065989847717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114</v>
      </c>
      <c r="BE14" s="4">
        <v>100</v>
      </c>
      <c r="BF14" s="4">
        <v>600</v>
      </c>
      <c r="BG14" s="4" t="s">
        <v>115</v>
      </c>
      <c r="BH14" s="4"/>
      <c r="BI14" s="4">
        <v>4277</v>
      </c>
      <c r="BJ14" s="4">
        <f t="shared" si="17"/>
        <v>712.83333333333326</v>
      </c>
      <c r="BK14" s="19">
        <v>4</v>
      </c>
      <c r="BL14" s="19">
        <v>1</v>
      </c>
      <c r="BM14" s="16">
        <v>18</v>
      </c>
      <c r="BN14" t="s">
        <v>72</v>
      </c>
      <c r="BO14" t="str">
        <f t="shared" si="30"/>
        <v>-</v>
      </c>
      <c r="BP14" t="s">
        <v>111</v>
      </c>
      <c r="BQ14" t="s">
        <v>111</v>
      </c>
      <c r="BR14" t="str">
        <f>IFERROR(BQ14*AS14,"-")</f>
        <v>-</v>
      </c>
      <c r="BS14" t="s">
        <v>116</v>
      </c>
    </row>
    <row r="15" spans="1:71" x14ac:dyDescent="0.4">
      <c r="A15" s="3">
        <v>9</v>
      </c>
      <c r="B15" s="3">
        <v>9</v>
      </c>
      <c r="C15" s="4" t="s">
        <v>117</v>
      </c>
      <c r="D15" s="4" t="str">
        <f t="shared" si="18"/>
        <v>J92411</v>
      </c>
      <c r="E15" s="4" t="s">
        <v>117</v>
      </c>
      <c r="F15" s="4" t="str">
        <f t="shared" si="19"/>
        <v>J924115</v>
      </c>
      <c r="G15" s="4" t="s">
        <v>118</v>
      </c>
      <c r="H15" s="5">
        <v>4972759512683</v>
      </c>
      <c r="I15" s="4">
        <v>5</v>
      </c>
      <c r="J15" s="5"/>
      <c r="K15" s="5">
        <v>1</v>
      </c>
      <c r="L15" s="5">
        <v>1</v>
      </c>
      <c r="M15" s="4">
        <v>0</v>
      </c>
      <c r="N15" s="4">
        <v>922</v>
      </c>
      <c r="O15" s="4">
        <v>617</v>
      </c>
      <c r="P15" s="6">
        <f t="shared" si="20"/>
        <v>0.33080260303687636</v>
      </c>
      <c r="Q15" s="4" t="s">
        <v>72</v>
      </c>
      <c r="R15" s="4"/>
      <c r="S15" s="4"/>
      <c r="T15" s="4"/>
      <c r="U15" s="4"/>
      <c r="V15" s="4"/>
      <c r="W15" s="4"/>
      <c r="X15" s="4"/>
      <c r="Y15" s="4"/>
      <c r="Z15" s="4">
        <v>0</v>
      </c>
      <c r="AA15" s="4">
        <f t="shared" si="21"/>
        <v>0</v>
      </c>
      <c r="AB15" s="4">
        <v>804</v>
      </c>
      <c r="AC15" s="4">
        <f t="shared" si="22"/>
        <v>804</v>
      </c>
      <c r="AD15" s="4"/>
      <c r="AE15" s="21">
        <f t="shared" si="0"/>
        <v>1201</v>
      </c>
      <c r="AF15" s="6">
        <f t="shared" si="23"/>
        <v>0.3305578684429642</v>
      </c>
      <c r="AG15" s="4">
        <v>29.75</v>
      </c>
      <c r="AH15" s="4">
        <f t="shared" si="24"/>
        <v>1093.75</v>
      </c>
      <c r="AI15" s="4">
        <f t="shared" si="25"/>
        <v>1425.2431118314425</v>
      </c>
      <c r="AJ15" s="6">
        <f t="shared" si="26"/>
        <v>0.43588571428571432</v>
      </c>
      <c r="AK15" s="7">
        <v>1250</v>
      </c>
      <c r="AL15" s="6">
        <f t="shared" si="1"/>
        <v>0.35680000000000001</v>
      </c>
      <c r="AM15" s="4">
        <f t="shared" si="2"/>
        <v>446</v>
      </c>
      <c r="AN15" s="28"/>
      <c r="AO15" s="6"/>
      <c r="AP15" s="6"/>
      <c r="AQ15" s="6" t="str">
        <f t="shared" si="27"/>
        <v>-</v>
      </c>
      <c r="AR15" s="6">
        <f t="shared" si="28"/>
        <v>1.3557483731019522</v>
      </c>
      <c r="AS15" s="6">
        <f t="shared" si="29"/>
        <v>1.3030794165316046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119</v>
      </c>
      <c r="BE15" s="4">
        <v>100</v>
      </c>
      <c r="BF15" s="4">
        <v>400</v>
      </c>
      <c r="BG15" s="4" t="s">
        <v>120</v>
      </c>
      <c r="BH15" s="4"/>
      <c r="BI15" s="4">
        <v>4375</v>
      </c>
      <c r="BJ15" s="4">
        <f t="shared" si="17"/>
        <v>1093.75</v>
      </c>
      <c r="BK15" s="19">
        <v>4</v>
      </c>
      <c r="BL15" s="19">
        <v>1</v>
      </c>
      <c r="BM15" s="16">
        <v>18</v>
      </c>
      <c r="BN15" t="s">
        <v>72</v>
      </c>
      <c r="BO15" t="str">
        <f t="shared" si="30"/>
        <v>-</v>
      </c>
      <c r="BP15" t="s">
        <v>111</v>
      </c>
      <c r="BQ15" t="s">
        <v>111</v>
      </c>
      <c r="BR15" t="str">
        <f>IFERROR(BQ15*AS15,"-")</f>
        <v>-</v>
      </c>
      <c r="BS15" t="s">
        <v>121</v>
      </c>
    </row>
    <row r="16" spans="1:71" x14ac:dyDescent="0.4">
      <c r="A16" s="3">
        <v>10</v>
      </c>
      <c r="B16" s="3">
        <v>10</v>
      </c>
      <c r="C16" s="4" t="s">
        <v>122</v>
      </c>
      <c r="D16" s="4" t="str">
        <f t="shared" si="18"/>
        <v>J92646</v>
      </c>
      <c r="E16" s="4" t="s">
        <v>122</v>
      </c>
      <c r="F16" s="4" t="str">
        <f t="shared" si="19"/>
        <v>J926465</v>
      </c>
      <c r="G16" s="4" t="s">
        <v>123</v>
      </c>
      <c r="H16" s="5">
        <v>4972759513321</v>
      </c>
      <c r="I16" s="4">
        <v>5</v>
      </c>
      <c r="J16" s="5"/>
      <c r="K16" s="5">
        <v>1</v>
      </c>
      <c r="L16" s="5">
        <v>1</v>
      </c>
      <c r="M16" s="4">
        <v>0</v>
      </c>
      <c r="N16" s="4">
        <v>96</v>
      </c>
      <c r="O16" s="4">
        <v>64</v>
      </c>
      <c r="P16" s="6">
        <f t="shared" si="20"/>
        <v>0.33333333333333337</v>
      </c>
      <c r="Q16" s="4" t="s">
        <v>72</v>
      </c>
      <c r="R16" s="4"/>
      <c r="S16" s="4"/>
      <c r="T16" s="4"/>
      <c r="U16" s="4"/>
      <c r="V16" s="4"/>
      <c r="W16" s="4"/>
      <c r="X16" s="4"/>
      <c r="Y16" s="4"/>
      <c r="Z16" s="4">
        <v>0</v>
      </c>
      <c r="AA16" s="4">
        <f t="shared" si="21"/>
        <v>0</v>
      </c>
      <c r="AB16" s="4">
        <v>84</v>
      </c>
      <c r="AC16" s="4">
        <f t="shared" si="22"/>
        <v>84</v>
      </c>
      <c r="AD16" s="4"/>
      <c r="AE16" s="21">
        <f t="shared" si="0"/>
        <v>126</v>
      </c>
      <c r="AF16" s="6">
        <f t="shared" si="23"/>
        <v>0.33333333333333337</v>
      </c>
      <c r="AG16" s="4">
        <v>0.5</v>
      </c>
      <c r="AH16" s="4">
        <f t="shared" si="24"/>
        <v>116</v>
      </c>
      <c r="AI16" s="4">
        <f t="shared" si="25"/>
        <v>152.25</v>
      </c>
      <c r="AJ16" s="6">
        <f t="shared" si="26"/>
        <v>0.44827586206896552</v>
      </c>
      <c r="AK16" s="7">
        <v>130</v>
      </c>
      <c r="AL16" s="6">
        <f t="shared" si="1"/>
        <v>0.35384615384615381</v>
      </c>
      <c r="AM16" s="4">
        <f t="shared" si="2"/>
        <v>46</v>
      </c>
      <c r="AN16" s="28"/>
      <c r="AO16" s="6"/>
      <c r="AP16" s="6"/>
      <c r="AQ16" s="6" t="str">
        <f t="shared" si="27"/>
        <v>-</v>
      </c>
      <c r="AR16" s="6">
        <f t="shared" si="28"/>
        <v>1.3541666666666667</v>
      </c>
      <c r="AS16" s="6">
        <f t="shared" si="29"/>
        <v>1.3125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124</v>
      </c>
      <c r="BE16" s="4"/>
      <c r="BF16" s="4"/>
      <c r="BG16" s="4" t="s">
        <v>84</v>
      </c>
      <c r="BH16" s="4"/>
      <c r="BI16" s="4">
        <v>116</v>
      </c>
      <c r="BJ16" s="4">
        <f t="shared" si="17"/>
        <v>116</v>
      </c>
      <c r="BK16" s="19">
        <v>4</v>
      </c>
      <c r="BL16" s="19">
        <v>8</v>
      </c>
      <c r="BM16" s="16">
        <v>18</v>
      </c>
      <c r="BN16" t="s">
        <v>72</v>
      </c>
      <c r="BO16" t="str">
        <f t="shared" si="30"/>
        <v>-</v>
      </c>
      <c r="BP16" t="s">
        <v>111</v>
      </c>
      <c r="BQ16" t="s">
        <v>111</v>
      </c>
      <c r="BR16" t="str">
        <f>IFERROR(BQ16*AS16,"-")</f>
        <v>-</v>
      </c>
      <c r="BS16" t="s">
        <v>125</v>
      </c>
    </row>
    <row r="17" spans="1:71" x14ac:dyDescent="0.4">
      <c r="A17" s="3">
        <v>11</v>
      </c>
      <c r="B17" s="3">
        <v>11</v>
      </c>
      <c r="C17" s="4" t="s">
        <v>126</v>
      </c>
      <c r="D17" s="4" t="str">
        <f t="shared" si="18"/>
        <v>J92648</v>
      </c>
      <c r="E17" s="4" t="s">
        <v>126</v>
      </c>
      <c r="F17" s="4" t="str">
        <f t="shared" si="19"/>
        <v>J926485</v>
      </c>
      <c r="G17" s="4" t="s">
        <v>127</v>
      </c>
      <c r="H17" s="5">
        <v>4972759513345</v>
      </c>
      <c r="I17" s="4">
        <v>5</v>
      </c>
      <c r="J17" s="5"/>
      <c r="K17" s="5">
        <v>1</v>
      </c>
      <c r="L17" s="5">
        <v>1</v>
      </c>
      <c r="M17" s="4">
        <v>0</v>
      </c>
      <c r="N17" s="4">
        <v>131</v>
      </c>
      <c r="O17" s="4">
        <v>91</v>
      </c>
      <c r="P17" s="6">
        <f t="shared" si="20"/>
        <v>0.30534351145038163</v>
      </c>
      <c r="Q17" s="4" t="s">
        <v>72</v>
      </c>
      <c r="R17" s="4"/>
      <c r="S17" s="4"/>
      <c r="T17" s="4"/>
      <c r="U17" s="4"/>
      <c r="V17" s="4"/>
      <c r="W17" s="4"/>
      <c r="X17" s="4"/>
      <c r="Y17" s="4"/>
      <c r="Z17" s="4">
        <v>0</v>
      </c>
      <c r="AA17" s="4">
        <f t="shared" si="21"/>
        <v>0</v>
      </c>
      <c r="AB17" s="4">
        <v>120</v>
      </c>
      <c r="AC17" s="4">
        <f t="shared" si="22"/>
        <v>120</v>
      </c>
      <c r="AD17" s="4"/>
      <c r="AE17" s="21">
        <f t="shared" si="0"/>
        <v>173</v>
      </c>
      <c r="AF17" s="6">
        <f t="shared" si="23"/>
        <v>0.30635838150289019</v>
      </c>
      <c r="AG17" s="4">
        <v>5</v>
      </c>
      <c r="AH17" s="4">
        <f t="shared" si="24"/>
        <v>164</v>
      </c>
      <c r="AI17" s="4">
        <f t="shared" si="25"/>
        <v>216.26373626373626</v>
      </c>
      <c r="AJ17" s="6">
        <f t="shared" si="26"/>
        <v>0.44512195121951215</v>
      </c>
      <c r="AK17" s="7">
        <v>185</v>
      </c>
      <c r="AL17" s="6">
        <f t="shared" si="1"/>
        <v>0.35135135135135132</v>
      </c>
      <c r="AM17" s="4">
        <f t="shared" si="2"/>
        <v>65</v>
      </c>
      <c r="AN17" s="28"/>
      <c r="AO17" s="6"/>
      <c r="AP17" s="6"/>
      <c r="AQ17" s="6" t="str">
        <f t="shared" si="27"/>
        <v>-</v>
      </c>
      <c r="AR17" s="6">
        <f t="shared" si="28"/>
        <v>1.4122137404580153</v>
      </c>
      <c r="AS17" s="6">
        <f t="shared" si="29"/>
        <v>1.3186813186813187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128</v>
      </c>
      <c r="BE17" s="4"/>
      <c r="BF17" s="4"/>
      <c r="BG17" s="4" t="s">
        <v>84</v>
      </c>
      <c r="BH17" s="4"/>
      <c r="BI17" s="4">
        <v>164</v>
      </c>
      <c r="BJ17" s="4">
        <f t="shared" si="17"/>
        <v>164</v>
      </c>
      <c r="BK17" s="19">
        <v>4</v>
      </c>
      <c r="BL17" s="19">
        <v>1</v>
      </c>
      <c r="BM17" s="16">
        <v>18</v>
      </c>
      <c r="BN17" t="s">
        <v>72</v>
      </c>
      <c r="BO17" t="str">
        <f t="shared" si="30"/>
        <v>-</v>
      </c>
      <c r="BP17" t="s">
        <v>111</v>
      </c>
      <c r="BQ17">
        <v>281</v>
      </c>
      <c r="BR17">
        <f>IFERROR(BQ17*AS17,"-")</f>
        <v>370.54945054945057</v>
      </c>
      <c r="BS17" t="s">
        <v>129</v>
      </c>
    </row>
    <row r="18" spans="1:71" x14ac:dyDescent="0.4">
      <c r="A18" s="3">
        <v>12</v>
      </c>
      <c r="B18" s="3">
        <v>12</v>
      </c>
      <c r="C18" s="4" t="s">
        <v>130</v>
      </c>
      <c r="D18" s="4" t="str">
        <f t="shared" si="18"/>
        <v>5747AJ</v>
      </c>
      <c r="E18" s="4" t="s">
        <v>130</v>
      </c>
      <c r="F18" s="4" t="str">
        <f t="shared" si="19"/>
        <v>5747AJ5</v>
      </c>
      <c r="G18" s="4" t="s">
        <v>131</v>
      </c>
      <c r="H18" s="5">
        <v>4972759532780</v>
      </c>
      <c r="I18" s="4">
        <v>5</v>
      </c>
      <c r="J18" s="5"/>
      <c r="K18" s="5">
        <v>1</v>
      </c>
      <c r="L18" s="5">
        <v>1</v>
      </c>
      <c r="M18" s="4">
        <v>0</v>
      </c>
      <c r="N18" s="4">
        <v>120</v>
      </c>
      <c r="O18" s="4">
        <v>84</v>
      </c>
      <c r="P18" s="6">
        <f t="shared" si="20"/>
        <v>0.30000000000000004</v>
      </c>
      <c r="Q18" s="4" t="s">
        <v>72</v>
      </c>
      <c r="R18" s="4"/>
      <c r="S18" s="4"/>
      <c r="T18" s="4"/>
      <c r="U18" s="4"/>
      <c r="V18" s="4"/>
      <c r="W18" s="4"/>
      <c r="X18" s="4"/>
      <c r="Y18" s="4"/>
      <c r="Z18" s="4">
        <v>0</v>
      </c>
      <c r="AA18" s="4">
        <f t="shared" si="21"/>
        <v>0</v>
      </c>
      <c r="AB18" s="4">
        <v>111</v>
      </c>
      <c r="AC18" s="4">
        <f t="shared" si="22"/>
        <v>111</v>
      </c>
      <c r="AD18" s="4"/>
      <c r="AE18" s="21">
        <f t="shared" si="0"/>
        <v>159</v>
      </c>
      <c r="AF18" s="6">
        <f t="shared" si="23"/>
        <v>0.30188679245283023</v>
      </c>
      <c r="AG18" s="4">
        <v>0.25</v>
      </c>
      <c r="AH18" s="4">
        <f t="shared" si="24"/>
        <v>280.66666666666669</v>
      </c>
      <c r="AI18" s="4">
        <f t="shared" si="25"/>
        <v>370.88095238095241</v>
      </c>
      <c r="AJ18" s="6">
        <f t="shared" si="26"/>
        <v>0.70071258907363421</v>
      </c>
      <c r="AK18" s="7">
        <v>170</v>
      </c>
      <c r="AL18" s="6">
        <f t="shared" si="1"/>
        <v>0.34705882352941175</v>
      </c>
      <c r="AM18" s="4">
        <f t="shared" si="2"/>
        <v>59</v>
      </c>
      <c r="AN18" s="28"/>
      <c r="AO18" s="6"/>
      <c r="AP18" s="6"/>
      <c r="AQ18" s="6" t="str">
        <f t="shared" si="27"/>
        <v>-</v>
      </c>
      <c r="AR18" s="6">
        <f t="shared" si="28"/>
        <v>1.4166666666666667</v>
      </c>
      <c r="AS18" s="6">
        <f t="shared" si="29"/>
        <v>1.3214285714285714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132</v>
      </c>
      <c r="BE18" s="4">
        <v>1</v>
      </c>
      <c r="BF18" s="4">
        <v>15</v>
      </c>
      <c r="BG18" s="4" t="s">
        <v>133</v>
      </c>
      <c r="BH18" s="4"/>
      <c r="BI18" s="4">
        <v>4210</v>
      </c>
      <c r="BJ18" s="4">
        <f t="shared" si="17"/>
        <v>280.66666666666669</v>
      </c>
      <c r="BK18" s="19">
        <v>4</v>
      </c>
      <c r="BL18" s="19">
        <v>8</v>
      </c>
      <c r="BM18" s="16">
        <v>18</v>
      </c>
      <c r="BN18" t="s">
        <v>72</v>
      </c>
      <c r="BO18" t="str">
        <f t="shared" si="30"/>
        <v>-</v>
      </c>
      <c r="BP18" t="s">
        <v>111</v>
      </c>
      <c r="BQ18">
        <v>158</v>
      </c>
      <c r="BR18">
        <f>IFERROR(BQ18*AS18,"-")</f>
        <v>208.78571428571428</v>
      </c>
      <c r="BS18" t="s">
        <v>134</v>
      </c>
    </row>
  </sheetData>
  <autoFilter ref="A3:BS3" xr:uid="{7A1660CF-9003-4B2D-B659-7F339ED5B476}"/>
  <mergeCells count="3">
    <mergeCell ref="M2:P2"/>
    <mergeCell ref="K2:L2"/>
    <mergeCell ref="Z1:AC1"/>
  </mergeCells>
  <phoneticPr fontId="2"/>
  <conditionalFormatting sqref="AK4:AK6">
    <cfRule type="cellIs" dxfId="5" priority="7" operator="greaterThan">
      <formula>$AA4</formula>
    </cfRule>
  </conditionalFormatting>
  <conditionalFormatting sqref="AI4:AI6">
    <cfRule type="cellIs" dxfId="4" priority="5" operator="lessThan">
      <formula>$AK4</formula>
    </cfRule>
  </conditionalFormatting>
  <conditionalFormatting sqref="AL4:AL6">
    <cfRule type="cellIs" dxfId="3" priority="4" operator="lessThan">
      <formula>0.2</formula>
    </cfRule>
  </conditionalFormatting>
  <conditionalFormatting sqref="AK7:AK18">
    <cfRule type="cellIs" dxfId="2" priority="3" operator="greaterThan">
      <formula>$AA7</formula>
    </cfRule>
  </conditionalFormatting>
  <conditionalFormatting sqref="AI7:AI18">
    <cfRule type="cellIs" dxfId="1" priority="2" operator="lessThan">
      <formula>$AK7</formula>
    </cfRule>
  </conditionalFormatting>
  <conditionalFormatting sqref="AL7:AL18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2026-07-13T00:58:57Z</dcterms:modified>
</cp:coreProperties>
</file>