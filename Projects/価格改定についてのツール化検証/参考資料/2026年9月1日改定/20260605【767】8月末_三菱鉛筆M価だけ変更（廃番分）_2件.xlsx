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菱鉛筆_767.977\価格改定\20260605_8月末\"/>
    </mc:Choice>
  </mc:AlternateContent>
  <xr:revisionPtr revIDLastSave="0" documentId="13_ncr:1_{5FB9F710-8B7B-4E9F-9024-B53C53E7274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P4" i="1"/>
  <c r="BH4" i="1" l="1"/>
  <c r="BI4" i="1" s="1"/>
  <c r="AH4" i="1" s="1"/>
  <c r="AC4" i="1"/>
  <c r="AS4" i="1" s="1"/>
  <c r="AE4" i="1" s="1"/>
  <c r="AF4" i="1" s="1"/>
  <c r="AA4" i="1"/>
  <c r="AQ4" i="1" s="1"/>
  <c r="D4" i="1"/>
  <c r="F4" i="1" s="1"/>
  <c r="AI4" i="1" l="1"/>
  <c r="AJ4" i="1" s="1"/>
  <c r="AL4" i="1"/>
  <c r="AM4" i="1"/>
</calcChain>
</file>

<file path=xl/sharedStrings.xml><?xml version="1.0" encoding="utf-8"?>
<sst xmlns="http://schemas.openxmlformats.org/spreadsheetml/2006/main" count="81" uniqueCount="70">
  <si>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</si>
  <si>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</si>
  <si>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</si>
  <si>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</si>
  <si>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</si>
  <si>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</si>
  <si>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</si>
  <si>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</si>
  <si>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</si>
  <si>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</si>
  <si>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</si>
  <si>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</si>
  <si>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</si>
  <si>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</si>
  <si>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</si>
  <si>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</si>
  <si>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</si>
  <si>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</si>
  <si>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</si>
  <si>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</si>
  <si>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</si>
  <si>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</si>
  <si>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</si>
  <si>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</si>
  <si>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</si>
  <si>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</si>
  <si>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</si>
  <si>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</si>
  <si>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</si>
  <si>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</si>
  <si>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</si>
  <si>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</si>
  <si>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</si>
  <si>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</si>
  <si>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</si>
  <si>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</si>
  <si>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</si>
  <si>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</si>
  <si>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</si>
  <si>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</si>
  <si>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</si>
  <si>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</si>
  <si>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</si>
  <si>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</si>
  <si>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</si>
  <si>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</si>
  <si>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</si>
  <si>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</si>
  <si>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</si>
  <si>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</si>
  <si>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</si>
  <si>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</si>
  <si>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</si>
  <si>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</si>
  <si>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</si>
  <si>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</si>
  <si>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</si>
  <si>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</si>
  <si>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月
たの</t>
    <rPh sb="0" eb="1">
      <t>ガツ</t>
    </rPh>
    <phoneticPr fontId="2"/>
  </si>
  <si>
    <t>月
カウ</t>
    <rPh sb="0" eb="1">
      <t>ガツ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</si>
  <si>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</si>
  <si>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</si>
  <si>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</si>
  <si>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</si>
  <si>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</si>
  <si>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</si>
  <si>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</si>
  <si>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</si>
  <si>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G)三菱鉛筆/ﾎﾜｲﾄﾎﾞｰﾄﾞﾏｰｶｰ 太字 赤/PWB7M.15</t>
  </si>
  <si>
    <t>品目+
FW荷姿</t>
    <rPh sb="0" eb="2">
      <t>ヒンモク</t>
    </rPh>
    <rPh sb="6" eb="8">
      <t>ニスガタ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</si>
</sst>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4"/>
  <sheetViews>
    <sheetView tabSelected="1" zoomScale="90" zoomScaleNormal="90" workbookViewId="0">
      <pane xSplit="8" ySplit="4" topLeftCell="I5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8" t="s">
        <v>43</v>
      </c>
      <c r="Z1" s="43" t="s">
        <v>40</v>
      </c>
      <c r="AA1" s="44"/>
      <c r="AB1" s="44"/>
      <c r="AC1" s="45"/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40" t="s">
        <v>31</v>
      </c>
      <c r="L2" s="42"/>
      <c r="M2" s="40" t="s">
        <v>1</v>
      </c>
      <c r="N2" s="41"/>
      <c r="O2" s="41"/>
      <c r="P2" s="42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9" t="s">
        <v>69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66</v>
      </c>
      <c r="N3" s="2" t="s">
        <v>5</v>
      </c>
      <c r="O3" s="2" t="s">
        <v>64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62</v>
      </c>
      <c r="AA3" s="12" t="s">
        <v>63</v>
      </c>
      <c r="AB3" s="2" t="s">
        <v>64</v>
      </c>
      <c r="AC3" s="12" t="s">
        <v>65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67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57</v>
      </c>
      <c r="BI3" s="2" t="s">
        <v>12</v>
      </c>
      <c r="BJ3" s="17" t="s">
        <v>45</v>
      </c>
      <c r="BK3" s="17" t="s">
        <v>46</v>
      </c>
      <c r="BL3" s="15" t="s">
        <v>52</v>
      </c>
      <c r="BM3" s="37" t="s">
        <v>58</v>
      </c>
      <c r="BN3" s="38" t="s">
        <v>60</v>
      </c>
      <c r="BO3" s="38" t="s">
        <v>59</v>
      </c>
      <c r="BP3" s="38" t="s">
        <v>61</v>
      </c>
      <c r="BQ3" s="33" t="s">
        <v>50</v>
      </c>
    </row>
    <row r="4" spans="1:69" x14ac:dyDescent="0.4">
      <c r="A4" s="3">
        <v>2</v>
      </c>
      <c r="B4" s="3">
        <v>2</v>
      </c>
      <c r="C4" s="4">
        <v>100441</v>
      </c>
      <c r="D4" s="4" t="str">
        <f t="shared" ref="D4" si="0">TEXT(C4,"000000")</f>
        <v>100441</v>
      </c>
      <c r="E4" s="4">
        <v>100441</v>
      </c>
      <c r="F4" s="4" t="str">
        <f t="shared" ref="F4" si="1">D4&amp;I4</f>
        <v>1004415</v>
      </c>
      <c r="G4" s="4" t="s">
        <v>68</v>
      </c>
      <c r="H4" s="5">
        <v>4902778974384</v>
      </c>
      <c r="I4" s="5">
        <v>5</v>
      </c>
      <c r="J4" s="5"/>
      <c r="K4" s="5">
        <v>1</v>
      </c>
      <c r="L4" s="5">
        <v>1</v>
      </c>
      <c r="M4" s="4">
        <v>180</v>
      </c>
      <c r="N4" s="4">
        <v>141</v>
      </c>
      <c r="O4" s="4">
        <v>91.8</v>
      </c>
      <c r="P4" s="6">
        <f t="shared" ref="P4" si="2">IFERROR(1-O4/N4,"-")</f>
        <v>0.34893617021276602</v>
      </c>
      <c r="Q4" s="4"/>
      <c r="R4" s="4"/>
      <c r="S4" s="4"/>
      <c r="T4" s="4"/>
      <c r="U4" s="4"/>
      <c r="V4" s="4"/>
      <c r="W4" s="4"/>
      <c r="X4" s="4"/>
      <c r="Y4" s="4"/>
      <c r="Z4" s="4">
        <v>200</v>
      </c>
      <c r="AA4" s="4">
        <f t="shared" ref="AA4" si="3">IF(AD4="",Z4,Z4*AD4)</f>
        <v>200</v>
      </c>
      <c r="AB4" s="4"/>
      <c r="AC4" s="4">
        <f t="shared" ref="AC4" si="4">IF(AD4="",AB4,AB4*AD4)</f>
        <v>0</v>
      </c>
      <c r="AD4" s="4"/>
      <c r="AE4" s="20">
        <f t="shared" ref="AE4" si="5">ROUND(N4*AS4,0)</f>
        <v>0</v>
      </c>
      <c r="AF4" s="6" t="str">
        <f t="shared" ref="AF4" si="6">IFERROR(1-AC4/AE4,"-")</f>
        <v>-</v>
      </c>
      <c r="AG4" s="32"/>
      <c r="AH4" s="4">
        <f t="shared" ref="AH4" si="7">BI4</f>
        <v>0</v>
      </c>
      <c r="AI4" s="32">
        <f t="shared" ref="AI4" si="8">IFERROR(AH4*AS4,"-")</f>
        <v>0</v>
      </c>
      <c r="AJ4" s="6" t="str">
        <f t="shared" ref="AJ4" si="9">IFERROR(1-AC4/AI4,"-")</f>
        <v>-</v>
      </c>
      <c r="AK4" s="7"/>
      <c r="AL4" s="6" t="e">
        <f t="shared" ref="AL4" si="10">1-AC4/AK4</f>
        <v>#DIV/0!</v>
      </c>
      <c r="AM4" s="4">
        <f t="shared" ref="AM4" si="11">AK4-AC4</f>
        <v>0</v>
      </c>
      <c r="AN4" s="27"/>
      <c r="AO4" s="6"/>
      <c r="AP4" s="6"/>
      <c r="AQ4" s="6">
        <f t="shared" ref="AQ4" si="12">IFERROR(AA4/M4,"-")</f>
        <v>1.1111111111111112</v>
      </c>
      <c r="AR4" s="6">
        <f t="shared" ref="AR4" si="13">IFERROR(AK4/N4,"-")</f>
        <v>0</v>
      </c>
      <c r="AS4" s="6">
        <f t="shared" ref="AS4" si="14">IFERROR(AC4/O4,"-")</f>
        <v>0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>
        <f t="shared" ref="BH4" si="15">IFERROR(ROUNDUP(BG4/1.1,0),"-")</f>
        <v>0</v>
      </c>
      <c r="BI4" s="4">
        <f t="shared" ref="BI4" si="16">IF(BE4="",BH4,BE4/BF4*BH4)</f>
        <v>0</v>
      </c>
      <c r="BJ4" s="18"/>
      <c r="BK4" s="18"/>
      <c r="BL4" s="16"/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">
    <cfRule type="cellIs" dxfId="2" priority="4" operator="greaterThan">
      <formula>$AA4</formula>
    </cfRule>
  </conditionalFormatting>
  <conditionalFormatting sqref="AI4">
    <cfRule type="cellIs" dxfId="1" priority="2" operator="lessThan">
      <formula>$AK4</formula>
    </cfRule>
  </conditionalFormatting>
  <conditionalFormatting sqref="AL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2026-07-16T06:03:07Z</dcterms:modified>
</cp:coreProperties>
</file>