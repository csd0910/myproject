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_シモジマ_936\価格改定\20260714_8月末\"/>
    </mc:Choice>
  </mc:AlternateContent>
  <xr:revisionPtr revIDLastSave="0" documentId="13_ncr:1_{EAA9B496-CB7D-4938-9C53-A47AFF46D610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Sheet1!$A$3:$BX$78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1" i="1" l="1"/>
  <c r="AK11" i="1" s="1"/>
  <c r="BP35" i="1"/>
  <c r="AK35" i="1" s="1"/>
  <c r="BP49" i="1"/>
  <c r="AK49" i="1" s="1"/>
  <c r="BP52" i="1"/>
  <c r="AK52" i="1" s="1"/>
  <c r="BP56" i="1"/>
  <c r="AK56" i="1" s="1"/>
  <c r="BP57" i="1"/>
  <c r="AK57" i="1" s="1"/>
  <c r="BP59" i="1"/>
  <c r="AK59" i="1" s="1"/>
  <c r="BP65" i="1"/>
  <c r="AK65" i="1" s="1"/>
  <c r="BP67" i="1"/>
  <c r="AK67" i="1" s="1"/>
  <c r="BP68" i="1"/>
  <c r="AK68" i="1" s="1"/>
  <c r="BP77" i="1"/>
  <c r="AK77" i="1" s="1"/>
  <c r="BP72" i="1"/>
  <c r="AK72" i="1" s="1"/>
  <c r="BP73" i="1"/>
  <c r="AK73" i="1" s="1"/>
  <c r="BP76" i="1"/>
  <c r="AK76" i="1" s="1"/>
  <c r="AX5" i="1"/>
  <c r="AY5" i="1"/>
  <c r="AZ5" i="1"/>
  <c r="BA5" i="1"/>
  <c r="BB5" i="1"/>
  <c r="BC5" i="1"/>
  <c r="BD5" i="1"/>
  <c r="BE5" i="1"/>
  <c r="BF5" i="1"/>
  <c r="BG5" i="1"/>
  <c r="BH5" i="1"/>
  <c r="BI5" i="1"/>
  <c r="AX6" i="1"/>
  <c r="AY6" i="1"/>
  <c r="AZ6" i="1"/>
  <c r="BA6" i="1"/>
  <c r="BB6" i="1"/>
  <c r="BC6" i="1"/>
  <c r="BD6" i="1"/>
  <c r="BE6" i="1"/>
  <c r="BF6" i="1"/>
  <c r="BG6" i="1"/>
  <c r="BH6" i="1"/>
  <c r="BI6" i="1"/>
  <c r="AX7" i="1"/>
  <c r="AY7" i="1"/>
  <c r="AZ7" i="1"/>
  <c r="BA7" i="1"/>
  <c r="BB7" i="1"/>
  <c r="BC7" i="1"/>
  <c r="BD7" i="1"/>
  <c r="BE7" i="1"/>
  <c r="BF7" i="1"/>
  <c r="BG7" i="1"/>
  <c r="BH7" i="1"/>
  <c r="BI7" i="1"/>
  <c r="AX8" i="1"/>
  <c r="AY8" i="1"/>
  <c r="AZ8" i="1"/>
  <c r="BA8" i="1"/>
  <c r="BB8" i="1"/>
  <c r="BC8" i="1"/>
  <c r="BD8" i="1"/>
  <c r="BE8" i="1"/>
  <c r="BF8" i="1"/>
  <c r="BG8" i="1"/>
  <c r="BH8" i="1"/>
  <c r="BI8" i="1"/>
  <c r="AX9" i="1"/>
  <c r="AY9" i="1"/>
  <c r="AZ9" i="1"/>
  <c r="BA9" i="1"/>
  <c r="BB9" i="1"/>
  <c r="BC9" i="1"/>
  <c r="BD9" i="1"/>
  <c r="BE9" i="1"/>
  <c r="BF9" i="1"/>
  <c r="BG9" i="1"/>
  <c r="BH9" i="1"/>
  <c r="BI9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AX27" i="1"/>
  <c r="AW27" i="1" s="1"/>
  <c r="AY27" i="1"/>
  <c r="AZ27" i="1"/>
  <c r="BA27" i="1"/>
  <c r="BB27" i="1"/>
  <c r="BC27" i="1"/>
  <c r="BD27" i="1"/>
  <c r="BE27" i="1"/>
  <c r="BF27" i="1"/>
  <c r="BG27" i="1"/>
  <c r="BH27" i="1"/>
  <c r="BI27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AX29" i="1"/>
  <c r="AW29" i="1" s="1"/>
  <c r="AY29" i="1"/>
  <c r="AZ29" i="1"/>
  <c r="BA29" i="1"/>
  <c r="BB29" i="1"/>
  <c r="BC29" i="1"/>
  <c r="BD29" i="1"/>
  <c r="BE29" i="1"/>
  <c r="BF29" i="1"/>
  <c r="BG29" i="1"/>
  <c r="BH29" i="1"/>
  <c r="BI29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AX31" i="1"/>
  <c r="AW31" i="1" s="1"/>
  <c r="AY31" i="1"/>
  <c r="AZ31" i="1"/>
  <c r="BA31" i="1"/>
  <c r="BB31" i="1"/>
  <c r="BC31" i="1"/>
  <c r="BD31" i="1"/>
  <c r="BE31" i="1"/>
  <c r="BF31" i="1"/>
  <c r="BG31" i="1"/>
  <c r="BH31" i="1"/>
  <c r="BI31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AX35" i="1"/>
  <c r="AW35" i="1" s="1"/>
  <c r="AY35" i="1"/>
  <c r="AZ35" i="1"/>
  <c r="BA35" i="1"/>
  <c r="BB35" i="1"/>
  <c r="BC35" i="1"/>
  <c r="BD35" i="1"/>
  <c r="BE35" i="1"/>
  <c r="BF35" i="1"/>
  <c r="BG35" i="1"/>
  <c r="BH35" i="1"/>
  <c r="BI35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AX41" i="1"/>
  <c r="AW41" i="1" s="1"/>
  <c r="AY41" i="1"/>
  <c r="AZ41" i="1"/>
  <c r="BA41" i="1"/>
  <c r="BB41" i="1"/>
  <c r="BC41" i="1"/>
  <c r="BD41" i="1"/>
  <c r="BE41" i="1"/>
  <c r="BF41" i="1"/>
  <c r="BG41" i="1"/>
  <c r="BH41" i="1"/>
  <c r="BI41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AX49" i="1"/>
  <c r="AW49" i="1" s="1"/>
  <c r="AY49" i="1"/>
  <c r="AZ49" i="1"/>
  <c r="BA49" i="1"/>
  <c r="BB49" i="1"/>
  <c r="BC49" i="1"/>
  <c r="BD49" i="1"/>
  <c r="BE49" i="1"/>
  <c r="BF49" i="1"/>
  <c r="BG49" i="1"/>
  <c r="BH49" i="1"/>
  <c r="BI49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AX64" i="1"/>
  <c r="AW64" i="1" s="1"/>
  <c r="AY64" i="1"/>
  <c r="AZ64" i="1"/>
  <c r="BA64" i="1"/>
  <c r="BB64" i="1"/>
  <c r="BC64" i="1"/>
  <c r="BD64" i="1"/>
  <c r="BE64" i="1"/>
  <c r="BF64" i="1"/>
  <c r="BG64" i="1"/>
  <c r="BH64" i="1"/>
  <c r="BI64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F4" i="1"/>
  <c r="BE4" i="1"/>
  <c r="BD4" i="1"/>
  <c r="BI4" i="1"/>
  <c r="BH4" i="1"/>
  <c r="BG4" i="1"/>
  <c r="BC4" i="1"/>
  <c r="BB4" i="1"/>
  <c r="BA4" i="1"/>
  <c r="AZ4" i="1"/>
  <c r="AY4" i="1"/>
  <c r="AX4" i="1"/>
  <c r="BP74" i="1"/>
  <c r="AK74" i="1" s="1"/>
  <c r="AU74" i="1"/>
  <c r="AF74" i="1"/>
  <c r="AV74" i="1" s="1"/>
  <c r="AH74" i="1" s="1"/>
  <c r="AD74" i="1"/>
  <c r="AT74" i="1" s="1"/>
  <c r="P74" i="1"/>
  <c r="D74" i="1"/>
  <c r="AU25" i="1"/>
  <c r="P25" i="1"/>
  <c r="AU26" i="1"/>
  <c r="AU11" i="1"/>
  <c r="P11" i="1"/>
  <c r="AU27" i="1"/>
  <c r="AU39" i="1"/>
  <c r="P39" i="1"/>
  <c r="AU28" i="1"/>
  <c r="AU29" i="1"/>
  <c r="AU41" i="1"/>
  <c r="AU12" i="1"/>
  <c r="P12" i="1"/>
  <c r="P32" i="1"/>
  <c r="P48" i="1"/>
  <c r="P49" i="1"/>
  <c r="P50" i="1"/>
  <c r="AU42" i="1"/>
  <c r="P42" i="1"/>
  <c r="AU33" i="1"/>
  <c r="P33" i="1"/>
  <c r="AU52" i="1"/>
  <c r="AU54" i="1"/>
  <c r="AU55" i="1"/>
  <c r="AU56" i="1"/>
  <c r="AU34" i="1"/>
  <c r="AU35" i="1"/>
  <c r="P35" i="1"/>
  <c r="AU59" i="1"/>
  <c r="AU61" i="1"/>
  <c r="AU51" i="1"/>
  <c r="P58" i="1"/>
  <c r="P67" i="1"/>
  <c r="P68" i="1"/>
  <c r="P63" i="1"/>
  <c r="AU65" i="1"/>
  <c r="P65" i="1"/>
  <c r="P66" i="1"/>
  <c r="P73" i="1"/>
  <c r="AU75" i="1"/>
  <c r="AU7" i="1"/>
  <c r="P7" i="1"/>
  <c r="AU8" i="1"/>
  <c r="AU76" i="1"/>
  <c r="P76" i="1"/>
  <c r="P72" i="1"/>
  <c r="P78" i="1"/>
  <c r="BP78" i="1"/>
  <c r="AK78" i="1" s="1"/>
  <c r="AU78" i="1"/>
  <c r="AF78" i="1"/>
  <c r="AO78" i="1" s="1"/>
  <c r="AD78" i="1"/>
  <c r="AT78" i="1" s="1"/>
  <c r="D78" i="1"/>
  <c r="AU72" i="1"/>
  <c r="AF72" i="1"/>
  <c r="AD72" i="1"/>
  <c r="AT72" i="1" s="1"/>
  <c r="D72" i="1"/>
  <c r="AU77" i="1"/>
  <c r="AF77" i="1"/>
  <c r="AO77" i="1" s="1"/>
  <c r="AD77" i="1"/>
  <c r="AT77" i="1" s="1"/>
  <c r="P77" i="1"/>
  <c r="D77" i="1"/>
  <c r="AF76" i="1"/>
  <c r="AO76" i="1" s="1"/>
  <c r="AD76" i="1"/>
  <c r="AT76" i="1" s="1"/>
  <c r="D76" i="1"/>
  <c r="BP9" i="1"/>
  <c r="AK9" i="1" s="1"/>
  <c r="AU9" i="1"/>
  <c r="AF9" i="1"/>
  <c r="AW9" i="1" s="1"/>
  <c r="AD9" i="1"/>
  <c r="AT9" i="1" s="1"/>
  <c r="P9" i="1"/>
  <c r="D9" i="1"/>
  <c r="BP8" i="1"/>
  <c r="AK8" i="1" s="1"/>
  <c r="AF8" i="1"/>
  <c r="AO8" i="1" s="1"/>
  <c r="AD8" i="1"/>
  <c r="AT8" i="1" s="1"/>
  <c r="P8" i="1"/>
  <c r="D8" i="1"/>
  <c r="BP7" i="1"/>
  <c r="AK7" i="1" s="1"/>
  <c r="AF7" i="1"/>
  <c r="AD7" i="1"/>
  <c r="AT7" i="1" s="1"/>
  <c r="D7" i="1"/>
  <c r="BP6" i="1"/>
  <c r="AK6" i="1" s="1"/>
  <c r="AU6" i="1"/>
  <c r="AF6" i="1"/>
  <c r="AO6" i="1" s="1"/>
  <c r="AD6" i="1"/>
  <c r="AT6" i="1" s="1"/>
  <c r="P6" i="1"/>
  <c r="D6" i="1"/>
  <c r="BP75" i="1"/>
  <c r="AK75" i="1" s="1"/>
  <c r="AF75" i="1"/>
  <c r="AD75" i="1"/>
  <c r="AT75" i="1" s="1"/>
  <c r="P75" i="1"/>
  <c r="D75" i="1"/>
  <c r="AF73" i="1"/>
  <c r="AO73" i="1" s="1"/>
  <c r="AD73" i="1"/>
  <c r="AT73" i="1" s="1"/>
  <c r="D73" i="1"/>
  <c r="BP66" i="1"/>
  <c r="AK66" i="1" s="1"/>
  <c r="AU66" i="1"/>
  <c r="AF66" i="1"/>
  <c r="AD66" i="1"/>
  <c r="AT66" i="1" s="1"/>
  <c r="D66" i="1"/>
  <c r="AF65" i="1"/>
  <c r="AO65" i="1" s="1"/>
  <c r="AD65" i="1"/>
  <c r="AT65" i="1" s="1"/>
  <c r="D65" i="1"/>
  <c r="BP64" i="1"/>
  <c r="AK64" i="1" s="1"/>
  <c r="AU64" i="1"/>
  <c r="AF64" i="1"/>
  <c r="AD64" i="1"/>
  <c r="AT64" i="1" s="1"/>
  <c r="P64" i="1"/>
  <c r="D64" i="1"/>
  <c r="BP63" i="1"/>
  <c r="AK63" i="1" s="1"/>
  <c r="AU63" i="1"/>
  <c r="AF63" i="1"/>
  <c r="AO63" i="1" s="1"/>
  <c r="AD63" i="1"/>
  <c r="AT63" i="1" s="1"/>
  <c r="D63" i="1"/>
  <c r="AU68" i="1"/>
  <c r="AF68" i="1"/>
  <c r="AD68" i="1"/>
  <c r="AT68" i="1" s="1"/>
  <c r="D68" i="1"/>
  <c r="BP62" i="1"/>
  <c r="AK62" i="1" s="1"/>
  <c r="AU62" i="1"/>
  <c r="AF62" i="1"/>
  <c r="AO62" i="1" s="1"/>
  <c r="AD62" i="1"/>
  <c r="AT62" i="1" s="1"/>
  <c r="P62" i="1"/>
  <c r="D62" i="1"/>
  <c r="AU67" i="1"/>
  <c r="AF67" i="1"/>
  <c r="AD67" i="1"/>
  <c r="AT67" i="1" s="1"/>
  <c r="D67" i="1"/>
  <c r="BP58" i="1"/>
  <c r="AK58" i="1" s="1"/>
  <c r="AU58" i="1"/>
  <c r="AF58" i="1"/>
  <c r="AO58" i="1" s="1"/>
  <c r="AD58" i="1"/>
  <c r="AT58" i="1" s="1"/>
  <c r="D58" i="1"/>
  <c r="BP51" i="1"/>
  <c r="AK51" i="1" s="1"/>
  <c r="AF51" i="1"/>
  <c r="AD51" i="1"/>
  <c r="AT51" i="1" s="1"/>
  <c r="P51" i="1"/>
  <c r="D51" i="1"/>
  <c r="BP61" i="1"/>
  <c r="AK61" i="1" s="1"/>
  <c r="AF61" i="1"/>
  <c r="AO61" i="1" s="1"/>
  <c r="AD61" i="1"/>
  <c r="AT61" i="1" s="1"/>
  <c r="P61" i="1"/>
  <c r="D61" i="1"/>
  <c r="BP60" i="1"/>
  <c r="AK60" i="1" s="1"/>
  <c r="AU60" i="1"/>
  <c r="AF60" i="1"/>
  <c r="AD60" i="1"/>
  <c r="AT60" i="1" s="1"/>
  <c r="P60" i="1"/>
  <c r="D60" i="1"/>
  <c r="AF59" i="1"/>
  <c r="AO59" i="1" s="1"/>
  <c r="AD59" i="1"/>
  <c r="AT59" i="1" s="1"/>
  <c r="P59" i="1"/>
  <c r="D59" i="1"/>
  <c r="AF35" i="1"/>
  <c r="AO35" i="1" s="1"/>
  <c r="AD35" i="1"/>
  <c r="AT35" i="1" s="1"/>
  <c r="D35" i="1"/>
  <c r="AU57" i="1"/>
  <c r="AF57" i="1"/>
  <c r="AO57" i="1" s="1"/>
  <c r="AD57" i="1"/>
  <c r="AT57" i="1" s="1"/>
  <c r="P57" i="1"/>
  <c r="D57" i="1"/>
  <c r="BP34" i="1"/>
  <c r="AK34" i="1" s="1"/>
  <c r="AF34" i="1"/>
  <c r="AO34" i="1" s="1"/>
  <c r="AD34" i="1"/>
  <c r="AT34" i="1" s="1"/>
  <c r="P34" i="1"/>
  <c r="D34" i="1"/>
  <c r="AF56" i="1"/>
  <c r="AD56" i="1"/>
  <c r="AT56" i="1" s="1"/>
  <c r="D56" i="1"/>
  <c r="BP55" i="1"/>
  <c r="AK55" i="1" s="1"/>
  <c r="AF55" i="1"/>
  <c r="AO55" i="1" s="1"/>
  <c r="AD55" i="1"/>
  <c r="AT55" i="1" s="1"/>
  <c r="P55" i="1"/>
  <c r="D55" i="1"/>
  <c r="BP54" i="1"/>
  <c r="AK54" i="1" s="1"/>
  <c r="AF54" i="1"/>
  <c r="AO54" i="1" s="1"/>
  <c r="AD54" i="1"/>
  <c r="AT54" i="1" s="1"/>
  <c r="P54" i="1"/>
  <c r="D54" i="1"/>
  <c r="BP53" i="1"/>
  <c r="AK53" i="1" s="1"/>
  <c r="AU53" i="1"/>
  <c r="AF53" i="1"/>
  <c r="AD53" i="1"/>
  <c r="P53" i="1"/>
  <c r="D53" i="1"/>
  <c r="AF52" i="1"/>
  <c r="AP52" i="1" s="1"/>
  <c r="AD52" i="1"/>
  <c r="AT52" i="1" s="1"/>
  <c r="P52" i="1"/>
  <c r="D52" i="1"/>
  <c r="BP33" i="1"/>
  <c r="AK33" i="1" s="1"/>
  <c r="AF33" i="1"/>
  <c r="AP33" i="1" s="1"/>
  <c r="AD33" i="1"/>
  <c r="AT33" i="1" s="1"/>
  <c r="D33" i="1"/>
  <c r="BP43" i="1"/>
  <c r="AK43" i="1" s="1"/>
  <c r="AU43" i="1"/>
  <c r="AF43" i="1"/>
  <c r="AO43" i="1" s="1"/>
  <c r="AD43" i="1"/>
  <c r="AT43" i="1" s="1"/>
  <c r="P43" i="1"/>
  <c r="D43" i="1"/>
  <c r="BP42" i="1"/>
  <c r="AK42" i="1" s="1"/>
  <c r="AF42" i="1"/>
  <c r="AW42" i="1" s="1"/>
  <c r="AD42" i="1"/>
  <c r="AT42" i="1" s="1"/>
  <c r="D42" i="1"/>
  <c r="BP50" i="1"/>
  <c r="AK50" i="1" s="1"/>
  <c r="AU50" i="1"/>
  <c r="AF50" i="1"/>
  <c r="AP50" i="1" s="1"/>
  <c r="AD50" i="1"/>
  <c r="D50" i="1"/>
  <c r="AU49" i="1"/>
  <c r="AF49" i="1"/>
  <c r="AP49" i="1" s="1"/>
  <c r="AD49" i="1"/>
  <c r="AT49" i="1" s="1"/>
  <c r="D49" i="1"/>
  <c r="BP48" i="1"/>
  <c r="AK48" i="1" s="1"/>
  <c r="AU48" i="1"/>
  <c r="AF48" i="1"/>
  <c r="AO48" i="1" s="1"/>
  <c r="AD48" i="1"/>
  <c r="D48" i="1"/>
  <c r="BP32" i="1"/>
  <c r="AK32" i="1" s="1"/>
  <c r="AU32" i="1"/>
  <c r="AF32" i="1"/>
  <c r="AD32" i="1"/>
  <c r="AT32" i="1" s="1"/>
  <c r="D32" i="1"/>
  <c r="BP31" i="1"/>
  <c r="AK31" i="1" s="1"/>
  <c r="AU31" i="1"/>
  <c r="AF31" i="1"/>
  <c r="AP31" i="1" s="1"/>
  <c r="AD31" i="1"/>
  <c r="AT31" i="1" s="1"/>
  <c r="P31" i="1"/>
  <c r="D31" i="1"/>
  <c r="BP12" i="1"/>
  <c r="AK12" i="1" s="1"/>
  <c r="AF12" i="1"/>
  <c r="AP12" i="1" s="1"/>
  <c r="AD12" i="1"/>
  <c r="AT12" i="1" s="1"/>
  <c r="D12" i="1"/>
  <c r="BP30" i="1"/>
  <c r="AK30" i="1" s="1"/>
  <c r="AU30" i="1"/>
  <c r="AF30" i="1"/>
  <c r="AO30" i="1" s="1"/>
  <c r="AD30" i="1"/>
  <c r="AT30" i="1" s="1"/>
  <c r="P30" i="1"/>
  <c r="D30" i="1"/>
  <c r="BP41" i="1"/>
  <c r="AK41" i="1" s="1"/>
  <c r="AF41" i="1"/>
  <c r="AO41" i="1" s="1"/>
  <c r="AD41" i="1"/>
  <c r="AT41" i="1" s="1"/>
  <c r="P41" i="1"/>
  <c r="D41" i="1"/>
  <c r="BP29" i="1"/>
  <c r="AK29" i="1" s="1"/>
  <c r="AF29" i="1"/>
  <c r="AV29" i="1" s="1"/>
  <c r="BU29" i="1" s="1"/>
  <c r="AD29" i="1"/>
  <c r="AT29" i="1" s="1"/>
  <c r="D29" i="1"/>
  <c r="BP28" i="1"/>
  <c r="AK28" i="1" s="1"/>
  <c r="AF28" i="1"/>
  <c r="AO28" i="1" s="1"/>
  <c r="AD28" i="1"/>
  <c r="AT28" i="1" s="1"/>
  <c r="P28" i="1"/>
  <c r="D28" i="1"/>
  <c r="BP39" i="1"/>
  <c r="AK39" i="1" s="1"/>
  <c r="AF39" i="1"/>
  <c r="AO39" i="1" s="1"/>
  <c r="AD39" i="1"/>
  <c r="AT39" i="1" s="1"/>
  <c r="D39" i="1"/>
  <c r="BP40" i="1"/>
  <c r="AK40" i="1" s="1"/>
  <c r="AU40" i="1"/>
  <c r="AF40" i="1"/>
  <c r="AD40" i="1"/>
  <c r="AT40" i="1" s="1"/>
  <c r="P40" i="1"/>
  <c r="D40" i="1"/>
  <c r="BP27" i="1"/>
  <c r="AK27" i="1" s="1"/>
  <c r="AF27" i="1"/>
  <c r="AO27" i="1" s="1"/>
  <c r="AD27" i="1"/>
  <c r="AT27" i="1" s="1"/>
  <c r="P27" i="1"/>
  <c r="D27" i="1"/>
  <c r="AF11" i="1"/>
  <c r="AO11" i="1" s="1"/>
  <c r="AD11" i="1"/>
  <c r="AT11" i="1" s="1"/>
  <c r="D11" i="1"/>
  <c r="BP26" i="1"/>
  <c r="AK26" i="1" s="1"/>
  <c r="AF26" i="1"/>
  <c r="AD26" i="1"/>
  <c r="AT26" i="1" s="1"/>
  <c r="P26" i="1"/>
  <c r="D26" i="1"/>
  <c r="BP25" i="1"/>
  <c r="AK25" i="1" s="1"/>
  <c r="AF25" i="1"/>
  <c r="AD25" i="1"/>
  <c r="AT25" i="1" s="1"/>
  <c r="D25" i="1"/>
  <c r="BP47" i="1"/>
  <c r="AK47" i="1" s="1"/>
  <c r="AU47" i="1"/>
  <c r="AF47" i="1"/>
  <c r="AO47" i="1" s="1"/>
  <c r="AD47" i="1"/>
  <c r="AT47" i="1" s="1"/>
  <c r="P47" i="1"/>
  <c r="D47" i="1"/>
  <c r="BP24" i="1"/>
  <c r="AK24" i="1" s="1"/>
  <c r="AU24" i="1"/>
  <c r="AF24" i="1"/>
  <c r="AO24" i="1" s="1"/>
  <c r="AD24" i="1"/>
  <c r="AT24" i="1" s="1"/>
  <c r="P24" i="1"/>
  <c r="D24" i="1"/>
  <c r="BP46" i="1"/>
  <c r="AK46" i="1" s="1"/>
  <c r="AU46" i="1"/>
  <c r="AF46" i="1"/>
  <c r="AD46" i="1"/>
  <c r="AT46" i="1" s="1"/>
  <c r="P46" i="1"/>
  <c r="D46" i="1"/>
  <c r="BP23" i="1"/>
  <c r="AK23" i="1" s="1"/>
  <c r="AU23" i="1"/>
  <c r="AF23" i="1"/>
  <c r="AW23" i="1" s="1"/>
  <c r="AD23" i="1"/>
  <c r="AT23" i="1" s="1"/>
  <c r="P23" i="1"/>
  <c r="D23" i="1"/>
  <c r="BP45" i="1"/>
  <c r="AK45" i="1" s="1"/>
  <c r="AU45" i="1"/>
  <c r="AF45" i="1"/>
  <c r="AO45" i="1" s="1"/>
  <c r="AD45" i="1"/>
  <c r="AT45" i="1" s="1"/>
  <c r="P45" i="1"/>
  <c r="D45" i="1"/>
  <c r="BP22" i="1"/>
  <c r="AK22" i="1" s="1"/>
  <c r="AU22" i="1"/>
  <c r="AF22" i="1"/>
  <c r="AO22" i="1" s="1"/>
  <c r="AD22" i="1"/>
  <c r="AT22" i="1" s="1"/>
  <c r="P22" i="1"/>
  <c r="D22" i="1"/>
  <c r="P5" i="1"/>
  <c r="P36" i="1"/>
  <c r="P37" i="1"/>
  <c r="P69" i="1"/>
  <c r="P71" i="1"/>
  <c r="P70" i="1"/>
  <c r="P13" i="1"/>
  <c r="P14" i="1"/>
  <c r="P15" i="1"/>
  <c r="P38" i="1"/>
  <c r="P16" i="1"/>
  <c r="P17" i="1"/>
  <c r="P18" i="1"/>
  <c r="P19" i="1"/>
  <c r="P10" i="1"/>
  <c r="P20" i="1"/>
  <c r="P21" i="1"/>
  <c r="P44" i="1"/>
  <c r="AU5" i="1"/>
  <c r="AU36" i="1"/>
  <c r="AU37" i="1"/>
  <c r="AU69" i="1"/>
  <c r="AU71" i="1"/>
  <c r="AU70" i="1"/>
  <c r="AU13" i="1"/>
  <c r="AU14" i="1"/>
  <c r="AU15" i="1"/>
  <c r="AU38" i="1"/>
  <c r="AU16" i="1"/>
  <c r="AU17" i="1"/>
  <c r="AU18" i="1"/>
  <c r="AU19" i="1"/>
  <c r="AU10" i="1"/>
  <c r="AU20" i="1"/>
  <c r="AU21" i="1"/>
  <c r="AU44" i="1"/>
  <c r="BP44" i="1"/>
  <c r="AK44" i="1" s="1"/>
  <c r="AF44" i="1"/>
  <c r="AD44" i="1"/>
  <c r="AT44" i="1" s="1"/>
  <c r="D44" i="1"/>
  <c r="BP21" i="1"/>
  <c r="AK21" i="1" s="1"/>
  <c r="AF21" i="1"/>
  <c r="AP21" i="1" s="1"/>
  <c r="AD21" i="1"/>
  <c r="AT21" i="1" s="1"/>
  <c r="D21" i="1"/>
  <c r="BP20" i="1"/>
  <c r="AK20" i="1" s="1"/>
  <c r="AF20" i="1"/>
  <c r="AD20" i="1"/>
  <c r="AT20" i="1" s="1"/>
  <c r="D20" i="1"/>
  <c r="BP10" i="1"/>
  <c r="AK10" i="1" s="1"/>
  <c r="AF10" i="1"/>
  <c r="AP10" i="1" s="1"/>
  <c r="AD10" i="1"/>
  <c r="AT10" i="1" s="1"/>
  <c r="D10" i="1"/>
  <c r="BP19" i="1"/>
  <c r="AK19" i="1" s="1"/>
  <c r="AF19" i="1"/>
  <c r="AO19" i="1" s="1"/>
  <c r="AD19" i="1"/>
  <c r="AT19" i="1" s="1"/>
  <c r="D19" i="1"/>
  <c r="BP18" i="1"/>
  <c r="AK18" i="1" s="1"/>
  <c r="AF18" i="1"/>
  <c r="AO18" i="1" s="1"/>
  <c r="AD18" i="1"/>
  <c r="AT18" i="1" s="1"/>
  <c r="D18" i="1"/>
  <c r="BP17" i="1"/>
  <c r="AK17" i="1" s="1"/>
  <c r="AF17" i="1"/>
  <c r="AP17" i="1" s="1"/>
  <c r="AD17" i="1"/>
  <c r="AT17" i="1" s="1"/>
  <c r="D17" i="1"/>
  <c r="BP16" i="1"/>
  <c r="AK16" i="1" s="1"/>
  <c r="AF16" i="1"/>
  <c r="AP16" i="1" s="1"/>
  <c r="AD16" i="1"/>
  <c r="AT16" i="1" s="1"/>
  <c r="D16" i="1"/>
  <c r="BP38" i="1"/>
  <c r="AK38" i="1" s="1"/>
  <c r="AF38" i="1"/>
  <c r="AD38" i="1"/>
  <c r="AT38" i="1" s="1"/>
  <c r="D38" i="1"/>
  <c r="AW72" i="1" l="1"/>
  <c r="AW56" i="1"/>
  <c r="AW51" i="1"/>
  <c r="AW77" i="1"/>
  <c r="AW75" i="1"/>
  <c r="AW73" i="1"/>
  <c r="AW46" i="1"/>
  <c r="AW44" i="1"/>
  <c r="AW25" i="1"/>
  <c r="BW74" i="1"/>
  <c r="AW67" i="1"/>
  <c r="AW62" i="1"/>
  <c r="AW60" i="1"/>
  <c r="AW55" i="1"/>
  <c r="AW53" i="1"/>
  <c r="AW43" i="1"/>
  <c r="AW21" i="1"/>
  <c r="AW19" i="1"/>
  <c r="AW17" i="1"/>
  <c r="AW11" i="1"/>
  <c r="AW7" i="1"/>
  <c r="BW29" i="1"/>
  <c r="AW78" i="1"/>
  <c r="AW76" i="1"/>
  <c r="AW74" i="1"/>
  <c r="AW65" i="1"/>
  <c r="AW58" i="1"/>
  <c r="AW47" i="1"/>
  <c r="AW45" i="1"/>
  <c r="AW39" i="1"/>
  <c r="AW50" i="1"/>
  <c r="BU74" i="1"/>
  <c r="AW33" i="1"/>
  <c r="AW63" i="1"/>
  <c r="AW40" i="1"/>
  <c r="AW38" i="1"/>
  <c r="AW34" i="1"/>
  <c r="AW32" i="1"/>
  <c r="AW30" i="1"/>
  <c r="AW28" i="1"/>
  <c r="AW26" i="1"/>
  <c r="AW24" i="1"/>
  <c r="AW8" i="1"/>
  <c r="AW68" i="1"/>
  <c r="AW66" i="1"/>
  <c r="AW61" i="1"/>
  <c r="AW59" i="1"/>
  <c r="AW54" i="1"/>
  <c r="AW52" i="1"/>
  <c r="AW48" i="1"/>
  <c r="AW22" i="1"/>
  <c r="AW20" i="1"/>
  <c r="AW18" i="1"/>
  <c r="AW16" i="1"/>
  <c r="AW12" i="1"/>
  <c r="AW10" i="1"/>
  <c r="AW6" i="1"/>
  <c r="AL74" i="1"/>
  <c r="AM74" i="1" s="1"/>
  <c r="AO74" i="1"/>
  <c r="AP74" i="1"/>
  <c r="AI74" i="1"/>
  <c r="AO12" i="1"/>
  <c r="AO33" i="1"/>
  <c r="AO49" i="1"/>
  <c r="AL29" i="1"/>
  <c r="AM29" i="1" s="1"/>
  <c r="AP30" i="1"/>
  <c r="AP48" i="1"/>
  <c r="AP43" i="1"/>
  <c r="P56" i="1"/>
  <c r="AT53" i="1"/>
  <c r="P29" i="1"/>
  <c r="AU73" i="1"/>
  <c r="AH29" i="1"/>
  <c r="AI29" i="1" s="1"/>
  <c r="AT48" i="1"/>
  <c r="AT50" i="1"/>
  <c r="P4" i="1"/>
  <c r="AU4" i="1"/>
  <c r="AO23" i="1"/>
  <c r="AO46" i="1"/>
  <c r="AO25" i="1"/>
  <c r="AO26" i="1"/>
  <c r="AO40" i="1"/>
  <c r="AO29" i="1"/>
  <c r="AV56" i="1"/>
  <c r="AP56" i="1"/>
  <c r="AP22" i="1"/>
  <c r="AP45" i="1"/>
  <c r="AP23" i="1"/>
  <c r="AP46" i="1"/>
  <c r="AP24" i="1"/>
  <c r="AP47" i="1"/>
  <c r="AP25" i="1"/>
  <c r="AP26" i="1"/>
  <c r="AP11" i="1"/>
  <c r="AP27" i="1"/>
  <c r="AP40" i="1"/>
  <c r="AP39" i="1"/>
  <c r="AP28" i="1"/>
  <c r="AP29" i="1"/>
  <c r="AV41" i="1"/>
  <c r="AV32" i="1"/>
  <c r="AV42" i="1"/>
  <c r="AV53" i="1"/>
  <c r="AP53" i="1"/>
  <c r="AV60" i="1"/>
  <c r="AP60" i="1"/>
  <c r="AV77" i="1"/>
  <c r="AP77" i="1"/>
  <c r="AV55" i="1"/>
  <c r="AP55" i="1"/>
  <c r="AV51" i="1"/>
  <c r="AP51" i="1"/>
  <c r="AV67" i="1"/>
  <c r="AP67" i="1"/>
  <c r="AV45" i="1"/>
  <c r="AV46" i="1"/>
  <c r="AV24" i="1"/>
  <c r="AV26" i="1"/>
  <c r="AV72" i="1"/>
  <c r="AP72" i="1"/>
  <c r="AV50" i="1"/>
  <c r="AV52" i="1"/>
  <c r="AV68" i="1"/>
  <c r="AP68" i="1"/>
  <c r="AV7" i="1"/>
  <c r="AP7" i="1"/>
  <c r="AV9" i="1"/>
  <c r="AP9" i="1"/>
  <c r="AV22" i="1"/>
  <c r="AV47" i="1"/>
  <c r="AV25" i="1"/>
  <c r="AV11" i="1"/>
  <c r="AV27" i="1"/>
  <c r="AV40" i="1"/>
  <c r="AV39" i="1"/>
  <c r="AV28" i="1"/>
  <c r="AV12" i="1"/>
  <c r="AV49" i="1"/>
  <c r="AV33" i="1"/>
  <c r="AO56" i="1"/>
  <c r="AV34" i="1"/>
  <c r="AP34" i="1"/>
  <c r="AV31" i="1"/>
  <c r="AV64" i="1"/>
  <c r="AP64" i="1"/>
  <c r="AV66" i="1"/>
  <c r="AP66" i="1"/>
  <c r="AV75" i="1"/>
  <c r="AP75" i="1"/>
  <c r="AV23" i="1"/>
  <c r="AV59" i="1"/>
  <c r="AP59" i="1"/>
  <c r="AO32" i="1"/>
  <c r="AO42" i="1"/>
  <c r="AO53" i="1"/>
  <c r="AV54" i="1"/>
  <c r="AP54" i="1"/>
  <c r="AO60" i="1"/>
  <c r="AV61" i="1"/>
  <c r="AP61" i="1"/>
  <c r="AO9" i="1"/>
  <c r="AV76" i="1"/>
  <c r="AP76" i="1"/>
  <c r="AP41" i="1"/>
  <c r="AV30" i="1"/>
  <c r="AP32" i="1"/>
  <c r="AV48" i="1"/>
  <c r="AP42" i="1"/>
  <c r="AV43" i="1"/>
  <c r="AV35" i="1"/>
  <c r="AP35" i="1"/>
  <c r="AO51" i="1"/>
  <c r="AV58" i="1"/>
  <c r="AP58" i="1"/>
  <c r="AO67" i="1"/>
  <c r="AV62" i="1"/>
  <c r="AP62" i="1"/>
  <c r="AO68" i="1"/>
  <c r="AV63" i="1"/>
  <c r="AP63" i="1"/>
  <c r="AO64" i="1"/>
  <c r="AV65" i="1"/>
  <c r="AP65" i="1"/>
  <c r="AO66" i="1"/>
  <c r="AV73" i="1"/>
  <c r="AP73" i="1"/>
  <c r="AO75" i="1"/>
  <c r="AV6" i="1"/>
  <c r="AP6" i="1"/>
  <c r="AO7" i="1"/>
  <c r="AV8" i="1"/>
  <c r="AP8" i="1"/>
  <c r="AO72" i="1"/>
  <c r="AV78" i="1"/>
  <c r="AP78" i="1"/>
  <c r="AV57" i="1"/>
  <c r="AP57" i="1"/>
  <c r="AO31" i="1"/>
  <c r="AO50" i="1"/>
  <c r="AO52" i="1"/>
  <c r="AV18" i="1"/>
  <c r="AV20" i="1"/>
  <c r="AV44" i="1"/>
  <c r="AV38" i="1"/>
  <c r="AV10" i="1"/>
  <c r="AV17" i="1"/>
  <c r="AV21" i="1"/>
  <c r="AV19" i="1"/>
  <c r="AV16" i="1"/>
  <c r="AO21" i="1"/>
  <c r="AO38" i="1"/>
  <c r="AO16" i="1"/>
  <c r="AP38" i="1"/>
  <c r="AO44" i="1"/>
  <c r="AP44" i="1"/>
  <c r="AP19" i="1"/>
  <c r="AO17" i="1"/>
  <c r="AP18" i="1"/>
  <c r="AO20" i="1"/>
  <c r="AO10" i="1"/>
  <c r="AP20" i="1"/>
  <c r="AH57" i="1" l="1"/>
  <c r="AI57" i="1" s="1"/>
  <c r="BW57" i="1"/>
  <c r="BU57" i="1"/>
  <c r="AH54" i="1"/>
  <c r="AI54" i="1" s="1"/>
  <c r="BU54" i="1"/>
  <c r="BW54" i="1"/>
  <c r="AH41" i="1"/>
  <c r="AI41" i="1" s="1"/>
  <c r="BU41" i="1"/>
  <c r="BW41" i="1"/>
  <c r="AH25" i="1"/>
  <c r="AI25" i="1" s="1"/>
  <c r="BW25" i="1"/>
  <c r="BU25" i="1"/>
  <c r="AH45" i="1"/>
  <c r="AI45" i="1" s="1"/>
  <c r="BU45" i="1"/>
  <c r="BW45" i="1"/>
  <c r="AL20" i="1"/>
  <c r="AM20" i="1" s="1"/>
  <c r="BU20" i="1"/>
  <c r="BW20" i="1"/>
  <c r="BW78" i="1"/>
  <c r="BU78" i="1"/>
  <c r="AH35" i="1"/>
  <c r="AI35" i="1" s="1"/>
  <c r="BW35" i="1"/>
  <c r="BU35" i="1"/>
  <c r="AH76" i="1"/>
  <c r="AI76" i="1" s="1"/>
  <c r="BU76" i="1"/>
  <c r="BW76" i="1"/>
  <c r="AH66" i="1"/>
  <c r="AI66" i="1" s="1"/>
  <c r="BW66" i="1"/>
  <c r="BU66" i="1"/>
  <c r="AH49" i="1"/>
  <c r="AI49" i="1" s="1"/>
  <c r="BW49" i="1"/>
  <c r="BU49" i="1"/>
  <c r="AH47" i="1"/>
  <c r="AI47" i="1" s="1"/>
  <c r="BW47" i="1"/>
  <c r="BU47" i="1"/>
  <c r="AH52" i="1"/>
  <c r="AI52" i="1" s="1"/>
  <c r="BU52" i="1"/>
  <c r="BW52" i="1"/>
  <c r="BW58" i="1"/>
  <c r="BU58" i="1"/>
  <c r="BU34" i="1"/>
  <c r="BW34" i="1"/>
  <c r="AH7" i="1"/>
  <c r="AI7" i="1" s="1"/>
  <c r="BW7" i="1"/>
  <c r="BU7" i="1"/>
  <c r="AH75" i="1"/>
  <c r="AI75" i="1" s="1"/>
  <c r="BW75" i="1"/>
  <c r="BU75" i="1"/>
  <c r="AH56" i="1"/>
  <c r="AI56" i="1" s="1"/>
  <c r="BW56" i="1"/>
  <c r="BU56" i="1"/>
  <c r="AH44" i="1"/>
  <c r="AI44" i="1" s="1"/>
  <c r="BU44" i="1"/>
  <c r="BW44" i="1"/>
  <c r="AH68" i="1"/>
  <c r="AI68" i="1" s="1"/>
  <c r="BW68" i="1"/>
  <c r="BU68" i="1"/>
  <c r="BW77" i="1"/>
  <c r="BU77" i="1"/>
  <c r="AL16" i="1"/>
  <c r="AM16" i="1" s="1"/>
  <c r="BW16" i="1"/>
  <c r="BU16" i="1"/>
  <c r="AL18" i="1"/>
  <c r="AM18" i="1" s="1"/>
  <c r="BW18" i="1"/>
  <c r="BU18" i="1"/>
  <c r="BW73" i="1"/>
  <c r="BU73" i="1"/>
  <c r="AH43" i="1"/>
  <c r="AI43" i="1" s="1"/>
  <c r="BU43" i="1"/>
  <c r="BW43" i="1"/>
  <c r="AH12" i="1"/>
  <c r="AI12" i="1" s="1"/>
  <c r="BW12" i="1"/>
  <c r="BU12" i="1"/>
  <c r="AH22" i="1"/>
  <c r="AI22" i="1" s="1"/>
  <c r="BU22" i="1"/>
  <c r="BW22" i="1"/>
  <c r="AH50" i="1"/>
  <c r="AI50" i="1" s="1"/>
  <c r="BU50" i="1"/>
  <c r="BW50" i="1"/>
  <c r="AH67" i="1"/>
  <c r="AI67" i="1" s="1"/>
  <c r="BW67" i="1"/>
  <c r="BU67" i="1"/>
  <c r="AH60" i="1"/>
  <c r="AI60" i="1" s="1"/>
  <c r="BU60" i="1"/>
  <c r="BW60" i="1"/>
  <c r="AH24" i="1"/>
  <c r="AI24" i="1" s="1"/>
  <c r="BW24" i="1"/>
  <c r="BU24" i="1"/>
  <c r="AL38" i="1"/>
  <c r="AM38" i="1" s="1"/>
  <c r="BW38" i="1"/>
  <c r="BU38" i="1"/>
  <c r="BW6" i="1"/>
  <c r="BU6" i="1"/>
  <c r="AH11" i="1"/>
  <c r="AI11" i="1" s="1"/>
  <c r="BU11" i="1"/>
  <c r="BW11" i="1"/>
  <c r="BU63" i="1"/>
  <c r="BW63" i="1"/>
  <c r="BW33" i="1"/>
  <c r="BU33" i="1"/>
  <c r="AL19" i="1"/>
  <c r="AM19" i="1" s="1"/>
  <c r="BU19" i="1"/>
  <c r="BW19" i="1"/>
  <c r="AH28" i="1"/>
  <c r="AI28" i="1" s="1"/>
  <c r="BW28" i="1"/>
  <c r="BU28" i="1"/>
  <c r="AL21" i="1"/>
  <c r="AM21" i="1" s="1"/>
  <c r="BU21" i="1"/>
  <c r="BW21" i="1"/>
  <c r="AH59" i="1"/>
  <c r="AI59" i="1" s="1"/>
  <c r="BW59" i="1"/>
  <c r="BU59" i="1"/>
  <c r="AH72" i="1"/>
  <c r="AI72" i="1" s="1"/>
  <c r="BW72" i="1"/>
  <c r="BU72" i="1"/>
  <c r="AL10" i="1"/>
  <c r="AM10" i="1" s="1"/>
  <c r="BU10" i="1"/>
  <c r="BW10" i="1"/>
  <c r="AH30" i="1"/>
  <c r="AI30" i="1" s="1"/>
  <c r="BU30" i="1"/>
  <c r="BW30" i="1"/>
  <c r="AH27" i="1"/>
  <c r="AI27" i="1" s="1"/>
  <c r="BW27" i="1"/>
  <c r="BU27" i="1"/>
  <c r="AH32" i="1"/>
  <c r="AI32" i="1" s="1"/>
  <c r="BU32" i="1"/>
  <c r="BW32" i="1"/>
  <c r="AH46" i="1"/>
  <c r="AI46" i="1" s="1"/>
  <c r="BW46" i="1"/>
  <c r="BU46" i="1"/>
  <c r="BU62" i="1"/>
  <c r="BW62" i="1"/>
  <c r="AH64" i="1"/>
  <c r="AI64" i="1" s="1"/>
  <c r="BU64" i="1"/>
  <c r="BW64" i="1"/>
  <c r="BW8" i="1"/>
  <c r="BU8" i="1"/>
  <c r="AH48" i="1"/>
  <c r="AI48" i="1" s="1"/>
  <c r="BU48" i="1"/>
  <c r="BW48" i="1"/>
  <c r="AH61" i="1"/>
  <c r="AI61" i="1" s="1"/>
  <c r="BW61" i="1"/>
  <c r="BU61" i="1"/>
  <c r="AH31" i="1"/>
  <c r="AI31" i="1" s="1"/>
  <c r="BU31" i="1"/>
  <c r="BW31" i="1"/>
  <c r="AH39" i="1"/>
  <c r="AI39" i="1" s="1"/>
  <c r="BU39" i="1"/>
  <c r="BW39" i="1"/>
  <c r="AH9" i="1"/>
  <c r="AI9" i="1" s="1"/>
  <c r="BU9" i="1"/>
  <c r="BW9" i="1"/>
  <c r="AH51" i="1"/>
  <c r="AI51" i="1" s="1"/>
  <c r="BU51" i="1"/>
  <c r="BW51" i="1"/>
  <c r="AH53" i="1"/>
  <c r="AI53" i="1" s="1"/>
  <c r="BW53" i="1"/>
  <c r="BU53" i="1"/>
  <c r="AH17" i="1"/>
  <c r="AI17" i="1" s="1"/>
  <c r="BU17" i="1"/>
  <c r="BW17" i="1"/>
  <c r="BW65" i="1"/>
  <c r="BU65" i="1"/>
  <c r="AH23" i="1"/>
  <c r="AI23" i="1" s="1"/>
  <c r="BW23" i="1"/>
  <c r="BU23" i="1"/>
  <c r="AH40" i="1"/>
  <c r="AI40" i="1" s="1"/>
  <c r="BU40" i="1"/>
  <c r="BW40" i="1"/>
  <c r="AH26" i="1"/>
  <c r="AI26" i="1" s="1"/>
  <c r="BU26" i="1"/>
  <c r="BW26" i="1"/>
  <c r="AH42" i="1"/>
  <c r="AI42" i="1" s="1"/>
  <c r="BW42" i="1"/>
  <c r="BU42" i="1"/>
  <c r="AH55" i="1"/>
  <c r="AI55" i="1" s="1"/>
  <c r="BW55" i="1"/>
  <c r="BU55" i="1"/>
  <c r="AH18" i="1"/>
  <c r="AI18" i="1" s="1"/>
  <c r="AL66" i="1"/>
  <c r="AM66" i="1" s="1"/>
  <c r="AH20" i="1"/>
  <c r="AI20" i="1" s="1"/>
  <c r="AL35" i="1"/>
  <c r="AM35" i="1" s="1"/>
  <c r="AL23" i="1"/>
  <c r="AM23" i="1" s="1"/>
  <c r="AL67" i="1"/>
  <c r="AM67" i="1" s="1"/>
  <c r="AL22" i="1"/>
  <c r="AM22" i="1" s="1"/>
  <c r="AL11" i="1"/>
  <c r="AM11" i="1" s="1"/>
  <c r="AL43" i="1"/>
  <c r="AM43" i="1" s="1"/>
  <c r="AL25" i="1"/>
  <c r="AM25" i="1" s="1"/>
  <c r="AL41" i="1"/>
  <c r="AM41" i="1" s="1"/>
  <c r="AL48" i="1"/>
  <c r="AM48" i="1" s="1"/>
  <c r="AL49" i="1"/>
  <c r="AM49" i="1" s="1"/>
  <c r="AL26" i="1"/>
  <c r="AM26" i="1" s="1"/>
  <c r="AL31" i="1"/>
  <c r="AM31" i="1" s="1"/>
  <c r="AL55" i="1"/>
  <c r="AM55" i="1" s="1"/>
  <c r="AH19" i="1"/>
  <c r="AI19" i="1" s="1"/>
  <c r="AH8" i="1"/>
  <c r="AI8" i="1" s="1"/>
  <c r="AL8" i="1"/>
  <c r="AM8" i="1" s="1"/>
  <c r="AH73" i="1"/>
  <c r="AI73" i="1" s="1"/>
  <c r="AL73" i="1"/>
  <c r="AM73" i="1" s="1"/>
  <c r="AL63" i="1"/>
  <c r="AM63" i="1" s="1"/>
  <c r="AH63" i="1"/>
  <c r="AI63" i="1" s="1"/>
  <c r="AL58" i="1"/>
  <c r="AM58" i="1" s="1"/>
  <c r="AH58" i="1"/>
  <c r="AI58" i="1" s="1"/>
  <c r="AL39" i="1"/>
  <c r="AM39" i="1" s="1"/>
  <c r="AL32" i="1"/>
  <c r="AM32" i="1" s="1"/>
  <c r="AL47" i="1"/>
  <c r="AM47" i="1" s="1"/>
  <c r="AL52" i="1"/>
  <c r="AM52" i="1" s="1"/>
  <c r="AL61" i="1"/>
  <c r="AM61" i="1" s="1"/>
  <c r="AL44" i="1"/>
  <c r="AM44" i="1" s="1"/>
  <c r="AL76" i="1"/>
  <c r="AM76" i="1" s="1"/>
  <c r="AL42" i="1"/>
  <c r="AM42" i="1" s="1"/>
  <c r="AL24" i="1"/>
  <c r="AM24" i="1" s="1"/>
  <c r="AL51" i="1"/>
  <c r="AM51" i="1" s="1"/>
  <c r="AL7" i="1"/>
  <c r="AM7" i="1" s="1"/>
  <c r="AL75" i="1"/>
  <c r="AM75" i="1" s="1"/>
  <c r="AH78" i="1"/>
  <c r="AI78" i="1" s="1"/>
  <c r="AL78" i="1"/>
  <c r="AM78" i="1" s="1"/>
  <c r="AH6" i="1"/>
  <c r="AI6" i="1" s="1"/>
  <c r="AL6" i="1"/>
  <c r="AM6" i="1" s="1"/>
  <c r="AH65" i="1"/>
  <c r="AI65" i="1" s="1"/>
  <c r="AL65" i="1"/>
  <c r="AM65" i="1" s="1"/>
  <c r="AH62" i="1"/>
  <c r="AI62" i="1" s="1"/>
  <c r="AL62" i="1"/>
  <c r="AM62" i="1" s="1"/>
  <c r="AL46" i="1"/>
  <c r="AM46" i="1" s="1"/>
  <c r="AL64" i="1"/>
  <c r="AM64" i="1" s="1"/>
  <c r="AL28" i="1"/>
  <c r="AM28" i="1" s="1"/>
  <c r="AL60" i="1"/>
  <c r="AM60" i="1" s="1"/>
  <c r="AL12" i="1"/>
  <c r="AM12" i="1" s="1"/>
  <c r="AL56" i="1"/>
  <c r="AM56" i="1" s="1"/>
  <c r="AH34" i="1"/>
  <c r="AI34" i="1" s="1"/>
  <c r="AL34" i="1"/>
  <c r="AM34" i="1" s="1"/>
  <c r="AH77" i="1"/>
  <c r="AI77" i="1" s="1"/>
  <c r="AL77" i="1"/>
  <c r="AM77" i="1" s="1"/>
  <c r="AH38" i="1"/>
  <c r="AI38" i="1" s="1"/>
  <c r="AH33" i="1"/>
  <c r="AI33" i="1" s="1"/>
  <c r="AL33" i="1"/>
  <c r="AM33" i="1" s="1"/>
  <c r="AL72" i="1"/>
  <c r="AM72" i="1" s="1"/>
  <c r="AL45" i="1"/>
  <c r="AM45" i="1" s="1"/>
  <c r="AL68" i="1"/>
  <c r="AM68" i="1" s="1"/>
  <c r="AL40" i="1"/>
  <c r="AM40" i="1" s="1"/>
  <c r="AL59" i="1"/>
  <c r="AM59" i="1" s="1"/>
  <c r="AL30" i="1"/>
  <c r="AM30" i="1" s="1"/>
  <c r="AL53" i="1"/>
  <c r="AM53" i="1" s="1"/>
  <c r="AL9" i="1"/>
  <c r="AM9" i="1" s="1"/>
  <c r="AL54" i="1"/>
  <c r="AM54" i="1" s="1"/>
  <c r="AL27" i="1"/>
  <c r="AM27" i="1" s="1"/>
  <c r="AL57" i="1"/>
  <c r="AM57" i="1" s="1"/>
  <c r="AL50" i="1"/>
  <c r="AM50" i="1" s="1"/>
  <c r="AH10" i="1"/>
  <c r="AI10" i="1" s="1"/>
  <c r="AL17" i="1"/>
  <c r="AM17" i="1" s="1"/>
  <c r="AH16" i="1"/>
  <c r="AI16" i="1" s="1"/>
  <c r="AH21" i="1"/>
  <c r="AI21" i="1" s="1"/>
  <c r="BP5" i="1"/>
  <c r="AK5" i="1" s="1"/>
  <c r="BP36" i="1"/>
  <c r="AK36" i="1" s="1"/>
  <c r="BP37" i="1"/>
  <c r="AK37" i="1" s="1"/>
  <c r="BP69" i="1"/>
  <c r="AK69" i="1" s="1"/>
  <c r="BP71" i="1"/>
  <c r="AK71" i="1" s="1"/>
  <c r="BP70" i="1"/>
  <c r="AK70" i="1" s="1"/>
  <c r="BP13" i="1"/>
  <c r="AK13" i="1" s="1"/>
  <c r="BP14" i="1"/>
  <c r="AK14" i="1" s="1"/>
  <c r="BP15" i="1"/>
  <c r="AK15" i="1" s="1"/>
  <c r="BP4" i="1"/>
  <c r="AK4" i="1" s="1"/>
  <c r="AF5" i="1"/>
  <c r="AW5" i="1" s="1"/>
  <c r="AF36" i="1"/>
  <c r="AW36" i="1" s="1"/>
  <c r="AF37" i="1"/>
  <c r="AW37" i="1" s="1"/>
  <c r="AF69" i="1"/>
  <c r="AW69" i="1" s="1"/>
  <c r="AF71" i="1"/>
  <c r="AW71" i="1" s="1"/>
  <c r="AF70" i="1"/>
  <c r="AW70" i="1" s="1"/>
  <c r="AF13" i="1"/>
  <c r="AW13" i="1" s="1"/>
  <c r="AF14" i="1"/>
  <c r="AW14" i="1" s="1"/>
  <c r="AF15" i="1"/>
  <c r="AW15" i="1" s="1"/>
  <c r="AD5" i="1"/>
  <c r="AT5" i="1" s="1"/>
  <c r="AD36" i="1"/>
  <c r="AT36" i="1" s="1"/>
  <c r="AD37" i="1"/>
  <c r="AT37" i="1" s="1"/>
  <c r="AD69" i="1"/>
  <c r="AT69" i="1" s="1"/>
  <c r="AD71" i="1"/>
  <c r="AT71" i="1" s="1"/>
  <c r="AD70" i="1"/>
  <c r="AT70" i="1" s="1"/>
  <c r="AD13" i="1"/>
  <c r="AT13" i="1" s="1"/>
  <c r="AD14" i="1"/>
  <c r="AT14" i="1" s="1"/>
  <c r="AD15" i="1"/>
  <c r="AT15" i="1" s="1"/>
  <c r="D5" i="1"/>
  <c r="D36" i="1"/>
  <c r="D37" i="1"/>
  <c r="D69" i="1"/>
  <c r="D71" i="1"/>
  <c r="D70" i="1"/>
  <c r="D13" i="1"/>
  <c r="D14" i="1"/>
  <c r="D15" i="1"/>
  <c r="D4" i="1"/>
  <c r="AF4" i="1"/>
  <c r="AW4" i="1" s="1"/>
  <c r="AD4" i="1"/>
  <c r="AT4" i="1" s="1"/>
  <c r="AV37" i="1" l="1"/>
  <c r="AV36" i="1"/>
  <c r="AV14" i="1"/>
  <c r="AV69" i="1"/>
  <c r="AV15" i="1"/>
  <c r="AV5" i="1"/>
  <c r="AV13" i="1"/>
  <c r="AV70" i="1"/>
  <c r="AV4" i="1"/>
  <c r="AH4" i="1" s="1"/>
  <c r="AI4" i="1" s="1"/>
  <c r="AV71" i="1"/>
  <c r="AO15" i="1"/>
  <c r="AO5" i="1"/>
  <c r="AO14" i="1"/>
  <c r="AP70" i="1"/>
  <c r="AO4" i="1"/>
  <c r="AO71" i="1"/>
  <c r="AP69" i="1"/>
  <c r="AP13" i="1"/>
  <c r="AP37" i="1"/>
  <c r="AH14" i="1"/>
  <c r="AI14" i="1" s="1"/>
  <c r="AP36" i="1"/>
  <c r="AO13" i="1"/>
  <c r="AO70" i="1"/>
  <c r="AO69" i="1"/>
  <c r="AP71" i="1"/>
  <c r="AO37" i="1"/>
  <c r="AP15" i="1"/>
  <c r="AP5" i="1"/>
  <c r="AO36" i="1"/>
  <c r="AP14" i="1"/>
  <c r="AR4" i="1"/>
  <c r="AS4" i="1"/>
  <c r="AP4" i="1"/>
  <c r="AH71" i="1" l="1"/>
  <c r="AI71" i="1" s="1"/>
  <c r="BW71" i="1"/>
  <c r="BU71" i="1"/>
  <c r="AL70" i="1"/>
  <c r="AM70" i="1" s="1"/>
  <c r="BW70" i="1"/>
  <c r="BU70" i="1"/>
  <c r="AL13" i="1"/>
  <c r="AM13" i="1" s="1"/>
  <c r="BW13" i="1"/>
  <c r="BU13" i="1"/>
  <c r="AL36" i="1"/>
  <c r="AM36" i="1" s="1"/>
  <c r="BW36" i="1"/>
  <c r="BU36" i="1"/>
  <c r="AH37" i="1"/>
  <c r="AI37" i="1" s="1"/>
  <c r="BW37" i="1"/>
  <c r="BU37" i="1"/>
  <c r="BW5" i="1"/>
  <c r="BU5" i="1"/>
  <c r="AL15" i="1"/>
  <c r="AM15" i="1" s="1"/>
  <c r="BW15" i="1"/>
  <c r="BU15" i="1"/>
  <c r="AL69" i="1"/>
  <c r="AM69" i="1" s="1"/>
  <c r="BW69" i="1"/>
  <c r="BU69" i="1"/>
  <c r="AL14" i="1"/>
  <c r="AM14" i="1" s="1"/>
  <c r="BW14" i="1"/>
  <c r="BU14" i="1"/>
  <c r="AH36" i="1"/>
  <c r="AI36" i="1" s="1"/>
  <c r="AL37" i="1"/>
  <c r="AM37" i="1" s="1"/>
  <c r="AH13" i="1"/>
  <c r="AI13" i="1" s="1"/>
  <c r="AH70" i="1"/>
  <c r="AI70" i="1" s="1"/>
  <c r="AL4" i="1"/>
  <c r="AM4" i="1" s="1"/>
  <c r="BU4" i="1"/>
  <c r="BW4" i="1"/>
  <c r="AH15" i="1"/>
  <c r="AI15" i="1" s="1"/>
  <c r="AL71" i="1"/>
  <c r="AM71" i="1" s="1"/>
  <c r="AH69" i="1"/>
  <c r="AI69" i="1" s="1"/>
  <c r="AL5" i="1"/>
  <c r="AM5" i="1" s="1"/>
  <c r="AH5" i="1"/>
  <c r="AI5" i="1" s="1"/>
</calcChain>
</file>

<file path=xl/sharedStrings.xml><?xml version="1.0" encoding="utf-8"?>
<sst xmlns="http://schemas.openxmlformats.org/spreadsheetml/2006/main" count="1573" uniqueCount="458">
  <si>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</si>
  <si>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</si>
  <si>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</si>
  <si>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</si>
  <si>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</si>
  <si>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</si>
  <si>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</si>
  <si>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</si>
  <si>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</si>
  <si>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</si>
  <si>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</si>
  <si>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</si>
  <si>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</si>
  <si>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</si>
  <si>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</si>
  <si>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</si>
  <si>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</si>
  <si>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</si>
  <si>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</si>
  <si>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</si>
  <si>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</si>
  <si>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</si>
  <si>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</si>
  <si>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</si>
  <si>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</si>
  <si>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</si>
  <si>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</si>
  <si>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</si>
  <si>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</si>
  <si>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</si>
  <si>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</si>
  <si>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</si>
  <si>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</si>
  <si>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</si>
  <si>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</si>
  <si>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</si>
  <si>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</si>
  <si>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</si>
  <si>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</si>
  <si>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</si>
  <si>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</si>
  <si>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</si>
  <si>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</si>
  <si>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</si>
  <si>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</si>
  <si>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</si>
  <si>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</si>
  <si>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</si>
  <si>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</si>
  <si>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</si>
  <si>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</si>
  <si>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</si>
  <si>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</si>
  <si>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</si>
  <si>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</si>
  <si>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</si>
  <si>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</si>
  <si>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</si>
  <si>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</si>
  <si>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</si>
  <si>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</si>
  <si>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</si>
  <si>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</si>
  <si>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</si>
  <si>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</si>
  <si>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</si>
  <si>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</si>
  <si>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</si>
  <si>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VD粗利率</t>
    <rPh sb="2" eb="5">
      <t>アラリリツ</t>
    </rPh>
    <phoneticPr fontId="2"/>
  </si>
  <si>
    <t>J9974T</t>
  </si>
  <si>
    <t>J9992T</t>
  </si>
  <si>
    <t>J9021T</t>
  </si>
  <si>
    <t>J5302T</t>
  </si>
  <si>
    <t>J9020T</t>
  </si>
  <si>
    <t>J8445T</t>
  </si>
  <si>
    <t>J8446T</t>
  </si>
  <si>
    <t>J8448T</t>
  </si>
  <si>
    <t>J8447T</t>
  </si>
  <si>
    <t>J8450T</t>
  </si>
  <si>
    <t>J8449T</t>
  </si>
  <si>
    <t>J8451T</t>
  </si>
  <si>
    <t>J9878T</t>
  </si>
  <si>
    <t>J8452T</t>
  </si>
  <si>
    <t>J8453T</t>
  </si>
  <si>
    <t>JY2641</t>
  </si>
  <si>
    <t>J8455T</t>
  </si>
  <si>
    <t>J8454T</t>
  </si>
  <si>
    <t>JY2640</t>
  </si>
  <si>
    <t>J8456T</t>
  </si>
  <si>
    <t>J8457T</t>
  </si>
  <si>
    <t>J8458T</t>
  </si>
  <si>
    <t>J9879T</t>
  </si>
  <si>
    <t>J8459T</t>
  </si>
  <si>
    <t>J703WT</t>
  </si>
  <si>
    <t>J632SL</t>
  </si>
  <si>
    <t>J8460T</t>
  </si>
  <si>
    <t>J8461T</t>
  </si>
  <si>
    <t>J702WT</t>
  </si>
  <si>
    <t>J8462T</t>
  </si>
  <si>
    <t>J9880T</t>
  </si>
  <si>
    <t>J8463T</t>
  </si>
  <si>
    <t>J8464T</t>
  </si>
  <si>
    <t>JY2466</t>
  </si>
  <si>
    <t>JY2492</t>
  </si>
  <si>
    <t>JY2694</t>
  </si>
  <si>
    <t>J157MT</t>
  </si>
  <si>
    <t>J8465T</t>
  </si>
  <si>
    <t>JY2424</t>
  </si>
  <si>
    <t>JY2450</t>
  </si>
  <si>
    <t>JY2477</t>
  </si>
  <si>
    <t>JY2687</t>
  </si>
  <si>
    <t>J8466T</t>
  </si>
  <si>
    <t>JY2436</t>
  </si>
  <si>
    <t>J8467T</t>
  </si>
  <si>
    <t>JY2487</t>
  </si>
  <si>
    <t>JY2446</t>
  </si>
  <si>
    <t>JY2525</t>
  </si>
  <si>
    <t>JY2849</t>
  </si>
  <si>
    <t>JY2898</t>
  </si>
  <si>
    <t>J6251T</t>
  </si>
  <si>
    <t>J8660T</t>
  </si>
  <si>
    <t>J6252T</t>
  </si>
  <si>
    <t>J8663T</t>
  </si>
  <si>
    <t>J8662T</t>
  </si>
  <si>
    <t>J8664T</t>
  </si>
  <si>
    <t>J8659T</t>
  </si>
  <si>
    <t>J0056W</t>
  </si>
  <si>
    <t>J449WB</t>
  </si>
  <si>
    <t>J5327T</t>
  </si>
  <si>
    <t>J5328T</t>
  </si>
  <si>
    <t>J5391T</t>
  </si>
  <si>
    <t>ﾍｲｺｰ/事務用ｸﾗﾌﾄ封筒 長3 70G 100枚/007521800</t>
  </si>
  <si>
    <t>ﾍｲｺｰ/事務用ｸﾗﾌﾄ封筒 長3 70g 郵便番号枠なし 100枚</t>
  </si>
  <si>
    <t>ﾍｲｺｰ/角底袋 No.4 235×130×80mm 未晒 100枚</t>
  </si>
  <si>
    <t>ﾍｲｺｰ/角底袋 No.4 130×80×235 白 100枚/#4052400</t>
  </si>
  <si>
    <t>ｱｵﾄﾌﾟﾗｽ/ｸﾚｰﾌﾟ包装紙 ﾄﾞﾘｰﾑｽﾞ ｵﾚﾝｼﾞ 100枚/004738292</t>
  </si>
  <si>
    <t>ｵｰｾﾛ/OPPﾌｨﾙﾑｼｰﾄ #40 350×500mm 1000枚/006777372</t>
  </si>
  <si>
    <t>ｱｵﾄﾌﾟﾗｽ/ｸﾚｰﾌﾟ包装紙 ﾃﾞﾘｼｬｽ ﾋﾟﾝｸ 100枚/004738291</t>
  </si>
  <si>
    <t>ﾍｲｺｰ/ﾅｲﾛﾝﾎﾟﾘ K12-17 100枚/006679801</t>
  </si>
  <si>
    <t>ﾍｲｺｰ/ﾅｲﾛﾝﾎﾟﾘ K12-20 100枚/006679802</t>
  </si>
  <si>
    <t>ﾍｲｺｰ/ﾅｲﾛﾝﾎﾟﾘ K13-20 100枚/006679804</t>
  </si>
  <si>
    <t>ﾍｲｺｰ/角底袋 No.16 400×195×125mm 未晒 100枚</t>
  </si>
  <si>
    <t>ﾍｲｺｰ/ﾅｲﾛﾝﾎﾟﾘ K12-23 100枚/006679803</t>
  </si>
  <si>
    <t>ﾍｲｺｰ/ﾅｲﾛﾝﾎﾟﾘ K14-20 100枚/006679806</t>
  </si>
  <si>
    <t>ﾍｲｺｰ/ﾅｲﾛﾝﾎﾟﾘ K13-23 100枚/006679805</t>
  </si>
  <si>
    <t>ﾍｲｺｰ/ﾅｲﾛﾝﾎﾟﾘ K15-23 100枚/006679807</t>
  </si>
  <si>
    <t>ﾍｲｺｰ/ﾗﾐﾈｰﾄﾌｨﾙﾑ 216×303 A4 100枚/007320014</t>
  </si>
  <si>
    <t>ﾍｲｺｰ/ﾅｲﾛﾝﾎﾟﾘ K16-25 100枚/006679809</t>
  </si>
  <si>
    <t>ﾍｲｺｰ/ﾅｲﾛﾝﾎﾟﾘ K16-26 100枚/006679810</t>
  </si>
  <si>
    <t>ﾍｲｺｰ/紙袋 H25ﾁｬｰﾑﾊﾞｯｸﾞ 18-2 未晒無地 50枚</t>
  </si>
  <si>
    <t>ﾍｲｺｰ/ﾅｲﾛﾝﾎﾟﾘ K18-26 100枚/006679812</t>
  </si>
  <si>
    <t>ﾍｲｺｰ/H25ﾁｬｰﾑﾊﾞｯｸﾞ 20-1 平手 未晒無地 50枚</t>
  </si>
  <si>
    <t>ﾍｲｺｰ/ﾅｲﾛﾝﾎﾟﾘ K17-28 100枚/006679811</t>
  </si>
  <si>
    <t>ﾍｲｺｰ/紙袋 H25ﾁｬｰﾑﾊﾞｯｸﾞ 18-2 晒白無地 50枚</t>
  </si>
  <si>
    <t>ﾍｲｺｰ/ﾅｲﾛﾝﾎﾟﾘ K18-27 100枚/006679813</t>
  </si>
  <si>
    <t>ﾍｲｺｰ/紙袋 H25 ﾁｬｰﾑﾊﾞｯｸﾞ 20-1 平手 晒白無地 50枚</t>
  </si>
  <si>
    <t>ﾍｲｺｰ/ﾅｲﾛﾝﾎﾟﾘ K18-30 100枚/006679814</t>
  </si>
  <si>
    <t>ﾍｲｺｰ/ﾅｲﾛﾝﾎﾟﾘ K20-28 100枚/006679815</t>
  </si>
  <si>
    <t>ﾍｲｺｰ/ﾗﾐﾈｰﾄﾌｨﾙﾑ 263×370 B4 100枚/007320015</t>
  </si>
  <si>
    <t>ﾍｲｺｰ/ﾅｲﾛﾝﾎﾟﾘ K20-30 100枚/006679816</t>
  </si>
  <si>
    <t>ﾍｲｺｰ/H25ﾁｬｰﾑﾊﾞｯｸﾞ E判 未晒無地 50枚/3274007</t>
  </si>
  <si>
    <t>ｼﾓｼﾞﾏ/25ﾁｬｰﾑﾊﾞｯｸﾞ 3才 晒白無地/003240101</t>
  </si>
  <si>
    <t>ﾍｲｺｰ/ﾅｲﾛﾝﾎﾟﾘ K20-35 100枚/006679817</t>
  </si>
  <si>
    <t>ﾍｲｺｰ/ﾅｲﾛﾝﾎﾟﾘ K22-33 100枚/006679818</t>
  </si>
  <si>
    <t>ﾍｲｺｰ/25ﾁｬｰﾑﾊﾞｯｸﾞ 2才 晒白無地 50枚/3235801</t>
  </si>
  <si>
    <t>ﾍｲｺｰ/ﾅｲﾛﾝﾎﾟﾘ K24-33 100枚/006679819</t>
  </si>
  <si>
    <t>ﾍｲｺｰ/ﾗﾐﾈｰﾄﾌｨﾙﾑ 303×426 A3 100枚/007320016</t>
  </si>
  <si>
    <t>ﾍｲｺｰ/ﾅｲﾛﾝﾎﾟﾘ K24-36 100枚/006679820</t>
  </si>
  <si>
    <t>ﾍｲｺｰ/ﾅｲﾛﾝﾎﾟﾘ K26-33 100枚/006679821</t>
  </si>
  <si>
    <t>ﾍｲｺｰ/紙袋 25ﾁｬｰﾑﾊﾞｯｸﾞ 3才 未晒ｱﾒﾘｶﾝｸﾗﾌﾞ 50枚</t>
  </si>
  <si>
    <t>ﾍｲｺｰ/紙袋 25ﾁｬｰﾑﾊﾞｯｸﾞ 3才 ｱﾌﾀﾇｰﾝ 50枚/003261497</t>
  </si>
  <si>
    <t>ﾍｲｺｰ/紙袋 25ﾁｬｰﾑﾊﾞｯｸﾞ MS1 斜線ﾘﾎﾞﾝ 50枚/003276861</t>
  </si>
  <si>
    <t>ﾍｲｺｰ/贈答菓子用紙袋 大(370×300×210mm)</t>
  </si>
  <si>
    <t>ﾍｲｺｰ/紙袋 H25ﾁｬｰﾑﾊﾞｯｸﾞ W2 平手 晒白無地 50枚</t>
  </si>
  <si>
    <t>ﾍｲｺｰ/ﾅｲﾛﾝﾎﾟﾘ K26-38 100枚/006679822</t>
  </si>
  <si>
    <t>ﾍｲｺｰ/紙袋 25ﾁｬｰﾑﾊﾞｯｸﾞ 2才 未晒ｱﾒﾘｶﾝｸﾗﾌﾞ 50枚</t>
  </si>
  <si>
    <t>ﾍｲｺｰ/紙袋 25ﾁｬｰﾑﾊﾞｯｸﾞ 2才 ｱﾌﾀﾇｰﾝ 50枚/003230438</t>
  </si>
  <si>
    <t>ﾍｲｺｰ/紙袋 25ﾁｬｰﾑﾊﾞｯｸﾞ 3才 斜線ﾘﾎﾞﾝ 50枚/003256300</t>
  </si>
  <si>
    <t>ﾍｲｺｰ/紙袋 25ﾁｬｰﾑﾊﾞｯｸﾞ MS1 ﾌﾗﾜｰｱﾗｶﾙﾄ 50枚/003276831</t>
  </si>
  <si>
    <t>ﾍｲｺｰ/手提紙袋 25ﾁｬｰﾑﾊﾞｯｸﾞ 25CB 34-1 未晒無地 50枚</t>
  </si>
  <si>
    <t>ﾍｲｺｰ/ﾅｲﾛﾝﾎﾟﾘ K28-40 100枚/006679823</t>
  </si>
  <si>
    <t>ﾍｲｺｰ/紙袋 25ﾁｬｰﾑﾊﾞｯｸﾞ 2才 斜線ﾘﾎﾞﾝ 50枚/003224800</t>
  </si>
  <si>
    <t>ﾍｲｺｰ/ﾅｲﾛﾝﾎﾟﾘ K30-43 100枚/006679824</t>
  </si>
  <si>
    <t>ﾍｲｺｰ/紙袋 25ﾁｬｰﾑﾊﾞｯｸﾞ 3才 ﾌﾗﾜｰｱﾗｶﾙﾄ 50枚/003261421</t>
  </si>
  <si>
    <t>ﾍｲｺｰ/紙袋 25ﾁｬｰﾑﾊﾞｯｸﾞ 2才 ﾌﾗﾜｰｱﾗｶﾙﾄ 50枚/003230410</t>
  </si>
  <si>
    <t>ﾍｲｺｰ/紙袋 25ﾁｬｰﾑﾊﾞｯｸﾞ ｶｽﾀﾑB ｱﾌﾀﾇｰﾝ 50枚/003283413</t>
  </si>
  <si>
    <t>ﾍｲｺｰ/紙袋 ｽﾑｰｽﾊﾞｯｸﾞ S-100 未晒無地 25枚/003155602</t>
  </si>
  <si>
    <t>ﾍｲｺｰ/紙袋 ｽﾑｰｽﾊﾞｯｸﾞ 2才 雲竜 緑 25枚/003157503</t>
  </si>
  <si>
    <t>ﾆﾁﾊﾞﾝ/ﾒﾀﾘｯｸﾃｰﾌﾟ ﾏｲﾗｯﾌﾟ 12mm No.602 金 1巻</t>
  </si>
  <si>
    <t>透明ﾊﾞｯｸﾞ 小 10枚/006464020</t>
  </si>
  <si>
    <t>ﾆﾁﾊﾞﾝ/ﾒﾀﾘｯｸﾃｰﾌﾟ ﾏｲﾗｯﾌﾟ 15mm No.602 金 1巻</t>
  </si>
  <si>
    <t>透明ﾊﾞｯｸﾞ ﾊｯﾋﾟｰﾀｯｸ付 S 10枚/006464060</t>
  </si>
  <si>
    <t>透明ﾊﾞｯｸﾞ ﾊｯﾋﾟｰﾀｯｸ付 L 10枚/006464050</t>
  </si>
  <si>
    <t>透明ﾊﾞｯｸﾞ 中 10枚/006464030</t>
  </si>
  <si>
    <t>透明ﾊﾞｯｸﾞ 大 10枚/006464010</t>
  </si>
  <si>
    <t>ﾍｲｺｰ/ﾌｯｸｼｰﾙ S(50×23mm) 100片/7063707</t>
  </si>
  <si>
    <t>ｼﾓｼﾞﾏ/ﾍｲｺｰ ﾌｯｸｼｰﾙM(50×35mm) 80片/#7063712</t>
  </si>
  <si>
    <t>仕切板 ﾌﾞﾛｯｸﾃﾞｨﾊﾞｲﾀﾞｰ L 1211448 ﾌﾞﾗｯｸ 25枚</t>
  </si>
  <si>
    <t>吊り下げ名札 50枚入り 名刺用 1袋/007310951</t>
  </si>
  <si>
    <t>吊り下げ名札 50枚入り ｲﾍﾞﾝﾄ用 1袋/007310952</t>
  </si>
  <si>
    <t>ﾍｲｺｰ/提げ札 No532 SALE 綿糸付 40×32mm 500枚</t>
  </si>
  <si>
    <t>ﾍｲｺｰ/提札 白無地 No.17(糸無し) 1000枚</t>
  </si>
  <si>
    <t>ﾍｲｺｰ/PET製 組み立てﾊﾟﾝﾌﾚｯﾄｽﾀﾝﾄﾞ CDｻｲｽﾞ 5枚</t>
  </si>
  <si>
    <t>ﾍｲｺｰ/提げ札 No.18 白無地 糸無し 1000枚/#007104500</t>
  </si>
  <si>
    <t>ﾍｲｺｰ/ﾌｯｸｼｰﾙ S(50×23mm) 100片×10ﾊﾟｯｸ/7063707</t>
  </si>
  <si>
    <t>34/575</t>
  </si>
  <si>
    <t>34/695</t>
  </si>
  <si>
    <t>34/160</t>
  </si>
  <si>
    <t>J9974T5</t>
  </si>
  <si>
    <t>J9992T5</t>
  </si>
  <si>
    <t>6373065</t>
  </si>
  <si>
    <t>6846595</t>
  </si>
  <si>
    <t>J9021T5</t>
  </si>
  <si>
    <t>J5302T5</t>
  </si>
  <si>
    <t>J9020T5</t>
  </si>
  <si>
    <t>J8445T5</t>
  </si>
  <si>
    <t>J8446T5</t>
  </si>
  <si>
    <t>J8448T5</t>
  </si>
  <si>
    <t>6373075</t>
  </si>
  <si>
    <t>J8447T5</t>
  </si>
  <si>
    <t>J8450T5</t>
  </si>
  <si>
    <t>J8449T5</t>
  </si>
  <si>
    <t>J8451T5</t>
  </si>
  <si>
    <t>J9878T5</t>
  </si>
  <si>
    <t>J8452T5</t>
  </si>
  <si>
    <t>J8453T5</t>
  </si>
  <si>
    <t>JY26415</t>
  </si>
  <si>
    <t>J8455T5</t>
  </si>
  <si>
    <t>1966285</t>
  </si>
  <si>
    <t>J8454T5</t>
  </si>
  <si>
    <t>JY26405</t>
  </si>
  <si>
    <t>J8456T5</t>
  </si>
  <si>
    <t>2023225</t>
  </si>
  <si>
    <t>J8457T5</t>
  </si>
  <si>
    <t>J8458T5</t>
  </si>
  <si>
    <t>J9879T5</t>
  </si>
  <si>
    <t>J8459T5</t>
  </si>
  <si>
    <t>J703WT5</t>
  </si>
  <si>
    <t>J632SL5</t>
  </si>
  <si>
    <t>J8460T5</t>
  </si>
  <si>
    <t>J8461T5</t>
  </si>
  <si>
    <t>J702WT5</t>
  </si>
  <si>
    <t>J8462T5</t>
  </si>
  <si>
    <t>J9880T5</t>
  </si>
  <si>
    <t>J8463T5</t>
  </si>
  <si>
    <t>J8464T5</t>
  </si>
  <si>
    <t>JY24665</t>
  </si>
  <si>
    <t>JY24925</t>
  </si>
  <si>
    <t>JY26945</t>
  </si>
  <si>
    <t>6244425</t>
  </si>
  <si>
    <t>J157MT5</t>
  </si>
  <si>
    <t>J8465T5</t>
  </si>
  <si>
    <t>JY24245</t>
  </si>
  <si>
    <t>JY24505</t>
  </si>
  <si>
    <t>JY24775</t>
  </si>
  <si>
    <t>JY26875</t>
  </si>
  <si>
    <t>8250105</t>
  </si>
  <si>
    <t>J8466T5</t>
  </si>
  <si>
    <t>JY24365</t>
  </si>
  <si>
    <t>J8467T5</t>
  </si>
  <si>
    <t>JY24875</t>
  </si>
  <si>
    <t>JY24465</t>
  </si>
  <si>
    <t>JY25255</t>
  </si>
  <si>
    <t>JY28495</t>
  </si>
  <si>
    <t>JY28985</t>
  </si>
  <si>
    <t>J6251T5</t>
  </si>
  <si>
    <t>J8660T5</t>
  </si>
  <si>
    <t>J6252T5</t>
  </si>
  <si>
    <t>J8663T5</t>
  </si>
  <si>
    <t>J8662T5</t>
  </si>
  <si>
    <t>J8664T5</t>
  </si>
  <si>
    <t>J8659T5</t>
  </si>
  <si>
    <t>6861315</t>
  </si>
  <si>
    <t>6861318</t>
  </si>
  <si>
    <t>1050695</t>
  </si>
  <si>
    <t>J0056W5</t>
  </si>
  <si>
    <t>J449WB5</t>
  </si>
  <si>
    <t>J5327T5</t>
  </si>
  <si>
    <t>J5328T5</t>
  </si>
  <si>
    <t>6370865</t>
  </si>
  <si>
    <t>6884105</t>
  </si>
  <si>
    <t>J5391T5</t>
  </si>
  <si>
    <t>1386735</t>
  </si>
  <si>
    <t>中分類</t>
    <rPh sb="0" eb="3">
      <t>チュウブンルイ</t>
    </rPh>
    <phoneticPr fontId="2"/>
  </si>
  <si>
    <t>VD5</t>
  </si>
  <si>
    <t>VD5始</t>
    <rPh sb="3" eb="4">
      <t>ハジ</t>
    </rPh>
    <phoneticPr fontId="2"/>
  </si>
  <si>
    <t>VD5終</t>
    <rPh sb="3" eb="4">
      <t>オワリ</t>
    </rPh>
    <phoneticPr fontId="2"/>
  </si>
  <si>
    <t>-</t>
  </si>
  <si>
    <t>シモジマ ヘイコー クラフト封筒 長3 70G 007521800 1袋(100枚)</t>
  </si>
  <si>
    <t>【ケース販売】シモジマ HEIKO 事務用 クラフト封筒 長3 70G 枠なし 007522600 1ケース(100枚入×10袋)（直送品）</t>
  </si>
  <si>
    <t>シモジマ 1211448 ブロックディバイダー L ブラック 007306101 1束(25枚入)（直送品）</t>
  </si>
  <si>
    <t>吊り下げ名札 名刺用 007310951 1セット（50枚入×40）（直送品）</t>
  </si>
  <si>
    <t>吊り下げ名札 イベント用 007310952 1セット（50枚入×40）（直送品）</t>
  </si>
  <si>
    <t>シモジマ ヘイコー ラミネートフィルム 216×303 A4 007320014 1袋(100枚)</t>
  </si>
  <si>
    <t>【ケース販売】HEIKO ラミネートフィルム 263×370 B4 007320015 1ケース(100枚入×5袋 合計500枚)（直送品）</t>
  </si>
  <si>
    <t>シモジマ ヘイコー ラミネートフィルム 303×426 A3 007320016 1袋(100枚)</t>
  </si>
  <si>
    <t>【ケース販売】HEIKO 食品袋 ナイロンポリ K12-17 006679801 1ケース(100枚入×40袋 合計4000枚)（直送品）</t>
  </si>
  <si>
    <t>【ケース販売】HEIKO 食品袋 ナイロンポリ K12-20 006679802 1ケース(100枚入×40袋 合計4000枚)（直送品）</t>
  </si>
  <si>
    <t>シモジマ ナイロンポリ K13-20 006679804 1袋(100枚)</t>
  </si>
  <si>
    <t>【ケース販売】HEIKO 食品袋 ナイロンポリ K12-23 006679803 1ケース(100枚入×40袋 合計4000枚)（直送品）</t>
  </si>
  <si>
    <t>【ケース販売】HEIKO 食品袋 ナイロンポリ K14-20 006679806 1ケース(100枚入×30袋 合計3000枚)（直送品）</t>
  </si>
  <si>
    <t>【ケース販売】HEIKO 食品袋 ナイロンポリ K13-23 006679805 1ケース(100枚入×40袋 合計4000枚)（直送品）</t>
  </si>
  <si>
    <t>【ケース販売】HEIKO 食品袋 ナイロンポリ K15-23 006679807 1ケース(100枚入×30袋 合計3000枚)（直送品）</t>
  </si>
  <si>
    <t>シモジマ ナイロンポリ K16-25 006679809 1袋(100枚)</t>
  </si>
  <si>
    <t>シモジマ ナイロンポリ K16-26 006679810 1袋(100枚)</t>
  </si>
  <si>
    <t>【ケース販売】HEIKO 食品袋 ナイロンポリ K18-26 006679812 1ケース(100枚入×20袋 合計2000枚)（直送品）</t>
  </si>
  <si>
    <t>【ケース販売】HEIKO 食品袋 ナイロンポリ K17-28 006679811 1ケース(100枚入×20袋 合計2000枚)（直送品）</t>
  </si>
  <si>
    <t>【ケース販売】HEIKO 食品袋 ナイロンポリ K18-27 006679813 1ケース(100枚入×20袋 合計2000枚)（直送品）</t>
  </si>
  <si>
    <t>【ケース販売】HEIKO 食品袋 ナイロンポリ K18-30 006679814 1ケース(100枚入×20袋 合計2000枚)（直送品）</t>
  </si>
  <si>
    <t>【ケース販売】HEIKO 食品袋 ナイロンポリ K20-28 006679815 1ケース(100枚入×20袋 合計2000枚)（直送品）</t>
  </si>
  <si>
    <t>【ケース販売】HEIKO 食品袋 ナイロンポリ K20-30 006679816 1ケース(100枚入×20袋 合計2000枚)（直送品）</t>
  </si>
  <si>
    <t>【ケース販売】HEIKO 食品袋 ナイロンポリ K20-35 006679817 1ケース(100枚入×15袋 合計1500枚)（直送品）</t>
  </si>
  <si>
    <t>【ケース販売】HEIKO 食品袋 ナイロンポリ K22-33 006679818 1ケース(100枚入×15袋 合計1500枚)（直送品）</t>
  </si>
  <si>
    <t>【ケース販売】HEIKO 食品袋 ナイロンポリ K24-33 006679819 1ケース(100枚入×12袋 合計1200枚)（直送品）</t>
  </si>
  <si>
    <t>【ケース販売】HEIKO 食品袋 ナイロンポリ K24-36 006679820 1ケース(100枚入×12袋 合計1200枚)（直送品）</t>
  </si>
  <si>
    <t>【ケース販売】HEIKO 食品袋 ナイロンポリ K26-33 006679821 1ケース(100枚入×10袋 合計1000枚)（直送品）</t>
  </si>
  <si>
    <t>【ケース販売】HEIKO 食品袋 ナイロンポリ K26-38 006679822 1ケース(100枚入×10袋 合計1000枚)（直送品）</t>
  </si>
  <si>
    <t>【ケース販売】HEIKO 食品袋 ナイロンポリ K28-40 006679823 1ケース(100枚入×10袋 合計1000枚)（直送品）</t>
  </si>
  <si>
    <t>シモジマ ナイロンポリ K30-43 006679824 1袋(100枚)</t>
  </si>
  <si>
    <t>シモジマ 角底無地袋 No.4 004010400 1袋(100枚)</t>
  </si>
  <si>
    <t>シモジマ 角底袋 No.4 白無地 004052400 1袋(100枚)</t>
  </si>
  <si>
    <t>シモジマ 角底無地袋 No.16 004011600 1袋(100枚)</t>
  </si>
  <si>
    <t>シモジマ 25チャームバッグ 3才 晒白無地 003240101 1袋(50枚)</t>
  </si>
  <si>
    <t>シモジマ H25チャームバッグ E判 未晒無地 003274007 1袋(50枚)</t>
  </si>
  <si>
    <t>シモジマ 25チャームバッグ 2才 晒白無地 003235801 1袋(50枚)</t>
  </si>
  <si>
    <t>【ケース販売】HEIKO 紙袋 25チャームバッグ 平手 W2 晒白無地 003278101 1ケース(50枚×4袋 計200枚)（直送品）</t>
  </si>
  <si>
    <t>【ケース販売】HEIKO 紙袋 25チャームバッグ 平手 18-2 未晒無地 003273270 1ケース(50枚入×8袋)（直送品）</t>
  </si>
  <si>
    <t>シモジマ H25チャームバッグ 20ー1 未晒無地 003275301 1袋(50枚)</t>
  </si>
  <si>
    <t>【ケース販売】HEIKO 紙袋 25チャームバッグ 平手 18-2 晒白無地 003273221 1ケース(50枚入×8袋)（直送品）</t>
  </si>
  <si>
    <t>シモジマ H25チャームバッグ 20ー1 晒白無地 003275300 1袋(50枚)</t>
  </si>
  <si>
    <t>【ケース販売】HEIKO 紙袋 25チャームバッグ 3才 アフタヌーン 003261497 1ケース(50枚×4袋 合計200枚)（直送品）</t>
  </si>
  <si>
    <t>シモジマ スムースバッグ Sー100 未晒無地 003155602 1袋(25枚)</t>
  </si>
  <si>
    <t>【ケース販売】HEIKO 紙袋 25チャームバッグ 2才 アフタヌーン 003230438 1ケース(50枚×4袋 合計200枚)（直送品）</t>
  </si>
  <si>
    <t>シモジマ 25チャームバッグ 3才 斜線リボン 003256300 1袋(50枚)</t>
  </si>
  <si>
    <t>シモジマ 25チャームバッグ MS1 フラワーアラカルト 003276831 1袋(50枚)</t>
  </si>
  <si>
    <t>シモジマ 25チャームバッグ 34-1 未晒無地 003269101 1袋(50枚)</t>
  </si>
  <si>
    <t>【ケース販売】HEIKO 紙袋 25チャームバッグ 2才 斜線リボン 003224800 1ケース(50枚入×4袋 合計200枚)（直送品）</t>
  </si>
  <si>
    <t>【ケース販売】HEIKO 紙袋 スムースバッグ 2才 雲竜 緑 003157503 1ケース(25枚入×12袋 合計300枚)（直送品）</t>
  </si>
  <si>
    <t>【ケース販売】HEIKO 紙袋 25チャームバッグ 3才 フラワーアラカルト 003261421 1ケース(50枚入×4袋)（直送品）</t>
  </si>
  <si>
    <t>【ケース販売】HEIKO 紙袋 25チャームバッグ 2才 フラワーアラカルト 003230410 1ケース(50枚入×4袋)（直送品）</t>
  </si>
  <si>
    <t>【ケース販売】HEIKO 紙袋 25チャームバッグ カスタム判 アフタヌーン 003283413 1ケース(50枚入×4袋)（直送品）</t>
  </si>
  <si>
    <t>シモジマ PVC透明バッグ 小 3-4851-01 1袋(10枚)（直送品）</t>
  </si>
  <si>
    <t>透明バッグ ハッピータック付 S 006464060 1セット（10枚入×20）（直送品）</t>
  </si>
  <si>
    <t>透明バッグ ハッピータック付 L 006464050 1セット（10枚入×10）（直送品）</t>
  </si>
  <si>
    <t>シモジマ PVC透明バッグ 大 3-4851-03 1袋(10枚)（直送品）</t>
  </si>
  <si>
    <t>ニチバン マイラップ No.602 12mm 金 002020102 1巻</t>
  </si>
  <si>
    <t>ニチバン マイラップ No.602 15mm 金 002020200 1セット(1巻入×10個 合計10巻)（直送品）</t>
  </si>
  <si>
    <t>シモジマ クレープ包装紙 ドリームズ オレンジ 100P 004738292 1セット（100枚入×40）（直送品）</t>
  </si>
  <si>
    <t>シモジマ クレープ包装紙 デリシャス ピンク 100P 004738291 1セット（100枚入×40）（直送品）</t>
  </si>
  <si>
    <t>【ケース販売】OPPフィルムシート #40 350×500mm 006777372 1ケース(1000枚入×4袋)（直送品）</t>
  </si>
  <si>
    <t>シモジマ PET 組み立てパンフレットスタンド CD 5枚/袋 007306391 1セット(1袋(5枚入)×30)（直送品）</t>
  </si>
  <si>
    <t>シモジマ フックシール S 100片入 007063707 1束(100片入)</t>
  </si>
  <si>
    <t>シモジマ フックシール M 007063712 1束(80片)</t>
  </si>
  <si>
    <t>【ケース販売】HEIKO 提札 綿糸付 No.532 SALE 007153200 1ケース(500枚×30箱 合計15000枚)（直送品）</t>
  </si>
  <si>
    <t>シモジマ 提札 No.17 糸無 007104300 1箱(1000枚)</t>
  </si>
  <si>
    <t>シモジマ 提札 No.18 糸無 007104500 1袋（1000枚）</t>
  </si>
  <si>
    <t>RR49803</t>
  </si>
  <si>
    <t>1袋（100枚）</t>
  </si>
  <si>
    <t>U174898</t>
  </si>
  <si>
    <t>1ケース(100枚入×10袋 合計1000枚)</t>
  </si>
  <si>
    <t>EK66144</t>
  </si>
  <si>
    <t>1束（25枚入）</t>
  </si>
  <si>
    <t>P390606</t>
  </si>
  <si>
    <t>1セット（50枚入×40）</t>
  </si>
  <si>
    <t>P390607</t>
  </si>
  <si>
    <t>EK40132</t>
  </si>
  <si>
    <t>J100687</t>
  </si>
  <si>
    <t>1ケース(100枚入×5袋 合計500枚)</t>
  </si>
  <si>
    <t>EJ35544</t>
  </si>
  <si>
    <t>J099904</t>
  </si>
  <si>
    <t>1ケース(100枚入×40袋 合計4000枚)</t>
  </si>
  <si>
    <t>J099905</t>
  </si>
  <si>
    <t>XA61706</t>
  </si>
  <si>
    <t>J099906</t>
  </si>
  <si>
    <t>J099909</t>
  </si>
  <si>
    <t>1ケース(100枚入×30袋 合計3000枚)</t>
  </si>
  <si>
    <t>J099908</t>
  </si>
  <si>
    <t>J099910</t>
  </si>
  <si>
    <t>EX60731</t>
  </si>
  <si>
    <t>XN21751</t>
  </si>
  <si>
    <t>J099915</t>
  </si>
  <si>
    <t>1ケース(100枚入×20袋 合計2000枚)</t>
  </si>
  <si>
    <t>J099914</t>
  </si>
  <si>
    <t>J099916</t>
  </si>
  <si>
    <t>J099917</t>
  </si>
  <si>
    <t>J099918</t>
  </si>
  <si>
    <t>J099919</t>
  </si>
  <si>
    <t>J099920</t>
  </si>
  <si>
    <t>1ケース(100枚入×15袋 合計1500枚)</t>
  </si>
  <si>
    <t>J099921</t>
  </si>
  <si>
    <t>J099922</t>
  </si>
  <si>
    <t>1ケース(100枚入×12袋 合計1200枚)</t>
  </si>
  <si>
    <t>J099923</t>
  </si>
  <si>
    <t>J099924</t>
  </si>
  <si>
    <t>J099925</t>
  </si>
  <si>
    <t>J099926</t>
  </si>
  <si>
    <t>XA61667</t>
  </si>
  <si>
    <t>EW69167</t>
  </si>
  <si>
    <t>EJ35452</t>
  </si>
  <si>
    <t>XN21745</t>
  </si>
  <si>
    <t>XA61691</t>
  </si>
  <si>
    <t>1袋（50枚）</t>
  </si>
  <si>
    <t>EW69152</t>
  </si>
  <si>
    <t>EJ97549</t>
  </si>
  <si>
    <t>J098834</t>
  </si>
  <si>
    <t>1ケース(50枚入×4袋 合計200枚)</t>
  </si>
  <si>
    <t>J098784</t>
  </si>
  <si>
    <t>1ケース(50枚入×8袋 合計400枚)</t>
  </si>
  <si>
    <t>XA62391</t>
  </si>
  <si>
    <t>J098783</t>
  </si>
  <si>
    <t>EW69842</t>
  </si>
  <si>
    <t>P384225</t>
  </si>
  <si>
    <t>RE32919</t>
  </si>
  <si>
    <t>1袋（25枚）</t>
  </si>
  <si>
    <t>P384218</t>
  </si>
  <si>
    <t>XA61688</t>
  </si>
  <si>
    <t>EJ35516</t>
  </si>
  <si>
    <t>EJ35496</t>
  </si>
  <si>
    <t>J098638</t>
  </si>
  <si>
    <t>P384198</t>
  </si>
  <si>
    <t>1ケース(25枚入×12袋 合計300枚)</t>
  </si>
  <si>
    <t>J098677</t>
  </si>
  <si>
    <t>J098646</t>
  </si>
  <si>
    <t>P384257</t>
  </si>
  <si>
    <t>J126599</t>
  </si>
  <si>
    <t>1袋(10枚)</t>
  </si>
  <si>
    <t>P387822</t>
  </si>
  <si>
    <t>1セット（10枚入×20）</t>
  </si>
  <si>
    <t>P387821</t>
  </si>
  <si>
    <t>1セット（10枚入×10）</t>
  </si>
  <si>
    <t>J126601</t>
  </si>
  <si>
    <t>EW69819</t>
  </si>
  <si>
    <t>1巻</t>
  </si>
  <si>
    <t>P383820</t>
  </si>
  <si>
    <t>1セット（1巻入×10巻 合計10巻）</t>
  </si>
  <si>
    <t>P386762</t>
  </si>
  <si>
    <t>1セット（100枚入×40）</t>
  </si>
  <si>
    <t>P386761</t>
  </si>
  <si>
    <t>HA01721</t>
  </si>
  <si>
    <t>1ケース(1000枚入×4袋 合計4000枚)</t>
  </si>
  <si>
    <t>U174537</t>
  </si>
  <si>
    <t>1セット（1袋（5枚入）×30）</t>
  </si>
  <si>
    <t>AU49554</t>
  </si>
  <si>
    <t>1束（100片入）</t>
  </si>
  <si>
    <t>EJ98551</t>
  </si>
  <si>
    <t>1束（80片）</t>
  </si>
  <si>
    <t>J100665</t>
  </si>
  <si>
    <t>1ケース(500枚入×30箱 合計15000枚)</t>
  </si>
  <si>
    <t>UE77563</t>
  </si>
  <si>
    <t>1箱（1000枚）</t>
  </si>
  <si>
    <t>EK40130</t>
  </si>
  <si>
    <t>1袋（1000枚）</t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</si>
  <si>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</si>
  <si>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</si>
  <si>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</si>
  <si>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シモジマ フックシール S 100片入 007063707 1セット(1000片:100片入×10)</t>
  </si>
  <si>
    <t>P389404</t>
  </si>
  <si>
    <t>1セット（1000片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</si>
</sst>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3" borderId="4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4" xfId="0" applyFill="1" applyBorder="1">
      <alignment vertical="center"/>
    </xf>
    <xf numFmtId="0" fontId="0" fillId="6" borderId="3" xfId="0" applyFill="1" applyBorder="1">
      <alignment vertical="center"/>
    </xf>
    <xf numFmtId="177" fontId="0" fillId="6" borderId="4" xfId="0" applyNumberFormat="1" applyFill="1" applyBorder="1">
      <alignment vertical="center"/>
    </xf>
    <xf numFmtId="0" fontId="0" fillId="3" borderId="10" xfId="0" applyFill="1" applyBorder="1">
      <alignment vertical="center"/>
    </xf>
    <xf numFmtId="177" fontId="0" fillId="9" borderId="4" xfId="0" applyNumberForma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4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X78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8" width="7.625" hidden="1" customWidth="1" outlineLevel="1"/>
    <col min="29" max="29" width="7.5" customWidth="1" collapsed="1"/>
    <col min="30" max="32" width="7.625" customWidth="1"/>
    <col min="33" max="33" width="4.375" customWidth="1" collapsed="1"/>
    <col min="34" max="35" width="7.625" customWidth="1"/>
    <col min="36" max="36" width="6.125" style="30" customWidth="1"/>
    <col min="37" max="37" width="7.625" customWidth="1"/>
    <col min="38" max="38" width="7.625" style="30" customWidth="1"/>
    <col min="39" max="42" width="7.625" customWidth="1"/>
    <col min="43" max="45" width="7.625" hidden="1" customWidth="1" outlineLevel="1"/>
    <col min="46" max="46" width="7.625" customWidth="1" collapsed="1"/>
    <col min="47" max="48" width="7.625" customWidth="1"/>
    <col min="49" max="61" width="7.625" hidden="1" customWidth="1" outlineLevel="1"/>
    <col min="62" max="62" width="7.625" customWidth="1" collapsed="1"/>
    <col min="63" max="64" width="7.625" hidden="1" customWidth="1"/>
    <col min="65" max="65" width="7.625" customWidth="1"/>
    <col min="66" max="66" width="7.5" hidden="1" customWidth="1"/>
    <col min="67" max="71" width="7.625" hidden="1" customWidth="1"/>
    <col min="72" max="75" width="7.625" customWidth="1"/>
  </cols>
  <sheetData>
    <row r="1" spans="1:76" x14ac:dyDescent="0.4">
      <c r="C1" s="29" t="s">
        <v>43</v>
      </c>
      <c r="AC1" s="55" t="s">
        <v>40</v>
      </c>
      <c r="AD1" s="56"/>
      <c r="AE1" s="56"/>
      <c r="AF1" s="57"/>
      <c r="AO1" s="42" t="s">
        <v>66</v>
      </c>
      <c r="AP1" s="43" t="s">
        <v>67</v>
      </c>
      <c r="AT1" s="41" t="s">
        <v>65</v>
      </c>
    </row>
    <row r="2" spans="1:76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52" t="s">
        <v>31</v>
      </c>
      <c r="L2" s="54"/>
      <c r="M2" s="52" t="s">
        <v>1</v>
      </c>
      <c r="N2" s="53"/>
      <c r="O2" s="53"/>
      <c r="P2" s="54"/>
      <c r="Q2" s="11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23"/>
      <c r="AD2" s="24" t="s">
        <v>34</v>
      </c>
      <c r="AE2" s="24"/>
      <c r="AF2" s="25" t="s">
        <v>34</v>
      </c>
      <c r="AG2" s="10"/>
      <c r="AH2" s="9" t="s">
        <v>39</v>
      </c>
      <c r="AI2" s="11"/>
      <c r="AJ2" s="31"/>
      <c r="AK2" s="11"/>
      <c r="AL2" s="31"/>
      <c r="AM2" s="11"/>
      <c r="AN2" s="22" t="s">
        <v>41</v>
      </c>
      <c r="AO2" s="11"/>
      <c r="AP2" s="11"/>
      <c r="AQ2" s="27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51"/>
      <c r="BH2" s="51"/>
      <c r="BI2" s="51"/>
      <c r="BJ2">
        <v>51</v>
      </c>
      <c r="BQ2">
        <v>14</v>
      </c>
      <c r="BR2">
        <v>28</v>
      </c>
    </row>
    <row r="3" spans="1:76" ht="75" x14ac:dyDescent="0.4">
      <c r="A3" s="1" t="s">
        <v>51</v>
      </c>
      <c r="B3" s="1" t="s">
        <v>55</v>
      </c>
      <c r="C3" s="2" t="s">
        <v>2</v>
      </c>
      <c r="D3" s="2" t="s">
        <v>6</v>
      </c>
      <c r="E3" s="2" t="s">
        <v>7</v>
      </c>
      <c r="F3" s="40" t="s">
        <v>64</v>
      </c>
      <c r="G3" s="2" t="s">
        <v>0</v>
      </c>
      <c r="H3" s="12" t="s">
        <v>4</v>
      </c>
      <c r="I3" s="12" t="s">
        <v>52</v>
      </c>
      <c r="J3" s="12" t="s">
        <v>53</v>
      </c>
      <c r="K3" s="12" t="s">
        <v>25</v>
      </c>
      <c r="L3" s="12" t="s">
        <v>26</v>
      </c>
      <c r="M3" s="12" t="s">
        <v>62</v>
      </c>
      <c r="N3" s="2" t="s">
        <v>5</v>
      </c>
      <c r="O3" s="2" t="s">
        <v>60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284</v>
      </c>
      <c r="AA3" s="12" t="s">
        <v>285</v>
      </c>
      <c r="AB3" s="12" t="s">
        <v>286</v>
      </c>
      <c r="AC3" s="12" t="s">
        <v>58</v>
      </c>
      <c r="AD3" s="12" t="s">
        <v>59</v>
      </c>
      <c r="AE3" s="2" t="s">
        <v>60</v>
      </c>
      <c r="AF3" s="12" t="s">
        <v>61</v>
      </c>
      <c r="AG3" s="14" t="s">
        <v>3</v>
      </c>
      <c r="AH3" s="20" t="s">
        <v>14</v>
      </c>
      <c r="AI3" s="2" t="s">
        <v>13</v>
      </c>
      <c r="AJ3" s="32" t="s">
        <v>44</v>
      </c>
      <c r="AK3" s="12" t="s">
        <v>63</v>
      </c>
      <c r="AL3" s="37" t="s">
        <v>54</v>
      </c>
      <c r="AM3" s="2" t="s">
        <v>13</v>
      </c>
      <c r="AN3" s="13" t="s">
        <v>32</v>
      </c>
      <c r="AO3" s="2" t="s">
        <v>13</v>
      </c>
      <c r="AP3" s="2" t="s">
        <v>33</v>
      </c>
      <c r="AQ3" s="26" t="s">
        <v>35</v>
      </c>
      <c r="AR3" s="12" t="s">
        <v>36</v>
      </c>
      <c r="AS3" s="12" t="s">
        <v>37</v>
      </c>
      <c r="AT3" s="12" t="s">
        <v>27</v>
      </c>
      <c r="AU3" s="12" t="s">
        <v>38</v>
      </c>
      <c r="AV3" s="12" t="s">
        <v>15</v>
      </c>
      <c r="AW3" s="12" t="s">
        <v>68</v>
      </c>
      <c r="AX3" s="12" t="s">
        <v>16</v>
      </c>
      <c r="AY3" s="12" t="s">
        <v>17</v>
      </c>
      <c r="AZ3" s="12" t="s">
        <v>18</v>
      </c>
      <c r="BA3" s="12" t="s">
        <v>19</v>
      </c>
      <c r="BB3" s="12" t="s">
        <v>20</v>
      </c>
      <c r="BC3" s="12" t="s">
        <v>21</v>
      </c>
      <c r="BD3" s="12" t="s">
        <v>22</v>
      </c>
      <c r="BE3" s="12" t="s">
        <v>23</v>
      </c>
      <c r="BF3" s="12" t="s">
        <v>24</v>
      </c>
      <c r="BG3" s="12" t="s">
        <v>284</v>
      </c>
      <c r="BH3" s="12" t="s">
        <v>285</v>
      </c>
      <c r="BI3" s="12" t="s">
        <v>286</v>
      </c>
      <c r="BJ3" s="2" t="s">
        <v>8</v>
      </c>
      <c r="BK3" s="2" t="s">
        <v>9</v>
      </c>
      <c r="BL3" s="2" t="s">
        <v>10</v>
      </c>
      <c r="BM3" s="2" t="s">
        <v>11</v>
      </c>
      <c r="BN3" s="12" t="s">
        <v>42</v>
      </c>
      <c r="BO3" s="2" t="s">
        <v>452</v>
      </c>
      <c r="BP3" s="2" t="s">
        <v>12</v>
      </c>
      <c r="BQ3" s="18" t="s">
        <v>45</v>
      </c>
      <c r="BR3" s="18" t="s">
        <v>46</v>
      </c>
      <c r="BS3" s="15" t="s">
        <v>283</v>
      </c>
      <c r="BT3" s="38" t="s">
        <v>453</v>
      </c>
      <c r="BU3" s="39" t="s">
        <v>56</v>
      </c>
      <c r="BV3" s="39" t="s">
        <v>454</v>
      </c>
      <c r="BW3" s="39" t="s">
        <v>57</v>
      </c>
      <c r="BX3" s="34" t="s">
        <v>50</v>
      </c>
    </row>
    <row r="4" spans="1:76" x14ac:dyDescent="0.4">
      <c r="A4" s="3">
        <v>1</v>
      </c>
      <c r="B4" s="3">
        <v>1</v>
      </c>
      <c r="C4" s="4" t="s">
        <v>69</v>
      </c>
      <c r="D4" s="4" t="str">
        <f t="shared" ref="D4:D35" si="0">TEXT(C4,"000000")</f>
        <v>J9974T</v>
      </c>
      <c r="E4" s="4" t="s">
        <v>69</v>
      </c>
      <c r="F4" s="4" t="s">
        <v>208</v>
      </c>
      <c r="G4" s="4" t="s">
        <v>131</v>
      </c>
      <c r="H4" s="5">
        <v>4901755760927</v>
      </c>
      <c r="I4" s="5">
        <v>5</v>
      </c>
      <c r="J4" s="5"/>
      <c r="K4" s="5">
        <v>1</v>
      </c>
      <c r="L4" s="5">
        <v>1</v>
      </c>
      <c r="M4" s="4">
        <v>0</v>
      </c>
      <c r="N4" s="4">
        <v>373</v>
      </c>
      <c r="O4" s="4">
        <v>260</v>
      </c>
      <c r="P4" s="6">
        <f t="shared" ref="P4:P35" si="1">IFERROR(1-O4/N4,"-")</f>
        <v>0.30294906166219837</v>
      </c>
      <c r="Q4" s="4" t="s">
        <v>287</v>
      </c>
      <c r="R4" s="4" t="s">
        <v>287</v>
      </c>
      <c r="S4" s="4" t="s">
        <v>287</v>
      </c>
      <c r="T4" s="4" t="s">
        <v>287</v>
      </c>
      <c r="U4" s="4" t="s">
        <v>287</v>
      </c>
      <c r="V4" s="4" t="s">
        <v>287</v>
      </c>
      <c r="W4" s="4" t="s">
        <v>287</v>
      </c>
      <c r="X4" s="4" t="s">
        <v>287</v>
      </c>
      <c r="Y4" s="4" t="s">
        <v>287</v>
      </c>
      <c r="Z4" s="4" t="s">
        <v>287</v>
      </c>
      <c r="AA4" s="4" t="s">
        <v>287</v>
      </c>
      <c r="AB4" s="4" t="s">
        <v>287</v>
      </c>
      <c r="AC4" s="4">
        <v>0</v>
      </c>
      <c r="AD4" s="4">
        <f t="shared" ref="AD4:AD35" si="2">IF(AG4="",AC4,AC4*AG4)</f>
        <v>0</v>
      </c>
      <c r="AE4" s="4">
        <v>264</v>
      </c>
      <c r="AF4" s="4">
        <f t="shared" ref="AF4:AF35" si="3">IF(AG4="",AE4,AE4*AG4)</f>
        <v>264</v>
      </c>
      <c r="AG4" s="4"/>
      <c r="AH4" s="21">
        <f t="shared" ref="AH4:AH35" si="4">ROUND(N4*AV4,0)</f>
        <v>379</v>
      </c>
      <c r="AI4" s="6">
        <f t="shared" ref="AI4:AI35" si="5">IFERROR(1-AF4/AH4,"-")</f>
        <v>0.30343007915567277</v>
      </c>
      <c r="AJ4" s="33">
        <v>0.75</v>
      </c>
      <c r="AK4" s="4">
        <f t="shared" ref="AK4:AK35" si="6">BP4</f>
        <v>426</v>
      </c>
      <c r="AL4" s="33">
        <f t="shared" ref="AL4:AL35" si="7">IFERROR(AK4*AV4,"-")</f>
        <v>432.55384615384611</v>
      </c>
      <c r="AM4" s="6">
        <f t="shared" ref="AM4:AM35" si="8">IFERROR(1-AF4/AL4,"-")</f>
        <v>0.38967136150234738</v>
      </c>
      <c r="AN4" s="7">
        <v>428</v>
      </c>
      <c r="AO4" s="6">
        <f t="shared" ref="AO4:AO35" si="9">1-AF4/AN4</f>
        <v>0.38317757009345799</v>
      </c>
      <c r="AP4" s="4">
        <f t="shared" ref="AP4:AP35" si="10">AN4-AF4</f>
        <v>164</v>
      </c>
      <c r="AQ4" s="28"/>
      <c r="AR4" s="6" t="e">
        <f>1-AF4/AQ4</f>
        <v>#DIV/0!</v>
      </c>
      <c r="AS4" s="4">
        <f>AQ4-AF4</f>
        <v>-264</v>
      </c>
      <c r="AT4" s="6" t="str">
        <f t="shared" ref="AT4:AT35" si="11">IFERROR(AD4/M4,"-")</f>
        <v>-</v>
      </c>
      <c r="AU4" s="6">
        <f t="shared" ref="AU4:AU35" si="12">IFERROR(AN4/N4,"-")</f>
        <v>1.1474530831099197</v>
      </c>
      <c r="AV4" s="6">
        <f t="shared" ref="AV4:AV35" si="13">IFERROR(AF4/O4,"-")</f>
        <v>1.0153846153846153</v>
      </c>
      <c r="AW4" s="6" t="str">
        <f>IFERROR(1-AF4/AX4,"-")</f>
        <v>-</v>
      </c>
      <c r="AX4" s="4" t="str">
        <f>IFERROR(ROUND($AN4*Q4/$N4,0),"-")</f>
        <v>-</v>
      </c>
      <c r="AY4" s="4" t="str">
        <f>IF(R4="","-",R4)</f>
        <v>-</v>
      </c>
      <c r="AZ4" s="4" t="str">
        <f>IF(S4="","-",S4)</f>
        <v>-</v>
      </c>
      <c r="BA4" s="4" t="str">
        <f>IFERROR(ROUND($AN4*T4/$N4,0),"-")</f>
        <v>-</v>
      </c>
      <c r="BB4" s="4" t="str">
        <f>IF(U4="","-",U4)</f>
        <v>-</v>
      </c>
      <c r="BC4" s="4" t="str">
        <f>IF(V4="","-",V4)</f>
        <v>-</v>
      </c>
      <c r="BD4" s="4" t="str">
        <f>IFERROR(ROUND($AN4*W4/$N4,0),"-")</f>
        <v>-</v>
      </c>
      <c r="BE4" s="4" t="str">
        <f>IF(X4="","-",X4)</f>
        <v>-</v>
      </c>
      <c r="BF4" s="4" t="str">
        <f>IF(Y4="","-",Y4)</f>
        <v>-</v>
      </c>
      <c r="BG4" s="4" t="str">
        <f>IFERROR(ROUND($AN4*Z4/$N4,0),"-")</f>
        <v>-</v>
      </c>
      <c r="BH4" s="4" t="str">
        <f>IF(AA4="","-",AA4)</f>
        <v>-</v>
      </c>
      <c r="BI4" s="4" t="str">
        <f>IF(AB4="","-",AB4)</f>
        <v>-</v>
      </c>
      <c r="BJ4" s="4">
        <v>0</v>
      </c>
      <c r="BK4" s="4" t="s">
        <v>356</v>
      </c>
      <c r="BL4" s="4"/>
      <c r="BM4" s="4"/>
      <c r="BN4" s="4" t="s">
        <v>357</v>
      </c>
      <c r="BO4" s="4">
        <v>426</v>
      </c>
      <c r="BP4" s="4">
        <f t="shared" ref="BP4:BP35" si="14">IF(BL4="",BO4,BL4/BM4*BO4)</f>
        <v>426</v>
      </c>
      <c r="BQ4" s="19">
        <v>4</v>
      </c>
      <c r="BR4" s="19">
        <v>8</v>
      </c>
      <c r="BS4" s="16">
        <v>430</v>
      </c>
      <c r="BT4" t="s">
        <v>287</v>
      </c>
      <c r="BU4" t="str">
        <f>IFERROR(BT4*AV4,"-")</f>
        <v>-</v>
      </c>
      <c r="BV4">
        <v>458</v>
      </c>
      <c r="BW4">
        <f>IFERROR(BV4*AV4,"-")</f>
        <v>465.0461538461538</v>
      </c>
      <c r="BX4" t="s">
        <v>288</v>
      </c>
    </row>
    <row r="5" spans="1:76" x14ac:dyDescent="0.4">
      <c r="A5" s="3">
        <v>2</v>
      </c>
      <c r="B5" s="3">
        <v>2</v>
      </c>
      <c r="C5" s="4" t="s">
        <v>70</v>
      </c>
      <c r="D5" s="4" t="str">
        <f t="shared" si="0"/>
        <v>J9992T</v>
      </c>
      <c r="E5" s="4" t="s">
        <v>70</v>
      </c>
      <c r="F5" s="4" t="s">
        <v>209</v>
      </c>
      <c r="G5" s="4" t="s">
        <v>132</v>
      </c>
      <c r="H5" s="5">
        <v>4901755761405</v>
      </c>
      <c r="I5" s="5">
        <v>5</v>
      </c>
      <c r="J5" s="5"/>
      <c r="K5" s="5">
        <v>1</v>
      </c>
      <c r="L5" s="5">
        <v>1</v>
      </c>
      <c r="M5" s="4">
        <v>0</v>
      </c>
      <c r="N5" s="4">
        <v>373</v>
      </c>
      <c r="O5" s="4">
        <v>260</v>
      </c>
      <c r="P5" s="6">
        <f t="shared" si="1"/>
        <v>0.30294906166219837</v>
      </c>
      <c r="Q5" s="4" t="s">
        <v>287</v>
      </c>
      <c r="R5" s="4" t="s">
        <v>287</v>
      </c>
      <c r="S5" s="4" t="s">
        <v>287</v>
      </c>
      <c r="T5" s="4" t="s">
        <v>287</v>
      </c>
      <c r="U5" s="4" t="s">
        <v>287</v>
      </c>
      <c r="V5" s="4" t="s">
        <v>287</v>
      </c>
      <c r="W5" s="4" t="s">
        <v>287</v>
      </c>
      <c r="X5" s="4" t="s">
        <v>287</v>
      </c>
      <c r="Y5" s="4" t="s">
        <v>287</v>
      </c>
      <c r="Z5" s="4" t="s">
        <v>287</v>
      </c>
      <c r="AA5" s="4" t="s">
        <v>287</v>
      </c>
      <c r="AB5" s="4" t="s">
        <v>287</v>
      </c>
      <c r="AC5" s="4">
        <v>0</v>
      </c>
      <c r="AD5" s="4">
        <f t="shared" si="2"/>
        <v>0</v>
      </c>
      <c r="AE5" s="4">
        <v>264</v>
      </c>
      <c r="AF5" s="4">
        <f t="shared" si="3"/>
        <v>264</v>
      </c>
      <c r="AG5" s="4"/>
      <c r="AH5" s="21">
        <f t="shared" si="4"/>
        <v>379</v>
      </c>
      <c r="AI5" s="6">
        <f t="shared" si="5"/>
        <v>0.30343007915567277</v>
      </c>
      <c r="AJ5" s="33">
        <v>3.25</v>
      </c>
      <c r="AK5" s="4">
        <f t="shared" si="6"/>
        <v>547.20000000000005</v>
      </c>
      <c r="AL5" s="33">
        <f t="shared" si="7"/>
        <v>555.61846153846159</v>
      </c>
      <c r="AM5" s="6">
        <f t="shared" si="8"/>
        <v>0.52485380116959068</v>
      </c>
      <c r="AN5" s="7">
        <v>428</v>
      </c>
      <c r="AO5" s="6">
        <f t="shared" si="9"/>
        <v>0.38317757009345799</v>
      </c>
      <c r="AP5" s="4">
        <f t="shared" si="10"/>
        <v>164</v>
      </c>
      <c r="AQ5" s="28"/>
      <c r="AR5" s="6"/>
      <c r="AS5" s="6"/>
      <c r="AT5" s="6" t="str">
        <f t="shared" si="11"/>
        <v>-</v>
      </c>
      <c r="AU5" s="6">
        <f t="shared" si="12"/>
        <v>1.1474530831099197</v>
      </c>
      <c r="AV5" s="6">
        <f t="shared" si="13"/>
        <v>1.0153846153846153</v>
      </c>
      <c r="AW5" s="6" t="str">
        <f t="shared" ref="AW5:AW68" si="15">IFERROR(1-AF5/AX5,"-")</f>
        <v>-</v>
      </c>
      <c r="AX5" s="4" t="str">
        <f t="shared" ref="AX5:AX68" si="16">IFERROR(ROUND($AN5*Q5/$N5,0),"-")</f>
        <v>-</v>
      </c>
      <c r="AY5" s="4" t="str">
        <f t="shared" ref="AY5:AY68" si="17">IF(R5="","-",R5)</f>
        <v>-</v>
      </c>
      <c r="AZ5" s="4" t="str">
        <f t="shared" ref="AZ5:AZ68" si="18">IF(S5="","-",S5)</f>
        <v>-</v>
      </c>
      <c r="BA5" s="4" t="str">
        <f t="shared" ref="BA5:BA68" si="19">IFERROR(ROUND($AN5*T5/$N5,0),"-")</f>
        <v>-</v>
      </c>
      <c r="BB5" s="4" t="str">
        <f t="shared" ref="BB5:BB68" si="20">IF(U5="","-",U5)</f>
        <v>-</v>
      </c>
      <c r="BC5" s="4" t="str">
        <f t="shared" ref="BC5:BC68" si="21">IF(V5="","-",V5)</f>
        <v>-</v>
      </c>
      <c r="BD5" s="4" t="str">
        <f t="shared" ref="BD5:BD68" si="22">IFERROR(ROUND($AN5*W5/$N5,0),"-")</f>
        <v>-</v>
      </c>
      <c r="BE5" s="4" t="str">
        <f t="shared" ref="BE5:BE68" si="23">IF(X5="","-",X5)</f>
        <v>-</v>
      </c>
      <c r="BF5" s="4" t="str">
        <f t="shared" ref="BF5:BF68" si="24">IF(Y5="","-",Y5)</f>
        <v>-</v>
      </c>
      <c r="BG5" s="4" t="str">
        <f t="shared" ref="BG5:BG68" si="25">IFERROR(ROUND($AN5*Z5/$N5,0),"-")</f>
        <v>-</v>
      </c>
      <c r="BH5" s="4" t="str">
        <f t="shared" ref="BH5:BH68" si="26">IF(AA5="","-",AA5)</f>
        <v>-</v>
      </c>
      <c r="BI5" s="4" t="str">
        <f t="shared" ref="BI5:BI68" si="27">IF(AB5="","-",AB5)</f>
        <v>-</v>
      </c>
      <c r="BJ5" s="4">
        <v>0</v>
      </c>
      <c r="BK5" s="4" t="s">
        <v>358</v>
      </c>
      <c r="BL5" s="4">
        <v>1</v>
      </c>
      <c r="BM5" s="4">
        <v>10</v>
      </c>
      <c r="BN5" s="4" t="s">
        <v>359</v>
      </c>
      <c r="BO5" s="4">
        <v>5472</v>
      </c>
      <c r="BP5" s="4">
        <f t="shared" si="14"/>
        <v>547.20000000000005</v>
      </c>
      <c r="BQ5" s="19">
        <v>4</v>
      </c>
      <c r="BR5" s="19">
        <v>1</v>
      </c>
      <c r="BS5" s="16">
        <v>430</v>
      </c>
      <c r="BT5" t="s">
        <v>287</v>
      </c>
      <c r="BU5" t="str">
        <f t="shared" ref="BU5:BU68" si="28">IFERROR(BT5*AV5,"-")</f>
        <v>-</v>
      </c>
      <c r="BV5">
        <v>485</v>
      </c>
      <c r="BW5">
        <f t="shared" ref="BW5:BW68" si="29">IFERROR(BV5*AV5,"-")</f>
        <v>492.46153846153845</v>
      </c>
      <c r="BX5" t="s">
        <v>289</v>
      </c>
    </row>
    <row r="6" spans="1:76" x14ac:dyDescent="0.4">
      <c r="A6" s="3">
        <v>67</v>
      </c>
      <c r="B6" s="3">
        <v>67</v>
      </c>
      <c r="C6" s="17" t="s">
        <v>126</v>
      </c>
      <c r="D6" s="4" t="str">
        <f t="shared" si="0"/>
        <v>J0056W</v>
      </c>
      <c r="E6" s="4" t="s">
        <v>126</v>
      </c>
      <c r="F6" s="4" t="s">
        <v>275</v>
      </c>
      <c r="G6" s="4" t="s">
        <v>197</v>
      </c>
      <c r="H6" s="5">
        <v>4901755789058</v>
      </c>
      <c r="I6" s="5">
        <v>5</v>
      </c>
      <c r="J6" s="5"/>
      <c r="K6" s="5">
        <v>1</v>
      </c>
      <c r="L6" s="5">
        <v>1</v>
      </c>
      <c r="M6" s="4">
        <v>0</v>
      </c>
      <c r="N6" s="4">
        <v>20749</v>
      </c>
      <c r="O6" s="4">
        <v>15725</v>
      </c>
      <c r="P6" s="6">
        <f t="shared" si="1"/>
        <v>0.24213215094703355</v>
      </c>
      <c r="Q6" s="4" t="s">
        <v>287</v>
      </c>
      <c r="R6" s="4" t="s">
        <v>287</v>
      </c>
      <c r="S6" s="4" t="s">
        <v>287</v>
      </c>
      <c r="T6" s="4" t="s">
        <v>287</v>
      </c>
      <c r="U6" s="4" t="s">
        <v>287</v>
      </c>
      <c r="V6" s="4" t="s">
        <v>287</v>
      </c>
      <c r="W6" s="4" t="s">
        <v>287</v>
      </c>
      <c r="X6" s="4" t="s">
        <v>287</v>
      </c>
      <c r="Y6" s="4" t="s">
        <v>287</v>
      </c>
      <c r="Z6" s="4" t="s">
        <v>287</v>
      </c>
      <c r="AA6" s="4" t="s">
        <v>287</v>
      </c>
      <c r="AB6" s="4" t="s">
        <v>287</v>
      </c>
      <c r="AC6" s="4">
        <v>0</v>
      </c>
      <c r="AD6" s="4">
        <f t="shared" si="2"/>
        <v>0</v>
      </c>
      <c r="AE6" s="4">
        <v>17000</v>
      </c>
      <c r="AF6" s="4">
        <f t="shared" si="3"/>
        <v>17000</v>
      </c>
      <c r="AG6" s="4"/>
      <c r="AH6" s="21">
        <f t="shared" si="4"/>
        <v>22431</v>
      </c>
      <c r="AI6" s="6">
        <f t="shared" si="5"/>
        <v>0.24212027996968477</v>
      </c>
      <c r="AJ6" s="33">
        <v>0.25</v>
      </c>
      <c r="AK6" s="4">
        <f t="shared" si="6"/>
        <v>26695</v>
      </c>
      <c r="AL6" s="33">
        <f t="shared" si="7"/>
        <v>28859.45945945946</v>
      </c>
      <c r="AM6" s="6">
        <f t="shared" si="8"/>
        <v>0.41093837797340327</v>
      </c>
      <c r="AN6" s="7">
        <v>24700</v>
      </c>
      <c r="AO6" s="6">
        <f t="shared" si="9"/>
        <v>0.31174089068825916</v>
      </c>
      <c r="AP6" s="4">
        <f t="shared" si="10"/>
        <v>7700</v>
      </c>
      <c r="AQ6" s="28"/>
      <c r="AR6" s="6"/>
      <c r="AS6" s="6"/>
      <c r="AT6" s="6" t="str">
        <f t="shared" si="11"/>
        <v>-</v>
      </c>
      <c r="AU6" s="6">
        <f t="shared" si="12"/>
        <v>1.1904188153645958</v>
      </c>
      <c r="AV6" s="6">
        <f t="shared" si="13"/>
        <v>1.0810810810810811</v>
      </c>
      <c r="AW6" s="6" t="str">
        <f t="shared" si="15"/>
        <v>-</v>
      </c>
      <c r="AX6" s="4" t="str">
        <f t="shared" si="16"/>
        <v>-</v>
      </c>
      <c r="AY6" s="4" t="str">
        <f t="shared" si="17"/>
        <v>-</v>
      </c>
      <c r="AZ6" s="4" t="str">
        <f t="shared" si="18"/>
        <v>-</v>
      </c>
      <c r="BA6" s="4" t="str">
        <f t="shared" si="19"/>
        <v>-</v>
      </c>
      <c r="BB6" s="4" t="str">
        <f t="shared" si="20"/>
        <v>-</v>
      </c>
      <c r="BC6" s="4" t="str">
        <f t="shared" si="21"/>
        <v>-</v>
      </c>
      <c r="BD6" s="4" t="str">
        <f t="shared" si="22"/>
        <v>-</v>
      </c>
      <c r="BE6" s="4" t="str">
        <f t="shared" si="23"/>
        <v>-</v>
      </c>
      <c r="BF6" s="4" t="str">
        <f t="shared" si="24"/>
        <v>-</v>
      </c>
      <c r="BG6" s="4" t="str">
        <f t="shared" si="25"/>
        <v>-</v>
      </c>
      <c r="BH6" s="4" t="str">
        <f t="shared" si="26"/>
        <v>-</v>
      </c>
      <c r="BI6" s="4" t="str">
        <f t="shared" si="27"/>
        <v>-</v>
      </c>
      <c r="BJ6" s="4">
        <v>0</v>
      </c>
      <c r="BK6" s="4" t="s">
        <v>360</v>
      </c>
      <c r="BL6" s="4"/>
      <c r="BM6" s="4"/>
      <c r="BN6" s="4" t="s">
        <v>361</v>
      </c>
      <c r="BO6" s="4">
        <v>26695</v>
      </c>
      <c r="BP6" s="4">
        <f t="shared" si="14"/>
        <v>26695</v>
      </c>
      <c r="BQ6" s="19">
        <v>4</v>
      </c>
      <c r="BR6" s="19">
        <v>8</v>
      </c>
      <c r="BS6" s="16">
        <v>610</v>
      </c>
      <c r="BT6" t="s">
        <v>287</v>
      </c>
      <c r="BU6" t="str">
        <f t="shared" si="28"/>
        <v>-</v>
      </c>
      <c r="BV6">
        <v>22876</v>
      </c>
      <c r="BW6">
        <f t="shared" si="29"/>
        <v>24730.810810810814</v>
      </c>
      <c r="BX6" t="s">
        <v>290</v>
      </c>
    </row>
    <row r="7" spans="1:76" x14ac:dyDescent="0.4">
      <c r="A7" s="47">
        <v>68</v>
      </c>
      <c r="B7" s="3">
        <v>68</v>
      </c>
      <c r="C7" s="49" t="s">
        <v>127</v>
      </c>
      <c r="D7" s="4" t="str">
        <f t="shared" si="0"/>
        <v>J449WB</v>
      </c>
      <c r="E7" s="4" t="s">
        <v>127</v>
      </c>
      <c r="F7" s="4" t="s">
        <v>276</v>
      </c>
      <c r="G7" s="4" t="s">
        <v>198</v>
      </c>
      <c r="H7" s="5">
        <v>4901755014556</v>
      </c>
      <c r="I7" s="5">
        <v>5</v>
      </c>
      <c r="J7" s="5"/>
      <c r="K7" s="5">
        <v>2</v>
      </c>
      <c r="L7" s="5">
        <v>1</v>
      </c>
      <c r="M7" s="4">
        <v>1400</v>
      </c>
      <c r="N7" s="4">
        <v>1018</v>
      </c>
      <c r="O7" s="58">
        <v>756</v>
      </c>
      <c r="P7" s="6">
        <f t="shared" si="1"/>
        <v>0.25736738703339879</v>
      </c>
      <c r="Q7" s="4" t="s">
        <v>287</v>
      </c>
      <c r="R7" s="4" t="s">
        <v>287</v>
      </c>
      <c r="S7" s="4" t="s">
        <v>287</v>
      </c>
      <c r="T7" s="4" t="s">
        <v>287</v>
      </c>
      <c r="U7" s="4" t="s">
        <v>287</v>
      </c>
      <c r="V7" s="4" t="s">
        <v>287</v>
      </c>
      <c r="W7" s="4" t="s">
        <v>287</v>
      </c>
      <c r="X7" s="4" t="s">
        <v>287</v>
      </c>
      <c r="Y7" s="4" t="s">
        <v>287</v>
      </c>
      <c r="Z7" s="4" t="s">
        <v>287</v>
      </c>
      <c r="AA7" s="4" t="s">
        <v>287</v>
      </c>
      <c r="AB7" s="4" t="s">
        <v>287</v>
      </c>
      <c r="AC7" s="4">
        <v>0</v>
      </c>
      <c r="AD7" s="4">
        <f t="shared" si="2"/>
        <v>0</v>
      </c>
      <c r="AE7" s="4">
        <v>792</v>
      </c>
      <c r="AF7" s="4">
        <f t="shared" si="3"/>
        <v>792</v>
      </c>
      <c r="AG7" s="4"/>
      <c r="AH7" s="21">
        <f t="shared" si="4"/>
        <v>1066</v>
      </c>
      <c r="AI7" s="6">
        <f t="shared" si="5"/>
        <v>0.25703564727954975</v>
      </c>
      <c r="AJ7" s="33">
        <v>0</v>
      </c>
      <c r="AK7" s="4">
        <f t="shared" si="6"/>
        <v>1233.25</v>
      </c>
      <c r="AL7" s="33">
        <f t="shared" si="7"/>
        <v>1291.9761904761906</v>
      </c>
      <c r="AM7" s="6">
        <f t="shared" si="8"/>
        <v>0.38698560713561736</v>
      </c>
      <c r="AN7" s="7">
        <v>1180</v>
      </c>
      <c r="AO7" s="48">
        <f t="shared" si="9"/>
        <v>0.32881355932203393</v>
      </c>
      <c r="AP7" s="4">
        <f t="shared" si="10"/>
        <v>388</v>
      </c>
      <c r="AQ7" s="28"/>
      <c r="AR7" s="6"/>
      <c r="AS7" s="6"/>
      <c r="AT7" s="6">
        <f t="shared" si="11"/>
        <v>0</v>
      </c>
      <c r="AU7" s="6">
        <f t="shared" si="12"/>
        <v>1.1591355599214146</v>
      </c>
      <c r="AV7" s="6">
        <f t="shared" si="13"/>
        <v>1.0476190476190477</v>
      </c>
      <c r="AW7" s="6" t="str">
        <f t="shared" si="15"/>
        <v>-</v>
      </c>
      <c r="AX7" s="4" t="str">
        <f t="shared" si="16"/>
        <v>-</v>
      </c>
      <c r="AY7" s="4" t="str">
        <f t="shared" si="17"/>
        <v>-</v>
      </c>
      <c r="AZ7" s="4" t="str">
        <f t="shared" si="18"/>
        <v>-</v>
      </c>
      <c r="BA7" s="4" t="str">
        <f t="shared" si="19"/>
        <v>-</v>
      </c>
      <c r="BB7" s="4" t="str">
        <f t="shared" si="20"/>
        <v>-</v>
      </c>
      <c r="BC7" s="4" t="str">
        <f t="shared" si="21"/>
        <v>-</v>
      </c>
      <c r="BD7" s="4" t="str">
        <f t="shared" si="22"/>
        <v>-</v>
      </c>
      <c r="BE7" s="4" t="str">
        <f t="shared" si="23"/>
        <v>-</v>
      </c>
      <c r="BF7" s="4" t="str">
        <f t="shared" si="24"/>
        <v>-</v>
      </c>
      <c r="BG7" s="4" t="str">
        <f t="shared" si="25"/>
        <v>-</v>
      </c>
      <c r="BH7" s="4" t="str">
        <f t="shared" si="26"/>
        <v>-</v>
      </c>
      <c r="BI7" s="4" t="str">
        <f t="shared" si="27"/>
        <v>-</v>
      </c>
      <c r="BJ7" s="4">
        <v>0</v>
      </c>
      <c r="BK7" s="4" t="s">
        <v>362</v>
      </c>
      <c r="BL7" s="4">
        <v>1</v>
      </c>
      <c r="BM7" s="4">
        <v>40</v>
      </c>
      <c r="BN7" s="4" t="s">
        <v>363</v>
      </c>
      <c r="BO7" s="4">
        <v>49330</v>
      </c>
      <c r="BP7" s="4">
        <f t="shared" si="14"/>
        <v>1233.25</v>
      </c>
      <c r="BQ7" s="19">
        <v>4</v>
      </c>
      <c r="BR7" s="19">
        <v>9</v>
      </c>
      <c r="BS7" s="16">
        <v>615</v>
      </c>
      <c r="BT7" t="s">
        <v>287</v>
      </c>
      <c r="BU7" t="str">
        <f t="shared" si="28"/>
        <v>-</v>
      </c>
      <c r="BV7">
        <v>1485</v>
      </c>
      <c r="BW7">
        <f t="shared" si="29"/>
        <v>1555.7142857142858</v>
      </c>
      <c r="BX7" t="s">
        <v>291</v>
      </c>
    </row>
    <row r="8" spans="1:76" x14ac:dyDescent="0.4">
      <c r="A8" s="3">
        <v>69</v>
      </c>
      <c r="B8" s="3">
        <v>69</v>
      </c>
      <c r="C8" s="49" t="s">
        <v>128</v>
      </c>
      <c r="D8" s="4" t="str">
        <f t="shared" si="0"/>
        <v>J5327T</v>
      </c>
      <c r="E8" s="4" t="s">
        <v>128</v>
      </c>
      <c r="F8" s="4" t="s">
        <v>277</v>
      </c>
      <c r="G8" s="4" t="s">
        <v>198</v>
      </c>
      <c r="H8" s="5">
        <v>4901755014556</v>
      </c>
      <c r="I8" s="5">
        <v>5</v>
      </c>
      <c r="J8" s="5"/>
      <c r="K8" s="5">
        <v>2</v>
      </c>
      <c r="L8" s="5">
        <v>1</v>
      </c>
      <c r="M8" s="4">
        <v>1400</v>
      </c>
      <c r="N8" s="4">
        <v>1080</v>
      </c>
      <c r="O8" s="4">
        <v>756</v>
      </c>
      <c r="P8" s="6">
        <f t="shared" si="1"/>
        <v>0.30000000000000004</v>
      </c>
      <c r="Q8" s="4">
        <v>880</v>
      </c>
      <c r="R8" s="4">
        <v>2</v>
      </c>
      <c r="S8" s="4">
        <v>9</v>
      </c>
      <c r="T8" s="4">
        <v>870</v>
      </c>
      <c r="U8" s="4">
        <v>10</v>
      </c>
      <c r="V8" s="4">
        <v>29</v>
      </c>
      <c r="W8" s="4">
        <v>860</v>
      </c>
      <c r="X8" s="4">
        <v>30</v>
      </c>
      <c r="Y8" s="4">
        <v>99</v>
      </c>
      <c r="Z8" s="4">
        <v>840</v>
      </c>
      <c r="AA8" s="4">
        <v>100</v>
      </c>
      <c r="AB8" s="4">
        <v>99999</v>
      </c>
      <c r="AC8" s="4">
        <v>0</v>
      </c>
      <c r="AD8" s="4">
        <f t="shared" si="2"/>
        <v>0</v>
      </c>
      <c r="AE8" s="4">
        <v>792</v>
      </c>
      <c r="AF8" s="4">
        <f t="shared" si="3"/>
        <v>792</v>
      </c>
      <c r="AG8" s="4"/>
      <c r="AH8" s="21">
        <f t="shared" si="4"/>
        <v>1131</v>
      </c>
      <c r="AI8" s="6">
        <f t="shared" si="5"/>
        <v>0.29973474801061006</v>
      </c>
      <c r="AJ8" s="33">
        <v>1</v>
      </c>
      <c r="AK8" s="4">
        <f t="shared" si="6"/>
        <v>1233.25</v>
      </c>
      <c r="AL8" s="33">
        <f t="shared" si="7"/>
        <v>1291.9761904761906</v>
      </c>
      <c r="AM8" s="6">
        <f t="shared" si="8"/>
        <v>0.38698560713561736</v>
      </c>
      <c r="AN8" s="7">
        <v>1280</v>
      </c>
      <c r="AO8" s="6">
        <f t="shared" si="9"/>
        <v>0.38124999999999998</v>
      </c>
      <c r="AP8" s="4">
        <f t="shared" si="10"/>
        <v>488</v>
      </c>
      <c r="AQ8" s="28"/>
      <c r="AR8" s="6"/>
      <c r="AS8" s="6"/>
      <c r="AT8" s="50">
        <f t="shared" si="11"/>
        <v>0</v>
      </c>
      <c r="AU8" s="6">
        <f t="shared" si="12"/>
        <v>1.1851851851851851</v>
      </c>
      <c r="AV8" s="6">
        <f t="shared" si="13"/>
        <v>1.0476190476190477</v>
      </c>
      <c r="AW8" s="6">
        <f>IFERROR(1-AF8/BG8,"-")</f>
        <v>0.20481927710843373</v>
      </c>
      <c r="AX8" s="4">
        <f t="shared" si="16"/>
        <v>1043</v>
      </c>
      <c r="AY8" s="4">
        <f t="shared" si="17"/>
        <v>2</v>
      </c>
      <c r="AZ8" s="4">
        <f t="shared" si="18"/>
        <v>9</v>
      </c>
      <c r="BA8" s="4">
        <f t="shared" si="19"/>
        <v>1031</v>
      </c>
      <c r="BB8" s="4">
        <f t="shared" si="20"/>
        <v>10</v>
      </c>
      <c r="BC8" s="4">
        <f t="shared" si="21"/>
        <v>29</v>
      </c>
      <c r="BD8" s="4">
        <f t="shared" si="22"/>
        <v>1019</v>
      </c>
      <c r="BE8" s="4">
        <f t="shared" si="23"/>
        <v>30</v>
      </c>
      <c r="BF8" s="4">
        <f t="shared" si="24"/>
        <v>99</v>
      </c>
      <c r="BG8" s="4">
        <f t="shared" si="25"/>
        <v>996</v>
      </c>
      <c r="BH8" s="4">
        <f t="shared" si="26"/>
        <v>100</v>
      </c>
      <c r="BI8" s="4">
        <f t="shared" si="27"/>
        <v>99999</v>
      </c>
      <c r="BJ8" s="4">
        <v>0</v>
      </c>
      <c r="BK8" s="4" t="s">
        <v>362</v>
      </c>
      <c r="BL8" s="4">
        <v>1</v>
      </c>
      <c r="BM8" s="4">
        <v>40</v>
      </c>
      <c r="BN8" s="4" t="s">
        <v>363</v>
      </c>
      <c r="BO8" s="4">
        <v>49330</v>
      </c>
      <c r="BP8" s="4">
        <f t="shared" si="14"/>
        <v>1233.25</v>
      </c>
      <c r="BQ8" s="19">
        <v>4</v>
      </c>
      <c r="BR8" s="19">
        <v>8</v>
      </c>
      <c r="BS8" s="16">
        <v>615</v>
      </c>
      <c r="BT8" t="s">
        <v>287</v>
      </c>
      <c r="BU8" t="str">
        <f t="shared" si="28"/>
        <v>-</v>
      </c>
      <c r="BV8">
        <v>1485</v>
      </c>
      <c r="BW8">
        <f t="shared" si="29"/>
        <v>1555.7142857142858</v>
      </c>
      <c r="BX8" t="s">
        <v>291</v>
      </c>
    </row>
    <row r="9" spans="1:76" x14ac:dyDescent="0.4">
      <c r="A9" s="3">
        <v>70</v>
      </c>
      <c r="B9" s="3">
        <v>70</v>
      </c>
      <c r="C9" s="17" t="s">
        <v>129</v>
      </c>
      <c r="D9" s="4" t="str">
        <f t="shared" si="0"/>
        <v>J5328T</v>
      </c>
      <c r="E9" s="4" t="s">
        <v>129</v>
      </c>
      <c r="F9" s="4" t="s">
        <v>278</v>
      </c>
      <c r="G9" s="4" t="s">
        <v>199</v>
      </c>
      <c r="H9" s="5">
        <v>4901755014563</v>
      </c>
      <c r="I9" s="5">
        <v>5</v>
      </c>
      <c r="J9" s="5"/>
      <c r="K9" s="5">
        <v>1</v>
      </c>
      <c r="L9" s="5">
        <v>1</v>
      </c>
      <c r="M9" s="4">
        <v>1500</v>
      </c>
      <c r="N9" s="4">
        <v>1180</v>
      </c>
      <c r="O9" s="4">
        <v>810</v>
      </c>
      <c r="P9" s="6">
        <f t="shared" si="1"/>
        <v>0.31355932203389836</v>
      </c>
      <c r="Q9" s="4">
        <v>980</v>
      </c>
      <c r="R9" s="4">
        <v>2</v>
      </c>
      <c r="S9" s="4">
        <v>9</v>
      </c>
      <c r="T9" s="4">
        <v>970</v>
      </c>
      <c r="U9" s="4">
        <v>10</v>
      </c>
      <c r="V9" s="4">
        <v>29</v>
      </c>
      <c r="W9" s="4">
        <v>960</v>
      </c>
      <c r="X9" s="4">
        <v>30</v>
      </c>
      <c r="Y9" s="4">
        <v>99</v>
      </c>
      <c r="Z9" s="4">
        <v>920</v>
      </c>
      <c r="AA9" s="4">
        <v>100</v>
      </c>
      <c r="AB9" s="4">
        <v>99999</v>
      </c>
      <c r="AC9" s="4">
        <v>0</v>
      </c>
      <c r="AD9" s="4">
        <f t="shared" si="2"/>
        <v>0</v>
      </c>
      <c r="AE9" s="4">
        <v>840</v>
      </c>
      <c r="AF9" s="4">
        <f t="shared" si="3"/>
        <v>840</v>
      </c>
      <c r="AG9" s="4"/>
      <c r="AH9" s="21">
        <f t="shared" si="4"/>
        <v>1224</v>
      </c>
      <c r="AI9" s="6">
        <f t="shared" si="5"/>
        <v>0.31372549019607843</v>
      </c>
      <c r="AJ9" s="33">
        <v>2</v>
      </c>
      <c r="AK9" s="4">
        <f t="shared" si="6"/>
        <v>1313.5500000000002</v>
      </c>
      <c r="AL9" s="33">
        <f t="shared" si="7"/>
        <v>1362.2</v>
      </c>
      <c r="AM9" s="6">
        <f t="shared" si="8"/>
        <v>0.38335046248715321</v>
      </c>
      <c r="AN9" s="7">
        <v>1350</v>
      </c>
      <c r="AO9" s="6">
        <f t="shared" si="9"/>
        <v>0.37777777777777777</v>
      </c>
      <c r="AP9" s="4">
        <f t="shared" si="10"/>
        <v>510</v>
      </c>
      <c r="AQ9" s="28"/>
      <c r="AR9" s="6"/>
      <c r="AS9" s="6"/>
      <c r="AT9" s="50">
        <f t="shared" si="11"/>
        <v>0</v>
      </c>
      <c r="AU9" s="6">
        <f t="shared" si="12"/>
        <v>1.1440677966101696</v>
      </c>
      <c r="AV9" s="6">
        <f t="shared" si="13"/>
        <v>1.037037037037037</v>
      </c>
      <c r="AW9" s="6">
        <f>IFERROR(1-AF9/BG9,"-")</f>
        <v>0.20227920227920226</v>
      </c>
      <c r="AX9" s="4">
        <f t="shared" si="16"/>
        <v>1121</v>
      </c>
      <c r="AY9" s="4">
        <f t="shared" si="17"/>
        <v>2</v>
      </c>
      <c r="AZ9" s="4">
        <f t="shared" si="18"/>
        <v>9</v>
      </c>
      <c r="BA9" s="4">
        <f t="shared" si="19"/>
        <v>1110</v>
      </c>
      <c r="BB9" s="4">
        <f t="shared" si="20"/>
        <v>10</v>
      </c>
      <c r="BC9" s="4">
        <f t="shared" si="21"/>
        <v>29</v>
      </c>
      <c r="BD9" s="4">
        <f t="shared" si="22"/>
        <v>1098</v>
      </c>
      <c r="BE9" s="4">
        <f t="shared" si="23"/>
        <v>30</v>
      </c>
      <c r="BF9" s="4">
        <f t="shared" si="24"/>
        <v>99</v>
      </c>
      <c r="BG9" s="4">
        <f t="shared" si="25"/>
        <v>1053</v>
      </c>
      <c r="BH9" s="4">
        <f t="shared" si="26"/>
        <v>100</v>
      </c>
      <c r="BI9" s="4">
        <f t="shared" si="27"/>
        <v>99999</v>
      </c>
      <c r="BJ9" s="4">
        <v>0</v>
      </c>
      <c r="BK9" s="4" t="s">
        <v>364</v>
      </c>
      <c r="BL9" s="4">
        <v>1</v>
      </c>
      <c r="BM9" s="4">
        <v>40</v>
      </c>
      <c r="BN9" s="4" t="s">
        <v>363</v>
      </c>
      <c r="BO9" s="4">
        <v>52542</v>
      </c>
      <c r="BP9" s="4">
        <f t="shared" si="14"/>
        <v>1313.5500000000002</v>
      </c>
      <c r="BQ9" s="19">
        <v>4</v>
      </c>
      <c r="BR9" s="19">
        <v>8</v>
      </c>
      <c r="BS9" s="16">
        <v>615</v>
      </c>
      <c r="BT9" t="s">
        <v>287</v>
      </c>
      <c r="BU9" t="str">
        <f t="shared" si="28"/>
        <v>-</v>
      </c>
      <c r="BV9">
        <v>1568</v>
      </c>
      <c r="BW9">
        <f t="shared" si="29"/>
        <v>1626.0740740740739</v>
      </c>
      <c r="BX9" t="s">
        <v>292</v>
      </c>
    </row>
    <row r="10" spans="1:76" x14ac:dyDescent="0.4">
      <c r="A10" s="3">
        <v>16</v>
      </c>
      <c r="B10" s="3">
        <v>16</v>
      </c>
      <c r="C10" s="4" t="s">
        <v>81</v>
      </c>
      <c r="D10" s="4" t="str">
        <f t="shared" si="0"/>
        <v>J9878T</v>
      </c>
      <c r="E10" s="4" t="s">
        <v>81</v>
      </c>
      <c r="F10" s="4" t="s">
        <v>223</v>
      </c>
      <c r="G10" s="4" t="s">
        <v>146</v>
      </c>
      <c r="H10" s="5">
        <v>4901755739640</v>
      </c>
      <c r="I10" s="5">
        <v>5</v>
      </c>
      <c r="J10" s="5"/>
      <c r="K10" s="5">
        <v>1</v>
      </c>
      <c r="L10" s="5">
        <v>1</v>
      </c>
      <c r="M10" s="4">
        <v>0</v>
      </c>
      <c r="N10" s="4">
        <v>1606</v>
      </c>
      <c r="O10" s="4">
        <v>1134</v>
      </c>
      <c r="P10" s="6">
        <f t="shared" si="1"/>
        <v>0.29389788293897878</v>
      </c>
      <c r="Q10" s="4" t="s">
        <v>287</v>
      </c>
      <c r="R10" s="4" t="s">
        <v>287</v>
      </c>
      <c r="S10" s="4" t="s">
        <v>287</v>
      </c>
      <c r="T10" s="4" t="s">
        <v>287</v>
      </c>
      <c r="U10" s="4" t="s">
        <v>287</v>
      </c>
      <c r="V10" s="4" t="s">
        <v>287</v>
      </c>
      <c r="W10" s="4" t="s">
        <v>287</v>
      </c>
      <c r="X10" s="4" t="s">
        <v>287</v>
      </c>
      <c r="Y10" s="4" t="s">
        <v>287</v>
      </c>
      <c r="Z10" s="4" t="s">
        <v>287</v>
      </c>
      <c r="AA10" s="4" t="s">
        <v>287</v>
      </c>
      <c r="AB10" s="4" t="s">
        <v>287</v>
      </c>
      <c r="AC10" s="4">
        <v>0</v>
      </c>
      <c r="AD10" s="4">
        <f t="shared" si="2"/>
        <v>0</v>
      </c>
      <c r="AE10" s="4">
        <v>1248</v>
      </c>
      <c r="AF10" s="4">
        <f t="shared" si="3"/>
        <v>1248</v>
      </c>
      <c r="AG10" s="4"/>
      <c r="AH10" s="21">
        <f t="shared" si="4"/>
        <v>1767</v>
      </c>
      <c r="AI10" s="6">
        <f t="shared" si="5"/>
        <v>0.29371816638370118</v>
      </c>
      <c r="AJ10" s="33">
        <v>0.25</v>
      </c>
      <c r="AK10" s="4">
        <f t="shared" si="6"/>
        <v>1738</v>
      </c>
      <c r="AL10" s="33">
        <f t="shared" si="7"/>
        <v>1912.7195767195767</v>
      </c>
      <c r="AM10" s="6">
        <f t="shared" si="8"/>
        <v>0.34752589182968929</v>
      </c>
      <c r="AN10" s="7">
        <v>1910</v>
      </c>
      <c r="AO10" s="6">
        <f t="shared" si="9"/>
        <v>0.34659685863874345</v>
      </c>
      <c r="AP10" s="4">
        <f t="shared" si="10"/>
        <v>662</v>
      </c>
      <c r="AQ10" s="28"/>
      <c r="AR10" s="6"/>
      <c r="AS10" s="6"/>
      <c r="AT10" s="6" t="str">
        <f t="shared" si="11"/>
        <v>-</v>
      </c>
      <c r="AU10" s="6">
        <f t="shared" si="12"/>
        <v>1.1892901618929017</v>
      </c>
      <c r="AV10" s="6">
        <f t="shared" si="13"/>
        <v>1.1005291005291005</v>
      </c>
      <c r="AW10" s="6" t="str">
        <f t="shared" si="15"/>
        <v>-</v>
      </c>
      <c r="AX10" s="4" t="str">
        <f t="shared" si="16"/>
        <v>-</v>
      </c>
      <c r="AY10" s="4" t="str">
        <f t="shared" si="17"/>
        <v>-</v>
      </c>
      <c r="AZ10" s="4" t="str">
        <f t="shared" si="18"/>
        <v>-</v>
      </c>
      <c r="BA10" s="4" t="str">
        <f t="shared" si="19"/>
        <v>-</v>
      </c>
      <c r="BB10" s="4" t="str">
        <f t="shared" si="20"/>
        <v>-</v>
      </c>
      <c r="BC10" s="4" t="str">
        <f t="shared" si="21"/>
        <v>-</v>
      </c>
      <c r="BD10" s="4" t="str">
        <f t="shared" si="22"/>
        <v>-</v>
      </c>
      <c r="BE10" s="4" t="str">
        <f t="shared" si="23"/>
        <v>-</v>
      </c>
      <c r="BF10" s="4" t="str">
        <f t="shared" si="24"/>
        <v>-</v>
      </c>
      <c r="BG10" s="4" t="str">
        <f t="shared" si="25"/>
        <v>-</v>
      </c>
      <c r="BH10" s="4" t="str">
        <f t="shared" si="26"/>
        <v>-</v>
      </c>
      <c r="BI10" s="4" t="str">
        <f t="shared" si="27"/>
        <v>-</v>
      </c>
      <c r="BJ10" s="4">
        <v>0</v>
      </c>
      <c r="BK10" s="4" t="s">
        <v>365</v>
      </c>
      <c r="BL10" s="4"/>
      <c r="BM10" s="4"/>
      <c r="BN10" s="4" t="s">
        <v>357</v>
      </c>
      <c r="BO10" s="4">
        <v>1738</v>
      </c>
      <c r="BP10" s="4">
        <f t="shared" si="14"/>
        <v>1738</v>
      </c>
      <c r="BQ10" s="19">
        <v>4</v>
      </c>
      <c r="BR10" s="19">
        <v>8</v>
      </c>
      <c r="BS10" s="16">
        <v>1120</v>
      </c>
      <c r="BT10" t="s">
        <v>287</v>
      </c>
      <c r="BU10" t="str">
        <f t="shared" si="28"/>
        <v>-</v>
      </c>
      <c r="BV10">
        <v>1840</v>
      </c>
      <c r="BW10">
        <f t="shared" si="29"/>
        <v>2024.9735449735449</v>
      </c>
      <c r="BX10" t="s">
        <v>293</v>
      </c>
    </row>
    <row r="11" spans="1:76" x14ac:dyDescent="0.4">
      <c r="A11" s="3">
        <v>28</v>
      </c>
      <c r="B11" s="3">
        <v>28</v>
      </c>
      <c r="C11" s="4" t="s">
        <v>91</v>
      </c>
      <c r="D11" s="4" t="str">
        <f t="shared" si="0"/>
        <v>J9879T</v>
      </c>
      <c r="E11" s="4" t="s">
        <v>91</v>
      </c>
      <c r="F11" s="4" t="s">
        <v>235</v>
      </c>
      <c r="G11" s="4" t="s">
        <v>158</v>
      </c>
      <c r="H11" s="5">
        <v>4901755739657</v>
      </c>
      <c r="I11" s="5">
        <v>5</v>
      </c>
      <c r="J11" s="5"/>
      <c r="K11" s="5">
        <v>1</v>
      </c>
      <c r="L11" s="5">
        <v>1</v>
      </c>
      <c r="M11" s="4">
        <v>0</v>
      </c>
      <c r="N11" s="4">
        <v>2394</v>
      </c>
      <c r="O11" s="4">
        <v>1674</v>
      </c>
      <c r="P11" s="6">
        <f t="shared" si="1"/>
        <v>0.3007518796992481</v>
      </c>
      <c r="Q11" s="4" t="s">
        <v>287</v>
      </c>
      <c r="R11" s="4" t="s">
        <v>287</v>
      </c>
      <c r="S11" s="4" t="s">
        <v>287</v>
      </c>
      <c r="T11" s="4" t="s">
        <v>287</v>
      </c>
      <c r="U11" s="4" t="s">
        <v>287</v>
      </c>
      <c r="V11" s="4" t="s">
        <v>287</v>
      </c>
      <c r="W11" s="4" t="s">
        <v>287</v>
      </c>
      <c r="X11" s="4" t="s">
        <v>287</v>
      </c>
      <c r="Y11" s="4" t="s">
        <v>287</v>
      </c>
      <c r="Z11" s="4" t="s">
        <v>287</v>
      </c>
      <c r="AA11" s="4" t="s">
        <v>287</v>
      </c>
      <c r="AB11" s="4" t="s">
        <v>287</v>
      </c>
      <c r="AC11" s="4">
        <v>0</v>
      </c>
      <c r="AD11" s="4">
        <f t="shared" si="2"/>
        <v>0</v>
      </c>
      <c r="AE11" s="4">
        <v>1872</v>
      </c>
      <c r="AF11" s="4">
        <f t="shared" si="3"/>
        <v>1872</v>
      </c>
      <c r="AG11" s="4"/>
      <c r="AH11" s="21">
        <f t="shared" si="4"/>
        <v>2677</v>
      </c>
      <c r="AI11" s="6">
        <f t="shared" si="5"/>
        <v>0.30070974971983566</v>
      </c>
      <c r="AJ11" s="33">
        <v>0.5</v>
      </c>
      <c r="AK11" s="4">
        <f t="shared" si="6"/>
        <v>2427.8000000000002</v>
      </c>
      <c r="AL11" s="33">
        <f t="shared" si="7"/>
        <v>2714.9591397849463</v>
      </c>
      <c r="AM11" s="6">
        <f t="shared" si="8"/>
        <v>0.31048686053216901</v>
      </c>
      <c r="AN11" s="7">
        <v>2714</v>
      </c>
      <c r="AO11" s="6">
        <f t="shared" si="9"/>
        <v>0.31024318349299929</v>
      </c>
      <c r="AP11" s="4">
        <f t="shared" si="10"/>
        <v>842</v>
      </c>
      <c r="AQ11" s="28"/>
      <c r="AR11" s="6"/>
      <c r="AS11" s="6"/>
      <c r="AT11" s="6" t="str">
        <f t="shared" si="11"/>
        <v>-</v>
      </c>
      <c r="AU11" s="6">
        <f t="shared" si="12"/>
        <v>1.1336675020885547</v>
      </c>
      <c r="AV11" s="6">
        <f t="shared" si="13"/>
        <v>1.118279569892473</v>
      </c>
      <c r="AW11" s="6" t="str">
        <f t="shared" si="15"/>
        <v>-</v>
      </c>
      <c r="AX11" s="4" t="str">
        <f t="shared" si="16"/>
        <v>-</v>
      </c>
      <c r="AY11" s="4" t="str">
        <f t="shared" si="17"/>
        <v>-</v>
      </c>
      <c r="AZ11" s="4" t="str">
        <f t="shared" si="18"/>
        <v>-</v>
      </c>
      <c r="BA11" s="4" t="str">
        <f t="shared" si="19"/>
        <v>-</v>
      </c>
      <c r="BB11" s="4" t="str">
        <f t="shared" si="20"/>
        <v>-</v>
      </c>
      <c r="BC11" s="4" t="str">
        <f t="shared" si="21"/>
        <v>-</v>
      </c>
      <c r="BD11" s="4" t="str">
        <f t="shared" si="22"/>
        <v>-</v>
      </c>
      <c r="BE11" s="4" t="str">
        <f t="shared" si="23"/>
        <v>-</v>
      </c>
      <c r="BF11" s="4" t="str">
        <f t="shared" si="24"/>
        <v>-</v>
      </c>
      <c r="BG11" s="4" t="str">
        <f t="shared" si="25"/>
        <v>-</v>
      </c>
      <c r="BH11" s="4" t="str">
        <f t="shared" si="26"/>
        <v>-</v>
      </c>
      <c r="BI11" s="4" t="str">
        <f t="shared" si="27"/>
        <v>-</v>
      </c>
      <c r="BJ11" s="4">
        <v>0</v>
      </c>
      <c r="BK11" s="4" t="s">
        <v>366</v>
      </c>
      <c r="BL11" s="4">
        <v>1</v>
      </c>
      <c r="BM11" s="4">
        <v>5</v>
      </c>
      <c r="BN11" s="4" t="s">
        <v>367</v>
      </c>
      <c r="BO11" s="4">
        <v>12139</v>
      </c>
      <c r="BP11" s="4">
        <f t="shared" si="14"/>
        <v>2427.8000000000002</v>
      </c>
      <c r="BQ11" s="19">
        <v>4</v>
      </c>
      <c r="BR11" s="19">
        <v>8</v>
      </c>
      <c r="BS11" s="16">
        <v>1120</v>
      </c>
      <c r="BT11" t="s">
        <v>287</v>
      </c>
      <c r="BU11" t="str">
        <f t="shared" si="28"/>
        <v>-</v>
      </c>
      <c r="BV11">
        <v>2640</v>
      </c>
      <c r="BW11">
        <f t="shared" si="29"/>
        <v>2952.2580645161288</v>
      </c>
      <c r="BX11" t="s">
        <v>294</v>
      </c>
    </row>
    <row r="12" spans="1:76" x14ac:dyDescent="0.4">
      <c r="A12" s="3">
        <v>36</v>
      </c>
      <c r="B12" s="3">
        <v>36</v>
      </c>
      <c r="C12" s="4" t="s">
        <v>99</v>
      </c>
      <c r="D12" s="4" t="str">
        <f t="shared" si="0"/>
        <v>J9880T</v>
      </c>
      <c r="E12" s="4" t="s">
        <v>99</v>
      </c>
      <c r="F12" s="4" t="s">
        <v>243</v>
      </c>
      <c r="G12" s="4" t="s">
        <v>166</v>
      </c>
      <c r="H12" s="5">
        <v>4901755739664</v>
      </c>
      <c r="I12" s="5">
        <v>5</v>
      </c>
      <c r="J12" s="5"/>
      <c r="K12" s="5">
        <v>1</v>
      </c>
      <c r="L12" s="5">
        <v>1</v>
      </c>
      <c r="M12" s="4">
        <v>0</v>
      </c>
      <c r="N12" s="4">
        <v>3060</v>
      </c>
      <c r="O12" s="4">
        <v>2160</v>
      </c>
      <c r="P12" s="6">
        <f t="shared" si="1"/>
        <v>0.29411764705882348</v>
      </c>
      <c r="Q12" s="4" t="s">
        <v>287</v>
      </c>
      <c r="R12" s="4" t="s">
        <v>287</v>
      </c>
      <c r="S12" s="4" t="s">
        <v>287</v>
      </c>
      <c r="T12" s="4" t="s">
        <v>287</v>
      </c>
      <c r="U12" s="4" t="s">
        <v>287</v>
      </c>
      <c r="V12" s="4" t="s">
        <v>287</v>
      </c>
      <c r="W12" s="4" t="s">
        <v>287</v>
      </c>
      <c r="X12" s="4" t="s">
        <v>287</v>
      </c>
      <c r="Y12" s="4" t="s">
        <v>287</v>
      </c>
      <c r="Z12" s="4" t="s">
        <v>287</v>
      </c>
      <c r="AA12" s="4" t="s">
        <v>287</v>
      </c>
      <c r="AB12" s="4" t="s">
        <v>287</v>
      </c>
      <c r="AC12" s="4">
        <v>0</v>
      </c>
      <c r="AD12" s="4">
        <f t="shared" si="2"/>
        <v>0</v>
      </c>
      <c r="AE12" s="4">
        <v>2496</v>
      </c>
      <c r="AF12" s="4">
        <f t="shared" si="3"/>
        <v>2496</v>
      </c>
      <c r="AG12" s="4"/>
      <c r="AH12" s="21">
        <f t="shared" si="4"/>
        <v>3536</v>
      </c>
      <c r="AI12" s="6">
        <f t="shared" si="5"/>
        <v>0.29411764705882348</v>
      </c>
      <c r="AJ12" s="33">
        <v>0</v>
      </c>
      <c r="AK12" s="4">
        <f t="shared" si="6"/>
        <v>2581</v>
      </c>
      <c r="AL12" s="33">
        <f t="shared" si="7"/>
        <v>2982.4888888888886</v>
      </c>
      <c r="AM12" s="6">
        <f t="shared" si="8"/>
        <v>0.16311507167764427</v>
      </c>
      <c r="AN12" s="7">
        <v>3800</v>
      </c>
      <c r="AO12" s="6">
        <f t="shared" si="9"/>
        <v>0.34315789473684211</v>
      </c>
      <c r="AP12" s="4">
        <f t="shared" si="10"/>
        <v>1304</v>
      </c>
      <c r="AQ12" s="28"/>
      <c r="AR12" s="6"/>
      <c r="AS12" s="6"/>
      <c r="AT12" s="6" t="str">
        <f t="shared" si="11"/>
        <v>-</v>
      </c>
      <c r="AU12" s="6">
        <f t="shared" si="12"/>
        <v>1.2418300653594772</v>
      </c>
      <c r="AV12" s="6">
        <f t="shared" si="13"/>
        <v>1.1555555555555554</v>
      </c>
      <c r="AW12" s="6" t="str">
        <f t="shared" si="15"/>
        <v>-</v>
      </c>
      <c r="AX12" s="4" t="str">
        <f t="shared" si="16"/>
        <v>-</v>
      </c>
      <c r="AY12" s="4" t="str">
        <f t="shared" si="17"/>
        <v>-</v>
      </c>
      <c r="AZ12" s="4" t="str">
        <f t="shared" si="18"/>
        <v>-</v>
      </c>
      <c r="BA12" s="4" t="str">
        <f t="shared" si="19"/>
        <v>-</v>
      </c>
      <c r="BB12" s="4" t="str">
        <f t="shared" si="20"/>
        <v>-</v>
      </c>
      <c r="BC12" s="4" t="str">
        <f t="shared" si="21"/>
        <v>-</v>
      </c>
      <c r="BD12" s="4" t="str">
        <f t="shared" si="22"/>
        <v>-</v>
      </c>
      <c r="BE12" s="4" t="str">
        <f t="shared" si="23"/>
        <v>-</v>
      </c>
      <c r="BF12" s="4" t="str">
        <f t="shared" si="24"/>
        <v>-</v>
      </c>
      <c r="BG12" s="4" t="str">
        <f t="shared" si="25"/>
        <v>-</v>
      </c>
      <c r="BH12" s="4" t="str">
        <f t="shared" si="26"/>
        <v>-</v>
      </c>
      <c r="BI12" s="4" t="str">
        <f t="shared" si="27"/>
        <v>-</v>
      </c>
      <c r="BJ12" s="4">
        <v>0</v>
      </c>
      <c r="BK12" s="4" t="s">
        <v>368</v>
      </c>
      <c r="BL12" s="4"/>
      <c r="BM12" s="4"/>
      <c r="BN12" s="4" t="s">
        <v>357</v>
      </c>
      <c r="BO12" s="4">
        <v>2581</v>
      </c>
      <c r="BP12" s="4">
        <f t="shared" si="14"/>
        <v>2581</v>
      </c>
      <c r="BQ12" s="19">
        <v>4</v>
      </c>
      <c r="BR12" s="19">
        <v>8</v>
      </c>
      <c r="BS12" s="16">
        <v>1120</v>
      </c>
      <c r="BT12" t="s">
        <v>287</v>
      </c>
      <c r="BU12" t="str">
        <f t="shared" si="28"/>
        <v>-</v>
      </c>
      <c r="BV12">
        <v>3520</v>
      </c>
      <c r="BW12">
        <f t="shared" si="29"/>
        <v>4067.5555555555552</v>
      </c>
      <c r="BX12" t="s">
        <v>295</v>
      </c>
    </row>
    <row r="13" spans="1:76" x14ac:dyDescent="0.4">
      <c r="A13" s="3">
        <v>8</v>
      </c>
      <c r="B13" s="3">
        <v>8</v>
      </c>
      <c r="C13" s="4" t="s">
        <v>74</v>
      </c>
      <c r="D13" s="4" t="str">
        <f t="shared" si="0"/>
        <v>J8445T</v>
      </c>
      <c r="E13" s="4" t="s">
        <v>74</v>
      </c>
      <c r="F13" s="4" t="s">
        <v>215</v>
      </c>
      <c r="G13" s="4" t="s">
        <v>138</v>
      </c>
      <c r="H13" s="5">
        <v>4901755503814</v>
      </c>
      <c r="I13" s="5">
        <v>5</v>
      </c>
      <c r="J13" s="5"/>
      <c r="K13" s="5">
        <v>1</v>
      </c>
      <c r="L13" s="5">
        <v>1</v>
      </c>
      <c r="M13" s="4">
        <v>1300</v>
      </c>
      <c r="N13" s="4">
        <v>963</v>
      </c>
      <c r="O13" s="4">
        <v>664</v>
      </c>
      <c r="P13" s="6">
        <f t="shared" si="1"/>
        <v>0.31048805815160951</v>
      </c>
      <c r="Q13" s="4" t="s">
        <v>287</v>
      </c>
      <c r="R13" s="4" t="s">
        <v>287</v>
      </c>
      <c r="S13" s="4" t="s">
        <v>287</v>
      </c>
      <c r="T13" s="4" t="s">
        <v>287</v>
      </c>
      <c r="U13" s="4" t="s">
        <v>287</v>
      </c>
      <c r="V13" s="4" t="s">
        <v>287</v>
      </c>
      <c r="W13" s="4" t="s">
        <v>287</v>
      </c>
      <c r="X13" s="4" t="s">
        <v>287</v>
      </c>
      <c r="Y13" s="4" t="s">
        <v>287</v>
      </c>
      <c r="Z13" s="4" t="s">
        <v>287</v>
      </c>
      <c r="AA13" s="4" t="s">
        <v>287</v>
      </c>
      <c r="AB13" s="4" t="s">
        <v>287</v>
      </c>
      <c r="AC13" s="4">
        <v>0</v>
      </c>
      <c r="AD13" s="4">
        <f t="shared" si="2"/>
        <v>0</v>
      </c>
      <c r="AE13" s="4">
        <v>844</v>
      </c>
      <c r="AF13" s="4">
        <f t="shared" si="3"/>
        <v>844</v>
      </c>
      <c r="AG13" s="4"/>
      <c r="AH13" s="21">
        <f t="shared" si="4"/>
        <v>1224</v>
      </c>
      <c r="AI13" s="6">
        <f t="shared" si="5"/>
        <v>0.31045751633986929</v>
      </c>
      <c r="AJ13" s="33">
        <v>0</v>
      </c>
      <c r="AK13" s="4">
        <f t="shared" si="6"/>
        <v>1209.7</v>
      </c>
      <c r="AL13" s="33">
        <f t="shared" si="7"/>
        <v>1537.6307228915664</v>
      </c>
      <c r="AM13" s="6">
        <f t="shared" si="8"/>
        <v>0.45110357939985124</v>
      </c>
      <c r="AN13" s="7">
        <v>1300</v>
      </c>
      <c r="AO13" s="6">
        <f t="shared" si="9"/>
        <v>0.35076923076923072</v>
      </c>
      <c r="AP13" s="4">
        <f t="shared" si="10"/>
        <v>456</v>
      </c>
      <c r="AQ13" s="28"/>
      <c r="AR13" s="6"/>
      <c r="AS13" s="6"/>
      <c r="AT13" s="6">
        <f t="shared" si="11"/>
        <v>0</v>
      </c>
      <c r="AU13" s="6">
        <f t="shared" si="12"/>
        <v>1.3499480789200415</v>
      </c>
      <c r="AV13" s="6">
        <f t="shared" si="13"/>
        <v>1.2710843373493976</v>
      </c>
      <c r="AW13" s="6" t="str">
        <f t="shared" si="15"/>
        <v>-</v>
      </c>
      <c r="AX13" s="4" t="str">
        <f t="shared" si="16"/>
        <v>-</v>
      </c>
      <c r="AY13" s="4" t="str">
        <f t="shared" si="17"/>
        <v>-</v>
      </c>
      <c r="AZ13" s="4" t="str">
        <f t="shared" si="18"/>
        <v>-</v>
      </c>
      <c r="BA13" s="4" t="str">
        <f t="shared" si="19"/>
        <v>-</v>
      </c>
      <c r="BB13" s="4" t="str">
        <f t="shared" si="20"/>
        <v>-</v>
      </c>
      <c r="BC13" s="4" t="str">
        <f t="shared" si="21"/>
        <v>-</v>
      </c>
      <c r="BD13" s="4" t="str">
        <f t="shared" si="22"/>
        <v>-</v>
      </c>
      <c r="BE13" s="4" t="str">
        <f t="shared" si="23"/>
        <v>-</v>
      </c>
      <c r="BF13" s="4" t="str">
        <f t="shared" si="24"/>
        <v>-</v>
      </c>
      <c r="BG13" s="4" t="str">
        <f t="shared" si="25"/>
        <v>-</v>
      </c>
      <c r="BH13" s="4" t="str">
        <f t="shared" si="26"/>
        <v>-</v>
      </c>
      <c r="BI13" s="4" t="str">
        <f t="shared" si="27"/>
        <v>-</v>
      </c>
      <c r="BJ13" s="4">
        <v>0</v>
      </c>
      <c r="BK13" s="4" t="s">
        <v>369</v>
      </c>
      <c r="BL13" s="4">
        <v>1</v>
      </c>
      <c r="BM13" s="4">
        <v>40</v>
      </c>
      <c r="BN13" s="4" t="s">
        <v>370</v>
      </c>
      <c r="BO13" s="4">
        <v>48388</v>
      </c>
      <c r="BP13" s="4">
        <f t="shared" si="14"/>
        <v>1209.7</v>
      </c>
      <c r="BQ13" s="19">
        <v>4</v>
      </c>
      <c r="BR13" s="19">
        <v>8</v>
      </c>
      <c r="BS13" s="16">
        <v>1805</v>
      </c>
      <c r="BT13" t="s">
        <v>287</v>
      </c>
      <c r="BU13" t="str">
        <f t="shared" si="28"/>
        <v>-</v>
      </c>
      <c r="BV13">
        <v>1300</v>
      </c>
      <c r="BW13">
        <f t="shared" si="29"/>
        <v>1652.4096385542168</v>
      </c>
      <c r="BX13" t="s">
        <v>296</v>
      </c>
    </row>
    <row r="14" spans="1:76" x14ac:dyDescent="0.4">
      <c r="A14" s="3">
        <v>9</v>
      </c>
      <c r="B14" s="3">
        <v>9</v>
      </c>
      <c r="C14" s="4" t="s">
        <v>75</v>
      </c>
      <c r="D14" s="4" t="str">
        <f t="shared" si="0"/>
        <v>J8446T</v>
      </c>
      <c r="E14" s="4" t="s">
        <v>75</v>
      </c>
      <c r="F14" s="4" t="s">
        <v>216</v>
      </c>
      <c r="G14" s="4" t="s">
        <v>139</v>
      </c>
      <c r="H14" s="5">
        <v>4901755503821</v>
      </c>
      <c r="I14" s="5">
        <v>5</v>
      </c>
      <c r="J14" s="5"/>
      <c r="K14" s="5">
        <v>1</v>
      </c>
      <c r="L14" s="5">
        <v>1</v>
      </c>
      <c r="M14" s="4">
        <v>1420</v>
      </c>
      <c r="N14" s="4">
        <v>961</v>
      </c>
      <c r="O14" s="4">
        <v>718</v>
      </c>
      <c r="P14" s="6">
        <f t="shared" si="1"/>
        <v>0.25286160249739853</v>
      </c>
      <c r="Q14" s="4" t="s">
        <v>287</v>
      </c>
      <c r="R14" s="4" t="s">
        <v>287</v>
      </c>
      <c r="S14" s="4" t="s">
        <v>287</v>
      </c>
      <c r="T14" s="4" t="s">
        <v>287</v>
      </c>
      <c r="U14" s="4" t="s">
        <v>287</v>
      </c>
      <c r="V14" s="4" t="s">
        <v>287</v>
      </c>
      <c r="W14" s="4" t="s">
        <v>287</v>
      </c>
      <c r="X14" s="4" t="s">
        <v>287</v>
      </c>
      <c r="Y14" s="4" t="s">
        <v>287</v>
      </c>
      <c r="Z14" s="4" t="s">
        <v>287</v>
      </c>
      <c r="AA14" s="4" t="s">
        <v>287</v>
      </c>
      <c r="AB14" s="4" t="s">
        <v>287</v>
      </c>
      <c r="AC14" s="4">
        <v>0</v>
      </c>
      <c r="AD14" s="4">
        <f t="shared" si="2"/>
        <v>0</v>
      </c>
      <c r="AE14" s="4">
        <v>921.00000000000011</v>
      </c>
      <c r="AF14" s="4">
        <f t="shared" si="3"/>
        <v>921.00000000000011</v>
      </c>
      <c r="AG14" s="4"/>
      <c r="AH14" s="21">
        <f t="shared" si="4"/>
        <v>1233</v>
      </c>
      <c r="AI14" s="6">
        <f t="shared" si="5"/>
        <v>0.25304136253041354</v>
      </c>
      <c r="AJ14" s="33">
        <v>0</v>
      </c>
      <c r="AK14" s="4">
        <f t="shared" si="6"/>
        <v>1159.0250000000001</v>
      </c>
      <c r="AL14" s="33">
        <f t="shared" si="7"/>
        <v>1486.7159122562678</v>
      </c>
      <c r="AM14" s="6">
        <f t="shared" si="8"/>
        <v>0.38051379392161522</v>
      </c>
      <c r="AN14" s="7">
        <v>1430</v>
      </c>
      <c r="AO14" s="6">
        <f t="shared" si="9"/>
        <v>0.35594405594405587</v>
      </c>
      <c r="AP14" s="4">
        <f t="shared" si="10"/>
        <v>508.99999999999989</v>
      </c>
      <c r="AQ14" s="28"/>
      <c r="AR14" s="6"/>
      <c r="AS14" s="6"/>
      <c r="AT14" s="6">
        <f t="shared" si="11"/>
        <v>0</v>
      </c>
      <c r="AU14" s="6">
        <f t="shared" si="12"/>
        <v>1.4880332986472424</v>
      </c>
      <c r="AV14" s="6">
        <f t="shared" si="13"/>
        <v>1.2827298050139277</v>
      </c>
      <c r="AW14" s="6" t="str">
        <f t="shared" si="15"/>
        <v>-</v>
      </c>
      <c r="AX14" s="4" t="str">
        <f t="shared" si="16"/>
        <v>-</v>
      </c>
      <c r="AY14" s="4" t="str">
        <f t="shared" si="17"/>
        <v>-</v>
      </c>
      <c r="AZ14" s="4" t="str">
        <f t="shared" si="18"/>
        <v>-</v>
      </c>
      <c r="BA14" s="4" t="str">
        <f t="shared" si="19"/>
        <v>-</v>
      </c>
      <c r="BB14" s="4" t="str">
        <f t="shared" si="20"/>
        <v>-</v>
      </c>
      <c r="BC14" s="4" t="str">
        <f t="shared" si="21"/>
        <v>-</v>
      </c>
      <c r="BD14" s="4" t="str">
        <f t="shared" si="22"/>
        <v>-</v>
      </c>
      <c r="BE14" s="4" t="str">
        <f t="shared" si="23"/>
        <v>-</v>
      </c>
      <c r="BF14" s="4" t="str">
        <f t="shared" si="24"/>
        <v>-</v>
      </c>
      <c r="BG14" s="4" t="str">
        <f t="shared" si="25"/>
        <v>-</v>
      </c>
      <c r="BH14" s="4" t="str">
        <f t="shared" si="26"/>
        <v>-</v>
      </c>
      <c r="BI14" s="4" t="str">
        <f t="shared" si="27"/>
        <v>-</v>
      </c>
      <c r="BJ14" s="4">
        <v>0</v>
      </c>
      <c r="BK14" s="4" t="s">
        <v>371</v>
      </c>
      <c r="BL14" s="4">
        <v>1</v>
      </c>
      <c r="BM14" s="4">
        <v>40</v>
      </c>
      <c r="BN14" s="4" t="s">
        <v>370</v>
      </c>
      <c r="BO14" s="4">
        <v>46361</v>
      </c>
      <c r="BP14" s="4">
        <f t="shared" si="14"/>
        <v>1159.0250000000001</v>
      </c>
      <c r="BQ14" s="19">
        <v>4</v>
      </c>
      <c r="BR14" s="19">
        <v>8</v>
      </c>
      <c r="BS14" s="16">
        <v>1805</v>
      </c>
      <c r="BT14" t="s">
        <v>287</v>
      </c>
      <c r="BU14" t="str">
        <f t="shared" si="28"/>
        <v>-</v>
      </c>
      <c r="BV14">
        <v>1421</v>
      </c>
      <c r="BW14">
        <f t="shared" si="29"/>
        <v>1822.7590529247914</v>
      </c>
      <c r="BX14" t="s">
        <v>297</v>
      </c>
    </row>
    <row r="15" spans="1:76" x14ac:dyDescent="0.4">
      <c r="A15" s="3">
        <v>10</v>
      </c>
      <c r="B15" s="3">
        <v>10</v>
      </c>
      <c r="C15" s="4" t="s">
        <v>76</v>
      </c>
      <c r="D15" s="4" t="str">
        <f t="shared" si="0"/>
        <v>J8448T</v>
      </c>
      <c r="E15" s="4" t="s">
        <v>76</v>
      </c>
      <c r="F15" s="4" t="s">
        <v>217</v>
      </c>
      <c r="G15" s="4" t="s">
        <v>140</v>
      </c>
      <c r="H15" s="5">
        <v>4901755503845</v>
      </c>
      <c r="I15" s="5">
        <v>5</v>
      </c>
      <c r="J15" s="5"/>
      <c r="K15" s="5">
        <v>1</v>
      </c>
      <c r="L15" s="5">
        <v>1</v>
      </c>
      <c r="M15" s="4">
        <v>1480</v>
      </c>
      <c r="N15" s="4">
        <v>1004</v>
      </c>
      <c r="O15" s="4">
        <v>750</v>
      </c>
      <c r="P15" s="6">
        <f t="shared" si="1"/>
        <v>0.25298804780876494</v>
      </c>
      <c r="Q15" s="4" t="s">
        <v>287</v>
      </c>
      <c r="R15" s="4" t="s">
        <v>287</v>
      </c>
      <c r="S15" s="4" t="s">
        <v>287</v>
      </c>
      <c r="T15" s="4" t="s">
        <v>287</v>
      </c>
      <c r="U15" s="4" t="s">
        <v>287</v>
      </c>
      <c r="V15" s="4" t="s">
        <v>287</v>
      </c>
      <c r="W15" s="4" t="s">
        <v>287</v>
      </c>
      <c r="X15" s="4" t="s">
        <v>287</v>
      </c>
      <c r="Y15" s="4" t="s">
        <v>287</v>
      </c>
      <c r="Z15" s="4" t="s">
        <v>287</v>
      </c>
      <c r="AA15" s="4" t="s">
        <v>287</v>
      </c>
      <c r="AB15" s="4" t="s">
        <v>287</v>
      </c>
      <c r="AC15" s="4">
        <v>0</v>
      </c>
      <c r="AD15" s="4">
        <f t="shared" si="2"/>
        <v>0</v>
      </c>
      <c r="AE15" s="4">
        <v>960</v>
      </c>
      <c r="AF15" s="4">
        <f t="shared" si="3"/>
        <v>960</v>
      </c>
      <c r="AG15" s="4"/>
      <c r="AH15" s="21">
        <f t="shared" si="4"/>
        <v>1285</v>
      </c>
      <c r="AI15" s="6">
        <f t="shared" si="5"/>
        <v>0.25291828793774318</v>
      </c>
      <c r="AJ15" s="33">
        <v>0</v>
      </c>
      <c r="AK15" s="4">
        <f t="shared" si="6"/>
        <v>1337</v>
      </c>
      <c r="AL15" s="33">
        <f t="shared" si="7"/>
        <v>1711.3600000000001</v>
      </c>
      <c r="AM15" s="6">
        <f t="shared" si="8"/>
        <v>0.43904263275991029</v>
      </c>
      <c r="AN15" s="7">
        <v>1480</v>
      </c>
      <c r="AO15" s="6">
        <f t="shared" si="9"/>
        <v>0.35135135135135132</v>
      </c>
      <c r="AP15" s="4">
        <f t="shared" si="10"/>
        <v>520</v>
      </c>
      <c r="AQ15" s="28"/>
      <c r="AR15" s="6"/>
      <c r="AS15" s="6"/>
      <c r="AT15" s="6">
        <f t="shared" si="11"/>
        <v>0</v>
      </c>
      <c r="AU15" s="6">
        <f t="shared" si="12"/>
        <v>1.4741035856573705</v>
      </c>
      <c r="AV15" s="6">
        <f t="shared" si="13"/>
        <v>1.28</v>
      </c>
      <c r="AW15" s="6" t="str">
        <f t="shared" si="15"/>
        <v>-</v>
      </c>
      <c r="AX15" s="4" t="str">
        <f t="shared" si="16"/>
        <v>-</v>
      </c>
      <c r="AY15" s="4" t="str">
        <f t="shared" si="17"/>
        <v>-</v>
      </c>
      <c r="AZ15" s="4" t="str">
        <f t="shared" si="18"/>
        <v>-</v>
      </c>
      <c r="BA15" s="4" t="str">
        <f t="shared" si="19"/>
        <v>-</v>
      </c>
      <c r="BB15" s="4" t="str">
        <f t="shared" si="20"/>
        <v>-</v>
      </c>
      <c r="BC15" s="4" t="str">
        <f t="shared" si="21"/>
        <v>-</v>
      </c>
      <c r="BD15" s="4" t="str">
        <f t="shared" si="22"/>
        <v>-</v>
      </c>
      <c r="BE15" s="4" t="str">
        <f t="shared" si="23"/>
        <v>-</v>
      </c>
      <c r="BF15" s="4" t="str">
        <f t="shared" si="24"/>
        <v>-</v>
      </c>
      <c r="BG15" s="4" t="str">
        <f t="shared" si="25"/>
        <v>-</v>
      </c>
      <c r="BH15" s="4" t="str">
        <f t="shared" si="26"/>
        <v>-</v>
      </c>
      <c r="BI15" s="4" t="str">
        <f t="shared" si="27"/>
        <v>-</v>
      </c>
      <c r="BJ15" s="4">
        <v>0</v>
      </c>
      <c r="BK15" s="4" t="s">
        <v>372</v>
      </c>
      <c r="BL15" s="4"/>
      <c r="BM15" s="4"/>
      <c r="BN15" s="4" t="s">
        <v>357</v>
      </c>
      <c r="BO15" s="4">
        <v>1337</v>
      </c>
      <c r="BP15" s="4">
        <f t="shared" si="14"/>
        <v>1337</v>
      </c>
      <c r="BQ15" s="19">
        <v>4</v>
      </c>
      <c r="BR15" s="19">
        <v>8</v>
      </c>
      <c r="BS15" s="16">
        <v>1805</v>
      </c>
      <c r="BT15" t="s">
        <v>287</v>
      </c>
      <c r="BU15" t="str">
        <f t="shared" si="28"/>
        <v>-</v>
      </c>
      <c r="BV15">
        <v>1480</v>
      </c>
      <c r="BW15">
        <f t="shared" si="29"/>
        <v>1894.4</v>
      </c>
      <c r="BX15" t="s">
        <v>298</v>
      </c>
    </row>
    <row r="16" spans="1:76" x14ac:dyDescent="0.4">
      <c r="A16" s="3">
        <v>12</v>
      </c>
      <c r="B16" s="3">
        <v>12</v>
      </c>
      <c r="C16" s="4" t="s">
        <v>77</v>
      </c>
      <c r="D16" s="4" t="str">
        <f t="shared" si="0"/>
        <v>J8447T</v>
      </c>
      <c r="E16" s="4" t="s">
        <v>77</v>
      </c>
      <c r="F16" s="4" t="s">
        <v>219</v>
      </c>
      <c r="G16" s="4" t="s">
        <v>142</v>
      </c>
      <c r="H16" s="5">
        <v>4901755503838</v>
      </c>
      <c r="I16" s="5">
        <v>5</v>
      </c>
      <c r="J16" s="5"/>
      <c r="K16" s="5">
        <v>1</v>
      </c>
      <c r="L16" s="5">
        <v>1</v>
      </c>
      <c r="M16" s="4">
        <v>1550</v>
      </c>
      <c r="N16" s="4">
        <v>1136</v>
      </c>
      <c r="O16" s="4">
        <v>783</v>
      </c>
      <c r="P16" s="6">
        <f t="shared" si="1"/>
        <v>0.31073943661971826</v>
      </c>
      <c r="Q16" s="4" t="s">
        <v>287</v>
      </c>
      <c r="R16" s="4" t="s">
        <v>287</v>
      </c>
      <c r="S16" s="4" t="s">
        <v>287</v>
      </c>
      <c r="T16" s="4" t="s">
        <v>287</v>
      </c>
      <c r="U16" s="4" t="s">
        <v>287</v>
      </c>
      <c r="V16" s="4" t="s">
        <v>287</v>
      </c>
      <c r="W16" s="4" t="s">
        <v>287</v>
      </c>
      <c r="X16" s="4" t="s">
        <v>287</v>
      </c>
      <c r="Y16" s="4" t="s">
        <v>287</v>
      </c>
      <c r="Z16" s="4" t="s">
        <v>287</v>
      </c>
      <c r="AA16" s="4" t="s">
        <v>287</v>
      </c>
      <c r="AB16" s="4" t="s">
        <v>287</v>
      </c>
      <c r="AC16" s="4">
        <v>0</v>
      </c>
      <c r="AD16" s="4">
        <f t="shared" si="2"/>
        <v>0</v>
      </c>
      <c r="AE16" s="4">
        <v>1002.9999999999999</v>
      </c>
      <c r="AF16" s="4">
        <f t="shared" si="3"/>
        <v>1002.9999999999999</v>
      </c>
      <c r="AG16" s="4"/>
      <c r="AH16" s="21">
        <f t="shared" si="4"/>
        <v>1455</v>
      </c>
      <c r="AI16" s="6">
        <f t="shared" si="5"/>
        <v>0.31065292096219943</v>
      </c>
      <c r="AJ16" s="33">
        <v>0</v>
      </c>
      <c r="AK16" s="4">
        <f t="shared" si="6"/>
        <v>1260.0250000000001</v>
      </c>
      <c r="AL16" s="33">
        <f t="shared" si="7"/>
        <v>1614.0550127713921</v>
      </c>
      <c r="AM16" s="6">
        <f t="shared" si="8"/>
        <v>0.37858375825876478</v>
      </c>
      <c r="AN16" s="7">
        <v>1580</v>
      </c>
      <c r="AO16" s="6">
        <f t="shared" si="9"/>
        <v>0.36518987341772158</v>
      </c>
      <c r="AP16" s="4">
        <f t="shared" si="10"/>
        <v>577.00000000000011</v>
      </c>
      <c r="AQ16" s="28"/>
      <c r="AR16" s="6"/>
      <c r="AS16" s="6"/>
      <c r="AT16" s="6">
        <f t="shared" si="11"/>
        <v>0</v>
      </c>
      <c r="AU16" s="6">
        <f t="shared" si="12"/>
        <v>1.3908450704225352</v>
      </c>
      <c r="AV16" s="6">
        <f t="shared" si="13"/>
        <v>1.2809706257982119</v>
      </c>
      <c r="AW16" s="6" t="str">
        <f t="shared" si="15"/>
        <v>-</v>
      </c>
      <c r="AX16" s="4" t="str">
        <f t="shared" si="16"/>
        <v>-</v>
      </c>
      <c r="AY16" s="4" t="str">
        <f t="shared" si="17"/>
        <v>-</v>
      </c>
      <c r="AZ16" s="4" t="str">
        <f t="shared" si="18"/>
        <v>-</v>
      </c>
      <c r="BA16" s="4" t="str">
        <f t="shared" si="19"/>
        <v>-</v>
      </c>
      <c r="BB16" s="4" t="str">
        <f t="shared" si="20"/>
        <v>-</v>
      </c>
      <c r="BC16" s="4" t="str">
        <f t="shared" si="21"/>
        <v>-</v>
      </c>
      <c r="BD16" s="4" t="str">
        <f t="shared" si="22"/>
        <v>-</v>
      </c>
      <c r="BE16" s="4" t="str">
        <f t="shared" si="23"/>
        <v>-</v>
      </c>
      <c r="BF16" s="4" t="str">
        <f t="shared" si="24"/>
        <v>-</v>
      </c>
      <c r="BG16" s="4" t="str">
        <f t="shared" si="25"/>
        <v>-</v>
      </c>
      <c r="BH16" s="4" t="str">
        <f t="shared" si="26"/>
        <v>-</v>
      </c>
      <c r="BI16" s="4" t="str">
        <f t="shared" si="27"/>
        <v>-</v>
      </c>
      <c r="BJ16" s="4">
        <v>0</v>
      </c>
      <c r="BK16" s="4" t="s">
        <v>373</v>
      </c>
      <c r="BL16" s="4">
        <v>1</v>
      </c>
      <c r="BM16" s="4">
        <v>40</v>
      </c>
      <c r="BN16" s="4" t="s">
        <v>370</v>
      </c>
      <c r="BO16" s="4">
        <v>50401</v>
      </c>
      <c r="BP16" s="4">
        <f t="shared" si="14"/>
        <v>1260.0250000000001</v>
      </c>
      <c r="BQ16" s="19">
        <v>4</v>
      </c>
      <c r="BR16" s="19">
        <v>8</v>
      </c>
      <c r="BS16" s="16">
        <v>1805</v>
      </c>
      <c r="BT16" t="s">
        <v>287</v>
      </c>
      <c r="BU16" t="str">
        <f t="shared" si="28"/>
        <v>-</v>
      </c>
      <c r="BV16">
        <v>1553</v>
      </c>
      <c r="BW16">
        <f t="shared" si="29"/>
        <v>1989.347381864623</v>
      </c>
      <c r="BX16" t="s">
        <v>299</v>
      </c>
    </row>
    <row r="17" spans="1:76" x14ac:dyDescent="0.4">
      <c r="A17" s="3">
        <v>13</v>
      </c>
      <c r="B17" s="3">
        <v>13</v>
      </c>
      <c r="C17" s="4" t="s">
        <v>78</v>
      </c>
      <c r="D17" s="4" t="str">
        <f t="shared" si="0"/>
        <v>J8450T</v>
      </c>
      <c r="E17" s="4" t="s">
        <v>78</v>
      </c>
      <c r="F17" s="4" t="s">
        <v>220</v>
      </c>
      <c r="G17" s="4" t="s">
        <v>143</v>
      </c>
      <c r="H17" s="5">
        <v>4901755503951</v>
      </c>
      <c r="I17" s="5">
        <v>5</v>
      </c>
      <c r="J17" s="5"/>
      <c r="K17" s="5">
        <v>1</v>
      </c>
      <c r="L17" s="5">
        <v>1</v>
      </c>
      <c r="M17" s="4">
        <v>1580</v>
      </c>
      <c r="N17" s="4">
        <v>1070</v>
      </c>
      <c r="O17" s="4">
        <v>799</v>
      </c>
      <c r="P17" s="6">
        <f t="shared" si="1"/>
        <v>0.25327102803738322</v>
      </c>
      <c r="Q17" s="4" t="s">
        <v>287</v>
      </c>
      <c r="R17" s="4" t="s">
        <v>287</v>
      </c>
      <c r="S17" s="4" t="s">
        <v>287</v>
      </c>
      <c r="T17" s="4" t="s">
        <v>287</v>
      </c>
      <c r="U17" s="4" t="s">
        <v>287</v>
      </c>
      <c r="V17" s="4" t="s">
        <v>287</v>
      </c>
      <c r="W17" s="4" t="s">
        <v>287</v>
      </c>
      <c r="X17" s="4" t="s">
        <v>287</v>
      </c>
      <c r="Y17" s="4" t="s">
        <v>287</v>
      </c>
      <c r="Z17" s="4" t="s">
        <v>287</v>
      </c>
      <c r="AA17" s="4" t="s">
        <v>287</v>
      </c>
      <c r="AB17" s="4" t="s">
        <v>287</v>
      </c>
      <c r="AC17" s="4">
        <v>0</v>
      </c>
      <c r="AD17" s="4">
        <f t="shared" si="2"/>
        <v>0</v>
      </c>
      <c r="AE17" s="4">
        <v>1022.0000000000001</v>
      </c>
      <c r="AF17" s="4">
        <f t="shared" si="3"/>
        <v>1022.0000000000001</v>
      </c>
      <c r="AG17" s="4"/>
      <c r="AH17" s="21">
        <f t="shared" si="4"/>
        <v>1369</v>
      </c>
      <c r="AI17" s="6">
        <f t="shared" si="5"/>
        <v>0.25346968590211827</v>
      </c>
      <c r="AJ17" s="33">
        <v>0</v>
      </c>
      <c r="AK17" s="4">
        <f t="shared" si="6"/>
        <v>1292.0666666666666</v>
      </c>
      <c r="AL17" s="33">
        <f t="shared" si="7"/>
        <v>1652.6810179390907</v>
      </c>
      <c r="AM17" s="6">
        <f t="shared" si="8"/>
        <v>0.38161085599298283</v>
      </c>
      <c r="AN17" s="7">
        <v>1600</v>
      </c>
      <c r="AO17" s="6">
        <f t="shared" si="9"/>
        <v>0.36124999999999996</v>
      </c>
      <c r="AP17" s="4">
        <f t="shared" si="10"/>
        <v>577.99999999999989</v>
      </c>
      <c r="AQ17" s="28"/>
      <c r="AR17" s="6"/>
      <c r="AS17" s="6"/>
      <c r="AT17" s="6">
        <f t="shared" si="11"/>
        <v>0</v>
      </c>
      <c r="AU17" s="6">
        <f t="shared" si="12"/>
        <v>1.4953271028037383</v>
      </c>
      <c r="AV17" s="6">
        <f t="shared" si="13"/>
        <v>1.2790988735919901</v>
      </c>
      <c r="AW17" s="6" t="str">
        <f t="shared" si="15"/>
        <v>-</v>
      </c>
      <c r="AX17" s="4" t="str">
        <f t="shared" si="16"/>
        <v>-</v>
      </c>
      <c r="AY17" s="4" t="str">
        <f t="shared" si="17"/>
        <v>-</v>
      </c>
      <c r="AZ17" s="4" t="str">
        <f t="shared" si="18"/>
        <v>-</v>
      </c>
      <c r="BA17" s="4" t="str">
        <f t="shared" si="19"/>
        <v>-</v>
      </c>
      <c r="BB17" s="4" t="str">
        <f t="shared" si="20"/>
        <v>-</v>
      </c>
      <c r="BC17" s="4" t="str">
        <f t="shared" si="21"/>
        <v>-</v>
      </c>
      <c r="BD17" s="4" t="str">
        <f t="shared" si="22"/>
        <v>-</v>
      </c>
      <c r="BE17" s="4" t="str">
        <f t="shared" si="23"/>
        <v>-</v>
      </c>
      <c r="BF17" s="4" t="str">
        <f t="shared" si="24"/>
        <v>-</v>
      </c>
      <c r="BG17" s="4" t="str">
        <f t="shared" si="25"/>
        <v>-</v>
      </c>
      <c r="BH17" s="4" t="str">
        <f t="shared" si="26"/>
        <v>-</v>
      </c>
      <c r="BI17" s="4" t="str">
        <f t="shared" si="27"/>
        <v>-</v>
      </c>
      <c r="BJ17" s="4">
        <v>0</v>
      </c>
      <c r="BK17" s="4" t="s">
        <v>374</v>
      </c>
      <c r="BL17" s="4">
        <v>1</v>
      </c>
      <c r="BM17" s="4">
        <v>30</v>
      </c>
      <c r="BN17" s="4" t="s">
        <v>375</v>
      </c>
      <c r="BO17" s="4">
        <v>38762</v>
      </c>
      <c r="BP17" s="4">
        <f t="shared" si="14"/>
        <v>1292.0666666666666</v>
      </c>
      <c r="BQ17" s="19">
        <v>4</v>
      </c>
      <c r="BR17" s="19">
        <v>8</v>
      </c>
      <c r="BS17" s="16">
        <v>1805</v>
      </c>
      <c r="BT17" t="s">
        <v>287</v>
      </c>
      <c r="BU17" t="str">
        <f t="shared" si="28"/>
        <v>-</v>
      </c>
      <c r="BV17">
        <v>1583</v>
      </c>
      <c r="BW17">
        <f t="shared" si="29"/>
        <v>2024.8135168961205</v>
      </c>
      <c r="BX17" t="s">
        <v>300</v>
      </c>
    </row>
    <row r="18" spans="1:76" x14ac:dyDescent="0.4">
      <c r="A18" s="3">
        <v>14</v>
      </c>
      <c r="B18" s="3">
        <v>14</v>
      </c>
      <c r="C18" s="4" t="s">
        <v>79</v>
      </c>
      <c r="D18" s="4" t="str">
        <f t="shared" si="0"/>
        <v>J8449T</v>
      </c>
      <c r="E18" s="4" t="s">
        <v>79</v>
      </c>
      <c r="F18" s="4" t="s">
        <v>221</v>
      </c>
      <c r="G18" s="4" t="s">
        <v>144</v>
      </c>
      <c r="H18" s="5">
        <v>4901755503876</v>
      </c>
      <c r="I18" s="5">
        <v>5</v>
      </c>
      <c r="J18" s="5"/>
      <c r="K18" s="5">
        <v>1</v>
      </c>
      <c r="L18" s="5">
        <v>1</v>
      </c>
      <c r="M18" s="4">
        <v>1600</v>
      </c>
      <c r="N18" s="4">
        <v>1091</v>
      </c>
      <c r="O18" s="4">
        <v>815</v>
      </c>
      <c r="P18" s="6">
        <f t="shared" si="1"/>
        <v>0.25297891842346476</v>
      </c>
      <c r="Q18" s="4" t="s">
        <v>287</v>
      </c>
      <c r="R18" s="4" t="s">
        <v>287</v>
      </c>
      <c r="S18" s="4" t="s">
        <v>287</v>
      </c>
      <c r="T18" s="4" t="s">
        <v>287</v>
      </c>
      <c r="U18" s="4" t="s">
        <v>287</v>
      </c>
      <c r="V18" s="4" t="s">
        <v>287</v>
      </c>
      <c r="W18" s="4" t="s">
        <v>287</v>
      </c>
      <c r="X18" s="4" t="s">
        <v>287</v>
      </c>
      <c r="Y18" s="4" t="s">
        <v>287</v>
      </c>
      <c r="Z18" s="4" t="s">
        <v>287</v>
      </c>
      <c r="AA18" s="4" t="s">
        <v>287</v>
      </c>
      <c r="AB18" s="4" t="s">
        <v>287</v>
      </c>
      <c r="AC18" s="4">
        <v>0</v>
      </c>
      <c r="AD18" s="4">
        <f t="shared" si="2"/>
        <v>0</v>
      </c>
      <c r="AE18" s="4">
        <v>1036</v>
      </c>
      <c r="AF18" s="4">
        <f t="shared" si="3"/>
        <v>1036</v>
      </c>
      <c r="AG18" s="4"/>
      <c r="AH18" s="21">
        <f t="shared" si="4"/>
        <v>1387</v>
      </c>
      <c r="AI18" s="6">
        <f t="shared" si="5"/>
        <v>0.25306416726748382</v>
      </c>
      <c r="AJ18" s="33">
        <v>0.75</v>
      </c>
      <c r="AK18" s="4">
        <f t="shared" si="6"/>
        <v>1300.6750000000002</v>
      </c>
      <c r="AL18" s="33">
        <f t="shared" si="7"/>
        <v>1653.373374233129</v>
      </c>
      <c r="AM18" s="6">
        <f t="shared" si="8"/>
        <v>0.37340227189728414</v>
      </c>
      <c r="AN18" s="7">
        <v>1620</v>
      </c>
      <c r="AO18" s="6">
        <f t="shared" si="9"/>
        <v>0.36049382716049383</v>
      </c>
      <c r="AP18" s="4">
        <f t="shared" si="10"/>
        <v>584</v>
      </c>
      <c r="AQ18" s="28"/>
      <c r="AR18" s="6"/>
      <c r="AS18" s="6"/>
      <c r="AT18" s="6">
        <f t="shared" si="11"/>
        <v>0</v>
      </c>
      <c r="AU18" s="6">
        <f t="shared" si="12"/>
        <v>1.4848762603116408</v>
      </c>
      <c r="AV18" s="6">
        <f t="shared" si="13"/>
        <v>1.2711656441717791</v>
      </c>
      <c r="AW18" s="6" t="str">
        <f t="shared" si="15"/>
        <v>-</v>
      </c>
      <c r="AX18" s="4" t="str">
        <f t="shared" si="16"/>
        <v>-</v>
      </c>
      <c r="AY18" s="4" t="str">
        <f t="shared" si="17"/>
        <v>-</v>
      </c>
      <c r="AZ18" s="4" t="str">
        <f t="shared" si="18"/>
        <v>-</v>
      </c>
      <c r="BA18" s="4" t="str">
        <f t="shared" si="19"/>
        <v>-</v>
      </c>
      <c r="BB18" s="4" t="str">
        <f t="shared" si="20"/>
        <v>-</v>
      </c>
      <c r="BC18" s="4" t="str">
        <f t="shared" si="21"/>
        <v>-</v>
      </c>
      <c r="BD18" s="4" t="str">
        <f t="shared" si="22"/>
        <v>-</v>
      </c>
      <c r="BE18" s="4" t="str">
        <f t="shared" si="23"/>
        <v>-</v>
      </c>
      <c r="BF18" s="4" t="str">
        <f t="shared" si="24"/>
        <v>-</v>
      </c>
      <c r="BG18" s="4" t="str">
        <f t="shared" si="25"/>
        <v>-</v>
      </c>
      <c r="BH18" s="4" t="str">
        <f t="shared" si="26"/>
        <v>-</v>
      </c>
      <c r="BI18" s="4" t="str">
        <f t="shared" si="27"/>
        <v>-</v>
      </c>
      <c r="BJ18" s="4">
        <v>0</v>
      </c>
      <c r="BK18" s="4" t="s">
        <v>376</v>
      </c>
      <c r="BL18" s="4">
        <v>1</v>
      </c>
      <c r="BM18" s="4">
        <v>40</v>
      </c>
      <c r="BN18" s="4" t="s">
        <v>370</v>
      </c>
      <c r="BO18" s="4">
        <v>52027</v>
      </c>
      <c r="BP18" s="4">
        <f t="shared" si="14"/>
        <v>1300.6750000000002</v>
      </c>
      <c r="BQ18" s="19">
        <v>4</v>
      </c>
      <c r="BR18" s="19">
        <v>8</v>
      </c>
      <c r="BS18" s="16">
        <v>1805</v>
      </c>
      <c r="BT18" t="s">
        <v>287</v>
      </c>
      <c r="BU18" t="str">
        <f t="shared" si="28"/>
        <v>-</v>
      </c>
      <c r="BV18">
        <v>1601</v>
      </c>
      <c r="BW18">
        <f t="shared" si="29"/>
        <v>2035.1361963190184</v>
      </c>
      <c r="BX18" t="s">
        <v>301</v>
      </c>
    </row>
    <row r="19" spans="1:76" x14ac:dyDescent="0.4">
      <c r="A19" s="3">
        <v>15</v>
      </c>
      <c r="B19" s="3">
        <v>15</v>
      </c>
      <c r="C19" s="4" t="s">
        <v>80</v>
      </c>
      <c r="D19" s="4" t="str">
        <f t="shared" si="0"/>
        <v>J8451T</v>
      </c>
      <c r="E19" s="4" t="s">
        <v>80</v>
      </c>
      <c r="F19" s="4" t="s">
        <v>222</v>
      </c>
      <c r="G19" s="4" t="s">
        <v>145</v>
      </c>
      <c r="H19" s="5">
        <v>4901755504002</v>
      </c>
      <c r="I19" s="5">
        <v>5</v>
      </c>
      <c r="J19" s="5"/>
      <c r="K19" s="5">
        <v>1</v>
      </c>
      <c r="L19" s="5">
        <v>1</v>
      </c>
      <c r="M19" s="4">
        <v>1870</v>
      </c>
      <c r="N19" s="4">
        <v>1264</v>
      </c>
      <c r="O19" s="4">
        <v>945</v>
      </c>
      <c r="P19" s="6">
        <f t="shared" si="1"/>
        <v>0.252373417721519</v>
      </c>
      <c r="Q19" s="4" t="s">
        <v>287</v>
      </c>
      <c r="R19" s="4" t="s">
        <v>287</v>
      </c>
      <c r="S19" s="4" t="s">
        <v>287</v>
      </c>
      <c r="T19" s="4" t="s">
        <v>287</v>
      </c>
      <c r="U19" s="4" t="s">
        <v>287</v>
      </c>
      <c r="V19" s="4" t="s">
        <v>287</v>
      </c>
      <c r="W19" s="4" t="s">
        <v>287</v>
      </c>
      <c r="X19" s="4" t="s">
        <v>287</v>
      </c>
      <c r="Y19" s="4" t="s">
        <v>287</v>
      </c>
      <c r="Z19" s="4" t="s">
        <v>287</v>
      </c>
      <c r="AA19" s="4" t="s">
        <v>287</v>
      </c>
      <c r="AB19" s="4" t="s">
        <v>287</v>
      </c>
      <c r="AC19" s="4">
        <v>0</v>
      </c>
      <c r="AD19" s="4">
        <f t="shared" si="2"/>
        <v>0</v>
      </c>
      <c r="AE19" s="4">
        <v>1209</v>
      </c>
      <c r="AF19" s="4">
        <f t="shared" si="3"/>
        <v>1209</v>
      </c>
      <c r="AG19" s="4"/>
      <c r="AH19" s="21">
        <f t="shared" si="4"/>
        <v>1617</v>
      </c>
      <c r="AI19" s="6">
        <f t="shared" si="5"/>
        <v>0.25231910946196656</v>
      </c>
      <c r="AJ19" s="33">
        <v>0</v>
      </c>
      <c r="AK19" s="4">
        <f t="shared" si="6"/>
        <v>1522.3666666666666</v>
      </c>
      <c r="AL19" s="33">
        <f t="shared" si="7"/>
        <v>1947.6627513227511</v>
      </c>
      <c r="AM19" s="6">
        <f t="shared" si="8"/>
        <v>0.3792559830089115</v>
      </c>
      <c r="AN19" s="7">
        <v>1880</v>
      </c>
      <c r="AO19" s="6">
        <f t="shared" si="9"/>
        <v>0.35691489361702122</v>
      </c>
      <c r="AP19" s="4">
        <f t="shared" si="10"/>
        <v>671</v>
      </c>
      <c r="AQ19" s="28"/>
      <c r="AR19" s="6"/>
      <c r="AS19" s="6"/>
      <c r="AT19" s="6">
        <f t="shared" si="11"/>
        <v>0</v>
      </c>
      <c r="AU19" s="6">
        <f t="shared" si="12"/>
        <v>1.4873417721518987</v>
      </c>
      <c r="AV19" s="6">
        <f t="shared" si="13"/>
        <v>1.2793650793650793</v>
      </c>
      <c r="AW19" s="6" t="str">
        <f t="shared" si="15"/>
        <v>-</v>
      </c>
      <c r="AX19" s="4" t="str">
        <f t="shared" si="16"/>
        <v>-</v>
      </c>
      <c r="AY19" s="4" t="str">
        <f t="shared" si="17"/>
        <v>-</v>
      </c>
      <c r="AZ19" s="4" t="str">
        <f t="shared" si="18"/>
        <v>-</v>
      </c>
      <c r="BA19" s="4" t="str">
        <f t="shared" si="19"/>
        <v>-</v>
      </c>
      <c r="BB19" s="4" t="str">
        <f t="shared" si="20"/>
        <v>-</v>
      </c>
      <c r="BC19" s="4" t="str">
        <f t="shared" si="21"/>
        <v>-</v>
      </c>
      <c r="BD19" s="4" t="str">
        <f t="shared" si="22"/>
        <v>-</v>
      </c>
      <c r="BE19" s="4" t="str">
        <f t="shared" si="23"/>
        <v>-</v>
      </c>
      <c r="BF19" s="4" t="str">
        <f t="shared" si="24"/>
        <v>-</v>
      </c>
      <c r="BG19" s="4" t="str">
        <f t="shared" si="25"/>
        <v>-</v>
      </c>
      <c r="BH19" s="4" t="str">
        <f t="shared" si="26"/>
        <v>-</v>
      </c>
      <c r="BI19" s="4" t="str">
        <f t="shared" si="27"/>
        <v>-</v>
      </c>
      <c r="BJ19" s="4">
        <v>0</v>
      </c>
      <c r="BK19" s="4" t="s">
        <v>377</v>
      </c>
      <c r="BL19" s="4">
        <v>1</v>
      </c>
      <c r="BM19" s="4">
        <v>30</v>
      </c>
      <c r="BN19" s="4" t="s">
        <v>375</v>
      </c>
      <c r="BO19" s="4">
        <v>45671</v>
      </c>
      <c r="BP19" s="4">
        <f t="shared" si="14"/>
        <v>1522.3666666666666</v>
      </c>
      <c r="BQ19" s="19">
        <v>4</v>
      </c>
      <c r="BR19" s="19">
        <v>8</v>
      </c>
      <c r="BS19" s="16">
        <v>1805</v>
      </c>
      <c r="BT19" t="s">
        <v>287</v>
      </c>
      <c r="BU19" t="str">
        <f t="shared" si="28"/>
        <v>-</v>
      </c>
      <c r="BV19">
        <v>1869</v>
      </c>
      <c r="BW19">
        <f t="shared" si="29"/>
        <v>2391.1333333333332</v>
      </c>
      <c r="BX19" t="s">
        <v>302</v>
      </c>
    </row>
    <row r="20" spans="1:76" x14ac:dyDescent="0.4">
      <c r="A20" s="3">
        <v>17</v>
      </c>
      <c r="B20" s="3">
        <v>17</v>
      </c>
      <c r="C20" s="4" t="s">
        <v>82</v>
      </c>
      <c r="D20" s="4" t="str">
        <f t="shared" si="0"/>
        <v>J8452T</v>
      </c>
      <c r="E20" s="4" t="s">
        <v>82</v>
      </c>
      <c r="F20" s="4" t="s">
        <v>224</v>
      </c>
      <c r="G20" s="4" t="s">
        <v>147</v>
      </c>
      <c r="H20" s="5">
        <v>4901755504033</v>
      </c>
      <c r="I20" s="5">
        <v>5</v>
      </c>
      <c r="J20" s="5"/>
      <c r="K20" s="5">
        <v>1</v>
      </c>
      <c r="L20" s="5">
        <v>1</v>
      </c>
      <c r="M20" s="4">
        <v>2080</v>
      </c>
      <c r="N20" s="4">
        <v>1410</v>
      </c>
      <c r="O20" s="4">
        <v>1053</v>
      </c>
      <c r="P20" s="6">
        <f t="shared" si="1"/>
        <v>0.2531914893617021</v>
      </c>
      <c r="Q20" s="4" t="s">
        <v>287</v>
      </c>
      <c r="R20" s="4" t="s">
        <v>287</v>
      </c>
      <c r="S20" s="4" t="s">
        <v>287</v>
      </c>
      <c r="T20" s="4" t="s">
        <v>287</v>
      </c>
      <c r="U20" s="4" t="s">
        <v>287</v>
      </c>
      <c r="V20" s="4" t="s">
        <v>287</v>
      </c>
      <c r="W20" s="4" t="s">
        <v>287</v>
      </c>
      <c r="X20" s="4" t="s">
        <v>287</v>
      </c>
      <c r="Y20" s="4" t="s">
        <v>287</v>
      </c>
      <c r="Z20" s="4" t="s">
        <v>287</v>
      </c>
      <c r="AA20" s="4" t="s">
        <v>287</v>
      </c>
      <c r="AB20" s="4" t="s">
        <v>287</v>
      </c>
      <c r="AC20" s="4">
        <v>0</v>
      </c>
      <c r="AD20" s="4">
        <f t="shared" si="2"/>
        <v>0</v>
      </c>
      <c r="AE20" s="4">
        <v>1348</v>
      </c>
      <c r="AF20" s="4">
        <f t="shared" si="3"/>
        <v>1348</v>
      </c>
      <c r="AG20" s="4"/>
      <c r="AH20" s="21">
        <f t="shared" si="4"/>
        <v>1805</v>
      </c>
      <c r="AI20" s="6">
        <f t="shared" si="5"/>
        <v>0.25318559556786702</v>
      </c>
      <c r="AJ20" s="33">
        <v>0</v>
      </c>
      <c r="AK20" s="4">
        <f t="shared" si="6"/>
        <v>1743</v>
      </c>
      <c r="AL20" s="33">
        <f t="shared" si="7"/>
        <v>2231.3048433048434</v>
      </c>
      <c r="AM20" s="6">
        <f t="shared" si="8"/>
        <v>0.39586919104991403</v>
      </c>
      <c r="AN20" s="7">
        <v>2080</v>
      </c>
      <c r="AO20" s="6">
        <f t="shared" si="9"/>
        <v>0.35192307692307689</v>
      </c>
      <c r="AP20" s="4">
        <f t="shared" si="10"/>
        <v>732</v>
      </c>
      <c r="AQ20" s="28"/>
      <c r="AR20" s="6"/>
      <c r="AS20" s="6"/>
      <c r="AT20" s="6">
        <f t="shared" si="11"/>
        <v>0</v>
      </c>
      <c r="AU20" s="6">
        <f t="shared" si="12"/>
        <v>1.4751773049645389</v>
      </c>
      <c r="AV20" s="6">
        <f t="shared" si="13"/>
        <v>1.2801519468186136</v>
      </c>
      <c r="AW20" s="6" t="str">
        <f t="shared" si="15"/>
        <v>-</v>
      </c>
      <c r="AX20" s="4" t="str">
        <f t="shared" si="16"/>
        <v>-</v>
      </c>
      <c r="AY20" s="4" t="str">
        <f t="shared" si="17"/>
        <v>-</v>
      </c>
      <c r="AZ20" s="4" t="str">
        <f t="shared" si="18"/>
        <v>-</v>
      </c>
      <c r="BA20" s="4" t="str">
        <f t="shared" si="19"/>
        <v>-</v>
      </c>
      <c r="BB20" s="4" t="str">
        <f t="shared" si="20"/>
        <v>-</v>
      </c>
      <c r="BC20" s="4" t="str">
        <f t="shared" si="21"/>
        <v>-</v>
      </c>
      <c r="BD20" s="4" t="str">
        <f t="shared" si="22"/>
        <v>-</v>
      </c>
      <c r="BE20" s="4" t="str">
        <f t="shared" si="23"/>
        <v>-</v>
      </c>
      <c r="BF20" s="4" t="str">
        <f t="shared" si="24"/>
        <v>-</v>
      </c>
      <c r="BG20" s="4" t="str">
        <f t="shared" si="25"/>
        <v>-</v>
      </c>
      <c r="BH20" s="4" t="str">
        <f t="shared" si="26"/>
        <v>-</v>
      </c>
      <c r="BI20" s="4" t="str">
        <f t="shared" si="27"/>
        <v>-</v>
      </c>
      <c r="BJ20" s="4">
        <v>0</v>
      </c>
      <c r="BK20" s="4" t="s">
        <v>378</v>
      </c>
      <c r="BL20" s="4"/>
      <c r="BM20" s="4"/>
      <c r="BN20" s="4" t="s">
        <v>357</v>
      </c>
      <c r="BO20" s="4">
        <v>1743</v>
      </c>
      <c r="BP20" s="4">
        <f t="shared" si="14"/>
        <v>1743</v>
      </c>
      <c r="BQ20" s="19">
        <v>4</v>
      </c>
      <c r="BR20" s="19">
        <v>8</v>
      </c>
      <c r="BS20" s="16">
        <v>1805</v>
      </c>
      <c r="BT20" t="s">
        <v>287</v>
      </c>
      <c r="BU20" t="str">
        <f t="shared" si="28"/>
        <v>-</v>
      </c>
      <c r="BV20">
        <v>2080</v>
      </c>
      <c r="BW20">
        <f t="shared" si="29"/>
        <v>2662.7160493827164</v>
      </c>
      <c r="BX20" t="s">
        <v>303</v>
      </c>
    </row>
    <row r="21" spans="1:76" x14ac:dyDescent="0.4">
      <c r="A21" s="3">
        <v>18</v>
      </c>
      <c r="B21" s="3">
        <v>18</v>
      </c>
      <c r="C21" s="4" t="s">
        <v>83</v>
      </c>
      <c r="D21" s="4" t="str">
        <f t="shared" si="0"/>
        <v>J8453T</v>
      </c>
      <c r="E21" s="4" t="s">
        <v>83</v>
      </c>
      <c r="F21" s="4" t="s">
        <v>225</v>
      </c>
      <c r="G21" s="4" t="s">
        <v>148</v>
      </c>
      <c r="H21" s="5">
        <v>4901755504040</v>
      </c>
      <c r="I21" s="5">
        <v>5</v>
      </c>
      <c r="J21" s="5"/>
      <c r="K21" s="5">
        <v>1</v>
      </c>
      <c r="L21" s="5">
        <v>1</v>
      </c>
      <c r="M21" s="4">
        <v>2140</v>
      </c>
      <c r="N21" s="4">
        <v>1446</v>
      </c>
      <c r="O21" s="4">
        <v>1080</v>
      </c>
      <c r="P21" s="6">
        <f t="shared" si="1"/>
        <v>0.25311203319502074</v>
      </c>
      <c r="Q21" s="4" t="s">
        <v>287</v>
      </c>
      <c r="R21" s="4" t="s">
        <v>287</v>
      </c>
      <c r="S21" s="4" t="s">
        <v>287</v>
      </c>
      <c r="T21" s="4" t="s">
        <v>287</v>
      </c>
      <c r="U21" s="4" t="s">
        <v>287</v>
      </c>
      <c r="V21" s="4" t="s">
        <v>287</v>
      </c>
      <c r="W21" s="4" t="s">
        <v>287</v>
      </c>
      <c r="X21" s="4" t="s">
        <v>287</v>
      </c>
      <c r="Y21" s="4" t="s">
        <v>287</v>
      </c>
      <c r="Z21" s="4" t="s">
        <v>287</v>
      </c>
      <c r="AA21" s="4" t="s">
        <v>287</v>
      </c>
      <c r="AB21" s="4" t="s">
        <v>287</v>
      </c>
      <c r="AC21" s="4">
        <v>0</v>
      </c>
      <c r="AD21" s="4">
        <f t="shared" si="2"/>
        <v>0</v>
      </c>
      <c r="AE21" s="4">
        <v>1387</v>
      </c>
      <c r="AF21" s="4">
        <f t="shared" si="3"/>
        <v>1387</v>
      </c>
      <c r="AG21" s="4"/>
      <c r="AH21" s="21">
        <f t="shared" si="4"/>
        <v>1857</v>
      </c>
      <c r="AI21" s="6">
        <f t="shared" si="5"/>
        <v>0.25309639203015621</v>
      </c>
      <c r="AJ21" s="33">
        <v>0</v>
      </c>
      <c r="AK21" s="4">
        <f t="shared" si="6"/>
        <v>1852</v>
      </c>
      <c r="AL21" s="33">
        <f t="shared" si="7"/>
        <v>2378.448148148148</v>
      </c>
      <c r="AM21" s="6">
        <f t="shared" si="8"/>
        <v>0.41684665226781858</v>
      </c>
      <c r="AN21" s="7">
        <v>2150</v>
      </c>
      <c r="AO21" s="6">
        <f t="shared" si="9"/>
        <v>0.35488372093023257</v>
      </c>
      <c r="AP21" s="4">
        <f t="shared" si="10"/>
        <v>763</v>
      </c>
      <c r="AQ21" s="28"/>
      <c r="AR21" s="6"/>
      <c r="AS21" s="6"/>
      <c r="AT21" s="6">
        <f t="shared" si="11"/>
        <v>0</v>
      </c>
      <c r="AU21" s="6">
        <f t="shared" si="12"/>
        <v>1.4868603042876902</v>
      </c>
      <c r="AV21" s="6">
        <f t="shared" si="13"/>
        <v>1.2842592592592592</v>
      </c>
      <c r="AW21" s="6" t="str">
        <f t="shared" si="15"/>
        <v>-</v>
      </c>
      <c r="AX21" s="4" t="str">
        <f t="shared" si="16"/>
        <v>-</v>
      </c>
      <c r="AY21" s="4" t="str">
        <f t="shared" si="17"/>
        <v>-</v>
      </c>
      <c r="AZ21" s="4" t="str">
        <f t="shared" si="18"/>
        <v>-</v>
      </c>
      <c r="BA21" s="4" t="str">
        <f t="shared" si="19"/>
        <v>-</v>
      </c>
      <c r="BB21" s="4" t="str">
        <f t="shared" si="20"/>
        <v>-</v>
      </c>
      <c r="BC21" s="4" t="str">
        <f t="shared" si="21"/>
        <v>-</v>
      </c>
      <c r="BD21" s="4" t="str">
        <f t="shared" si="22"/>
        <v>-</v>
      </c>
      <c r="BE21" s="4" t="str">
        <f t="shared" si="23"/>
        <v>-</v>
      </c>
      <c r="BF21" s="4" t="str">
        <f t="shared" si="24"/>
        <v>-</v>
      </c>
      <c r="BG21" s="4" t="str">
        <f t="shared" si="25"/>
        <v>-</v>
      </c>
      <c r="BH21" s="4" t="str">
        <f t="shared" si="26"/>
        <v>-</v>
      </c>
      <c r="BI21" s="4" t="str">
        <f t="shared" si="27"/>
        <v>-</v>
      </c>
      <c r="BJ21" s="4">
        <v>0</v>
      </c>
      <c r="BK21" s="4" t="s">
        <v>379</v>
      </c>
      <c r="BL21" s="4"/>
      <c r="BM21" s="4"/>
      <c r="BN21" s="4" t="s">
        <v>357</v>
      </c>
      <c r="BO21" s="4">
        <v>1852</v>
      </c>
      <c r="BP21" s="4">
        <f t="shared" si="14"/>
        <v>1852</v>
      </c>
      <c r="BQ21" s="19">
        <v>4</v>
      </c>
      <c r="BR21" s="19">
        <v>8</v>
      </c>
      <c r="BS21" s="16">
        <v>1805</v>
      </c>
      <c r="BT21" t="s">
        <v>287</v>
      </c>
      <c r="BU21" t="str">
        <f t="shared" si="28"/>
        <v>-</v>
      </c>
      <c r="BV21">
        <v>1207</v>
      </c>
      <c r="BW21">
        <f t="shared" si="29"/>
        <v>1550.1009259259258</v>
      </c>
      <c r="BX21" t="s">
        <v>304</v>
      </c>
    </row>
    <row r="22" spans="1:76" x14ac:dyDescent="0.4">
      <c r="A22" s="3">
        <v>20</v>
      </c>
      <c r="B22" s="3">
        <v>20</v>
      </c>
      <c r="C22" s="4" t="s">
        <v>85</v>
      </c>
      <c r="D22" s="4" t="str">
        <f t="shared" si="0"/>
        <v>J8455T</v>
      </c>
      <c r="E22" s="4" t="s">
        <v>85</v>
      </c>
      <c r="F22" s="4" t="s">
        <v>227</v>
      </c>
      <c r="G22" s="4" t="s">
        <v>150</v>
      </c>
      <c r="H22" s="5">
        <v>4901755504064</v>
      </c>
      <c r="I22" s="5">
        <v>5</v>
      </c>
      <c r="J22" s="5"/>
      <c r="K22" s="5">
        <v>1</v>
      </c>
      <c r="L22" s="5">
        <v>1</v>
      </c>
      <c r="M22" s="4">
        <v>2300</v>
      </c>
      <c r="N22" s="4">
        <v>1554</v>
      </c>
      <c r="O22" s="4">
        <v>1161</v>
      </c>
      <c r="P22" s="6">
        <f t="shared" si="1"/>
        <v>0.25289575289575295</v>
      </c>
      <c r="Q22" s="4" t="s">
        <v>287</v>
      </c>
      <c r="R22" s="4" t="s">
        <v>287</v>
      </c>
      <c r="S22" s="4" t="s">
        <v>287</v>
      </c>
      <c r="T22" s="4" t="s">
        <v>287</v>
      </c>
      <c r="U22" s="4" t="s">
        <v>287</v>
      </c>
      <c r="V22" s="4" t="s">
        <v>287</v>
      </c>
      <c r="W22" s="4" t="s">
        <v>287</v>
      </c>
      <c r="X22" s="4" t="s">
        <v>287</v>
      </c>
      <c r="Y22" s="4" t="s">
        <v>287</v>
      </c>
      <c r="Z22" s="4" t="s">
        <v>287</v>
      </c>
      <c r="AA22" s="4" t="s">
        <v>287</v>
      </c>
      <c r="AB22" s="4" t="s">
        <v>287</v>
      </c>
      <c r="AC22" s="4">
        <v>0</v>
      </c>
      <c r="AD22" s="4">
        <f t="shared" si="2"/>
        <v>0</v>
      </c>
      <c r="AE22" s="4">
        <v>1492</v>
      </c>
      <c r="AF22" s="4">
        <f t="shared" si="3"/>
        <v>1492</v>
      </c>
      <c r="AG22" s="4"/>
      <c r="AH22" s="21">
        <f t="shared" si="4"/>
        <v>1997</v>
      </c>
      <c r="AI22" s="6">
        <f t="shared" si="5"/>
        <v>0.25287931897846772</v>
      </c>
      <c r="AJ22" s="33">
        <v>0</v>
      </c>
      <c r="AK22" s="4">
        <f t="shared" si="6"/>
        <v>1887</v>
      </c>
      <c r="AL22" s="33">
        <f t="shared" si="7"/>
        <v>2424.9819121447026</v>
      </c>
      <c r="AM22" s="6">
        <f t="shared" si="8"/>
        <v>0.38473767885532584</v>
      </c>
      <c r="AN22" s="7">
        <v>2300</v>
      </c>
      <c r="AO22" s="6">
        <f t="shared" si="9"/>
        <v>0.35130434782608699</v>
      </c>
      <c r="AP22" s="4">
        <f t="shared" si="10"/>
        <v>808</v>
      </c>
      <c r="AQ22" s="28"/>
      <c r="AR22" s="6"/>
      <c r="AS22" s="6"/>
      <c r="AT22" s="6">
        <f t="shared" si="11"/>
        <v>0</v>
      </c>
      <c r="AU22" s="6">
        <f t="shared" si="12"/>
        <v>1.4800514800514801</v>
      </c>
      <c r="AV22" s="6">
        <f t="shared" si="13"/>
        <v>1.2850990525409129</v>
      </c>
      <c r="AW22" s="6" t="str">
        <f t="shared" si="15"/>
        <v>-</v>
      </c>
      <c r="AX22" s="4" t="str">
        <f t="shared" si="16"/>
        <v>-</v>
      </c>
      <c r="AY22" s="4" t="str">
        <f t="shared" si="17"/>
        <v>-</v>
      </c>
      <c r="AZ22" s="4" t="str">
        <f t="shared" si="18"/>
        <v>-</v>
      </c>
      <c r="BA22" s="4" t="str">
        <f t="shared" si="19"/>
        <v>-</v>
      </c>
      <c r="BB22" s="4" t="str">
        <f t="shared" si="20"/>
        <v>-</v>
      </c>
      <c r="BC22" s="4" t="str">
        <f t="shared" si="21"/>
        <v>-</v>
      </c>
      <c r="BD22" s="4" t="str">
        <f t="shared" si="22"/>
        <v>-</v>
      </c>
      <c r="BE22" s="4" t="str">
        <f t="shared" si="23"/>
        <v>-</v>
      </c>
      <c r="BF22" s="4" t="str">
        <f t="shared" si="24"/>
        <v>-</v>
      </c>
      <c r="BG22" s="4" t="str">
        <f t="shared" si="25"/>
        <v>-</v>
      </c>
      <c r="BH22" s="4" t="str">
        <f t="shared" si="26"/>
        <v>-</v>
      </c>
      <c r="BI22" s="4" t="str">
        <f t="shared" si="27"/>
        <v>-</v>
      </c>
      <c r="BJ22" s="4">
        <v>0</v>
      </c>
      <c r="BK22" s="4" t="s">
        <v>380</v>
      </c>
      <c r="BL22" s="4">
        <v>1</v>
      </c>
      <c r="BM22" s="4">
        <v>20</v>
      </c>
      <c r="BN22" s="4" t="s">
        <v>381</v>
      </c>
      <c r="BO22" s="4">
        <v>37740</v>
      </c>
      <c r="BP22" s="4">
        <f t="shared" si="14"/>
        <v>1887</v>
      </c>
      <c r="BQ22" s="19">
        <v>4</v>
      </c>
      <c r="BR22" s="19">
        <v>8</v>
      </c>
      <c r="BS22" s="16">
        <v>1805</v>
      </c>
      <c r="BT22" t="s">
        <v>287</v>
      </c>
      <c r="BU22" t="str">
        <f t="shared" si="28"/>
        <v>-</v>
      </c>
      <c r="BV22">
        <v>2300</v>
      </c>
      <c r="BW22">
        <f t="shared" si="29"/>
        <v>2955.7278208440998</v>
      </c>
      <c r="BX22" t="s">
        <v>305</v>
      </c>
    </row>
    <row r="23" spans="1:76" x14ac:dyDescent="0.4">
      <c r="A23" s="3">
        <v>22</v>
      </c>
      <c r="B23" s="3">
        <v>22</v>
      </c>
      <c r="C23" s="4" t="s">
        <v>86</v>
      </c>
      <c r="D23" s="4" t="str">
        <f t="shared" si="0"/>
        <v>J8454T</v>
      </c>
      <c r="E23" s="4" t="s">
        <v>86</v>
      </c>
      <c r="F23" s="4" t="s">
        <v>229</v>
      </c>
      <c r="G23" s="4" t="s">
        <v>152</v>
      </c>
      <c r="H23" s="5">
        <v>4901755504057</v>
      </c>
      <c r="I23" s="5">
        <v>5</v>
      </c>
      <c r="J23" s="5"/>
      <c r="K23" s="5">
        <v>1</v>
      </c>
      <c r="L23" s="5">
        <v>1</v>
      </c>
      <c r="M23" s="4">
        <v>2350</v>
      </c>
      <c r="N23" s="4">
        <v>1590</v>
      </c>
      <c r="O23" s="4">
        <v>1188</v>
      </c>
      <c r="P23" s="6">
        <f t="shared" si="1"/>
        <v>0.25283018867924534</v>
      </c>
      <c r="Q23" s="4" t="s">
        <v>287</v>
      </c>
      <c r="R23" s="4" t="s">
        <v>287</v>
      </c>
      <c r="S23" s="4" t="s">
        <v>287</v>
      </c>
      <c r="T23" s="4" t="s">
        <v>287</v>
      </c>
      <c r="U23" s="4" t="s">
        <v>287</v>
      </c>
      <c r="V23" s="4" t="s">
        <v>287</v>
      </c>
      <c r="W23" s="4" t="s">
        <v>287</v>
      </c>
      <c r="X23" s="4" t="s">
        <v>287</v>
      </c>
      <c r="Y23" s="4" t="s">
        <v>287</v>
      </c>
      <c r="Z23" s="4" t="s">
        <v>287</v>
      </c>
      <c r="AA23" s="4" t="s">
        <v>287</v>
      </c>
      <c r="AB23" s="4" t="s">
        <v>287</v>
      </c>
      <c r="AC23" s="4">
        <v>0</v>
      </c>
      <c r="AD23" s="4">
        <f t="shared" si="2"/>
        <v>0</v>
      </c>
      <c r="AE23" s="4">
        <v>1521</v>
      </c>
      <c r="AF23" s="4">
        <f t="shared" si="3"/>
        <v>1521</v>
      </c>
      <c r="AG23" s="4"/>
      <c r="AH23" s="21">
        <f t="shared" si="4"/>
        <v>2036</v>
      </c>
      <c r="AI23" s="6">
        <f t="shared" si="5"/>
        <v>0.25294695481335949</v>
      </c>
      <c r="AJ23" s="33">
        <v>0</v>
      </c>
      <c r="AK23" s="4">
        <f t="shared" si="6"/>
        <v>1922.7</v>
      </c>
      <c r="AL23" s="33">
        <f t="shared" si="7"/>
        <v>2461.6386363636366</v>
      </c>
      <c r="AM23" s="6">
        <f t="shared" si="8"/>
        <v>0.38211889530347953</v>
      </c>
      <c r="AN23" s="7">
        <v>2380</v>
      </c>
      <c r="AO23" s="6">
        <f t="shared" si="9"/>
        <v>0.36092436974789921</v>
      </c>
      <c r="AP23" s="4">
        <f t="shared" si="10"/>
        <v>859</v>
      </c>
      <c r="AQ23" s="28"/>
      <c r="AR23" s="6"/>
      <c r="AS23" s="6"/>
      <c r="AT23" s="6">
        <f t="shared" si="11"/>
        <v>0</v>
      </c>
      <c r="AU23" s="6">
        <f t="shared" si="12"/>
        <v>1.4968553459119496</v>
      </c>
      <c r="AV23" s="6">
        <f t="shared" si="13"/>
        <v>1.2803030303030303</v>
      </c>
      <c r="AW23" s="6" t="str">
        <f t="shared" si="15"/>
        <v>-</v>
      </c>
      <c r="AX23" s="4" t="str">
        <f t="shared" si="16"/>
        <v>-</v>
      </c>
      <c r="AY23" s="4" t="str">
        <f t="shared" si="17"/>
        <v>-</v>
      </c>
      <c r="AZ23" s="4" t="str">
        <f t="shared" si="18"/>
        <v>-</v>
      </c>
      <c r="BA23" s="4" t="str">
        <f t="shared" si="19"/>
        <v>-</v>
      </c>
      <c r="BB23" s="4" t="str">
        <f t="shared" si="20"/>
        <v>-</v>
      </c>
      <c r="BC23" s="4" t="str">
        <f t="shared" si="21"/>
        <v>-</v>
      </c>
      <c r="BD23" s="4" t="str">
        <f t="shared" si="22"/>
        <v>-</v>
      </c>
      <c r="BE23" s="4" t="str">
        <f t="shared" si="23"/>
        <v>-</v>
      </c>
      <c r="BF23" s="4" t="str">
        <f t="shared" si="24"/>
        <v>-</v>
      </c>
      <c r="BG23" s="4" t="str">
        <f t="shared" si="25"/>
        <v>-</v>
      </c>
      <c r="BH23" s="4" t="str">
        <f t="shared" si="26"/>
        <v>-</v>
      </c>
      <c r="BI23" s="4" t="str">
        <f t="shared" si="27"/>
        <v>-</v>
      </c>
      <c r="BJ23" s="4">
        <v>0</v>
      </c>
      <c r="BK23" s="4" t="s">
        <v>382</v>
      </c>
      <c r="BL23" s="4">
        <v>1</v>
      </c>
      <c r="BM23" s="4">
        <v>20</v>
      </c>
      <c r="BN23" s="4" t="s">
        <v>381</v>
      </c>
      <c r="BO23" s="4">
        <v>38454</v>
      </c>
      <c r="BP23" s="4">
        <f t="shared" si="14"/>
        <v>1922.7</v>
      </c>
      <c r="BQ23" s="19">
        <v>4</v>
      </c>
      <c r="BR23" s="19">
        <v>8</v>
      </c>
      <c r="BS23" s="16">
        <v>1805</v>
      </c>
      <c r="BT23" t="s">
        <v>287</v>
      </c>
      <c r="BU23" t="str">
        <f t="shared" si="28"/>
        <v>-</v>
      </c>
      <c r="BV23">
        <v>2350</v>
      </c>
      <c r="BW23">
        <f t="shared" si="29"/>
        <v>3008.712121212121</v>
      </c>
      <c r="BX23" t="s">
        <v>306</v>
      </c>
    </row>
    <row r="24" spans="1:76" x14ac:dyDescent="0.4">
      <c r="A24" s="3">
        <v>24</v>
      </c>
      <c r="B24" s="3">
        <v>24</v>
      </c>
      <c r="C24" s="4" t="s">
        <v>88</v>
      </c>
      <c r="D24" s="4" t="str">
        <f t="shared" si="0"/>
        <v>J8456T</v>
      </c>
      <c r="E24" s="4" t="s">
        <v>88</v>
      </c>
      <c r="F24" s="4" t="s">
        <v>231</v>
      </c>
      <c r="G24" s="4" t="s">
        <v>154</v>
      </c>
      <c r="H24" s="5">
        <v>4901755504071</v>
      </c>
      <c r="I24" s="5">
        <v>5</v>
      </c>
      <c r="J24" s="5"/>
      <c r="K24" s="5">
        <v>1</v>
      </c>
      <c r="L24" s="5">
        <v>1</v>
      </c>
      <c r="M24" s="4">
        <v>2400</v>
      </c>
      <c r="N24" s="4">
        <v>1626</v>
      </c>
      <c r="O24" s="4">
        <v>1215</v>
      </c>
      <c r="P24" s="6">
        <f t="shared" si="1"/>
        <v>0.25276752767527677</v>
      </c>
      <c r="Q24" s="4" t="s">
        <v>287</v>
      </c>
      <c r="R24" s="4" t="s">
        <v>287</v>
      </c>
      <c r="S24" s="4" t="s">
        <v>287</v>
      </c>
      <c r="T24" s="4" t="s">
        <v>287</v>
      </c>
      <c r="U24" s="4" t="s">
        <v>287</v>
      </c>
      <c r="V24" s="4" t="s">
        <v>287</v>
      </c>
      <c r="W24" s="4" t="s">
        <v>287</v>
      </c>
      <c r="X24" s="4" t="s">
        <v>287</v>
      </c>
      <c r="Y24" s="4" t="s">
        <v>287</v>
      </c>
      <c r="Z24" s="4" t="s">
        <v>287</v>
      </c>
      <c r="AA24" s="4" t="s">
        <v>287</v>
      </c>
      <c r="AB24" s="4" t="s">
        <v>287</v>
      </c>
      <c r="AC24" s="4">
        <v>0</v>
      </c>
      <c r="AD24" s="4">
        <f t="shared" si="2"/>
        <v>0</v>
      </c>
      <c r="AE24" s="4">
        <v>1555</v>
      </c>
      <c r="AF24" s="4">
        <f t="shared" si="3"/>
        <v>1555</v>
      </c>
      <c r="AG24" s="4"/>
      <c r="AH24" s="21">
        <f t="shared" si="4"/>
        <v>2081</v>
      </c>
      <c r="AI24" s="6">
        <f t="shared" si="5"/>
        <v>0.25276309466602598</v>
      </c>
      <c r="AJ24" s="33">
        <v>0</v>
      </c>
      <c r="AK24" s="4">
        <f t="shared" si="6"/>
        <v>1964.5500000000002</v>
      </c>
      <c r="AL24" s="33">
        <f t="shared" si="7"/>
        <v>2514.3006172839509</v>
      </c>
      <c r="AM24" s="6">
        <f t="shared" si="8"/>
        <v>0.38153775673818435</v>
      </c>
      <c r="AN24" s="7">
        <v>2400</v>
      </c>
      <c r="AO24" s="6">
        <f t="shared" si="9"/>
        <v>0.3520833333333333</v>
      </c>
      <c r="AP24" s="4">
        <f t="shared" si="10"/>
        <v>845</v>
      </c>
      <c r="AQ24" s="28"/>
      <c r="AR24" s="6"/>
      <c r="AS24" s="6"/>
      <c r="AT24" s="6">
        <f t="shared" si="11"/>
        <v>0</v>
      </c>
      <c r="AU24" s="6">
        <f t="shared" si="12"/>
        <v>1.4760147601476015</v>
      </c>
      <c r="AV24" s="6">
        <f t="shared" si="13"/>
        <v>1.2798353909465021</v>
      </c>
      <c r="AW24" s="6" t="str">
        <f t="shared" si="15"/>
        <v>-</v>
      </c>
      <c r="AX24" s="4" t="str">
        <f t="shared" si="16"/>
        <v>-</v>
      </c>
      <c r="AY24" s="4" t="str">
        <f t="shared" si="17"/>
        <v>-</v>
      </c>
      <c r="AZ24" s="4" t="str">
        <f t="shared" si="18"/>
        <v>-</v>
      </c>
      <c r="BA24" s="4" t="str">
        <f t="shared" si="19"/>
        <v>-</v>
      </c>
      <c r="BB24" s="4" t="str">
        <f t="shared" si="20"/>
        <v>-</v>
      </c>
      <c r="BC24" s="4" t="str">
        <f t="shared" si="21"/>
        <v>-</v>
      </c>
      <c r="BD24" s="4" t="str">
        <f t="shared" si="22"/>
        <v>-</v>
      </c>
      <c r="BE24" s="4" t="str">
        <f t="shared" si="23"/>
        <v>-</v>
      </c>
      <c r="BF24" s="4" t="str">
        <f t="shared" si="24"/>
        <v>-</v>
      </c>
      <c r="BG24" s="4" t="str">
        <f t="shared" si="25"/>
        <v>-</v>
      </c>
      <c r="BH24" s="4" t="str">
        <f t="shared" si="26"/>
        <v>-</v>
      </c>
      <c r="BI24" s="4" t="str">
        <f t="shared" si="27"/>
        <v>-</v>
      </c>
      <c r="BJ24" s="4">
        <v>0</v>
      </c>
      <c r="BK24" s="4" t="s">
        <v>383</v>
      </c>
      <c r="BL24" s="4">
        <v>1</v>
      </c>
      <c r="BM24" s="4">
        <v>20</v>
      </c>
      <c r="BN24" s="4" t="s">
        <v>381</v>
      </c>
      <c r="BO24" s="4">
        <v>39291</v>
      </c>
      <c r="BP24" s="4">
        <f t="shared" si="14"/>
        <v>1964.5500000000002</v>
      </c>
      <c r="BQ24" s="19">
        <v>4</v>
      </c>
      <c r="BR24" s="19">
        <v>8</v>
      </c>
      <c r="BS24" s="16">
        <v>1805</v>
      </c>
      <c r="BT24" t="s">
        <v>287</v>
      </c>
      <c r="BU24" t="str">
        <f t="shared" si="28"/>
        <v>-</v>
      </c>
      <c r="BV24">
        <v>2400</v>
      </c>
      <c r="BW24">
        <f t="shared" si="29"/>
        <v>3071.6049382716051</v>
      </c>
      <c r="BX24" t="s">
        <v>307</v>
      </c>
    </row>
    <row r="25" spans="1:76" x14ac:dyDescent="0.4">
      <c r="A25" s="3">
        <v>26</v>
      </c>
      <c r="B25" s="3">
        <v>26</v>
      </c>
      <c r="C25" s="4" t="s">
        <v>89</v>
      </c>
      <c r="D25" s="4" t="str">
        <f t="shared" si="0"/>
        <v>J8457T</v>
      </c>
      <c r="E25" s="4" t="s">
        <v>89</v>
      </c>
      <c r="F25" s="4" t="s">
        <v>233</v>
      </c>
      <c r="G25" s="4" t="s">
        <v>156</v>
      </c>
      <c r="H25" s="5">
        <v>4901755504125</v>
      </c>
      <c r="I25" s="5">
        <v>5</v>
      </c>
      <c r="J25" s="5"/>
      <c r="K25" s="5">
        <v>1</v>
      </c>
      <c r="L25" s="5">
        <v>1</v>
      </c>
      <c r="M25" s="4">
        <v>2500</v>
      </c>
      <c r="N25" s="4">
        <v>1807</v>
      </c>
      <c r="O25" s="4">
        <v>1350</v>
      </c>
      <c r="P25" s="6">
        <f t="shared" si="1"/>
        <v>0.25290536801328167</v>
      </c>
      <c r="Q25" s="4" t="s">
        <v>287</v>
      </c>
      <c r="R25" s="4" t="s">
        <v>287</v>
      </c>
      <c r="S25" s="4" t="s">
        <v>287</v>
      </c>
      <c r="T25" s="4" t="s">
        <v>287</v>
      </c>
      <c r="U25" s="4" t="s">
        <v>287</v>
      </c>
      <c r="V25" s="4" t="s">
        <v>287</v>
      </c>
      <c r="W25" s="4" t="s">
        <v>287</v>
      </c>
      <c r="X25" s="4" t="s">
        <v>287</v>
      </c>
      <c r="Y25" s="4" t="s">
        <v>287</v>
      </c>
      <c r="Z25" s="4" t="s">
        <v>287</v>
      </c>
      <c r="AA25" s="4" t="s">
        <v>287</v>
      </c>
      <c r="AB25" s="4" t="s">
        <v>287</v>
      </c>
      <c r="AC25" s="4">
        <v>0</v>
      </c>
      <c r="AD25" s="4">
        <f t="shared" si="2"/>
        <v>0</v>
      </c>
      <c r="AE25" s="4">
        <v>1718</v>
      </c>
      <c r="AF25" s="4">
        <f t="shared" si="3"/>
        <v>1718</v>
      </c>
      <c r="AG25" s="4"/>
      <c r="AH25" s="21">
        <f t="shared" si="4"/>
        <v>2300</v>
      </c>
      <c r="AI25" s="6">
        <f t="shared" si="5"/>
        <v>0.25304347826086959</v>
      </c>
      <c r="AJ25" s="33">
        <v>0</v>
      </c>
      <c r="AK25" s="4">
        <f t="shared" si="6"/>
        <v>2458.15</v>
      </c>
      <c r="AL25" s="33">
        <f t="shared" si="7"/>
        <v>3128.2234814814815</v>
      </c>
      <c r="AM25" s="6">
        <f t="shared" si="8"/>
        <v>0.45080650082379026</v>
      </c>
      <c r="AN25" s="7">
        <v>2680</v>
      </c>
      <c r="AO25" s="6">
        <f t="shared" si="9"/>
        <v>0.35895522388059697</v>
      </c>
      <c r="AP25" s="4">
        <f t="shared" si="10"/>
        <v>962</v>
      </c>
      <c r="AQ25" s="28"/>
      <c r="AR25" s="6"/>
      <c r="AS25" s="6"/>
      <c r="AT25" s="6">
        <f t="shared" si="11"/>
        <v>0</v>
      </c>
      <c r="AU25" s="6">
        <f t="shared" si="12"/>
        <v>1.4831211953514112</v>
      </c>
      <c r="AV25" s="6">
        <f t="shared" si="13"/>
        <v>1.2725925925925925</v>
      </c>
      <c r="AW25" s="6" t="str">
        <f t="shared" si="15"/>
        <v>-</v>
      </c>
      <c r="AX25" s="4" t="str">
        <f t="shared" si="16"/>
        <v>-</v>
      </c>
      <c r="AY25" s="4" t="str">
        <f t="shared" si="17"/>
        <v>-</v>
      </c>
      <c r="AZ25" s="4" t="str">
        <f t="shared" si="18"/>
        <v>-</v>
      </c>
      <c r="BA25" s="4" t="str">
        <f t="shared" si="19"/>
        <v>-</v>
      </c>
      <c r="BB25" s="4" t="str">
        <f t="shared" si="20"/>
        <v>-</v>
      </c>
      <c r="BC25" s="4" t="str">
        <f t="shared" si="21"/>
        <v>-</v>
      </c>
      <c r="BD25" s="4" t="str">
        <f t="shared" si="22"/>
        <v>-</v>
      </c>
      <c r="BE25" s="4" t="str">
        <f t="shared" si="23"/>
        <v>-</v>
      </c>
      <c r="BF25" s="4" t="str">
        <f t="shared" si="24"/>
        <v>-</v>
      </c>
      <c r="BG25" s="4" t="str">
        <f t="shared" si="25"/>
        <v>-</v>
      </c>
      <c r="BH25" s="4" t="str">
        <f t="shared" si="26"/>
        <v>-</v>
      </c>
      <c r="BI25" s="4" t="str">
        <f t="shared" si="27"/>
        <v>-</v>
      </c>
      <c r="BJ25" s="4">
        <v>0</v>
      </c>
      <c r="BK25" s="4" t="s">
        <v>384</v>
      </c>
      <c r="BL25" s="4">
        <v>1</v>
      </c>
      <c r="BM25" s="4">
        <v>20</v>
      </c>
      <c r="BN25" s="4" t="s">
        <v>381</v>
      </c>
      <c r="BO25" s="4">
        <v>49163</v>
      </c>
      <c r="BP25" s="4">
        <f t="shared" si="14"/>
        <v>2458.15</v>
      </c>
      <c r="BQ25" s="19">
        <v>4</v>
      </c>
      <c r="BR25" s="19">
        <v>8</v>
      </c>
      <c r="BS25" s="16">
        <v>1805</v>
      </c>
      <c r="BT25" t="s">
        <v>287</v>
      </c>
      <c r="BU25" t="str">
        <f t="shared" si="28"/>
        <v>-</v>
      </c>
      <c r="BV25">
        <v>2650</v>
      </c>
      <c r="BW25">
        <f t="shared" si="29"/>
        <v>3372.37037037037</v>
      </c>
      <c r="BX25" t="s">
        <v>308</v>
      </c>
    </row>
    <row r="26" spans="1:76" x14ac:dyDescent="0.4">
      <c r="A26" s="3">
        <v>27</v>
      </c>
      <c r="B26" s="3">
        <v>27</v>
      </c>
      <c r="C26" s="4" t="s">
        <v>90</v>
      </c>
      <c r="D26" s="4" t="str">
        <f t="shared" si="0"/>
        <v>J8458T</v>
      </c>
      <c r="E26" s="4" t="s">
        <v>90</v>
      </c>
      <c r="F26" s="4" t="s">
        <v>234</v>
      </c>
      <c r="G26" s="4" t="s">
        <v>157</v>
      </c>
      <c r="H26" s="5">
        <v>4901755504132</v>
      </c>
      <c r="I26" s="5">
        <v>5</v>
      </c>
      <c r="J26" s="5"/>
      <c r="K26" s="5">
        <v>1</v>
      </c>
      <c r="L26" s="5">
        <v>1</v>
      </c>
      <c r="M26" s="4">
        <v>2600</v>
      </c>
      <c r="N26" s="4">
        <v>1879</v>
      </c>
      <c r="O26" s="4">
        <v>1404</v>
      </c>
      <c r="P26" s="6">
        <f t="shared" si="1"/>
        <v>0.25279403938265033</v>
      </c>
      <c r="Q26" s="4" t="s">
        <v>287</v>
      </c>
      <c r="R26" s="4" t="s">
        <v>287</v>
      </c>
      <c r="S26" s="4" t="s">
        <v>287</v>
      </c>
      <c r="T26" s="4" t="s">
        <v>287</v>
      </c>
      <c r="U26" s="4" t="s">
        <v>287</v>
      </c>
      <c r="V26" s="4" t="s">
        <v>287</v>
      </c>
      <c r="W26" s="4" t="s">
        <v>287</v>
      </c>
      <c r="X26" s="4" t="s">
        <v>287</v>
      </c>
      <c r="Y26" s="4" t="s">
        <v>287</v>
      </c>
      <c r="Z26" s="4" t="s">
        <v>287</v>
      </c>
      <c r="AA26" s="4" t="s">
        <v>287</v>
      </c>
      <c r="AB26" s="4" t="s">
        <v>287</v>
      </c>
      <c r="AC26" s="4">
        <v>0</v>
      </c>
      <c r="AD26" s="4">
        <f t="shared" si="2"/>
        <v>0</v>
      </c>
      <c r="AE26" s="4">
        <v>1780</v>
      </c>
      <c r="AF26" s="4">
        <f t="shared" si="3"/>
        <v>1780</v>
      </c>
      <c r="AG26" s="4"/>
      <c r="AH26" s="21">
        <f t="shared" si="4"/>
        <v>2382</v>
      </c>
      <c r="AI26" s="6">
        <f t="shared" si="5"/>
        <v>0.25272879932829551</v>
      </c>
      <c r="AJ26" s="33">
        <v>0</v>
      </c>
      <c r="AK26" s="4">
        <f t="shared" si="6"/>
        <v>2241.7000000000003</v>
      </c>
      <c r="AL26" s="33">
        <f t="shared" si="7"/>
        <v>2842.0413105413108</v>
      </c>
      <c r="AM26" s="6">
        <f t="shared" si="8"/>
        <v>0.37368961056341177</v>
      </c>
      <c r="AN26" s="7">
        <v>2780</v>
      </c>
      <c r="AO26" s="6">
        <f t="shared" si="9"/>
        <v>0.35971223021582732</v>
      </c>
      <c r="AP26" s="4">
        <f t="shared" si="10"/>
        <v>1000</v>
      </c>
      <c r="AQ26" s="28"/>
      <c r="AR26" s="6"/>
      <c r="AS26" s="6"/>
      <c r="AT26" s="6">
        <f t="shared" si="11"/>
        <v>0</v>
      </c>
      <c r="AU26" s="6">
        <f t="shared" si="12"/>
        <v>1.4795103778605641</v>
      </c>
      <c r="AV26" s="6">
        <f t="shared" si="13"/>
        <v>1.2678062678062678</v>
      </c>
      <c r="AW26" s="6" t="str">
        <f t="shared" si="15"/>
        <v>-</v>
      </c>
      <c r="AX26" s="4" t="str">
        <f t="shared" si="16"/>
        <v>-</v>
      </c>
      <c r="AY26" s="4" t="str">
        <f t="shared" si="17"/>
        <v>-</v>
      </c>
      <c r="AZ26" s="4" t="str">
        <f t="shared" si="18"/>
        <v>-</v>
      </c>
      <c r="BA26" s="4" t="str">
        <f t="shared" si="19"/>
        <v>-</v>
      </c>
      <c r="BB26" s="4" t="str">
        <f t="shared" si="20"/>
        <v>-</v>
      </c>
      <c r="BC26" s="4" t="str">
        <f t="shared" si="21"/>
        <v>-</v>
      </c>
      <c r="BD26" s="4" t="str">
        <f t="shared" si="22"/>
        <v>-</v>
      </c>
      <c r="BE26" s="4" t="str">
        <f t="shared" si="23"/>
        <v>-</v>
      </c>
      <c r="BF26" s="4" t="str">
        <f t="shared" si="24"/>
        <v>-</v>
      </c>
      <c r="BG26" s="4" t="str">
        <f t="shared" si="25"/>
        <v>-</v>
      </c>
      <c r="BH26" s="4" t="str">
        <f t="shared" si="26"/>
        <v>-</v>
      </c>
      <c r="BI26" s="4" t="str">
        <f t="shared" si="27"/>
        <v>-</v>
      </c>
      <c r="BJ26" s="4">
        <v>0</v>
      </c>
      <c r="BK26" s="4" t="s">
        <v>385</v>
      </c>
      <c r="BL26" s="4">
        <v>1</v>
      </c>
      <c r="BM26" s="4">
        <v>20</v>
      </c>
      <c r="BN26" s="4" t="s">
        <v>381</v>
      </c>
      <c r="BO26" s="4">
        <v>44834</v>
      </c>
      <c r="BP26" s="4">
        <f t="shared" si="14"/>
        <v>2241.7000000000003</v>
      </c>
      <c r="BQ26" s="19">
        <v>4</v>
      </c>
      <c r="BR26" s="19">
        <v>8</v>
      </c>
      <c r="BS26" s="16">
        <v>1805</v>
      </c>
      <c r="BT26" t="s">
        <v>287</v>
      </c>
      <c r="BU26" t="str">
        <f t="shared" si="28"/>
        <v>-</v>
      </c>
      <c r="BV26">
        <v>2753</v>
      </c>
      <c r="BW26">
        <f t="shared" si="29"/>
        <v>3490.2706552706554</v>
      </c>
      <c r="BX26" t="s">
        <v>309</v>
      </c>
    </row>
    <row r="27" spans="1:76" x14ac:dyDescent="0.4">
      <c r="A27" s="3">
        <v>29</v>
      </c>
      <c r="B27" s="3">
        <v>29</v>
      </c>
      <c r="C27" s="4" t="s">
        <v>92</v>
      </c>
      <c r="D27" s="4" t="str">
        <f t="shared" si="0"/>
        <v>J8459T</v>
      </c>
      <c r="E27" s="4" t="s">
        <v>92</v>
      </c>
      <c r="F27" s="4" t="s">
        <v>236</v>
      </c>
      <c r="G27" s="4" t="s">
        <v>159</v>
      </c>
      <c r="H27" s="5">
        <v>4901755504149</v>
      </c>
      <c r="I27" s="5">
        <v>5</v>
      </c>
      <c r="J27" s="5"/>
      <c r="K27" s="5">
        <v>1</v>
      </c>
      <c r="L27" s="5">
        <v>1</v>
      </c>
      <c r="M27" s="4">
        <v>2750</v>
      </c>
      <c r="N27" s="4">
        <v>1987</v>
      </c>
      <c r="O27" s="4">
        <v>1485</v>
      </c>
      <c r="P27" s="6">
        <f t="shared" si="1"/>
        <v>0.25264217413185708</v>
      </c>
      <c r="Q27" s="4" t="s">
        <v>287</v>
      </c>
      <c r="R27" s="4" t="s">
        <v>287</v>
      </c>
      <c r="S27" s="4" t="s">
        <v>287</v>
      </c>
      <c r="T27" s="4" t="s">
        <v>287</v>
      </c>
      <c r="U27" s="4" t="s">
        <v>287</v>
      </c>
      <c r="V27" s="4" t="s">
        <v>287</v>
      </c>
      <c r="W27" s="4" t="s">
        <v>287</v>
      </c>
      <c r="X27" s="4" t="s">
        <v>287</v>
      </c>
      <c r="Y27" s="4" t="s">
        <v>287</v>
      </c>
      <c r="Z27" s="4" t="s">
        <v>287</v>
      </c>
      <c r="AA27" s="4" t="s">
        <v>287</v>
      </c>
      <c r="AB27" s="4" t="s">
        <v>287</v>
      </c>
      <c r="AC27" s="4">
        <v>0</v>
      </c>
      <c r="AD27" s="4">
        <f t="shared" si="2"/>
        <v>0</v>
      </c>
      <c r="AE27" s="4">
        <v>1910.0000000000002</v>
      </c>
      <c r="AF27" s="4">
        <f t="shared" si="3"/>
        <v>1910.0000000000002</v>
      </c>
      <c r="AG27" s="4"/>
      <c r="AH27" s="21">
        <f t="shared" si="4"/>
        <v>2556</v>
      </c>
      <c r="AI27" s="6">
        <f t="shared" si="5"/>
        <v>0.25273865414710472</v>
      </c>
      <c r="AJ27" s="33">
        <v>0</v>
      </c>
      <c r="AK27" s="4">
        <f t="shared" si="6"/>
        <v>2726.65</v>
      </c>
      <c r="AL27" s="33">
        <f t="shared" si="7"/>
        <v>3507.0043771043775</v>
      </c>
      <c r="AM27" s="6">
        <f t="shared" si="8"/>
        <v>0.4553756441054041</v>
      </c>
      <c r="AN27" s="7">
        <v>2970</v>
      </c>
      <c r="AO27" s="6">
        <f t="shared" si="9"/>
        <v>0.35690235690235683</v>
      </c>
      <c r="AP27" s="4">
        <f t="shared" si="10"/>
        <v>1059.9999999999998</v>
      </c>
      <c r="AQ27" s="28"/>
      <c r="AR27" s="6"/>
      <c r="AS27" s="6"/>
      <c r="AT27" s="6">
        <f t="shared" si="11"/>
        <v>0</v>
      </c>
      <c r="AU27" s="6">
        <f t="shared" si="12"/>
        <v>1.4947156517362858</v>
      </c>
      <c r="AV27" s="6">
        <f t="shared" si="13"/>
        <v>1.2861952861952863</v>
      </c>
      <c r="AW27" s="6" t="str">
        <f t="shared" si="15"/>
        <v>-</v>
      </c>
      <c r="AX27" s="4" t="str">
        <f t="shared" si="16"/>
        <v>-</v>
      </c>
      <c r="AY27" s="4" t="str">
        <f t="shared" si="17"/>
        <v>-</v>
      </c>
      <c r="AZ27" s="4" t="str">
        <f t="shared" si="18"/>
        <v>-</v>
      </c>
      <c r="BA27" s="4" t="str">
        <f t="shared" si="19"/>
        <v>-</v>
      </c>
      <c r="BB27" s="4" t="str">
        <f t="shared" si="20"/>
        <v>-</v>
      </c>
      <c r="BC27" s="4" t="str">
        <f t="shared" si="21"/>
        <v>-</v>
      </c>
      <c r="BD27" s="4" t="str">
        <f t="shared" si="22"/>
        <v>-</v>
      </c>
      <c r="BE27" s="4" t="str">
        <f t="shared" si="23"/>
        <v>-</v>
      </c>
      <c r="BF27" s="4" t="str">
        <f t="shared" si="24"/>
        <v>-</v>
      </c>
      <c r="BG27" s="4" t="str">
        <f t="shared" si="25"/>
        <v>-</v>
      </c>
      <c r="BH27" s="4" t="str">
        <f t="shared" si="26"/>
        <v>-</v>
      </c>
      <c r="BI27" s="4" t="str">
        <f t="shared" si="27"/>
        <v>-</v>
      </c>
      <c r="BJ27" s="4">
        <v>0</v>
      </c>
      <c r="BK27" s="4" t="s">
        <v>386</v>
      </c>
      <c r="BL27" s="4">
        <v>1</v>
      </c>
      <c r="BM27" s="4">
        <v>20</v>
      </c>
      <c r="BN27" s="4" t="s">
        <v>381</v>
      </c>
      <c r="BO27" s="4">
        <v>54533</v>
      </c>
      <c r="BP27" s="4">
        <f t="shared" si="14"/>
        <v>2726.65</v>
      </c>
      <c r="BQ27" s="19">
        <v>4</v>
      </c>
      <c r="BR27" s="19">
        <v>8</v>
      </c>
      <c r="BS27" s="16">
        <v>1805</v>
      </c>
      <c r="BT27" t="s">
        <v>287</v>
      </c>
      <c r="BU27" t="str">
        <f t="shared" si="28"/>
        <v>-</v>
      </c>
      <c r="BV27">
        <v>2950</v>
      </c>
      <c r="BW27">
        <f t="shared" si="29"/>
        <v>3794.2760942760947</v>
      </c>
      <c r="BX27" t="s">
        <v>310</v>
      </c>
    </row>
    <row r="28" spans="1:76" x14ac:dyDescent="0.4">
      <c r="A28" s="3">
        <v>32</v>
      </c>
      <c r="B28" s="3">
        <v>32</v>
      </c>
      <c r="C28" s="4" t="s">
        <v>95</v>
      </c>
      <c r="D28" s="4" t="str">
        <f t="shared" si="0"/>
        <v>J8460T</v>
      </c>
      <c r="E28" s="4" t="s">
        <v>95</v>
      </c>
      <c r="F28" s="4" t="s">
        <v>239</v>
      </c>
      <c r="G28" s="4" t="s">
        <v>162</v>
      </c>
      <c r="H28" s="5">
        <v>4901755504156</v>
      </c>
      <c r="I28" s="5">
        <v>5</v>
      </c>
      <c r="J28" s="5"/>
      <c r="K28" s="5">
        <v>1</v>
      </c>
      <c r="L28" s="5">
        <v>1</v>
      </c>
      <c r="M28" s="4">
        <v>3100</v>
      </c>
      <c r="N28" s="4">
        <v>2240</v>
      </c>
      <c r="O28" s="4">
        <v>1674</v>
      </c>
      <c r="P28" s="6">
        <f t="shared" si="1"/>
        <v>0.25267857142857142</v>
      </c>
      <c r="Q28" s="4" t="s">
        <v>287</v>
      </c>
      <c r="R28" s="4" t="s">
        <v>287</v>
      </c>
      <c r="S28" s="4" t="s">
        <v>287</v>
      </c>
      <c r="T28" s="4" t="s">
        <v>287</v>
      </c>
      <c r="U28" s="4" t="s">
        <v>287</v>
      </c>
      <c r="V28" s="4" t="s">
        <v>287</v>
      </c>
      <c r="W28" s="4" t="s">
        <v>287</v>
      </c>
      <c r="X28" s="4" t="s">
        <v>287</v>
      </c>
      <c r="Y28" s="4" t="s">
        <v>287</v>
      </c>
      <c r="Z28" s="4" t="s">
        <v>287</v>
      </c>
      <c r="AA28" s="4" t="s">
        <v>287</v>
      </c>
      <c r="AB28" s="4" t="s">
        <v>287</v>
      </c>
      <c r="AC28" s="4">
        <v>0</v>
      </c>
      <c r="AD28" s="4">
        <f t="shared" si="2"/>
        <v>0</v>
      </c>
      <c r="AE28" s="4">
        <v>2140</v>
      </c>
      <c r="AF28" s="4">
        <f t="shared" si="3"/>
        <v>2140</v>
      </c>
      <c r="AG28" s="4"/>
      <c r="AH28" s="21">
        <f t="shared" si="4"/>
        <v>2864</v>
      </c>
      <c r="AI28" s="6">
        <f t="shared" si="5"/>
        <v>0.2527932960893855</v>
      </c>
      <c r="AJ28" s="33">
        <v>0</v>
      </c>
      <c r="AK28" s="4">
        <f t="shared" si="6"/>
        <v>2743.2666666666664</v>
      </c>
      <c r="AL28" s="33">
        <f t="shared" si="7"/>
        <v>3506.9239346873751</v>
      </c>
      <c r="AM28" s="6">
        <f t="shared" si="8"/>
        <v>0.38977860944372877</v>
      </c>
      <c r="AN28" s="7">
        <v>3350</v>
      </c>
      <c r="AO28" s="6">
        <f t="shared" si="9"/>
        <v>0.36119402985074622</v>
      </c>
      <c r="AP28" s="4">
        <f t="shared" si="10"/>
        <v>1210</v>
      </c>
      <c r="AQ28" s="28"/>
      <c r="AR28" s="6"/>
      <c r="AS28" s="6"/>
      <c r="AT28" s="6">
        <f t="shared" si="11"/>
        <v>0</v>
      </c>
      <c r="AU28" s="6">
        <f t="shared" si="12"/>
        <v>1.4955357142857142</v>
      </c>
      <c r="AV28" s="6">
        <f t="shared" si="13"/>
        <v>1.2783751493428912</v>
      </c>
      <c r="AW28" s="6" t="str">
        <f t="shared" si="15"/>
        <v>-</v>
      </c>
      <c r="AX28" s="4" t="str">
        <f t="shared" si="16"/>
        <v>-</v>
      </c>
      <c r="AY28" s="4" t="str">
        <f t="shared" si="17"/>
        <v>-</v>
      </c>
      <c r="AZ28" s="4" t="str">
        <f t="shared" si="18"/>
        <v>-</v>
      </c>
      <c r="BA28" s="4" t="str">
        <f t="shared" si="19"/>
        <v>-</v>
      </c>
      <c r="BB28" s="4" t="str">
        <f t="shared" si="20"/>
        <v>-</v>
      </c>
      <c r="BC28" s="4" t="str">
        <f t="shared" si="21"/>
        <v>-</v>
      </c>
      <c r="BD28" s="4" t="str">
        <f t="shared" si="22"/>
        <v>-</v>
      </c>
      <c r="BE28" s="4" t="str">
        <f t="shared" si="23"/>
        <v>-</v>
      </c>
      <c r="BF28" s="4" t="str">
        <f t="shared" si="24"/>
        <v>-</v>
      </c>
      <c r="BG28" s="4" t="str">
        <f t="shared" si="25"/>
        <v>-</v>
      </c>
      <c r="BH28" s="4" t="str">
        <f t="shared" si="26"/>
        <v>-</v>
      </c>
      <c r="BI28" s="4" t="str">
        <f t="shared" si="27"/>
        <v>-</v>
      </c>
      <c r="BJ28" s="4">
        <v>0</v>
      </c>
      <c r="BK28" s="4" t="s">
        <v>387</v>
      </c>
      <c r="BL28" s="4">
        <v>1</v>
      </c>
      <c r="BM28" s="4">
        <v>15</v>
      </c>
      <c r="BN28" s="4" t="s">
        <v>388</v>
      </c>
      <c r="BO28" s="4">
        <v>41149</v>
      </c>
      <c r="BP28" s="4">
        <f t="shared" si="14"/>
        <v>2743.2666666666664</v>
      </c>
      <c r="BQ28" s="19">
        <v>4</v>
      </c>
      <c r="BR28" s="19">
        <v>8</v>
      </c>
      <c r="BS28" s="16">
        <v>1805</v>
      </c>
      <c r="BT28" t="s">
        <v>287</v>
      </c>
      <c r="BU28" t="str">
        <f t="shared" si="28"/>
        <v>-</v>
      </c>
      <c r="BV28">
        <v>3300</v>
      </c>
      <c r="BW28">
        <f t="shared" si="29"/>
        <v>4218.6379928315409</v>
      </c>
      <c r="BX28" t="s">
        <v>311</v>
      </c>
    </row>
    <row r="29" spans="1:76" x14ac:dyDescent="0.4">
      <c r="A29" s="3">
        <v>33</v>
      </c>
      <c r="B29" s="3">
        <v>33</v>
      </c>
      <c r="C29" s="4" t="s">
        <v>96</v>
      </c>
      <c r="D29" s="4" t="str">
        <f t="shared" si="0"/>
        <v>J8461T</v>
      </c>
      <c r="E29" s="4" t="s">
        <v>96</v>
      </c>
      <c r="F29" s="4" t="s">
        <v>240</v>
      </c>
      <c r="G29" s="4" t="s">
        <v>163</v>
      </c>
      <c r="H29" s="5">
        <v>4901755504163</v>
      </c>
      <c r="I29" s="5">
        <v>5</v>
      </c>
      <c r="J29" s="5"/>
      <c r="K29" s="5">
        <v>1</v>
      </c>
      <c r="L29" s="5">
        <v>1</v>
      </c>
      <c r="M29" s="4">
        <v>3200</v>
      </c>
      <c r="N29" s="4">
        <v>2312</v>
      </c>
      <c r="O29" s="4">
        <v>1728</v>
      </c>
      <c r="P29" s="6">
        <f t="shared" si="1"/>
        <v>0.25259515570934254</v>
      </c>
      <c r="Q29" s="4" t="s">
        <v>287</v>
      </c>
      <c r="R29" s="4" t="s">
        <v>287</v>
      </c>
      <c r="S29" s="4" t="s">
        <v>287</v>
      </c>
      <c r="T29" s="4" t="s">
        <v>287</v>
      </c>
      <c r="U29" s="4" t="s">
        <v>287</v>
      </c>
      <c r="V29" s="4" t="s">
        <v>287</v>
      </c>
      <c r="W29" s="4" t="s">
        <v>287</v>
      </c>
      <c r="X29" s="4" t="s">
        <v>287</v>
      </c>
      <c r="Y29" s="4" t="s">
        <v>287</v>
      </c>
      <c r="Z29" s="4" t="s">
        <v>287</v>
      </c>
      <c r="AA29" s="4" t="s">
        <v>287</v>
      </c>
      <c r="AB29" s="4" t="s">
        <v>287</v>
      </c>
      <c r="AC29" s="4">
        <v>0</v>
      </c>
      <c r="AD29" s="4">
        <f t="shared" si="2"/>
        <v>0</v>
      </c>
      <c r="AE29" s="4">
        <v>2203</v>
      </c>
      <c r="AF29" s="4">
        <f t="shared" si="3"/>
        <v>2203</v>
      </c>
      <c r="AG29" s="4"/>
      <c r="AH29" s="21">
        <f t="shared" si="4"/>
        <v>2948</v>
      </c>
      <c r="AI29" s="6">
        <f t="shared" si="5"/>
        <v>0.25271370420624151</v>
      </c>
      <c r="AJ29" s="33">
        <v>0</v>
      </c>
      <c r="AK29" s="4">
        <f t="shared" si="6"/>
        <v>2780</v>
      </c>
      <c r="AL29" s="33">
        <f t="shared" si="7"/>
        <v>3544.1782407407409</v>
      </c>
      <c r="AM29" s="6">
        <f t="shared" si="8"/>
        <v>0.37841726618705041</v>
      </c>
      <c r="AN29" s="7">
        <v>3400</v>
      </c>
      <c r="AO29" s="6">
        <f t="shared" si="9"/>
        <v>0.35205882352941176</v>
      </c>
      <c r="AP29" s="4">
        <f t="shared" si="10"/>
        <v>1197</v>
      </c>
      <c r="AQ29" s="28"/>
      <c r="AR29" s="6"/>
      <c r="AS29" s="6"/>
      <c r="AT29" s="6">
        <f t="shared" si="11"/>
        <v>0</v>
      </c>
      <c r="AU29" s="6">
        <f t="shared" si="12"/>
        <v>1.4705882352941178</v>
      </c>
      <c r="AV29" s="6">
        <f t="shared" si="13"/>
        <v>1.2748842592592593</v>
      </c>
      <c r="AW29" s="6" t="str">
        <f t="shared" si="15"/>
        <v>-</v>
      </c>
      <c r="AX29" s="4" t="str">
        <f t="shared" si="16"/>
        <v>-</v>
      </c>
      <c r="AY29" s="4" t="str">
        <f t="shared" si="17"/>
        <v>-</v>
      </c>
      <c r="AZ29" s="4" t="str">
        <f t="shared" si="18"/>
        <v>-</v>
      </c>
      <c r="BA29" s="4" t="str">
        <f t="shared" si="19"/>
        <v>-</v>
      </c>
      <c r="BB29" s="4" t="str">
        <f t="shared" si="20"/>
        <v>-</v>
      </c>
      <c r="BC29" s="4" t="str">
        <f t="shared" si="21"/>
        <v>-</v>
      </c>
      <c r="BD29" s="4" t="str">
        <f t="shared" si="22"/>
        <v>-</v>
      </c>
      <c r="BE29" s="4" t="str">
        <f t="shared" si="23"/>
        <v>-</v>
      </c>
      <c r="BF29" s="4" t="str">
        <f t="shared" si="24"/>
        <v>-</v>
      </c>
      <c r="BG29" s="4" t="str">
        <f t="shared" si="25"/>
        <v>-</v>
      </c>
      <c r="BH29" s="4" t="str">
        <f t="shared" si="26"/>
        <v>-</v>
      </c>
      <c r="BI29" s="4" t="str">
        <f t="shared" si="27"/>
        <v>-</v>
      </c>
      <c r="BJ29" s="4">
        <v>0</v>
      </c>
      <c r="BK29" s="4" t="s">
        <v>389</v>
      </c>
      <c r="BL29" s="4">
        <v>1</v>
      </c>
      <c r="BM29" s="4">
        <v>15</v>
      </c>
      <c r="BN29" s="4" t="s">
        <v>388</v>
      </c>
      <c r="BO29" s="4">
        <v>41700</v>
      </c>
      <c r="BP29" s="4">
        <f t="shared" si="14"/>
        <v>2780</v>
      </c>
      <c r="BQ29" s="19">
        <v>4</v>
      </c>
      <c r="BR29" s="19">
        <v>8</v>
      </c>
      <c r="BS29" s="16">
        <v>1805</v>
      </c>
      <c r="BT29" t="s">
        <v>287</v>
      </c>
      <c r="BU29" t="str">
        <f t="shared" si="28"/>
        <v>-</v>
      </c>
      <c r="BV29">
        <v>1872</v>
      </c>
      <c r="BW29">
        <f t="shared" si="29"/>
        <v>2386.5833333333335</v>
      </c>
      <c r="BX29" t="s">
        <v>312</v>
      </c>
    </row>
    <row r="30" spans="1:76" x14ac:dyDescent="0.4">
      <c r="A30" s="3">
        <v>35</v>
      </c>
      <c r="B30" s="3">
        <v>35</v>
      </c>
      <c r="C30" s="4" t="s">
        <v>98</v>
      </c>
      <c r="D30" s="4" t="str">
        <f t="shared" si="0"/>
        <v>J8462T</v>
      </c>
      <c r="E30" s="4" t="s">
        <v>98</v>
      </c>
      <c r="F30" s="4" t="s">
        <v>242</v>
      </c>
      <c r="G30" s="4" t="s">
        <v>165</v>
      </c>
      <c r="H30" s="5">
        <v>4901755504170</v>
      </c>
      <c r="I30" s="5">
        <v>5</v>
      </c>
      <c r="J30" s="5"/>
      <c r="K30" s="5">
        <v>1</v>
      </c>
      <c r="L30" s="5">
        <v>1</v>
      </c>
      <c r="M30" s="4">
        <v>3480</v>
      </c>
      <c r="N30" s="4">
        <v>2515</v>
      </c>
      <c r="O30" s="4">
        <v>1879</v>
      </c>
      <c r="P30" s="6">
        <f t="shared" si="1"/>
        <v>0.25288270377733602</v>
      </c>
      <c r="Q30" s="4" t="s">
        <v>287</v>
      </c>
      <c r="R30" s="4" t="s">
        <v>287</v>
      </c>
      <c r="S30" s="4" t="s">
        <v>287</v>
      </c>
      <c r="T30" s="4" t="s">
        <v>287</v>
      </c>
      <c r="U30" s="4" t="s">
        <v>287</v>
      </c>
      <c r="V30" s="4" t="s">
        <v>287</v>
      </c>
      <c r="W30" s="4" t="s">
        <v>287</v>
      </c>
      <c r="X30" s="4" t="s">
        <v>287</v>
      </c>
      <c r="Y30" s="4" t="s">
        <v>287</v>
      </c>
      <c r="Z30" s="4" t="s">
        <v>287</v>
      </c>
      <c r="AA30" s="4" t="s">
        <v>287</v>
      </c>
      <c r="AB30" s="4" t="s">
        <v>287</v>
      </c>
      <c r="AC30" s="4">
        <v>0</v>
      </c>
      <c r="AD30" s="4">
        <f t="shared" si="2"/>
        <v>0</v>
      </c>
      <c r="AE30" s="4">
        <v>2400</v>
      </c>
      <c r="AF30" s="4">
        <f t="shared" si="3"/>
        <v>2400</v>
      </c>
      <c r="AG30" s="4"/>
      <c r="AH30" s="21">
        <f t="shared" si="4"/>
        <v>3212</v>
      </c>
      <c r="AI30" s="6">
        <f t="shared" si="5"/>
        <v>0.25280199252801994</v>
      </c>
      <c r="AJ30" s="33">
        <v>0</v>
      </c>
      <c r="AK30" s="4">
        <f t="shared" si="6"/>
        <v>3038.583333333333</v>
      </c>
      <c r="AL30" s="33">
        <f t="shared" si="7"/>
        <v>3881.1069717935065</v>
      </c>
      <c r="AM30" s="6">
        <f t="shared" si="8"/>
        <v>0.381619724103886</v>
      </c>
      <c r="AN30" s="7">
        <v>3750</v>
      </c>
      <c r="AO30" s="6">
        <f t="shared" si="9"/>
        <v>0.36</v>
      </c>
      <c r="AP30" s="4">
        <f t="shared" si="10"/>
        <v>1350</v>
      </c>
      <c r="AQ30" s="28"/>
      <c r="AR30" s="6"/>
      <c r="AS30" s="6"/>
      <c r="AT30" s="6">
        <f t="shared" si="11"/>
        <v>0</v>
      </c>
      <c r="AU30" s="6">
        <f t="shared" si="12"/>
        <v>1.4910536779324055</v>
      </c>
      <c r="AV30" s="6">
        <f t="shared" si="13"/>
        <v>1.2772751463544438</v>
      </c>
      <c r="AW30" s="6" t="str">
        <f t="shared" si="15"/>
        <v>-</v>
      </c>
      <c r="AX30" s="4" t="str">
        <f t="shared" si="16"/>
        <v>-</v>
      </c>
      <c r="AY30" s="4" t="str">
        <f t="shared" si="17"/>
        <v>-</v>
      </c>
      <c r="AZ30" s="4" t="str">
        <f t="shared" si="18"/>
        <v>-</v>
      </c>
      <c r="BA30" s="4" t="str">
        <f t="shared" si="19"/>
        <v>-</v>
      </c>
      <c r="BB30" s="4" t="str">
        <f t="shared" si="20"/>
        <v>-</v>
      </c>
      <c r="BC30" s="4" t="str">
        <f t="shared" si="21"/>
        <v>-</v>
      </c>
      <c r="BD30" s="4" t="str">
        <f t="shared" si="22"/>
        <v>-</v>
      </c>
      <c r="BE30" s="4" t="str">
        <f t="shared" si="23"/>
        <v>-</v>
      </c>
      <c r="BF30" s="4" t="str">
        <f t="shared" si="24"/>
        <v>-</v>
      </c>
      <c r="BG30" s="4" t="str">
        <f t="shared" si="25"/>
        <v>-</v>
      </c>
      <c r="BH30" s="4" t="str">
        <f t="shared" si="26"/>
        <v>-</v>
      </c>
      <c r="BI30" s="4" t="str">
        <f t="shared" si="27"/>
        <v>-</v>
      </c>
      <c r="BJ30" s="4">
        <v>0</v>
      </c>
      <c r="BK30" s="4" t="s">
        <v>390</v>
      </c>
      <c r="BL30" s="4">
        <v>1</v>
      </c>
      <c r="BM30" s="4">
        <v>12</v>
      </c>
      <c r="BN30" s="4" t="s">
        <v>391</v>
      </c>
      <c r="BO30" s="4">
        <v>36463</v>
      </c>
      <c r="BP30" s="4">
        <f t="shared" si="14"/>
        <v>3038.583333333333</v>
      </c>
      <c r="BQ30" s="19">
        <v>4</v>
      </c>
      <c r="BR30" s="19">
        <v>8</v>
      </c>
      <c r="BS30" s="16">
        <v>1805</v>
      </c>
      <c r="BT30" t="s">
        <v>287</v>
      </c>
      <c r="BU30" t="str">
        <f t="shared" si="28"/>
        <v>-</v>
      </c>
      <c r="BV30">
        <v>3700</v>
      </c>
      <c r="BW30">
        <f t="shared" si="29"/>
        <v>4725.9180415114424</v>
      </c>
      <c r="BX30" t="s">
        <v>313</v>
      </c>
    </row>
    <row r="31" spans="1:76" x14ac:dyDescent="0.4">
      <c r="A31" s="3">
        <v>37</v>
      </c>
      <c r="B31" s="3">
        <v>37</v>
      </c>
      <c r="C31" s="4" t="s">
        <v>100</v>
      </c>
      <c r="D31" s="4" t="str">
        <f t="shared" si="0"/>
        <v>J8463T</v>
      </c>
      <c r="E31" s="4" t="s">
        <v>100</v>
      </c>
      <c r="F31" s="4" t="s">
        <v>244</v>
      </c>
      <c r="G31" s="4" t="s">
        <v>167</v>
      </c>
      <c r="H31" s="5">
        <v>4901755504187</v>
      </c>
      <c r="I31" s="5">
        <v>5</v>
      </c>
      <c r="J31" s="5"/>
      <c r="K31" s="5">
        <v>1</v>
      </c>
      <c r="L31" s="5">
        <v>1</v>
      </c>
      <c r="M31" s="4">
        <v>3660</v>
      </c>
      <c r="N31" s="4">
        <v>2645</v>
      </c>
      <c r="O31" s="4">
        <v>1976</v>
      </c>
      <c r="P31" s="6">
        <f t="shared" si="1"/>
        <v>0.25293005671077506</v>
      </c>
      <c r="Q31" s="4" t="s">
        <v>287</v>
      </c>
      <c r="R31" s="4" t="s">
        <v>287</v>
      </c>
      <c r="S31" s="4" t="s">
        <v>287</v>
      </c>
      <c r="T31" s="4" t="s">
        <v>287</v>
      </c>
      <c r="U31" s="4" t="s">
        <v>287</v>
      </c>
      <c r="V31" s="4" t="s">
        <v>287</v>
      </c>
      <c r="W31" s="4" t="s">
        <v>287</v>
      </c>
      <c r="X31" s="4" t="s">
        <v>287</v>
      </c>
      <c r="Y31" s="4" t="s">
        <v>287</v>
      </c>
      <c r="Z31" s="4" t="s">
        <v>287</v>
      </c>
      <c r="AA31" s="4" t="s">
        <v>287</v>
      </c>
      <c r="AB31" s="4" t="s">
        <v>287</v>
      </c>
      <c r="AC31" s="4">
        <v>0</v>
      </c>
      <c r="AD31" s="4">
        <f t="shared" si="2"/>
        <v>0</v>
      </c>
      <c r="AE31" s="4">
        <v>2529</v>
      </c>
      <c r="AF31" s="4">
        <f t="shared" si="3"/>
        <v>2529</v>
      </c>
      <c r="AG31" s="4"/>
      <c r="AH31" s="21">
        <f t="shared" si="4"/>
        <v>3385</v>
      </c>
      <c r="AI31" s="6">
        <f t="shared" si="5"/>
        <v>0.25288035450516988</v>
      </c>
      <c r="AJ31" s="33">
        <v>0</v>
      </c>
      <c r="AK31" s="4">
        <f t="shared" si="6"/>
        <v>3746.833333333333</v>
      </c>
      <c r="AL31" s="33">
        <f t="shared" si="7"/>
        <v>4795.4157388663962</v>
      </c>
      <c r="AM31" s="6">
        <f t="shared" si="8"/>
        <v>0.47262132467416929</v>
      </c>
      <c r="AN31" s="7">
        <v>3950</v>
      </c>
      <c r="AO31" s="6">
        <f t="shared" si="9"/>
        <v>0.35974683544303798</v>
      </c>
      <c r="AP31" s="4">
        <f t="shared" si="10"/>
        <v>1421</v>
      </c>
      <c r="AQ31" s="28"/>
      <c r="AR31" s="6"/>
      <c r="AS31" s="6"/>
      <c r="AT31" s="6">
        <f t="shared" si="11"/>
        <v>0</v>
      </c>
      <c r="AU31" s="6">
        <f t="shared" si="12"/>
        <v>1.4933837429111532</v>
      </c>
      <c r="AV31" s="6">
        <f t="shared" si="13"/>
        <v>1.2798582995951417</v>
      </c>
      <c r="AW31" s="6" t="str">
        <f t="shared" si="15"/>
        <v>-</v>
      </c>
      <c r="AX31" s="4" t="str">
        <f t="shared" si="16"/>
        <v>-</v>
      </c>
      <c r="AY31" s="4" t="str">
        <f t="shared" si="17"/>
        <v>-</v>
      </c>
      <c r="AZ31" s="4" t="str">
        <f t="shared" si="18"/>
        <v>-</v>
      </c>
      <c r="BA31" s="4" t="str">
        <f t="shared" si="19"/>
        <v>-</v>
      </c>
      <c r="BB31" s="4" t="str">
        <f t="shared" si="20"/>
        <v>-</v>
      </c>
      <c r="BC31" s="4" t="str">
        <f t="shared" si="21"/>
        <v>-</v>
      </c>
      <c r="BD31" s="4" t="str">
        <f t="shared" si="22"/>
        <v>-</v>
      </c>
      <c r="BE31" s="4" t="str">
        <f t="shared" si="23"/>
        <v>-</v>
      </c>
      <c r="BF31" s="4" t="str">
        <f t="shared" si="24"/>
        <v>-</v>
      </c>
      <c r="BG31" s="4" t="str">
        <f t="shared" si="25"/>
        <v>-</v>
      </c>
      <c r="BH31" s="4" t="str">
        <f t="shared" si="26"/>
        <v>-</v>
      </c>
      <c r="BI31" s="4" t="str">
        <f t="shared" si="27"/>
        <v>-</v>
      </c>
      <c r="BJ31" s="4">
        <v>0</v>
      </c>
      <c r="BK31" s="4" t="s">
        <v>392</v>
      </c>
      <c r="BL31" s="4">
        <v>1</v>
      </c>
      <c r="BM31" s="4">
        <v>12</v>
      </c>
      <c r="BN31" s="4" t="s">
        <v>391</v>
      </c>
      <c r="BO31" s="4">
        <v>44962</v>
      </c>
      <c r="BP31" s="4">
        <f t="shared" si="14"/>
        <v>3746.833333333333</v>
      </c>
      <c r="BQ31" s="19">
        <v>4</v>
      </c>
      <c r="BR31" s="19">
        <v>8</v>
      </c>
      <c r="BS31" s="16">
        <v>1805</v>
      </c>
      <c r="BT31" t="s">
        <v>287</v>
      </c>
      <c r="BU31" t="str">
        <f t="shared" si="28"/>
        <v>-</v>
      </c>
      <c r="BV31">
        <v>3903</v>
      </c>
      <c r="BW31">
        <f t="shared" si="29"/>
        <v>4995.2869433198384</v>
      </c>
      <c r="BX31" t="s">
        <v>314</v>
      </c>
    </row>
    <row r="32" spans="1:76" x14ac:dyDescent="0.4">
      <c r="A32" s="3">
        <v>38</v>
      </c>
      <c r="B32" s="3">
        <v>38</v>
      </c>
      <c r="C32" s="4" t="s">
        <v>101</v>
      </c>
      <c r="D32" s="4" t="str">
        <f t="shared" si="0"/>
        <v>J8464T</v>
      </c>
      <c r="E32" s="4" t="s">
        <v>101</v>
      </c>
      <c r="F32" s="4" t="s">
        <v>245</v>
      </c>
      <c r="G32" s="4" t="s">
        <v>168</v>
      </c>
      <c r="H32" s="5">
        <v>4901755504194</v>
      </c>
      <c r="I32" s="5">
        <v>5</v>
      </c>
      <c r="J32" s="5"/>
      <c r="K32" s="5">
        <v>1</v>
      </c>
      <c r="L32" s="5">
        <v>1</v>
      </c>
      <c r="M32" s="4">
        <v>3640</v>
      </c>
      <c r="N32" s="4">
        <v>2630</v>
      </c>
      <c r="O32" s="4">
        <v>1965</v>
      </c>
      <c r="P32" s="6">
        <f t="shared" si="1"/>
        <v>0.25285171102661597</v>
      </c>
      <c r="Q32" s="4" t="s">
        <v>287</v>
      </c>
      <c r="R32" s="4" t="s">
        <v>287</v>
      </c>
      <c r="S32" s="4" t="s">
        <v>287</v>
      </c>
      <c r="T32" s="4" t="s">
        <v>287</v>
      </c>
      <c r="U32" s="4" t="s">
        <v>287</v>
      </c>
      <c r="V32" s="4" t="s">
        <v>287</v>
      </c>
      <c r="W32" s="4" t="s">
        <v>287</v>
      </c>
      <c r="X32" s="4" t="s">
        <v>287</v>
      </c>
      <c r="Y32" s="4" t="s">
        <v>287</v>
      </c>
      <c r="Z32" s="4" t="s">
        <v>287</v>
      </c>
      <c r="AA32" s="4" t="s">
        <v>287</v>
      </c>
      <c r="AB32" s="4" t="s">
        <v>287</v>
      </c>
      <c r="AC32" s="4">
        <v>0</v>
      </c>
      <c r="AD32" s="4">
        <f t="shared" si="2"/>
        <v>0</v>
      </c>
      <c r="AE32" s="4">
        <v>2529</v>
      </c>
      <c r="AF32" s="4">
        <f t="shared" si="3"/>
        <v>2529</v>
      </c>
      <c r="AG32" s="4"/>
      <c r="AH32" s="21">
        <f t="shared" si="4"/>
        <v>3385</v>
      </c>
      <c r="AI32" s="6">
        <f t="shared" si="5"/>
        <v>0.25288035450516988</v>
      </c>
      <c r="AJ32" s="33">
        <v>0</v>
      </c>
      <c r="AK32" s="4">
        <f t="shared" si="6"/>
        <v>3213.5</v>
      </c>
      <c r="AL32" s="33">
        <f t="shared" si="7"/>
        <v>4135.848091603053</v>
      </c>
      <c r="AM32" s="6">
        <f t="shared" si="8"/>
        <v>0.38851719309164456</v>
      </c>
      <c r="AN32" s="7">
        <v>3950</v>
      </c>
      <c r="AO32" s="6">
        <f t="shared" si="9"/>
        <v>0.35974683544303798</v>
      </c>
      <c r="AP32" s="4">
        <f t="shared" si="10"/>
        <v>1421</v>
      </c>
      <c r="AQ32" s="28"/>
      <c r="AR32" s="6"/>
      <c r="AS32" s="6"/>
      <c r="AT32" s="6">
        <f t="shared" si="11"/>
        <v>0</v>
      </c>
      <c r="AU32" s="6">
        <f t="shared" si="12"/>
        <v>1.5019011406844107</v>
      </c>
      <c r="AV32" s="6">
        <f t="shared" si="13"/>
        <v>1.2870229007633587</v>
      </c>
      <c r="AW32" s="6" t="str">
        <f t="shared" si="15"/>
        <v>-</v>
      </c>
      <c r="AX32" s="4" t="str">
        <f t="shared" si="16"/>
        <v>-</v>
      </c>
      <c r="AY32" s="4" t="str">
        <f t="shared" si="17"/>
        <v>-</v>
      </c>
      <c r="AZ32" s="4" t="str">
        <f t="shared" si="18"/>
        <v>-</v>
      </c>
      <c r="BA32" s="4" t="str">
        <f t="shared" si="19"/>
        <v>-</v>
      </c>
      <c r="BB32" s="4" t="str">
        <f t="shared" si="20"/>
        <v>-</v>
      </c>
      <c r="BC32" s="4" t="str">
        <f t="shared" si="21"/>
        <v>-</v>
      </c>
      <c r="BD32" s="4" t="str">
        <f t="shared" si="22"/>
        <v>-</v>
      </c>
      <c r="BE32" s="4" t="str">
        <f t="shared" si="23"/>
        <v>-</v>
      </c>
      <c r="BF32" s="4" t="str">
        <f t="shared" si="24"/>
        <v>-</v>
      </c>
      <c r="BG32" s="4" t="str">
        <f t="shared" si="25"/>
        <v>-</v>
      </c>
      <c r="BH32" s="4" t="str">
        <f t="shared" si="26"/>
        <v>-</v>
      </c>
      <c r="BI32" s="4" t="str">
        <f t="shared" si="27"/>
        <v>-</v>
      </c>
      <c r="BJ32" s="4">
        <v>0</v>
      </c>
      <c r="BK32" s="4" t="s">
        <v>393</v>
      </c>
      <c r="BL32" s="4">
        <v>1</v>
      </c>
      <c r="BM32" s="4">
        <v>10</v>
      </c>
      <c r="BN32" s="4" t="s">
        <v>359</v>
      </c>
      <c r="BO32" s="4">
        <v>32135</v>
      </c>
      <c r="BP32" s="4">
        <f t="shared" si="14"/>
        <v>3213.5</v>
      </c>
      <c r="BQ32" s="19">
        <v>4</v>
      </c>
      <c r="BR32" s="19">
        <v>8</v>
      </c>
      <c r="BS32" s="16">
        <v>1805</v>
      </c>
      <c r="BT32" t="s">
        <v>287</v>
      </c>
      <c r="BU32" t="str">
        <f t="shared" si="28"/>
        <v>-</v>
      </c>
      <c r="BV32">
        <v>3901</v>
      </c>
      <c r="BW32">
        <f t="shared" si="29"/>
        <v>5020.6763358778626</v>
      </c>
      <c r="BX32" t="s">
        <v>315</v>
      </c>
    </row>
    <row r="33" spans="1:76" x14ac:dyDescent="0.4">
      <c r="A33" s="3">
        <v>44</v>
      </c>
      <c r="B33" s="3">
        <v>44</v>
      </c>
      <c r="C33" s="4" t="s">
        <v>106</v>
      </c>
      <c r="D33" s="4" t="str">
        <f t="shared" si="0"/>
        <v>J8465T</v>
      </c>
      <c r="E33" s="4" t="s">
        <v>106</v>
      </c>
      <c r="F33" s="4" t="s">
        <v>251</v>
      </c>
      <c r="G33" s="4" t="s">
        <v>174</v>
      </c>
      <c r="H33" s="5">
        <v>4901755504200</v>
      </c>
      <c r="I33" s="5">
        <v>5</v>
      </c>
      <c r="J33" s="5"/>
      <c r="K33" s="5">
        <v>1</v>
      </c>
      <c r="L33" s="5">
        <v>1</v>
      </c>
      <c r="M33" s="4">
        <v>4000</v>
      </c>
      <c r="N33" s="4">
        <v>2891</v>
      </c>
      <c r="O33" s="4">
        <v>2160</v>
      </c>
      <c r="P33" s="6">
        <f t="shared" si="1"/>
        <v>0.25285368384641993</v>
      </c>
      <c r="Q33" s="4" t="s">
        <v>287</v>
      </c>
      <c r="R33" s="4" t="s">
        <v>287</v>
      </c>
      <c r="S33" s="4" t="s">
        <v>287</v>
      </c>
      <c r="T33" s="4" t="s">
        <v>287</v>
      </c>
      <c r="U33" s="4" t="s">
        <v>287</v>
      </c>
      <c r="V33" s="4" t="s">
        <v>287</v>
      </c>
      <c r="W33" s="4" t="s">
        <v>287</v>
      </c>
      <c r="X33" s="4" t="s">
        <v>287</v>
      </c>
      <c r="Y33" s="4" t="s">
        <v>287</v>
      </c>
      <c r="Z33" s="4" t="s">
        <v>287</v>
      </c>
      <c r="AA33" s="4" t="s">
        <v>287</v>
      </c>
      <c r="AB33" s="4" t="s">
        <v>287</v>
      </c>
      <c r="AC33" s="4">
        <v>0</v>
      </c>
      <c r="AD33" s="4">
        <f t="shared" si="2"/>
        <v>0</v>
      </c>
      <c r="AE33" s="4">
        <v>2755</v>
      </c>
      <c r="AF33" s="4">
        <f t="shared" si="3"/>
        <v>2755</v>
      </c>
      <c r="AG33" s="4"/>
      <c r="AH33" s="21">
        <f t="shared" si="4"/>
        <v>3687</v>
      </c>
      <c r="AI33" s="6">
        <f t="shared" si="5"/>
        <v>0.25278003797125037</v>
      </c>
      <c r="AJ33" s="33">
        <v>0</v>
      </c>
      <c r="AK33" s="4">
        <f t="shared" si="6"/>
        <v>3491.9</v>
      </c>
      <c r="AL33" s="33">
        <f t="shared" si="7"/>
        <v>4453.7891203703703</v>
      </c>
      <c r="AM33" s="6">
        <f t="shared" si="8"/>
        <v>0.38142558492511236</v>
      </c>
      <c r="AN33" s="7">
        <v>4280</v>
      </c>
      <c r="AO33" s="6">
        <f t="shared" si="9"/>
        <v>0.35630841121495327</v>
      </c>
      <c r="AP33" s="4">
        <f t="shared" si="10"/>
        <v>1525</v>
      </c>
      <c r="AQ33" s="28"/>
      <c r="AR33" s="6"/>
      <c r="AS33" s="6"/>
      <c r="AT33" s="6">
        <f t="shared" si="11"/>
        <v>0</v>
      </c>
      <c r="AU33" s="6">
        <f t="shared" si="12"/>
        <v>1.4804565894154271</v>
      </c>
      <c r="AV33" s="6">
        <f t="shared" si="13"/>
        <v>1.275462962962963</v>
      </c>
      <c r="AW33" s="6" t="str">
        <f t="shared" si="15"/>
        <v>-</v>
      </c>
      <c r="AX33" s="4" t="str">
        <f t="shared" si="16"/>
        <v>-</v>
      </c>
      <c r="AY33" s="4" t="str">
        <f t="shared" si="17"/>
        <v>-</v>
      </c>
      <c r="AZ33" s="4" t="str">
        <f t="shared" si="18"/>
        <v>-</v>
      </c>
      <c r="BA33" s="4" t="str">
        <f t="shared" si="19"/>
        <v>-</v>
      </c>
      <c r="BB33" s="4" t="str">
        <f t="shared" si="20"/>
        <v>-</v>
      </c>
      <c r="BC33" s="4" t="str">
        <f t="shared" si="21"/>
        <v>-</v>
      </c>
      <c r="BD33" s="4" t="str">
        <f t="shared" si="22"/>
        <v>-</v>
      </c>
      <c r="BE33" s="4" t="str">
        <f t="shared" si="23"/>
        <v>-</v>
      </c>
      <c r="BF33" s="4" t="str">
        <f t="shared" si="24"/>
        <v>-</v>
      </c>
      <c r="BG33" s="4" t="str">
        <f t="shared" si="25"/>
        <v>-</v>
      </c>
      <c r="BH33" s="4" t="str">
        <f t="shared" si="26"/>
        <v>-</v>
      </c>
      <c r="BI33" s="4" t="str">
        <f t="shared" si="27"/>
        <v>-</v>
      </c>
      <c r="BJ33" s="4">
        <v>0</v>
      </c>
      <c r="BK33" s="4" t="s">
        <v>394</v>
      </c>
      <c r="BL33" s="4">
        <v>1</v>
      </c>
      <c r="BM33" s="4">
        <v>10</v>
      </c>
      <c r="BN33" s="4" t="s">
        <v>359</v>
      </c>
      <c r="BO33" s="4">
        <v>34919</v>
      </c>
      <c r="BP33" s="4">
        <f t="shared" si="14"/>
        <v>3491.9</v>
      </c>
      <c r="BQ33" s="19">
        <v>4</v>
      </c>
      <c r="BR33" s="19">
        <v>8</v>
      </c>
      <c r="BS33" s="16">
        <v>1805</v>
      </c>
      <c r="BT33" t="s">
        <v>287</v>
      </c>
      <c r="BU33" t="str">
        <f t="shared" si="28"/>
        <v>-</v>
      </c>
      <c r="BV33">
        <v>2366</v>
      </c>
      <c r="BW33">
        <f t="shared" si="29"/>
        <v>3017.7453703703704</v>
      </c>
      <c r="BX33" t="s">
        <v>316</v>
      </c>
    </row>
    <row r="34" spans="1:76" x14ac:dyDescent="0.4">
      <c r="A34" s="3">
        <v>50</v>
      </c>
      <c r="B34" s="3">
        <v>50</v>
      </c>
      <c r="C34" s="4" t="s">
        <v>111</v>
      </c>
      <c r="D34" s="4" t="str">
        <f t="shared" si="0"/>
        <v>J8466T</v>
      </c>
      <c r="E34" s="4" t="s">
        <v>111</v>
      </c>
      <c r="F34" s="4" t="s">
        <v>257</v>
      </c>
      <c r="G34" s="4" t="s">
        <v>180</v>
      </c>
      <c r="H34" s="5">
        <v>4901755504217</v>
      </c>
      <c r="I34" s="5">
        <v>5</v>
      </c>
      <c r="J34" s="5"/>
      <c r="K34" s="5">
        <v>1</v>
      </c>
      <c r="L34" s="5">
        <v>1</v>
      </c>
      <c r="M34" s="4">
        <v>4600</v>
      </c>
      <c r="N34" s="4">
        <v>3324</v>
      </c>
      <c r="O34" s="4">
        <v>2484</v>
      </c>
      <c r="P34" s="6">
        <f t="shared" si="1"/>
        <v>0.25270758122743686</v>
      </c>
      <c r="Q34" s="4" t="s">
        <v>287</v>
      </c>
      <c r="R34" s="4" t="s">
        <v>287</v>
      </c>
      <c r="S34" s="4" t="s">
        <v>287</v>
      </c>
      <c r="T34" s="4" t="s">
        <v>287</v>
      </c>
      <c r="U34" s="4" t="s">
        <v>287</v>
      </c>
      <c r="V34" s="4" t="s">
        <v>287</v>
      </c>
      <c r="W34" s="4" t="s">
        <v>287</v>
      </c>
      <c r="X34" s="4" t="s">
        <v>287</v>
      </c>
      <c r="Y34" s="4" t="s">
        <v>287</v>
      </c>
      <c r="Z34" s="4" t="s">
        <v>287</v>
      </c>
      <c r="AA34" s="4" t="s">
        <v>287</v>
      </c>
      <c r="AB34" s="4" t="s">
        <v>287</v>
      </c>
      <c r="AC34" s="4">
        <v>0</v>
      </c>
      <c r="AD34" s="4">
        <f t="shared" si="2"/>
        <v>0</v>
      </c>
      <c r="AE34" s="4">
        <v>3177</v>
      </c>
      <c r="AF34" s="4">
        <f t="shared" si="3"/>
        <v>3177</v>
      </c>
      <c r="AG34" s="4"/>
      <c r="AH34" s="21">
        <f t="shared" si="4"/>
        <v>4251</v>
      </c>
      <c r="AI34" s="6">
        <f t="shared" si="5"/>
        <v>0.25264643613267468</v>
      </c>
      <c r="AJ34" s="33">
        <v>0</v>
      </c>
      <c r="AK34" s="4">
        <f t="shared" si="6"/>
        <v>4077</v>
      </c>
      <c r="AL34" s="33">
        <f t="shared" si="7"/>
        <v>5214.423913043478</v>
      </c>
      <c r="AM34" s="6">
        <f t="shared" si="8"/>
        <v>0.39072847682119205</v>
      </c>
      <c r="AN34" s="7">
        <v>4980</v>
      </c>
      <c r="AO34" s="6">
        <f t="shared" si="9"/>
        <v>0.36204819277108435</v>
      </c>
      <c r="AP34" s="4">
        <f t="shared" si="10"/>
        <v>1803</v>
      </c>
      <c r="AQ34" s="28"/>
      <c r="AR34" s="6"/>
      <c r="AS34" s="6"/>
      <c r="AT34" s="6">
        <f t="shared" si="11"/>
        <v>0</v>
      </c>
      <c r="AU34" s="6">
        <f t="shared" si="12"/>
        <v>1.4981949458483754</v>
      </c>
      <c r="AV34" s="6">
        <f t="shared" si="13"/>
        <v>1.2789855072463767</v>
      </c>
      <c r="AW34" s="6" t="str">
        <f t="shared" si="15"/>
        <v>-</v>
      </c>
      <c r="AX34" s="4" t="str">
        <f t="shared" si="16"/>
        <v>-</v>
      </c>
      <c r="AY34" s="4" t="str">
        <f t="shared" si="17"/>
        <v>-</v>
      </c>
      <c r="AZ34" s="4" t="str">
        <f t="shared" si="18"/>
        <v>-</v>
      </c>
      <c r="BA34" s="4" t="str">
        <f t="shared" si="19"/>
        <v>-</v>
      </c>
      <c r="BB34" s="4" t="str">
        <f t="shared" si="20"/>
        <v>-</v>
      </c>
      <c r="BC34" s="4" t="str">
        <f t="shared" si="21"/>
        <v>-</v>
      </c>
      <c r="BD34" s="4" t="str">
        <f t="shared" si="22"/>
        <v>-</v>
      </c>
      <c r="BE34" s="4" t="str">
        <f t="shared" si="23"/>
        <v>-</v>
      </c>
      <c r="BF34" s="4" t="str">
        <f t="shared" si="24"/>
        <v>-</v>
      </c>
      <c r="BG34" s="4" t="str">
        <f t="shared" si="25"/>
        <v>-</v>
      </c>
      <c r="BH34" s="4" t="str">
        <f t="shared" si="26"/>
        <v>-</v>
      </c>
      <c r="BI34" s="4" t="str">
        <f t="shared" si="27"/>
        <v>-</v>
      </c>
      <c r="BJ34" s="4">
        <v>0</v>
      </c>
      <c r="BK34" s="4" t="s">
        <v>395</v>
      </c>
      <c r="BL34" s="4">
        <v>1</v>
      </c>
      <c r="BM34" s="4">
        <v>10</v>
      </c>
      <c r="BN34" s="4" t="s">
        <v>359</v>
      </c>
      <c r="BO34" s="4">
        <v>40770</v>
      </c>
      <c r="BP34" s="4">
        <f t="shared" si="14"/>
        <v>4077</v>
      </c>
      <c r="BQ34" s="19">
        <v>4</v>
      </c>
      <c r="BR34" s="19">
        <v>8</v>
      </c>
      <c r="BS34" s="16">
        <v>1805</v>
      </c>
      <c r="BT34" t="s">
        <v>287</v>
      </c>
      <c r="BU34" t="str">
        <f t="shared" si="28"/>
        <v>-</v>
      </c>
      <c r="BV34">
        <v>4900</v>
      </c>
      <c r="BW34">
        <f t="shared" si="29"/>
        <v>6267.028985507246</v>
      </c>
      <c r="BX34" t="s">
        <v>317</v>
      </c>
    </row>
    <row r="35" spans="1:76" x14ac:dyDescent="0.4">
      <c r="A35" s="3">
        <v>52</v>
      </c>
      <c r="B35" s="3">
        <v>52</v>
      </c>
      <c r="C35" s="4" t="s">
        <v>113</v>
      </c>
      <c r="D35" s="4" t="str">
        <f t="shared" si="0"/>
        <v>J8467T</v>
      </c>
      <c r="E35" s="4" t="s">
        <v>113</v>
      </c>
      <c r="F35" s="4" t="s">
        <v>259</v>
      </c>
      <c r="G35" s="4" t="s">
        <v>182</v>
      </c>
      <c r="H35" s="5">
        <v>4901755504224</v>
      </c>
      <c r="I35" s="5">
        <v>5</v>
      </c>
      <c r="J35" s="5"/>
      <c r="K35" s="5">
        <v>1</v>
      </c>
      <c r="L35" s="5">
        <v>1</v>
      </c>
      <c r="M35" s="4">
        <v>5200</v>
      </c>
      <c r="N35" s="4">
        <v>3757</v>
      </c>
      <c r="O35" s="4">
        <v>2808</v>
      </c>
      <c r="P35" s="6">
        <f t="shared" si="1"/>
        <v>0.25259515570934254</v>
      </c>
      <c r="Q35" s="4" t="s">
        <v>287</v>
      </c>
      <c r="R35" s="4" t="s">
        <v>287</v>
      </c>
      <c r="S35" s="4" t="s">
        <v>287</v>
      </c>
      <c r="T35" s="4" t="s">
        <v>287</v>
      </c>
      <c r="U35" s="4" t="s">
        <v>287</v>
      </c>
      <c r="V35" s="4" t="s">
        <v>287</v>
      </c>
      <c r="W35" s="4" t="s">
        <v>287</v>
      </c>
      <c r="X35" s="4" t="s">
        <v>287</v>
      </c>
      <c r="Y35" s="4" t="s">
        <v>287</v>
      </c>
      <c r="Z35" s="4" t="s">
        <v>287</v>
      </c>
      <c r="AA35" s="4" t="s">
        <v>287</v>
      </c>
      <c r="AB35" s="4" t="s">
        <v>287</v>
      </c>
      <c r="AC35" s="4">
        <v>0</v>
      </c>
      <c r="AD35" s="4">
        <f t="shared" si="2"/>
        <v>0</v>
      </c>
      <c r="AE35" s="4">
        <v>3565.9999999999995</v>
      </c>
      <c r="AF35" s="4">
        <f t="shared" si="3"/>
        <v>3565.9999999999995</v>
      </c>
      <c r="AG35" s="4"/>
      <c r="AH35" s="21">
        <f t="shared" si="4"/>
        <v>4771</v>
      </c>
      <c r="AI35" s="6">
        <f t="shared" si="5"/>
        <v>0.25256759589184663</v>
      </c>
      <c r="AJ35" s="33">
        <v>0</v>
      </c>
      <c r="AK35" s="4">
        <f t="shared" si="6"/>
        <v>4595</v>
      </c>
      <c r="AL35" s="33">
        <f t="shared" si="7"/>
        <v>5835.3881766381755</v>
      </c>
      <c r="AM35" s="6">
        <f t="shared" si="8"/>
        <v>0.38890097932535361</v>
      </c>
      <c r="AN35" s="7">
        <v>5580</v>
      </c>
      <c r="AO35" s="6">
        <f t="shared" si="9"/>
        <v>0.36093189964157713</v>
      </c>
      <c r="AP35" s="4">
        <f t="shared" si="10"/>
        <v>2014.0000000000005</v>
      </c>
      <c r="AQ35" s="28"/>
      <c r="AR35" s="6"/>
      <c r="AS35" s="6"/>
      <c r="AT35" s="6">
        <f t="shared" si="11"/>
        <v>0</v>
      </c>
      <c r="AU35" s="6">
        <f t="shared" si="12"/>
        <v>1.4852275751929731</v>
      </c>
      <c r="AV35" s="6">
        <f t="shared" si="13"/>
        <v>1.2699430199430197</v>
      </c>
      <c r="AW35" s="6" t="str">
        <f t="shared" si="15"/>
        <v>-</v>
      </c>
      <c r="AX35" s="4" t="str">
        <f t="shared" si="16"/>
        <v>-</v>
      </c>
      <c r="AY35" s="4" t="str">
        <f t="shared" si="17"/>
        <v>-</v>
      </c>
      <c r="AZ35" s="4" t="str">
        <f t="shared" si="18"/>
        <v>-</v>
      </c>
      <c r="BA35" s="4" t="str">
        <f t="shared" si="19"/>
        <v>-</v>
      </c>
      <c r="BB35" s="4" t="str">
        <f t="shared" si="20"/>
        <v>-</v>
      </c>
      <c r="BC35" s="4" t="str">
        <f t="shared" si="21"/>
        <v>-</v>
      </c>
      <c r="BD35" s="4" t="str">
        <f t="shared" si="22"/>
        <v>-</v>
      </c>
      <c r="BE35" s="4" t="str">
        <f t="shared" si="23"/>
        <v>-</v>
      </c>
      <c r="BF35" s="4" t="str">
        <f t="shared" si="24"/>
        <v>-</v>
      </c>
      <c r="BG35" s="4" t="str">
        <f t="shared" si="25"/>
        <v>-</v>
      </c>
      <c r="BH35" s="4" t="str">
        <f t="shared" si="26"/>
        <v>-</v>
      </c>
      <c r="BI35" s="4" t="str">
        <f t="shared" si="27"/>
        <v>-</v>
      </c>
      <c r="BJ35" s="4">
        <v>0</v>
      </c>
      <c r="BK35" s="4" t="s">
        <v>396</v>
      </c>
      <c r="BL35" s="4"/>
      <c r="BM35" s="4"/>
      <c r="BN35" s="4" t="s">
        <v>357</v>
      </c>
      <c r="BO35" s="4">
        <v>4595</v>
      </c>
      <c r="BP35" s="4">
        <f t="shared" si="14"/>
        <v>4595</v>
      </c>
      <c r="BQ35" s="19">
        <v>4</v>
      </c>
      <c r="BR35" s="19">
        <v>8</v>
      </c>
      <c r="BS35" s="16">
        <v>1805</v>
      </c>
      <c r="BT35" t="s">
        <v>287</v>
      </c>
      <c r="BU35" t="str">
        <f t="shared" si="28"/>
        <v>-</v>
      </c>
      <c r="BV35">
        <v>3059</v>
      </c>
      <c r="BW35">
        <f t="shared" si="29"/>
        <v>3884.7556980056975</v>
      </c>
      <c r="BX35" t="s">
        <v>318</v>
      </c>
    </row>
    <row r="36" spans="1:76" x14ac:dyDescent="0.4">
      <c r="A36" s="3">
        <v>3</v>
      </c>
      <c r="B36" s="3">
        <v>3</v>
      </c>
      <c r="C36" s="4">
        <v>637306</v>
      </c>
      <c r="D36" s="4" t="str">
        <f t="shared" ref="D36:D67" si="30">TEXT(C36,"000000")</f>
        <v>637306</v>
      </c>
      <c r="E36" s="4">
        <v>637306</v>
      </c>
      <c r="F36" s="4" t="s">
        <v>210</v>
      </c>
      <c r="G36" s="4" t="s">
        <v>133</v>
      </c>
      <c r="H36" s="5">
        <v>4901755360028</v>
      </c>
      <c r="I36" s="5">
        <v>5</v>
      </c>
      <c r="J36" s="5"/>
      <c r="K36" s="5">
        <v>1</v>
      </c>
      <c r="L36" s="5">
        <v>1</v>
      </c>
      <c r="M36" s="4">
        <v>0</v>
      </c>
      <c r="N36" s="4">
        <v>389</v>
      </c>
      <c r="O36" s="4">
        <v>322</v>
      </c>
      <c r="P36" s="6">
        <f t="shared" ref="P36:P67" si="31">IFERROR(1-O36/N36,"-")</f>
        <v>0.17223650385604117</v>
      </c>
      <c r="Q36" s="4" t="s">
        <v>287</v>
      </c>
      <c r="R36" s="4" t="s">
        <v>287</v>
      </c>
      <c r="S36" s="4" t="s">
        <v>287</v>
      </c>
      <c r="T36" s="4" t="s">
        <v>287</v>
      </c>
      <c r="U36" s="4" t="s">
        <v>287</v>
      </c>
      <c r="V36" s="4" t="s">
        <v>287</v>
      </c>
      <c r="W36" s="4" t="s">
        <v>287</v>
      </c>
      <c r="X36" s="4" t="s">
        <v>287</v>
      </c>
      <c r="Y36" s="4" t="s">
        <v>287</v>
      </c>
      <c r="Z36" s="4" t="s">
        <v>287</v>
      </c>
      <c r="AA36" s="4" t="s">
        <v>287</v>
      </c>
      <c r="AB36" s="4" t="s">
        <v>287</v>
      </c>
      <c r="AC36" s="4">
        <v>0</v>
      </c>
      <c r="AD36" s="4">
        <f t="shared" ref="AD36:AD67" si="32">IF(AG36="",AC36,AC36*AG36)</f>
        <v>0</v>
      </c>
      <c r="AE36" s="4">
        <v>360</v>
      </c>
      <c r="AF36" s="4">
        <f t="shared" ref="AF36:AF67" si="33">IF(AG36="",AE36,AE36*AG36)</f>
        <v>360</v>
      </c>
      <c r="AG36" s="4"/>
      <c r="AH36" s="21">
        <f t="shared" ref="AH36:AH67" si="34">ROUND(N36*AV36,0)</f>
        <v>435</v>
      </c>
      <c r="AI36" s="6">
        <f t="shared" ref="AI36:AI67" si="35">IFERROR(1-AF36/AH36,"-")</f>
        <v>0.17241379310344829</v>
      </c>
      <c r="AJ36" s="33">
        <v>26.25</v>
      </c>
      <c r="AK36" s="4">
        <f t="shared" ref="AK36:AK67" si="36">BP36</f>
        <v>567</v>
      </c>
      <c r="AL36" s="33">
        <f t="shared" ref="AL36:AL67" si="37">IFERROR(AK36*AV36,"-")</f>
        <v>633.91304347826076</v>
      </c>
      <c r="AM36" s="6">
        <f t="shared" ref="AM36:AM67" si="38">IFERROR(1-AF36/AL36,"-")</f>
        <v>0.43209876543209869</v>
      </c>
      <c r="AN36" s="7">
        <v>560</v>
      </c>
      <c r="AO36" s="6">
        <f t="shared" ref="AO36:AO67" si="39">1-AF36/AN36</f>
        <v>0.3571428571428571</v>
      </c>
      <c r="AP36" s="4">
        <f t="shared" ref="AP36:AP67" si="40">AN36-AF36</f>
        <v>200</v>
      </c>
      <c r="AQ36" s="28"/>
      <c r="AR36" s="6"/>
      <c r="AS36" s="6"/>
      <c r="AT36" s="6" t="str">
        <f t="shared" ref="AT36:AT67" si="41">IFERROR(AD36/M36,"-")</f>
        <v>-</v>
      </c>
      <c r="AU36" s="6">
        <f t="shared" ref="AU36:AU67" si="42">IFERROR(AN36/N36,"-")</f>
        <v>1.4395886889460154</v>
      </c>
      <c r="AV36" s="6">
        <f t="shared" ref="AV36:AV67" si="43">IFERROR(AF36/O36,"-")</f>
        <v>1.1180124223602483</v>
      </c>
      <c r="AW36" s="6" t="str">
        <f t="shared" si="15"/>
        <v>-</v>
      </c>
      <c r="AX36" s="4" t="str">
        <f t="shared" si="16"/>
        <v>-</v>
      </c>
      <c r="AY36" s="4" t="str">
        <f t="shared" si="17"/>
        <v>-</v>
      </c>
      <c r="AZ36" s="4" t="str">
        <f t="shared" si="18"/>
        <v>-</v>
      </c>
      <c r="BA36" s="4" t="str">
        <f t="shared" si="19"/>
        <v>-</v>
      </c>
      <c r="BB36" s="4" t="str">
        <f t="shared" si="20"/>
        <v>-</v>
      </c>
      <c r="BC36" s="4" t="str">
        <f t="shared" si="21"/>
        <v>-</v>
      </c>
      <c r="BD36" s="4" t="str">
        <f t="shared" si="22"/>
        <v>-</v>
      </c>
      <c r="BE36" s="4" t="str">
        <f t="shared" si="23"/>
        <v>-</v>
      </c>
      <c r="BF36" s="4" t="str">
        <f t="shared" si="24"/>
        <v>-</v>
      </c>
      <c r="BG36" s="4" t="str">
        <f t="shared" si="25"/>
        <v>-</v>
      </c>
      <c r="BH36" s="4" t="str">
        <f t="shared" si="26"/>
        <v>-</v>
      </c>
      <c r="BI36" s="4" t="str">
        <f t="shared" si="27"/>
        <v>-</v>
      </c>
      <c r="BJ36" s="4">
        <v>0</v>
      </c>
      <c r="BK36" s="4" t="s">
        <v>397</v>
      </c>
      <c r="BL36" s="4"/>
      <c r="BM36" s="4"/>
      <c r="BN36" s="4" t="s">
        <v>357</v>
      </c>
      <c r="BO36" s="4">
        <v>567</v>
      </c>
      <c r="BP36" s="4">
        <f t="shared" ref="BP36:BP67" si="44">IF(BL36="",BO36,BL36/BM36*BO36)</f>
        <v>567</v>
      </c>
      <c r="BQ36" s="19">
        <v>4</v>
      </c>
      <c r="BR36" s="19">
        <v>1</v>
      </c>
      <c r="BS36" s="16">
        <v>1815</v>
      </c>
      <c r="BT36">
        <v>592</v>
      </c>
      <c r="BU36">
        <f t="shared" si="28"/>
        <v>661.86335403726707</v>
      </c>
      <c r="BV36">
        <v>600</v>
      </c>
      <c r="BW36">
        <f t="shared" si="29"/>
        <v>670.80745341614897</v>
      </c>
      <c r="BX36" t="s">
        <v>319</v>
      </c>
    </row>
    <row r="37" spans="1:76" x14ac:dyDescent="0.4">
      <c r="A37" s="3">
        <v>4</v>
      </c>
      <c r="B37" s="3">
        <v>4</v>
      </c>
      <c r="C37" s="4">
        <v>684659</v>
      </c>
      <c r="D37" s="4" t="str">
        <f t="shared" si="30"/>
        <v>684659</v>
      </c>
      <c r="E37" s="4">
        <v>684659</v>
      </c>
      <c r="F37" s="4" t="s">
        <v>211</v>
      </c>
      <c r="G37" s="4" t="s">
        <v>134</v>
      </c>
      <c r="H37" s="5">
        <v>4901755361810</v>
      </c>
      <c r="I37" s="5">
        <v>5</v>
      </c>
      <c r="J37" s="5"/>
      <c r="K37" s="5">
        <v>1</v>
      </c>
      <c r="L37" s="5">
        <v>1</v>
      </c>
      <c r="M37" s="4">
        <v>0</v>
      </c>
      <c r="N37" s="4">
        <v>477</v>
      </c>
      <c r="O37" s="4">
        <v>348</v>
      </c>
      <c r="P37" s="6">
        <f t="shared" si="31"/>
        <v>0.27044025157232709</v>
      </c>
      <c r="Q37" s="4" t="s">
        <v>287</v>
      </c>
      <c r="R37" s="4" t="s">
        <v>287</v>
      </c>
      <c r="S37" s="4" t="s">
        <v>287</v>
      </c>
      <c r="T37" s="4" t="s">
        <v>287</v>
      </c>
      <c r="U37" s="4" t="s">
        <v>287</v>
      </c>
      <c r="V37" s="4" t="s">
        <v>287</v>
      </c>
      <c r="W37" s="4" t="s">
        <v>287</v>
      </c>
      <c r="X37" s="4" t="s">
        <v>287</v>
      </c>
      <c r="Y37" s="4" t="s">
        <v>287</v>
      </c>
      <c r="Z37" s="4" t="s">
        <v>287</v>
      </c>
      <c r="AA37" s="4" t="s">
        <v>287</v>
      </c>
      <c r="AB37" s="4" t="s">
        <v>287</v>
      </c>
      <c r="AC37" s="4">
        <v>0</v>
      </c>
      <c r="AD37" s="4">
        <f t="shared" si="32"/>
        <v>0</v>
      </c>
      <c r="AE37" s="4">
        <v>408</v>
      </c>
      <c r="AF37" s="4">
        <f t="shared" si="33"/>
        <v>408</v>
      </c>
      <c r="AG37" s="4"/>
      <c r="AH37" s="21">
        <f t="shared" si="34"/>
        <v>559</v>
      </c>
      <c r="AI37" s="6">
        <f t="shared" si="35"/>
        <v>0.2701252236135957</v>
      </c>
      <c r="AJ37" s="33">
        <v>11.25</v>
      </c>
      <c r="AK37" s="4">
        <f t="shared" si="36"/>
        <v>641</v>
      </c>
      <c r="AL37" s="33">
        <f t="shared" si="37"/>
        <v>751.51724137931024</v>
      </c>
      <c r="AM37" s="6">
        <f t="shared" si="38"/>
        <v>0.45709828393135721</v>
      </c>
      <c r="AN37" s="7">
        <v>640</v>
      </c>
      <c r="AO37" s="6">
        <f t="shared" si="39"/>
        <v>0.36250000000000004</v>
      </c>
      <c r="AP37" s="4">
        <f t="shared" si="40"/>
        <v>232</v>
      </c>
      <c r="AQ37" s="28"/>
      <c r="AR37" s="6"/>
      <c r="AS37" s="6"/>
      <c r="AT37" s="6" t="str">
        <f t="shared" si="41"/>
        <v>-</v>
      </c>
      <c r="AU37" s="6">
        <f t="shared" si="42"/>
        <v>1.3417190775681342</v>
      </c>
      <c r="AV37" s="6">
        <f t="shared" si="43"/>
        <v>1.1724137931034482</v>
      </c>
      <c r="AW37" s="6" t="str">
        <f t="shared" si="15"/>
        <v>-</v>
      </c>
      <c r="AX37" s="4" t="str">
        <f t="shared" si="16"/>
        <v>-</v>
      </c>
      <c r="AY37" s="4" t="str">
        <f t="shared" si="17"/>
        <v>-</v>
      </c>
      <c r="AZ37" s="4" t="str">
        <f t="shared" si="18"/>
        <v>-</v>
      </c>
      <c r="BA37" s="4" t="str">
        <f t="shared" si="19"/>
        <v>-</v>
      </c>
      <c r="BB37" s="4" t="str">
        <f t="shared" si="20"/>
        <v>-</v>
      </c>
      <c r="BC37" s="4" t="str">
        <f t="shared" si="21"/>
        <v>-</v>
      </c>
      <c r="BD37" s="4" t="str">
        <f t="shared" si="22"/>
        <v>-</v>
      </c>
      <c r="BE37" s="4" t="str">
        <f t="shared" si="23"/>
        <v>-</v>
      </c>
      <c r="BF37" s="4" t="str">
        <f t="shared" si="24"/>
        <v>-</v>
      </c>
      <c r="BG37" s="4" t="str">
        <f t="shared" si="25"/>
        <v>-</v>
      </c>
      <c r="BH37" s="4" t="str">
        <f t="shared" si="26"/>
        <v>-</v>
      </c>
      <c r="BI37" s="4" t="str">
        <f t="shared" si="27"/>
        <v>-</v>
      </c>
      <c r="BJ37" s="4">
        <v>0</v>
      </c>
      <c r="BK37" s="4" t="s">
        <v>398</v>
      </c>
      <c r="BL37" s="4"/>
      <c r="BM37" s="4"/>
      <c r="BN37" s="4" t="s">
        <v>357</v>
      </c>
      <c r="BO37" s="4">
        <v>641</v>
      </c>
      <c r="BP37" s="4">
        <f t="shared" si="44"/>
        <v>641</v>
      </c>
      <c r="BQ37" s="19">
        <v>4</v>
      </c>
      <c r="BR37" s="19">
        <v>1</v>
      </c>
      <c r="BS37" s="16">
        <v>1815</v>
      </c>
      <c r="BT37" t="s">
        <v>287</v>
      </c>
      <c r="BU37" t="str">
        <f t="shared" si="28"/>
        <v>-</v>
      </c>
      <c r="BV37" t="s">
        <v>287</v>
      </c>
      <c r="BW37" t="str">
        <f t="shared" si="29"/>
        <v>-</v>
      </c>
      <c r="BX37" t="s">
        <v>320</v>
      </c>
    </row>
    <row r="38" spans="1:76" x14ac:dyDescent="0.4">
      <c r="A38" s="3">
        <v>11</v>
      </c>
      <c r="B38" s="3">
        <v>11</v>
      </c>
      <c r="C38" s="4">
        <v>637307</v>
      </c>
      <c r="D38" s="4" t="str">
        <f t="shared" si="30"/>
        <v>637307</v>
      </c>
      <c r="E38" s="4">
        <v>637307</v>
      </c>
      <c r="F38" s="4" t="s">
        <v>218</v>
      </c>
      <c r="G38" s="4" t="s">
        <v>141</v>
      </c>
      <c r="H38" s="5">
        <v>4901755360073</v>
      </c>
      <c r="I38" s="5">
        <v>5</v>
      </c>
      <c r="J38" s="5"/>
      <c r="K38" s="5">
        <v>1</v>
      </c>
      <c r="L38" s="5">
        <v>1</v>
      </c>
      <c r="M38" s="4">
        <v>0</v>
      </c>
      <c r="N38" s="4">
        <v>1077</v>
      </c>
      <c r="O38" s="4">
        <v>824</v>
      </c>
      <c r="P38" s="6">
        <f t="shared" si="31"/>
        <v>0.23491179201485612</v>
      </c>
      <c r="Q38" s="4" t="s">
        <v>287</v>
      </c>
      <c r="R38" s="4" t="s">
        <v>287</v>
      </c>
      <c r="S38" s="4" t="s">
        <v>287</v>
      </c>
      <c r="T38" s="4" t="s">
        <v>287</v>
      </c>
      <c r="U38" s="4" t="s">
        <v>287</v>
      </c>
      <c r="V38" s="4" t="s">
        <v>287</v>
      </c>
      <c r="W38" s="4" t="s">
        <v>287</v>
      </c>
      <c r="X38" s="4" t="s">
        <v>287</v>
      </c>
      <c r="Y38" s="4" t="s">
        <v>287</v>
      </c>
      <c r="Z38" s="4" t="s">
        <v>287</v>
      </c>
      <c r="AA38" s="4" t="s">
        <v>287</v>
      </c>
      <c r="AB38" s="4" t="s">
        <v>287</v>
      </c>
      <c r="AC38" s="4">
        <v>0</v>
      </c>
      <c r="AD38" s="4">
        <f t="shared" si="32"/>
        <v>0</v>
      </c>
      <c r="AE38" s="4">
        <v>984</v>
      </c>
      <c r="AF38" s="4">
        <f t="shared" si="33"/>
        <v>984</v>
      </c>
      <c r="AG38" s="4"/>
      <c r="AH38" s="21">
        <f t="shared" si="34"/>
        <v>1286</v>
      </c>
      <c r="AI38" s="6">
        <f t="shared" si="35"/>
        <v>0.23483670295489889</v>
      </c>
      <c r="AJ38" s="33">
        <v>3.75</v>
      </c>
      <c r="AK38" s="4">
        <f t="shared" si="36"/>
        <v>1680</v>
      </c>
      <c r="AL38" s="33">
        <f t="shared" si="37"/>
        <v>2006.2135922330096</v>
      </c>
      <c r="AM38" s="6">
        <f t="shared" si="38"/>
        <v>0.50952380952380949</v>
      </c>
      <c r="AN38" s="7">
        <v>1550</v>
      </c>
      <c r="AO38" s="6">
        <f t="shared" si="39"/>
        <v>0.3651612903225806</v>
      </c>
      <c r="AP38" s="4">
        <f t="shared" si="40"/>
        <v>566</v>
      </c>
      <c r="AQ38" s="28"/>
      <c r="AR38" s="6"/>
      <c r="AS38" s="6"/>
      <c r="AT38" s="6" t="str">
        <f t="shared" si="41"/>
        <v>-</v>
      </c>
      <c r="AU38" s="6">
        <f t="shared" si="42"/>
        <v>1.4391829155060354</v>
      </c>
      <c r="AV38" s="6">
        <f t="shared" si="43"/>
        <v>1.1941747572815533</v>
      </c>
      <c r="AW38" s="6" t="str">
        <f t="shared" si="15"/>
        <v>-</v>
      </c>
      <c r="AX38" s="4" t="str">
        <f t="shared" si="16"/>
        <v>-</v>
      </c>
      <c r="AY38" s="4" t="str">
        <f t="shared" si="17"/>
        <v>-</v>
      </c>
      <c r="AZ38" s="4" t="str">
        <f t="shared" si="18"/>
        <v>-</v>
      </c>
      <c r="BA38" s="4" t="str">
        <f t="shared" si="19"/>
        <v>-</v>
      </c>
      <c r="BB38" s="4" t="str">
        <f t="shared" si="20"/>
        <v>-</v>
      </c>
      <c r="BC38" s="4" t="str">
        <f t="shared" si="21"/>
        <v>-</v>
      </c>
      <c r="BD38" s="4" t="str">
        <f t="shared" si="22"/>
        <v>-</v>
      </c>
      <c r="BE38" s="4" t="str">
        <f t="shared" si="23"/>
        <v>-</v>
      </c>
      <c r="BF38" s="4" t="str">
        <f t="shared" si="24"/>
        <v>-</v>
      </c>
      <c r="BG38" s="4" t="str">
        <f t="shared" si="25"/>
        <v>-</v>
      </c>
      <c r="BH38" s="4" t="str">
        <f t="shared" si="26"/>
        <v>-</v>
      </c>
      <c r="BI38" s="4" t="str">
        <f t="shared" si="27"/>
        <v>-</v>
      </c>
      <c r="BJ38" s="4">
        <v>0</v>
      </c>
      <c r="BK38" s="4" t="s">
        <v>399</v>
      </c>
      <c r="BL38" s="4"/>
      <c r="BM38" s="4"/>
      <c r="BN38" s="4" t="s">
        <v>357</v>
      </c>
      <c r="BO38" s="4">
        <v>1680</v>
      </c>
      <c r="BP38" s="4">
        <f t="shared" si="44"/>
        <v>1680</v>
      </c>
      <c r="BQ38" s="19">
        <v>4</v>
      </c>
      <c r="BR38" s="19">
        <v>1</v>
      </c>
      <c r="BS38" s="16">
        <v>1815</v>
      </c>
      <c r="BT38" t="s">
        <v>287</v>
      </c>
      <c r="BU38" t="str">
        <f t="shared" si="28"/>
        <v>-</v>
      </c>
      <c r="BV38">
        <v>1751</v>
      </c>
      <c r="BW38">
        <f t="shared" si="29"/>
        <v>2091</v>
      </c>
      <c r="BX38" t="s">
        <v>321</v>
      </c>
    </row>
    <row r="39" spans="1:76" x14ac:dyDescent="0.4">
      <c r="A39" s="3">
        <v>31</v>
      </c>
      <c r="B39" s="3">
        <v>31</v>
      </c>
      <c r="C39" s="4" t="s">
        <v>94</v>
      </c>
      <c r="D39" s="4" t="str">
        <f t="shared" si="30"/>
        <v>J632SL</v>
      </c>
      <c r="E39" s="4" t="s">
        <v>94</v>
      </c>
      <c r="F39" s="4" t="s">
        <v>238</v>
      </c>
      <c r="G39" s="4" t="s">
        <v>161</v>
      </c>
      <c r="H39" s="5">
        <v>4901755348910</v>
      </c>
      <c r="I39" s="5">
        <v>5</v>
      </c>
      <c r="J39" s="5"/>
      <c r="K39" s="5">
        <v>1</v>
      </c>
      <c r="L39" s="5">
        <v>1</v>
      </c>
      <c r="M39" s="4">
        <v>0</v>
      </c>
      <c r="N39" s="4">
        <v>27</v>
      </c>
      <c r="O39" s="4">
        <v>18</v>
      </c>
      <c r="P39" s="6">
        <f t="shared" si="31"/>
        <v>0.33333333333333337</v>
      </c>
      <c r="Q39" s="4" t="s">
        <v>287</v>
      </c>
      <c r="R39" s="4" t="s">
        <v>287</v>
      </c>
      <c r="S39" s="4" t="s">
        <v>287</v>
      </c>
      <c r="T39" s="4" t="s">
        <v>287</v>
      </c>
      <c r="U39" s="4" t="s">
        <v>287</v>
      </c>
      <c r="V39" s="4" t="s">
        <v>287</v>
      </c>
      <c r="W39" s="4" t="s">
        <v>287</v>
      </c>
      <c r="X39" s="4" t="s">
        <v>287</v>
      </c>
      <c r="Y39" s="4" t="s">
        <v>287</v>
      </c>
      <c r="Z39" s="4" t="s">
        <v>287</v>
      </c>
      <c r="AA39" s="4" t="s">
        <v>287</v>
      </c>
      <c r="AB39" s="4" t="s">
        <v>287</v>
      </c>
      <c r="AC39" s="4">
        <v>0</v>
      </c>
      <c r="AD39" s="4">
        <f t="shared" si="32"/>
        <v>0</v>
      </c>
      <c r="AE39" s="4">
        <v>20.7</v>
      </c>
      <c r="AF39" s="4">
        <f t="shared" si="33"/>
        <v>20.7</v>
      </c>
      <c r="AG39" s="4"/>
      <c r="AH39" s="21">
        <f t="shared" si="34"/>
        <v>31</v>
      </c>
      <c r="AI39" s="6">
        <f t="shared" si="35"/>
        <v>0.33225806451612905</v>
      </c>
      <c r="AJ39" s="33">
        <v>49</v>
      </c>
      <c r="AK39" s="4">
        <f t="shared" si="36"/>
        <v>37.380000000000003</v>
      </c>
      <c r="AL39" s="33">
        <f t="shared" si="37"/>
        <v>42.987000000000002</v>
      </c>
      <c r="AM39" s="6">
        <f t="shared" si="38"/>
        <v>0.5184590690208668</v>
      </c>
      <c r="AN39" s="7">
        <v>35</v>
      </c>
      <c r="AO39" s="6">
        <f t="shared" si="39"/>
        <v>0.40857142857142859</v>
      </c>
      <c r="AP39" s="4">
        <f t="shared" si="40"/>
        <v>14.3</v>
      </c>
      <c r="AQ39" s="28"/>
      <c r="AR39" s="6"/>
      <c r="AS39" s="6"/>
      <c r="AT39" s="6" t="str">
        <f t="shared" si="41"/>
        <v>-</v>
      </c>
      <c r="AU39" s="6">
        <f t="shared" si="42"/>
        <v>1.2962962962962963</v>
      </c>
      <c r="AV39" s="6">
        <f t="shared" si="43"/>
        <v>1.1499999999999999</v>
      </c>
      <c r="AW39" s="6" t="str">
        <f t="shared" si="15"/>
        <v>-</v>
      </c>
      <c r="AX39" s="4" t="str">
        <f t="shared" si="16"/>
        <v>-</v>
      </c>
      <c r="AY39" s="4" t="str">
        <f t="shared" si="17"/>
        <v>-</v>
      </c>
      <c r="AZ39" s="4" t="str">
        <f t="shared" si="18"/>
        <v>-</v>
      </c>
      <c r="BA39" s="4" t="str">
        <f t="shared" si="19"/>
        <v>-</v>
      </c>
      <c r="BB39" s="4" t="str">
        <f t="shared" si="20"/>
        <v>-</v>
      </c>
      <c r="BC39" s="4" t="str">
        <f t="shared" si="21"/>
        <v>-</v>
      </c>
      <c r="BD39" s="4" t="str">
        <f t="shared" si="22"/>
        <v>-</v>
      </c>
      <c r="BE39" s="4" t="str">
        <f t="shared" si="23"/>
        <v>-</v>
      </c>
      <c r="BF39" s="4" t="str">
        <f t="shared" si="24"/>
        <v>-</v>
      </c>
      <c r="BG39" s="4" t="str">
        <f t="shared" si="25"/>
        <v>-</v>
      </c>
      <c r="BH39" s="4" t="str">
        <f t="shared" si="26"/>
        <v>-</v>
      </c>
      <c r="BI39" s="4" t="str">
        <f t="shared" si="27"/>
        <v>-</v>
      </c>
      <c r="BJ39" s="4">
        <v>0</v>
      </c>
      <c r="BK39" s="4" t="s">
        <v>400</v>
      </c>
      <c r="BL39" s="4">
        <v>1</v>
      </c>
      <c r="BM39" s="4">
        <v>50</v>
      </c>
      <c r="BN39" s="4" t="s">
        <v>401</v>
      </c>
      <c r="BO39" s="4">
        <v>1869</v>
      </c>
      <c r="BP39" s="4">
        <f t="shared" si="44"/>
        <v>37.380000000000003</v>
      </c>
      <c r="BQ39" s="19">
        <v>4</v>
      </c>
      <c r="BR39" s="19">
        <v>1</v>
      </c>
      <c r="BS39" s="16">
        <v>1820</v>
      </c>
      <c r="BT39" t="s">
        <v>287</v>
      </c>
      <c r="BU39" t="str">
        <f t="shared" si="28"/>
        <v>-</v>
      </c>
      <c r="BV39" t="s">
        <v>287</v>
      </c>
      <c r="BW39" t="str">
        <f t="shared" si="29"/>
        <v>-</v>
      </c>
      <c r="BX39" t="s">
        <v>322</v>
      </c>
    </row>
    <row r="40" spans="1:76" x14ac:dyDescent="0.4">
      <c r="A40" s="3">
        <v>30</v>
      </c>
      <c r="B40" s="3">
        <v>30</v>
      </c>
      <c r="C40" s="4" t="s">
        <v>93</v>
      </c>
      <c r="D40" s="4" t="str">
        <f t="shared" si="30"/>
        <v>J703WT</v>
      </c>
      <c r="E40" s="4" t="s">
        <v>93</v>
      </c>
      <c r="F40" s="4" t="s">
        <v>237</v>
      </c>
      <c r="G40" s="4" t="s">
        <v>160</v>
      </c>
      <c r="H40" s="5">
        <v>4901755347456</v>
      </c>
      <c r="I40" s="5">
        <v>5</v>
      </c>
      <c r="J40" s="5"/>
      <c r="K40" s="5">
        <v>1</v>
      </c>
      <c r="L40" s="5">
        <v>1</v>
      </c>
      <c r="M40" s="4">
        <v>1950</v>
      </c>
      <c r="N40" s="4">
        <v>1500</v>
      </c>
      <c r="O40" s="4">
        <v>936</v>
      </c>
      <c r="P40" s="6">
        <f t="shared" si="31"/>
        <v>0.376</v>
      </c>
      <c r="Q40" s="4" t="s">
        <v>287</v>
      </c>
      <c r="R40" s="4" t="s">
        <v>287</v>
      </c>
      <c r="S40" s="4" t="s">
        <v>287</v>
      </c>
      <c r="T40" s="4" t="s">
        <v>287</v>
      </c>
      <c r="U40" s="4" t="s">
        <v>287</v>
      </c>
      <c r="V40" s="4" t="s">
        <v>287</v>
      </c>
      <c r="W40" s="4" t="s">
        <v>287</v>
      </c>
      <c r="X40" s="4" t="s">
        <v>287</v>
      </c>
      <c r="Y40" s="4" t="s">
        <v>287</v>
      </c>
      <c r="Z40" s="4" t="s">
        <v>287</v>
      </c>
      <c r="AA40" s="4" t="s">
        <v>287</v>
      </c>
      <c r="AB40" s="4" t="s">
        <v>287</v>
      </c>
      <c r="AC40" s="4">
        <v>0</v>
      </c>
      <c r="AD40" s="4">
        <f t="shared" si="32"/>
        <v>0</v>
      </c>
      <c r="AE40" s="4">
        <v>21.52</v>
      </c>
      <c r="AF40" s="4">
        <f t="shared" si="33"/>
        <v>1076</v>
      </c>
      <c r="AG40" s="4">
        <v>50</v>
      </c>
      <c r="AH40" s="21">
        <f t="shared" si="34"/>
        <v>1724</v>
      </c>
      <c r="AI40" s="6">
        <f t="shared" si="35"/>
        <v>0.37587006960556846</v>
      </c>
      <c r="AJ40" s="33">
        <v>19.25</v>
      </c>
      <c r="AK40" s="4">
        <f t="shared" si="36"/>
        <v>1779</v>
      </c>
      <c r="AL40" s="33">
        <f t="shared" si="37"/>
        <v>2045.0897435897434</v>
      </c>
      <c r="AM40" s="6">
        <f t="shared" si="38"/>
        <v>0.47386172006745353</v>
      </c>
      <c r="AN40" s="7">
        <v>1750</v>
      </c>
      <c r="AO40" s="6">
        <f t="shared" si="39"/>
        <v>0.38514285714285712</v>
      </c>
      <c r="AP40" s="4">
        <f t="shared" si="40"/>
        <v>674</v>
      </c>
      <c r="AQ40" s="28"/>
      <c r="AR40" s="6"/>
      <c r="AS40" s="6"/>
      <c r="AT40" s="6">
        <f t="shared" si="41"/>
        <v>0</v>
      </c>
      <c r="AU40" s="6">
        <f t="shared" si="42"/>
        <v>1.1666666666666667</v>
      </c>
      <c r="AV40" s="6">
        <f t="shared" si="43"/>
        <v>1.1495726495726495</v>
      </c>
      <c r="AW40" s="6" t="str">
        <f t="shared" si="15"/>
        <v>-</v>
      </c>
      <c r="AX40" s="4" t="str">
        <f t="shared" si="16"/>
        <v>-</v>
      </c>
      <c r="AY40" s="4" t="str">
        <f t="shared" si="17"/>
        <v>-</v>
      </c>
      <c r="AZ40" s="4" t="str">
        <f t="shared" si="18"/>
        <v>-</v>
      </c>
      <c r="BA40" s="4" t="str">
        <f t="shared" si="19"/>
        <v>-</v>
      </c>
      <c r="BB40" s="4" t="str">
        <f t="shared" si="20"/>
        <v>-</v>
      </c>
      <c r="BC40" s="4" t="str">
        <f t="shared" si="21"/>
        <v>-</v>
      </c>
      <c r="BD40" s="4" t="str">
        <f t="shared" si="22"/>
        <v>-</v>
      </c>
      <c r="BE40" s="4" t="str">
        <f t="shared" si="23"/>
        <v>-</v>
      </c>
      <c r="BF40" s="4" t="str">
        <f t="shared" si="24"/>
        <v>-</v>
      </c>
      <c r="BG40" s="4" t="str">
        <f t="shared" si="25"/>
        <v>-</v>
      </c>
      <c r="BH40" s="4" t="str">
        <f t="shared" si="26"/>
        <v>-</v>
      </c>
      <c r="BI40" s="4" t="str">
        <f t="shared" si="27"/>
        <v>-</v>
      </c>
      <c r="BJ40" s="4">
        <v>0</v>
      </c>
      <c r="BK40" s="4" t="s">
        <v>402</v>
      </c>
      <c r="BL40" s="4"/>
      <c r="BM40" s="4"/>
      <c r="BN40" s="4" t="s">
        <v>401</v>
      </c>
      <c r="BO40" s="4">
        <v>1779</v>
      </c>
      <c r="BP40" s="4">
        <f t="shared" si="44"/>
        <v>1779</v>
      </c>
      <c r="BQ40" s="19">
        <v>4</v>
      </c>
      <c r="BR40" s="19">
        <v>1</v>
      </c>
      <c r="BS40" s="16">
        <v>1820</v>
      </c>
      <c r="BT40">
        <v>1861</v>
      </c>
      <c r="BU40">
        <f t="shared" si="28"/>
        <v>2139.3547008547007</v>
      </c>
      <c r="BV40" t="s">
        <v>287</v>
      </c>
      <c r="BW40" t="str">
        <f t="shared" si="29"/>
        <v>-</v>
      </c>
      <c r="BX40" t="s">
        <v>323</v>
      </c>
    </row>
    <row r="41" spans="1:76" x14ac:dyDescent="0.4">
      <c r="A41" s="3">
        <v>34</v>
      </c>
      <c r="B41" s="3">
        <v>34</v>
      </c>
      <c r="C41" s="4" t="s">
        <v>97</v>
      </c>
      <c r="D41" s="4" t="str">
        <f t="shared" si="30"/>
        <v>J702WT</v>
      </c>
      <c r="E41" s="4" t="s">
        <v>97</v>
      </c>
      <c r="F41" s="4" t="s">
        <v>241</v>
      </c>
      <c r="G41" s="4" t="s">
        <v>164</v>
      </c>
      <c r="H41" s="5">
        <v>4901755348903</v>
      </c>
      <c r="I41" s="5">
        <v>5</v>
      </c>
      <c r="J41" s="5"/>
      <c r="K41" s="5">
        <v>1</v>
      </c>
      <c r="L41" s="5">
        <v>1</v>
      </c>
      <c r="M41" s="4">
        <v>2300</v>
      </c>
      <c r="N41" s="4">
        <v>1800</v>
      </c>
      <c r="O41" s="4">
        <v>1104</v>
      </c>
      <c r="P41" s="6">
        <f t="shared" si="31"/>
        <v>0.38666666666666671</v>
      </c>
      <c r="Q41" s="4" t="s">
        <v>287</v>
      </c>
      <c r="R41" s="4" t="s">
        <v>287</v>
      </c>
      <c r="S41" s="4" t="s">
        <v>287</v>
      </c>
      <c r="T41" s="4" t="s">
        <v>287</v>
      </c>
      <c r="U41" s="4" t="s">
        <v>287</v>
      </c>
      <c r="V41" s="4" t="s">
        <v>287</v>
      </c>
      <c r="W41" s="4" t="s">
        <v>287</v>
      </c>
      <c r="X41" s="4" t="s">
        <v>287</v>
      </c>
      <c r="Y41" s="4" t="s">
        <v>287</v>
      </c>
      <c r="Z41" s="4" t="s">
        <v>287</v>
      </c>
      <c r="AA41" s="4" t="s">
        <v>287</v>
      </c>
      <c r="AB41" s="4" t="s">
        <v>287</v>
      </c>
      <c r="AC41" s="4">
        <v>0</v>
      </c>
      <c r="AD41" s="4">
        <f t="shared" si="32"/>
        <v>0</v>
      </c>
      <c r="AE41" s="4">
        <v>25.4</v>
      </c>
      <c r="AF41" s="4">
        <f t="shared" si="33"/>
        <v>1270</v>
      </c>
      <c r="AG41" s="4">
        <v>50</v>
      </c>
      <c r="AH41" s="21">
        <f t="shared" si="34"/>
        <v>2071</v>
      </c>
      <c r="AI41" s="6">
        <f t="shared" si="35"/>
        <v>0.38676967648478999</v>
      </c>
      <c r="AJ41" s="33">
        <v>12.5</v>
      </c>
      <c r="AK41" s="4">
        <f t="shared" si="36"/>
        <v>2162</v>
      </c>
      <c r="AL41" s="33">
        <f t="shared" si="37"/>
        <v>2487.083333333333</v>
      </c>
      <c r="AM41" s="6">
        <f t="shared" si="38"/>
        <v>0.4893617021276595</v>
      </c>
      <c r="AN41" s="7">
        <v>2071</v>
      </c>
      <c r="AO41" s="6">
        <f t="shared" si="39"/>
        <v>0.38676967648478999</v>
      </c>
      <c r="AP41" s="4">
        <f t="shared" si="40"/>
        <v>801</v>
      </c>
      <c r="AQ41" s="28"/>
      <c r="AR41" s="6"/>
      <c r="AS41" s="6"/>
      <c r="AT41" s="6">
        <f t="shared" si="41"/>
        <v>0</v>
      </c>
      <c r="AU41" s="6">
        <f t="shared" si="42"/>
        <v>1.1505555555555556</v>
      </c>
      <c r="AV41" s="6">
        <f t="shared" si="43"/>
        <v>1.1503623188405796</v>
      </c>
      <c r="AW41" s="6" t="str">
        <f t="shared" si="15"/>
        <v>-</v>
      </c>
      <c r="AX41" s="4" t="str">
        <f t="shared" si="16"/>
        <v>-</v>
      </c>
      <c r="AY41" s="4" t="str">
        <f t="shared" si="17"/>
        <v>-</v>
      </c>
      <c r="AZ41" s="4" t="str">
        <f t="shared" si="18"/>
        <v>-</v>
      </c>
      <c r="BA41" s="4" t="str">
        <f t="shared" si="19"/>
        <v>-</v>
      </c>
      <c r="BB41" s="4" t="str">
        <f t="shared" si="20"/>
        <v>-</v>
      </c>
      <c r="BC41" s="4" t="str">
        <f t="shared" si="21"/>
        <v>-</v>
      </c>
      <c r="BD41" s="4" t="str">
        <f t="shared" si="22"/>
        <v>-</v>
      </c>
      <c r="BE41" s="4" t="str">
        <f t="shared" si="23"/>
        <v>-</v>
      </c>
      <c r="BF41" s="4" t="str">
        <f t="shared" si="24"/>
        <v>-</v>
      </c>
      <c r="BG41" s="4" t="str">
        <f t="shared" si="25"/>
        <v>-</v>
      </c>
      <c r="BH41" s="4" t="str">
        <f t="shared" si="26"/>
        <v>-</v>
      </c>
      <c r="BI41" s="4" t="str">
        <f t="shared" si="27"/>
        <v>-</v>
      </c>
      <c r="BJ41" s="4">
        <v>0</v>
      </c>
      <c r="BK41" s="4" t="s">
        <v>403</v>
      </c>
      <c r="BL41" s="4"/>
      <c r="BM41" s="4"/>
      <c r="BN41" s="4" t="s">
        <v>401</v>
      </c>
      <c r="BO41" s="4">
        <v>2162</v>
      </c>
      <c r="BP41" s="4">
        <f t="shared" si="44"/>
        <v>2162</v>
      </c>
      <c r="BQ41" s="19">
        <v>4</v>
      </c>
      <c r="BR41" s="19">
        <v>1</v>
      </c>
      <c r="BS41" s="16">
        <v>1820</v>
      </c>
      <c r="BT41" t="s">
        <v>287</v>
      </c>
      <c r="BU41" t="str">
        <f t="shared" si="28"/>
        <v>-</v>
      </c>
      <c r="BV41" t="s">
        <v>287</v>
      </c>
      <c r="BW41" t="str">
        <f t="shared" si="29"/>
        <v>-</v>
      </c>
      <c r="BX41" t="s">
        <v>324</v>
      </c>
    </row>
    <row r="42" spans="1:76" x14ac:dyDescent="0.4">
      <c r="A42" s="3">
        <v>42</v>
      </c>
      <c r="B42" s="3">
        <v>42</v>
      </c>
      <c r="C42" s="44">
        <v>624442</v>
      </c>
      <c r="D42" s="4" t="str">
        <f t="shared" si="30"/>
        <v>624442</v>
      </c>
      <c r="E42" s="4">
        <v>624442</v>
      </c>
      <c r="F42" s="4" t="s">
        <v>249</v>
      </c>
      <c r="G42" s="4" t="s">
        <v>172</v>
      </c>
      <c r="H42" s="5">
        <v>4901755352115</v>
      </c>
      <c r="I42" s="5">
        <v>5</v>
      </c>
      <c r="J42" s="5"/>
      <c r="K42" s="5">
        <v>2</v>
      </c>
      <c r="L42" s="5">
        <v>1</v>
      </c>
      <c r="M42" s="4">
        <v>0</v>
      </c>
      <c r="N42" s="4">
        <v>40</v>
      </c>
      <c r="O42" s="4">
        <v>22.94</v>
      </c>
      <c r="P42" s="6">
        <f t="shared" si="31"/>
        <v>0.42649999999999999</v>
      </c>
      <c r="Q42" s="4" t="s">
        <v>287</v>
      </c>
      <c r="R42" s="4" t="s">
        <v>287</v>
      </c>
      <c r="S42" s="4" t="s">
        <v>287</v>
      </c>
      <c r="T42" s="4" t="s">
        <v>287</v>
      </c>
      <c r="U42" s="4" t="s">
        <v>287</v>
      </c>
      <c r="V42" s="4" t="s">
        <v>287</v>
      </c>
      <c r="W42" s="4" t="s">
        <v>287</v>
      </c>
      <c r="X42" s="4" t="s">
        <v>287</v>
      </c>
      <c r="Y42" s="4" t="s">
        <v>287</v>
      </c>
      <c r="Z42" s="4" t="s">
        <v>287</v>
      </c>
      <c r="AA42" s="4" t="s">
        <v>287</v>
      </c>
      <c r="AB42" s="4" t="s">
        <v>287</v>
      </c>
      <c r="AC42" s="4">
        <v>0</v>
      </c>
      <c r="AD42" s="4">
        <f t="shared" si="32"/>
        <v>0</v>
      </c>
      <c r="AE42" s="4">
        <v>27.36</v>
      </c>
      <c r="AF42" s="4">
        <f t="shared" si="33"/>
        <v>27.36</v>
      </c>
      <c r="AG42" s="4"/>
      <c r="AH42" s="21">
        <f t="shared" si="34"/>
        <v>48</v>
      </c>
      <c r="AI42" s="6">
        <f t="shared" si="35"/>
        <v>0.43000000000000005</v>
      </c>
      <c r="AJ42" s="33">
        <v>27.250000000000004</v>
      </c>
      <c r="AK42" s="4">
        <f t="shared" si="36"/>
        <v>43.905000000000001</v>
      </c>
      <c r="AL42" s="33">
        <f t="shared" si="37"/>
        <v>52.36446381865737</v>
      </c>
      <c r="AM42" s="6">
        <f t="shared" si="38"/>
        <v>0.47750825646281747</v>
      </c>
      <c r="AN42" s="7">
        <v>48</v>
      </c>
      <c r="AO42" s="6">
        <f t="shared" si="39"/>
        <v>0.43000000000000005</v>
      </c>
      <c r="AP42" s="4">
        <f t="shared" si="40"/>
        <v>20.64</v>
      </c>
      <c r="AQ42" s="28"/>
      <c r="AR42" s="6"/>
      <c r="AS42" s="6"/>
      <c r="AT42" s="6" t="str">
        <f t="shared" si="41"/>
        <v>-</v>
      </c>
      <c r="AU42" s="6">
        <f t="shared" si="42"/>
        <v>1.2</v>
      </c>
      <c r="AV42" s="6">
        <f t="shared" si="43"/>
        <v>1.1926765475152572</v>
      </c>
      <c r="AW42" s="6" t="str">
        <f t="shared" si="15"/>
        <v>-</v>
      </c>
      <c r="AX42" s="4" t="str">
        <f t="shared" si="16"/>
        <v>-</v>
      </c>
      <c r="AY42" s="4" t="str">
        <f t="shared" si="17"/>
        <v>-</v>
      </c>
      <c r="AZ42" s="4" t="str">
        <f t="shared" si="18"/>
        <v>-</v>
      </c>
      <c r="BA42" s="4" t="str">
        <f t="shared" si="19"/>
        <v>-</v>
      </c>
      <c r="BB42" s="4" t="str">
        <f t="shared" si="20"/>
        <v>-</v>
      </c>
      <c r="BC42" s="4" t="str">
        <f t="shared" si="21"/>
        <v>-</v>
      </c>
      <c r="BD42" s="4" t="str">
        <f t="shared" si="22"/>
        <v>-</v>
      </c>
      <c r="BE42" s="4" t="str">
        <f t="shared" si="23"/>
        <v>-</v>
      </c>
      <c r="BF42" s="4" t="str">
        <f t="shared" si="24"/>
        <v>-</v>
      </c>
      <c r="BG42" s="4" t="str">
        <f t="shared" si="25"/>
        <v>-</v>
      </c>
      <c r="BH42" s="4" t="str">
        <f t="shared" si="26"/>
        <v>-</v>
      </c>
      <c r="BI42" s="4" t="str">
        <f t="shared" si="27"/>
        <v>-</v>
      </c>
      <c r="BJ42" s="4" t="s">
        <v>206</v>
      </c>
      <c r="BK42" s="4" t="s">
        <v>404</v>
      </c>
      <c r="BL42" s="4">
        <v>1</v>
      </c>
      <c r="BM42" s="4">
        <v>200</v>
      </c>
      <c r="BN42" s="4" t="s">
        <v>405</v>
      </c>
      <c r="BO42" s="4">
        <v>8781</v>
      </c>
      <c r="BP42" s="4">
        <f t="shared" si="44"/>
        <v>43.905000000000001</v>
      </c>
      <c r="BQ42" s="19">
        <v>4</v>
      </c>
      <c r="BR42" s="19">
        <v>1</v>
      </c>
      <c r="BS42" s="16">
        <v>1820</v>
      </c>
      <c r="BT42" t="s">
        <v>287</v>
      </c>
      <c r="BU42" t="str">
        <f t="shared" si="28"/>
        <v>-</v>
      </c>
      <c r="BV42" t="s">
        <v>287</v>
      </c>
      <c r="BW42" t="str">
        <f t="shared" si="29"/>
        <v>-</v>
      </c>
      <c r="BX42" t="s">
        <v>325</v>
      </c>
    </row>
    <row r="43" spans="1:76" x14ac:dyDescent="0.4">
      <c r="A43" s="3">
        <v>43</v>
      </c>
      <c r="B43" s="3">
        <v>43</v>
      </c>
      <c r="C43" s="44" t="s">
        <v>105</v>
      </c>
      <c r="D43" s="4" t="str">
        <f t="shared" si="30"/>
        <v>J157MT</v>
      </c>
      <c r="E43" s="4" t="s">
        <v>105</v>
      </c>
      <c r="F43" s="4" t="s">
        <v>250</v>
      </c>
      <c r="G43" s="4" t="s">
        <v>173</v>
      </c>
      <c r="H43" s="5">
        <v>4901755352115</v>
      </c>
      <c r="I43" s="5">
        <v>5</v>
      </c>
      <c r="J43" s="5"/>
      <c r="K43" s="5">
        <v>2</v>
      </c>
      <c r="L43" s="5">
        <v>1</v>
      </c>
      <c r="M43" s="4">
        <v>0</v>
      </c>
      <c r="N43" s="4">
        <v>1689</v>
      </c>
      <c r="O43" s="4">
        <v>1147</v>
      </c>
      <c r="P43" s="6">
        <f t="shared" si="31"/>
        <v>0.32089994079336881</v>
      </c>
      <c r="Q43" s="4" t="s">
        <v>287</v>
      </c>
      <c r="R43" s="4" t="s">
        <v>287</v>
      </c>
      <c r="S43" s="4" t="s">
        <v>287</v>
      </c>
      <c r="T43" s="4" t="s">
        <v>287</v>
      </c>
      <c r="U43" s="4" t="s">
        <v>287</v>
      </c>
      <c r="V43" s="4" t="s">
        <v>287</v>
      </c>
      <c r="W43" s="4" t="s">
        <v>287</v>
      </c>
      <c r="X43" s="4" t="s">
        <v>287</v>
      </c>
      <c r="Y43" s="4" t="s">
        <v>287</v>
      </c>
      <c r="Z43" s="4" t="s">
        <v>287</v>
      </c>
      <c r="AA43" s="4" t="s">
        <v>287</v>
      </c>
      <c r="AB43" s="4" t="s">
        <v>287</v>
      </c>
      <c r="AC43" s="4">
        <v>0</v>
      </c>
      <c r="AD43" s="4">
        <f t="shared" si="32"/>
        <v>0</v>
      </c>
      <c r="AE43" s="4">
        <v>1368</v>
      </c>
      <c r="AF43" s="4">
        <f t="shared" si="33"/>
        <v>1368</v>
      </c>
      <c r="AG43" s="4"/>
      <c r="AH43" s="21">
        <f t="shared" si="34"/>
        <v>2014</v>
      </c>
      <c r="AI43" s="6">
        <f t="shared" si="35"/>
        <v>0.32075471698113212</v>
      </c>
      <c r="AJ43" s="33">
        <v>0.75</v>
      </c>
      <c r="AK43" s="4">
        <f t="shared" si="36"/>
        <v>2195.25</v>
      </c>
      <c r="AL43" s="33">
        <f t="shared" si="37"/>
        <v>2618.2231909328684</v>
      </c>
      <c r="AM43" s="6">
        <f t="shared" si="38"/>
        <v>0.47750825646281747</v>
      </c>
      <c r="AN43" s="7">
        <v>2200</v>
      </c>
      <c r="AO43" s="6">
        <f t="shared" si="39"/>
        <v>0.37818181818181817</v>
      </c>
      <c r="AP43" s="4">
        <f t="shared" si="40"/>
        <v>832</v>
      </c>
      <c r="AQ43" s="28"/>
      <c r="AR43" s="6"/>
      <c r="AS43" s="6"/>
      <c r="AT43" s="6" t="str">
        <f t="shared" si="41"/>
        <v>-</v>
      </c>
      <c r="AU43" s="6">
        <f t="shared" si="42"/>
        <v>1.3025458851391356</v>
      </c>
      <c r="AV43" s="6">
        <f t="shared" si="43"/>
        <v>1.1926765475152572</v>
      </c>
      <c r="AW43" s="6" t="str">
        <f>IFERROR(1-AF43/AX43,"-")</f>
        <v>-</v>
      </c>
      <c r="AX43" s="4" t="str">
        <f>IFERROR(ROUND($AN43*Q43/$N43,0),"-")</f>
        <v>-</v>
      </c>
      <c r="AY43" s="4" t="str">
        <f>IF(R43="","-",R43)</f>
        <v>-</v>
      </c>
      <c r="AZ43" s="4" t="str">
        <f>IF(S43="","-",S43)</f>
        <v>-</v>
      </c>
      <c r="BA43" s="4" t="str">
        <f>IFERROR(ROUND($AN43*T43/$N43,0),"-")</f>
        <v>-</v>
      </c>
      <c r="BB43" s="4" t="str">
        <f>IF(U43="","-",U43)</f>
        <v>-</v>
      </c>
      <c r="BC43" s="4" t="str">
        <f>IF(V43="","-",V43)</f>
        <v>-</v>
      </c>
      <c r="BD43" s="4" t="str">
        <f>IFERROR(ROUND($AN43*W43/$N43,0),"-")</f>
        <v>-</v>
      </c>
      <c r="BE43" s="4" t="str">
        <f>IF(X43="","-",X43)</f>
        <v>-</v>
      </c>
      <c r="BF43" s="4" t="str">
        <f>IF(Y43="","-",Y43)</f>
        <v>-</v>
      </c>
      <c r="BG43" s="4" t="str">
        <f>IFERROR(ROUND($AN43*Z43/$N43,0),"-")</f>
        <v>-</v>
      </c>
      <c r="BH43" s="4" t="str">
        <f>IF(AA43="","-",AA43)</f>
        <v>-</v>
      </c>
      <c r="BI43" s="4" t="str">
        <f>IF(AB43="","-",AB43)</f>
        <v>-</v>
      </c>
      <c r="BJ43" s="4" t="s">
        <v>206</v>
      </c>
      <c r="BK43" s="4" t="s">
        <v>404</v>
      </c>
      <c r="BL43" s="4">
        <v>1</v>
      </c>
      <c r="BM43" s="4">
        <v>4</v>
      </c>
      <c r="BN43" s="4" t="s">
        <v>405</v>
      </c>
      <c r="BO43" s="4">
        <v>8781</v>
      </c>
      <c r="BP43" s="4">
        <f t="shared" si="44"/>
        <v>2195.25</v>
      </c>
      <c r="BQ43" s="19">
        <v>4</v>
      </c>
      <c r="BR43" s="19">
        <v>8</v>
      </c>
      <c r="BS43" s="16">
        <v>1820</v>
      </c>
      <c r="BT43" t="s">
        <v>287</v>
      </c>
      <c r="BU43" t="str">
        <f>IFERROR(BT43*AV43,"-")</f>
        <v>-</v>
      </c>
      <c r="BV43" t="s">
        <v>287</v>
      </c>
      <c r="BW43" t="str">
        <f>IFERROR(BV43*AV43,"-")</f>
        <v>-</v>
      </c>
      <c r="BX43" t="s">
        <v>325</v>
      </c>
    </row>
    <row r="44" spans="1:76" x14ac:dyDescent="0.4">
      <c r="A44" s="3">
        <v>19</v>
      </c>
      <c r="B44" s="3">
        <v>19</v>
      </c>
      <c r="C44" s="4" t="s">
        <v>84</v>
      </c>
      <c r="D44" s="4" t="str">
        <f t="shared" si="30"/>
        <v>JY2641</v>
      </c>
      <c r="E44" s="4" t="s">
        <v>84</v>
      </c>
      <c r="F44" s="4" t="s">
        <v>226</v>
      </c>
      <c r="G44" s="4" t="s">
        <v>149</v>
      </c>
      <c r="H44" s="5">
        <v>4901755357240</v>
      </c>
      <c r="I44" s="5">
        <v>5</v>
      </c>
      <c r="J44" s="5"/>
      <c r="K44" s="5">
        <v>1</v>
      </c>
      <c r="L44" s="5">
        <v>1</v>
      </c>
      <c r="M44" s="4">
        <v>0</v>
      </c>
      <c r="N44" s="4">
        <v>833</v>
      </c>
      <c r="O44" s="4">
        <v>620</v>
      </c>
      <c r="P44" s="6">
        <f t="shared" si="31"/>
        <v>0.25570228091236491</v>
      </c>
      <c r="Q44" s="4" t="s">
        <v>287</v>
      </c>
      <c r="R44" s="4" t="s">
        <v>287</v>
      </c>
      <c r="S44" s="4" t="s">
        <v>287</v>
      </c>
      <c r="T44" s="4" t="s">
        <v>287</v>
      </c>
      <c r="U44" s="4" t="s">
        <v>287</v>
      </c>
      <c r="V44" s="4" t="s">
        <v>287</v>
      </c>
      <c r="W44" s="4" t="s">
        <v>287</v>
      </c>
      <c r="X44" s="4" t="s">
        <v>287</v>
      </c>
      <c r="Y44" s="4" t="s">
        <v>287</v>
      </c>
      <c r="Z44" s="4" t="s">
        <v>287</v>
      </c>
      <c r="AA44" s="4" t="s">
        <v>287</v>
      </c>
      <c r="AB44" s="4" t="s">
        <v>287</v>
      </c>
      <c r="AC44" s="4">
        <v>0</v>
      </c>
      <c r="AD44" s="4">
        <f t="shared" si="32"/>
        <v>0</v>
      </c>
      <c r="AE44" s="4">
        <v>730</v>
      </c>
      <c r="AF44" s="4">
        <f t="shared" si="33"/>
        <v>730</v>
      </c>
      <c r="AG44" s="4"/>
      <c r="AH44" s="21">
        <f t="shared" si="34"/>
        <v>981</v>
      </c>
      <c r="AI44" s="6">
        <f t="shared" si="35"/>
        <v>0.25586136595310904</v>
      </c>
      <c r="AJ44" s="33">
        <v>12</v>
      </c>
      <c r="AK44" s="4">
        <f t="shared" si="36"/>
        <v>1160.625</v>
      </c>
      <c r="AL44" s="33">
        <f t="shared" si="37"/>
        <v>1366.5423387096776</v>
      </c>
      <c r="AM44" s="6">
        <f t="shared" si="38"/>
        <v>0.46580506192784066</v>
      </c>
      <c r="AN44" s="7">
        <v>1150</v>
      </c>
      <c r="AO44" s="6">
        <f t="shared" si="39"/>
        <v>0.36521739130434783</v>
      </c>
      <c r="AP44" s="4">
        <f t="shared" si="40"/>
        <v>420</v>
      </c>
      <c r="AQ44" s="28"/>
      <c r="AR44" s="6"/>
      <c r="AS44" s="6"/>
      <c r="AT44" s="6" t="str">
        <f t="shared" si="41"/>
        <v>-</v>
      </c>
      <c r="AU44" s="6">
        <f t="shared" si="42"/>
        <v>1.3805522208883554</v>
      </c>
      <c r="AV44" s="6">
        <f t="shared" si="43"/>
        <v>1.1774193548387097</v>
      </c>
      <c r="AW44" s="6" t="str">
        <f t="shared" si="15"/>
        <v>-</v>
      </c>
      <c r="AX44" s="4" t="str">
        <f t="shared" si="16"/>
        <v>-</v>
      </c>
      <c r="AY44" s="4" t="str">
        <f t="shared" si="17"/>
        <v>-</v>
      </c>
      <c r="AZ44" s="4" t="str">
        <f t="shared" si="18"/>
        <v>-</v>
      </c>
      <c r="BA44" s="4" t="str">
        <f t="shared" si="19"/>
        <v>-</v>
      </c>
      <c r="BB44" s="4" t="str">
        <f t="shared" si="20"/>
        <v>-</v>
      </c>
      <c r="BC44" s="4" t="str">
        <f t="shared" si="21"/>
        <v>-</v>
      </c>
      <c r="BD44" s="4" t="str">
        <f t="shared" si="22"/>
        <v>-</v>
      </c>
      <c r="BE44" s="4" t="str">
        <f t="shared" si="23"/>
        <v>-</v>
      </c>
      <c r="BF44" s="4" t="str">
        <f t="shared" si="24"/>
        <v>-</v>
      </c>
      <c r="BG44" s="4" t="str">
        <f t="shared" si="25"/>
        <v>-</v>
      </c>
      <c r="BH44" s="4" t="str">
        <f t="shared" si="26"/>
        <v>-</v>
      </c>
      <c r="BI44" s="4" t="str">
        <f t="shared" si="27"/>
        <v>-</v>
      </c>
      <c r="BJ44" s="4">
        <v>0</v>
      </c>
      <c r="BK44" s="4" t="s">
        <v>406</v>
      </c>
      <c r="BL44" s="4">
        <v>1</v>
      </c>
      <c r="BM44" s="4">
        <v>8</v>
      </c>
      <c r="BN44" s="4" t="s">
        <v>407</v>
      </c>
      <c r="BO44" s="4">
        <v>9285</v>
      </c>
      <c r="BP44" s="4">
        <f t="shared" si="44"/>
        <v>1160.625</v>
      </c>
      <c r="BQ44" s="19">
        <v>4</v>
      </c>
      <c r="BR44" s="19">
        <v>1</v>
      </c>
      <c r="BS44" s="16">
        <v>1820</v>
      </c>
      <c r="BT44" t="s">
        <v>287</v>
      </c>
      <c r="BU44" t="str">
        <f t="shared" si="28"/>
        <v>-</v>
      </c>
      <c r="BV44" t="s">
        <v>287</v>
      </c>
      <c r="BW44" t="str">
        <f t="shared" si="29"/>
        <v>-</v>
      </c>
      <c r="BX44" t="s">
        <v>326</v>
      </c>
    </row>
    <row r="45" spans="1:76" x14ac:dyDescent="0.4">
      <c r="A45" s="3">
        <v>21</v>
      </c>
      <c r="B45" s="3">
        <v>21</v>
      </c>
      <c r="C45" s="4">
        <v>196628</v>
      </c>
      <c r="D45" s="4" t="str">
        <f t="shared" si="30"/>
        <v>196628</v>
      </c>
      <c r="E45" s="4">
        <v>196628</v>
      </c>
      <c r="F45" s="4" t="s">
        <v>228</v>
      </c>
      <c r="G45" s="4" t="s">
        <v>151</v>
      </c>
      <c r="H45" s="5">
        <v>4901755350838</v>
      </c>
      <c r="I45" s="5">
        <v>5</v>
      </c>
      <c r="J45" s="5"/>
      <c r="K45" s="5">
        <v>1</v>
      </c>
      <c r="L45" s="5">
        <v>1</v>
      </c>
      <c r="M45" s="4">
        <v>0</v>
      </c>
      <c r="N45" s="4">
        <v>889</v>
      </c>
      <c r="O45" s="4">
        <v>637</v>
      </c>
      <c r="P45" s="6">
        <f t="shared" si="31"/>
        <v>0.28346456692913391</v>
      </c>
      <c r="Q45" s="4" t="s">
        <v>287</v>
      </c>
      <c r="R45" s="4" t="s">
        <v>287</v>
      </c>
      <c r="S45" s="4" t="s">
        <v>287</v>
      </c>
      <c r="T45" s="4" t="s">
        <v>287</v>
      </c>
      <c r="U45" s="4" t="s">
        <v>287</v>
      </c>
      <c r="V45" s="4" t="s">
        <v>287</v>
      </c>
      <c r="W45" s="4" t="s">
        <v>287</v>
      </c>
      <c r="X45" s="4" t="s">
        <v>287</v>
      </c>
      <c r="Y45" s="4" t="s">
        <v>287</v>
      </c>
      <c r="Z45" s="4" t="s">
        <v>287</v>
      </c>
      <c r="AA45" s="4" t="s">
        <v>287</v>
      </c>
      <c r="AB45" s="4" t="s">
        <v>287</v>
      </c>
      <c r="AC45" s="4">
        <v>0</v>
      </c>
      <c r="AD45" s="4">
        <f t="shared" si="32"/>
        <v>0</v>
      </c>
      <c r="AE45" s="4">
        <v>747</v>
      </c>
      <c r="AF45" s="4">
        <f t="shared" si="33"/>
        <v>747</v>
      </c>
      <c r="AG45" s="4"/>
      <c r="AH45" s="21">
        <f t="shared" si="34"/>
        <v>1043</v>
      </c>
      <c r="AI45" s="6">
        <f t="shared" si="35"/>
        <v>0.28379674017257905</v>
      </c>
      <c r="AJ45" s="33">
        <v>17.25</v>
      </c>
      <c r="AK45" s="4">
        <f t="shared" si="36"/>
        <v>1239</v>
      </c>
      <c r="AL45" s="33">
        <f t="shared" si="37"/>
        <v>1452.9560439560439</v>
      </c>
      <c r="AM45" s="6">
        <f t="shared" si="38"/>
        <v>0.48587570621468923</v>
      </c>
      <c r="AN45" s="7">
        <v>1200</v>
      </c>
      <c r="AO45" s="6">
        <f t="shared" si="39"/>
        <v>0.37749999999999995</v>
      </c>
      <c r="AP45" s="4">
        <f t="shared" si="40"/>
        <v>453</v>
      </c>
      <c r="AQ45" s="28"/>
      <c r="AR45" s="6"/>
      <c r="AS45" s="6"/>
      <c r="AT45" s="6" t="str">
        <f t="shared" si="41"/>
        <v>-</v>
      </c>
      <c r="AU45" s="6">
        <f t="shared" si="42"/>
        <v>1.3498312710911136</v>
      </c>
      <c r="AV45" s="6">
        <f t="shared" si="43"/>
        <v>1.1726844583987441</v>
      </c>
      <c r="AW45" s="6" t="str">
        <f t="shared" si="15"/>
        <v>-</v>
      </c>
      <c r="AX45" s="4" t="str">
        <f t="shared" si="16"/>
        <v>-</v>
      </c>
      <c r="AY45" s="4" t="str">
        <f t="shared" si="17"/>
        <v>-</v>
      </c>
      <c r="AZ45" s="4" t="str">
        <f t="shared" si="18"/>
        <v>-</v>
      </c>
      <c r="BA45" s="4" t="str">
        <f t="shared" si="19"/>
        <v>-</v>
      </c>
      <c r="BB45" s="4" t="str">
        <f t="shared" si="20"/>
        <v>-</v>
      </c>
      <c r="BC45" s="4" t="str">
        <f t="shared" si="21"/>
        <v>-</v>
      </c>
      <c r="BD45" s="4" t="str">
        <f t="shared" si="22"/>
        <v>-</v>
      </c>
      <c r="BE45" s="4" t="str">
        <f t="shared" si="23"/>
        <v>-</v>
      </c>
      <c r="BF45" s="4" t="str">
        <f t="shared" si="24"/>
        <v>-</v>
      </c>
      <c r="BG45" s="4" t="str">
        <f t="shared" si="25"/>
        <v>-</v>
      </c>
      <c r="BH45" s="4" t="str">
        <f t="shared" si="26"/>
        <v>-</v>
      </c>
      <c r="BI45" s="4" t="str">
        <f t="shared" si="27"/>
        <v>-</v>
      </c>
      <c r="BJ45" s="4" t="s">
        <v>205</v>
      </c>
      <c r="BK45" s="4" t="s">
        <v>408</v>
      </c>
      <c r="BL45" s="4"/>
      <c r="BM45" s="4"/>
      <c r="BN45" s="4" t="s">
        <v>401</v>
      </c>
      <c r="BO45" s="4">
        <v>1239</v>
      </c>
      <c r="BP45" s="4">
        <f t="shared" si="44"/>
        <v>1239</v>
      </c>
      <c r="BQ45" s="19">
        <v>4</v>
      </c>
      <c r="BR45" s="19">
        <v>1</v>
      </c>
      <c r="BS45" s="16">
        <v>1820</v>
      </c>
      <c r="BT45">
        <v>1186</v>
      </c>
      <c r="BU45">
        <f t="shared" si="28"/>
        <v>1390.8037676609106</v>
      </c>
      <c r="BV45" t="s">
        <v>287</v>
      </c>
      <c r="BW45" t="str">
        <f t="shared" si="29"/>
        <v>-</v>
      </c>
      <c r="BX45" t="s">
        <v>327</v>
      </c>
    </row>
    <row r="46" spans="1:76" x14ac:dyDescent="0.4">
      <c r="A46" s="3">
        <v>23</v>
      </c>
      <c r="B46" s="3">
        <v>23</v>
      </c>
      <c r="C46" s="4" t="s">
        <v>87</v>
      </c>
      <c r="D46" s="4" t="str">
        <f t="shared" si="30"/>
        <v>JY2640</v>
      </c>
      <c r="E46" s="4" t="s">
        <v>87</v>
      </c>
      <c r="F46" s="4" t="s">
        <v>230</v>
      </c>
      <c r="G46" s="4" t="s">
        <v>153</v>
      </c>
      <c r="H46" s="5">
        <v>4901755352092</v>
      </c>
      <c r="I46" s="5">
        <v>5</v>
      </c>
      <c r="J46" s="5"/>
      <c r="K46" s="5">
        <v>1</v>
      </c>
      <c r="L46" s="5">
        <v>1</v>
      </c>
      <c r="M46" s="4">
        <v>0</v>
      </c>
      <c r="N46" s="4">
        <v>885</v>
      </c>
      <c r="O46" s="4">
        <v>663</v>
      </c>
      <c r="P46" s="6">
        <f t="shared" si="31"/>
        <v>0.25084745762711869</v>
      </c>
      <c r="Q46" s="4" t="s">
        <v>287</v>
      </c>
      <c r="R46" s="4" t="s">
        <v>287</v>
      </c>
      <c r="S46" s="4" t="s">
        <v>287</v>
      </c>
      <c r="T46" s="4" t="s">
        <v>287</v>
      </c>
      <c r="U46" s="4" t="s">
        <v>287</v>
      </c>
      <c r="V46" s="4" t="s">
        <v>287</v>
      </c>
      <c r="W46" s="4" t="s">
        <v>287</v>
      </c>
      <c r="X46" s="4" t="s">
        <v>287</v>
      </c>
      <c r="Y46" s="4" t="s">
        <v>287</v>
      </c>
      <c r="Z46" s="4" t="s">
        <v>287</v>
      </c>
      <c r="AA46" s="4" t="s">
        <v>287</v>
      </c>
      <c r="AB46" s="4" t="s">
        <v>287</v>
      </c>
      <c r="AC46" s="4">
        <v>0</v>
      </c>
      <c r="AD46" s="4">
        <f t="shared" si="32"/>
        <v>0</v>
      </c>
      <c r="AE46" s="4">
        <v>773</v>
      </c>
      <c r="AF46" s="4">
        <f t="shared" si="33"/>
        <v>773</v>
      </c>
      <c r="AG46" s="4"/>
      <c r="AH46" s="21">
        <f t="shared" si="34"/>
        <v>1032</v>
      </c>
      <c r="AI46" s="6">
        <f t="shared" si="35"/>
        <v>0.25096899224806202</v>
      </c>
      <c r="AJ46" s="33">
        <v>2.5</v>
      </c>
      <c r="AK46" s="4">
        <f t="shared" si="36"/>
        <v>1043</v>
      </c>
      <c r="AL46" s="33">
        <f t="shared" si="37"/>
        <v>1216.0467571644042</v>
      </c>
      <c r="AM46" s="6">
        <f t="shared" si="38"/>
        <v>0.3643336529242569</v>
      </c>
      <c r="AN46" s="7">
        <v>1200</v>
      </c>
      <c r="AO46" s="6">
        <f t="shared" si="39"/>
        <v>0.35583333333333333</v>
      </c>
      <c r="AP46" s="4">
        <f t="shared" si="40"/>
        <v>427</v>
      </c>
      <c r="AQ46" s="28"/>
      <c r="AR46" s="6"/>
      <c r="AS46" s="6"/>
      <c r="AT46" s="6" t="str">
        <f t="shared" si="41"/>
        <v>-</v>
      </c>
      <c r="AU46" s="6">
        <f t="shared" si="42"/>
        <v>1.3559322033898304</v>
      </c>
      <c r="AV46" s="6">
        <f t="shared" si="43"/>
        <v>1.1659125188536954</v>
      </c>
      <c r="AW46" s="6" t="str">
        <f t="shared" si="15"/>
        <v>-</v>
      </c>
      <c r="AX46" s="4" t="str">
        <f t="shared" si="16"/>
        <v>-</v>
      </c>
      <c r="AY46" s="4" t="str">
        <f t="shared" si="17"/>
        <v>-</v>
      </c>
      <c r="AZ46" s="4" t="str">
        <f t="shared" si="18"/>
        <v>-</v>
      </c>
      <c r="BA46" s="4" t="str">
        <f t="shared" si="19"/>
        <v>-</v>
      </c>
      <c r="BB46" s="4" t="str">
        <f t="shared" si="20"/>
        <v>-</v>
      </c>
      <c r="BC46" s="4" t="str">
        <f t="shared" si="21"/>
        <v>-</v>
      </c>
      <c r="BD46" s="4" t="str">
        <f t="shared" si="22"/>
        <v>-</v>
      </c>
      <c r="BE46" s="4" t="str">
        <f t="shared" si="23"/>
        <v>-</v>
      </c>
      <c r="BF46" s="4" t="str">
        <f t="shared" si="24"/>
        <v>-</v>
      </c>
      <c r="BG46" s="4" t="str">
        <f t="shared" si="25"/>
        <v>-</v>
      </c>
      <c r="BH46" s="4" t="str">
        <f t="shared" si="26"/>
        <v>-</v>
      </c>
      <c r="BI46" s="4" t="str">
        <f t="shared" si="27"/>
        <v>-</v>
      </c>
      <c r="BJ46" s="4">
        <v>0</v>
      </c>
      <c r="BK46" s="4" t="s">
        <v>409</v>
      </c>
      <c r="BL46" s="4">
        <v>1</v>
      </c>
      <c r="BM46" s="4">
        <v>8</v>
      </c>
      <c r="BN46" s="4" t="s">
        <v>407</v>
      </c>
      <c r="BO46" s="4">
        <v>8344</v>
      </c>
      <c r="BP46" s="4">
        <f t="shared" si="44"/>
        <v>1043</v>
      </c>
      <c r="BQ46" s="19">
        <v>4</v>
      </c>
      <c r="BR46" s="19">
        <v>1</v>
      </c>
      <c r="BS46" s="16">
        <v>1820</v>
      </c>
      <c r="BT46" t="s">
        <v>287</v>
      </c>
      <c r="BU46" t="str">
        <f t="shared" si="28"/>
        <v>-</v>
      </c>
      <c r="BV46" t="s">
        <v>287</v>
      </c>
      <c r="BW46" t="str">
        <f t="shared" si="29"/>
        <v>-</v>
      </c>
      <c r="BX46" t="s">
        <v>328</v>
      </c>
    </row>
    <row r="47" spans="1:76" x14ac:dyDescent="0.4">
      <c r="A47" s="3">
        <v>25</v>
      </c>
      <c r="B47" s="3">
        <v>25</v>
      </c>
      <c r="C47" s="4">
        <v>202322</v>
      </c>
      <c r="D47" s="4" t="str">
        <f t="shared" si="30"/>
        <v>202322</v>
      </c>
      <c r="E47" s="4">
        <v>202322</v>
      </c>
      <c r="F47" s="4" t="s">
        <v>232</v>
      </c>
      <c r="G47" s="4" t="s">
        <v>155</v>
      </c>
      <c r="H47" s="5">
        <v>4901755350821</v>
      </c>
      <c r="I47" s="5">
        <v>5</v>
      </c>
      <c r="J47" s="5"/>
      <c r="K47" s="5">
        <v>1</v>
      </c>
      <c r="L47" s="5">
        <v>1</v>
      </c>
      <c r="M47" s="4">
        <v>0</v>
      </c>
      <c r="N47" s="4">
        <v>1030</v>
      </c>
      <c r="O47" s="4">
        <v>747</v>
      </c>
      <c r="P47" s="6">
        <f t="shared" si="31"/>
        <v>0.27475728155339807</v>
      </c>
      <c r="Q47" s="4" t="s">
        <v>287</v>
      </c>
      <c r="R47" s="4" t="s">
        <v>287</v>
      </c>
      <c r="S47" s="4" t="s">
        <v>287</v>
      </c>
      <c r="T47" s="4" t="s">
        <v>287</v>
      </c>
      <c r="U47" s="4" t="s">
        <v>287</v>
      </c>
      <c r="V47" s="4" t="s">
        <v>287</v>
      </c>
      <c r="W47" s="4" t="s">
        <v>287</v>
      </c>
      <c r="X47" s="4" t="s">
        <v>287</v>
      </c>
      <c r="Y47" s="4" t="s">
        <v>287</v>
      </c>
      <c r="Z47" s="4" t="s">
        <v>287</v>
      </c>
      <c r="AA47" s="4" t="s">
        <v>287</v>
      </c>
      <c r="AB47" s="4" t="s">
        <v>287</v>
      </c>
      <c r="AC47" s="4">
        <v>0</v>
      </c>
      <c r="AD47" s="4">
        <f t="shared" si="32"/>
        <v>0</v>
      </c>
      <c r="AE47" s="4">
        <v>798</v>
      </c>
      <c r="AF47" s="4">
        <f t="shared" si="33"/>
        <v>798</v>
      </c>
      <c r="AG47" s="4"/>
      <c r="AH47" s="21">
        <f t="shared" si="34"/>
        <v>1100</v>
      </c>
      <c r="AI47" s="6">
        <f t="shared" si="35"/>
        <v>0.27454545454545454</v>
      </c>
      <c r="AJ47" s="33">
        <v>4.75</v>
      </c>
      <c r="AK47" s="4">
        <f t="shared" si="36"/>
        <v>1300</v>
      </c>
      <c r="AL47" s="33">
        <f t="shared" si="37"/>
        <v>1388.7550200803212</v>
      </c>
      <c r="AM47" s="6">
        <f t="shared" si="38"/>
        <v>0.42538461538461536</v>
      </c>
      <c r="AN47" s="7">
        <v>1280</v>
      </c>
      <c r="AO47" s="6">
        <f t="shared" si="39"/>
        <v>0.37656250000000002</v>
      </c>
      <c r="AP47" s="4">
        <f t="shared" si="40"/>
        <v>482</v>
      </c>
      <c r="AQ47" s="28"/>
      <c r="AR47" s="6"/>
      <c r="AS47" s="6"/>
      <c r="AT47" s="6" t="str">
        <f t="shared" si="41"/>
        <v>-</v>
      </c>
      <c r="AU47" s="6">
        <f t="shared" si="42"/>
        <v>1.2427184466019416</v>
      </c>
      <c r="AV47" s="6">
        <f t="shared" si="43"/>
        <v>1.0682730923694779</v>
      </c>
      <c r="AW47" s="6" t="str">
        <f t="shared" si="15"/>
        <v>-</v>
      </c>
      <c r="AX47" s="4" t="str">
        <f t="shared" si="16"/>
        <v>-</v>
      </c>
      <c r="AY47" s="4" t="str">
        <f t="shared" si="17"/>
        <v>-</v>
      </c>
      <c r="AZ47" s="4" t="str">
        <f t="shared" si="18"/>
        <v>-</v>
      </c>
      <c r="BA47" s="4" t="str">
        <f t="shared" si="19"/>
        <v>-</v>
      </c>
      <c r="BB47" s="4" t="str">
        <f t="shared" si="20"/>
        <v>-</v>
      </c>
      <c r="BC47" s="4" t="str">
        <f t="shared" si="21"/>
        <v>-</v>
      </c>
      <c r="BD47" s="4" t="str">
        <f t="shared" si="22"/>
        <v>-</v>
      </c>
      <c r="BE47" s="4" t="str">
        <f t="shared" si="23"/>
        <v>-</v>
      </c>
      <c r="BF47" s="4" t="str">
        <f t="shared" si="24"/>
        <v>-</v>
      </c>
      <c r="BG47" s="4" t="str">
        <f t="shared" si="25"/>
        <v>-</v>
      </c>
      <c r="BH47" s="4" t="str">
        <f t="shared" si="26"/>
        <v>-</v>
      </c>
      <c r="BI47" s="4" t="str">
        <f t="shared" si="27"/>
        <v>-</v>
      </c>
      <c r="BJ47" s="4" t="s">
        <v>205</v>
      </c>
      <c r="BK47" s="4" t="s">
        <v>410</v>
      </c>
      <c r="BL47" s="4"/>
      <c r="BM47" s="4"/>
      <c r="BN47" s="4" t="s">
        <v>401</v>
      </c>
      <c r="BO47" s="4">
        <v>1300</v>
      </c>
      <c r="BP47" s="4">
        <f t="shared" si="44"/>
        <v>1300</v>
      </c>
      <c r="BQ47" s="19">
        <v>4</v>
      </c>
      <c r="BR47" s="19">
        <v>1</v>
      </c>
      <c r="BS47" s="16">
        <v>1820</v>
      </c>
      <c r="BT47" t="s">
        <v>287</v>
      </c>
      <c r="BU47" t="str">
        <f t="shared" si="28"/>
        <v>-</v>
      </c>
      <c r="BV47">
        <v>1216</v>
      </c>
      <c r="BW47">
        <f t="shared" si="29"/>
        <v>1299.0200803212851</v>
      </c>
      <c r="BX47" t="s">
        <v>329</v>
      </c>
    </row>
    <row r="48" spans="1:76" x14ac:dyDescent="0.4">
      <c r="A48" s="3">
        <v>39</v>
      </c>
      <c r="B48" s="3">
        <v>39</v>
      </c>
      <c r="C48" s="4" t="s">
        <v>102</v>
      </c>
      <c r="D48" s="4" t="str">
        <f t="shared" si="30"/>
        <v>JY2466</v>
      </c>
      <c r="E48" s="4" t="s">
        <v>102</v>
      </c>
      <c r="F48" s="4" t="s">
        <v>246</v>
      </c>
      <c r="G48" s="4" t="s">
        <v>169</v>
      </c>
      <c r="H48" s="5">
        <v>4901755343038</v>
      </c>
      <c r="I48" s="5">
        <v>5</v>
      </c>
      <c r="J48" s="5"/>
      <c r="K48" s="5">
        <v>1</v>
      </c>
      <c r="L48" s="5">
        <v>1</v>
      </c>
      <c r="M48" s="4">
        <v>1870</v>
      </c>
      <c r="N48" s="4">
        <v>1303</v>
      </c>
      <c r="O48" s="4">
        <v>984</v>
      </c>
      <c r="P48" s="6">
        <f t="shared" si="31"/>
        <v>0.2448196469685342</v>
      </c>
      <c r="Q48" s="4" t="s">
        <v>287</v>
      </c>
      <c r="R48" s="4" t="s">
        <v>287</v>
      </c>
      <c r="S48" s="4" t="s">
        <v>287</v>
      </c>
      <c r="T48" s="4" t="s">
        <v>287</v>
      </c>
      <c r="U48" s="4" t="s">
        <v>287</v>
      </c>
      <c r="V48" s="4" t="s">
        <v>287</v>
      </c>
      <c r="W48" s="4" t="s">
        <v>287</v>
      </c>
      <c r="X48" s="4" t="s">
        <v>287</v>
      </c>
      <c r="Y48" s="4" t="s">
        <v>287</v>
      </c>
      <c r="Z48" s="4" t="s">
        <v>287</v>
      </c>
      <c r="AA48" s="4" t="s">
        <v>287</v>
      </c>
      <c r="AB48" s="4" t="s">
        <v>287</v>
      </c>
      <c r="AC48" s="4">
        <v>0</v>
      </c>
      <c r="AD48" s="4">
        <f t="shared" si="32"/>
        <v>0</v>
      </c>
      <c r="AE48" s="4">
        <v>1296</v>
      </c>
      <c r="AF48" s="4">
        <f t="shared" si="33"/>
        <v>1296</v>
      </c>
      <c r="AG48" s="4"/>
      <c r="AH48" s="21">
        <f t="shared" si="34"/>
        <v>1716</v>
      </c>
      <c r="AI48" s="6">
        <f t="shared" si="35"/>
        <v>0.24475524475524479</v>
      </c>
      <c r="AJ48" s="33">
        <v>0.25</v>
      </c>
      <c r="AK48" s="4" t="str">
        <f t="shared" si="36"/>
        <v>-</v>
      </c>
      <c r="AL48" s="33" t="str">
        <f t="shared" si="37"/>
        <v>-</v>
      </c>
      <c r="AM48" s="6" t="str">
        <f t="shared" si="38"/>
        <v>-</v>
      </c>
      <c r="AN48" s="7">
        <v>1980</v>
      </c>
      <c r="AO48" s="6">
        <f t="shared" si="39"/>
        <v>0.34545454545454546</v>
      </c>
      <c r="AP48" s="4">
        <f t="shared" si="40"/>
        <v>684</v>
      </c>
      <c r="AQ48" s="28"/>
      <c r="AR48" s="6"/>
      <c r="AS48" s="6"/>
      <c r="AT48" s="6">
        <f t="shared" si="41"/>
        <v>0</v>
      </c>
      <c r="AU48" s="6">
        <f t="shared" si="42"/>
        <v>1.5195702225633154</v>
      </c>
      <c r="AV48" s="6">
        <f t="shared" si="43"/>
        <v>1.3170731707317074</v>
      </c>
      <c r="AW48" s="6" t="str">
        <f t="shared" si="15"/>
        <v>-</v>
      </c>
      <c r="AX48" s="4" t="str">
        <f t="shared" si="16"/>
        <v>-</v>
      </c>
      <c r="AY48" s="4" t="str">
        <f t="shared" si="17"/>
        <v>-</v>
      </c>
      <c r="AZ48" s="4" t="str">
        <f t="shared" si="18"/>
        <v>-</v>
      </c>
      <c r="BA48" s="4" t="str">
        <f t="shared" si="19"/>
        <v>-</v>
      </c>
      <c r="BB48" s="4" t="str">
        <f t="shared" si="20"/>
        <v>-</v>
      </c>
      <c r="BC48" s="4" t="str">
        <f t="shared" si="21"/>
        <v>-</v>
      </c>
      <c r="BD48" s="4" t="str">
        <f t="shared" si="22"/>
        <v>-</v>
      </c>
      <c r="BE48" s="4" t="str">
        <f t="shared" si="23"/>
        <v>-</v>
      </c>
      <c r="BF48" s="4" t="str">
        <f t="shared" si="24"/>
        <v>-</v>
      </c>
      <c r="BG48" s="4" t="str">
        <f t="shared" si="25"/>
        <v>-</v>
      </c>
      <c r="BH48" s="4" t="str">
        <f t="shared" si="26"/>
        <v>-</v>
      </c>
      <c r="BI48" s="4" t="str">
        <f t="shared" si="27"/>
        <v>-</v>
      </c>
      <c r="BJ48" s="4">
        <v>0</v>
      </c>
      <c r="BK48" s="4" t="s">
        <v>287</v>
      </c>
      <c r="BL48" s="4"/>
      <c r="BM48" s="4"/>
      <c r="BN48" s="4" t="s">
        <v>287</v>
      </c>
      <c r="BO48" s="4" t="s">
        <v>287</v>
      </c>
      <c r="BP48" s="4" t="str">
        <f t="shared" si="44"/>
        <v>-</v>
      </c>
      <c r="BQ48" s="19">
        <v>4</v>
      </c>
      <c r="BR48" s="19">
        <v>8</v>
      </c>
      <c r="BS48" s="16">
        <v>1820</v>
      </c>
      <c r="BT48" t="s">
        <v>287</v>
      </c>
      <c r="BU48" t="str">
        <f t="shared" si="28"/>
        <v>-</v>
      </c>
      <c r="BV48" t="s">
        <v>287</v>
      </c>
      <c r="BW48" t="str">
        <f t="shared" si="29"/>
        <v>-</v>
      </c>
      <c r="BX48" t="s">
        <v>287</v>
      </c>
    </row>
    <row r="49" spans="1:76" x14ac:dyDescent="0.4">
      <c r="A49" s="3">
        <v>40</v>
      </c>
      <c r="B49" s="3">
        <v>40</v>
      </c>
      <c r="C49" s="4" t="s">
        <v>103</v>
      </c>
      <c r="D49" s="4" t="str">
        <f t="shared" si="30"/>
        <v>JY2492</v>
      </c>
      <c r="E49" s="4" t="s">
        <v>103</v>
      </c>
      <c r="F49" s="4" t="s">
        <v>247</v>
      </c>
      <c r="G49" s="4" t="s">
        <v>170</v>
      </c>
      <c r="H49" s="5">
        <v>4901755354294</v>
      </c>
      <c r="I49" s="5">
        <v>5</v>
      </c>
      <c r="J49" s="5"/>
      <c r="K49" s="5">
        <v>1</v>
      </c>
      <c r="L49" s="5">
        <v>1</v>
      </c>
      <c r="M49" s="4">
        <v>1870</v>
      </c>
      <c r="N49" s="4">
        <v>1316</v>
      </c>
      <c r="O49" s="4">
        <v>984</v>
      </c>
      <c r="P49" s="6">
        <f t="shared" si="31"/>
        <v>0.25227963525835861</v>
      </c>
      <c r="Q49" s="4" t="s">
        <v>287</v>
      </c>
      <c r="R49" s="4" t="s">
        <v>287</v>
      </c>
      <c r="S49" s="4" t="s">
        <v>287</v>
      </c>
      <c r="T49" s="4" t="s">
        <v>287</v>
      </c>
      <c r="U49" s="4" t="s">
        <v>287</v>
      </c>
      <c r="V49" s="4" t="s">
        <v>287</v>
      </c>
      <c r="W49" s="4" t="s">
        <v>287</v>
      </c>
      <c r="X49" s="4" t="s">
        <v>287</v>
      </c>
      <c r="Y49" s="4" t="s">
        <v>287</v>
      </c>
      <c r="Z49" s="4" t="s">
        <v>287</v>
      </c>
      <c r="AA49" s="4" t="s">
        <v>287</v>
      </c>
      <c r="AB49" s="4" t="s">
        <v>287</v>
      </c>
      <c r="AC49" s="4">
        <v>0</v>
      </c>
      <c r="AD49" s="4">
        <f t="shared" si="32"/>
        <v>0</v>
      </c>
      <c r="AE49" s="4">
        <v>1296</v>
      </c>
      <c r="AF49" s="4">
        <f t="shared" si="33"/>
        <v>1296</v>
      </c>
      <c r="AG49" s="4"/>
      <c r="AH49" s="21">
        <f t="shared" si="34"/>
        <v>1733</v>
      </c>
      <c r="AI49" s="6">
        <f t="shared" si="35"/>
        <v>0.25216387766878245</v>
      </c>
      <c r="AJ49" s="33">
        <v>1.25</v>
      </c>
      <c r="AK49" s="4">
        <f t="shared" si="36"/>
        <v>2010.75</v>
      </c>
      <c r="AL49" s="33">
        <f t="shared" si="37"/>
        <v>2648.3048780487807</v>
      </c>
      <c r="AM49" s="6">
        <f t="shared" si="38"/>
        <v>0.51063036180529653</v>
      </c>
      <c r="AN49" s="7">
        <v>1980</v>
      </c>
      <c r="AO49" s="6">
        <f t="shared" si="39"/>
        <v>0.34545454545454546</v>
      </c>
      <c r="AP49" s="4">
        <f t="shared" si="40"/>
        <v>684</v>
      </c>
      <c r="AQ49" s="28"/>
      <c r="AR49" s="6"/>
      <c r="AS49" s="6"/>
      <c r="AT49" s="6">
        <f t="shared" si="41"/>
        <v>0</v>
      </c>
      <c r="AU49" s="6">
        <f t="shared" si="42"/>
        <v>1.5045592705167172</v>
      </c>
      <c r="AV49" s="6">
        <f t="shared" si="43"/>
        <v>1.3170731707317074</v>
      </c>
      <c r="AW49" s="6" t="str">
        <f t="shared" si="15"/>
        <v>-</v>
      </c>
      <c r="AX49" s="4" t="str">
        <f t="shared" si="16"/>
        <v>-</v>
      </c>
      <c r="AY49" s="4" t="str">
        <f t="shared" si="17"/>
        <v>-</v>
      </c>
      <c r="AZ49" s="4" t="str">
        <f t="shared" si="18"/>
        <v>-</v>
      </c>
      <c r="BA49" s="4" t="str">
        <f t="shared" si="19"/>
        <v>-</v>
      </c>
      <c r="BB49" s="4" t="str">
        <f t="shared" si="20"/>
        <v>-</v>
      </c>
      <c r="BC49" s="4" t="str">
        <f t="shared" si="21"/>
        <v>-</v>
      </c>
      <c r="BD49" s="4" t="str">
        <f t="shared" si="22"/>
        <v>-</v>
      </c>
      <c r="BE49" s="4" t="str">
        <f t="shared" si="23"/>
        <v>-</v>
      </c>
      <c r="BF49" s="4" t="str">
        <f t="shared" si="24"/>
        <v>-</v>
      </c>
      <c r="BG49" s="4" t="str">
        <f t="shared" si="25"/>
        <v>-</v>
      </c>
      <c r="BH49" s="4" t="str">
        <f t="shared" si="26"/>
        <v>-</v>
      </c>
      <c r="BI49" s="4" t="str">
        <f t="shared" si="27"/>
        <v>-</v>
      </c>
      <c r="BJ49" s="4">
        <v>0</v>
      </c>
      <c r="BK49" s="4" t="s">
        <v>411</v>
      </c>
      <c r="BL49" s="4">
        <v>1</v>
      </c>
      <c r="BM49" s="4">
        <v>4</v>
      </c>
      <c r="BN49" s="4" t="s">
        <v>405</v>
      </c>
      <c r="BO49" s="4">
        <v>8043</v>
      </c>
      <c r="BP49" s="4">
        <f t="shared" si="44"/>
        <v>2010.75</v>
      </c>
      <c r="BQ49" s="19">
        <v>4</v>
      </c>
      <c r="BR49" s="19">
        <v>8</v>
      </c>
      <c r="BS49" s="16">
        <v>1820</v>
      </c>
      <c r="BT49" t="s">
        <v>287</v>
      </c>
      <c r="BU49" t="str">
        <f t="shared" si="28"/>
        <v>-</v>
      </c>
      <c r="BV49" t="s">
        <v>287</v>
      </c>
      <c r="BW49" t="str">
        <f t="shared" si="29"/>
        <v>-</v>
      </c>
      <c r="BX49" t="s">
        <v>330</v>
      </c>
    </row>
    <row r="50" spans="1:76" x14ac:dyDescent="0.4">
      <c r="A50" s="3">
        <v>41</v>
      </c>
      <c r="B50" s="3">
        <v>41</v>
      </c>
      <c r="C50" s="4" t="s">
        <v>104</v>
      </c>
      <c r="D50" s="4" t="str">
        <f t="shared" si="30"/>
        <v>JY2694</v>
      </c>
      <c r="E50" s="4" t="s">
        <v>104</v>
      </c>
      <c r="F50" s="4" t="s">
        <v>248</v>
      </c>
      <c r="G50" s="4" t="s">
        <v>171</v>
      </c>
      <c r="H50" s="5">
        <v>4901755352313</v>
      </c>
      <c r="I50" s="5">
        <v>5</v>
      </c>
      <c r="J50" s="5"/>
      <c r="K50" s="5">
        <v>1</v>
      </c>
      <c r="L50" s="5">
        <v>1</v>
      </c>
      <c r="M50" s="4">
        <v>0</v>
      </c>
      <c r="N50" s="4">
        <v>1370</v>
      </c>
      <c r="O50" s="4">
        <v>1008</v>
      </c>
      <c r="P50" s="6">
        <f t="shared" si="31"/>
        <v>0.26423357664233582</v>
      </c>
      <c r="Q50" s="4" t="s">
        <v>287</v>
      </c>
      <c r="R50" s="4" t="s">
        <v>287</v>
      </c>
      <c r="S50" s="4" t="s">
        <v>287</v>
      </c>
      <c r="T50" s="4" t="s">
        <v>287</v>
      </c>
      <c r="U50" s="4" t="s">
        <v>287</v>
      </c>
      <c r="V50" s="4" t="s">
        <v>287</v>
      </c>
      <c r="W50" s="4" t="s">
        <v>287</v>
      </c>
      <c r="X50" s="4" t="s">
        <v>287</v>
      </c>
      <c r="Y50" s="4" t="s">
        <v>287</v>
      </c>
      <c r="Z50" s="4" t="s">
        <v>287</v>
      </c>
      <c r="AA50" s="4" t="s">
        <v>287</v>
      </c>
      <c r="AB50" s="4" t="s">
        <v>287</v>
      </c>
      <c r="AC50" s="4">
        <v>0</v>
      </c>
      <c r="AD50" s="4">
        <f t="shared" si="32"/>
        <v>0</v>
      </c>
      <c r="AE50" s="4">
        <v>1296</v>
      </c>
      <c r="AF50" s="4">
        <f t="shared" si="33"/>
        <v>1296</v>
      </c>
      <c r="AG50" s="4"/>
      <c r="AH50" s="21">
        <f t="shared" si="34"/>
        <v>1761</v>
      </c>
      <c r="AI50" s="6">
        <f t="shared" si="35"/>
        <v>0.26405451448040884</v>
      </c>
      <c r="AJ50" s="33">
        <v>0.25</v>
      </c>
      <c r="AK50" s="4" t="str">
        <f t="shared" si="36"/>
        <v>-</v>
      </c>
      <c r="AL50" s="33" t="str">
        <f t="shared" si="37"/>
        <v>-</v>
      </c>
      <c r="AM50" s="6" t="str">
        <f t="shared" si="38"/>
        <v>-</v>
      </c>
      <c r="AN50" s="7">
        <v>1980</v>
      </c>
      <c r="AO50" s="6">
        <f t="shared" si="39"/>
        <v>0.34545454545454546</v>
      </c>
      <c r="AP50" s="4">
        <f t="shared" si="40"/>
        <v>684</v>
      </c>
      <c r="AQ50" s="28"/>
      <c r="AR50" s="6"/>
      <c r="AS50" s="6"/>
      <c r="AT50" s="6" t="str">
        <f t="shared" si="41"/>
        <v>-</v>
      </c>
      <c r="AU50" s="6">
        <f t="shared" si="42"/>
        <v>1.4452554744525548</v>
      </c>
      <c r="AV50" s="6">
        <f t="shared" si="43"/>
        <v>1.2857142857142858</v>
      </c>
      <c r="AW50" s="6" t="str">
        <f t="shared" si="15"/>
        <v>-</v>
      </c>
      <c r="AX50" s="4" t="str">
        <f t="shared" si="16"/>
        <v>-</v>
      </c>
      <c r="AY50" s="4" t="str">
        <f t="shared" si="17"/>
        <v>-</v>
      </c>
      <c r="AZ50" s="4" t="str">
        <f t="shared" si="18"/>
        <v>-</v>
      </c>
      <c r="BA50" s="4" t="str">
        <f t="shared" si="19"/>
        <v>-</v>
      </c>
      <c r="BB50" s="4" t="str">
        <f t="shared" si="20"/>
        <v>-</v>
      </c>
      <c r="BC50" s="4" t="str">
        <f t="shared" si="21"/>
        <v>-</v>
      </c>
      <c r="BD50" s="4" t="str">
        <f t="shared" si="22"/>
        <v>-</v>
      </c>
      <c r="BE50" s="4" t="str">
        <f t="shared" si="23"/>
        <v>-</v>
      </c>
      <c r="BF50" s="4" t="str">
        <f t="shared" si="24"/>
        <v>-</v>
      </c>
      <c r="BG50" s="4" t="str">
        <f t="shared" si="25"/>
        <v>-</v>
      </c>
      <c r="BH50" s="4" t="str">
        <f t="shared" si="26"/>
        <v>-</v>
      </c>
      <c r="BI50" s="4" t="str">
        <f t="shared" si="27"/>
        <v>-</v>
      </c>
      <c r="BJ50" s="4">
        <v>0</v>
      </c>
      <c r="BK50" s="4" t="s">
        <v>287</v>
      </c>
      <c r="BL50" s="4"/>
      <c r="BM50" s="4"/>
      <c r="BN50" s="4" t="s">
        <v>287</v>
      </c>
      <c r="BO50" s="4" t="s">
        <v>287</v>
      </c>
      <c r="BP50" s="4" t="str">
        <f t="shared" si="44"/>
        <v>-</v>
      </c>
      <c r="BQ50" s="19">
        <v>4</v>
      </c>
      <c r="BR50" s="19">
        <v>8</v>
      </c>
      <c r="BS50" s="16">
        <v>1820</v>
      </c>
      <c r="BT50" t="s">
        <v>287</v>
      </c>
      <c r="BU50" t="str">
        <f t="shared" si="28"/>
        <v>-</v>
      </c>
      <c r="BV50" t="s">
        <v>287</v>
      </c>
      <c r="BW50" t="str">
        <f t="shared" si="29"/>
        <v>-</v>
      </c>
      <c r="BX50" t="s">
        <v>287</v>
      </c>
    </row>
    <row r="51" spans="1:76" x14ac:dyDescent="0.4">
      <c r="A51" s="45">
        <v>56</v>
      </c>
      <c r="B51" s="3">
        <v>56</v>
      </c>
      <c r="C51" s="4" t="s">
        <v>117</v>
      </c>
      <c r="D51" s="4" t="str">
        <f t="shared" si="30"/>
        <v>JY2849</v>
      </c>
      <c r="E51" s="4" t="s">
        <v>117</v>
      </c>
      <c r="F51" s="4" t="s">
        <v>263</v>
      </c>
      <c r="G51" s="4" t="s">
        <v>186</v>
      </c>
      <c r="H51" s="5">
        <v>4901755339420</v>
      </c>
      <c r="I51" s="5">
        <v>5</v>
      </c>
      <c r="J51" s="5"/>
      <c r="K51" s="5">
        <v>1</v>
      </c>
      <c r="L51" s="5">
        <v>1</v>
      </c>
      <c r="M51" s="4">
        <v>1980</v>
      </c>
      <c r="N51" s="4">
        <v>1849</v>
      </c>
      <c r="O51" s="4">
        <v>1032</v>
      </c>
      <c r="P51" s="6">
        <f t="shared" si="31"/>
        <v>0.44186046511627908</v>
      </c>
      <c r="Q51" s="4" t="s">
        <v>287</v>
      </c>
      <c r="R51" s="4" t="s">
        <v>287</v>
      </c>
      <c r="S51" s="4" t="s">
        <v>287</v>
      </c>
      <c r="T51" s="4" t="s">
        <v>287</v>
      </c>
      <c r="U51" s="4" t="s">
        <v>287</v>
      </c>
      <c r="V51" s="4" t="s">
        <v>287</v>
      </c>
      <c r="W51" s="4" t="s">
        <v>287</v>
      </c>
      <c r="X51" s="4" t="s">
        <v>287</v>
      </c>
      <c r="Y51" s="4" t="s">
        <v>287</v>
      </c>
      <c r="Z51" s="4" t="s">
        <v>287</v>
      </c>
      <c r="AA51" s="4" t="s">
        <v>287</v>
      </c>
      <c r="AB51" s="4" t="s">
        <v>287</v>
      </c>
      <c r="AC51" s="4">
        <v>0</v>
      </c>
      <c r="AD51" s="4">
        <f t="shared" si="32"/>
        <v>0</v>
      </c>
      <c r="AE51" s="4">
        <v>1344</v>
      </c>
      <c r="AF51" s="4">
        <f t="shared" si="33"/>
        <v>1344</v>
      </c>
      <c r="AG51" s="4"/>
      <c r="AH51" s="21">
        <f t="shared" si="34"/>
        <v>2408</v>
      </c>
      <c r="AI51" s="6">
        <f t="shared" si="35"/>
        <v>0.44186046511627908</v>
      </c>
      <c r="AJ51" s="33">
        <v>0.25</v>
      </c>
      <c r="AK51" s="4">
        <f t="shared" si="36"/>
        <v>2202</v>
      </c>
      <c r="AL51" s="33">
        <f t="shared" si="37"/>
        <v>2867.7209302325582</v>
      </c>
      <c r="AM51" s="6">
        <f t="shared" si="38"/>
        <v>0.53133514986376018</v>
      </c>
      <c r="AN51" s="7">
        <v>2380</v>
      </c>
      <c r="AO51" s="6">
        <f t="shared" si="39"/>
        <v>0.43529411764705883</v>
      </c>
      <c r="AP51" s="46">
        <f t="shared" si="40"/>
        <v>1036</v>
      </c>
      <c r="AQ51" s="28"/>
      <c r="AR51" s="6"/>
      <c r="AS51" s="6"/>
      <c r="AT51" s="6">
        <f t="shared" si="41"/>
        <v>0</v>
      </c>
      <c r="AU51" s="6">
        <f t="shared" si="42"/>
        <v>1.2871822606814494</v>
      </c>
      <c r="AV51" s="6">
        <f t="shared" si="43"/>
        <v>1.3023255813953489</v>
      </c>
      <c r="AW51" s="6" t="str">
        <f t="shared" si="15"/>
        <v>-</v>
      </c>
      <c r="AX51" s="4" t="str">
        <f t="shared" si="16"/>
        <v>-</v>
      </c>
      <c r="AY51" s="4" t="str">
        <f t="shared" si="17"/>
        <v>-</v>
      </c>
      <c r="AZ51" s="4" t="str">
        <f t="shared" si="18"/>
        <v>-</v>
      </c>
      <c r="BA51" s="4" t="str">
        <f t="shared" si="19"/>
        <v>-</v>
      </c>
      <c r="BB51" s="4" t="str">
        <f t="shared" si="20"/>
        <v>-</v>
      </c>
      <c r="BC51" s="4" t="str">
        <f t="shared" si="21"/>
        <v>-</v>
      </c>
      <c r="BD51" s="4" t="str">
        <f t="shared" si="22"/>
        <v>-</v>
      </c>
      <c r="BE51" s="4" t="str">
        <f t="shared" si="23"/>
        <v>-</v>
      </c>
      <c r="BF51" s="4" t="str">
        <f t="shared" si="24"/>
        <v>-</v>
      </c>
      <c r="BG51" s="4" t="str">
        <f t="shared" si="25"/>
        <v>-</v>
      </c>
      <c r="BH51" s="4" t="str">
        <f t="shared" si="26"/>
        <v>-</v>
      </c>
      <c r="BI51" s="4" t="str">
        <f t="shared" si="27"/>
        <v>-</v>
      </c>
      <c r="BJ51" s="4">
        <v>0</v>
      </c>
      <c r="BK51" s="4" t="s">
        <v>412</v>
      </c>
      <c r="BL51" s="4"/>
      <c r="BM51" s="4"/>
      <c r="BN51" s="4" t="s">
        <v>413</v>
      </c>
      <c r="BO51" s="4">
        <v>2202</v>
      </c>
      <c r="BP51" s="4">
        <f t="shared" si="44"/>
        <v>2202</v>
      </c>
      <c r="BQ51" s="19">
        <v>2</v>
      </c>
      <c r="BR51" s="19">
        <v>8</v>
      </c>
      <c r="BS51" s="16">
        <v>1820</v>
      </c>
      <c r="BT51" t="s">
        <v>287</v>
      </c>
      <c r="BU51" t="str">
        <f t="shared" si="28"/>
        <v>-</v>
      </c>
      <c r="BV51" t="s">
        <v>287</v>
      </c>
      <c r="BW51" t="str">
        <f t="shared" si="29"/>
        <v>-</v>
      </c>
      <c r="BX51" t="s">
        <v>331</v>
      </c>
    </row>
    <row r="52" spans="1:76" x14ac:dyDescent="0.4">
      <c r="A52" s="3">
        <v>45</v>
      </c>
      <c r="B52" s="3">
        <v>45</v>
      </c>
      <c r="C52" s="4" t="s">
        <v>107</v>
      </c>
      <c r="D52" s="4" t="str">
        <f t="shared" si="30"/>
        <v>JY2424</v>
      </c>
      <c r="E52" s="4" t="s">
        <v>107</v>
      </c>
      <c r="F52" s="4" t="s">
        <v>252</v>
      </c>
      <c r="G52" s="4" t="s">
        <v>175</v>
      </c>
      <c r="H52" s="5">
        <v>4901755342949</v>
      </c>
      <c r="I52" s="5">
        <v>5</v>
      </c>
      <c r="J52" s="5"/>
      <c r="K52" s="5">
        <v>1</v>
      </c>
      <c r="L52" s="5">
        <v>1</v>
      </c>
      <c r="M52" s="4">
        <v>0</v>
      </c>
      <c r="N52" s="4">
        <v>1386</v>
      </c>
      <c r="O52" s="4">
        <v>1056</v>
      </c>
      <c r="P52" s="6">
        <f t="shared" si="31"/>
        <v>0.23809523809523814</v>
      </c>
      <c r="Q52" s="4" t="s">
        <v>287</v>
      </c>
      <c r="R52" s="4" t="s">
        <v>287</v>
      </c>
      <c r="S52" s="4" t="s">
        <v>287</v>
      </c>
      <c r="T52" s="4" t="s">
        <v>287</v>
      </c>
      <c r="U52" s="4" t="s">
        <v>287</v>
      </c>
      <c r="V52" s="4" t="s">
        <v>287</v>
      </c>
      <c r="W52" s="4" t="s">
        <v>287</v>
      </c>
      <c r="X52" s="4" t="s">
        <v>287</v>
      </c>
      <c r="Y52" s="4" t="s">
        <v>287</v>
      </c>
      <c r="Z52" s="4" t="s">
        <v>287</v>
      </c>
      <c r="AA52" s="4" t="s">
        <v>287</v>
      </c>
      <c r="AB52" s="4" t="s">
        <v>287</v>
      </c>
      <c r="AC52" s="4">
        <v>0</v>
      </c>
      <c r="AD52" s="4">
        <f t="shared" si="32"/>
        <v>0</v>
      </c>
      <c r="AE52" s="4">
        <v>1392</v>
      </c>
      <c r="AF52" s="4">
        <f t="shared" si="33"/>
        <v>1392</v>
      </c>
      <c r="AG52" s="4"/>
      <c r="AH52" s="21">
        <f t="shared" si="34"/>
        <v>1827</v>
      </c>
      <c r="AI52" s="6">
        <f t="shared" si="35"/>
        <v>0.23809523809523814</v>
      </c>
      <c r="AJ52" s="33">
        <v>0.25</v>
      </c>
      <c r="AK52" s="4" t="str">
        <f t="shared" si="36"/>
        <v>-</v>
      </c>
      <c r="AL52" s="33" t="str">
        <f t="shared" si="37"/>
        <v>-</v>
      </c>
      <c r="AM52" s="6" t="str">
        <f t="shared" si="38"/>
        <v>-</v>
      </c>
      <c r="AN52" s="7">
        <v>2180</v>
      </c>
      <c r="AO52" s="6">
        <f t="shared" si="39"/>
        <v>0.36146788990825685</v>
      </c>
      <c r="AP52" s="4">
        <f t="shared" si="40"/>
        <v>788</v>
      </c>
      <c r="AQ52" s="28"/>
      <c r="AR52" s="6"/>
      <c r="AS52" s="6"/>
      <c r="AT52" s="6" t="str">
        <f t="shared" si="41"/>
        <v>-</v>
      </c>
      <c r="AU52" s="6">
        <f t="shared" si="42"/>
        <v>1.572871572871573</v>
      </c>
      <c r="AV52" s="6">
        <f t="shared" si="43"/>
        <v>1.3181818181818181</v>
      </c>
      <c r="AW52" s="6" t="str">
        <f t="shared" si="15"/>
        <v>-</v>
      </c>
      <c r="AX52" s="4" t="str">
        <f t="shared" si="16"/>
        <v>-</v>
      </c>
      <c r="AY52" s="4" t="str">
        <f t="shared" si="17"/>
        <v>-</v>
      </c>
      <c r="AZ52" s="4" t="str">
        <f t="shared" si="18"/>
        <v>-</v>
      </c>
      <c r="BA52" s="4" t="str">
        <f t="shared" si="19"/>
        <v>-</v>
      </c>
      <c r="BB52" s="4" t="str">
        <f t="shared" si="20"/>
        <v>-</v>
      </c>
      <c r="BC52" s="4" t="str">
        <f t="shared" si="21"/>
        <v>-</v>
      </c>
      <c r="BD52" s="4" t="str">
        <f t="shared" si="22"/>
        <v>-</v>
      </c>
      <c r="BE52" s="4" t="str">
        <f t="shared" si="23"/>
        <v>-</v>
      </c>
      <c r="BF52" s="4" t="str">
        <f t="shared" si="24"/>
        <v>-</v>
      </c>
      <c r="BG52" s="4" t="str">
        <f t="shared" si="25"/>
        <v>-</v>
      </c>
      <c r="BH52" s="4" t="str">
        <f t="shared" si="26"/>
        <v>-</v>
      </c>
      <c r="BI52" s="4" t="str">
        <f t="shared" si="27"/>
        <v>-</v>
      </c>
      <c r="BJ52" s="4">
        <v>0</v>
      </c>
      <c r="BK52" s="4" t="s">
        <v>287</v>
      </c>
      <c r="BL52" s="4"/>
      <c r="BM52" s="4"/>
      <c r="BN52" s="4" t="s">
        <v>287</v>
      </c>
      <c r="BO52" s="4" t="s">
        <v>287</v>
      </c>
      <c r="BP52" s="4" t="str">
        <f t="shared" si="44"/>
        <v>-</v>
      </c>
      <c r="BQ52" s="19">
        <v>4</v>
      </c>
      <c r="BR52" s="19">
        <v>8</v>
      </c>
      <c r="BS52" s="16">
        <v>1820</v>
      </c>
      <c r="BT52" t="s">
        <v>287</v>
      </c>
      <c r="BU52" t="str">
        <f t="shared" si="28"/>
        <v>-</v>
      </c>
      <c r="BV52" t="s">
        <v>287</v>
      </c>
      <c r="BW52" t="str">
        <f t="shared" si="29"/>
        <v>-</v>
      </c>
      <c r="BX52" t="s">
        <v>287</v>
      </c>
    </row>
    <row r="53" spans="1:76" x14ac:dyDescent="0.4">
      <c r="A53" s="3">
        <v>46</v>
      </c>
      <c r="B53" s="3">
        <v>46</v>
      </c>
      <c r="C53" s="4" t="s">
        <v>108</v>
      </c>
      <c r="D53" s="4" t="str">
        <f t="shared" si="30"/>
        <v>JY2450</v>
      </c>
      <c r="E53" s="4" t="s">
        <v>108</v>
      </c>
      <c r="F53" s="4" t="s">
        <v>253</v>
      </c>
      <c r="G53" s="4" t="s">
        <v>176</v>
      </c>
      <c r="H53" s="5">
        <v>4901755354287</v>
      </c>
      <c r="I53" s="5">
        <v>5</v>
      </c>
      <c r="J53" s="5"/>
      <c r="K53" s="5">
        <v>1</v>
      </c>
      <c r="L53" s="5">
        <v>1</v>
      </c>
      <c r="M53" s="4">
        <v>0</v>
      </c>
      <c r="N53" s="4">
        <v>1400</v>
      </c>
      <c r="O53" s="4">
        <v>1056</v>
      </c>
      <c r="P53" s="6">
        <f t="shared" si="31"/>
        <v>0.24571428571428566</v>
      </c>
      <c r="Q53" s="4" t="s">
        <v>287</v>
      </c>
      <c r="R53" s="4" t="s">
        <v>287</v>
      </c>
      <c r="S53" s="4" t="s">
        <v>287</v>
      </c>
      <c r="T53" s="4" t="s">
        <v>287</v>
      </c>
      <c r="U53" s="4" t="s">
        <v>287</v>
      </c>
      <c r="V53" s="4" t="s">
        <v>287</v>
      </c>
      <c r="W53" s="4" t="s">
        <v>287</v>
      </c>
      <c r="X53" s="4" t="s">
        <v>287</v>
      </c>
      <c r="Y53" s="4" t="s">
        <v>287</v>
      </c>
      <c r="Z53" s="4" t="s">
        <v>287</v>
      </c>
      <c r="AA53" s="4" t="s">
        <v>287</v>
      </c>
      <c r="AB53" s="4" t="s">
        <v>287</v>
      </c>
      <c r="AC53" s="4">
        <v>0</v>
      </c>
      <c r="AD53" s="4">
        <f t="shared" si="32"/>
        <v>0</v>
      </c>
      <c r="AE53" s="4">
        <v>1392</v>
      </c>
      <c r="AF53" s="4">
        <f t="shared" si="33"/>
        <v>1392</v>
      </c>
      <c r="AG53" s="4"/>
      <c r="AH53" s="21">
        <f t="shared" si="34"/>
        <v>1845</v>
      </c>
      <c r="AI53" s="6">
        <f t="shared" si="35"/>
        <v>0.2455284552845528</v>
      </c>
      <c r="AJ53" s="33">
        <v>0</v>
      </c>
      <c r="AK53" s="4">
        <f t="shared" si="36"/>
        <v>1900</v>
      </c>
      <c r="AL53" s="33">
        <f t="shared" si="37"/>
        <v>2504.5454545454545</v>
      </c>
      <c r="AM53" s="6">
        <f t="shared" si="38"/>
        <v>0.4442105263157895</v>
      </c>
      <c r="AN53" s="7">
        <v>2180</v>
      </c>
      <c r="AO53" s="6">
        <f t="shared" si="39"/>
        <v>0.36146788990825685</v>
      </c>
      <c r="AP53" s="4">
        <f t="shared" si="40"/>
        <v>788</v>
      </c>
      <c r="AQ53" s="28"/>
      <c r="AR53" s="6"/>
      <c r="AS53" s="6"/>
      <c r="AT53" s="6" t="str">
        <f t="shared" si="41"/>
        <v>-</v>
      </c>
      <c r="AU53" s="6">
        <f t="shared" si="42"/>
        <v>1.5571428571428572</v>
      </c>
      <c r="AV53" s="6">
        <f t="shared" si="43"/>
        <v>1.3181818181818181</v>
      </c>
      <c r="AW53" s="6" t="str">
        <f t="shared" si="15"/>
        <v>-</v>
      </c>
      <c r="AX53" s="4" t="str">
        <f t="shared" si="16"/>
        <v>-</v>
      </c>
      <c r="AY53" s="4" t="str">
        <f t="shared" si="17"/>
        <v>-</v>
      </c>
      <c r="AZ53" s="4" t="str">
        <f t="shared" si="18"/>
        <v>-</v>
      </c>
      <c r="BA53" s="4" t="str">
        <f t="shared" si="19"/>
        <v>-</v>
      </c>
      <c r="BB53" s="4" t="str">
        <f t="shared" si="20"/>
        <v>-</v>
      </c>
      <c r="BC53" s="4" t="str">
        <f t="shared" si="21"/>
        <v>-</v>
      </c>
      <c r="BD53" s="4" t="str">
        <f t="shared" si="22"/>
        <v>-</v>
      </c>
      <c r="BE53" s="4" t="str">
        <f t="shared" si="23"/>
        <v>-</v>
      </c>
      <c r="BF53" s="4" t="str">
        <f t="shared" si="24"/>
        <v>-</v>
      </c>
      <c r="BG53" s="4" t="str">
        <f t="shared" si="25"/>
        <v>-</v>
      </c>
      <c r="BH53" s="4" t="str">
        <f t="shared" si="26"/>
        <v>-</v>
      </c>
      <c r="BI53" s="4" t="str">
        <f t="shared" si="27"/>
        <v>-</v>
      </c>
      <c r="BJ53" s="4">
        <v>0</v>
      </c>
      <c r="BK53" s="4" t="s">
        <v>414</v>
      </c>
      <c r="BL53" s="4">
        <v>1</v>
      </c>
      <c r="BM53" s="4">
        <v>4</v>
      </c>
      <c r="BN53" s="4" t="s">
        <v>405</v>
      </c>
      <c r="BO53" s="4">
        <v>7600</v>
      </c>
      <c r="BP53" s="4">
        <f t="shared" si="44"/>
        <v>1900</v>
      </c>
      <c r="BQ53" s="19">
        <v>4</v>
      </c>
      <c r="BR53" s="19">
        <v>8</v>
      </c>
      <c r="BS53" s="16">
        <v>1820</v>
      </c>
      <c r="BT53" t="s">
        <v>287</v>
      </c>
      <c r="BU53" t="str">
        <f t="shared" si="28"/>
        <v>-</v>
      </c>
      <c r="BV53" t="s">
        <v>287</v>
      </c>
      <c r="BW53" t="str">
        <f t="shared" si="29"/>
        <v>-</v>
      </c>
      <c r="BX53" t="s">
        <v>332</v>
      </c>
    </row>
    <row r="54" spans="1:76" x14ac:dyDescent="0.4">
      <c r="A54" s="3">
        <v>47</v>
      </c>
      <c r="B54" s="3">
        <v>47</v>
      </c>
      <c r="C54" s="4" t="s">
        <v>109</v>
      </c>
      <c r="D54" s="4" t="str">
        <f t="shared" si="30"/>
        <v>JY2477</v>
      </c>
      <c r="E54" s="4" t="s">
        <v>109</v>
      </c>
      <c r="F54" s="4" t="s">
        <v>254</v>
      </c>
      <c r="G54" s="4" t="s">
        <v>177</v>
      </c>
      <c r="H54" s="5">
        <v>4901755343304</v>
      </c>
      <c r="I54" s="5">
        <v>5</v>
      </c>
      <c r="J54" s="5"/>
      <c r="K54" s="5">
        <v>1</v>
      </c>
      <c r="L54" s="5">
        <v>1</v>
      </c>
      <c r="M54" s="4">
        <v>2200</v>
      </c>
      <c r="N54" s="4">
        <v>1492</v>
      </c>
      <c r="O54" s="4">
        <v>1152</v>
      </c>
      <c r="P54" s="6">
        <f t="shared" si="31"/>
        <v>0.22788203753351211</v>
      </c>
      <c r="Q54" s="4" t="s">
        <v>287</v>
      </c>
      <c r="R54" s="4" t="s">
        <v>287</v>
      </c>
      <c r="S54" s="4" t="s">
        <v>287</v>
      </c>
      <c r="T54" s="4" t="s">
        <v>287</v>
      </c>
      <c r="U54" s="4" t="s">
        <v>287</v>
      </c>
      <c r="V54" s="4" t="s">
        <v>287</v>
      </c>
      <c r="W54" s="4" t="s">
        <v>287</v>
      </c>
      <c r="X54" s="4" t="s">
        <v>287</v>
      </c>
      <c r="Y54" s="4" t="s">
        <v>287</v>
      </c>
      <c r="Z54" s="4" t="s">
        <v>287</v>
      </c>
      <c r="AA54" s="4" t="s">
        <v>287</v>
      </c>
      <c r="AB54" s="4" t="s">
        <v>287</v>
      </c>
      <c r="AC54" s="4">
        <v>0</v>
      </c>
      <c r="AD54" s="4">
        <f t="shared" si="32"/>
        <v>0</v>
      </c>
      <c r="AE54" s="4">
        <v>1512</v>
      </c>
      <c r="AF54" s="4">
        <f t="shared" si="33"/>
        <v>1512</v>
      </c>
      <c r="AG54" s="4"/>
      <c r="AH54" s="21">
        <f t="shared" si="34"/>
        <v>1958</v>
      </c>
      <c r="AI54" s="6">
        <f t="shared" si="35"/>
        <v>0.22778345250255361</v>
      </c>
      <c r="AJ54" s="33">
        <v>0</v>
      </c>
      <c r="AK54" s="4">
        <f t="shared" si="36"/>
        <v>2544</v>
      </c>
      <c r="AL54" s="33">
        <f t="shared" si="37"/>
        <v>3339</v>
      </c>
      <c r="AM54" s="6">
        <f t="shared" si="38"/>
        <v>0.54716981132075471</v>
      </c>
      <c r="AN54" s="7">
        <v>2380</v>
      </c>
      <c r="AO54" s="6">
        <f t="shared" si="39"/>
        <v>0.36470588235294121</v>
      </c>
      <c r="AP54" s="4">
        <f t="shared" si="40"/>
        <v>868</v>
      </c>
      <c r="AQ54" s="28"/>
      <c r="AR54" s="6"/>
      <c r="AS54" s="6"/>
      <c r="AT54" s="6">
        <f t="shared" si="41"/>
        <v>0</v>
      </c>
      <c r="AU54" s="6">
        <f t="shared" si="42"/>
        <v>1.5951742627345844</v>
      </c>
      <c r="AV54" s="6">
        <f t="shared" si="43"/>
        <v>1.3125</v>
      </c>
      <c r="AW54" s="6" t="str">
        <f t="shared" si="15"/>
        <v>-</v>
      </c>
      <c r="AX54" s="4" t="str">
        <f t="shared" si="16"/>
        <v>-</v>
      </c>
      <c r="AY54" s="4" t="str">
        <f t="shared" si="17"/>
        <v>-</v>
      </c>
      <c r="AZ54" s="4" t="str">
        <f t="shared" si="18"/>
        <v>-</v>
      </c>
      <c r="BA54" s="4" t="str">
        <f t="shared" si="19"/>
        <v>-</v>
      </c>
      <c r="BB54" s="4" t="str">
        <f t="shared" si="20"/>
        <v>-</v>
      </c>
      <c r="BC54" s="4" t="str">
        <f t="shared" si="21"/>
        <v>-</v>
      </c>
      <c r="BD54" s="4" t="str">
        <f t="shared" si="22"/>
        <v>-</v>
      </c>
      <c r="BE54" s="4" t="str">
        <f t="shared" si="23"/>
        <v>-</v>
      </c>
      <c r="BF54" s="4" t="str">
        <f t="shared" si="24"/>
        <v>-</v>
      </c>
      <c r="BG54" s="4" t="str">
        <f t="shared" si="25"/>
        <v>-</v>
      </c>
      <c r="BH54" s="4" t="str">
        <f t="shared" si="26"/>
        <v>-</v>
      </c>
      <c r="BI54" s="4" t="str">
        <f t="shared" si="27"/>
        <v>-</v>
      </c>
      <c r="BJ54" s="4">
        <v>0</v>
      </c>
      <c r="BK54" s="4" t="s">
        <v>415</v>
      </c>
      <c r="BL54" s="4"/>
      <c r="BM54" s="4"/>
      <c r="BN54" s="4" t="s">
        <v>401</v>
      </c>
      <c r="BO54" s="4">
        <v>2544</v>
      </c>
      <c r="BP54" s="4">
        <f t="shared" si="44"/>
        <v>2544</v>
      </c>
      <c r="BQ54" s="19">
        <v>4</v>
      </c>
      <c r="BR54" s="19">
        <v>8</v>
      </c>
      <c r="BS54" s="16">
        <v>1820</v>
      </c>
      <c r="BT54" t="s">
        <v>287</v>
      </c>
      <c r="BU54" t="str">
        <f t="shared" si="28"/>
        <v>-</v>
      </c>
      <c r="BV54" t="s">
        <v>287</v>
      </c>
      <c r="BW54" t="str">
        <f t="shared" si="29"/>
        <v>-</v>
      </c>
      <c r="BX54" t="s">
        <v>333</v>
      </c>
    </row>
    <row r="55" spans="1:76" x14ac:dyDescent="0.4">
      <c r="A55" s="3">
        <v>48</v>
      </c>
      <c r="B55" s="3">
        <v>48</v>
      </c>
      <c r="C55" s="4" t="s">
        <v>110</v>
      </c>
      <c r="D55" s="4" t="str">
        <f t="shared" si="30"/>
        <v>JY2687</v>
      </c>
      <c r="E55" s="4" t="s">
        <v>110</v>
      </c>
      <c r="F55" s="4" t="s">
        <v>255</v>
      </c>
      <c r="G55" s="4" t="s">
        <v>178</v>
      </c>
      <c r="H55" s="5">
        <v>4901755349481</v>
      </c>
      <c r="I55" s="5">
        <v>5</v>
      </c>
      <c r="J55" s="5"/>
      <c r="K55" s="5">
        <v>1</v>
      </c>
      <c r="L55" s="5">
        <v>1</v>
      </c>
      <c r="M55" s="4">
        <v>2200</v>
      </c>
      <c r="N55" s="4">
        <v>1618</v>
      </c>
      <c r="O55" s="4">
        <v>1152</v>
      </c>
      <c r="P55" s="6">
        <f t="shared" si="31"/>
        <v>0.2880098887515451</v>
      </c>
      <c r="Q55" s="4" t="s">
        <v>287</v>
      </c>
      <c r="R55" s="4" t="s">
        <v>287</v>
      </c>
      <c r="S55" s="4" t="s">
        <v>287</v>
      </c>
      <c r="T55" s="4" t="s">
        <v>287</v>
      </c>
      <c r="U55" s="4" t="s">
        <v>287</v>
      </c>
      <c r="V55" s="4" t="s">
        <v>287</v>
      </c>
      <c r="W55" s="4" t="s">
        <v>287</v>
      </c>
      <c r="X55" s="4" t="s">
        <v>287</v>
      </c>
      <c r="Y55" s="4" t="s">
        <v>287</v>
      </c>
      <c r="Z55" s="4" t="s">
        <v>287</v>
      </c>
      <c r="AA55" s="4" t="s">
        <v>287</v>
      </c>
      <c r="AB55" s="4" t="s">
        <v>287</v>
      </c>
      <c r="AC55" s="4">
        <v>0</v>
      </c>
      <c r="AD55" s="4">
        <f t="shared" si="32"/>
        <v>0</v>
      </c>
      <c r="AE55" s="4">
        <v>1512</v>
      </c>
      <c r="AF55" s="4">
        <f t="shared" si="33"/>
        <v>1512</v>
      </c>
      <c r="AG55" s="4"/>
      <c r="AH55" s="21">
        <f t="shared" si="34"/>
        <v>2124</v>
      </c>
      <c r="AI55" s="6">
        <f t="shared" si="35"/>
        <v>0.28813559322033899</v>
      </c>
      <c r="AJ55" s="33">
        <v>0.25</v>
      </c>
      <c r="AK55" s="4">
        <f t="shared" si="36"/>
        <v>2518</v>
      </c>
      <c r="AL55" s="33">
        <f t="shared" si="37"/>
        <v>3304.875</v>
      </c>
      <c r="AM55" s="6">
        <f t="shared" si="38"/>
        <v>0.54249404289118353</v>
      </c>
      <c r="AN55" s="7">
        <v>2380</v>
      </c>
      <c r="AO55" s="6">
        <f t="shared" si="39"/>
        <v>0.36470588235294121</v>
      </c>
      <c r="AP55" s="4">
        <f t="shared" si="40"/>
        <v>868</v>
      </c>
      <c r="AQ55" s="28"/>
      <c r="AR55" s="6"/>
      <c r="AS55" s="6"/>
      <c r="AT55" s="6">
        <f t="shared" si="41"/>
        <v>0</v>
      </c>
      <c r="AU55" s="6">
        <f t="shared" si="42"/>
        <v>1.4709517923362176</v>
      </c>
      <c r="AV55" s="6">
        <f t="shared" si="43"/>
        <v>1.3125</v>
      </c>
      <c r="AW55" s="6" t="str">
        <f t="shared" si="15"/>
        <v>-</v>
      </c>
      <c r="AX55" s="4" t="str">
        <f t="shared" si="16"/>
        <v>-</v>
      </c>
      <c r="AY55" s="4" t="str">
        <f t="shared" si="17"/>
        <v>-</v>
      </c>
      <c r="AZ55" s="4" t="str">
        <f t="shared" si="18"/>
        <v>-</v>
      </c>
      <c r="BA55" s="4" t="str">
        <f t="shared" si="19"/>
        <v>-</v>
      </c>
      <c r="BB55" s="4" t="str">
        <f t="shared" si="20"/>
        <v>-</v>
      </c>
      <c r="BC55" s="4" t="str">
        <f t="shared" si="21"/>
        <v>-</v>
      </c>
      <c r="BD55" s="4" t="str">
        <f t="shared" si="22"/>
        <v>-</v>
      </c>
      <c r="BE55" s="4" t="str">
        <f t="shared" si="23"/>
        <v>-</v>
      </c>
      <c r="BF55" s="4" t="str">
        <f t="shared" si="24"/>
        <v>-</v>
      </c>
      <c r="BG55" s="4" t="str">
        <f t="shared" si="25"/>
        <v>-</v>
      </c>
      <c r="BH55" s="4" t="str">
        <f t="shared" si="26"/>
        <v>-</v>
      </c>
      <c r="BI55" s="4" t="str">
        <f t="shared" si="27"/>
        <v>-</v>
      </c>
      <c r="BJ55" s="4">
        <v>0</v>
      </c>
      <c r="BK55" s="4" t="s">
        <v>416</v>
      </c>
      <c r="BL55" s="4"/>
      <c r="BM55" s="4"/>
      <c r="BN55" s="4" t="s">
        <v>401</v>
      </c>
      <c r="BO55" s="4">
        <v>2518</v>
      </c>
      <c r="BP55" s="4">
        <f t="shared" si="44"/>
        <v>2518</v>
      </c>
      <c r="BQ55" s="19">
        <v>4</v>
      </c>
      <c r="BR55" s="19">
        <v>8</v>
      </c>
      <c r="BS55" s="16">
        <v>1820</v>
      </c>
      <c r="BT55" t="s">
        <v>287</v>
      </c>
      <c r="BU55" t="str">
        <f t="shared" si="28"/>
        <v>-</v>
      </c>
      <c r="BV55" t="s">
        <v>287</v>
      </c>
      <c r="BW55" t="str">
        <f t="shared" si="29"/>
        <v>-</v>
      </c>
      <c r="BX55" t="s">
        <v>334</v>
      </c>
    </row>
    <row r="56" spans="1:76" x14ac:dyDescent="0.4">
      <c r="A56" s="3">
        <v>49</v>
      </c>
      <c r="B56" s="3">
        <v>49</v>
      </c>
      <c r="C56" s="4">
        <v>825010</v>
      </c>
      <c r="D56" s="4" t="str">
        <f t="shared" si="30"/>
        <v>825010</v>
      </c>
      <c r="E56" s="4">
        <v>825010</v>
      </c>
      <c r="F56" s="4" t="s">
        <v>256</v>
      </c>
      <c r="G56" s="4" t="s">
        <v>179</v>
      </c>
      <c r="H56" s="5">
        <v>4901755355512</v>
      </c>
      <c r="I56" s="5">
        <v>5</v>
      </c>
      <c r="J56" s="5"/>
      <c r="K56" s="5">
        <v>1</v>
      </c>
      <c r="L56" s="5">
        <v>1</v>
      </c>
      <c r="M56" s="4">
        <v>0</v>
      </c>
      <c r="N56" s="4">
        <v>1863</v>
      </c>
      <c r="O56" s="4">
        <v>1317</v>
      </c>
      <c r="P56" s="6">
        <f t="shared" si="31"/>
        <v>0.29307568438003218</v>
      </c>
      <c r="Q56" s="4" t="s">
        <v>287</v>
      </c>
      <c r="R56" s="4" t="s">
        <v>287</v>
      </c>
      <c r="S56" s="4" t="s">
        <v>287</v>
      </c>
      <c r="T56" s="4" t="s">
        <v>287</v>
      </c>
      <c r="U56" s="4" t="s">
        <v>287</v>
      </c>
      <c r="V56" s="4" t="s">
        <v>287</v>
      </c>
      <c r="W56" s="4" t="s">
        <v>287</v>
      </c>
      <c r="X56" s="4" t="s">
        <v>287</v>
      </c>
      <c r="Y56" s="4" t="s">
        <v>287</v>
      </c>
      <c r="Z56" s="4" t="s">
        <v>287</v>
      </c>
      <c r="AA56" s="4" t="s">
        <v>287</v>
      </c>
      <c r="AB56" s="4" t="s">
        <v>287</v>
      </c>
      <c r="AC56" s="4">
        <v>0</v>
      </c>
      <c r="AD56" s="4">
        <f t="shared" si="32"/>
        <v>0</v>
      </c>
      <c r="AE56" s="4">
        <v>1546</v>
      </c>
      <c r="AF56" s="4">
        <f t="shared" si="33"/>
        <v>1546</v>
      </c>
      <c r="AG56" s="4"/>
      <c r="AH56" s="21">
        <f t="shared" si="34"/>
        <v>2187</v>
      </c>
      <c r="AI56" s="6">
        <f t="shared" si="35"/>
        <v>0.29309556470050302</v>
      </c>
      <c r="AJ56" s="33">
        <v>5.75</v>
      </c>
      <c r="AK56" s="4">
        <f t="shared" si="36"/>
        <v>2726</v>
      </c>
      <c r="AL56" s="33">
        <f t="shared" si="37"/>
        <v>3199.9969627942296</v>
      </c>
      <c r="AM56" s="6">
        <f t="shared" si="38"/>
        <v>0.51687454145267797</v>
      </c>
      <c r="AN56" s="7">
        <v>2450</v>
      </c>
      <c r="AO56" s="6">
        <f t="shared" si="39"/>
        <v>0.36897959183673468</v>
      </c>
      <c r="AP56" s="4">
        <f t="shared" si="40"/>
        <v>904</v>
      </c>
      <c r="AQ56" s="28"/>
      <c r="AR56" s="6"/>
      <c r="AS56" s="6"/>
      <c r="AT56" s="6" t="str">
        <f t="shared" si="41"/>
        <v>-</v>
      </c>
      <c r="AU56" s="6">
        <f t="shared" si="42"/>
        <v>1.3150831991411702</v>
      </c>
      <c r="AV56" s="6">
        <f t="shared" si="43"/>
        <v>1.1738800303720578</v>
      </c>
      <c r="AW56" s="6" t="str">
        <f t="shared" si="15"/>
        <v>-</v>
      </c>
      <c r="AX56" s="4" t="str">
        <f t="shared" si="16"/>
        <v>-</v>
      </c>
      <c r="AY56" s="4" t="str">
        <f t="shared" si="17"/>
        <v>-</v>
      </c>
      <c r="AZ56" s="4" t="str">
        <f t="shared" si="18"/>
        <v>-</v>
      </c>
      <c r="BA56" s="4" t="str">
        <f t="shared" si="19"/>
        <v>-</v>
      </c>
      <c r="BB56" s="4" t="str">
        <f t="shared" si="20"/>
        <v>-</v>
      </c>
      <c r="BC56" s="4" t="str">
        <f t="shared" si="21"/>
        <v>-</v>
      </c>
      <c r="BD56" s="4" t="str">
        <f t="shared" si="22"/>
        <v>-</v>
      </c>
      <c r="BE56" s="4" t="str">
        <f t="shared" si="23"/>
        <v>-</v>
      </c>
      <c r="BF56" s="4" t="str">
        <f t="shared" si="24"/>
        <v>-</v>
      </c>
      <c r="BG56" s="4" t="str">
        <f t="shared" si="25"/>
        <v>-</v>
      </c>
      <c r="BH56" s="4" t="str">
        <f t="shared" si="26"/>
        <v>-</v>
      </c>
      <c r="BI56" s="4" t="str">
        <f t="shared" si="27"/>
        <v>-</v>
      </c>
      <c r="BJ56" s="4">
        <v>0</v>
      </c>
      <c r="BK56" s="4" t="s">
        <v>417</v>
      </c>
      <c r="BL56" s="4"/>
      <c r="BM56" s="4"/>
      <c r="BN56" s="4" t="s">
        <v>401</v>
      </c>
      <c r="BO56" s="4">
        <v>2726</v>
      </c>
      <c r="BP56" s="4">
        <f t="shared" si="44"/>
        <v>2726</v>
      </c>
      <c r="BQ56" s="19">
        <v>4</v>
      </c>
      <c r="BR56" s="19">
        <v>1</v>
      </c>
      <c r="BS56" s="16">
        <v>1820</v>
      </c>
      <c r="BT56" t="s">
        <v>287</v>
      </c>
      <c r="BU56" t="str">
        <f t="shared" si="28"/>
        <v>-</v>
      </c>
      <c r="BV56">
        <v>2092</v>
      </c>
      <c r="BW56">
        <f t="shared" si="29"/>
        <v>2455.757023538345</v>
      </c>
      <c r="BX56" t="s">
        <v>335</v>
      </c>
    </row>
    <row r="57" spans="1:76" x14ac:dyDescent="0.4">
      <c r="A57" s="3">
        <v>51</v>
      </c>
      <c r="B57" s="3">
        <v>51</v>
      </c>
      <c r="C57" s="4" t="s">
        <v>112</v>
      </c>
      <c r="D57" s="4" t="str">
        <f t="shared" si="30"/>
        <v>JY2436</v>
      </c>
      <c r="E57" s="4" t="s">
        <v>112</v>
      </c>
      <c r="F57" s="4" t="s">
        <v>258</v>
      </c>
      <c r="G57" s="4" t="s">
        <v>181</v>
      </c>
      <c r="H57" s="5">
        <v>4901755340532</v>
      </c>
      <c r="I57" s="5">
        <v>5</v>
      </c>
      <c r="J57" s="5"/>
      <c r="K57" s="5">
        <v>1</v>
      </c>
      <c r="L57" s="5">
        <v>1</v>
      </c>
      <c r="M57" s="4">
        <v>0</v>
      </c>
      <c r="N57" s="4">
        <v>1569</v>
      </c>
      <c r="O57" s="4">
        <v>1224</v>
      </c>
      <c r="P57" s="6">
        <f t="shared" si="31"/>
        <v>0.21988527724665397</v>
      </c>
      <c r="Q57" s="4" t="s">
        <v>287</v>
      </c>
      <c r="R57" s="4" t="s">
        <v>287</v>
      </c>
      <c r="S57" s="4" t="s">
        <v>287</v>
      </c>
      <c r="T57" s="4" t="s">
        <v>287</v>
      </c>
      <c r="U57" s="4" t="s">
        <v>287</v>
      </c>
      <c r="V57" s="4" t="s">
        <v>287</v>
      </c>
      <c r="W57" s="4" t="s">
        <v>287</v>
      </c>
      <c r="X57" s="4" t="s">
        <v>287</v>
      </c>
      <c r="Y57" s="4" t="s">
        <v>287</v>
      </c>
      <c r="Z57" s="4" t="s">
        <v>287</v>
      </c>
      <c r="AA57" s="4" t="s">
        <v>287</v>
      </c>
      <c r="AB57" s="4" t="s">
        <v>287</v>
      </c>
      <c r="AC57" s="4">
        <v>0</v>
      </c>
      <c r="AD57" s="4">
        <f t="shared" si="32"/>
        <v>0</v>
      </c>
      <c r="AE57" s="4">
        <v>1607.9999999999998</v>
      </c>
      <c r="AF57" s="4">
        <f t="shared" si="33"/>
        <v>1607.9999999999998</v>
      </c>
      <c r="AG57" s="4"/>
      <c r="AH57" s="21">
        <f t="shared" si="34"/>
        <v>2061</v>
      </c>
      <c r="AI57" s="6">
        <f t="shared" si="35"/>
        <v>0.21979621542940331</v>
      </c>
      <c r="AJ57" s="33">
        <v>0</v>
      </c>
      <c r="AK57" s="4">
        <f t="shared" si="36"/>
        <v>2531.5</v>
      </c>
      <c r="AL57" s="33">
        <f t="shared" si="37"/>
        <v>3325.6960784313719</v>
      </c>
      <c r="AM57" s="6">
        <f t="shared" si="38"/>
        <v>0.51649219830140236</v>
      </c>
      <c r="AN57" s="7">
        <v>2480</v>
      </c>
      <c r="AO57" s="6">
        <f t="shared" si="39"/>
        <v>0.35161290322580652</v>
      </c>
      <c r="AP57" s="4">
        <f t="shared" si="40"/>
        <v>872.00000000000023</v>
      </c>
      <c r="AQ57" s="28"/>
      <c r="AR57" s="6"/>
      <c r="AS57" s="6"/>
      <c r="AT57" s="6" t="str">
        <f t="shared" si="41"/>
        <v>-</v>
      </c>
      <c r="AU57" s="6">
        <f t="shared" si="42"/>
        <v>1.5806246016571064</v>
      </c>
      <c r="AV57" s="6">
        <f t="shared" si="43"/>
        <v>1.3137254901960782</v>
      </c>
      <c r="AW57" s="6" t="str">
        <f t="shared" si="15"/>
        <v>-</v>
      </c>
      <c r="AX57" s="4" t="str">
        <f t="shared" si="16"/>
        <v>-</v>
      </c>
      <c r="AY57" s="4" t="str">
        <f t="shared" si="17"/>
        <v>-</v>
      </c>
      <c r="AZ57" s="4" t="str">
        <f t="shared" si="18"/>
        <v>-</v>
      </c>
      <c r="BA57" s="4" t="str">
        <f t="shared" si="19"/>
        <v>-</v>
      </c>
      <c r="BB57" s="4" t="str">
        <f t="shared" si="20"/>
        <v>-</v>
      </c>
      <c r="BC57" s="4" t="str">
        <f t="shared" si="21"/>
        <v>-</v>
      </c>
      <c r="BD57" s="4" t="str">
        <f t="shared" si="22"/>
        <v>-</v>
      </c>
      <c r="BE57" s="4" t="str">
        <f t="shared" si="23"/>
        <v>-</v>
      </c>
      <c r="BF57" s="4" t="str">
        <f t="shared" si="24"/>
        <v>-</v>
      </c>
      <c r="BG57" s="4" t="str">
        <f t="shared" si="25"/>
        <v>-</v>
      </c>
      <c r="BH57" s="4" t="str">
        <f t="shared" si="26"/>
        <v>-</v>
      </c>
      <c r="BI57" s="4" t="str">
        <f t="shared" si="27"/>
        <v>-</v>
      </c>
      <c r="BJ57" s="4">
        <v>0</v>
      </c>
      <c r="BK57" s="4" t="s">
        <v>418</v>
      </c>
      <c r="BL57" s="4">
        <v>1</v>
      </c>
      <c r="BM57" s="4">
        <v>4</v>
      </c>
      <c r="BN57" s="4" t="s">
        <v>405</v>
      </c>
      <c r="BO57" s="4">
        <v>10126</v>
      </c>
      <c r="BP57" s="4">
        <f t="shared" si="44"/>
        <v>2531.5</v>
      </c>
      <c r="BQ57" s="19">
        <v>4</v>
      </c>
      <c r="BR57" s="19">
        <v>8</v>
      </c>
      <c r="BS57" s="16">
        <v>1820</v>
      </c>
      <c r="BT57" t="s">
        <v>287</v>
      </c>
      <c r="BU57" t="str">
        <f t="shared" si="28"/>
        <v>-</v>
      </c>
      <c r="BV57" t="s">
        <v>287</v>
      </c>
      <c r="BW57" t="str">
        <f t="shared" si="29"/>
        <v>-</v>
      </c>
      <c r="BX57" t="s">
        <v>336</v>
      </c>
    </row>
    <row r="58" spans="1:76" x14ac:dyDescent="0.4">
      <c r="A58" s="3">
        <v>57</v>
      </c>
      <c r="B58" s="3">
        <v>57</v>
      </c>
      <c r="C58" s="4" t="s">
        <v>118</v>
      </c>
      <c r="D58" s="4" t="str">
        <f t="shared" si="30"/>
        <v>JY2898</v>
      </c>
      <c r="E58" s="4" t="s">
        <v>118</v>
      </c>
      <c r="F58" s="4" t="s">
        <v>264</v>
      </c>
      <c r="G58" s="4" t="s">
        <v>187</v>
      </c>
      <c r="H58" s="5">
        <v>4901755336900</v>
      </c>
      <c r="I58" s="5">
        <v>5</v>
      </c>
      <c r="J58" s="5"/>
      <c r="K58" s="5">
        <v>1</v>
      </c>
      <c r="L58" s="5">
        <v>1</v>
      </c>
      <c r="M58" s="4">
        <v>2420</v>
      </c>
      <c r="N58" s="4">
        <v>1677</v>
      </c>
      <c r="O58" s="4">
        <v>1248</v>
      </c>
      <c r="P58" s="6">
        <f t="shared" si="31"/>
        <v>0.2558139534883721</v>
      </c>
      <c r="Q58" s="4" t="s">
        <v>287</v>
      </c>
      <c r="R58" s="4" t="s">
        <v>287</v>
      </c>
      <c r="S58" s="4" t="s">
        <v>287</v>
      </c>
      <c r="T58" s="4" t="s">
        <v>287</v>
      </c>
      <c r="U58" s="4" t="s">
        <v>287</v>
      </c>
      <c r="V58" s="4" t="s">
        <v>287</v>
      </c>
      <c r="W58" s="4" t="s">
        <v>287</v>
      </c>
      <c r="X58" s="4" t="s">
        <v>287</v>
      </c>
      <c r="Y58" s="4" t="s">
        <v>287</v>
      </c>
      <c r="Z58" s="4" t="s">
        <v>287</v>
      </c>
      <c r="AA58" s="4" t="s">
        <v>287</v>
      </c>
      <c r="AB58" s="4" t="s">
        <v>287</v>
      </c>
      <c r="AC58" s="4">
        <v>0</v>
      </c>
      <c r="AD58" s="4">
        <f t="shared" si="32"/>
        <v>0</v>
      </c>
      <c r="AE58" s="4">
        <v>1632</v>
      </c>
      <c r="AF58" s="4">
        <f t="shared" si="33"/>
        <v>1632</v>
      </c>
      <c r="AG58" s="4"/>
      <c r="AH58" s="21">
        <f t="shared" si="34"/>
        <v>2193</v>
      </c>
      <c r="AI58" s="6">
        <f t="shared" si="35"/>
        <v>0.2558139534883721</v>
      </c>
      <c r="AJ58" s="33">
        <v>0.25</v>
      </c>
      <c r="AK58" s="4">
        <f t="shared" si="36"/>
        <v>2029.9166666666665</v>
      </c>
      <c r="AL58" s="33">
        <f t="shared" si="37"/>
        <v>2654.5064102564102</v>
      </c>
      <c r="AM58" s="6">
        <f t="shared" si="38"/>
        <v>0.38519643663532988</v>
      </c>
      <c r="AN58" s="7">
        <v>2580</v>
      </c>
      <c r="AO58" s="6">
        <f t="shared" si="39"/>
        <v>0.36744186046511629</v>
      </c>
      <c r="AP58" s="4">
        <f t="shared" si="40"/>
        <v>948</v>
      </c>
      <c r="AQ58" s="28"/>
      <c r="AR58" s="6"/>
      <c r="AS58" s="6"/>
      <c r="AT58" s="6">
        <f t="shared" si="41"/>
        <v>0</v>
      </c>
      <c r="AU58" s="6">
        <f t="shared" si="42"/>
        <v>1.5384615384615385</v>
      </c>
      <c r="AV58" s="6">
        <f t="shared" si="43"/>
        <v>1.3076923076923077</v>
      </c>
      <c r="AW58" s="6" t="str">
        <f t="shared" si="15"/>
        <v>-</v>
      </c>
      <c r="AX58" s="4" t="str">
        <f t="shared" si="16"/>
        <v>-</v>
      </c>
      <c r="AY58" s="4" t="str">
        <f t="shared" si="17"/>
        <v>-</v>
      </c>
      <c r="AZ58" s="4" t="str">
        <f t="shared" si="18"/>
        <v>-</v>
      </c>
      <c r="BA58" s="4" t="str">
        <f t="shared" si="19"/>
        <v>-</v>
      </c>
      <c r="BB58" s="4" t="str">
        <f t="shared" si="20"/>
        <v>-</v>
      </c>
      <c r="BC58" s="4" t="str">
        <f t="shared" si="21"/>
        <v>-</v>
      </c>
      <c r="BD58" s="4" t="str">
        <f t="shared" si="22"/>
        <v>-</v>
      </c>
      <c r="BE58" s="4" t="str">
        <f t="shared" si="23"/>
        <v>-</v>
      </c>
      <c r="BF58" s="4" t="str">
        <f t="shared" si="24"/>
        <v>-</v>
      </c>
      <c r="BG58" s="4" t="str">
        <f t="shared" si="25"/>
        <v>-</v>
      </c>
      <c r="BH58" s="4" t="str">
        <f t="shared" si="26"/>
        <v>-</v>
      </c>
      <c r="BI58" s="4" t="str">
        <f t="shared" si="27"/>
        <v>-</v>
      </c>
      <c r="BJ58" s="4">
        <v>0</v>
      </c>
      <c r="BK58" s="4" t="s">
        <v>419</v>
      </c>
      <c r="BL58" s="4">
        <v>1</v>
      </c>
      <c r="BM58" s="4">
        <v>12</v>
      </c>
      <c r="BN58" s="4" t="s">
        <v>420</v>
      </c>
      <c r="BO58" s="4">
        <v>24359</v>
      </c>
      <c r="BP58" s="4">
        <f t="shared" si="44"/>
        <v>2029.9166666666665</v>
      </c>
      <c r="BQ58" s="19">
        <v>4</v>
      </c>
      <c r="BR58" s="19">
        <v>8</v>
      </c>
      <c r="BS58" s="16">
        <v>1820</v>
      </c>
      <c r="BT58" t="s">
        <v>287</v>
      </c>
      <c r="BU58" t="str">
        <f t="shared" si="28"/>
        <v>-</v>
      </c>
      <c r="BV58">
        <v>2729</v>
      </c>
      <c r="BW58">
        <f t="shared" si="29"/>
        <v>3568.6923076923076</v>
      </c>
      <c r="BX58" t="s">
        <v>337</v>
      </c>
    </row>
    <row r="59" spans="1:76" x14ac:dyDescent="0.4">
      <c r="A59" s="3">
        <v>53</v>
      </c>
      <c r="B59" s="3">
        <v>53</v>
      </c>
      <c r="C59" s="4" t="s">
        <v>114</v>
      </c>
      <c r="D59" s="4" t="str">
        <f t="shared" si="30"/>
        <v>JY2487</v>
      </c>
      <c r="E59" s="4" t="s">
        <v>114</v>
      </c>
      <c r="F59" s="4" t="s">
        <v>260</v>
      </c>
      <c r="G59" s="4" t="s">
        <v>183</v>
      </c>
      <c r="H59" s="5">
        <v>4901755349498</v>
      </c>
      <c r="I59" s="5">
        <v>5</v>
      </c>
      <c r="J59" s="5"/>
      <c r="K59" s="5">
        <v>1</v>
      </c>
      <c r="L59" s="5">
        <v>1</v>
      </c>
      <c r="M59" s="4">
        <v>2860</v>
      </c>
      <c r="N59" s="4">
        <v>2014</v>
      </c>
      <c r="O59" s="4">
        <v>1488</v>
      </c>
      <c r="P59" s="6">
        <f t="shared" si="31"/>
        <v>0.2611717974180735</v>
      </c>
      <c r="Q59" s="4" t="s">
        <v>287</v>
      </c>
      <c r="R59" s="4" t="s">
        <v>287</v>
      </c>
      <c r="S59" s="4" t="s">
        <v>287</v>
      </c>
      <c r="T59" s="4" t="s">
        <v>287</v>
      </c>
      <c r="U59" s="4" t="s">
        <v>287</v>
      </c>
      <c r="V59" s="4" t="s">
        <v>287</v>
      </c>
      <c r="W59" s="4" t="s">
        <v>287</v>
      </c>
      <c r="X59" s="4" t="s">
        <v>287</v>
      </c>
      <c r="Y59" s="4" t="s">
        <v>287</v>
      </c>
      <c r="Z59" s="4" t="s">
        <v>287</v>
      </c>
      <c r="AA59" s="4" t="s">
        <v>287</v>
      </c>
      <c r="AB59" s="4" t="s">
        <v>287</v>
      </c>
      <c r="AC59" s="4">
        <v>0</v>
      </c>
      <c r="AD59" s="4">
        <f t="shared" si="32"/>
        <v>0</v>
      </c>
      <c r="AE59" s="4">
        <v>1968</v>
      </c>
      <c r="AF59" s="4">
        <f t="shared" si="33"/>
        <v>1968</v>
      </c>
      <c r="AG59" s="4"/>
      <c r="AH59" s="21">
        <f t="shared" si="34"/>
        <v>2664</v>
      </c>
      <c r="AI59" s="6">
        <f t="shared" si="35"/>
        <v>0.26126126126126126</v>
      </c>
      <c r="AJ59" s="33">
        <v>0.25</v>
      </c>
      <c r="AK59" s="4">
        <f t="shared" si="36"/>
        <v>2590.25</v>
      </c>
      <c r="AL59" s="33">
        <f t="shared" si="37"/>
        <v>3425.8145161290322</v>
      </c>
      <c r="AM59" s="6">
        <f t="shared" si="38"/>
        <v>0.42553807547534017</v>
      </c>
      <c r="AN59" s="7">
        <v>3080</v>
      </c>
      <c r="AO59" s="6">
        <f t="shared" si="39"/>
        <v>0.36103896103896105</v>
      </c>
      <c r="AP59" s="4">
        <f t="shared" si="40"/>
        <v>1112</v>
      </c>
      <c r="AQ59" s="28"/>
      <c r="AR59" s="6"/>
      <c r="AS59" s="6"/>
      <c r="AT59" s="6">
        <f t="shared" si="41"/>
        <v>0</v>
      </c>
      <c r="AU59" s="6">
        <f t="shared" si="42"/>
        <v>1.529294935451837</v>
      </c>
      <c r="AV59" s="6">
        <f t="shared" si="43"/>
        <v>1.3225806451612903</v>
      </c>
      <c r="AW59" s="6" t="str">
        <f t="shared" si="15"/>
        <v>-</v>
      </c>
      <c r="AX59" s="4" t="str">
        <f t="shared" si="16"/>
        <v>-</v>
      </c>
      <c r="AY59" s="4" t="str">
        <f t="shared" si="17"/>
        <v>-</v>
      </c>
      <c r="AZ59" s="4" t="str">
        <f t="shared" si="18"/>
        <v>-</v>
      </c>
      <c r="BA59" s="4" t="str">
        <f t="shared" si="19"/>
        <v>-</v>
      </c>
      <c r="BB59" s="4" t="str">
        <f t="shared" si="20"/>
        <v>-</v>
      </c>
      <c r="BC59" s="4" t="str">
        <f t="shared" si="21"/>
        <v>-</v>
      </c>
      <c r="BD59" s="4" t="str">
        <f t="shared" si="22"/>
        <v>-</v>
      </c>
      <c r="BE59" s="4" t="str">
        <f t="shared" si="23"/>
        <v>-</v>
      </c>
      <c r="BF59" s="4" t="str">
        <f t="shared" si="24"/>
        <v>-</v>
      </c>
      <c r="BG59" s="4" t="str">
        <f t="shared" si="25"/>
        <v>-</v>
      </c>
      <c r="BH59" s="4" t="str">
        <f t="shared" si="26"/>
        <v>-</v>
      </c>
      <c r="BI59" s="4" t="str">
        <f t="shared" si="27"/>
        <v>-</v>
      </c>
      <c r="BJ59" s="4">
        <v>0</v>
      </c>
      <c r="BK59" s="4" t="s">
        <v>421</v>
      </c>
      <c r="BL59" s="4">
        <v>1</v>
      </c>
      <c r="BM59" s="4">
        <v>4</v>
      </c>
      <c r="BN59" s="4" t="s">
        <v>405</v>
      </c>
      <c r="BO59" s="4">
        <v>10361</v>
      </c>
      <c r="BP59" s="4">
        <f t="shared" si="44"/>
        <v>2590.25</v>
      </c>
      <c r="BQ59" s="19">
        <v>4</v>
      </c>
      <c r="BR59" s="19">
        <v>8</v>
      </c>
      <c r="BS59" s="16">
        <v>1820</v>
      </c>
      <c r="BT59" t="s">
        <v>287</v>
      </c>
      <c r="BU59" t="str">
        <f t="shared" si="28"/>
        <v>-</v>
      </c>
      <c r="BV59" t="s">
        <v>287</v>
      </c>
      <c r="BW59" t="str">
        <f t="shared" si="29"/>
        <v>-</v>
      </c>
      <c r="BX59" t="s">
        <v>338</v>
      </c>
    </row>
    <row r="60" spans="1:76" x14ac:dyDescent="0.4">
      <c r="A60" s="3">
        <v>54</v>
      </c>
      <c r="B60" s="3">
        <v>54</v>
      </c>
      <c r="C60" s="4" t="s">
        <v>115</v>
      </c>
      <c r="D60" s="4" t="str">
        <f t="shared" si="30"/>
        <v>JY2446</v>
      </c>
      <c r="E60" s="4" t="s">
        <v>115</v>
      </c>
      <c r="F60" s="4" t="s">
        <v>261</v>
      </c>
      <c r="G60" s="4" t="s">
        <v>184</v>
      </c>
      <c r="H60" s="5">
        <v>4901755349504</v>
      </c>
      <c r="I60" s="5">
        <v>5</v>
      </c>
      <c r="J60" s="5"/>
      <c r="K60" s="5">
        <v>1</v>
      </c>
      <c r="L60" s="5">
        <v>1</v>
      </c>
      <c r="M60" s="4">
        <v>0</v>
      </c>
      <c r="N60" s="4">
        <v>2109</v>
      </c>
      <c r="O60" s="4">
        <v>1584</v>
      </c>
      <c r="P60" s="6">
        <f t="shared" si="31"/>
        <v>0.24893314366998576</v>
      </c>
      <c r="Q60" s="4" t="s">
        <v>287</v>
      </c>
      <c r="R60" s="4" t="s">
        <v>287</v>
      </c>
      <c r="S60" s="4" t="s">
        <v>287</v>
      </c>
      <c r="T60" s="4" t="s">
        <v>287</v>
      </c>
      <c r="U60" s="4" t="s">
        <v>287</v>
      </c>
      <c r="V60" s="4" t="s">
        <v>287</v>
      </c>
      <c r="W60" s="4" t="s">
        <v>287</v>
      </c>
      <c r="X60" s="4" t="s">
        <v>287</v>
      </c>
      <c r="Y60" s="4" t="s">
        <v>287</v>
      </c>
      <c r="Z60" s="4" t="s">
        <v>287</v>
      </c>
      <c r="AA60" s="4" t="s">
        <v>287</v>
      </c>
      <c r="AB60" s="4" t="s">
        <v>287</v>
      </c>
      <c r="AC60" s="4">
        <v>0</v>
      </c>
      <c r="AD60" s="4">
        <f t="shared" si="32"/>
        <v>0</v>
      </c>
      <c r="AE60" s="4">
        <v>2112</v>
      </c>
      <c r="AF60" s="4">
        <f t="shared" si="33"/>
        <v>2112</v>
      </c>
      <c r="AG60" s="4"/>
      <c r="AH60" s="21">
        <f t="shared" si="34"/>
        <v>2812</v>
      </c>
      <c r="AI60" s="6">
        <f t="shared" si="35"/>
        <v>0.24893314366998576</v>
      </c>
      <c r="AJ60" s="33">
        <v>0.25</v>
      </c>
      <c r="AK60" s="4">
        <f t="shared" si="36"/>
        <v>3237.25</v>
      </c>
      <c r="AL60" s="33">
        <f t="shared" si="37"/>
        <v>4316.333333333333</v>
      </c>
      <c r="AM60" s="6">
        <f t="shared" si="38"/>
        <v>0.51069580662599423</v>
      </c>
      <c r="AN60" s="7">
        <v>3280</v>
      </c>
      <c r="AO60" s="6">
        <f t="shared" si="39"/>
        <v>0.35609756097560974</v>
      </c>
      <c r="AP60" s="4">
        <f t="shared" si="40"/>
        <v>1168</v>
      </c>
      <c r="AQ60" s="28"/>
      <c r="AR60" s="6"/>
      <c r="AS60" s="6"/>
      <c r="AT60" s="6" t="str">
        <f t="shared" si="41"/>
        <v>-</v>
      </c>
      <c r="AU60" s="6">
        <f t="shared" si="42"/>
        <v>1.555239449976292</v>
      </c>
      <c r="AV60" s="6">
        <f t="shared" si="43"/>
        <v>1.3333333333333333</v>
      </c>
      <c r="AW60" s="6" t="str">
        <f t="shared" si="15"/>
        <v>-</v>
      </c>
      <c r="AX60" s="4" t="str">
        <f t="shared" si="16"/>
        <v>-</v>
      </c>
      <c r="AY60" s="4" t="str">
        <f t="shared" si="17"/>
        <v>-</v>
      </c>
      <c r="AZ60" s="4" t="str">
        <f t="shared" si="18"/>
        <v>-</v>
      </c>
      <c r="BA60" s="4" t="str">
        <f t="shared" si="19"/>
        <v>-</v>
      </c>
      <c r="BB60" s="4" t="str">
        <f t="shared" si="20"/>
        <v>-</v>
      </c>
      <c r="BC60" s="4" t="str">
        <f t="shared" si="21"/>
        <v>-</v>
      </c>
      <c r="BD60" s="4" t="str">
        <f t="shared" si="22"/>
        <v>-</v>
      </c>
      <c r="BE60" s="4" t="str">
        <f t="shared" si="23"/>
        <v>-</v>
      </c>
      <c r="BF60" s="4" t="str">
        <f t="shared" si="24"/>
        <v>-</v>
      </c>
      <c r="BG60" s="4" t="str">
        <f t="shared" si="25"/>
        <v>-</v>
      </c>
      <c r="BH60" s="4" t="str">
        <f t="shared" si="26"/>
        <v>-</v>
      </c>
      <c r="BI60" s="4" t="str">
        <f t="shared" si="27"/>
        <v>-</v>
      </c>
      <c r="BJ60" s="4">
        <v>0</v>
      </c>
      <c r="BK60" s="4" t="s">
        <v>422</v>
      </c>
      <c r="BL60" s="4">
        <v>1</v>
      </c>
      <c r="BM60" s="4">
        <v>4</v>
      </c>
      <c r="BN60" s="4" t="s">
        <v>405</v>
      </c>
      <c r="BO60" s="4">
        <v>12949</v>
      </c>
      <c r="BP60" s="4">
        <f t="shared" si="44"/>
        <v>3237.25</v>
      </c>
      <c r="BQ60" s="19">
        <v>4</v>
      </c>
      <c r="BR60" s="19">
        <v>8</v>
      </c>
      <c r="BS60" s="16">
        <v>1820</v>
      </c>
      <c r="BT60" t="s">
        <v>287</v>
      </c>
      <c r="BU60" t="str">
        <f t="shared" si="28"/>
        <v>-</v>
      </c>
      <c r="BV60" t="s">
        <v>287</v>
      </c>
      <c r="BW60" t="str">
        <f t="shared" si="29"/>
        <v>-</v>
      </c>
      <c r="BX60" t="s">
        <v>339</v>
      </c>
    </row>
    <row r="61" spans="1:76" x14ac:dyDescent="0.4">
      <c r="A61" s="45">
        <v>55</v>
      </c>
      <c r="B61" s="3">
        <v>55</v>
      </c>
      <c r="C61" s="4" t="s">
        <v>116</v>
      </c>
      <c r="D61" s="4" t="str">
        <f t="shared" si="30"/>
        <v>JY2525</v>
      </c>
      <c r="E61" s="4" t="s">
        <v>116</v>
      </c>
      <c r="F61" s="4" t="s">
        <v>262</v>
      </c>
      <c r="G61" s="4" t="s">
        <v>185</v>
      </c>
      <c r="H61" s="5">
        <v>4901755354324</v>
      </c>
      <c r="I61" s="5">
        <v>5</v>
      </c>
      <c r="J61" s="5"/>
      <c r="K61" s="5">
        <v>1</v>
      </c>
      <c r="L61" s="5">
        <v>1</v>
      </c>
      <c r="M61" s="4">
        <v>0</v>
      </c>
      <c r="N61" s="4">
        <v>3018</v>
      </c>
      <c r="O61" s="4">
        <v>2088</v>
      </c>
      <c r="P61" s="6">
        <f t="shared" si="31"/>
        <v>0.30815109343936387</v>
      </c>
      <c r="Q61" s="4" t="s">
        <v>287</v>
      </c>
      <c r="R61" s="4" t="s">
        <v>287</v>
      </c>
      <c r="S61" s="4" t="s">
        <v>287</v>
      </c>
      <c r="T61" s="4" t="s">
        <v>287</v>
      </c>
      <c r="U61" s="4" t="s">
        <v>287</v>
      </c>
      <c r="V61" s="4" t="s">
        <v>287</v>
      </c>
      <c r="W61" s="4" t="s">
        <v>287</v>
      </c>
      <c r="X61" s="4" t="s">
        <v>287</v>
      </c>
      <c r="Y61" s="4" t="s">
        <v>287</v>
      </c>
      <c r="Z61" s="4" t="s">
        <v>287</v>
      </c>
      <c r="AA61" s="4" t="s">
        <v>287</v>
      </c>
      <c r="AB61" s="4" t="s">
        <v>287</v>
      </c>
      <c r="AC61" s="4">
        <v>0</v>
      </c>
      <c r="AD61" s="4">
        <f t="shared" si="32"/>
        <v>0</v>
      </c>
      <c r="AE61" s="4">
        <v>2640</v>
      </c>
      <c r="AF61" s="4">
        <f t="shared" si="33"/>
        <v>2640</v>
      </c>
      <c r="AG61" s="4"/>
      <c r="AH61" s="21">
        <f t="shared" si="34"/>
        <v>3816</v>
      </c>
      <c r="AI61" s="6">
        <f t="shared" si="35"/>
        <v>0.30817610062893086</v>
      </c>
      <c r="AJ61" s="33">
        <v>0</v>
      </c>
      <c r="AK61" s="4">
        <f t="shared" si="36"/>
        <v>3817.5</v>
      </c>
      <c r="AL61" s="33">
        <f t="shared" si="37"/>
        <v>4826.7241379310344</v>
      </c>
      <c r="AM61" s="6">
        <f t="shared" si="38"/>
        <v>0.45304518664047155</v>
      </c>
      <c r="AN61" s="7">
        <v>4180</v>
      </c>
      <c r="AO61" s="6">
        <f t="shared" si="39"/>
        <v>0.36842105263157898</v>
      </c>
      <c r="AP61" s="46">
        <f t="shared" si="40"/>
        <v>1540</v>
      </c>
      <c r="AQ61" s="28"/>
      <c r="AR61" s="6"/>
      <c r="AS61" s="6"/>
      <c r="AT61" s="6" t="str">
        <f t="shared" si="41"/>
        <v>-</v>
      </c>
      <c r="AU61" s="6">
        <f t="shared" si="42"/>
        <v>1.3850231941683233</v>
      </c>
      <c r="AV61" s="6">
        <f t="shared" si="43"/>
        <v>1.264367816091954</v>
      </c>
      <c r="AW61" s="6" t="str">
        <f t="shared" si="15"/>
        <v>-</v>
      </c>
      <c r="AX61" s="4" t="str">
        <f t="shared" si="16"/>
        <v>-</v>
      </c>
      <c r="AY61" s="4" t="str">
        <f t="shared" si="17"/>
        <v>-</v>
      </c>
      <c r="AZ61" s="4" t="str">
        <f t="shared" si="18"/>
        <v>-</v>
      </c>
      <c r="BA61" s="4" t="str">
        <f t="shared" si="19"/>
        <v>-</v>
      </c>
      <c r="BB61" s="4" t="str">
        <f t="shared" si="20"/>
        <v>-</v>
      </c>
      <c r="BC61" s="4" t="str">
        <f t="shared" si="21"/>
        <v>-</v>
      </c>
      <c r="BD61" s="4" t="str">
        <f t="shared" si="22"/>
        <v>-</v>
      </c>
      <c r="BE61" s="4" t="str">
        <f t="shared" si="23"/>
        <v>-</v>
      </c>
      <c r="BF61" s="4" t="str">
        <f t="shared" si="24"/>
        <v>-</v>
      </c>
      <c r="BG61" s="4" t="str">
        <f t="shared" si="25"/>
        <v>-</v>
      </c>
      <c r="BH61" s="4" t="str">
        <f t="shared" si="26"/>
        <v>-</v>
      </c>
      <c r="BI61" s="4" t="str">
        <f t="shared" si="27"/>
        <v>-</v>
      </c>
      <c r="BJ61" s="4">
        <v>0</v>
      </c>
      <c r="BK61" s="4" t="s">
        <v>423</v>
      </c>
      <c r="BL61" s="4">
        <v>1</v>
      </c>
      <c r="BM61" s="4">
        <v>4</v>
      </c>
      <c r="BN61" s="4" t="s">
        <v>405</v>
      </c>
      <c r="BO61" s="4">
        <v>15270</v>
      </c>
      <c r="BP61" s="4">
        <f t="shared" si="44"/>
        <v>3817.5</v>
      </c>
      <c r="BQ61" s="19">
        <v>2</v>
      </c>
      <c r="BR61" s="19">
        <v>8</v>
      </c>
      <c r="BS61" s="16">
        <v>1820</v>
      </c>
      <c r="BT61" t="s">
        <v>287</v>
      </c>
      <c r="BU61" t="str">
        <f t="shared" si="28"/>
        <v>-</v>
      </c>
      <c r="BV61" t="s">
        <v>287</v>
      </c>
      <c r="BW61" t="str">
        <f t="shared" si="29"/>
        <v>-</v>
      </c>
      <c r="BX61" t="s">
        <v>340</v>
      </c>
    </row>
    <row r="62" spans="1:76" x14ac:dyDescent="0.4">
      <c r="A62" s="3">
        <v>59</v>
      </c>
      <c r="B62" s="3">
        <v>59</v>
      </c>
      <c r="C62" s="4" t="s">
        <v>120</v>
      </c>
      <c r="D62" s="4" t="str">
        <f t="shared" si="30"/>
        <v>J8660T</v>
      </c>
      <c r="E62" s="4" t="s">
        <v>120</v>
      </c>
      <c r="F62" s="4" t="s">
        <v>266</v>
      </c>
      <c r="G62" s="4" t="s">
        <v>189</v>
      </c>
      <c r="H62" s="5">
        <v>4901755593754</v>
      </c>
      <c r="I62" s="5">
        <v>5</v>
      </c>
      <c r="J62" s="5"/>
      <c r="K62" s="5">
        <v>1</v>
      </c>
      <c r="L62" s="5">
        <v>1</v>
      </c>
      <c r="M62" s="4">
        <v>0</v>
      </c>
      <c r="N62" s="4">
        <v>3525</v>
      </c>
      <c r="O62" s="4">
        <v>2429</v>
      </c>
      <c r="P62" s="6">
        <f t="shared" si="31"/>
        <v>0.31092198581560282</v>
      </c>
      <c r="Q62" s="4" t="s">
        <v>287</v>
      </c>
      <c r="R62" s="4" t="s">
        <v>287</v>
      </c>
      <c r="S62" s="4" t="s">
        <v>287</v>
      </c>
      <c r="T62" s="4" t="s">
        <v>287</v>
      </c>
      <c r="U62" s="4" t="s">
        <v>287</v>
      </c>
      <c r="V62" s="4" t="s">
        <v>287</v>
      </c>
      <c r="W62" s="4" t="s">
        <v>287</v>
      </c>
      <c r="X62" s="4" t="s">
        <v>287</v>
      </c>
      <c r="Y62" s="4" t="s">
        <v>287</v>
      </c>
      <c r="Z62" s="4" t="s">
        <v>287</v>
      </c>
      <c r="AA62" s="4" t="s">
        <v>287</v>
      </c>
      <c r="AB62" s="4" t="s">
        <v>287</v>
      </c>
      <c r="AC62" s="4">
        <v>0</v>
      </c>
      <c r="AD62" s="4">
        <f t="shared" si="32"/>
        <v>0</v>
      </c>
      <c r="AE62" s="4">
        <v>2805</v>
      </c>
      <c r="AF62" s="4">
        <f t="shared" si="33"/>
        <v>2805</v>
      </c>
      <c r="AG62" s="4"/>
      <c r="AH62" s="21">
        <f t="shared" si="34"/>
        <v>4071</v>
      </c>
      <c r="AI62" s="6">
        <f t="shared" si="35"/>
        <v>0.31098010316875457</v>
      </c>
      <c r="AJ62" s="33">
        <v>0</v>
      </c>
      <c r="AK62" s="4">
        <f t="shared" si="36"/>
        <v>4589</v>
      </c>
      <c r="AL62" s="33">
        <f t="shared" si="37"/>
        <v>5299.3598188554952</v>
      </c>
      <c r="AM62" s="6">
        <f t="shared" si="38"/>
        <v>0.47069078230551309</v>
      </c>
      <c r="AN62" s="7">
        <v>4480</v>
      </c>
      <c r="AO62" s="6">
        <f t="shared" si="39"/>
        <v>0.3738839285714286</v>
      </c>
      <c r="AP62" s="4">
        <f t="shared" si="40"/>
        <v>1675</v>
      </c>
      <c r="AQ62" s="28"/>
      <c r="AR62" s="6"/>
      <c r="AS62" s="6"/>
      <c r="AT62" s="6" t="str">
        <f t="shared" si="41"/>
        <v>-</v>
      </c>
      <c r="AU62" s="6">
        <f t="shared" si="42"/>
        <v>1.2709219858156029</v>
      </c>
      <c r="AV62" s="6">
        <f t="shared" si="43"/>
        <v>1.1547962124330999</v>
      </c>
      <c r="AW62" s="6" t="str">
        <f t="shared" si="15"/>
        <v>-</v>
      </c>
      <c r="AX62" s="4" t="str">
        <f t="shared" si="16"/>
        <v>-</v>
      </c>
      <c r="AY62" s="4" t="str">
        <f t="shared" si="17"/>
        <v>-</v>
      </c>
      <c r="AZ62" s="4" t="str">
        <f t="shared" si="18"/>
        <v>-</v>
      </c>
      <c r="BA62" s="4" t="str">
        <f t="shared" si="19"/>
        <v>-</v>
      </c>
      <c r="BB62" s="4" t="str">
        <f t="shared" si="20"/>
        <v>-</v>
      </c>
      <c r="BC62" s="4" t="str">
        <f t="shared" si="21"/>
        <v>-</v>
      </c>
      <c r="BD62" s="4" t="str">
        <f t="shared" si="22"/>
        <v>-</v>
      </c>
      <c r="BE62" s="4" t="str">
        <f t="shared" si="23"/>
        <v>-</v>
      </c>
      <c r="BF62" s="4" t="str">
        <f t="shared" si="24"/>
        <v>-</v>
      </c>
      <c r="BG62" s="4" t="str">
        <f t="shared" si="25"/>
        <v>-</v>
      </c>
      <c r="BH62" s="4" t="str">
        <f t="shared" si="26"/>
        <v>-</v>
      </c>
      <c r="BI62" s="4" t="str">
        <f t="shared" si="27"/>
        <v>-</v>
      </c>
      <c r="BJ62" s="4">
        <v>0</v>
      </c>
      <c r="BK62" s="4" t="s">
        <v>424</v>
      </c>
      <c r="BL62" s="4"/>
      <c r="BM62" s="4"/>
      <c r="BN62" s="4" t="s">
        <v>425</v>
      </c>
      <c r="BO62" s="4">
        <v>4589</v>
      </c>
      <c r="BP62" s="4">
        <f t="shared" si="44"/>
        <v>4589</v>
      </c>
      <c r="BQ62" s="19">
        <v>4</v>
      </c>
      <c r="BR62" s="19">
        <v>8</v>
      </c>
      <c r="BS62" s="16">
        <v>1820</v>
      </c>
      <c r="BT62" t="s">
        <v>287</v>
      </c>
      <c r="BU62" t="str">
        <f t="shared" si="28"/>
        <v>-</v>
      </c>
      <c r="BV62">
        <v>4236</v>
      </c>
      <c r="BW62">
        <f t="shared" si="29"/>
        <v>4891.7167558666115</v>
      </c>
      <c r="BX62" t="s">
        <v>341</v>
      </c>
    </row>
    <row r="63" spans="1:76" x14ac:dyDescent="0.4">
      <c r="A63" s="3">
        <v>61</v>
      </c>
      <c r="B63" s="3">
        <v>61</v>
      </c>
      <c r="C63" s="4" t="s">
        <v>122</v>
      </c>
      <c r="D63" s="4" t="str">
        <f t="shared" si="30"/>
        <v>J8663T</v>
      </c>
      <c r="E63" s="4" t="s">
        <v>122</v>
      </c>
      <c r="F63" s="4" t="s">
        <v>268</v>
      </c>
      <c r="G63" s="4" t="s">
        <v>191</v>
      </c>
      <c r="H63" s="5">
        <v>4901755593785</v>
      </c>
      <c r="I63" s="5">
        <v>5</v>
      </c>
      <c r="J63" s="5"/>
      <c r="K63" s="5">
        <v>1</v>
      </c>
      <c r="L63" s="5">
        <v>1</v>
      </c>
      <c r="M63" s="4">
        <v>0</v>
      </c>
      <c r="N63" s="4">
        <v>3852</v>
      </c>
      <c r="O63" s="4">
        <v>2879</v>
      </c>
      <c r="P63" s="6">
        <f t="shared" si="31"/>
        <v>0.25259605399792318</v>
      </c>
      <c r="Q63" s="4" t="s">
        <v>287</v>
      </c>
      <c r="R63" s="4" t="s">
        <v>287</v>
      </c>
      <c r="S63" s="4" t="s">
        <v>287</v>
      </c>
      <c r="T63" s="4" t="s">
        <v>287</v>
      </c>
      <c r="U63" s="4" t="s">
        <v>287</v>
      </c>
      <c r="V63" s="4" t="s">
        <v>287</v>
      </c>
      <c r="W63" s="4" t="s">
        <v>287</v>
      </c>
      <c r="X63" s="4" t="s">
        <v>287</v>
      </c>
      <c r="Y63" s="4" t="s">
        <v>287</v>
      </c>
      <c r="Z63" s="4" t="s">
        <v>287</v>
      </c>
      <c r="AA63" s="4" t="s">
        <v>287</v>
      </c>
      <c r="AB63" s="4" t="s">
        <v>287</v>
      </c>
      <c r="AC63" s="4">
        <v>0</v>
      </c>
      <c r="AD63" s="4">
        <f t="shared" si="32"/>
        <v>0</v>
      </c>
      <c r="AE63" s="4">
        <v>3400</v>
      </c>
      <c r="AF63" s="4">
        <f t="shared" si="33"/>
        <v>3400</v>
      </c>
      <c r="AG63" s="4"/>
      <c r="AH63" s="21">
        <f t="shared" si="34"/>
        <v>4549</v>
      </c>
      <c r="AI63" s="6">
        <f t="shared" si="35"/>
        <v>0.25258298527148826</v>
      </c>
      <c r="AJ63" s="33">
        <v>0</v>
      </c>
      <c r="AK63" s="4">
        <f t="shared" si="36"/>
        <v>4598.5</v>
      </c>
      <c r="AL63" s="33">
        <f t="shared" si="37"/>
        <v>5430.6703716568254</v>
      </c>
      <c r="AM63" s="6">
        <f t="shared" si="38"/>
        <v>0.37392628030879638</v>
      </c>
      <c r="AN63" s="7">
        <v>5280</v>
      </c>
      <c r="AO63" s="6">
        <f t="shared" si="39"/>
        <v>0.35606060606060608</v>
      </c>
      <c r="AP63" s="4">
        <f t="shared" si="40"/>
        <v>1880</v>
      </c>
      <c r="AQ63" s="28"/>
      <c r="AR63" s="6"/>
      <c r="AS63" s="6"/>
      <c r="AT63" s="6" t="str">
        <f t="shared" si="41"/>
        <v>-</v>
      </c>
      <c r="AU63" s="6">
        <f t="shared" si="42"/>
        <v>1.3707165109034267</v>
      </c>
      <c r="AV63" s="6">
        <f t="shared" si="43"/>
        <v>1.1809656130600903</v>
      </c>
      <c r="AW63" s="6" t="str">
        <f t="shared" si="15"/>
        <v>-</v>
      </c>
      <c r="AX63" s="4" t="str">
        <f t="shared" si="16"/>
        <v>-</v>
      </c>
      <c r="AY63" s="4" t="str">
        <f t="shared" si="17"/>
        <v>-</v>
      </c>
      <c r="AZ63" s="4" t="str">
        <f t="shared" si="18"/>
        <v>-</v>
      </c>
      <c r="BA63" s="4" t="str">
        <f t="shared" si="19"/>
        <v>-</v>
      </c>
      <c r="BB63" s="4" t="str">
        <f t="shared" si="20"/>
        <v>-</v>
      </c>
      <c r="BC63" s="4" t="str">
        <f t="shared" si="21"/>
        <v>-</v>
      </c>
      <c r="BD63" s="4" t="str">
        <f t="shared" si="22"/>
        <v>-</v>
      </c>
      <c r="BE63" s="4" t="str">
        <f t="shared" si="23"/>
        <v>-</v>
      </c>
      <c r="BF63" s="4" t="str">
        <f t="shared" si="24"/>
        <v>-</v>
      </c>
      <c r="BG63" s="4" t="str">
        <f t="shared" si="25"/>
        <v>-</v>
      </c>
      <c r="BH63" s="4" t="str">
        <f t="shared" si="26"/>
        <v>-</v>
      </c>
      <c r="BI63" s="4" t="str">
        <f t="shared" si="27"/>
        <v>-</v>
      </c>
      <c r="BJ63" s="4">
        <v>0</v>
      </c>
      <c r="BK63" s="4" t="s">
        <v>426</v>
      </c>
      <c r="BL63" s="4">
        <v>1</v>
      </c>
      <c r="BM63" s="4">
        <v>20</v>
      </c>
      <c r="BN63" s="4" t="s">
        <v>427</v>
      </c>
      <c r="BO63" s="4">
        <v>91970</v>
      </c>
      <c r="BP63" s="4">
        <f t="shared" si="44"/>
        <v>4598.5</v>
      </c>
      <c r="BQ63" s="19">
        <v>4</v>
      </c>
      <c r="BR63" s="19">
        <v>8</v>
      </c>
      <c r="BS63" s="16">
        <v>1820</v>
      </c>
      <c r="BT63" t="s">
        <v>287</v>
      </c>
      <c r="BU63" t="str">
        <f t="shared" si="28"/>
        <v>-</v>
      </c>
      <c r="BV63">
        <v>5000</v>
      </c>
      <c r="BW63">
        <f t="shared" si="29"/>
        <v>5904.8280653004513</v>
      </c>
      <c r="BX63" t="s">
        <v>342</v>
      </c>
    </row>
    <row r="64" spans="1:76" x14ac:dyDescent="0.4">
      <c r="A64" s="45">
        <v>62</v>
      </c>
      <c r="B64" s="3">
        <v>62</v>
      </c>
      <c r="C64" s="4" t="s">
        <v>123</v>
      </c>
      <c r="D64" s="4" t="str">
        <f t="shared" si="30"/>
        <v>J8662T</v>
      </c>
      <c r="E64" s="4" t="s">
        <v>123</v>
      </c>
      <c r="F64" s="4" t="s">
        <v>269</v>
      </c>
      <c r="G64" s="4" t="s">
        <v>192</v>
      </c>
      <c r="H64" s="5">
        <v>4901755593778</v>
      </c>
      <c r="I64" s="5">
        <v>5</v>
      </c>
      <c r="J64" s="5"/>
      <c r="K64" s="5">
        <v>1</v>
      </c>
      <c r="L64" s="5">
        <v>1</v>
      </c>
      <c r="M64" s="4">
        <v>0</v>
      </c>
      <c r="N64" s="4">
        <v>4790</v>
      </c>
      <c r="O64" s="4">
        <v>3149</v>
      </c>
      <c r="P64" s="6">
        <f t="shared" si="31"/>
        <v>0.34258872651356997</v>
      </c>
      <c r="Q64" s="4" t="s">
        <v>287</v>
      </c>
      <c r="R64" s="4" t="s">
        <v>287</v>
      </c>
      <c r="S64" s="4" t="s">
        <v>287</v>
      </c>
      <c r="T64" s="4" t="s">
        <v>287</v>
      </c>
      <c r="U64" s="4" t="s">
        <v>287</v>
      </c>
      <c r="V64" s="4" t="s">
        <v>287</v>
      </c>
      <c r="W64" s="4" t="s">
        <v>287</v>
      </c>
      <c r="X64" s="4" t="s">
        <v>287</v>
      </c>
      <c r="Y64" s="4" t="s">
        <v>287</v>
      </c>
      <c r="Z64" s="4" t="s">
        <v>287</v>
      </c>
      <c r="AA64" s="4" t="s">
        <v>287</v>
      </c>
      <c r="AB64" s="4" t="s">
        <v>287</v>
      </c>
      <c r="AC64" s="4">
        <v>0</v>
      </c>
      <c r="AD64" s="4">
        <f t="shared" si="32"/>
        <v>0</v>
      </c>
      <c r="AE64" s="4">
        <v>3910</v>
      </c>
      <c r="AF64" s="4">
        <f t="shared" si="33"/>
        <v>3910</v>
      </c>
      <c r="AG64" s="4"/>
      <c r="AH64" s="21">
        <f t="shared" si="34"/>
        <v>5948</v>
      </c>
      <c r="AI64" s="6">
        <f t="shared" si="35"/>
        <v>0.34263618022864828</v>
      </c>
      <c r="AJ64" s="33">
        <v>0</v>
      </c>
      <c r="AK64" s="4">
        <f t="shared" si="36"/>
        <v>2445.5</v>
      </c>
      <c r="AL64" s="33">
        <f t="shared" si="37"/>
        <v>3036.489361702128</v>
      </c>
      <c r="AM64" s="6">
        <f t="shared" si="38"/>
        <v>-0.28767123287671215</v>
      </c>
      <c r="AN64" s="7">
        <v>6180</v>
      </c>
      <c r="AO64" s="6">
        <f t="shared" si="39"/>
        <v>0.3673139158576052</v>
      </c>
      <c r="AP64" s="46">
        <f t="shared" si="40"/>
        <v>2270</v>
      </c>
      <c r="AQ64" s="28"/>
      <c r="AR64" s="6"/>
      <c r="AS64" s="6"/>
      <c r="AT64" s="6" t="str">
        <f t="shared" si="41"/>
        <v>-</v>
      </c>
      <c r="AU64" s="6">
        <f t="shared" si="42"/>
        <v>1.2901878914405009</v>
      </c>
      <c r="AV64" s="6">
        <f t="shared" si="43"/>
        <v>1.2416640203239124</v>
      </c>
      <c r="AW64" s="6" t="str">
        <f t="shared" si="15"/>
        <v>-</v>
      </c>
      <c r="AX64" s="4" t="str">
        <f t="shared" si="16"/>
        <v>-</v>
      </c>
      <c r="AY64" s="4" t="str">
        <f t="shared" si="17"/>
        <v>-</v>
      </c>
      <c r="AZ64" s="4" t="str">
        <f t="shared" si="18"/>
        <v>-</v>
      </c>
      <c r="BA64" s="4" t="str">
        <f t="shared" si="19"/>
        <v>-</v>
      </c>
      <c r="BB64" s="4" t="str">
        <f t="shared" si="20"/>
        <v>-</v>
      </c>
      <c r="BC64" s="4" t="str">
        <f t="shared" si="21"/>
        <v>-</v>
      </c>
      <c r="BD64" s="4" t="str">
        <f t="shared" si="22"/>
        <v>-</v>
      </c>
      <c r="BE64" s="4" t="str">
        <f t="shared" si="23"/>
        <v>-</v>
      </c>
      <c r="BF64" s="4" t="str">
        <f t="shared" si="24"/>
        <v>-</v>
      </c>
      <c r="BG64" s="4" t="str">
        <f t="shared" si="25"/>
        <v>-</v>
      </c>
      <c r="BH64" s="4" t="str">
        <f t="shared" si="26"/>
        <v>-</v>
      </c>
      <c r="BI64" s="4" t="str">
        <f t="shared" si="27"/>
        <v>-</v>
      </c>
      <c r="BJ64" s="4">
        <v>0</v>
      </c>
      <c r="BK64" s="4" t="s">
        <v>428</v>
      </c>
      <c r="BL64" s="4">
        <v>1</v>
      </c>
      <c r="BM64" s="4">
        <v>20</v>
      </c>
      <c r="BN64" s="4" t="s">
        <v>429</v>
      </c>
      <c r="BO64" s="4">
        <v>48910</v>
      </c>
      <c r="BP64" s="4">
        <f t="shared" si="44"/>
        <v>2445.5</v>
      </c>
      <c r="BQ64" s="19">
        <v>2</v>
      </c>
      <c r="BR64" s="19">
        <v>8</v>
      </c>
      <c r="BS64" s="16">
        <v>1820</v>
      </c>
      <c r="BT64" t="s">
        <v>287</v>
      </c>
      <c r="BU64" t="str">
        <f t="shared" si="28"/>
        <v>-</v>
      </c>
      <c r="BV64">
        <v>5500</v>
      </c>
      <c r="BW64">
        <f t="shared" si="29"/>
        <v>6829.1521117815182</v>
      </c>
      <c r="BX64" t="s">
        <v>343</v>
      </c>
    </row>
    <row r="65" spans="1:76" x14ac:dyDescent="0.4">
      <c r="A65" s="3">
        <v>63</v>
      </c>
      <c r="B65" s="3">
        <v>63</v>
      </c>
      <c r="C65" s="4" t="s">
        <v>124</v>
      </c>
      <c r="D65" s="4" t="str">
        <f t="shared" si="30"/>
        <v>J8664T</v>
      </c>
      <c r="E65" s="4" t="s">
        <v>124</v>
      </c>
      <c r="F65" s="4" t="s">
        <v>270</v>
      </c>
      <c r="G65" s="4" t="s">
        <v>193</v>
      </c>
      <c r="H65" s="5">
        <v>4901755593792</v>
      </c>
      <c r="I65" s="5">
        <v>5</v>
      </c>
      <c r="J65" s="5"/>
      <c r="K65" s="5">
        <v>1</v>
      </c>
      <c r="L65" s="5">
        <v>1</v>
      </c>
      <c r="M65" s="4">
        <v>0</v>
      </c>
      <c r="N65" s="4">
        <v>4214</v>
      </c>
      <c r="O65" s="4">
        <v>3149</v>
      </c>
      <c r="P65" s="6">
        <f t="shared" si="31"/>
        <v>0.2527289985761747</v>
      </c>
      <c r="Q65" s="4" t="s">
        <v>287</v>
      </c>
      <c r="R65" s="4" t="s">
        <v>287</v>
      </c>
      <c r="S65" s="4" t="s">
        <v>287</v>
      </c>
      <c r="T65" s="4" t="s">
        <v>287</v>
      </c>
      <c r="U65" s="4" t="s">
        <v>287</v>
      </c>
      <c r="V65" s="4" t="s">
        <v>287</v>
      </c>
      <c r="W65" s="4" t="s">
        <v>287</v>
      </c>
      <c r="X65" s="4" t="s">
        <v>287</v>
      </c>
      <c r="Y65" s="4" t="s">
        <v>287</v>
      </c>
      <c r="Z65" s="4" t="s">
        <v>287</v>
      </c>
      <c r="AA65" s="4" t="s">
        <v>287</v>
      </c>
      <c r="AB65" s="4" t="s">
        <v>287</v>
      </c>
      <c r="AC65" s="4">
        <v>0</v>
      </c>
      <c r="AD65" s="4">
        <f t="shared" si="32"/>
        <v>0</v>
      </c>
      <c r="AE65" s="4">
        <v>4165</v>
      </c>
      <c r="AF65" s="4">
        <f t="shared" si="33"/>
        <v>4165</v>
      </c>
      <c r="AG65" s="4"/>
      <c r="AH65" s="21">
        <f t="shared" si="34"/>
        <v>5574</v>
      </c>
      <c r="AI65" s="6">
        <f t="shared" si="35"/>
        <v>0.25278076785073555</v>
      </c>
      <c r="AJ65" s="33">
        <v>0</v>
      </c>
      <c r="AK65" s="4" t="str">
        <f t="shared" si="36"/>
        <v>-</v>
      </c>
      <c r="AL65" s="33" t="str">
        <f t="shared" si="37"/>
        <v>-</v>
      </c>
      <c r="AM65" s="6" t="str">
        <f t="shared" si="38"/>
        <v>-</v>
      </c>
      <c r="AN65" s="7">
        <v>6480</v>
      </c>
      <c r="AO65" s="6">
        <f t="shared" si="39"/>
        <v>0.35725308641975306</v>
      </c>
      <c r="AP65" s="4">
        <f t="shared" si="40"/>
        <v>2315</v>
      </c>
      <c r="AQ65" s="28"/>
      <c r="AR65" s="6"/>
      <c r="AS65" s="6"/>
      <c r="AT65" s="6" t="str">
        <f t="shared" si="41"/>
        <v>-</v>
      </c>
      <c r="AU65" s="6">
        <f t="shared" si="42"/>
        <v>1.5377313716184149</v>
      </c>
      <c r="AV65" s="6">
        <f t="shared" si="43"/>
        <v>1.3226421086059066</v>
      </c>
      <c r="AW65" s="6" t="str">
        <f t="shared" si="15"/>
        <v>-</v>
      </c>
      <c r="AX65" s="4" t="str">
        <f t="shared" si="16"/>
        <v>-</v>
      </c>
      <c r="AY65" s="4" t="str">
        <f t="shared" si="17"/>
        <v>-</v>
      </c>
      <c r="AZ65" s="4" t="str">
        <f t="shared" si="18"/>
        <v>-</v>
      </c>
      <c r="BA65" s="4" t="str">
        <f t="shared" si="19"/>
        <v>-</v>
      </c>
      <c r="BB65" s="4" t="str">
        <f t="shared" si="20"/>
        <v>-</v>
      </c>
      <c r="BC65" s="4" t="str">
        <f t="shared" si="21"/>
        <v>-</v>
      </c>
      <c r="BD65" s="4" t="str">
        <f t="shared" si="22"/>
        <v>-</v>
      </c>
      <c r="BE65" s="4" t="str">
        <f t="shared" si="23"/>
        <v>-</v>
      </c>
      <c r="BF65" s="4" t="str">
        <f t="shared" si="24"/>
        <v>-</v>
      </c>
      <c r="BG65" s="4" t="str">
        <f t="shared" si="25"/>
        <v>-</v>
      </c>
      <c r="BH65" s="4" t="str">
        <f t="shared" si="26"/>
        <v>-</v>
      </c>
      <c r="BI65" s="4" t="str">
        <f t="shared" si="27"/>
        <v>-</v>
      </c>
      <c r="BJ65" s="4">
        <v>0</v>
      </c>
      <c r="BK65" s="4" t="s">
        <v>287</v>
      </c>
      <c r="BL65" s="4"/>
      <c r="BM65" s="4"/>
      <c r="BN65" s="4" t="s">
        <v>287</v>
      </c>
      <c r="BO65" s="4" t="s">
        <v>287</v>
      </c>
      <c r="BP65" s="4" t="str">
        <f t="shared" si="44"/>
        <v>-</v>
      </c>
      <c r="BQ65" s="19">
        <v>4</v>
      </c>
      <c r="BR65" s="19">
        <v>8</v>
      </c>
      <c r="BS65" s="16">
        <v>1820</v>
      </c>
      <c r="BT65" t="s">
        <v>287</v>
      </c>
      <c r="BU65" t="str">
        <f t="shared" si="28"/>
        <v>-</v>
      </c>
      <c r="BV65">
        <v>5500</v>
      </c>
      <c r="BW65">
        <f t="shared" si="29"/>
        <v>7274.5315973324859</v>
      </c>
      <c r="BX65" t="s">
        <v>287</v>
      </c>
    </row>
    <row r="66" spans="1:76" x14ac:dyDescent="0.4">
      <c r="A66" s="45">
        <v>64</v>
      </c>
      <c r="B66" s="3">
        <v>64</v>
      </c>
      <c r="C66" s="4" t="s">
        <v>125</v>
      </c>
      <c r="D66" s="4" t="str">
        <f t="shared" si="30"/>
        <v>J8659T</v>
      </c>
      <c r="E66" s="4" t="s">
        <v>125</v>
      </c>
      <c r="F66" s="4" t="s">
        <v>271</v>
      </c>
      <c r="G66" s="4" t="s">
        <v>194</v>
      </c>
      <c r="H66" s="5">
        <v>4901755593747</v>
      </c>
      <c r="I66" s="5">
        <v>5</v>
      </c>
      <c r="J66" s="5"/>
      <c r="K66" s="5">
        <v>1</v>
      </c>
      <c r="L66" s="5">
        <v>1</v>
      </c>
      <c r="M66" s="4">
        <v>0</v>
      </c>
      <c r="N66" s="4">
        <v>5272</v>
      </c>
      <c r="O66" s="4">
        <v>3509</v>
      </c>
      <c r="P66" s="6">
        <f t="shared" si="31"/>
        <v>0.33440819423368739</v>
      </c>
      <c r="Q66" s="4" t="s">
        <v>287</v>
      </c>
      <c r="R66" s="4" t="s">
        <v>287</v>
      </c>
      <c r="S66" s="4" t="s">
        <v>287</v>
      </c>
      <c r="T66" s="4" t="s">
        <v>287</v>
      </c>
      <c r="U66" s="4" t="s">
        <v>287</v>
      </c>
      <c r="V66" s="4" t="s">
        <v>287</v>
      </c>
      <c r="W66" s="4" t="s">
        <v>287</v>
      </c>
      <c r="X66" s="4" t="s">
        <v>287</v>
      </c>
      <c r="Y66" s="4" t="s">
        <v>287</v>
      </c>
      <c r="Z66" s="4" t="s">
        <v>287</v>
      </c>
      <c r="AA66" s="4" t="s">
        <v>287</v>
      </c>
      <c r="AB66" s="4" t="s">
        <v>287</v>
      </c>
      <c r="AC66" s="4">
        <v>0</v>
      </c>
      <c r="AD66" s="4">
        <f t="shared" si="32"/>
        <v>0</v>
      </c>
      <c r="AE66" s="4">
        <v>4420</v>
      </c>
      <c r="AF66" s="4">
        <f t="shared" si="33"/>
        <v>4420</v>
      </c>
      <c r="AG66" s="4"/>
      <c r="AH66" s="21">
        <f t="shared" si="34"/>
        <v>6641</v>
      </c>
      <c r="AI66" s="6">
        <f t="shared" si="35"/>
        <v>0.33443758470109919</v>
      </c>
      <c r="AJ66" s="33">
        <v>0</v>
      </c>
      <c r="AK66" s="4">
        <f t="shared" si="36"/>
        <v>7126</v>
      </c>
      <c r="AL66" s="33">
        <f t="shared" si="37"/>
        <v>8976.0387574807628</v>
      </c>
      <c r="AM66" s="6">
        <f t="shared" si="38"/>
        <v>0.50757788380578162</v>
      </c>
      <c r="AN66" s="7">
        <v>6980</v>
      </c>
      <c r="AO66" s="6">
        <f t="shared" si="39"/>
        <v>0.36676217765042984</v>
      </c>
      <c r="AP66" s="46">
        <f t="shared" si="40"/>
        <v>2560</v>
      </c>
      <c r="AQ66" s="28"/>
      <c r="AR66" s="6"/>
      <c r="AS66" s="6"/>
      <c r="AT66" s="6" t="str">
        <f t="shared" si="41"/>
        <v>-</v>
      </c>
      <c r="AU66" s="6">
        <f t="shared" si="42"/>
        <v>1.3239757207890743</v>
      </c>
      <c r="AV66" s="6">
        <f t="shared" si="43"/>
        <v>1.2596181248218865</v>
      </c>
      <c r="AW66" s="6" t="str">
        <f t="shared" si="15"/>
        <v>-</v>
      </c>
      <c r="AX66" s="4" t="str">
        <f t="shared" si="16"/>
        <v>-</v>
      </c>
      <c r="AY66" s="4" t="str">
        <f t="shared" si="17"/>
        <v>-</v>
      </c>
      <c r="AZ66" s="4" t="str">
        <f t="shared" si="18"/>
        <v>-</v>
      </c>
      <c r="BA66" s="4" t="str">
        <f t="shared" si="19"/>
        <v>-</v>
      </c>
      <c r="BB66" s="4" t="str">
        <f t="shared" si="20"/>
        <v>-</v>
      </c>
      <c r="BC66" s="4" t="str">
        <f t="shared" si="21"/>
        <v>-</v>
      </c>
      <c r="BD66" s="4" t="str">
        <f t="shared" si="22"/>
        <v>-</v>
      </c>
      <c r="BE66" s="4" t="str">
        <f t="shared" si="23"/>
        <v>-</v>
      </c>
      <c r="BF66" s="4" t="str">
        <f t="shared" si="24"/>
        <v>-</v>
      </c>
      <c r="BG66" s="4" t="str">
        <f t="shared" si="25"/>
        <v>-</v>
      </c>
      <c r="BH66" s="4" t="str">
        <f t="shared" si="26"/>
        <v>-</v>
      </c>
      <c r="BI66" s="4" t="str">
        <f t="shared" si="27"/>
        <v>-</v>
      </c>
      <c r="BJ66" s="4">
        <v>0</v>
      </c>
      <c r="BK66" s="4" t="s">
        <v>430</v>
      </c>
      <c r="BL66" s="4"/>
      <c r="BM66" s="4"/>
      <c r="BN66" s="4" t="s">
        <v>425</v>
      </c>
      <c r="BO66" s="4">
        <v>7126</v>
      </c>
      <c r="BP66" s="4">
        <f t="shared" si="44"/>
        <v>7126</v>
      </c>
      <c r="BQ66" s="19">
        <v>2</v>
      </c>
      <c r="BR66" s="19">
        <v>8</v>
      </c>
      <c r="BS66" s="16">
        <v>1820</v>
      </c>
      <c r="BT66" t="s">
        <v>287</v>
      </c>
      <c r="BU66" t="str">
        <f t="shared" si="28"/>
        <v>-</v>
      </c>
      <c r="BV66">
        <v>6000</v>
      </c>
      <c r="BW66">
        <f t="shared" si="29"/>
        <v>7557.708748931319</v>
      </c>
      <c r="BX66" t="s">
        <v>344</v>
      </c>
    </row>
    <row r="67" spans="1:76" x14ac:dyDescent="0.4">
      <c r="A67" s="3">
        <v>58</v>
      </c>
      <c r="B67" s="3">
        <v>58</v>
      </c>
      <c r="C67" s="4" t="s">
        <v>119</v>
      </c>
      <c r="D67" s="4" t="str">
        <f t="shared" si="30"/>
        <v>J6251T</v>
      </c>
      <c r="E67" s="4" t="s">
        <v>119</v>
      </c>
      <c r="F67" s="4" t="s">
        <v>265</v>
      </c>
      <c r="G67" s="4" t="s">
        <v>188</v>
      </c>
      <c r="H67" s="5">
        <v>4901755190519</v>
      </c>
      <c r="I67" s="5">
        <v>5</v>
      </c>
      <c r="J67" s="5"/>
      <c r="K67" s="5">
        <v>1</v>
      </c>
      <c r="L67" s="5">
        <v>1</v>
      </c>
      <c r="M67" s="4">
        <v>0</v>
      </c>
      <c r="N67" s="4">
        <v>314</v>
      </c>
      <c r="O67" s="4">
        <v>232</v>
      </c>
      <c r="P67" s="6">
        <f t="shared" si="31"/>
        <v>0.26114649681528668</v>
      </c>
      <c r="Q67" s="4" t="s">
        <v>287</v>
      </c>
      <c r="R67" s="4" t="s">
        <v>287</v>
      </c>
      <c r="S67" s="4" t="s">
        <v>287</v>
      </c>
      <c r="T67" s="4" t="s">
        <v>287</v>
      </c>
      <c r="U67" s="4" t="s">
        <v>287</v>
      </c>
      <c r="V67" s="4" t="s">
        <v>287</v>
      </c>
      <c r="W67" s="4" t="s">
        <v>287</v>
      </c>
      <c r="X67" s="4" t="s">
        <v>287</v>
      </c>
      <c r="Y67" s="4" t="s">
        <v>287</v>
      </c>
      <c r="Z67" s="4" t="s">
        <v>287</v>
      </c>
      <c r="AA67" s="4" t="s">
        <v>287</v>
      </c>
      <c r="AB67" s="4" t="s">
        <v>287</v>
      </c>
      <c r="AC67" s="4">
        <v>0</v>
      </c>
      <c r="AD67" s="4">
        <f t="shared" si="32"/>
        <v>0</v>
      </c>
      <c r="AE67" s="4">
        <v>238</v>
      </c>
      <c r="AF67" s="4">
        <f t="shared" si="33"/>
        <v>238</v>
      </c>
      <c r="AG67" s="4"/>
      <c r="AH67" s="21">
        <f t="shared" si="34"/>
        <v>322</v>
      </c>
      <c r="AI67" s="6">
        <f t="shared" si="35"/>
        <v>0.26086956521739135</v>
      </c>
      <c r="AJ67" s="33">
        <v>1.5</v>
      </c>
      <c r="AK67" s="4">
        <f t="shared" si="36"/>
        <v>323</v>
      </c>
      <c r="AL67" s="33">
        <f t="shared" si="37"/>
        <v>331.35344827586209</v>
      </c>
      <c r="AM67" s="6">
        <f t="shared" si="38"/>
        <v>0.28173374613003099</v>
      </c>
      <c r="AN67" s="7">
        <v>331</v>
      </c>
      <c r="AO67" s="6">
        <f t="shared" si="39"/>
        <v>0.2809667673716012</v>
      </c>
      <c r="AP67" s="4">
        <f t="shared" si="40"/>
        <v>93</v>
      </c>
      <c r="AQ67" s="28"/>
      <c r="AR67" s="6"/>
      <c r="AS67" s="6"/>
      <c r="AT67" s="6" t="str">
        <f t="shared" si="41"/>
        <v>-</v>
      </c>
      <c r="AU67" s="6">
        <f t="shared" si="42"/>
        <v>1.0541401273885351</v>
      </c>
      <c r="AV67" s="6">
        <f t="shared" si="43"/>
        <v>1.0258620689655173</v>
      </c>
      <c r="AW67" s="6" t="str">
        <f t="shared" si="15"/>
        <v>-</v>
      </c>
      <c r="AX67" s="4" t="str">
        <f t="shared" si="16"/>
        <v>-</v>
      </c>
      <c r="AY67" s="4" t="str">
        <f t="shared" si="17"/>
        <v>-</v>
      </c>
      <c r="AZ67" s="4" t="str">
        <f t="shared" si="18"/>
        <v>-</v>
      </c>
      <c r="BA67" s="4" t="str">
        <f t="shared" si="19"/>
        <v>-</v>
      </c>
      <c r="BB67" s="4" t="str">
        <f t="shared" si="20"/>
        <v>-</v>
      </c>
      <c r="BC67" s="4" t="str">
        <f t="shared" si="21"/>
        <v>-</v>
      </c>
      <c r="BD67" s="4" t="str">
        <f t="shared" si="22"/>
        <v>-</v>
      </c>
      <c r="BE67" s="4" t="str">
        <f t="shared" si="23"/>
        <v>-</v>
      </c>
      <c r="BF67" s="4" t="str">
        <f t="shared" si="24"/>
        <v>-</v>
      </c>
      <c r="BG67" s="4" t="str">
        <f t="shared" si="25"/>
        <v>-</v>
      </c>
      <c r="BH67" s="4" t="str">
        <f t="shared" si="26"/>
        <v>-</v>
      </c>
      <c r="BI67" s="4" t="str">
        <f t="shared" si="27"/>
        <v>-</v>
      </c>
      <c r="BJ67" s="4">
        <v>0</v>
      </c>
      <c r="BK67" s="4" t="s">
        <v>431</v>
      </c>
      <c r="BL67" s="4"/>
      <c r="BM67" s="4"/>
      <c r="BN67" s="4" t="s">
        <v>432</v>
      </c>
      <c r="BO67" s="4">
        <v>323</v>
      </c>
      <c r="BP67" s="4">
        <f t="shared" si="44"/>
        <v>323</v>
      </c>
      <c r="BQ67" s="19">
        <v>4</v>
      </c>
      <c r="BR67" s="19">
        <v>8</v>
      </c>
      <c r="BS67" s="16">
        <v>1830</v>
      </c>
      <c r="BT67" t="s">
        <v>287</v>
      </c>
      <c r="BU67" t="str">
        <f t="shared" si="28"/>
        <v>-</v>
      </c>
      <c r="BV67" t="s">
        <v>287</v>
      </c>
      <c r="BW67" t="str">
        <f t="shared" si="29"/>
        <v>-</v>
      </c>
      <c r="BX67" t="s">
        <v>345</v>
      </c>
    </row>
    <row r="68" spans="1:76" x14ac:dyDescent="0.4">
      <c r="A68" s="3">
        <v>60</v>
      </c>
      <c r="B68" s="3">
        <v>60</v>
      </c>
      <c r="C68" s="4" t="s">
        <v>121</v>
      </c>
      <c r="D68" s="4" t="str">
        <f t="shared" ref="D68:D78" si="45">TEXT(C68,"000000")</f>
        <v>J6252T</v>
      </c>
      <c r="E68" s="4" t="s">
        <v>121</v>
      </c>
      <c r="F68" s="4" t="s">
        <v>267</v>
      </c>
      <c r="G68" s="4" t="s">
        <v>190</v>
      </c>
      <c r="H68" s="5">
        <v>4901755190526</v>
      </c>
      <c r="I68" s="5">
        <v>5</v>
      </c>
      <c r="J68" s="5"/>
      <c r="K68" s="5">
        <v>1</v>
      </c>
      <c r="L68" s="5">
        <v>1</v>
      </c>
      <c r="M68" s="4">
        <v>0</v>
      </c>
      <c r="N68" s="4">
        <v>420</v>
      </c>
      <c r="O68" s="4">
        <v>291</v>
      </c>
      <c r="P68" s="6">
        <f t="shared" ref="P68:P78" si="46">IFERROR(1-O68/N68,"-")</f>
        <v>0.30714285714285716</v>
      </c>
      <c r="Q68" s="4" t="s">
        <v>287</v>
      </c>
      <c r="R68" s="4" t="s">
        <v>287</v>
      </c>
      <c r="S68" s="4" t="s">
        <v>287</v>
      </c>
      <c r="T68" s="4" t="s">
        <v>287</v>
      </c>
      <c r="U68" s="4" t="s">
        <v>287</v>
      </c>
      <c r="V68" s="4" t="s">
        <v>287</v>
      </c>
      <c r="W68" s="4" t="s">
        <v>287</v>
      </c>
      <c r="X68" s="4" t="s">
        <v>287</v>
      </c>
      <c r="Y68" s="4" t="s">
        <v>287</v>
      </c>
      <c r="Z68" s="4" t="s">
        <v>287</v>
      </c>
      <c r="AA68" s="4" t="s">
        <v>287</v>
      </c>
      <c r="AB68" s="4" t="s">
        <v>287</v>
      </c>
      <c r="AC68" s="4">
        <v>0</v>
      </c>
      <c r="AD68" s="4">
        <f t="shared" ref="AD68:AD78" si="47">IF(AG68="",AC68,AC68*AG68)</f>
        <v>0</v>
      </c>
      <c r="AE68" s="4">
        <v>306</v>
      </c>
      <c r="AF68" s="4">
        <f t="shared" ref="AF68:AF78" si="48">IF(AG68="",AE68,AE68*AG68)</f>
        <v>306</v>
      </c>
      <c r="AG68" s="4"/>
      <c r="AH68" s="21">
        <f t="shared" ref="AH68:AH78" si="49">ROUND(N68*AV68,0)</f>
        <v>442</v>
      </c>
      <c r="AI68" s="6">
        <f t="shared" ref="AI68:AI78" si="50">IFERROR(1-AF68/AH68,"-")</f>
        <v>0.30769230769230771</v>
      </c>
      <c r="AJ68" s="33">
        <v>0</v>
      </c>
      <c r="AK68" s="4">
        <f t="shared" ref="AK68:AK78" si="51">BP68</f>
        <v>593.9</v>
      </c>
      <c r="AL68" s="33">
        <f t="shared" ref="AL68:AL78" si="52">IFERROR(AK68*AV68,"-")</f>
        <v>624.51340206185569</v>
      </c>
      <c r="AM68" s="6">
        <f t="shared" ref="AM68:AM78" si="53">IFERROR(1-AF68/AL68,"-")</f>
        <v>0.51001852163663919</v>
      </c>
      <c r="AN68" s="7">
        <v>478</v>
      </c>
      <c r="AO68" s="6">
        <f t="shared" ref="AO68:AO78" si="54">1-AF68/AN68</f>
        <v>0.35983263598326365</v>
      </c>
      <c r="AP68" s="4">
        <f t="shared" ref="AP68:AP78" si="55">AN68-AF68</f>
        <v>172</v>
      </c>
      <c r="AQ68" s="28"/>
      <c r="AR68" s="6"/>
      <c r="AS68" s="6"/>
      <c r="AT68" s="6" t="str">
        <f t="shared" ref="AT68:AT78" si="56">IFERROR(AD68/M68,"-")</f>
        <v>-</v>
      </c>
      <c r="AU68" s="6">
        <f t="shared" ref="AU68:AU78" si="57">IFERROR(AN68/N68,"-")</f>
        <v>1.138095238095238</v>
      </c>
      <c r="AV68" s="6">
        <f t="shared" ref="AV68:AV78" si="58">IFERROR(AF68/O68,"-")</f>
        <v>1.0515463917525774</v>
      </c>
      <c r="AW68" s="6" t="str">
        <f t="shared" si="15"/>
        <v>-</v>
      </c>
      <c r="AX68" s="4" t="str">
        <f t="shared" si="16"/>
        <v>-</v>
      </c>
      <c r="AY68" s="4" t="str">
        <f t="shared" si="17"/>
        <v>-</v>
      </c>
      <c r="AZ68" s="4" t="str">
        <f t="shared" si="18"/>
        <v>-</v>
      </c>
      <c r="BA68" s="4" t="str">
        <f t="shared" si="19"/>
        <v>-</v>
      </c>
      <c r="BB68" s="4" t="str">
        <f t="shared" si="20"/>
        <v>-</v>
      </c>
      <c r="BC68" s="4" t="str">
        <f t="shared" si="21"/>
        <v>-</v>
      </c>
      <c r="BD68" s="4" t="str">
        <f t="shared" si="22"/>
        <v>-</v>
      </c>
      <c r="BE68" s="4" t="str">
        <f t="shared" si="23"/>
        <v>-</v>
      </c>
      <c r="BF68" s="4" t="str">
        <f t="shared" si="24"/>
        <v>-</v>
      </c>
      <c r="BG68" s="4" t="str">
        <f t="shared" si="25"/>
        <v>-</v>
      </c>
      <c r="BH68" s="4" t="str">
        <f t="shared" si="26"/>
        <v>-</v>
      </c>
      <c r="BI68" s="4" t="str">
        <f t="shared" si="27"/>
        <v>-</v>
      </c>
      <c r="BJ68" s="4">
        <v>0</v>
      </c>
      <c r="BK68" s="4" t="s">
        <v>433</v>
      </c>
      <c r="BL68" s="4">
        <v>1</v>
      </c>
      <c r="BM68" s="4">
        <v>10</v>
      </c>
      <c r="BN68" s="4" t="s">
        <v>434</v>
      </c>
      <c r="BO68" s="4">
        <v>5939</v>
      </c>
      <c r="BP68" s="4">
        <f t="shared" ref="BP68:BP78" si="59">IF(BL68="",BO68,BL68/BM68*BO68)</f>
        <v>593.9</v>
      </c>
      <c r="BQ68" s="19">
        <v>4</v>
      </c>
      <c r="BR68" s="19">
        <v>8</v>
      </c>
      <c r="BS68" s="16">
        <v>1830</v>
      </c>
      <c r="BT68" t="s">
        <v>287</v>
      </c>
      <c r="BU68" t="str">
        <f t="shared" si="28"/>
        <v>-</v>
      </c>
      <c r="BV68">
        <v>485</v>
      </c>
      <c r="BW68">
        <f t="shared" si="29"/>
        <v>510</v>
      </c>
      <c r="BX68" t="s">
        <v>346</v>
      </c>
    </row>
    <row r="69" spans="1:76" x14ac:dyDescent="0.4">
      <c r="A69" s="3">
        <v>5</v>
      </c>
      <c r="B69" s="3">
        <v>5</v>
      </c>
      <c r="C69" s="4" t="s">
        <v>71</v>
      </c>
      <c r="D69" s="4" t="str">
        <f t="shared" si="45"/>
        <v>J9021T</v>
      </c>
      <c r="E69" s="4" t="s">
        <v>71</v>
      </c>
      <c r="F69" s="4" t="s">
        <v>212</v>
      </c>
      <c r="G69" s="4" t="s">
        <v>135</v>
      </c>
      <c r="H69" s="5">
        <v>4901755650822</v>
      </c>
      <c r="I69" s="5">
        <v>5</v>
      </c>
      <c r="J69" s="5"/>
      <c r="K69" s="5">
        <v>1</v>
      </c>
      <c r="L69" s="5">
        <v>1</v>
      </c>
      <c r="M69" s="4">
        <v>0</v>
      </c>
      <c r="N69" s="4">
        <v>542</v>
      </c>
      <c r="O69" s="4">
        <v>404</v>
      </c>
      <c r="P69" s="6">
        <f t="shared" si="46"/>
        <v>0.25461254612546125</v>
      </c>
      <c r="Q69" s="4" t="s">
        <v>287</v>
      </c>
      <c r="R69" s="4" t="s">
        <v>287</v>
      </c>
      <c r="S69" s="4" t="s">
        <v>287</v>
      </c>
      <c r="T69" s="4" t="s">
        <v>287</v>
      </c>
      <c r="U69" s="4" t="s">
        <v>287</v>
      </c>
      <c r="V69" s="4" t="s">
        <v>287</v>
      </c>
      <c r="W69" s="4" t="s">
        <v>287</v>
      </c>
      <c r="X69" s="4" t="s">
        <v>287</v>
      </c>
      <c r="Y69" s="4" t="s">
        <v>287</v>
      </c>
      <c r="Z69" s="4" t="s">
        <v>287</v>
      </c>
      <c r="AA69" s="4" t="s">
        <v>287</v>
      </c>
      <c r="AB69" s="4" t="s">
        <v>287</v>
      </c>
      <c r="AC69" s="4">
        <v>0</v>
      </c>
      <c r="AD69" s="4">
        <f t="shared" si="47"/>
        <v>0</v>
      </c>
      <c r="AE69" s="4">
        <v>544</v>
      </c>
      <c r="AF69" s="4">
        <f t="shared" si="48"/>
        <v>544</v>
      </c>
      <c r="AG69" s="4"/>
      <c r="AH69" s="21">
        <f t="shared" si="49"/>
        <v>730</v>
      </c>
      <c r="AI69" s="6">
        <f t="shared" si="50"/>
        <v>0.25479452054794516</v>
      </c>
      <c r="AJ69" s="33">
        <v>1.25</v>
      </c>
      <c r="AK69" s="4">
        <f t="shared" si="51"/>
        <v>728.32500000000005</v>
      </c>
      <c r="AL69" s="33">
        <f t="shared" si="52"/>
        <v>980.71485148514864</v>
      </c>
      <c r="AM69" s="6">
        <f t="shared" si="53"/>
        <v>0.44530257783269833</v>
      </c>
      <c r="AN69" s="7">
        <v>848</v>
      </c>
      <c r="AO69" s="6">
        <f t="shared" si="54"/>
        <v>0.35849056603773588</v>
      </c>
      <c r="AP69" s="4">
        <f t="shared" si="55"/>
        <v>304</v>
      </c>
      <c r="AQ69" s="28"/>
      <c r="AR69" s="6"/>
      <c r="AS69" s="6"/>
      <c r="AT69" s="6" t="str">
        <f t="shared" si="56"/>
        <v>-</v>
      </c>
      <c r="AU69" s="6">
        <f t="shared" si="57"/>
        <v>1.5645756457564575</v>
      </c>
      <c r="AV69" s="6">
        <f t="shared" si="58"/>
        <v>1.3465346534653466</v>
      </c>
      <c r="AW69" s="6" t="str">
        <f t="shared" ref="AW69:AW78" si="60">IFERROR(1-AF69/AX69,"-")</f>
        <v>-</v>
      </c>
      <c r="AX69" s="4" t="str">
        <f t="shared" ref="AX69:AX78" si="61">IFERROR(ROUND($AN69*Q69/$N69,0),"-")</f>
        <v>-</v>
      </c>
      <c r="AY69" s="4" t="str">
        <f t="shared" ref="AY69:AY78" si="62">IF(R69="","-",R69)</f>
        <v>-</v>
      </c>
      <c r="AZ69" s="4" t="str">
        <f t="shared" ref="AZ69:AZ78" si="63">IF(S69="","-",S69)</f>
        <v>-</v>
      </c>
      <c r="BA69" s="4" t="str">
        <f t="shared" ref="BA69:BA78" si="64">IFERROR(ROUND($AN69*T69/$N69,0),"-")</f>
        <v>-</v>
      </c>
      <c r="BB69" s="4" t="str">
        <f t="shared" ref="BB69:BB78" si="65">IF(U69="","-",U69)</f>
        <v>-</v>
      </c>
      <c r="BC69" s="4" t="str">
        <f t="shared" ref="BC69:BC78" si="66">IF(V69="","-",V69)</f>
        <v>-</v>
      </c>
      <c r="BD69" s="4" t="str">
        <f t="shared" ref="BD69:BD78" si="67">IFERROR(ROUND($AN69*W69/$N69,0),"-")</f>
        <v>-</v>
      </c>
      <c r="BE69" s="4" t="str">
        <f t="shared" ref="BE69:BE78" si="68">IF(X69="","-",X69)</f>
        <v>-</v>
      </c>
      <c r="BF69" s="4" t="str">
        <f t="shared" ref="BF69:BF78" si="69">IF(Y69="","-",Y69)</f>
        <v>-</v>
      </c>
      <c r="BG69" s="4" t="str">
        <f t="shared" ref="BG69:BG78" si="70">IFERROR(ROUND($AN69*Z69/$N69,0),"-")</f>
        <v>-</v>
      </c>
      <c r="BH69" s="4" t="str">
        <f t="shared" ref="BH69:BH78" si="71">IF(AA69="","-",AA69)</f>
        <v>-</v>
      </c>
      <c r="BI69" s="4" t="str">
        <f t="shared" ref="BI69:BI78" si="72">IF(AB69="","-",AB69)</f>
        <v>-</v>
      </c>
      <c r="BJ69" s="4">
        <v>0</v>
      </c>
      <c r="BK69" s="4" t="s">
        <v>435</v>
      </c>
      <c r="BL69" s="4">
        <v>1</v>
      </c>
      <c r="BM69" s="4">
        <v>40</v>
      </c>
      <c r="BN69" s="4" t="s">
        <v>436</v>
      </c>
      <c r="BO69" s="4">
        <v>29133</v>
      </c>
      <c r="BP69" s="4">
        <f t="shared" si="59"/>
        <v>728.32500000000005</v>
      </c>
      <c r="BQ69" s="19">
        <v>4</v>
      </c>
      <c r="BR69" s="19">
        <v>8</v>
      </c>
      <c r="BS69" s="16">
        <v>1830</v>
      </c>
      <c r="BT69">
        <v>25280</v>
      </c>
      <c r="BU69">
        <f t="shared" ref="BU69:BU78" si="73">IFERROR(BT69*AV69,"-")</f>
        <v>34040.396039603962</v>
      </c>
      <c r="BV69" t="s">
        <v>287</v>
      </c>
      <c r="BW69" t="str">
        <f t="shared" ref="BW69:BW78" si="74">IFERROR(BV69*AV69,"-")</f>
        <v>-</v>
      </c>
      <c r="BX69" t="s">
        <v>347</v>
      </c>
    </row>
    <row r="70" spans="1:76" x14ac:dyDescent="0.4">
      <c r="A70" s="3">
        <v>7</v>
      </c>
      <c r="B70" s="3">
        <v>7</v>
      </c>
      <c r="C70" s="4" t="s">
        <v>73</v>
      </c>
      <c r="D70" s="4" t="str">
        <f t="shared" si="45"/>
        <v>J9020T</v>
      </c>
      <c r="E70" s="4" t="s">
        <v>73</v>
      </c>
      <c r="F70" s="4" t="s">
        <v>214</v>
      </c>
      <c r="G70" s="4" t="s">
        <v>137</v>
      </c>
      <c r="H70" s="5">
        <v>4901755650815</v>
      </c>
      <c r="I70" s="5">
        <v>5</v>
      </c>
      <c r="J70" s="5"/>
      <c r="K70" s="5">
        <v>1</v>
      </c>
      <c r="L70" s="5">
        <v>1</v>
      </c>
      <c r="M70" s="4">
        <v>0</v>
      </c>
      <c r="N70" s="4">
        <v>661</v>
      </c>
      <c r="O70" s="4">
        <v>494</v>
      </c>
      <c r="P70" s="6">
        <f t="shared" si="46"/>
        <v>0.25264750378214829</v>
      </c>
      <c r="Q70" s="4" t="s">
        <v>287</v>
      </c>
      <c r="R70" s="4" t="s">
        <v>287</v>
      </c>
      <c r="S70" s="4" t="s">
        <v>287</v>
      </c>
      <c r="T70" s="4" t="s">
        <v>287</v>
      </c>
      <c r="U70" s="4" t="s">
        <v>287</v>
      </c>
      <c r="V70" s="4" t="s">
        <v>287</v>
      </c>
      <c r="W70" s="4" t="s">
        <v>287</v>
      </c>
      <c r="X70" s="4" t="s">
        <v>287</v>
      </c>
      <c r="Y70" s="4" t="s">
        <v>287</v>
      </c>
      <c r="Z70" s="4" t="s">
        <v>287</v>
      </c>
      <c r="AA70" s="4" t="s">
        <v>287</v>
      </c>
      <c r="AB70" s="4" t="s">
        <v>287</v>
      </c>
      <c r="AC70" s="4">
        <v>0</v>
      </c>
      <c r="AD70" s="4">
        <f t="shared" si="47"/>
        <v>0</v>
      </c>
      <c r="AE70" s="4">
        <v>629</v>
      </c>
      <c r="AF70" s="4">
        <f t="shared" si="48"/>
        <v>629</v>
      </c>
      <c r="AG70" s="4"/>
      <c r="AH70" s="21">
        <f t="shared" si="49"/>
        <v>842</v>
      </c>
      <c r="AI70" s="6">
        <f t="shared" si="50"/>
        <v>0.25296912114014247</v>
      </c>
      <c r="AJ70" s="33">
        <v>2</v>
      </c>
      <c r="AK70" s="4">
        <f t="shared" si="51"/>
        <v>848.2</v>
      </c>
      <c r="AL70" s="33">
        <f t="shared" si="52"/>
        <v>1079.9955465587045</v>
      </c>
      <c r="AM70" s="6">
        <f t="shared" si="53"/>
        <v>0.41759019099269046</v>
      </c>
      <c r="AN70" s="7">
        <v>980</v>
      </c>
      <c r="AO70" s="6">
        <f t="shared" si="54"/>
        <v>0.35816326530612241</v>
      </c>
      <c r="AP70" s="4">
        <f t="shared" si="55"/>
        <v>351</v>
      </c>
      <c r="AQ70" s="28"/>
      <c r="AR70" s="6"/>
      <c r="AS70" s="6"/>
      <c r="AT70" s="6" t="str">
        <f t="shared" si="56"/>
        <v>-</v>
      </c>
      <c r="AU70" s="6">
        <f t="shared" si="57"/>
        <v>1.4826021180030258</v>
      </c>
      <c r="AV70" s="6">
        <f t="shared" si="58"/>
        <v>1.2732793522267207</v>
      </c>
      <c r="AW70" s="6" t="str">
        <f t="shared" si="60"/>
        <v>-</v>
      </c>
      <c r="AX70" s="4" t="str">
        <f t="shared" si="61"/>
        <v>-</v>
      </c>
      <c r="AY70" s="4" t="str">
        <f t="shared" si="62"/>
        <v>-</v>
      </c>
      <c r="AZ70" s="4" t="str">
        <f t="shared" si="63"/>
        <v>-</v>
      </c>
      <c r="BA70" s="4" t="str">
        <f t="shared" si="64"/>
        <v>-</v>
      </c>
      <c r="BB70" s="4" t="str">
        <f t="shared" si="65"/>
        <v>-</v>
      </c>
      <c r="BC70" s="4" t="str">
        <f t="shared" si="66"/>
        <v>-</v>
      </c>
      <c r="BD70" s="4" t="str">
        <f t="shared" si="67"/>
        <v>-</v>
      </c>
      <c r="BE70" s="4" t="str">
        <f t="shared" si="68"/>
        <v>-</v>
      </c>
      <c r="BF70" s="4" t="str">
        <f t="shared" si="69"/>
        <v>-</v>
      </c>
      <c r="BG70" s="4" t="str">
        <f t="shared" si="70"/>
        <v>-</v>
      </c>
      <c r="BH70" s="4" t="str">
        <f t="shared" si="71"/>
        <v>-</v>
      </c>
      <c r="BI70" s="4" t="str">
        <f t="shared" si="72"/>
        <v>-</v>
      </c>
      <c r="BJ70" s="4">
        <v>0</v>
      </c>
      <c r="BK70" s="4" t="s">
        <v>437</v>
      </c>
      <c r="BL70" s="4">
        <v>1</v>
      </c>
      <c r="BM70" s="4">
        <v>40</v>
      </c>
      <c r="BN70" s="4" t="s">
        <v>436</v>
      </c>
      <c r="BO70" s="4">
        <v>33928</v>
      </c>
      <c r="BP70" s="4">
        <f t="shared" si="59"/>
        <v>848.2</v>
      </c>
      <c r="BQ70" s="19">
        <v>4</v>
      </c>
      <c r="BR70" s="19">
        <v>8</v>
      </c>
      <c r="BS70" s="16">
        <v>1830</v>
      </c>
      <c r="BT70">
        <v>29440</v>
      </c>
      <c r="BU70">
        <f t="shared" si="73"/>
        <v>37485.344129554658</v>
      </c>
      <c r="BV70" t="s">
        <v>287</v>
      </c>
      <c r="BW70" t="str">
        <f t="shared" si="74"/>
        <v>-</v>
      </c>
      <c r="BX70" t="s">
        <v>348</v>
      </c>
    </row>
    <row r="71" spans="1:76" x14ac:dyDescent="0.4">
      <c r="A71" s="3">
        <v>6</v>
      </c>
      <c r="B71" s="3">
        <v>6</v>
      </c>
      <c r="C71" s="4" t="s">
        <v>72</v>
      </c>
      <c r="D71" s="4" t="str">
        <f t="shared" si="45"/>
        <v>J5302T</v>
      </c>
      <c r="E71" s="4" t="s">
        <v>72</v>
      </c>
      <c r="F71" s="4" t="s">
        <v>213</v>
      </c>
      <c r="G71" s="4" t="s">
        <v>136</v>
      </c>
      <c r="H71" s="5">
        <v>4901755008913</v>
      </c>
      <c r="I71" s="5">
        <v>5</v>
      </c>
      <c r="J71" s="5"/>
      <c r="K71" s="5">
        <v>1</v>
      </c>
      <c r="L71" s="5">
        <v>1</v>
      </c>
      <c r="M71" s="4">
        <v>0</v>
      </c>
      <c r="N71" s="4">
        <v>6270</v>
      </c>
      <c r="O71" s="4">
        <v>4950</v>
      </c>
      <c r="P71" s="6">
        <f t="shared" si="46"/>
        <v>0.21052631578947367</v>
      </c>
      <c r="Q71" s="4" t="s">
        <v>287</v>
      </c>
      <c r="R71" s="4" t="s">
        <v>287</v>
      </c>
      <c r="S71" s="4" t="s">
        <v>287</v>
      </c>
      <c r="T71" s="4" t="s">
        <v>287</v>
      </c>
      <c r="U71" s="4" t="s">
        <v>287</v>
      </c>
      <c r="V71" s="4" t="s">
        <v>287</v>
      </c>
      <c r="W71" s="4" t="s">
        <v>287</v>
      </c>
      <c r="X71" s="4" t="s">
        <v>287</v>
      </c>
      <c r="Y71" s="4" t="s">
        <v>287</v>
      </c>
      <c r="Z71" s="4" t="s">
        <v>287</v>
      </c>
      <c r="AA71" s="4" t="s">
        <v>287</v>
      </c>
      <c r="AB71" s="4" t="s">
        <v>287</v>
      </c>
      <c r="AC71" s="4">
        <v>0</v>
      </c>
      <c r="AD71" s="4">
        <f t="shared" si="47"/>
        <v>0</v>
      </c>
      <c r="AE71" s="4">
        <v>5720</v>
      </c>
      <c r="AF71" s="4">
        <f t="shared" si="48"/>
        <v>5720</v>
      </c>
      <c r="AG71" s="4"/>
      <c r="AH71" s="21">
        <f t="shared" si="49"/>
        <v>7245</v>
      </c>
      <c r="AI71" s="6">
        <f t="shared" si="50"/>
        <v>0.21048999309868877</v>
      </c>
      <c r="AJ71" s="33">
        <v>0</v>
      </c>
      <c r="AK71" s="4">
        <f t="shared" si="51"/>
        <v>8625.5</v>
      </c>
      <c r="AL71" s="33">
        <f t="shared" si="52"/>
        <v>9967.2444444444427</v>
      </c>
      <c r="AM71" s="6">
        <f t="shared" si="53"/>
        <v>0.42612022491449764</v>
      </c>
      <c r="AN71" s="7">
        <v>8800</v>
      </c>
      <c r="AO71" s="6">
        <f t="shared" si="54"/>
        <v>0.35</v>
      </c>
      <c r="AP71" s="4">
        <f t="shared" si="55"/>
        <v>3080</v>
      </c>
      <c r="AQ71" s="28"/>
      <c r="AR71" s="6"/>
      <c r="AS71" s="6"/>
      <c r="AT71" s="6" t="str">
        <f t="shared" si="56"/>
        <v>-</v>
      </c>
      <c r="AU71" s="6">
        <f t="shared" si="57"/>
        <v>1.4035087719298245</v>
      </c>
      <c r="AV71" s="6">
        <f t="shared" si="58"/>
        <v>1.1555555555555554</v>
      </c>
      <c r="AW71" s="6" t="str">
        <f t="shared" si="60"/>
        <v>-</v>
      </c>
      <c r="AX71" s="4" t="str">
        <f t="shared" si="61"/>
        <v>-</v>
      </c>
      <c r="AY71" s="4" t="str">
        <f t="shared" si="62"/>
        <v>-</v>
      </c>
      <c r="AZ71" s="4" t="str">
        <f t="shared" si="63"/>
        <v>-</v>
      </c>
      <c r="BA71" s="4" t="str">
        <f t="shared" si="64"/>
        <v>-</v>
      </c>
      <c r="BB71" s="4" t="str">
        <f t="shared" si="65"/>
        <v>-</v>
      </c>
      <c r="BC71" s="4" t="str">
        <f t="shared" si="66"/>
        <v>-</v>
      </c>
      <c r="BD71" s="4" t="str">
        <f t="shared" si="67"/>
        <v>-</v>
      </c>
      <c r="BE71" s="4" t="str">
        <f t="shared" si="68"/>
        <v>-</v>
      </c>
      <c r="BF71" s="4" t="str">
        <f t="shared" si="69"/>
        <v>-</v>
      </c>
      <c r="BG71" s="4" t="str">
        <f t="shared" si="70"/>
        <v>-</v>
      </c>
      <c r="BH71" s="4" t="str">
        <f t="shared" si="71"/>
        <v>-</v>
      </c>
      <c r="BI71" s="4" t="str">
        <f t="shared" si="72"/>
        <v>-</v>
      </c>
      <c r="BJ71" s="4">
        <v>0</v>
      </c>
      <c r="BK71" s="4" t="s">
        <v>438</v>
      </c>
      <c r="BL71" s="4">
        <v>1</v>
      </c>
      <c r="BM71" s="4">
        <v>4</v>
      </c>
      <c r="BN71" s="4" t="s">
        <v>439</v>
      </c>
      <c r="BO71" s="4">
        <v>34502</v>
      </c>
      <c r="BP71" s="4">
        <f t="shared" si="59"/>
        <v>8625.5</v>
      </c>
      <c r="BQ71" s="19">
        <v>4</v>
      </c>
      <c r="BR71" s="19">
        <v>8</v>
      </c>
      <c r="BS71" s="16">
        <v>1830</v>
      </c>
      <c r="BT71" t="s">
        <v>287</v>
      </c>
      <c r="BU71" t="str">
        <f t="shared" si="73"/>
        <v>-</v>
      </c>
      <c r="BV71" t="s">
        <v>287</v>
      </c>
      <c r="BW71" t="str">
        <f t="shared" si="74"/>
        <v>-</v>
      </c>
      <c r="BX71" t="s">
        <v>349</v>
      </c>
    </row>
    <row r="72" spans="1:76" x14ac:dyDescent="0.4">
      <c r="A72" s="3">
        <v>73</v>
      </c>
      <c r="B72" s="3">
        <v>73</v>
      </c>
      <c r="C72" s="4" t="s">
        <v>130</v>
      </c>
      <c r="D72" s="4" t="str">
        <f t="shared" si="45"/>
        <v>J5391T</v>
      </c>
      <c r="E72" s="4" t="s">
        <v>130</v>
      </c>
      <c r="F72" s="4" t="s">
        <v>281</v>
      </c>
      <c r="G72" s="4" t="s">
        <v>202</v>
      </c>
      <c r="H72" s="5">
        <v>4901755018776</v>
      </c>
      <c r="I72" s="5">
        <v>5</v>
      </c>
      <c r="J72" s="5"/>
      <c r="K72" s="5">
        <v>1</v>
      </c>
      <c r="L72" s="5">
        <v>1</v>
      </c>
      <c r="M72" s="4">
        <v>1750</v>
      </c>
      <c r="N72" s="4">
        <v>1285</v>
      </c>
      <c r="O72" s="4">
        <v>945</v>
      </c>
      <c r="P72" s="6">
        <f t="shared" si="46"/>
        <v>0.2645914396887159</v>
      </c>
      <c r="Q72" s="4" t="s">
        <v>287</v>
      </c>
      <c r="R72" s="4" t="s">
        <v>287</v>
      </c>
      <c r="S72" s="4" t="s">
        <v>287</v>
      </c>
      <c r="T72" s="4" t="s">
        <v>287</v>
      </c>
      <c r="U72" s="4" t="s">
        <v>287</v>
      </c>
      <c r="V72" s="4" t="s">
        <v>287</v>
      </c>
      <c r="W72" s="4" t="s">
        <v>287</v>
      </c>
      <c r="X72" s="4" t="s">
        <v>287</v>
      </c>
      <c r="Y72" s="4" t="s">
        <v>287</v>
      </c>
      <c r="Z72" s="4" t="s">
        <v>287</v>
      </c>
      <c r="AA72" s="4" t="s">
        <v>287</v>
      </c>
      <c r="AB72" s="4" t="s">
        <v>287</v>
      </c>
      <c r="AC72" s="4">
        <v>0</v>
      </c>
      <c r="AD72" s="4">
        <f t="shared" si="47"/>
        <v>0</v>
      </c>
      <c r="AE72" s="4">
        <v>1134</v>
      </c>
      <c r="AF72" s="4">
        <f t="shared" si="48"/>
        <v>1134</v>
      </c>
      <c r="AG72" s="4"/>
      <c r="AH72" s="21">
        <f t="shared" si="49"/>
        <v>1542</v>
      </c>
      <c r="AI72" s="6">
        <f t="shared" si="50"/>
        <v>0.2645914396887159</v>
      </c>
      <c r="AJ72" s="33">
        <v>0</v>
      </c>
      <c r="AK72" s="4">
        <f t="shared" si="51"/>
        <v>1619.2</v>
      </c>
      <c r="AL72" s="33">
        <f t="shared" si="52"/>
        <v>1943.04</v>
      </c>
      <c r="AM72" s="6">
        <f t="shared" si="53"/>
        <v>0.41637845849802368</v>
      </c>
      <c r="AN72" s="7">
        <v>1780</v>
      </c>
      <c r="AO72" s="6">
        <f t="shared" si="54"/>
        <v>0.36292134831460676</v>
      </c>
      <c r="AP72" s="4">
        <f t="shared" si="55"/>
        <v>646</v>
      </c>
      <c r="AQ72" s="28"/>
      <c r="AR72" s="6"/>
      <c r="AS72" s="6"/>
      <c r="AT72" s="6">
        <f t="shared" si="56"/>
        <v>0</v>
      </c>
      <c r="AU72" s="6">
        <f t="shared" si="57"/>
        <v>1.3852140077821011</v>
      </c>
      <c r="AV72" s="6">
        <f t="shared" si="58"/>
        <v>1.2</v>
      </c>
      <c r="AW72" s="6" t="str">
        <f t="shared" si="60"/>
        <v>-</v>
      </c>
      <c r="AX72" s="4" t="str">
        <f t="shared" si="61"/>
        <v>-</v>
      </c>
      <c r="AY72" s="4" t="str">
        <f t="shared" si="62"/>
        <v>-</v>
      </c>
      <c r="AZ72" s="4" t="str">
        <f t="shared" si="63"/>
        <v>-</v>
      </c>
      <c r="BA72" s="4" t="str">
        <f t="shared" si="64"/>
        <v>-</v>
      </c>
      <c r="BB72" s="4" t="str">
        <f t="shared" si="65"/>
        <v>-</v>
      </c>
      <c r="BC72" s="4" t="str">
        <f t="shared" si="66"/>
        <v>-</v>
      </c>
      <c r="BD72" s="4" t="str">
        <f t="shared" si="67"/>
        <v>-</v>
      </c>
      <c r="BE72" s="4" t="str">
        <f t="shared" si="68"/>
        <v>-</v>
      </c>
      <c r="BF72" s="4" t="str">
        <f t="shared" si="69"/>
        <v>-</v>
      </c>
      <c r="BG72" s="4" t="str">
        <f t="shared" si="70"/>
        <v>-</v>
      </c>
      <c r="BH72" s="4" t="str">
        <f t="shared" si="71"/>
        <v>-</v>
      </c>
      <c r="BI72" s="4" t="str">
        <f t="shared" si="72"/>
        <v>-</v>
      </c>
      <c r="BJ72" s="4">
        <v>0</v>
      </c>
      <c r="BK72" s="4" t="s">
        <v>440</v>
      </c>
      <c r="BL72" s="4">
        <v>1</v>
      </c>
      <c r="BM72" s="4">
        <v>30</v>
      </c>
      <c r="BN72" s="4" t="s">
        <v>441</v>
      </c>
      <c r="BO72" s="4">
        <v>48576</v>
      </c>
      <c r="BP72" s="4">
        <f t="shared" si="59"/>
        <v>1619.2</v>
      </c>
      <c r="BQ72" s="19">
        <v>4</v>
      </c>
      <c r="BR72" s="19">
        <v>8</v>
      </c>
      <c r="BS72" s="16">
        <v>1915</v>
      </c>
      <c r="BT72" t="s">
        <v>287</v>
      </c>
      <c r="BU72" t="str">
        <f t="shared" si="73"/>
        <v>-</v>
      </c>
      <c r="BV72">
        <v>1663</v>
      </c>
      <c r="BW72">
        <f t="shared" si="74"/>
        <v>1995.6</v>
      </c>
      <c r="BX72" t="s">
        <v>350</v>
      </c>
    </row>
    <row r="73" spans="1:76" x14ac:dyDescent="0.4">
      <c r="A73" s="3">
        <v>65</v>
      </c>
      <c r="B73" s="3">
        <v>65</v>
      </c>
      <c r="C73" s="44">
        <v>686131</v>
      </c>
      <c r="D73" s="4" t="str">
        <f t="shared" si="45"/>
        <v>686131</v>
      </c>
      <c r="E73" s="4">
        <v>686131</v>
      </c>
      <c r="F73" s="4" t="s">
        <v>272</v>
      </c>
      <c r="G73" s="4" t="s">
        <v>195</v>
      </c>
      <c r="H73" s="5">
        <v>4901755826579</v>
      </c>
      <c r="I73" s="5">
        <v>5</v>
      </c>
      <c r="J73" s="5"/>
      <c r="K73" s="5">
        <v>2</v>
      </c>
      <c r="L73" s="5">
        <v>2</v>
      </c>
      <c r="M73" s="4">
        <v>0</v>
      </c>
      <c r="N73" s="4">
        <v>648</v>
      </c>
      <c r="O73" s="4">
        <v>424</v>
      </c>
      <c r="P73" s="6">
        <f t="shared" si="46"/>
        <v>0.34567901234567899</v>
      </c>
      <c r="Q73" s="4" t="s">
        <v>287</v>
      </c>
      <c r="R73" s="4" t="s">
        <v>287</v>
      </c>
      <c r="S73" s="4" t="s">
        <v>287</v>
      </c>
      <c r="T73" s="4" t="s">
        <v>287</v>
      </c>
      <c r="U73" s="4" t="s">
        <v>287</v>
      </c>
      <c r="V73" s="4" t="s">
        <v>287</v>
      </c>
      <c r="W73" s="4" t="s">
        <v>287</v>
      </c>
      <c r="X73" s="4" t="s">
        <v>287</v>
      </c>
      <c r="Y73" s="4" t="s">
        <v>287</v>
      </c>
      <c r="Z73" s="4" t="s">
        <v>287</v>
      </c>
      <c r="AA73" s="4" t="s">
        <v>287</v>
      </c>
      <c r="AB73" s="4" t="s">
        <v>287</v>
      </c>
      <c r="AC73" s="4">
        <v>0</v>
      </c>
      <c r="AD73" s="4">
        <f t="shared" si="47"/>
        <v>0</v>
      </c>
      <c r="AE73" s="4">
        <v>456</v>
      </c>
      <c r="AF73" s="4">
        <f t="shared" si="48"/>
        <v>456</v>
      </c>
      <c r="AG73" s="4"/>
      <c r="AH73" s="21">
        <f t="shared" si="49"/>
        <v>697</v>
      </c>
      <c r="AI73" s="6">
        <f t="shared" si="50"/>
        <v>0.3457675753228121</v>
      </c>
      <c r="AJ73" s="33">
        <v>44.5</v>
      </c>
      <c r="AK73" s="4">
        <f t="shared" si="51"/>
        <v>764</v>
      </c>
      <c r="AL73" s="33">
        <f t="shared" si="52"/>
        <v>821.66037735849056</v>
      </c>
      <c r="AM73" s="6">
        <f t="shared" si="53"/>
        <v>0.44502617801047117</v>
      </c>
      <c r="AN73" s="7">
        <v>758</v>
      </c>
      <c r="AO73" s="6">
        <f t="shared" si="54"/>
        <v>0.39841688654353558</v>
      </c>
      <c r="AP73" s="4">
        <f t="shared" si="55"/>
        <v>302</v>
      </c>
      <c r="AQ73" s="28"/>
      <c r="AR73" s="6"/>
      <c r="AS73" s="6"/>
      <c r="AT73" s="6" t="str">
        <f t="shared" si="56"/>
        <v>-</v>
      </c>
      <c r="AU73" s="6">
        <f t="shared" si="57"/>
        <v>1.1697530864197532</v>
      </c>
      <c r="AV73" s="6">
        <f t="shared" si="58"/>
        <v>1.0754716981132075</v>
      </c>
      <c r="AW73" s="6" t="str">
        <f t="shared" si="60"/>
        <v>-</v>
      </c>
      <c r="AX73" s="4" t="str">
        <f t="shared" si="61"/>
        <v>-</v>
      </c>
      <c r="AY73" s="4" t="str">
        <f t="shared" si="62"/>
        <v>-</v>
      </c>
      <c r="AZ73" s="4" t="str">
        <f t="shared" si="63"/>
        <v>-</v>
      </c>
      <c r="BA73" s="4" t="str">
        <f t="shared" si="64"/>
        <v>-</v>
      </c>
      <c r="BB73" s="4" t="str">
        <f t="shared" si="65"/>
        <v>-</v>
      </c>
      <c r="BC73" s="4" t="str">
        <f t="shared" si="66"/>
        <v>-</v>
      </c>
      <c r="BD73" s="4" t="str">
        <f t="shared" si="67"/>
        <v>-</v>
      </c>
      <c r="BE73" s="4" t="str">
        <f t="shared" si="68"/>
        <v>-</v>
      </c>
      <c r="BF73" s="4" t="str">
        <f t="shared" si="69"/>
        <v>-</v>
      </c>
      <c r="BG73" s="4" t="str">
        <f t="shared" si="70"/>
        <v>-</v>
      </c>
      <c r="BH73" s="4" t="str">
        <f t="shared" si="71"/>
        <v>-</v>
      </c>
      <c r="BI73" s="4" t="str">
        <f t="shared" si="72"/>
        <v>-</v>
      </c>
      <c r="BJ73" s="4" t="s">
        <v>207</v>
      </c>
      <c r="BK73" s="4" t="s">
        <v>442</v>
      </c>
      <c r="BL73" s="4"/>
      <c r="BM73" s="4"/>
      <c r="BN73" s="4" t="s">
        <v>443</v>
      </c>
      <c r="BO73" s="4">
        <v>764</v>
      </c>
      <c r="BP73" s="4">
        <f t="shared" si="59"/>
        <v>764</v>
      </c>
      <c r="BQ73" s="19">
        <v>4</v>
      </c>
      <c r="BR73" s="19">
        <v>1</v>
      </c>
      <c r="BS73" s="16">
        <v>1925</v>
      </c>
      <c r="BT73" t="s">
        <v>287</v>
      </c>
      <c r="BU73" t="str">
        <f t="shared" si="73"/>
        <v>-</v>
      </c>
      <c r="BV73" t="s">
        <v>287</v>
      </c>
      <c r="BW73" t="str">
        <f t="shared" si="74"/>
        <v>-</v>
      </c>
      <c r="BX73" t="s">
        <v>351</v>
      </c>
    </row>
    <row r="74" spans="1:76" x14ac:dyDescent="0.4">
      <c r="A74" s="3">
        <v>75</v>
      </c>
      <c r="B74" s="3">
        <v>65</v>
      </c>
      <c r="C74" s="44">
        <v>686131</v>
      </c>
      <c r="D74" s="4" t="str">
        <f t="shared" si="45"/>
        <v>686131</v>
      </c>
      <c r="E74" s="4">
        <v>686132</v>
      </c>
      <c r="F74" s="4" t="s">
        <v>273</v>
      </c>
      <c r="G74" s="4" t="s">
        <v>204</v>
      </c>
      <c r="H74" s="5">
        <v>4901755826579</v>
      </c>
      <c r="I74" s="5">
        <v>8</v>
      </c>
      <c r="J74" s="5"/>
      <c r="K74" s="5"/>
      <c r="L74" s="5"/>
      <c r="M74" s="4">
        <v>0</v>
      </c>
      <c r="N74" s="4">
        <v>6383</v>
      </c>
      <c r="O74" s="4">
        <v>4240</v>
      </c>
      <c r="P74" s="6">
        <f t="shared" si="46"/>
        <v>0.33573554754817481</v>
      </c>
      <c r="Q74" s="4" t="s">
        <v>287</v>
      </c>
      <c r="R74" s="4" t="s">
        <v>287</v>
      </c>
      <c r="S74" s="4" t="s">
        <v>287</v>
      </c>
      <c r="T74" s="4" t="s">
        <v>287</v>
      </c>
      <c r="U74" s="4" t="s">
        <v>287</v>
      </c>
      <c r="V74" s="4" t="s">
        <v>287</v>
      </c>
      <c r="W74" s="4" t="s">
        <v>287</v>
      </c>
      <c r="X74" s="4" t="s">
        <v>287</v>
      </c>
      <c r="Y74" s="4" t="s">
        <v>287</v>
      </c>
      <c r="Z74" s="4" t="s">
        <v>287</v>
      </c>
      <c r="AA74" s="4" t="s">
        <v>287</v>
      </c>
      <c r="AB74" s="4" t="s">
        <v>287</v>
      </c>
      <c r="AC74" s="4">
        <v>0</v>
      </c>
      <c r="AD74" s="4">
        <f t="shared" si="47"/>
        <v>0</v>
      </c>
      <c r="AE74" s="4">
        <v>456</v>
      </c>
      <c r="AF74" s="4">
        <f t="shared" si="48"/>
        <v>4560</v>
      </c>
      <c r="AG74" s="4">
        <v>10</v>
      </c>
      <c r="AH74" s="21">
        <f t="shared" si="49"/>
        <v>6865</v>
      </c>
      <c r="AI74" s="6">
        <f t="shared" si="50"/>
        <v>0.33576110706482154</v>
      </c>
      <c r="AJ74" s="33">
        <v>44.5</v>
      </c>
      <c r="AK74" s="4">
        <f t="shared" si="51"/>
        <v>7428</v>
      </c>
      <c r="AL74" s="33">
        <f t="shared" si="52"/>
        <v>7988.6037735849059</v>
      </c>
      <c r="AM74" s="6">
        <f t="shared" si="53"/>
        <v>0.42918686052773292</v>
      </c>
      <c r="AN74" s="7">
        <v>7180</v>
      </c>
      <c r="AO74" s="6">
        <f t="shared" si="54"/>
        <v>0.36490250696378834</v>
      </c>
      <c r="AP74" s="4">
        <f t="shared" si="55"/>
        <v>2620</v>
      </c>
      <c r="AQ74" s="28"/>
      <c r="AR74" s="6"/>
      <c r="AS74" s="6"/>
      <c r="AT74" s="6" t="str">
        <f t="shared" si="56"/>
        <v>-</v>
      </c>
      <c r="AU74" s="6">
        <f t="shared" si="57"/>
        <v>1.1248629171236095</v>
      </c>
      <c r="AV74" s="6">
        <f t="shared" si="58"/>
        <v>1.0754716981132075</v>
      </c>
      <c r="AW74" s="6" t="str">
        <f t="shared" si="60"/>
        <v>-</v>
      </c>
      <c r="AX74" s="4" t="str">
        <f t="shared" si="61"/>
        <v>-</v>
      </c>
      <c r="AY74" s="4" t="str">
        <f t="shared" si="62"/>
        <v>-</v>
      </c>
      <c r="AZ74" s="4" t="str">
        <f t="shared" si="63"/>
        <v>-</v>
      </c>
      <c r="BA74" s="4" t="str">
        <f t="shared" si="64"/>
        <v>-</v>
      </c>
      <c r="BB74" s="4" t="str">
        <f t="shared" si="65"/>
        <v>-</v>
      </c>
      <c r="BC74" s="4" t="str">
        <f t="shared" si="66"/>
        <v>-</v>
      </c>
      <c r="BD74" s="4" t="str">
        <f t="shared" si="67"/>
        <v>-</v>
      </c>
      <c r="BE74" s="4" t="str">
        <f t="shared" si="68"/>
        <v>-</v>
      </c>
      <c r="BF74" s="4" t="str">
        <f t="shared" si="69"/>
        <v>-</v>
      </c>
      <c r="BG74" s="4" t="str">
        <f t="shared" si="70"/>
        <v>-</v>
      </c>
      <c r="BH74" s="4" t="str">
        <f t="shared" si="71"/>
        <v>-</v>
      </c>
      <c r="BI74" s="4" t="str">
        <f t="shared" si="72"/>
        <v>-</v>
      </c>
      <c r="BJ74" s="4" t="s">
        <v>207</v>
      </c>
      <c r="BK74" s="4" t="s">
        <v>456</v>
      </c>
      <c r="BL74" s="4"/>
      <c r="BM74" s="4"/>
      <c r="BN74" s="4" t="s">
        <v>457</v>
      </c>
      <c r="BO74" s="4">
        <v>7428</v>
      </c>
      <c r="BP74" s="4">
        <f t="shared" si="59"/>
        <v>7428</v>
      </c>
      <c r="BQ74" s="19">
        <v>4</v>
      </c>
      <c r="BR74" s="19">
        <v>1</v>
      </c>
      <c r="BS74" s="16">
        <v>1925</v>
      </c>
      <c r="BT74" t="s">
        <v>287</v>
      </c>
      <c r="BU74" t="str">
        <f t="shared" si="73"/>
        <v>-</v>
      </c>
      <c r="BV74" t="s">
        <v>287</v>
      </c>
      <c r="BW74" t="str">
        <f t="shared" si="74"/>
        <v>-</v>
      </c>
      <c r="BX74" t="s">
        <v>455</v>
      </c>
    </row>
    <row r="75" spans="1:76" x14ac:dyDescent="0.4">
      <c r="A75" s="3">
        <v>66</v>
      </c>
      <c r="B75" s="3">
        <v>66</v>
      </c>
      <c r="C75" s="4">
        <v>105069</v>
      </c>
      <c r="D75" s="4" t="str">
        <f t="shared" si="45"/>
        <v>105069</v>
      </c>
      <c r="E75" s="4">
        <v>105069</v>
      </c>
      <c r="F75" s="4" t="s">
        <v>274</v>
      </c>
      <c r="G75" s="4" t="s">
        <v>196</v>
      </c>
      <c r="H75" s="5">
        <v>4901755802801</v>
      </c>
      <c r="I75" s="5">
        <v>5</v>
      </c>
      <c r="J75" s="5"/>
      <c r="K75" s="5">
        <v>1</v>
      </c>
      <c r="L75" s="5">
        <v>1</v>
      </c>
      <c r="M75" s="4">
        <v>0</v>
      </c>
      <c r="N75" s="4">
        <v>548</v>
      </c>
      <c r="O75" s="4">
        <v>424</v>
      </c>
      <c r="P75" s="6">
        <f t="shared" si="46"/>
        <v>0.22627737226277367</v>
      </c>
      <c r="Q75" s="4" t="s">
        <v>287</v>
      </c>
      <c r="R75" s="4" t="s">
        <v>287</v>
      </c>
      <c r="S75" s="4" t="s">
        <v>287</v>
      </c>
      <c r="T75" s="4" t="s">
        <v>287</v>
      </c>
      <c r="U75" s="4" t="s">
        <v>287</v>
      </c>
      <c r="V75" s="4" t="s">
        <v>287</v>
      </c>
      <c r="W75" s="4" t="s">
        <v>287</v>
      </c>
      <c r="X75" s="4" t="s">
        <v>287</v>
      </c>
      <c r="Y75" s="4" t="s">
        <v>287</v>
      </c>
      <c r="Z75" s="4" t="s">
        <v>287</v>
      </c>
      <c r="AA75" s="4" t="s">
        <v>287</v>
      </c>
      <c r="AB75" s="4" t="s">
        <v>287</v>
      </c>
      <c r="AC75" s="4">
        <v>0</v>
      </c>
      <c r="AD75" s="4">
        <f t="shared" si="47"/>
        <v>0</v>
      </c>
      <c r="AE75" s="4">
        <v>456</v>
      </c>
      <c r="AF75" s="4">
        <f t="shared" si="48"/>
        <v>456</v>
      </c>
      <c r="AG75" s="4"/>
      <c r="AH75" s="21">
        <f t="shared" si="49"/>
        <v>589</v>
      </c>
      <c r="AI75" s="6">
        <f t="shared" si="50"/>
        <v>0.22580645161290325</v>
      </c>
      <c r="AJ75" s="33">
        <v>1.7500000000000002</v>
      </c>
      <c r="AK75" s="4">
        <f t="shared" si="51"/>
        <v>882</v>
      </c>
      <c r="AL75" s="33">
        <f t="shared" si="52"/>
        <v>948.56603773584902</v>
      </c>
      <c r="AM75" s="6">
        <f t="shared" si="53"/>
        <v>0.51927437641723362</v>
      </c>
      <c r="AN75" s="7">
        <v>718</v>
      </c>
      <c r="AO75" s="6">
        <f t="shared" si="54"/>
        <v>0.36490250696378834</v>
      </c>
      <c r="AP75" s="4">
        <f t="shared" si="55"/>
        <v>262</v>
      </c>
      <c r="AQ75" s="28"/>
      <c r="AR75" s="6"/>
      <c r="AS75" s="6"/>
      <c r="AT75" s="6" t="str">
        <f t="shared" si="56"/>
        <v>-</v>
      </c>
      <c r="AU75" s="6">
        <f t="shared" si="57"/>
        <v>1.3102189781021898</v>
      </c>
      <c r="AV75" s="6">
        <f t="shared" si="58"/>
        <v>1.0754716981132075</v>
      </c>
      <c r="AW75" s="6" t="str">
        <f t="shared" si="60"/>
        <v>-</v>
      </c>
      <c r="AX75" s="4" t="str">
        <f t="shared" si="61"/>
        <v>-</v>
      </c>
      <c r="AY75" s="4" t="str">
        <f t="shared" si="62"/>
        <v>-</v>
      </c>
      <c r="AZ75" s="4" t="str">
        <f t="shared" si="63"/>
        <v>-</v>
      </c>
      <c r="BA75" s="4" t="str">
        <f t="shared" si="64"/>
        <v>-</v>
      </c>
      <c r="BB75" s="4" t="str">
        <f t="shared" si="65"/>
        <v>-</v>
      </c>
      <c r="BC75" s="4" t="str">
        <f t="shared" si="66"/>
        <v>-</v>
      </c>
      <c r="BD75" s="4" t="str">
        <f t="shared" si="67"/>
        <v>-</v>
      </c>
      <c r="BE75" s="4" t="str">
        <f t="shared" si="68"/>
        <v>-</v>
      </c>
      <c r="BF75" s="4" t="str">
        <f t="shared" si="69"/>
        <v>-</v>
      </c>
      <c r="BG75" s="4" t="str">
        <f t="shared" si="70"/>
        <v>-</v>
      </c>
      <c r="BH75" s="4" t="str">
        <f t="shared" si="71"/>
        <v>-</v>
      </c>
      <c r="BI75" s="4" t="str">
        <f t="shared" si="72"/>
        <v>-</v>
      </c>
      <c r="BJ75" s="4">
        <v>0</v>
      </c>
      <c r="BK75" s="4" t="s">
        <v>444</v>
      </c>
      <c r="BL75" s="4"/>
      <c r="BM75" s="4"/>
      <c r="BN75" s="4" t="s">
        <v>445</v>
      </c>
      <c r="BO75" s="4">
        <v>882</v>
      </c>
      <c r="BP75" s="4">
        <f t="shared" si="59"/>
        <v>882</v>
      </c>
      <c r="BQ75" s="19">
        <v>4</v>
      </c>
      <c r="BR75" s="19">
        <v>8</v>
      </c>
      <c r="BS75" s="16">
        <v>1925</v>
      </c>
      <c r="BT75" t="s">
        <v>287</v>
      </c>
      <c r="BU75" t="str">
        <f t="shared" si="73"/>
        <v>-</v>
      </c>
      <c r="BV75">
        <v>760</v>
      </c>
      <c r="BW75">
        <f t="shared" si="74"/>
        <v>817.35849056603774</v>
      </c>
      <c r="BX75" t="s">
        <v>352</v>
      </c>
    </row>
    <row r="76" spans="1:76" x14ac:dyDescent="0.4">
      <c r="A76" s="3">
        <v>71</v>
      </c>
      <c r="B76" s="3">
        <v>71</v>
      </c>
      <c r="C76" s="4">
        <v>637086</v>
      </c>
      <c r="D76" s="4" t="str">
        <f t="shared" si="45"/>
        <v>637086</v>
      </c>
      <c r="E76" s="4">
        <v>637086</v>
      </c>
      <c r="F76" s="4" t="s">
        <v>279</v>
      </c>
      <c r="G76" s="4" t="s">
        <v>200</v>
      </c>
      <c r="H76" s="5">
        <v>4901755832358</v>
      </c>
      <c r="I76" s="5">
        <v>5</v>
      </c>
      <c r="J76" s="5"/>
      <c r="K76" s="5">
        <v>1</v>
      </c>
      <c r="L76" s="5">
        <v>1</v>
      </c>
      <c r="M76" s="4">
        <v>0</v>
      </c>
      <c r="N76" s="4">
        <v>928</v>
      </c>
      <c r="O76" s="4">
        <v>792</v>
      </c>
      <c r="P76" s="6">
        <f t="shared" si="46"/>
        <v>0.14655172413793105</v>
      </c>
      <c r="Q76" s="4" t="s">
        <v>287</v>
      </c>
      <c r="R76" s="4" t="s">
        <v>287</v>
      </c>
      <c r="S76" s="4" t="s">
        <v>287</v>
      </c>
      <c r="T76" s="4" t="s">
        <v>287</v>
      </c>
      <c r="U76" s="4" t="s">
        <v>287</v>
      </c>
      <c r="V76" s="4" t="s">
        <v>287</v>
      </c>
      <c r="W76" s="4" t="s">
        <v>287</v>
      </c>
      <c r="X76" s="4" t="s">
        <v>287</v>
      </c>
      <c r="Y76" s="4" t="s">
        <v>287</v>
      </c>
      <c r="Z76" s="4" t="s">
        <v>287</v>
      </c>
      <c r="AA76" s="4" t="s">
        <v>287</v>
      </c>
      <c r="AB76" s="4" t="s">
        <v>287</v>
      </c>
      <c r="AC76" s="4">
        <v>0</v>
      </c>
      <c r="AD76" s="4">
        <f t="shared" si="47"/>
        <v>0</v>
      </c>
      <c r="AE76" s="4">
        <v>864</v>
      </c>
      <c r="AF76" s="4">
        <f t="shared" si="48"/>
        <v>864</v>
      </c>
      <c r="AG76" s="4"/>
      <c r="AH76" s="21">
        <f t="shared" si="49"/>
        <v>1012</v>
      </c>
      <c r="AI76" s="6">
        <f t="shared" si="50"/>
        <v>0.14624505928853759</v>
      </c>
      <c r="AJ76" s="33">
        <v>0.25</v>
      </c>
      <c r="AK76" s="4">
        <f t="shared" si="51"/>
        <v>1245.8666666666666</v>
      </c>
      <c r="AL76" s="33">
        <f t="shared" si="52"/>
        <v>1359.1272727272726</v>
      </c>
      <c r="AM76" s="6">
        <f t="shared" si="53"/>
        <v>0.36429794520547942</v>
      </c>
      <c r="AN76" s="7">
        <v>1280</v>
      </c>
      <c r="AO76" s="6">
        <f t="shared" si="54"/>
        <v>0.32499999999999996</v>
      </c>
      <c r="AP76" s="4">
        <f t="shared" si="55"/>
        <v>416</v>
      </c>
      <c r="AQ76" s="28"/>
      <c r="AR76" s="6"/>
      <c r="AS76" s="6"/>
      <c r="AT76" s="6" t="str">
        <f t="shared" si="56"/>
        <v>-</v>
      </c>
      <c r="AU76" s="6">
        <f t="shared" si="57"/>
        <v>1.3793103448275863</v>
      </c>
      <c r="AV76" s="6">
        <f t="shared" si="58"/>
        <v>1.0909090909090908</v>
      </c>
      <c r="AW76" s="6" t="str">
        <f t="shared" si="60"/>
        <v>-</v>
      </c>
      <c r="AX76" s="4" t="str">
        <f t="shared" si="61"/>
        <v>-</v>
      </c>
      <c r="AY76" s="4" t="str">
        <f t="shared" si="62"/>
        <v>-</v>
      </c>
      <c r="AZ76" s="4" t="str">
        <f t="shared" si="63"/>
        <v>-</v>
      </c>
      <c r="BA76" s="4" t="str">
        <f t="shared" si="64"/>
        <v>-</v>
      </c>
      <c r="BB76" s="4" t="str">
        <f t="shared" si="65"/>
        <v>-</v>
      </c>
      <c r="BC76" s="4" t="str">
        <f t="shared" si="66"/>
        <v>-</v>
      </c>
      <c r="BD76" s="4" t="str">
        <f t="shared" si="67"/>
        <v>-</v>
      </c>
      <c r="BE76" s="4" t="str">
        <f t="shared" si="68"/>
        <v>-</v>
      </c>
      <c r="BF76" s="4" t="str">
        <f t="shared" si="69"/>
        <v>-</v>
      </c>
      <c r="BG76" s="4" t="str">
        <f t="shared" si="70"/>
        <v>-</v>
      </c>
      <c r="BH76" s="4" t="str">
        <f t="shared" si="71"/>
        <v>-</v>
      </c>
      <c r="BI76" s="4" t="str">
        <f t="shared" si="72"/>
        <v>-</v>
      </c>
      <c r="BJ76" s="4">
        <v>0</v>
      </c>
      <c r="BK76" s="4" t="s">
        <v>446</v>
      </c>
      <c r="BL76" s="4">
        <v>1</v>
      </c>
      <c r="BM76" s="4">
        <v>30</v>
      </c>
      <c r="BN76" s="4" t="s">
        <v>447</v>
      </c>
      <c r="BO76" s="4">
        <v>37376</v>
      </c>
      <c r="BP76" s="4">
        <f t="shared" si="59"/>
        <v>1245.8666666666666</v>
      </c>
      <c r="BQ76" s="19">
        <v>4</v>
      </c>
      <c r="BR76" s="19">
        <v>8</v>
      </c>
      <c r="BS76" s="16">
        <v>1935</v>
      </c>
      <c r="BT76" t="s">
        <v>287</v>
      </c>
      <c r="BU76" t="str">
        <f t="shared" si="73"/>
        <v>-</v>
      </c>
      <c r="BV76" t="s">
        <v>287</v>
      </c>
      <c r="BW76" t="str">
        <f t="shared" si="74"/>
        <v>-</v>
      </c>
      <c r="BX76" t="s">
        <v>353</v>
      </c>
    </row>
    <row r="77" spans="1:76" x14ac:dyDescent="0.4">
      <c r="A77" s="3">
        <v>72</v>
      </c>
      <c r="B77" s="3">
        <v>72</v>
      </c>
      <c r="C77" s="4">
        <v>688410</v>
      </c>
      <c r="D77" s="4" t="str">
        <f t="shared" si="45"/>
        <v>688410</v>
      </c>
      <c r="E77" s="4">
        <v>688410</v>
      </c>
      <c r="F77" s="4" t="s">
        <v>280</v>
      </c>
      <c r="G77" s="4" t="s">
        <v>201</v>
      </c>
      <c r="H77" s="5">
        <v>4901755830903</v>
      </c>
      <c r="I77" s="5">
        <v>5</v>
      </c>
      <c r="J77" s="5"/>
      <c r="K77" s="5">
        <v>1</v>
      </c>
      <c r="L77" s="5">
        <v>1</v>
      </c>
      <c r="M77" s="4">
        <v>0</v>
      </c>
      <c r="N77" s="4">
        <v>1863</v>
      </c>
      <c r="O77" s="4">
        <v>1008</v>
      </c>
      <c r="P77" s="6">
        <f t="shared" si="46"/>
        <v>0.45893719806763289</v>
      </c>
      <c r="Q77" s="4" t="s">
        <v>287</v>
      </c>
      <c r="R77" s="4" t="s">
        <v>287</v>
      </c>
      <c r="S77" s="4" t="s">
        <v>287</v>
      </c>
      <c r="T77" s="4" t="s">
        <v>287</v>
      </c>
      <c r="U77" s="4" t="s">
        <v>287</v>
      </c>
      <c r="V77" s="4" t="s">
        <v>287</v>
      </c>
      <c r="W77" s="4" t="s">
        <v>287</v>
      </c>
      <c r="X77" s="4" t="s">
        <v>287</v>
      </c>
      <c r="Y77" s="4" t="s">
        <v>287</v>
      </c>
      <c r="Z77" s="4" t="s">
        <v>287</v>
      </c>
      <c r="AA77" s="4" t="s">
        <v>287</v>
      </c>
      <c r="AB77" s="4" t="s">
        <v>287</v>
      </c>
      <c r="AC77" s="4">
        <v>0</v>
      </c>
      <c r="AD77" s="4">
        <f t="shared" si="47"/>
        <v>0</v>
      </c>
      <c r="AE77" s="4">
        <v>1104</v>
      </c>
      <c r="AF77" s="4">
        <f t="shared" si="48"/>
        <v>1104</v>
      </c>
      <c r="AG77" s="4"/>
      <c r="AH77" s="21">
        <f t="shared" si="49"/>
        <v>2040</v>
      </c>
      <c r="AI77" s="6">
        <f t="shared" si="50"/>
        <v>0.45882352941176474</v>
      </c>
      <c r="AJ77" s="33">
        <v>3.25</v>
      </c>
      <c r="AK77" s="4">
        <f t="shared" si="51"/>
        <v>1628</v>
      </c>
      <c r="AL77" s="33">
        <f t="shared" si="52"/>
        <v>1783.0476190476193</v>
      </c>
      <c r="AM77" s="6">
        <f t="shared" si="53"/>
        <v>0.38083538083538093</v>
      </c>
      <c r="AN77" s="7">
        <v>1780</v>
      </c>
      <c r="AO77" s="6">
        <f t="shared" si="54"/>
        <v>0.37977528089887636</v>
      </c>
      <c r="AP77" s="4">
        <f t="shared" si="55"/>
        <v>676</v>
      </c>
      <c r="AQ77" s="28"/>
      <c r="AR77" s="6"/>
      <c r="AS77" s="6"/>
      <c r="AT77" s="6" t="str">
        <f t="shared" si="56"/>
        <v>-</v>
      </c>
      <c r="AU77" s="6">
        <f t="shared" si="57"/>
        <v>0.95544820182501344</v>
      </c>
      <c r="AV77" s="6">
        <f t="shared" si="58"/>
        <v>1.0952380952380953</v>
      </c>
      <c r="AW77" s="6" t="str">
        <f t="shared" si="60"/>
        <v>-</v>
      </c>
      <c r="AX77" s="4" t="str">
        <f t="shared" si="61"/>
        <v>-</v>
      </c>
      <c r="AY77" s="4" t="str">
        <f t="shared" si="62"/>
        <v>-</v>
      </c>
      <c r="AZ77" s="4" t="str">
        <f t="shared" si="63"/>
        <v>-</v>
      </c>
      <c r="BA77" s="4" t="str">
        <f t="shared" si="64"/>
        <v>-</v>
      </c>
      <c r="BB77" s="4" t="str">
        <f t="shared" si="65"/>
        <v>-</v>
      </c>
      <c r="BC77" s="4" t="str">
        <f t="shared" si="66"/>
        <v>-</v>
      </c>
      <c r="BD77" s="4" t="str">
        <f t="shared" si="67"/>
        <v>-</v>
      </c>
      <c r="BE77" s="4" t="str">
        <f t="shared" si="68"/>
        <v>-</v>
      </c>
      <c r="BF77" s="4" t="str">
        <f t="shared" si="69"/>
        <v>-</v>
      </c>
      <c r="BG77" s="4" t="str">
        <f t="shared" si="70"/>
        <v>-</v>
      </c>
      <c r="BH77" s="4" t="str">
        <f t="shared" si="71"/>
        <v>-</v>
      </c>
      <c r="BI77" s="4" t="str">
        <f t="shared" si="72"/>
        <v>-</v>
      </c>
      <c r="BJ77" s="4">
        <v>0</v>
      </c>
      <c r="BK77" s="4" t="s">
        <v>448</v>
      </c>
      <c r="BL77" s="4"/>
      <c r="BM77" s="4"/>
      <c r="BN77" s="4" t="s">
        <v>449</v>
      </c>
      <c r="BO77" s="4">
        <v>1628</v>
      </c>
      <c r="BP77" s="4">
        <f t="shared" si="59"/>
        <v>1628</v>
      </c>
      <c r="BQ77" s="19">
        <v>4</v>
      </c>
      <c r="BR77" s="19">
        <v>1</v>
      </c>
      <c r="BS77" s="16">
        <v>1935</v>
      </c>
      <c r="BT77" t="s">
        <v>287</v>
      </c>
      <c r="BU77" t="str">
        <f t="shared" si="73"/>
        <v>-</v>
      </c>
      <c r="BV77">
        <v>2070</v>
      </c>
      <c r="BW77">
        <f t="shared" si="74"/>
        <v>2267.1428571428573</v>
      </c>
      <c r="BX77" t="s">
        <v>354</v>
      </c>
    </row>
    <row r="78" spans="1:76" x14ac:dyDescent="0.4">
      <c r="A78" s="3">
        <v>74</v>
      </c>
      <c r="B78" s="3">
        <v>74</v>
      </c>
      <c r="C78" s="4">
        <v>138673</v>
      </c>
      <c r="D78" s="4" t="str">
        <f t="shared" si="45"/>
        <v>138673</v>
      </c>
      <c r="E78" s="4">
        <v>138673</v>
      </c>
      <c r="F78" s="4" t="s">
        <v>282</v>
      </c>
      <c r="G78" s="4" t="s">
        <v>203</v>
      </c>
      <c r="H78" s="5">
        <v>4901755830927</v>
      </c>
      <c r="I78" s="5">
        <v>5</v>
      </c>
      <c r="J78" s="5"/>
      <c r="K78" s="5">
        <v>1</v>
      </c>
      <c r="L78" s="5">
        <v>1</v>
      </c>
      <c r="M78" s="4">
        <v>0</v>
      </c>
      <c r="N78" s="4">
        <v>1767</v>
      </c>
      <c r="O78" s="4">
        <v>1104</v>
      </c>
      <c r="P78" s="6">
        <f t="shared" si="46"/>
        <v>0.37521222410865873</v>
      </c>
      <c r="Q78" s="4" t="s">
        <v>287</v>
      </c>
      <c r="R78" s="4" t="s">
        <v>287</v>
      </c>
      <c r="S78" s="4" t="s">
        <v>287</v>
      </c>
      <c r="T78" s="4" t="s">
        <v>287</v>
      </c>
      <c r="U78" s="4" t="s">
        <v>287</v>
      </c>
      <c r="V78" s="4" t="s">
        <v>287</v>
      </c>
      <c r="W78" s="4" t="s">
        <v>287</v>
      </c>
      <c r="X78" s="4" t="s">
        <v>287</v>
      </c>
      <c r="Y78" s="4" t="s">
        <v>287</v>
      </c>
      <c r="Z78" s="4" t="s">
        <v>287</v>
      </c>
      <c r="AA78" s="4" t="s">
        <v>287</v>
      </c>
      <c r="AB78" s="4" t="s">
        <v>287</v>
      </c>
      <c r="AC78" s="4">
        <v>0</v>
      </c>
      <c r="AD78" s="4">
        <f t="shared" si="47"/>
        <v>0</v>
      </c>
      <c r="AE78" s="4">
        <v>1224</v>
      </c>
      <c r="AF78" s="4">
        <f t="shared" si="48"/>
        <v>1224</v>
      </c>
      <c r="AG78" s="4"/>
      <c r="AH78" s="21">
        <f t="shared" si="49"/>
        <v>1959</v>
      </c>
      <c r="AI78" s="6">
        <f t="shared" si="50"/>
        <v>0.37519142419601836</v>
      </c>
      <c r="AJ78" s="33">
        <v>1</v>
      </c>
      <c r="AK78" s="4">
        <f t="shared" si="51"/>
        <v>2064</v>
      </c>
      <c r="AL78" s="33">
        <f t="shared" si="52"/>
        <v>2288.3478260869565</v>
      </c>
      <c r="AM78" s="6">
        <f t="shared" si="53"/>
        <v>0.46511627906976749</v>
      </c>
      <c r="AN78" s="7">
        <v>1980</v>
      </c>
      <c r="AO78" s="6">
        <f t="shared" si="54"/>
        <v>0.38181818181818183</v>
      </c>
      <c r="AP78" s="4">
        <f t="shared" si="55"/>
        <v>756</v>
      </c>
      <c r="AQ78" s="28"/>
      <c r="AR78" s="6"/>
      <c r="AS78" s="6"/>
      <c r="AT78" s="6" t="str">
        <f t="shared" si="56"/>
        <v>-</v>
      </c>
      <c r="AU78" s="6">
        <f t="shared" si="57"/>
        <v>1.1205432937181663</v>
      </c>
      <c r="AV78" s="6">
        <f t="shared" si="58"/>
        <v>1.1086956521739131</v>
      </c>
      <c r="AW78" s="6" t="str">
        <f t="shared" si="60"/>
        <v>-</v>
      </c>
      <c r="AX78" s="4" t="str">
        <f t="shared" si="61"/>
        <v>-</v>
      </c>
      <c r="AY78" s="4" t="str">
        <f t="shared" si="62"/>
        <v>-</v>
      </c>
      <c r="AZ78" s="4" t="str">
        <f t="shared" si="63"/>
        <v>-</v>
      </c>
      <c r="BA78" s="4" t="str">
        <f t="shared" si="64"/>
        <v>-</v>
      </c>
      <c r="BB78" s="4" t="str">
        <f t="shared" si="65"/>
        <v>-</v>
      </c>
      <c r="BC78" s="4" t="str">
        <f t="shared" si="66"/>
        <v>-</v>
      </c>
      <c r="BD78" s="4" t="str">
        <f t="shared" si="67"/>
        <v>-</v>
      </c>
      <c r="BE78" s="4" t="str">
        <f t="shared" si="68"/>
        <v>-</v>
      </c>
      <c r="BF78" s="4" t="str">
        <f t="shared" si="69"/>
        <v>-</v>
      </c>
      <c r="BG78" s="4" t="str">
        <f t="shared" si="70"/>
        <v>-</v>
      </c>
      <c r="BH78" s="4" t="str">
        <f t="shared" si="71"/>
        <v>-</v>
      </c>
      <c r="BI78" s="4" t="str">
        <f t="shared" si="72"/>
        <v>-</v>
      </c>
      <c r="BJ78" s="4">
        <v>0</v>
      </c>
      <c r="BK78" s="4" t="s">
        <v>450</v>
      </c>
      <c r="BL78" s="4"/>
      <c r="BM78" s="4"/>
      <c r="BN78" s="4" t="s">
        <v>451</v>
      </c>
      <c r="BO78" s="4">
        <v>2064</v>
      </c>
      <c r="BP78" s="4">
        <f t="shared" si="59"/>
        <v>2064</v>
      </c>
      <c r="BQ78" s="19">
        <v>4</v>
      </c>
      <c r="BR78" s="19">
        <v>8</v>
      </c>
      <c r="BS78" s="16">
        <v>1935</v>
      </c>
      <c r="BT78" t="s">
        <v>287</v>
      </c>
      <c r="BU78" t="str">
        <f t="shared" si="73"/>
        <v>-</v>
      </c>
      <c r="BV78">
        <v>2295</v>
      </c>
      <c r="BW78">
        <f t="shared" si="74"/>
        <v>2544.4565217391305</v>
      </c>
      <c r="BX78" t="s">
        <v>355</v>
      </c>
    </row>
  </sheetData>
  <autoFilter ref="A3:BX78" xr:uid="{7A1660CF-9003-4B2D-B659-7F339ED5B476}">
    <sortState xmlns:xlrd2="http://schemas.microsoft.com/office/spreadsheetml/2017/richdata2" ref="A4:BX78">
      <sortCondition ref="BS4:BS78"/>
      <sortCondition ref="AE4:AE78"/>
    </sortState>
  </autoFilter>
  <mergeCells count="3">
    <mergeCell ref="M2:P2"/>
    <mergeCell ref="K2:L2"/>
    <mergeCell ref="AC1:AF1"/>
  </mergeCells>
  <phoneticPr fontId="2"/>
  <conditionalFormatting sqref="AN4:AN78">
    <cfRule type="cellIs" dxfId="2" priority="4" operator="greaterThan">
      <formula>$AD4</formula>
    </cfRule>
  </conditionalFormatting>
  <conditionalFormatting sqref="AL4:AL78">
    <cfRule type="cellIs" dxfId="1" priority="2" operator="lessThan">
      <formula>$AN4</formula>
    </cfRule>
  </conditionalFormatting>
  <conditionalFormatting sqref="AO4:AO7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2026-07-15T01:38:15Z</dcterms:modified>
</cp:coreProperties>
</file>