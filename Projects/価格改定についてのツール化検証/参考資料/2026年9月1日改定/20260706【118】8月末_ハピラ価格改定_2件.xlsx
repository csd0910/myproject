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商談\ﾊ_ハピラ_118.553\価格改定\20260702_8月末\"/>
    </mc:Choice>
  </mc:AlternateContent>
  <xr:revisionPtr revIDLastSave="0" documentId="13_ncr:1_{6A66BC95-436D-4BCF-A086-403A4E245CEE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>Sheet1!$A$3:$BQ$3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P5" i="1" l="1"/>
  <c r="BP6" i="1"/>
  <c r="BP7" i="1"/>
  <c r="BN5" i="1"/>
  <c r="BN6" i="1"/>
  <c r="BN7" i="1"/>
  <c r="P7" i="1"/>
  <c r="AR5" i="1"/>
  <c r="J7" i="1"/>
  <c r="J5" i="1"/>
  <c r="AR6" i="1"/>
  <c r="P6" i="1"/>
  <c r="AR4" i="1"/>
  <c r="AV4" i="1"/>
  <c r="AU4" i="1"/>
  <c r="AR7" i="1" l="1"/>
  <c r="P5" i="1"/>
  <c r="P4" i="1"/>
  <c r="AT4" i="1"/>
  <c r="BI6" i="1" l="1"/>
  <c r="AH6" i="1" s="1"/>
  <c r="BI5" i="1"/>
  <c r="AH5" i="1" s="1"/>
  <c r="BI7" i="1"/>
  <c r="AH7" i="1" s="1"/>
  <c r="BI4" i="1"/>
  <c r="AH4" i="1" s="1"/>
  <c r="AC6" i="1"/>
  <c r="AC5" i="1"/>
  <c r="AC7" i="1"/>
  <c r="AA6" i="1"/>
  <c r="AQ6" i="1" s="1"/>
  <c r="AA5" i="1"/>
  <c r="AQ5" i="1" s="1"/>
  <c r="AA7" i="1"/>
  <c r="AQ7" i="1" s="1"/>
  <c r="D6" i="1"/>
  <c r="F6" i="1" s="1"/>
  <c r="D5" i="1"/>
  <c r="F5" i="1" s="1"/>
  <c r="D7" i="1"/>
  <c r="F7" i="1" s="1"/>
  <c r="D4" i="1"/>
  <c r="F4" i="1" s="1"/>
  <c r="AC4" i="1"/>
  <c r="AA4" i="1"/>
  <c r="AQ4" i="1" s="1"/>
  <c r="AS7" i="1" l="1"/>
  <c r="AE7" i="1" s="1"/>
  <c r="AF7" i="1" s="1"/>
  <c r="AS5" i="1"/>
  <c r="AI5" i="1" s="1"/>
  <c r="AJ5" i="1" s="1"/>
  <c r="AS6" i="1"/>
  <c r="AS4" i="1"/>
  <c r="AE4" i="1" s="1"/>
  <c r="AF4" i="1" s="1"/>
  <c r="AL6" i="1"/>
  <c r="AL4" i="1"/>
  <c r="AM7" i="1"/>
  <c r="AM5" i="1"/>
  <c r="AL7" i="1"/>
  <c r="AM6" i="1"/>
  <c r="AL5" i="1"/>
  <c r="AO4" i="1"/>
  <c r="AP4" i="1"/>
  <c r="AM4" i="1"/>
  <c r="AI7" i="1" l="1"/>
  <c r="AJ7" i="1" s="1"/>
  <c r="AE5" i="1"/>
  <c r="AF5" i="1" s="1"/>
  <c r="AI4" i="1"/>
  <c r="AJ4" i="1" s="1"/>
  <c r="BN4" i="1"/>
  <c r="BP4" i="1"/>
  <c r="AI6" i="1"/>
  <c r="AJ6" i="1" s="1"/>
  <c r="AE6" i="1"/>
  <c r="AF6" i="1" s="1"/>
</calcChain>
</file>

<file path=xl/sharedStrings.xml><?xml version="1.0" encoding="utf-8"?>
<sst xmlns="http://schemas.openxmlformats.org/spreadsheetml/2006/main" count="106" uniqueCount="83">
  <si>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</si>
  <si>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</si>
  <si>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</si>
  <si>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</si>
  <si>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</si>
  <si>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</si>
  <si>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</si>
  <si>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</si>
  <si>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</si>
  <si>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</si>
  <si>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</si>
  <si>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</si>
  <si>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</si>
  <si>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</si>
  <si>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</si>
  <si>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</si>
  <si>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</si>
  <si>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</si>
  <si>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</si>
  <si>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</si>
  <si>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</si>
  <si>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</si>
  <si>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</si>
  <si>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</si>
  <si>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</si>
  <si>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</si>
  <si>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</si>
  <si>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</si>
  <si>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</si>
  <si>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</si>
  <si>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</si>
  <si>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</si>
  <si>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</si>
  <si>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</si>
  <si>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</si>
  <si>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</si>
  <si>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</si>
  <si>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</si>
  <si>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</si>
  <si>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</si>
  <si>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</si>
  <si>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263除く</t>
    <rPh sb="3" eb="4">
      <t>ノゾ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</si>
  <si>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</si>
  <si>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</si>
  <si>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</si>
  <si>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</si>
  <si>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</si>
  <si>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</si>
  <si>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</si>
  <si>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VD4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</si>
  <si>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</si>
  <si>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</si>
  <si>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</si>
  <si>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</si>
  <si>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</si>
  <si>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</si>
  <si>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</si>
  <si>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</si>
  <si>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</si>
  <si>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</si>
  <si>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</si>
  <si>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</si>
  <si>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</si>
  <si>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</si>
  <si>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</si>
  <si>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品目+
FW荷姿</t>
    <rPh sb="0" eb="2">
      <t>ヒンモク</t>
    </rPh>
    <rPh sb="6" eb="8">
      <t>ニスガタ</t>
    </rPh>
    <phoneticPr fontId="2"/>
  </si>
  <si>
    <t>34/570</t>
  </si>
  <si>
    <t>岩谷ﾏﾃﾘｱﾙ/ｱｲﾗｯﾌﾟYOU200 縦300×横200mm 1000枚</t>
  </si>
  <si>
    <t>岩谷ﾏﾃﾘｱﾙ/ｱｲﾗｯﾌﾟYOU260G 縦340×横260×ﾏﾁ50mm 400枚</t>
  </si>
  <si>
    <t>岩谷ﾏﾃﾘｱﾙ/ｱｲﾗｯﾌﾟYOU200 縦300×横200mm 1000枚×12箱</t>
  </si>
  <si>
    <t>岩谷ﾏﾃﾘｱﾙ/ｱｲﾗｯﾌﾟYOU260G 340×260×50mm 400枚×12箱</t>
  </si>
  <si>
    <t>-</t>
    <phoneticPr fontId="2"/>
  </si>
  <si>
    <t>7月売価</t>
    <rPh sb="1" eb="2">
      <t>ガツ</t>
    </rPh>
    <rPh sb="2" eb="4">
      <t>バイカ</t>
    </rPh>
    <phoneticPr fontId="2"/>
  </si>
  <si>
    <t>7月
たの</t>
    <rPh sb="1" eb="2">
      <t>ガツ</t>
    </rPh>
    <phoneticPr fontId="2"/>
  </si>
  <si>
    <t>7月
カウ</t>
    <rPh sb="1" eb="2">
      <t>ガツ</t>
    </rPh>
    <phoneticPr fontId="2"/>
  </si>
  <si>
    <t>アイラップ　You　ポップアップ式ポリ袋／規格袋　HDPE　0.009mm厚　11号　200mm×300mm　1個（1000枚入）　岩谷マテリアル</t>
  </si>
  <si>
    <t>1個（1000枚入）</t>
  </si>
  <si>
    <t>1箱（12000枚：1000枚入×12個入）</t>
  </si>
  <si>
    <t>アイラップ You ポップアップ式ポリ袋／規格袋 HDPE 0.009mm厚 11号 200mm×300mm 1箱（1000枚入×12個）</t>
  </si>
  <si>
    <t>1個（400枚入）</t>
  </si>
  <si>
    <t>アイラップ You ポップアップ式ポリ袋／規格袋 HDPE 0.009mm厚 210×340mm×マチ幅50mm 1箱（400枚入×12個）</t>
  </si>
  <si>
    <t>1箱（12個入）</t>
  </si>
  <si>
    <t>アイラップ　You　ポップアップ式ポリ袋／規格袋　HDPE　0.009mm厚　210×340mm×マチ幅50mm　1個（400枚入）　岩谷マテリアル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</si>
</sst>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3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3" borderId="4" xfId="0" applyFill="1" applyBorder="1">
      <alignment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Q7"/>
  <sheetViews>
    <sheetView tabSelected="1" zoomScale="90" zoomScaleNormal="90" workbookViewId="0">
      <pane xSplit="8" ySplit="6" topLeftCell="M7" activePane="bottomRight" state="frozen"/>
      <selection pane="topRight" activeCell="G1" sqref="G1"/>
      <selection pane="bottomLeft" activeCell="A5" sqref="A5"/>
      <selection pane="bottomRight" activeCell="G1" sqref="G1"/>
    </sheetView>
  </sheetViews>
  <sheetFormatPr defaultRowHeight="18.75" outlineLevelCol="1" x14ac:dyDescent="0.4"/>
  <cols>
    <col min="1" max="1" width="4.625" customWidth="1"/>
    <col min="2" max="2" width="5.75" customWidth="1"/>
    <col min="7" max="7" width="48.375" customWidth="1"/>
    <col min="8" max="8" width="15.5" bestFit="1" customWidth="1"/>
    <col min="9" max="12" width="7.5" hidden="1" customWidth="1" outlineLevel="1"/>
    <col min="13" max="13" width="7.625" customWidth="1" collapsed="1"/>
    <col min="14" max="17" width="7.625" customWidth="1"/>
    <col min="18" max="25" width="7.625" hidden="1" customWidth="1" outlineLevel="1"/>
    <col min="26" max="26" width="7.5" customWidth="1" collapsed="1"/>
    <col min="27" max="29" width="7.625" customWidth="1"/>
    <col min="30" max="30" width="4.375" customWidth="1" collapsed="1"/>
    <col min="31" max="32" width="7.625" customWidth="1"/>
    <col min="33" max="33" width="6.125" style="29" customWidth="1"/>
    <col min="34" max="34" width="7.625" customWidth="1"/>
    <col min="35" max="35" width="7.625" style="29" customWidth="1"/>
    <col min="36" max="39" width="7.625" customWidth="1"/>
    <col min="40" max="42" width="7.625" hidden="1" customWidth="1" outlineLevel="1"/>
    <col min="43" max="43" width="7.625" customWidth="1" collapsed="1"/>
    <col min="44" max="45" width="7.625" customWidth="1"/>
    <col min="46" max="54" width="7.625" hidden="1" customWidth="1" outlineLevel="1"/>
    <col min="55" max="55" width="7.625" customWidth="1" collapsed="1"/>
    <col min="56" max="68" width="7.625" customWidth="1"/>
  </cols>
  <sheetData>
    <row r="1" spans="1:69" x14ac:dyDescent="0.4">
      <c r="C1" s="28" t="s">
        <v>43</v>
      </c>
      <c r="Z1" s="43" t="s">
        <v>40</v>
      </c>
      <c r="AA1" s="44"/>
      <c r="AB1" s="44"/>
      <c r="AC1" s="45"/>
    </row>
    <row r="2" spans="1:69" x14ac:dyDescent="0.4">
      <c r="C2" s="8" t="s">
        <v>28</v>
      </c>
      <c r="D2" s="9" t="s">
        <v>29</v>
      </c>
      <c r="E2" s="9" t="s">
        <v>30</v>
      </c>
      <c r="F2" s="9"/>
      <c r="G2" s="10"/>
      <c r="H2" s="10"/>
      <c r="I2" s="35"/>
      <c r="J2" s="35"/>
      <c r="K2" s="40" t="s">
        <v>31</v>
      </c>
      <c r="L2" s="42"/>
      <c r="M2" s="40" t="s">
        <v>1</v>
      </c>
      <c r="N2" s="41"/>
      <c r="O2" s="41"/>
      <c r="P2" s="42"/>
      <c r="Q2" s="11"/>
      <c r="R2" s="34"/>
      <c r="S2" s="34"/>
      <c r="T2" s="34"/>
      <c r="U2" s="34"/>
      <c r="V2" s="34"/>
      <c r="W2" s="34"/>
      <c r="X2" s="34"/>
      <c r="Y2" s="34"/>
      <c r="Z2" s="22"/>
      <c r="AA2" s="23" t="s">
        <v>34</v>
      </c>
      <c r="AB2" s="23"/>
      <c r="AC2" s="24" t="s">
        <v>34</v>
      </c>
      <c r="AD2" s="10"/>
      <c r="AE2" s="9" t="s">
        <v>39</v>
      </c>
      <c r="AF2" s="11"/>
      <c r="AG2" s="30"/>
      <c r="AH2" s="11"/>
      <c r="AI2" s="30"/>
      <c r="AJ2" s="11"/>
      <c r="AK2" s="21" t="s">
        <v>41</v>
      </c>
      <c r="AL2" s="11"/>
      <c r="AM2" s="11"/>
      <c r="AN2" s="26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>
        <v>51</v>
      </c>
      <c r="BJ2">
        <v>14</v>
      </c>
      <c r="BK2">
        <v>28</v>
      </c>
    </row>
    <row r="3" spans="1:69" ht="75" x14ac:dyDescent="0.4">
      <c r="A3" s="1" t="s">
        <v>51</v>
      </c>
      <c r="B3" s="1" t="s">
        <v>56</v>
      </c>
      <c r="C3" s="2" t="s">
        <v>2</v>
      </c>
      <c r="D3" s="2" t="s">
        <v>6</v>
      </c>
      <c r="E3" s="2" t="s">
        <v>7</v>
      </c>
      <c r="F3" s="39" t="s">
        <v>65</v>
      </c>
      <c r="G3" s="2" t="s">
        <v>0</v>
      </c>
      <c r="H3" s="12" t="s">
        <v>4</v>
      </c>
      <c r="I3" s="12" t="s">
        <v>53</v>
      </c>
      <c r="J3" s="12" t="s">
        <v>54</v>
      </c>
      <c r="K3" s="12" t="s">
        <v>25</v>
      </c>
      <c r="L3" s="12" t="s">
        <v>26</v>
      </c>
      <c r="M3" s="12" t="s">
        <v>63</v>
      </c>
      <c r="N3" s="2" t="s">
        <v>5</v>
      </c>
      <c r="O3" s="2" t="s">
        <v>61</v>
      </c>
      <c r="P3" s="2" t="s">
        <v>13</v>
      </c>
      <c r="Q3" s="12" t="s">
        <v>47</v>
      </c>
      <c r="R3" s="12" t="s">
        <v>17</v>
      </c>
      <c r="S3" s="12" t="s">
        <v>18</v>
      </c>
      <c r="T3" s="12" t="s">
        <v>48</v>
      </c>
      <c r="U3" s="12" t="s">
        <v>20</v>
      </c>
      <c r="V3" s="12" t="s">
        <v>21</v>
      </c>
      <c r="W3" s="12" t="s">
        <v>49</v>
      </c>
      <c r="X3" s="12" t="s">
        <v>23</v>
      </c>
      <c r="Y3" s="12" t="s">
        <v>24</v>
      </c>
      <c r="Z3" s="12" t="s">
        <v>59</v>
      </c>
      <c r="AA3" s="12" t="s">
        <v>60</v>
      </c>
      <c r="AB3" s="2" t="s">
        <v>61</v>
      </c>
      <c r="AC3" s="12" t="s">
        <v>62</v>
      </c>
      <c r="AD3" s="14" t="s">
        <v>3</v>
      </c>
      <c r="AE3" s="19" t="s">
        <v>14</v>
      </c>
      <c r="AF3" s="2" t="s">
        <v>13</v>
      </c>
      <c r="AG3" s="31" t="s">
        <v>44</v>
      </c>
      <c r="AH3" s="12" t="s">
        <v>64</v>
      </c>
      <c r="AI3" s="36" t="s">
        <v>55</v>
      </c>
      <c r="AJ3" s="2" t="s">
        <v>13</v>
      </c>
      <c r="AK3" s="13" t="s">
        <v>32</v>
      </c>
      <c r="AL3" s="2" t="s">
        <v>13</v>
      </c>
      <c r="AM3" s="2" t="s">
        <v>33</v>
      </c>
      <c r="AN3" s="25" t="s">
        <v>35</v>
      </c>
      <c r="AO3" s="12" t="s">
        <v>36</v>
      </c>
      <c r="AP3" s="12" t="s">
        <v>37</v>
      </c>
      <c r="AQ3" s="12" t="s">
        <v>27</v>
      </c>
      <c r="AR3" s="12" t="s">
        <v>38</v>
      </c>
      <c r="AS3" s="12" t="s">
        <v>15</v>
      </c>
      <c r="AT3" s="12" t="s">
        <v>16</v>
      </c>
      <c r="AU3" s="12" t="s">
        <v>17</v>
      </c>
      <c r="AV3" s="12" t="s">
        <v>18</v>
      </c>
      <c r="AW3" s="12" t="s">
        <v>19</v>
      </c>
      <c r="AX3" s="12" t="s">
        <v>20</v>
      </c>
      <c r="AY3" s="12" t="s">
        <v>21</v>
      </c>
      <c r="AZ3" s="12" t="s">
        <v>22</v>
      </c>
      <c r="BA3" s="12" t="s">
        <v>23</v>
      </c>
      <c r="BB3" s="12" t="s">
        <v>24</v>
      </c>
      <c r="BC3" s="2" t="s">
        <v>8</v>
      </c>
      <c r="BD3" s="2" t="s">
        <v>9</v>
      </c>
      <c r="BE3" s="2" t="s">
        <v>10</v>
      </c>
      <c r="BF3" s="2" t="s">
        <v>11</v>
      </c>
      <c r="BG3" s="12" t="s">
        <v>42</v>
      </c>
      <c r="BH3" s="2" t="s">
        <v>72</v>
      </c>
      <c r="BI3" s="2" t="s">
        <v>12</v>
      </c>
      <c r="BJ3" s="17" t="s">
        <v>45</v>
      </c>
      <c r="BK3" s="17" t="s">
        <v>46</v>
      </c>
      <c r="BL3" s="15" t="s">
        <v>52</v>
      </c>
      <c r="BM3" s="37" t="s">
        <v>73</v>
      </c>
      <c r="BN3" s="38" t="s">
        <v>57</v>
      </c>
      <c r="BO3" s="38" t="s">
        <v>74</v>
      </c>
      <c r="BP3" s="38" t="s">
        <v>58</v>
      </c>
      <c r="BQ3" s="33" t="s">
        <v>50</v>
      </c>
    </row>
    <row r="4" spans="1:69" x14ac:dyDescent="0.4">
      <c r="A4" s="3">
        <v>1</v>
      </c>
      <c r="B4" s="3">
        <v>1</v>
      </c>
      <c r="C4" s="46">
        <v>621761</v>
      </c>
      <c r="D4" s="4" t="str">
        <f>TEXT(C4,"000000")</f>
        <v>621761</v>
      </c>
      <c r="E4" s="4">
        <v>621761</v>
      </c>
      <c r="F4" s="4" t="str">
        <f>D4&amp;I4</f>
        <v>6217615</v>
      </c>
      <c r="G4" s="4" t="s">
        <v>67</v>
      </c>
      <c r="H4" s="5">
        <v>4901140629792</v>
      </c>
      <c r="I4" s="5">
        <v>5</v>
      </c>
      <c r="J4" s="5"/>
      <c r="K4" s="5">
        <v>2</v>
      </c>
      <c r="L4" s="5">
        <v>2</v>
      </c>
      <c r="M4" s="4">
        <v>0</v>
      </c>
      <c r="N4" s="4">
        <v>1395</v>
      </c>
      <c r="O4" s="4">
        <v>811</v>
      </c>
      <c r="P4" s="6">
        <f>IFERROR(1-O4/N4,"-")</f>
        <v>0.41863799283154124</v>
      </c>
      <c r="Q4" s="4" t="s">
        <v>71</v>
      </c>
      <c r="R4" s="4"/>
      <c r="S4" s="4"/>
      <c r="T4" s="4"/>
      <c r="U4" s="4"/>
      <c r="V4" s="4"/>
      <c r="W4" s="4"/>
      <c r="X4" s="4"/>
      <c r="Y4" s="4"/>
      <c r="Z4" s="4">
        <v>0</v>
      </c>
      <c r="AA4" s="4">
        <f>IF(AD4="",Z4,Z4*AD4)</f>
        <v>0</v>
      </c>
      <c r="AB4" s="4">
        <v>1095</v>
      </c>
      <c r="AC4" s="4">
        <f>IF(AD4="",AB4,AB4*AD4)</f>
        <v>1095</v>
      </c>
      <c r="AD4" s="4"/>
      <c r="AE4" s="20">
        <f t="shared" ref="AE4:AE7" si="0">ROUND(N4*AS4,0)</f>
        <v>1884</v>
      </c>
      <c r="AF4" s="6">
        <f>IFERROR(1-AC4/AE4,"-")</f>
        <v>0.41878980891719741</v>
      </c>
      <c r="AG4" s="32">
        <v>46.75</v>
      </c>
      <c r="AH4" s="4">
        <f>BI4</f>
        <v>1396</v>
      </c>
      <c r="AI4" s="32">
        <f>IFERROR(AH4*AS4,"-")</f>
        <v>1884.8581997533909</v>
      </c>
      <c r="AJ4" s="6">
        <f>IFERROR(1-AC4/AI4,"-")</f>
        <v>0.41905444126074498</v>
      </c>
      <c r="AK4" s="7">
        <v>1800</v>
      </c>
      <c r="AL4" s="6">
        <f t="shared" ref="AL4:AL7" si="1">1-AC4/AK4</f>
        <v>0.39166666666666672</v>
      </c>
      <c r="AM4" s="4">
        <f t="shared" ref="AM4:AM7" si="2">AK4-AC4</f>
        <v>705</v>
      </c>
      <c r="AN4" s="27"/>
      <c r="AO4" s="6" t="e">
        <f>1-AC4/AN4</f>
        <v>#DIV/0!</v>
      </c>
      <c r="AP4" s="4">
        <f>AN4-AC4</f>
        <v>-1095</v>
      </c>
      <c r="AQ4" s="6" t="str">
        <f>IFERROR(AA4/M4,"-")</f>
        <v>-</v>
      </c>
      <c r="AR4" s="6">
        <f>IFERROR(AK4/N4,"-")</f>
        <v>1.2903225806451613</v>
      </c>
      <c r="AS4" s="6">
        <f>IFERROR(AC4/O4,"-")</f>
        <v>1.3501849568434032</v>
      </c>
      <c r="AT4" s="4" t="str">
        <f>IFERROR(ROUND($AK4*Q4/$N4,0),"-")</f>
        <v>-</v>
      </c>
      <c r="AU4" s="4" t="str">
        <f>IF(R4="","-",R4)</f>
        <v>-</v>
      </c>
      <c r="AV4" s="4" t="str">
        <f>IF(S4="","-",S4)</f>
        <v>-</v>
      </c>
      <c r="AW4" s="4"/>
      <c r="AX4" s="4"/>
      <c r="AY4" s="4"/>
      <c r="AZ4" s="4"/>
      <c r="BA4" s="4"/>
      <c r="BB4" s="4"/>
      <c r="BC4" s="4" t="s">
        <v>66</v>
      </c>
      <c r="BD4" s="4">
        <v>870466</v>
      </c>
      <c r="BE4" s="4"/>
      <c r="BF4" s="4"/>
      <c r="BG4" s="4" t="s">
        <v>76</v>
      </c>
      <c r="BH4" s="4">
        <v>1396</v>
      </c>
      <c r="BI4" s="4">
        <f t="shared" ref="BI4:BI6" si="3">IF(BE4="",BH4,BE4/BF4*BH4)</f>
        <v>1396</v>
      </c>
      <c r="BJ4" s="18">
        <v>4</v>
      </c>
      <c r="BK4" s="18">
        <v>1</v>
      </c>
      <c r="BL4" s="16">
        <v>18</v>
      </c>
      <c r="BM4" t="s">
        <v>71</v>
      </c>
      <c r="BN4" t="str">
        <f>IFERROR(BM4*AS4,"-")</f>
        <v>-</v>
      </c>
      <c r="BO4">
        <v>1710</v>
      </c>
      <c r="BP4">
        <f>IFERROR(BO4*AS4,"-")</f>
        <v>2308.8162762022193</v>
      </c>
      <c r="BQ4" t="s">
        <v>75</v>
      </c>
    </row>
    <row r="5" spans="1:69" x14ac:dyDescent="0.4">
      <c r="A5" s="3">
        <v>3</v>
      </c>
      <c r="B5" s="3">
        <v>1</v>
      </c>
      <c r="C5" s="46">
        <v>621761</v>
      </c>
      <c r="D5" s="4" t="str">
        <f>TEXT(C5,"000000")</f>
        <v>621761</v>
      </c>
      <c r="E5" s="4">
        <v>621762</v>
      </c>
      <c r="F5" s="4" t="str">
        <f>D5&amp;I5</f>
        <v>6217618</v>
      </c>
      <c r="G5" s="4" t="s">
        <v>69</v>
      </c>
      <c r="H5" s="5">
        <v>4901140629792</v>
      </c>
      <c r="I5" s="5">
        <v>8</v>
      </c>
      <c r="J5" s="5" t="str">
        <f>C5&amp;I5</f>
        <v>6217618</v>
      </c>
      <c r="K5" s="5"/>
      <c r="L5" s="5"/>
      <c r="M5" s="4">
        <v>0</v>
      </c>
      <c r="N5" s="4">
        <v>14216</v>
      </c>
      <c r="O5" s="4">
        <v>9732</v>
      </c>
      <c r="P5" s="6">
        <f>IFERROR(1-O5/N5,"-")</f>
        <v>0.31541924592009007</v>
      </c>
      <c r="Q5" s="4" t="s">
        <v>71</v>
      </c>
      <c r="R5" s="4"/>
      <c r="S5" s="4"/>
      <c r="T5" s="4"/>
      <c r="U5" s="4"/>
      <c r="V5" s="4"/>
      <c r="W5" s="4"/>
      <c r="X5" s="4"/>
      <c r="Y5" s="4"/>
      <c r="Z5" s="4">
        <v>0</v>
      </c>
      <c r="AA5" s="4">
        <f>IF(AD5="",Z5,Z5*AD5)</f>
        <v>0</v>
      </c>
      <c r="AB5" s="4">
        <v>1095</v>
      </c>
      <c r="AC5" s="4">
        <f>IF(AD5="",AB5,AB5*AD5)</f>
        <v>13140</v>
      </c>
      <c r="AD5" s="4">
        <v>12</v>
      </c>
      <c r="AE5" s="20">
        <f>ROUND(N5*AS5,0)</f>
        <v>19194</v>
      </c>
      <c r="AF5" s="6">
        <f>IFERROR(1-AC5/AE5,"-")</f>
        <v>0.31541106595811186</v>
      </c>
      <c r="AG5" s="32">
        <v>46.75</v>
      </c>
      <c r="AH5" s="4">
        <f>BI5</f>
        <v>14100</v>
      </c>
      <c r="AI5" s="32">
        <f>IFERROR(AH5*AS5,"-")</f>
        <v>19037.607891491985</v>
      </c>
      <c r="AJ5" s="6">
        <f>IFERROR(1-AC5/AI5,"-")</f>
        <v>0.30978723404255315</v>
      </c>
      <c r="AK5" s="7">
        <v>19000</v>
      </c>
      <c r="AL5" s="6">
        <f>1-AC5/AK5</f>
        <v>0.30842105263157893</v>
      </c>
      <c r="AM5" s="4">
        <f>AK5-AC5</f>
        <v>5860</v>
      </c>
      <c r="AN5" s="27"/>
      <c r="AO5" s="6"/>
      <c r="AP5" s="6"/>
      <c r="AQ5" s="6" t="str">
        <f>IFERROR(AA5/M5,"-")</f>
        <v>-</v>
      </c>
      <c r="AR5" s="6">
        <f>IFERROR(AK5/N5,"-")</f>
        <v>1.3365222284749578</v>
      </c>
      <c r="AS5" s="6">
        <f>IFERROR(AC5/O5,"-")</f>
        <v>1.3501849568434032</v>
      </c>
      <c r="AT5" s="4"/>
      <c r="AU5" s="4"/>
      <c r="AV5" s="4"/>
      <c r="AW5" s="4"/>
      <c r="AX5" s="4"/>
      <c r="AY5" s="4"/>
      <c r="AZ5" s="4"/>
      <c r="BA5" s="4"/>
      <c r="BB5" s="4"/>
      <c r="BC5" s="32" t="s">
        <v>66</v>
      </c>
      <c r="BD5" s="4">
        <v>507555</v>
      </c>
      <c r="BE5" s="4"/>
      <c r="BF5" s="4"/>
      <c r="BG5" s="4" t="s">
        <v>77</v>
      </c>
      <c r="BH5" s="4">
        <v>14100</v>
      </c>
      <c r="BI5" s="4">
        <f>IF(BE5="",BH5,BE5/BF5*BH5)</f>
        <v>14100</v>
      </c>
      <c r="BJ5" s="18">
        <v>4</v>
      </c>
      <c r="BK5" s="18">
        <v>1</v>
      </c>
      <c r="BL5" s="16">
        <v>18</v>
      </c>
      <c r="BM5" t="s">
        <v>71</v>
      </c>
      <c r="BN5" t="str">
        <f t="shared" ref="BN5:BN7" si="4">IFERROR(BM5*AS5,"-")</f>
        <v>-</v>
      </c>
      <c r="BO5" t="s">
        <v>71</v>
      </c>
      <c r="BP5" t="str">
        <f t="shared" ref="BP5:BP7" si="5">IFERROR(BO5*AS5,"-")</f>
        <v>-</v>
      </c>
      <c r="BQ5" t="s">
        <v>78</v>
      </c>
    </row>
    <row r="6" spans="1:69" x14ac:dyDescent="0.4">
      <c r="A6" s="3">
        <v>2</v>
      </c>
      <c r="B6" s="3">
        <v>2</v>
      </c>
      <c r="C6" s="46">
        <v>621763</v>
      </c>
      <c r="D6" s="4" t="str">
        <f t="shared" ref="D6:D7" si="6">TEXT(C6,"000000")</f>
        <v>621763</v>
      </c>
      <c r="E6" s="4">
        <v>621763</v>
      </c>
      <c r="F6" s="4" t="str">
        <f t="shared" ref="F6:F7" si="7">D6&amp;I6</f>
        <v>6217635</v>
      </c>
      <c r="G6" s="4" t="s">
        <v>68</v>
      </c>
      <c r="H6" s="5">
        <v>4901140632754</v>
      </c>
      <c r="I6" s="5">
        <v>5</v>
      </c>
      <c r="J6" s="5"/>
      <c r="K6" s="5">
        <v>2</v>
      </c>
      <c r="L6" s="5">
        <v>2</v>
      </c>
      <c r="M6" s="4">
        <v>0</v>
      </c>
      <c r="N6" s="4">
        <v>768</v>
      </c>
      <c r="O6" s="4">
        <v>579</v>
      </c>
      <c r="P6" s="6">
        <f t="shared" ref="P6:P7" si="8">IFERROR(1-O6/N6,"-")</f>
        <v>0.24609375</v>
      </c>
      <c r="Q6" s="4" t="s">
        <v>71</v>
      </c>
      <c r="R6" s="4"/>
      <c r="S6" s="4"/>
      <c r="T6" s="4"/>
      <c r="U6" s="4"/>
      <c r="V6" s="4"/>
      <c r="W6" s="4"/>
      <c r="X6" s="4"/>
      <c r="Y6" s="4"/>
      <c r="Z6" s="4">
        <v>0</v>
      </c>
      <c r="AA6" s="4">
        <f t="shared" ref="AA6:AA7" si="9">IF(AD6="",Z6,Z6*AD6)</f>
        <v>0</v>
      </c>
      <c r="AB6" s="4">
        <v>785</v>
      </c>
      <c r="AC6" s="4">
        <f t="shared" ref="AC6:AC7" si="10">IF(AD6="",AB6,AB6*AD6)</f>
        <v>785</v>
      </c>
      <c r="AD6" s="4"/>
      <c r="AE6" s="20">
        <f t="shared" si="0"/>
        <v>1041</v>
      </c>
      <c r="AF6" s="6">
        <f t="shared" ref="AF6:AF7" si="11">IFERROR(1-AC6/AE6,"-")</f>
        <v>0.24591738712776179</v>
      </c>
      <c r="AG6" s="32">
        <v>73</v>
      </c>
      <c r="AH6" s="4">
        <f t="shared" ref="AH6:AH7" si="12">BI6</f>
        <v>864</v>
      </c>
      <c r="AI6" s="32">
        <f t="shared" ref="AI6:AI7" si="13">IFERROR(AH6*AS6,"-")</f>
        <v>1171.3989637305699</v>
      </c>
      <c r="AJ6" s="6">
        <f t="shared" ref="AJ6:AJ7" si="14">IFERROR(1-AC6/AI6,"-")</f>
        <v>0.32986111111111105</v>
      </c>
      <c r="AK6" s="7">
        <v>1150</v>
      </c>
      <c r="AL6" s="6">
        <f t="shared" si="1"/>
        <v>0.31739130434782614</v>
      </c>
      <c r="AM6" s="4">
        <f t="shared" si="2"/>
        <v>365</v>
      </c>
      <c r="AN6" s="27"/>
      <c r="AO6" s="6"/>
      <c r="AP6" s="6"/>
      <c r="AQ6" s="6" t="str">
        <f t="shared" ref="AQ6:AQ7" si="15">IFERROR(AA6/M6,"-")</f>
        <v>-</v>
      </c>
      <c r="AR6" s="6">
        <f t="shared" ref="AR6:AR7" si="16">IFERROR(AK6/N6,"-")</f>
        <v>1.4973958333333333</v>
      </c>
      <c r="AS6" s="6">
        <f t="shared" ref="AS6:AS7" si="17">IFERROR(AC6/O6,"-")</f>
        <v>1.3557858376511227</v>
      </c>
      <c r="AT6" s="4"/>
      <c r="AU6" s="4"/>
      <c r="AV6" s="4"/>
      <c r="AW6" s="4"/>
      <c r="AX6" s="4"/>
      <c r="AY6" s="4"/>
      <c r="AZ6" s="4"/>
      <c r="BA6" s="4"/>
      <c r="BB6" s="4"/>
      <c r="BC6" s="4" t="s">
        <v>66</v>
      </c>
      <c r="BD6" s="4">
        <v>870493</v>
      </c>
      <c r="BE6" s="4"/>
      <c r="BF6" s="4"/>
      <c r="BG6" s="4" t="s">
        <v>79</v>
      </c>
      <c r="BH6" s="4">
        <v>864</v>
      </c>
      <c r="BI6" s="4">
        <f t="shared" si="3"/>
        <v>864</v>
      </c>
      <c r="BJ6" s="18">
        <v>4</v>
      </c>
      <c r="BK6" s="18">
        <v>1</v>
      </c>
      <c r="BL6" s="16">
        <v>18</v>
      </c>
      <c r="BM6" t="s">
        <v>71</v>
      </c>
      <c r="BN6" t="str">
        <f t="shared" si="4"/>
        <v>-</v>
      </c>
      <c r="BO6">
        <v>1791</v>
      </c>
      <c r="BP6">
        <f t="shared" si="5"/>
        <v>2428.2124352331607</v>
      </c>
      <c r="BQ6" t="s">
        <v>82</v>
      </c>
    </row>
    <row r="7" spans="1:69" x14ac:dyDescent="0.4">
      <c r="A7" s="3">
        <v>4</v>
      </c>
      <c r="B7" s="3">
        <v>2</v>
      </c>
      <c r="C7" s="46">
        <v>621763</v>
      </c>
      <c r="D7" s="4" t="str">
        <f t="shared" si="6"/>
        <v>621763</v>
      </c>
      <c r="E7" s="4">
        <v>621764</v>
      </c>
      <c r="F7" s="4" t="str">
        <f t="shared" si="7"/>
        <v>6217638</v>
      </c>
      <c r="G7" s="4" t="s">
        <v>70</v>
      </c>
      <c r="H7" s="5">
        <v>4901140632754</v>
      </c>
      <c r="I7" s="5">
        <v>8</v>
      </c>
      <c r="J7" s="5" t="str">
        <f>C7&amp;I7</f>
        <v>6217638</v>
      </c>
      <c r="K7" s="5"/>
      <c r="L7" s="5"/>
      <c r="M7" s="4">
        <v>0</v>
      </c>
      <c r="N7" s="4">
        <v>8800</v>
      </c>
      <c r="O7" s="4">
        <v>6948</v>
      </c>
      <c r="P7" s="6">
        <f t="shared" si="8"/>
        <v>0.21045454545454545</v>
      </c>
      <c r="Q7" s="4" t="s">
        <v>71</v>
      </c>
      <c r="R7" s="4"/>
      <c r="S7" s="4"/>
      <c r="T7" s="4"/>
      <c r="U7" s="4"/>
      <c r="V7" s="4"/>
      <c r="W7" s="4"/>
      <c r="X7" s="4"/>
      <c r="Y7" s="4"/>
      <c r="Z7" s="4">
        <v>0</v>
      </c>
      <c r="AA7" s="4">
        <f t="shared" si="9"/>
        <v>0</v>
      </c>
      <c r="AB7" s="4">
        <v>785</v>
      </c>
      <c r="AC7" s="4">
        <f t="shared" si="10"/>
        <v>9420</v>
      </c>
      <c r="AD7" s="4">
        <v>12</v>
      </c>
      <c r="AE7" s="20">
        <f t="shared" si="0"/>
        <v>11931</v>
      </c>
      <c r="AF7" s="6">
        <f t="shared" si="11"/>
        <v>0.21046014583857175</v>
      </c>
      <c r="AG7" s="32">
        <v>73</v>
      </c>
      <c r="AH7" s="4">
        <f t="shared" si="12"/>
        <v>9241</v>
      </c>
      <c r="AI7" s="32">
        <f t="shared" si="13"/>
        <v>12528.816925734025</v>
      </c>
      <c r="AJ7" s="6">
        <f t="shared" si="14"/>
        <v>0.24813331890488044</v>
      </c>
      <c r="AK7" s="7">
        <v>12500</v>
      </c>
      <c r="AL7" s="6">
        <f t="shared" si="1"/>
        <v>0.24639999999999995</v>
      </c>
      <c r="AM7" s="4">
        <f t="shared" si="2"/>
        <v>3080</v>
      </c>
      <c r="AN7" s="27"/>
      <c r="AO7" s="6"/>
      <c r="AP7" s="6"/>
      <c r="AQ7" s="6" t="str">
        <f t="shared" si="15"/>
        <v>-</v>
      </c>
      <c r="AR7" s="6">
        <f t="shared" si="16"/>
        <v>1.4204545454545454</v>
      </c>
      <c r="AS7" s="6">
        <f t="shared" si="17"/>
        <v>1.3557858376511227</v>
      </c>
      <c r="AT7" s="4"/>
      <c r="AU7" s="4"/>
      <c r="AV7" s="4"/>
      <c r="AW7" s="4"/>
      <c r="AX7" s="4"/>
      <c r="AY7" s="4"/>
      <c r="AZ7" s="4"/>
      <c r="BA7" s="4"/>
      <c r="BB7" s="4"/>
      <c r="BC7" s="32" t="s">
        <v>66</v>
      </c>
      <c r="BD7" s="4">
        <v>507573</v>
      </c>
      <c r="BE7" s="4"/>
      <c r="BF7" s="4"/>
      <c r="BG7" s="4" t="s">
        <v>81</v>
      </c>
      <c r="BH7" s="4">
        <v>9241</v>
      </c>
      <c r="BI7" s="4">
        <f t="shared" ref="BI7" si="18">IF(BE7="",BH7,BE7/BF7*BH7)</f>
        <v>9241</v>
      </c>
      <c r="BJ7" s="18">
        <v>4</v>
      </c>
      <c r="BK7" s="18">
        <v>1</v>
      </c>
      <c r="BL7" s="16">
        <v>18</v>
      </c>
      <c r="BM7" t="s">
        <v>71</v>
      </c>
      <c r="BN7" t="str">
        <f t="shared" si="4"/>
        <v>-</v>
      </c>
      <c r="BO7" t="s">
        <v>71</v>
      </c>
      <c r="BP7" t="str">
        <f t="shared" si="5"/>
        <v>-</v>
      </c>
      <c r="BQ7" t="s">
        <v>80</v>
      </c>
    </row>
  </sheetData>
  <autoFilter ref="A3:BQ3" xr:uid="{7A1660CF-9003-4B2D-B659-7F339ED5B476}"/>
  <mergeCells count="3">
    <mergeCell ref="M2:P2"/>
    <mergeCell ref="K2:L2"/>
    <mergeCell ref="Z1:AC1"/>
  </mergeCells>
  <phoneticPr fontId="2"/>
  <conditionalFormatting sqref="AK4:AK7">
    <cfRule type="cellIs" dxfId="2" priority="4" operator="greaterThan">
      <formula>$AA4</formula>
    </cfRule>
  </conditionalFormatting>
  <conditionalFormatting sqref="AI4:AI7">
    <cfRule type="cellIs" dxfId="1" priority="2" operator="lessThan">
      <formula>$AK4</formula>
    </cfRule>
  </conditionalFormatting>
  <conditionalFormatting sqref="AL4:AL7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2026-07-06T04:01:05Z</dcterms:modified>
</cp:coreProperties>
</file>