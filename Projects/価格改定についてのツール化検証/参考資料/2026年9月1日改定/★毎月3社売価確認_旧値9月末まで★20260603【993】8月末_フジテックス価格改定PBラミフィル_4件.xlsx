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6C5847BF-84A7-41DB-8FCF-399EEDE78C2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5" i="1" l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O4" i="1"/>
  <c r="AN4" i="1"/>
  <c r="AM4" i="1"/>
  <c r="T10" i="1"/>
  <c r="T9" i="1"/>
  <c r="T8" i="1"/>
  <c r="T6" i="1"/>
  <c r="T5" i="1"/>
  <c r="AW7" i="1" l="1"/>
  <c r="AA7" i="1" s="1"/>
  <c r="AW11" i="1"/>
  <c r="AA11" i="1" s="1"/>
  <c r="AW12" i="1"/>
  <c r="AA12" i="1" s="1"/>
  <c r="AW5" i="1"/>
  <c r="AA5" i="1" s="1"/>
  <c r="AW6" i="1"/>
  <c r="AA6" i="1" s="1"/>
  <c r="AW8" i="1"/>
  <c r="AA8" i="1" s="1"/>
  <c r="AW9" i="1"/>
  <c r="AA9" i="1" s="1"/>
  <c r="AW10" i="1"/>
  <c r="AA10" i="1" s="1"/>
  <c r="AW4" i="1"/>
  <c r="AA4" i="1" s="1"/>
  <c r="V7" i="1"/>
  <c r="AL7" i="1" s="1"/>
  <c r="BH7" i="1" s="1"/>
  <c r="V11" i="1"/>
  <c r="V12" i="1"/>
  <c r="V5" i="1"/>
  <c r="V6" i="1"/>
  <c r="V8" i="1"/>
  <c r="V9" i="1"/>
  <c r="V10" i="1"/>
  <c r="T7" i="1"/>
  <c r="AJ7" i="1" s="1"/>
  <c r="T11" i="1"/>
  <c r="AJ11" i="1" s="1"/>
  <c r="T12" i="1"/>
  <c r="AJ12" i="1" s="1"/>
  <c r="AJ5" i="1"/>
  <c r="AJ6" i="1"/>
  <c r="AJ8" i="1"/>
  <c r="AJ9" i="1"/>
  <c r="AJ10" i="1"/>
  <c r="D7" i="1"/>
  <c r="D11" i="1"/>
  <c r="D12" i="1"/>
  <c r="D5" i="1"/>
  <c r="D6" i="1"/>
  <c r="D8" i="1"/>
  <c r="D9" i="1"/>
  <c r="D10" i="1"/>
  <c r="D4" i="1"/>
  <c r="V4" i="1"/>
  <c r="T4" i="1"/>
  <c r="AJ4" i="1" s="1"/>
  <c r="AK10" i="1"/>
  <c r="O10" i="1"/>
  <c r="AK9" i="1"/>
  <c r="O9" i="1"/>
  <c r="AK8" i="1"/>
  <c r="O8" i="1"/>
  <c r="AK4" i="1"/>
  <c r="AK6" i="1"/>
  <c r="O6" i="1"/>
  <c r="AK5" i="1"/>
  <c r="O5" i="1"/>
  <c r="AK12" i="1"/>
  <c r="O12" i="1"/>
  <c r="AK11" i="1"/>
  <c r="O11" i="1"/>
  <c r="AK7" i="1"/>
  <c r="O7" i="1"/>
  <c r="O4" i="1"/>
  <c r="X7" i="1" l="1"/>
  <c r="Y7" i="1" s="1"/>
  <c r="BD7" i="1"/>
  <c r="AE10" i="1"/>
  <c r="AE7" i="1"/>
  <c r="AE9" i="1"/>
  <c r="AE4" i="1"/>
  <c r="AE6" i="1"/>
  <c r="AF5" i="1"/>
  <c r="AF8" i="1"/>
  <c r="AF12" i="1"/>
  <c r="AL11" i="1"/>
  <c r="BH11" i="1" s="1"/>
  <c r="AB7" i="1"/>
  <c r="AC7" i="1" s="1"/>
  <c r="AL9" i="1"/>
  <c r="BH9" i="1" s="1"/>
  <c r="AL5" i="1"/>
  <c r="BH5" i="1" s="1"/>
  <c r="AF11" i="1"/>
  <c r="AL10" i="1"/>
  <c r="BH10" i="1" s="1"/>
  <c r="AE8" i="1"/>
  <c r="AE5" i="1"/>
  <c r="AL8" i="1"/>
  <c r="BH8" i="1" s="1"/>
  <c r="AF6" i="1"/>
  <c r="AL6" i="1"/>
  <c r="BH6" i="1" s="1"/>
  <c r="AE12" i="1"/>
  <c r="AF10" i="1"/>
  <c r="AF7" i="1"/>
  <c r="AL12" i="1"/>
  <c r="BH12" i="1" s="1"/>
  <c r="AE11" i="1"/>
  <c r="AF9" i="1"/>
  <c r="AH4" i="1"/>
  <c r="AI4" i="1"/>
  <c r="AF4" i="1"/>
  <c r="AL4" i="1"/>
  <c r="BH4" i="1" s="1"/>
  <c r="X4" i="1" l="1"/>
  <c r="Y4" i="1" s="1"/>
  <c r="BD4" i="1"/>
  <c r="X5" i="1"/>
  <c r="Y5" i="1" s="1"/>
  <c r="BD5" i="1"/>
  <c r="X10" i="1"/>
  <c r="Y10" i="1" s="1"/>
  <c r="BD10" i="1"/>
  <c r="X9" i="1"/>
  <c r="Y9" i="1" s="1"/>
  <c r="BD9" i="1"/>
  <c r="X11" i="1"/>
  <c r="Y11" i="1" s="1"/>
  <c r="BD11" i="1"/>
  <c r="X6" i="1"/>
  <c r="Y6" i="1" s="1"/>
  <c r="BD6" i="1"/>
  <c r="X8" i="1"/>
  <c r="Y8" i="1" s="1"/>
  <c r="BD8" i="1"/>
  <c r="X12" i="1"/>
  <c r="Y12" i="1" s="1"/>
  <c r="BD12" i="1"/>
  <c r="AB12" i="1"/>
  <c r="AC12" i="1" s="1"/>
  <c r="AB6" i="1"/>
  <c r="AC6" i="1" s="1"/>
  <c r="AB9" i="1"/>
  <c r="AC9" i="1" s="1"/>
  <c r="AB11" i="1"/>
  <c r="AC11" i="1" s="1"/>
  <c r="AB10" i="1"/>
  <c r="AC10" i="1" s="1"/>
  <c r="AB4" i="1"/>
  <c r="AC4" i="1" s="1"/>
  <c r="AB8" i="1"/>
  <c r="AC8" i="1" s="1"/>
  <c r="AB5" i="1"/>
  <c r="AC5" i="1" s="1"/>
</calcChain>
</file>

<file path=xl/sharedStrings.xml><?xml version="1.0" encoding="utf-8"?>
<sst xmlns="http://schemas.openxmlformats.org/spreadsheetml/2006/main" count="150" uniqueCount="93">
  <si>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</si>
  <si>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</si>
  <si>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</si>
  <si>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</si>
  <si>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</si>
  <si>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</si>
  <si>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</si>
  <si>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</si>
  <si>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</si>
  <si>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</si>
  <si>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</si>
  <si>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</si>
  <si>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</si>
  <si>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</si>
  <si>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</si>
  <si>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</si>
  <si>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</si>
  <si>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</si>
  <si>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</si>
  <si>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</si>
  <si>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</si>
  <si>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</si>
  <si>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</si>
  <si>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</si>
  <si>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</si>
  <si>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</si>
  <si>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</si>
  <si>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</si>
  <si>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</si>
  <si>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</si>
  <si>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</si>
  <si>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</si>
  <si>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</si>
  <si>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</si>
  <si>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</si>
  <si>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</si>
  <si>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</si>
  <si>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</si>
  <si>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</si>
  <si>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</si>
  <si>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</si>
  <si>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</si>
  <si>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</si>
  <si>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</si>
  <si>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</si>
  <si>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</si>
  <si>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</si>
  <si>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</si>
  <si>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</si>
  <si>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</si>
  <si>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</si>
  <si>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</si>
  <si>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</si>
  <si>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</si>
  <si>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</si>
  <si>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</si>
  <si>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J87492</t>
  </si>
  <si>
    <t>J87490</t>
  </si>
  <si>
    <t>Forestway/ﾗﾐﾈｰﾄﾌｨﾙﾑA3 100μ 100枚</t>
  </si>
  <si>
    <t>Forestway/ﾗﾐﾈｰﾄﾌｨﾙﾑA4 100μ 100枚</t>
  </si>
  <si>
    <t>8962AM</t>
  </si>
  <si>
    <t>1006AK</t>
  </si>
  <si>
    <t>7356AJ</t>
  </si>
  <si>
    <t>Forestway/ﾗﾐﾈｰﾄﾌｨﾙﾑA3 100μ 100枚×5冊</t>
  </si>
  <si>
    <t>Forestway/ﾗﾐﾈｰﾄﾌｨﾙﾑA4 100μ 100枚×5冊</t>
  </si>
  <si>
    <t>34/363</t>
  </si>
  <si>
    <t>-</t>
  </si>
  <si>
    <t>アスクル　ラミネートフィルムA3　100μ 100枚 オリジナル</t>
  </si>
  <si>
    <t>VD</t>
    <phoneticPr fontId="2"/>
  </si>
  <si>
    <t>アスクル　ラミネートフィルムA4　100μ 100枚 オリジナル</t>
  </si>
  <si>
    <t>ﾌｼﾞﾃｯｸｽ/ﾛｰﾙﾌｨﾙﾑ 38μ A1ｻｲｽﾞ 1箱4本入/1117033021</t>
    <phoneticPr fontId="2"/>
  </si>
  <si>
    <t>６月
たの</t>
    <rPh sb="1" eb="2">
      <t>ガツ</t>
    </rPh>
    <phoneticPr fontId="2"/>
  </si>
  <si>
    <t>たの
ｽﾗｲﾄﾞ</t>
    <phoneticPr fontId="2"/>
  </si>
  <si>
    <t>カウ
ｽﾗｲﾄﾞ</t>
    <phoneticPr fontId="2"/>
  </si>
  <si>
    <t>P681822</t>
  </si>
  <si>
    <t>フジテックス ロールフィルム 38*635*200 (KG) 1117033021 1箱(4本入)</t>
  </si>
  <si>
    <t>ﾌｼﾞﾃｯｸｽ/ﾛｰﾙﾌｨﾙﾑ 38μ A3ｻｲｽﾞ 1箱4本入/1117033038</t>
    <phoneticPr fontId="2"/>
  </si>
  <si>
    <t>ホットロール機用ラミネートフィルム 38μ A3サイズ（310mm×200m） フジテックス（直送品）</t>
  </si>
  <si>
    <t>P681820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</si>
  <si>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</si>
  <si>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</si>
  <si>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</si>
  <si>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018-2647</t>
  </si>
  <si>
    <t>913-2352</t>
  </si>
  <si>
    <t>018-2630</t>
  </si>
  <si>
    <t>913-2338</t>
  </si>
  <si>
    <t>換算売価</t>
    <rPh sb="0" eb="2">
      <t>カンザン</t>
    </rPh>
    <rPh sb="2" eb="4">
      <t>バイカ</t>
    </rPh>
    <phoneticPr fontId="2"/>
  </si>
  <si>
    <t>6月
カウ</t>
    <rPh sb="1" eb="2">
      <t>ガツ</t>
    </rPh>
    <phoneticPr fontId="2"/>
  </si>
  <si>
    <t>7月
カウ</t>
    <rPh sb="1" eb="2">
      <t>ガツ</t>
    </rPh>
    <phoneticPr fontId="2"/>
  </si>
  <si>
    <t>4698-5392</t>
  </si>
  <si>
    <t>4858-7891</t>
  </si>
  <si>
    <t>4858-7877</t>
  </si>
  <si>
    <t>4698-5408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</si>
</sst>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 applyAlignment="1">
      <alignment vertical="center" wrapText="1"/>
    </xf>
    <xf numFmtId="0" fontId="0" fillId="8" borderId="19" xfId="0" applyFill="1" applyBorder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I12"/>
  <sheetViews>
    <sheetView tabSelected="1" zoomScale="90" zoomScaleNormal="90" workbookViewId="0">
      <pane xSplit="7" ySplit="5" topLeftCell="AB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625" customWidth="1" collapsed="1"/>
    <col min="20" max="22" width="7.625" customWidth="1"/>
    <col min="23" max="23" width="4.375" customWidth="1" collapsed="1"/>
    <col min="24" max="25" width="7.625" customWidth="1"/>
    <col min="26" max="26" width="7.625" style="29" customWidth="1"/>
    <col min="27" max="27" width="7.625" customWidth="1"/>
    <col min="28" max="28" width="7.625" style="29" customWidth="1"/>
    <col min="29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52" width="7.625" customWidth="1"/>
    <col min="53" max="54" width="7.625" hidden="1" customWidth="1" outlineLevel="1"/>
    <col min="55" max="55" width="7.625" customWidth="1" collapsed="1"/>
    <col min="56" max="56" width="7.625" customWidth="1"/>
    <col min="57" max="58" width="7.625" hidden="1" customWidth="1" outlineLevel="1"/>
    <col min="59" max="59" width="7.625" customWidth="1" collapsed="1"/>
    <col min="60" max="60" width="7.625" customWidth="1"/>
  </cols>
  <sheetData>
    <row r="1" spans="1:61" x14ac:dyDescent="0.4">
      <c r="C1" s="28" t="s">
        <v>43</v>
      </c>
      <c r="S1" s="47" t="s">
        <v>40</v>
      </c>
      <c r="T1" s="48"/>
      <c r="U1" s="48"/>
      <c r="V1" s="49"/>
    </row>
    <row r="2" spans="1:61" x14ac:dyDescent="0.4">
      <c r="C2" s="8" t="s">
        <v>27</v>
      </c>
      <c r="D2" s="9" t="s">
        <v>28</v>
      </c>
      <c r="E2" s="9" t="s">
        <v>29</v>
      </c>
      <c r="F2" s="10"/>
      <c r="G2" s="10"/>
      <c r="H2" s="36"/>
      <c r="I2" s="36"/>
      <c r="J2" s="44" t="s">
        <v>30</v>
      </c>
      <c r="K2" s="46"/>
      <c r="L2" s="44" t="s">
        <v>2</v>
      </c>
      <c r="M2" s="45"/>
      <c r="N2" s="45"/>
      <c r="O2" s="46"/>
      <c r="P2" s="11"/>
      <c r="Q2" s="35"/>
      <c r="R2" s="35"/>
      <c r="S2" s="22"/>
      <c r="T2" s="23" t="s">
        <v>33</v>
      </c>
      <c r="U2" s="23"/>
      <c r="V2" s="24" t="s">
        <v>33</v>
      </c>
      <c r="W2" s="10"/>
      <c r="X2" s="9" t="s">
        <v>38</v>
      </c>
      <c r="Y2" s="11"/>
      <c r="Z2" s="30"/>
      <c r="AA2" s="11"/>
      <c r="AB2" s="30"/>
      <c r="AC2" s="11"/>
      <c r="AD2" s="21" t="s">
        <v>41</v>
      </c>
      <c r="AE2" s="11"/>
      <c r="AF2" s="11"/>
      <c r="AG2" s="26"/>
      <c r="AH2" s="11"/>
      <c r="AI2" s="11"/>
      <c r="AJ2" s="11"/>
      <c r="AK2" s="11"/>
      <c r="AL2" s="11"/>
      <c r="AM2" s="11"/>
      <c r="AN2" s="11"/>
      <c r="AO2" s="11"/>
      <c r="AP2">
        <v>51</v>
      </c>
      <c r="AX2">
        <v>14</v>
      </c>
      <c r="AY2">
        <v>28</v>
      </c>
      <c r="BB2" s="54" t="s">
        <v>86</v>
      </c>
      <c r="BC2" s="54" t="s">
        <v>86</v>
      </c>
    </row>
    <row r="3" spans="1:61" ht="75" x14ac:dyDescent="0.4">
      <c r="A3" s="1" t="s">
        <v>49</v>
      </c>
      <c r="B3" s="1" t="s">
        <v>54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51</v>
      </c>
      <c r="I3" s="12" t="s">
        <v>52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47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19" t="s">
        <v>17</v>
      </c>
      <c r="Y3" s="2" t="s">
        <v>16</v>
      </c>
      <c r="Z3" s="31" t="s">
        <v>44</v>
      </c>
      <c r="AA3" s="12" t="s">
        <v>39</v>
      </c>
      <c r="AB3" s="37" t="s">
        <v>53</v>
      </c>
      <c r="AC3" s="2" t="s">
        <v>16</v>
      </c>
      <c r="AD3" s="13" t="s">
        <v>31</v>
      </c>
      <c r="AE3" s="2" t="s">
        <v>16</v>
      </c>
      <c r="AF3" s="2" t="s">
        <v>32</v>
      </c>
      <c r="AG3" s="25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12" t="s">
        <v>55</v>
      </c>
      <c r="AV3" s="2" t="s">
        <v>80</v>
      </c>
      <c r="AW3" s="2" t="s">
        <v>15</v>
      </c>
      <c r="AX3" s="17" t="s">
        <v>45</v>
      </c>
      <c r="AY3" s="17" t="s">
        <v>46</v>
      </c>
      <c r="AZ3" s="15" t="s">
        <v>50</v>
      </c>
      <c r="BA3" s="50"/>
      <c r="BB3" s="52" t="s">
        <v>71</v>
      </c>
      <c r="BC3" s="42" t="s">
        <v>81</v>
      </c>
      <c r="BD3" s="43" t="s">
        <v>72</v>
      </c>
      <c r="BE3" s="43"/>
      <c r="BF3" s="43" t="s">
        <v>87</v>
      </c>
      <c r="BG3" s="43" t="s">
        <v>88</v>
      </c>
      <c r="BH3" s="43" t="s">
        <v>73</v>
      </c>
      <c r="BI3" s="34" t="s">
        <v>48</v>
      </c>
    </row>
    <row r="4" spans="1:61" x14ac:dyDescent="0.4">
      <c r="A4" s="3">
        <v>1</v>
      </c>
      <c r="B4" s="3">
        <v>1</v>
      </c>
      <c r="C4" s="38">
        <v>743013</v>
      </c>
      <c r="D4" s="4" t="str">
        <f t="shared" ref="D4:D12" si="0">TEXT(C4,"000000")</f>
        <v>743013</v>
      </c>
      <c r="E4" s="4">
        <v>743013</v>
      </c>
      <c r="F4" s="4" t="s">
        <v>58</v>
      </c>
      <c r="G4" s="5">
        <v>4560250305776</v>
      </c>
      <c r="H4" s="5"/>
      <c r="I4" s="5"/>
      <c r="J4" s="5">
        <v>2</v>
      </c>
      <c r="K4" s="5">
        <v>1</v>
      </c>
      <c r="L4" s="4">
        <v>0</v>
      </c>
      <c r="M4" s="4">
        <v>2709</v>
      </c>
      <c r="N4" s="4">
        <v>865</v>
      </c>
      <c r="O4" s="6">
        <f t="shared" ref="O4:O12" si="1">1-N4/M4</f>
        <v>0.68069398301956441</v>
      </c>
      <c r="P4" s="4">
        <v>2427</v>
      </c>
      <c r="Q4" s="4">
        <v>3</v>
      </c>
      <c r="R4" s="4">
        <v>99999</v>
      </c>
      <c r="S4" s="4">
        <v>0</v>
      </c>
      <c r="T4" s="4">
        <f t="shared" ref="T4:T12" si="2">IF(W4="",S4,S4*W4)</f>
        <v>0</v>
      </c>
      <c r="U4" s="4">
        <v>1125</v>
      </c>
      <c r="V4" s="4">
        <f t="shared" ref="V4:V12" si="3">IF(W4="",U4,U4*W4)</f>
        <v>1125</v>
      </c>
      <c r="W4" s="4"/>
      <c r="X4" s="20">
        <f t="shared" ref="X4:X12" si="4">ROUND(M4*AL4,0)</f>
        <v>3523</v>
      </c>
      <c r="Y4" s="6">
        <f t="shared" ref="Y4:Y12" si="5">1-V4/X4</f>
        <v>0.68066988362191316</v>
      </c>
      <c r="Z4" s="32">
        <v>347.5</v>
      </c>
      <c r="AA4" s="4">
        <f t="shared" ref="AA4:AA12" si="6">AW4</f>
        <v>1975</v>
      </c>
      <c r="AB4" s="32">
        <f t="shared" ref="AB4:AB12" si="7">AA4*AL4</f>
        <v>2568.6416184971099</v>
      </c>
      <c r="AC4" s="6">
        <f t="shared" ref="AC4:AC12" si="8">1-V4/AB4</f>
        <v>0.5620253164556962</v>
      </c>
      <c r="AD4" s="7">
        <v>2550</v>
      </c>
      <c r="AE4" s="6">
        <f t="shared" ref="AE4:AE12" si="9">1-V4/AD4</f>
        <v>0.55882352941176472</v>
      </c>
      <c r="AF4" s="4">
        <f t="shared" ref="AF4:AF12" si="10">AD4-V4</f>
        <v>1425</v>
      </c>
      <c r="AG4" s="27"/>
      <c r="AH4" s="6" t="e">
        <f>1-V4/AG4</f>
        <v>#DIV/0!</v>
      </c>
      <c r="AI4" s="4">
        <f>AG4-V4</f>
        <v>-1125</v>
      </c>
      <c r="AJ4" s="6" t="e">
        <f t="shared" ref="AJ4:AJ12" si="11">T4/L4</f>
        <v>#DIV/0!</v>
      </c>
      <c r="AK4" s="6">
        <f t="shared" ref="AK4:AK12" si="12">AD4/M4</f>
        <v>0.94130675526024365</v>
      </c>
      <c r="AL4" s="6">
        <f t="shared" ref="AL4:AL12" si="13">V4/N4</f>
        <v>1.300578034682081</v>
      </c>
      <c r="AM4" s="4">
        <f>IFERROR(ROUND($AD4*P4/$M4,0),"-")</f>
        <v>2285</v>
      </c>
      <c r="AN4" s="4">
        <f>IF(Q4="","-",Q4)</f>
        <v>3</v>
      </c>
      <c r="AO4" s="4">
        <f>IF(R4="","-",R4)</f>
        <v>99999</v>
      </c>
      <c r="AP4" s="4" t="s">
        <v>65</v>
      </c>
      <c r="AQ4" s="4">
        <v>8459795</v>
      </c>
      <c r="AR4" s="4"/>
      <c r="AS4" s="4"/>
      <c r="AT4" s="4"/>
      <c r="AU4" s="4">
        <v>1975</v>
      </c>
      <c r="AV4" s="4">
        <v>1975</v>
      </c>
      <c r="AW4" s="4">
        <f t="shared" ref="AW4:AW12" si="14">IF(AR4="",AV4,AR4/AS4*AV4)</f>
        <v>1975</v>
      </c>
      <c r="AX4" s="18">
        <v>4</v>
      </c>
      <c r="AY4" s="18">
        <v>1</v>
      </c>
      <c r="AZ4" s="16">
        <v>11</v>
      </c>
      <c r="BA4" s="50" t="s">
        <v>82</v>
      </c>
      <c r="BB4" s="50">
        <v>1975</v>
      </c>
      <c r="BC4" s="33">
        <v>1975</v>
      </c>
      <c r="BD4" s="34">
        <f t="shared" ref="BD4:BD12" si="15">IFERROR(BC4*AL4,"-")</f>
        <v>2568.6416184971099</v>
      </c>
      <c r="BE4" s="34" t="s">
        <v>92</v>
      </c>
      <c r="BF4" s="34">
        <v>1964</v>
      </c>
      <c r="BG4" s="34">
        <v>2528</v>
      </c>
      <c r="BH4" s="34">
        <f t="shared" ref="BH4:BH12" si="16">IFERROR(BG4*AL4,"-")</f>
        <v>3287.8612716763009</v>
      </c>
      <c r="BI4" t="s">
        <v>67</v>
      </c>
    </row>
    <row r="5" spans="1:61" x14ac:dyDescent="0.4">
      <c r="A5" s="39">
        <v>5</v>
      </c>
      <c r="B5" s="3">
        <v>1</v>
      </c>
      <c r="C5" s="38">
        <v>743139</v>
      </c>
      <c r="D5" s="4" t="str">
        <f t="shared" si="0"/>
        <v>743139</v>
      </c>
      <c r="E5" s="4">
        <v>743139</v>
      </c>
      <c r="F5" s="4" t="s">
        <v>63</v>
      </c>
      <c r="G5" s="5">
        <v>4560250305790</v>
      </c>
      <c r="H5" s="5"/>
      <c r="I5" s="5"/>
      <c r="J5" s="5"/>
      <c r="K5" s="5"/>
      <c r="L5" s="4">
        <v>0</v>
      </c>
      <c r="M5" s="4">
        <v>11550</v>
      </c>
      <c r="N5" s="4">
        <v>4325</v>
      </c>
      <c r="O5" s="6">
        <f t="shared" si="1"/>
        <v>0.62554112554112562</v>
      </c>
      <c r="P5" s="4" t="s">
        <v>66</v>
      </c>
      <c r="Q5" s="4" t="s">
        <v>66</v>
      </c>
      <c r="R5" s="4" t="s">
        <v>66</v>
      </c>
      <c r="S5" s="4">
        <v>0</v>
      </c>
      <c r="T5" s="4">
        <f t="shared" si="2"/>
        <v>0</v>
      </c>
      <c r="U5" s="4">
        <v>1125</v>
      </c>
      <c r="V5" s="4">
        <f t="shared" si="3"/>
        <v>5625</v>
      </c>
      <c r="W5" s="4">
        <v>5</v>
      </c>
      <c r="X5" s="20">
        <f t="shared" si="4"/>
        <v>15022</v>
      </c>
      <c r="Y5" s="6">
        <f t="shared" si="5"/>
        <v>0.6255491945147118</v>
      </c>
      <c r="Z5" s="32">
        <v>15.25</v>
      </c>
      <c r="AA5" s="4">
        <f t="shared" si="6"/>
        <v>7875</v>
      </c>
      <c r="AB5" s="32">
        <f t="shared" si="7"/>
        <v>10242.052023121389</v>
      </c>
      <c r="AC5" s="6">
        <f t="shared" si="8"/>
        <v>0.45079365079365086</v>
      </c>
      <c r="AD5" s="7">
        <v>10200</v>
      </c>
      <c r="AE5" s="6">
        <f t="shared" si="9"/>
        <v>0.44852941176470584</v>
      </c>
      <c r="AF5" s="4">
        <f t="shared" si="10"/>
        <v>4575</v>
      </c>
      <c r="AG5" s="27"/>
      <c r="AH5" s="6"/>
      <c r="AI5" s="6"/>
      <c r="AJ5" s="6" t="e">
        <f t="shared" si="11"/>
        <v>#DIV/0!</v>
      </c>
      <c r="AK5" s="6">
        <f t="shared" si="12"/>
        <v>0.88311688311688308</v>
      </c>
      <c r="AL5" s="6">
        <f t="shared" si="13"/>
        <v>1.300578034682081</v>
      </c>
      <c r="AM5" s="4" t="str">
        <f t="shared" ref="AM5:AM12" si="17">IFERROR(ROUND($AD5*P5/$M5,0),"-")</f>
        <v>-</v>
      </c>
      <c r="AN5" s="4" t="str">
        <f t="shared" ref="AN5:AN12" si="18">IF(Q5="","-",Q5)</f>
        <v>-</v>
      </c>
      <c r="AO5" s="4" t="str">
        <f t="shared" ref="AO5:AO12" si="19">IF(R5="","-",R5)</f>
        <v>-</v>
      </c>
      <c r="AP5" s="4" t="s">
        <v>65</v>
      </c>
      <c r="AQ5" s="4">
        <v>8459795</v>
      </c>
      <c r="AR5" s="4">
        <v>5</v>
      </c>
      <c r="AS5" s="4">
        <v>1</v>
      </c>
      <c r="AT5" s="4" t="s">
        <v>68</v>
      </c>
      <c r="AU5" s="4">
        <v>1575</v>
      </c>
      <c r="AV5" s="4">
        <v>1575</v>
      </c>
      <c r="AW5" s="4">
        <f t="shared" si="14"/>
        <v>7875</v>
      </c>
      <c r="AX5" s="18">
        <v>2</v>
      </c>
      <c r="AY5" s="18">
        <v>1</v>
      </c>
      <c r="AZ5" s="16">
        <v>11</v>
      </c>
      <c r="BA5" s="50" t="s">
        <v>83</v>
      </c>
      <c r="BB5" s="50">
        <v>9450</v>
      </c>
      <c r="BC5" s="33">
        <v>9450</v>
      </c>
      <c r="BD5" s="34">
        <f t="shared" si="15"/>
        <v>12290.462427745666</v>
      </c>
      <c r="BE5" s="34" t="s">
        <v>91</v>
      </c>
      <c r="BF5" s="34">
        <v>1573</v>
      </c>
      <c r="BG5" s="34">
        <v>1800</v>
      </c>
      <c r="BH5" s="34">
        <f t="shared" si="16"/>
        <v>2341.0404624277458</v>
      </c>
      <c r="BI5" t="s">
        <v>67</v>
      </c>
    </row>
    <row r="6" spans="1:61" x14ac:dyDescent="0.4">
      <c r="A6" s="3">
        <v>6</v>
      </c>
      <c r="B6" s="3">
        <v>1</v>
      </c>
      <c r="C6" s="41" t="s">
        <v>60</v>
      </c>
      <c r="D6" s="4" t="str">
        <f t="shared" si="0"/>
        <v>8962AM</v>
      </c>
      <c r="E6" s="4" t="s">
        <v>60</v>
      </c>
      <c r="F6" s="4" t="s">
        <v>58</v>
      </c>
      <c r="G6" s="5">
        <v>4560250305776</v>
      </c>
      <c r="H6" s="5"/>
      <c r="I6" s="5"/>
      <c r="J6" s="5"/>
      <c r="K6" s="5"/>
      <c r="L6" s="4">
        <v>0</v>
      </c>
      <c r="M6" s="4">
        <v>2380</v>
      </c>
      <c r="N6" s="4">
        <v>865</v>
      </c>
      <c r="O6" s="6">
        <f t="shared" si="1"/>
        <v>0.63655462184873945</v>
      </c>
      <c r="P6" s="4" t="s">
        <v>66</v>
      </c>
      <c r="Q6" s="4" t="s">
        <v>66</v>
      </c>
      <c r="R6" s="4" t="s">
        <v>66</v>
      </c>
      <c r="S6" s="4">
        <v>0</v>
      </c>
      <c r="T6" s="4">
        <f t="shared" si="2"/>
        <v>0</v>
      </c>
      <c r="U6" s="4">
        <v>1125</v>
      </c>
      <c r="V6" s="4">
        <f t="shared" si="3"/>
        <v>1125</v>
      </c>
      <c r="W6" s="4"/>
      <c r="X6" s="20">
        <f t="shared" si="4"/>
        <v>3095</v>
      </c>
      <c r="Y6" s="6">
        <f t="shared" si="5"/>
        <v>0.63651050080775451</v>
      </c>
      <c r="Z6" s="32">
        <v>0</v>
      </c>
      <c r="AA6" s="4">
        <f t="shared" si="6"/>
        <v>1975</v>
      </c>
      <c r="AB6" s="32">
        <f t="shared" si="7"/>
        <v>2568.6416184971099</v>
      </c>
      <c r="AC6" s="6">
        <f t="shared" si="8"/>
        <v>0.5620253164556962</v>
      </c>
      <c r="AD6" s="7">
        <v>2550</v>
      </c>
      <c r="AE6" s="6">
        <f t="shared" si="9"/>
        <v>0.55882352941176472</v>
      </c>
      <c r="AF6" s="4">
        <f t="shared" si="10"/>
        <v>1425</v>
      </c>
      <c r="AG6" s="27"/>
      <c r="AH6" s="6"/>
      <c r="AI6" s="6"/>
      <c r="AJ6" s="6" t="e">
        <f t="shared" si="11"/>
        <v>#DIV/0!</v>
      </c>
      <c r="AK6" s="6">
        <f t="shared" si="12"/>
        <v>1.0714285714285714</v>
      </c>
      <c r="AL6" s="6">
        <f t="shared" si="13"/>
        <v>1.300578034682081</v>
      </c>
      <c r="AM6" s="4" t="str">
        <f t="shared" si="17"/>
        <v>-</v>
      </c>
      <c r="AN6" s="4" t="str">
        <f t="shared" si="18"/>
        <v>-</v>
      </c>
      <c r="AO6" s="4" t="str">
        <f t="shared" si="19"/>
        <v>-</v>
      </c>
      <c r="AP6" s="4">
        <v>0</v>
      </c>
      <c r="AQ6" s="4">
        <v>8459795</v>
      </c>
      <c r="AR6" s="4"/>
      <c r="AS6" s="4"/>
      <c r="AT6" s="4"/>
      <c r="AU6" s="4">
        <v>1975</v>
      </c>
      <c r="AV6" s="4">
        <v>1975</v>
      </c>
      <c r="AW6" s="4">
        <f t="shared" si="14"/>
        <v>1975</v>
      </c>
      <c r="AX6" s="18">
        <v>4</v>
      </c>
      <c r="AY6" s="18">
        <v>1</v>
      </c>
      <c r="AZ6" s="16">
        <v>11</v>
      </c>
      <c r="BA6" s="50" t="s">
        <v>82</v>
      </c>
      <c r="BB6" s="50">
        <v>1975</v>
      </c>
      <c r="BC6" s="33">
        <v>1975</v>
      </c>
      <c r="BD6" s="34">
        <f t="shared" si="15"/>
        <v>2568.6416184971099</v>
      </c>
      <c r="BE6" s="34" t="s">
        <v>92</v>
      </c>
      <c r="BF6" s="34">
        <v>1964</v>
      </c>
      <c r="BG6" s="34">
        <v>2528</v>
      </c>
      <c r="BH6" s="34">
        <f t="shared" si="16"/>
        <v>3287.8612716763009</v>
      </c>
      <c r="BI6" t="s">
        <v>67</v>
      </c>
    </row>
    <row r="7" spans="1:61" x14ac:dyDescent="0.4">
      <c r="A7" s="3">
        <v>2</v>
      </c>
      <c r="B7" s="3">
        <v>2</v>
      </c>
      <c r="C7" s="41">
        <v>733941</v>
      </c>
      <c r="D7" s="4" t="str">
        <f t="shared" si="0"/>
        <v>733941</v>
      </c>
      <c r="E7" s="4">
        <v>733941</v>
      </c>
      <c r="F7" s="4" t="s">
        <v>59</v>
      </c>
      <c r="G7" s="5">
        <v>4560250305769</v>
      </c>
      <c r="H7" s="5"/>
      <c r="I7" s="5"/>
      <c r="J7" s="5">
        <v>4</v>
      </c>
      <c r="K7" s="5">
        <v>4</v>
      </c>
      <c r="L7" s="4">
        <v>0</v>
      </c>
      <c r="M7" s="4">
        <v>1430</v>
      </c>
      <c r="N7" s="4">
        <v>438</v>
      </c>
      <c r="O7" s="6">
        <f t="shared" si="1"/>
        <v>0.69370629370629366</v>
      </c>
      <c r="P7" s="4">
        <v>1310</v>
      </c>
      <c r="Q7" s="4">
        <v>3</v>
      </c>
      <c r="R7" s="4">
        <v>99998</v>
      </c>
      <c r="S7" s="4">
        <v>0</v>
      </c>
      <c r="T7" s="4">
        <f t="shared" si="2"/>
        <v>0</v>
      </c>
      <c r="U7" s="4">
        <v>568</v>
      </c>
      <c r="V7" s="4">
        <f t="shared" si="3"/>
        <v>568</v>
      </c>
      <c r="W7" s="4"/>
      <c r="X7" s="20">
        <f t="shared" si="4"/>
        <v>1854</v>
      </c>
      <c r="Y7" s="6">
        <f t="shared" si="5"/>
        <v>0.69363538295577132</v>
      </c>
      <c r="Z7" s="32">
        <v>1134</v>
      </c>
      <c r="AA7" s="4">
        <f t="shared" si="6"/>
        <v>1185</v>
      </c>
      <c r="AB7" s="32">
        <f t="shared" si="7"/>
        <v>1536.7123287671232</v>
      </c>
      <c r="AC7" s="6">
        <f t="shared" si="8"/>
        <v>0.63037974683544307</v>
      </c>
      <c r="AD7" s="7">
        <v>1530</v>
      </c>
      <c r="AE7" s="6">
        <f t="shared" si="9"/>
        <v>0.62875816993464051</v>
      </c>
      <c r="AF7" s="4">
        <f t="shared" si="10"/>
        <v>962</v>
      </c>
      <c r="AG7" s="27"/>
      <c r="AH7" s="6"/>
      <c r="AI7" s="6"/>
      <c r="AJ7" s="6" t="e">
        <f t="shared" si="11"/>
        <v>#DIV/0!</v>
      </c>
      <c r="AK7" s="6">
        <f t="shared" si="12"/>
        <v>1.06993006993007</v>
      </c>
      <c r="AL7" s="6">
        <f t="shared" si="13"/>
        <v>1.2968036529680365</v>
      </c>
      <c r="AM7" s="4">
        <f t="shared" si="17"/>
        <v>1402</v>
      </c>
      <c r="AN7" s="4">
        <f t="shared" si="18"/>
        <v>3</v>
      </c>
      <c r="AO7" s="4">
        <f t="shared" si="19"/>
        <v>99998</v>
      </c>
      <c r="AP7" s="4" t="s">
        <v>65</v>
      </c>
      <c r="AQ7" s="4">
        <v>8459786</v>
      </c>
      <c r="AR7" s="4"/>
      <c r="AS7" s="4"/>
      <c r="AT7" s="4"/>
      <c r="AU7" s="4">
        <v>1185</v>
      </c>
      <c r="AV7" s="4">
        <v>1185</v>
      </c>
      <c r="AW7" s="4">
        <f t="shared" si="14"/>
        <v>1185</v>
      </c>
      <c r="AX7" s="18">
        <v>4</v>
      </c>
      <c r="AY7" s="18">
        <v>1</v>
      </c>
      <c r="AZ7" s="16">
        <v>11</v>
      </c>
      <c r="BA7" s="50" t="s">
        <v>84</v>
      </c>
      <c r="BB7" s="50">
        <v>1185</v>
      </c>
      <c r="BC7" s="33">
        <v>1185</v>
      </c>
      <c r="BD7" s="34">
        <f t="shared" si="15"/>
        <v>1536.7123287671232</v>
      </c>
      <c r="BE7" s="34" t="s">
        <v>89</v>
      </c>
      <c r="BF7" s="34">
        <v>1428</v>
      </c>
      <c r="BG7" s="34">
        <v>1428</v>
      </c>
      <c r="BH7" s="34">
        <f t="shared" si="16"/>
        <v>1851.8356164383561</v>
      </c>
      <c r="BI7" t="s">
        <v>69</v>
      </c>
    </row>
    <row r="8" spans="1:61" x14ac:dyDescent="0.4">
      <c r="A8" s="3">
        <v>7</v>
      </c>
      <c r="B8" s="3">
        <v>2</v>
      </c>
      <c r="C8" s="38">
        <v>733941</v>
      </c>
      <c r="D8" s="4" t="str">
        <f t="shared" si="0"/>
        <v>733941</v>
      </c>
      <c r="E8" s="4" t="s">
        <v>61</v>
      </c>
      <c r="F8" s="4" t="s">
        <v>59</v>
      </c>
      <c r="G8" s="5">
        <v>4560250305769</v>
      </c>
      <c r="H8" s="5"/>
      <c r="I8" s="5"/>
      <c r="J8" s="5"/>
      <c r="K8" s="5"/>
      <c r="L8" s="4">
        <v>0</v>
      </c>
      <c r="M8" s="4">
        <v>1495</v>
      </c>
      <c r="N8" s="4">
        <v>438</v>
      </c>
      <c r="O8" s="6">
        <f t="shared" si="1"/>
        <v>0.70702341137123748</v>
      </c>
      <c r="P8" s="4" t="s">
        <v>66</v>
      </c>
      <c r="Q8" s="4" t="s">
        <v>66</v>
      </c>
      <c r="R8" s="4" t="s">
        <v>66</v>
      </c>
      <c r="S8" s="4">
        <v>0</v>
      </c>
      <c r="T8" s="4">
        <f t="shared" si="2"/>
        <v>0</v>
      </c>
      <c r="U8" s="4">
        <v>568</v>
      </c>
      <c r="V8" s="4">
        <f t="shared" si="3"/>
        <v>568</v>
      </c>
      <c r="W8" s="4"/>
      <c r="X8" s="20">
        <f t="shared" si="4"/>
        <v>1939</v>
      </c>
      <c r="Y8" s="6">
        <f t="shared" si="5"/>
        <v>0.70706549767921612</v>
      </c>
      <c r="Z8" s="32">
        <v>1134</v>
      </c>
      <c r="AA8" s="4">
        <f t="shared" si="6"/>
        <v>1185</v>
      </c>
      <c r="AB8" s="32">
        <f t="shared" si="7"/>
        <v>1536.7123287671232</v>
      </c>
      <c r="AC8" s="6">
        <f t="shared" si="8"/>
        <v>0.63037974683544307</v>
      </c>
      <c r="AD8" s="7">
        <v>1530</v>
      </c>
      <c r="AE8" s="6">
        <f t="shared" si="9"/>
        <v>0.62875816993464051</v>
      </c>
      <c r="AF8" s="4">
        <f t="shared" si="10"/>
        <v>962</v>
      </c>
      <c r="AG8" s="27"/>
      <c r="AH8" s="6"/>
      <c r="AI8" s="6"/>
      <c r="AJ8" s="6" t="e">
        <f t="shared" si="11"/>
        <v>#DIV/0!</v>
      </c>
      <c r="AK8" s="6">
        <f t="shared" si="12"/>
        <v>1.0234113712374582</v>
      </c>
      <c r="AL8" s="6">
        <f t="shared" si="13"/>
        <v>1.2968036529680365</v>
      </c>
      <c r="AM8" s="4" t="str">
        <f t="shared" si="17"/>
        <v>-</v>
      </c>
      <c r="AN8" s="4" t="str">
        <f t="shared" si="18"/>
        <v>-</v>
      </c>
      <c r="AO8" s="4" t="str">
        <f t="shared" si="19"/>
        <v>-</v>
      </c>
      <c r="AP8" s="4">
        <v>0</v>
      </c>
      <c r="AQ8" s="4">
        <v>8459786</v>
      </c>
      <c r="AR8" s="4"/>
      <c r="AS8" s="4"/>
      <c r="AT8" s="4"/>
      <c r="AU8" s="4">
        <v>1185</v>
      </c>
      <c r="AV8" s="4">
        <v>1185</v>
      </c>
      <c r="AW8" s="4">
        <f t="shared" si="14"/>
        <v>1185</v>
      </c>
      <c r="AX8" s="18">
        <v>4</v>
      </c>
      <c r="AY8" s="18">
        <v>1</v>
      </c>
      <c r="AZ8" s="16">
        <v>11</v>
      </c>
      <c r="BA8" s="50" t="s">
        <v>84</v>
      </c>
      <c r="BB8" s="50">
        <v>1185</v>
      </c>
      <c r="BC8" s="33">
        <v>1185</v>
      </c>
      <c r="BD8" s="34">
        <f t="shared" si="15"/>
        <v>1536.7123287671232</v>
      </c>
      <c r="BE8" s="34" t="s">
        <v>89</v>
      </c>
      <c r="BF8" s="34">
        <v>1428</v>
      </c>
      <c r="BG8" s="34">
        <v>1428</v>
      </c>
      <c r="BH8" s="34">
        <f t="shared" si="16"/>
        <v>1851.8356164383561</v>
      </c>
      <c r="BI8" t="s">
        <v>69</v>
      </c>
    </row>
    <row r="9" spans="1:61" x14ac:dyDescent="0.4">
      <c r="A9" s="3">
        <v>8</v>
      </c>
      <c r="B9" s="3">
        <v>2</v>
      </c>
      <c r="C9" s="38">
        <v>733941</v>
      </c>
      <c r="D9" s="4" t="str">
        <f t="shared" si="0"/>
        <v>733941</v>
      </c>
      <c r="E9" s="4" t="s">
        <v>62</v>
      </c>
      <c r="F9" s="4" t="s">
        <v>64</v>
      </c>
      <c r="G9" s="5">
        <v>4560250305769</v>
      </c>
      <c r="H9" s="5"/>
      <c r="I9" s="5"/>
      <c r="J9" s="5"/>
      <c r="K9" s="5"/>
      <c r="L9" s="4">
        <v>0</v>
      </c>
      <c r="M9" s="4">
        <v>5030</v>
      </c>
      <c r="N9" s="4">
        <v>2190</v>
      </c>
      <c r="O9" s="6">
        <f t="shared" si="1"/>
        <v>0.56461232604373757</v>
      </c>
      <c r="P9" s="4" t="s">
        <v>66</v>
      </c>
      <c r="Q9" s="4" t="s">
        <v>66</v>
      </c>
      <c r="R9" s="4" t="s">
        <v>66</v>
      </c>
      <c r="S9" s="4">
        <v>0</v>
      </c>
      <c r="T9" s="4">
        <f t="shared" si="2"/>
        <v>0</v>
      </c>
      <c r="U9" s="4">
        <v>568</v>
      </c>
      <c r="V9" s="4">
        <f t="shared" si="3"/>
        <v>2840</v>
      </c>
      <c r="W9" s="4">
        <v>5</v>
      </c>
      <c r="X9" s="20">
        <f t="shared" si="4"/>
        <v>6523</v>
      </c>
      <c r="Y9" s="6">
        <f t="shared" si="5"/>
        <v>0.5646175072819255</v>
      </c>
      <c r="Z9" s="32">
        <v>1134</v>
      </c>
      <c r="AA9" s="4">
        <f t="shared" si="6"/>
        <v>5905</v>
      </c>
      <c r="AB9" s="32">
        <f t="shared" si="7"/>
        <v>7657.6255707762557</v>
      </c>
      <c r="AC9" s="6">
        <f t="shared" si="8"/>
        <v>0.62912785774767144</v>
      </c>
      <c r="AD9" s="7">
        <v>7000</v>
      </c>
      <c r="AE9" s="6">
        <f t="shared" si="9"/>
        <v>0.59428571428571431</v>
      </c>
      <c r="AF9" s="4">
        <f t="shared" si="10"/>
        <v>4160</v>
      </c>
      <c r="AG9" s="27"/>
      <c r="AH9" s="6"/>
      <c r="AI9" s="6"/>
      <c r="AJ9" s="6" t="e">
        <f t="shared" si="11"/>
        <v>#DIV/0!</v>
      </c>
      <c r="AK9" s="6">
        <f t="shared" si="12"/>
        <v>1.3916500994035785</v>
      </c>
      <c r="AL9" s="6">
        <f t="shared" si="13"/>
        <v>1.2968036529680365</v>
      </c>
      <c r="AM9" s="4" t="str">
        <f t="shared" si="17"/>
        <v>-</v>
      </c>
      <c r="AN9" s="4" t="str">
        <f t="shared" si="18"/>
        <v>-</v>
      </c>
      <c r="AO9" s="4" t="str">
        <f t="shared" si="19"/>
        <v>-</v>
      </c>
      <c r="AP9" s="4">
        <v>0</v>
      </c>
      <c r="AQ9" s="4">
        <v>8459786</v>
      </c>
      <c r="AR9" s="4">
        <v>5</v>
      </c>
      <c r="AS9" s="4">
        <v>1</v>
      </c>
      <c r="AT9" s="4" t="s">
        <v>68</v>
      </c>
      <c r="AU9" s="4">
        <v>1181</v>
      </c>
      <c r="AV9" s="4">
        <v>1181</v>
      </c>
      <c r="AW9" s="4">
        <f t="shared" si="14"/>
        <v>5905</v>
      </c>
      <c r="AX9" s="18">
        <v>4</v>
      </c>
      <c r="AY9" s="18">
        <v>1</v>
      </c>
      <c r="AZ9" s="16">
        <v>11</v>
      </c>
      <c r="BA9" s="50" t="s">
        <v>85</v>
      </c>
      <c r="BB9" s="53">
        <v>5425</v>
      </c>
      <c r="BC9" s="53">
        <v>5425</v>
      </c>
      <c r="BD9" s="34">
        <f t="shared" si="15"/>
        <v>7035.1598173515977</v>
      </c>
      <c r="BE9" s="34" t="s">
        <v>90</v>
      </c>
      <c r="BF9" s="34">
        <v>1173</v>
      </c>
      <c r="BG9" s="34">
        <v>1173</v>
      </c>
      <c r="BH9" s="34">
        <f t="shared" si="16"/>
        <v>1521.1506849315067</v>
      </c>
      <c r="BI9" t="s">
        <v>69</v>
      </c>
    </row>
    <row r="10" spans="1:61" x14ac:dyDescent="0.4">
      <c r="A10" s="3">
        <v>9</v>
      </c>
      <c r="B10" s="3">
        <v>2</v>
      </c>
      <c r="C10" s="38">
        <v>733941</v>
      </c>
      <c r="D10" s="4" t="str">
        <f t="shared" si="0"/>
        <v>733941</v>
      </c>
      <c r="E10" s="4">
        <v>743247</v>
      </c>
      <c r="F10" s="4" t="s">
        <v>64</v>
      </c>
      <c r="G10" s="5">
        <v>4560250305769</v>
      </c>
      <c r="H10" s="5"/>
      <c r="I10" s="5"/>
      <c r="J10" s="5"/>
      <c r="K10" s="5"/>
      <c r="L10" s="4">
        <v>0</v>
      </c>
      <c r="M10" s="4">
        <v>5900</v>
      </c>
      <c r="N10" s="4">
        <v>2190</v>
      </c>
      <c r="O10" s="6">
        <f t="shared" si="1"/>
        <v>0.62881355932203387</v>
      </c>
      <c r="P10" s="4" t="s">
        <v>66</v>
      </c>
      <c r="Q10" s="4" t="s">
        <v>66</v>
      </c>
      <c r="R10" s="4" t="s">
        <v>66</v>
      </c>
      <c r="S10" s="4">
        <v>0</v>
      </c>
      <c r="T10" s="4">
        <f t="shared" si="2"/>
        <v>0</v>
      </c>
      <c r="U10" s="4">
        <v>568</v>
      </c>
      <c r="V10" s="4">
        <f t="shared" si="3"/>
        <v>2840</v>
      </c>
      <c r="W10" s="4">
        <v>5</v>
      </c>
      <c r="X10" s="20">
        <f t="shared" si="4"/>
        <v>7651</v>
      </c>
      <c r="Y10" s="6">
        <f t="shared" si="5"/>
        <v>0.62880669193569472</v>
      </c>
      <c r="Z10" s="32">
        <v>1134</v>
      </c>
      <c r="AA10" s="4">
        <f t="shared" si="6"/>
        <v>5905</v>
      </c>
      <c r="AB10" s="32">
        <f t="shared" si="7"/>
        <v>7657.6255707762557</v>
      </c>
      <c r="AC10" s="6">
        <f t="shared" si="8"/>
        <v>0.62912785774767144</v>
      </c>
      <c r="AD10" s="7">
        <v>7000</v>
      </c>
      <c r="AE10" s="6">
        <f t="shared" si="9"/>
        <v>0.59428571428571431</v>
      </c>
      <c r="AF10" s="4">
        <f t="shared" si="10"/>
        <v>4160</v>
      </c>
      <c r="AG10" s="27"/>
      <c r="AH10" s="6"/>
      <c r="AI10" s="6"/>
      <c r="AJ10" s="6" t="e">
        <f t="shared" si="11"/>
        <v>#DIV/0!</v>
      </c>
      <c r="AK10" s="6">
        <f t="shared" si="12"/>
        <v>1.1864406779661016</v>
      </c>
      <c r="AL10" s="6">
        <f t="shared" si="13"/>
        <v>1.2968036529680365</v>
      </c>
      <c r="AM10" s="4" t="str">
        <f t="shared" si="17"/>
        <v>-</v>
      </c>
      <c r="AN10" s="4" t="str">
        <f t="shared" si="18"/>
        <v>-</v>
      </c>
      <c r="AO10" s="4" t="str">
        <f t="shared" si="19"/>
        <v>-</v>
      </c>
      <c r="AP10" s="4" t="s">
        <v>65</v>
      </c>
      <c r="AQ10" s="4">
        <v>8459786</v>
      </c>
      <c r="AR10" s="4">
        <v>5</v>
      </c>
      <c r="AS10" s="4">
        <v>1</v>
      </c>
      <c r="AT10" s="4" t="s">
        <v>68</v>
      </c>
      <c r="AU10" s="4">
        <v>1181</v>
      </c>
      <c r="AV10" s="4">
        <v>1181</v>
      </c>
      <c r="AW10" s="4">
        <f t="shared" si="14"/>
        <v>5905</v>
      </c>
      <c r="AX10" s="18">
        <v>4</v>
      </c>
      <c r="AY10" s="18">
        <v>1</v>
      </c>
      <c r="AZ10" s="16">
        <v>11</v>
      </c>
      <c r="BA10" s="50" t="s">
        <v>85</v>
      </c>
      <c r="BB10" s="53">
        <v>5425</v>
      </c>
      <c r="BC10" s="53">
        <v>5425</v>
      </c>
      <c r="BD10" s="34">
        <f t="shared" si="15"/>
        <v>7035.1598173515977</v>
      </c>
      <c r="BE10" s="34" t="s">
        <v>90</v>
      </c>
      <c r="BF10" s="34">
        <v>1173</v>
      </c>
      <c r="BG10" s="34">
        <v>1173</v>
      </c>
      <c r="BH10" s="34">
        <f t="shared" si="16"/>
        <v>1521.1506849315067</v>
      </c>
      <c r="BI10" t="s">
        <v>69</v>
      </c>
    </row>
    <row r="11" spans="1:61" x14ac:dyDescent="0.4">
      <c r="A11" s="40">
        <v>3</v>
      </c>
      <c r="B11" s="3">
        <v>3</v>
      </c>
      <c r="C11" s="4" t="s">
        <v>56</v>
      </c>
      <c r="D11" s="4" t="str">
        <f t="shared" si="0"/>
        <v>J87492</v>
      </c>
      <c r="E11" s="4" t="s">
        <v>56</v>
      </c>
      <c r="F11" s="4" t="s">
        <v>70</v>
      </c>
      <c r="G11" s="5">
        <v>0</v>
      </c>
      <c r="H11" s="5"/>
      <c r="I11" s="5"/>
      <c r="J11" s="5">
        <v>33278</v>
      </c>
      <c r="K11" s="5">
        <v>1</v>
      </c>
      <c r="L11" s="4">
        <v>0</v>
      </c>
      <c r="M11" s="4">
        <v>16939</v>
      </c>
      <c r="N11" s="4">
        <v>12760</v>
      </c>
      <c r="O11" s="6">
        <f t="shared" si="1"/>
        <v>0.24670877855835649</v>
      </c>
      <c r="P11" s="4" t="s">
        <v>66</v>
      </c>
      <c r="Q11" s="4" t="s">
        <v>66</v>
      </c>
      <c r="R11" s="4" t="s">
        <v>66</v>
      </c>
      <c r="S11" s="4">
        <v>0</v>
      </c>
      <c r="T11" s="4">
        <f t="shared" si="2"/>
        <v>0</v>
      </c>
      <c r="U11" s="4">
        <v>15310</v>
      </c>
      <c r="V11" s="4">
        <f t="shared" si="3"/>
        <v>15310</v>
      </c>
      <c r="W11" s="4"/>
      <c r="X11" s="20">
        <f t="shared" si="4"/>
        <v>20324</v>
      </c>
      <c r="Y11" s="6">
        <f t="shared" si="5"/>
        <v>0.24670340484156661</v>
      </c>
      <c r="Z11" s="32">
        <v>0</v>
      </c>
      <c r="AA11" s="4">
        <f t="shared" si="6"/>
        <v>27980</v>
      </c>
      <c r="AB11" s="32">
        <f t="shared" si="7"/>
        <v>33571.614420062695</v>
      </c>
      <c r="AC11" s="6">
        <f t="shared" si="8"/>
        <v>0.54395997140814867</v>
      </c>
      <c r="AD11" s="7">
        <v>20500</v>
      </c>
      <c r="AE11" s="6">
        <f t="shared" si="9"/>
        <v>0.25317073170731708</v>
      </c>
      <c r="AF11" s="4">
        <f t="shared" si="10"/>
        <v>5190</v>
      </c>
      <c r="AG11" s="27"/>
      <c r="AH11" s="6"/>
      <c r="AI11" s="6"/>
      <c r="AJ11" s="6" t="e">
        <f t="shared" si="11"/>
        <v>#DIV/0!</v>
      </c>
      <c r="AK11" s="6">
        <f t="shared" si="12"/>
        <v>1.2102249247299133</v>
      </c>
      <c r="AL11" s="6">
        <f t="shared" si="13"/>
        <v>1.1998432601880877</v>
      </c>
      <c r="AM11" s="4" t="str">
        <f t="shared" si="17"/>
        <v>-</v>
      </c>
      <c r="AN11" s="4" t="str">
        <f t="shared" si="18"/>
        <v>-</v>
      </c>
      <c r="AO11" s="4" t="str">
        <f t="shared" si="19"/>
        <v>-</v>
      </c>
      <c r="AP11" s="4">
        <v>0</v>
      </c>
      <c r="AQ11" s="4" t="s">
        <v>74</v>
      </c>
      <c r="AR11" s="4"/>
      <c r="AS11" s="4"/>
      <c r="AT11" s="4"/>
      <c r="AU11" s="4">
        <v>27980</v>
      </c>
      <c r="AV11" s="4">
        <v>27980</v>
      </c>
      <c r="AW11" s="4">
        <f t="shared" si="14"/>
        <v>27980</v>
      </c>
      <c r="AX11" s="18">
        <v>4</v>
      </c>
      <c r="AY11" s="18">
        <v>9</v>
      </c>
      <c r="AZ11" s="16">
        <v>11</v>
      </c>
      <c r="BA11" s="51"/>
      <c r="BB11" s="51" t="s">
        <v>66</v>
      </c>
      <c r="BC11" t="s">
        <v>79</v>
      </c>
      <c r="BD11" s="34" t="str">
        <f t="shared" si="15"/>
        <v>-</v>
      </c>
      <c r="BE11" s="34"/>
      <c r="BF11" t="s">
        <v>79</v>
      </c>
      <c r="BG11" t="s">
        <v>79</v>
      </c>
      <c r="BH11" s="34" t="str">
        <f t="shared" si="16"/>
        <v>-</v>
      </c>
      <c r="BI11" t="s">
        <v>75</v>
      </c>
    </row>
    <row r="12" spans="1:61" x14ac:dyDescent="0.4">
      <c r="A12" s="40">
        <v>4</v>
      </c>
      <c r="B12" s="3">
        <v>4</v>
      </c>
      <c r="C12" s="4" t="s">
        <v>57</v>
      </c>
      <c r="D12" s="4" t="str">
        <f t="shared" si="0"/>
        <v>J87490</v>
      </c>
      <c r="E12" s="4" t="s">
        <v>57</v>
      </c>
      <c r="F12" s="4" t="s">
        <v>76</v>
      </c>
      <c r="G12" s="5">
        <v>0</v>
      </c>
      <c r="H12" s="5"/>
      <c r="I12" s="5"/>
      <c r="J12" s="5">
        <v>33278</v>
      </c>
      <c r="K12" s="5">
        <v>1</v>
      </c>
      <c r="L12" s="4">
        <v>0</v>
      </c>
      <c r="M12" s="4">
        <v>8568</v>
      </c>
      <c r="N12" s="4">
        <v>7050</v>
      </c>
      <c r="O12" s="6">
        <f t="shared" si="1"/>
        <v>0.17717086834733897</v>
      </c>
      <c r="P12" s="4" t="s">
        <v>66</v>
      </c>
      <c r="Q12" s="4" t="s">
        <v>66</v>
      </c>
      <c r="R12" s="4" t="s">
        <v>66</v>
      </c>
      <c r="S12" s="4">
        <v>0</v>
      </c>
      <c r="T12" s="4">
        <f t="shared" si="2"/>
        <v>0</v>
      </c>
      <c r="U12" s="4">
        <v>8460</v>
      </c>
      <c r="V12" s="4">
        <f t="shared" si="3"/>
        <v>8460</v>
      </c>
      <c r="W12" s="4"/>
      <c r="X12" s="20">
        <f t="shared" si="4"/>
        <v>10282</v>
      </c>
      <c r="Y12" s="6">
        <f t="shared" si="5"/>
        <v>0.17720287881735075</v>
      </c>
      <c r="Z12" s="32">
        <v>0</v>
      </c>
      <c r="AA12" s="4">
        <f t="shared" si="6"/>
        <v>12826</v>
      </c>
      <c r="AB12" s="32">
        <f t="shared" si="7"/>
        <v>15391.199999999999</v>
      </c>
      <c r="AC12" s="6">
        <f t="shared" si="8"/>
        <v>0.45033525651021356</v>
      </c>
      <c r="AD12" s="7">
        <v>11200</v>
      </c>
      <c r="AE12" s="6">
        <f t="shared" si="9"/>
        <v>0.24464285714285716</v>
      </c>
      <c r="AF12" s="4">
        <f t="shared" si="10"/>
        <v>2740</v>
      </c>
      <c r="AG12" s="27"/>
      <c r="AH12" s="6"/>
      <c r="AI12" s="6"/>
      <c r="AJ12" s="6" t="e">
        <f t="shared" si="11"/>
        <v>#DIV/0!</v>
      </c>
      <c r="AK12" s="6">
        <f t="shared" si="12"/>
        <v>1.3071895424836601</v>
      </c>
      <c r="AL12" s="6">
        <f t="shared" si="13"/>
        <v>1.2</v>
      </c>
      <c r="AM12" s="4" t="str">
        <f t="shared" si="17"/>
        <v>-</v>
      </c>
      <c r="AN12" s="4" t="str">
        <f t="shared" si="18"/>
        <v>-</v>
      </c>
      <c r="AO12" s="4" t="str">
        <f t="shared" si="19"/>
        <v>-</v>
      </c>
      <c r="AP12" s="4">
        <v>0</v>
      </c>
      <c r="AQ12" s="4" t="s">
        <v>78</v>
      </c>
      <c r="AR12" s="4"/>
      <c r="AS12" s="4"/>
      <c r="AT12" s="4"/>
      <c r="AU12" s="4">
        <v>10691</v>
      </c>
      <c r="AV12" s="4">
        <v>12826</v>
      </c>
      <c r="AW12" s="4">
        <f t="shared" si="14"/>
        <v>12826</v>
      </c>
      <c r="AX12" s="18">
        <v>4</v>
      </c>
      <c r="AY12" s="18">
        <v>9</v>
      </c>
      <c r="AZ12" s="16">
        <v>11</v>
      </c>
      <c r="BA12" s="51"/>
      <c r="BB12" s="51" t="s">
        <v>66</v>
      </c>
      <c r="BC12" t="s">
        <v>79</v>
      </c>
      <c r="BD12" s="34" t="str">
        <f t="shared" si="15"/>
        <v>-</v>
      </c>
      <c r="BE12" s="34"/>
      <c r="BF12" t="s">
        <v>79</v>
      </c>
      <c r="BG12" t="s">
        <v>79</v>
      </c>
      <c r="BH12" s="34" t="str">
        <f t="shared" si="16"/>
        <v>-</v>
      </c>
      <c r="BI12" t="s">
        <v>77</v>
      </c>
    </row>
  </sheetData>
  <autoFilter ref="A3:BI3" xr:uid="{7A1660CF-9003-4B2D-B659-7F339ED5B476}"/>
  <sortState xmlns:xlrd2="http://schemas.microsoft.com/office/spreadsheetml/2017/richdata2" ref="A4:BI12">
    <sortCondition ref="B4:B12"/>
  </sortState>
  <mergeCells count="3">
    <mergeCell ref="L2:O2"/>
    <mergeCell ref="J2:K2"/>
    <mergeCell ref="S1:V1"/>
  </mergeCells>
  <phoneticPr fontId="2"/>
  <conditionalFormatting sqref="AD4:AD12">
    <cfRule type="cellIs" dxfId="4" priority="6" operator="greaterThan">
      <formula>$T4</formula>
    </cfRule>
  </conditionalFormatting>
  <conditionalFormatting sqref="AB4:AB12">
    <cfRule type="cellIs" dxfId="3" priority="4" operator="lessThan">
      <formula>$AD4</formula>
    </cfRule>
  </conditionalFormatting>
  <conditionalFormatting sqref="AE4:AE12">
    <cfRule type="cellIs" dxfId="2" priority="3" operator="lessThan">
      <formula>0.2</formula>
    </cfRule>
  </conditionalFormatting>
  <conditionalFormatting sqref="AV4:AV12">
    <cfRule type="cellIs" dxfId="1" priority="2" operator="notEqual">
      <formula>$AU4</formula>
    </cfRule>
  </conditionalFormatting>
  <conditionalFormatting sqref="BG4:BG12">
    <cfRule type="cellIs" dxfId="0" priority="1" operator="notEqual">
      <formula>$BF4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2026-07-09T01:26:22Z</dcterms:modified>
</cp:coreProperties>
</file>