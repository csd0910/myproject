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商品部\個人フォルダ\須永\価格改定\2026年8月1日改定\"/>
    </mc:Choice>
  </mc:AlternateContent>
  <xr:revisionPtr revIDLastSave="0" documentId="13_ncr:1_{DD3BFF4F-6E5B-4641-B230-428F6EF13D9D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Sheet1!$A$3:$BL$3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P5" i="1" l="1"/>
  <c r="AQ5" i="1"/>
  <c r="AR5" i="1"/>
  <c r="AS5" i="1"/>
  <c r="AT5" i="1"/>
  <c r="AU5" i="1"/>
  <c r="AP6" i="1"/>
  <c r="AQ6" i="1"/>
  <c r="AR6" i="1"/>
  <c r="AS6" i="1"/>
  <c r="AT6" i="1"/>
  <c r="AU6" i="1"/>
  <c r="AP7" i="1"/>
  <c r="AQ7" i="1"/>
  <c r="AR7" i="1"/>
  <c r="AS7" i="1"/>
  <c r="AT7" i="1"/>
  <c r="AU7" i="1"/>
  <c r="AP8" i="1"/>
  <c r="AQ8" i="1"/>
  <c r="AR8" i="1"/>
  <c r="AS8" i="1"/>
  <c r="AT8" i="1"/>
  <c r="AU8" i="1"/>
  <c r="AP9" i="1"/>
  <c r="AQ9" i="1"/>
  <c r="AR9" i="1"/>
  <c r="AS9" i="1"/>
  <c r="AT9" i="1"/>
  <c r="AU9" i="1"/>
  <c r="AP10" i="1"/>
  <c r="AQ10" i="1"/>
  <c r="AR10" i="1"/>
  <c r="AS10" i="1"/>
  <c r="AT10" i="1"/>
  <c r="AU10" i="1"/>
  <c r="AU4" i="1"/>
  <c r="AT4" i="1"/>
  <c r="AS4" i="1"/>
  <c r="AR4" i="1"/>
  <c r="AQ4" i="1"/>
  <c r="AP4" i="1"/>
  <c r="BE5" i="1" l="1"/>
  <c r="AD5" i="1" s="1"/>
  <c r="BE6" i="1"/>
  <c r="AD6" i="1" s="1"/>
  <c r="BE9" i="1"/>
  <c r="AD9" i="1" s="1"/>
  <c r="BE10" i="1"/>
  <c r="AD10" i="1" s="1"/>
  <c r="BE4" i="1"/>
  <c r="AD4" i="1" s="1"/>
  <c r="X5" i="1"/>
  <c r="X6" i="1"/>
  <c r="X7" i="1"/>
  <c r="X8" i="1"/>
  <c r="X9" i="1"/>
  <c r="X10" i="1"/>
  <c r="V5" i="1"/>
  <c r="AM5" i="1" s="1"/>
  <c r="V6" i="1"/>
  <c r="AM6" i="1" s="1"/>
  <c r="V7" i="1"/>
  <c r="AM7" i="1" s="1"/>
  <c r="V8" i="1"/>
  <c r="AM8" i="1" s="1"/>
  <c r="V9" i="1"/>
  <c r="AM9" i="1" s="1"/>
  <c r="V10" i="1"/>
  <c r="AM10" i="1" s="1"/>
  <c r="C5" i="1"/>
  <c r="C6" i="1"/>
  <c r="C7" i="1"/>
  <c r="C8" i="1"/>
  <c r="C9" i="1"/>
  <c r="C10" i="1"/>
  <c r="C4" i="1"/>
  <c r="X4" i="1"/>
  <c r="V4" i="1"/>
  <c r="AM4" i="1" s="1"/>
  <c r="AN10" i="1"/>
  <c r="N10" i="1"/>
  <c r="AN4" i="1"/>
  <c r="AN9" i="1"/>
  <c r="N9" i="1"/>
  <c r="BE8" i="1"/>
  <c r="AD8" i="1" s="1"/>
  <c r="AN8" i="1"/>
  <c r="N8" i="1"/>
  <c r="BE7" i="1"/>
  <c r="AD7" i="1" s="1"/>
  <c r="AN7" i="1"/>
  <c r="N7" i="1"/>
  <c r="AN6" i="1"/>
  <c r="N6" i="1"/>
  <c r="AN5" i="1"/>
  <c r="N5" i="1"/>
  <c r="N4" i="1"/>
  <c r="AO6" i="1" l="1"/>
  <c r="AE6" i="1" s="1"/>
  <c r="AF6" i="1" s="1"/>
  <c r="AH4" i="1"/>
  <c r="AI10" i="1"/>
  <c r="AH5" i="1"/>
  <c r="AH9" i="1"/>
  <c r="AI8" i="1"/>
  <c r="AI7" i="1"/>
  <c r="AO5" i="1"/>
  <c r="Z5" i="1" s="1"/>
  <c r="AA5" i="1" s="1"/>
  <c r="AO8" i="1"/>
  <c r="AI6" i="1"/>
  <c r="AH10" i="1"/>
  <c r="AH8" i="1"/>
  <c r="AO10" i="1"/>
  <c r="AI9" i="1"/>
  <c r="AO9" i="1"/>
  <c r="AH7" i="1"/>
  <c r="AI5" i="1"/>
  <c r="AO7" i="1"/>
  <c r="AH6" i="1"/>
  <c r="AK4" i="1"/>
  <c r="AL4" i="1"/>
  <c r="AI4" i="1"/>
  <c r="AO4" i="1"/>
  <c r="Z6" i="1" l="1"/>
  <c r="AA6" i="1" s="1"/>
  <c r="AE5" i="1"/>
  <c r="AF5" i="1" s="1"/>
  <c r="Z10" i="1"/>
  <c r="AA10" i="1" s="1"/>
  <c r="AE10" i="1"/>
  <c r="AF10" i="1" s="1"/>
  <c r="Z8" i="1"/>
  <c r="AA8" i="1" s="1"/>
  <c r="AE8" i="1"/>
  <c r="AF8" i="1" s="1"/>
  <c r="Z9" i="1"/>
  <c r="AA9" i="1" s="1"/>
  <c r="AE9" i="1"/>
  <c r="AF9" i="1" s="1"/>
  <c r="Z7" i="1"/>
  <c r="AA7" i="1" s="1"/>
  <c r="AE7" i="1"/>
  <c r="AF7" i="1" s="1"/>
  <c r="Z4" i="1"/>
  <c r="AA4" i="1" s="1"/>
  <c r="AE4" i="1"/>
  <c r="AF4" i="1" s="1"/>
</calcChain>
</file>

<file path=xl/sharedStrings.xml><?xml version="1.0" encoding="utf-8"?>
<sst xmlns="http://schemas.openxmlformats.org/spreadsheetml/2006/main" count="117" uniqueCount="88">
  <si>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</si>
  <si>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</si>
  <si>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</si>
  <si>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</si>
  <si>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</si>
  <si>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</si>
  <si>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</si>
  <si>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</si>
  <si>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</si>
  <si>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</si>
  <si>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</si>
  <si>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</si>
  <si>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</si>
  <si>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</si>
  <si>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</si>
  <si>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</si>
  <si>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</si>
  <si>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</si>
  <si>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</si>
  <si>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</si>
  <si>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</si>
  <si>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</si>
  <si>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</si>
  <si>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</si>
  <si>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</si>
  <si>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</si>
  <si>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</si>
  <si>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</si>
  <si>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</si>
  <si>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</si>
  <si>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</si>
  <si>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</si>
  <si>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</si>
  <si>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</si>
  <si>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</si>
  <si>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</si>
  <si>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</si>
  <si>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</si>
  <si>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</si>
  <si>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</si>
  <si>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</si>
  <si>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</si>
  <si>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</si>
  <si>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</si>
  <si>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</si>
  <si>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</si>
  <si>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</si>
  <si>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</si>
  <si>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</si>
  <si>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</si>
  <si>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たのめーる</t>
    <phoneticPr fontId="2"/>
  </si>
  <si>
    <t>カウネット</t>
    <phoneticPr fontId="2"/>
  </si>
  <si>
    <t>VD2</t>
  </si>
  <si>
    <t>VD3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</si>
  <si>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</si>
  <si>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</si>
  <si>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</si>
  <si>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4月売価</t>
    <rPh sb="1" eb="2">
      <t>ガツ</t>
    </rPh>
    <rPh sb="2" eb="4">
      <t>バイカ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</si>
  <si>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</si>
  <si>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</si>
  <si>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</si>
  <si>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34/131</t>
  </si>
  <si>
    <t>Forestway/蛍光ﾏｰｶｰｴｺﾉﾐｰ 桃 10本</t>
  </si>
  <si>
    <t>Forestway/蛍光ﾏｰｶｰｴｺﾉﾐｰ 5色×各2本</t>
  </si>
  <si>
    <t>Forestway/蛍光ﾏｰｶｰｴｺﾉﾐｰ 緑 10本</t>
  </si>
  <si>
    <t>Forestway/蛍光ﾏｰｶｰｴｺﾉﾐｰ 水色 10本</t>
  </si>
  <si>
    <t>Forestway/蛍光ﾏｰｶｰｴｺﾉﾐｰ 橙 10本</t>
  </si>
  <si>
    <t>Forestway/蛍光ﾏｰｶｰｴｺﾉﾐｰ 黄 10本</t>
  </si>
  <si>
    <t>8907AM</t>
  </si>
  <si>
    <t>-</t>
  </si>
  <si>
    <t>X855746</t>
  </si>
  <si>
    <t>X733008</t>
  </si>
  <si>
    <t>X855741</t>
  </si>
  <si>
    <t>X855738</t>
  </si>
  <si>
    <t>X855739</t>
  </si>
  <si>
    <t>X855745</t>
  </si>
  <si>
    <t>1箱（10本入）</t>
  </si>
  <si>
    <t>4/27
在庫</t>
    <rPh sb="5" eb="7">
      <t>ザイコ</t>
    </rPh>
    <phoneticPr fontId="2"/>
  </si>
  <si>
    <t>LT変更</t>
    <rPh sb="2" eb="4">
      <t>ヘンコウ</t>
    </rPh>
    <phoneticPr fontId="2"/>
  </si>
  <si>
    <t>5月売価</t>
    <rPh sb="1" eb="2">
      <t>ガツ</t>
    </rPh>
    <rPh sb="2" eb="4">
      <t>バイカ</t>
    </rPh>
    <phoneticPr fontId="2"/>
  </si>
  <si>
    <t>アスクル 蛍光ペン 蛍光マーカー シングルタイプ ピンク 1箱（10本入） オリジナル</t>
  </si>
  <si>
    <t>アスクル 蛍光ペン 蛍光マーカー シングルタイプ 5色アソート 1箱（10本入） オリジナル</t>
  </si>
  <si>
    <t>アスクル 蛍光ペン 蛍光マーカー シングルタイプ グリーン 緑 1箱（10本入） オリジナル</t>
  </si>
  <si>
    <t>アスクル 蛍光ペン 蛍光マーカー シングルタイプ ブルー 1箱（10本入） オリジナル</t>
  </si>
  <si>
    <t>アスクル 蛍光ペン 蛍光マーカー シングルタイプ オレンジ 1箱（10本入） オリジナル</t>
  </si>
  <si>
    <t>アスクル 蛍光ペン 蛍光マーカー シングルタイプ イエロー 黄色 1箱（10本入） オリジナル</t>
  </si>
  <si>
    <t>6月売価</t>
    <rPh sb="1" eb="2">
      <t>ガツ</t>
    </rPh>
    <rPh sb="2" eb="4">
      <t>バイカ</t>
    </rPh>
    <phoneticPr fontId="2"/>
  </si>
  <si>
    <t>7月売価</t>
    <rPh sb="1" eb="2">
      <t>ガツ</t>
    </rPh>
    <rPh sb="2" eb="4">
      <t>バイカ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</si>
</sst>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10" xfId="0" applyBorder="1">
      <alignment vertical="center"/>
    </xf>
    <xf numFmtId="0" fontId="0" fillId="3" borderId="4" xfId="0" applyFill="1" applyBorder="1">
      <alignment vertical="center"/>
    </xf>
    <xf numFmtId="0" fontId="0" fillId="3" borderId="11" xfId="0" applyFill="1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L10"/>
  <sheetViews>
    <sheetView tabSelected="1" zoomScale="90" zoomScaleNormal="90" workbookViewId="0">
      <pane xSplit="6" ySplit="5" topLeftCell="V6" activePane="bottomRight" state="frozen"/>
      <selection pane="topRight" activeCell="G1" sqref="G1"/>
      <selection pane="bottomLeft" activeCell="A5" sqref="A5"/>
      <selection pane="bottomRight" activeCell="E1" sqref="E1"/>
    </sheetView>
  </sheetViews>
  <sheetFormatPr defaultRowHeight="18.75" outlineLevelCol="1" x14ac:dyDescent="0.4"/>
  <cols>
    <col min="5" max="5" width="48.375" customWidth="1"/>
    <col min="6" max="6" width="15.5" bestFit="1" customWidth="1"/>
    <col min="7" max="10" width="7.5" hidden="1" customWidth="1" outlineLevel="1"/>
    <col min="11" max="11" width="7.625" customWidth="1" collapsed="1"/>
    <col min="12" max="15" width="7.625" customWidth="1"/>
    <col min="16" max="20" width="7.625" hidden="1" customWidth="1" outlineLevel="1"/>
    <col min="21" max="21" width="7.625" customWidth="1" collapsed="1"/>
    <col min="22" max="24" width="7.625" customWidth="1"/>
    <col min="25" max="25" width="4.375" customWidth="1" collapsed="1"/>
    <col min="26" max="35" width="7.625" customWidth="1"/>
    <col min="36" max="38" width="7.625" hidden="1" customWidth="1" outlineLevel="1"/>
    <col min="39" max="39" width="7.625" customWidth="1" collapsed="1"/>
    <col min="40" max="41" width="7.625" customWidth="1"/>
    <col min="42" max="47" width="7.625" hidden="1" customWidth="1" outlineLevel="1"/>
    <col min="48" max="48" width="7.625" customWidth="1" collapsed="1"/>
    <col min="49" max="63" width="7.625" customWidth="1"/>
  </cols>
  <sheetData>
    <row r="1" spans="1:64" x14ac:dyDescent="0.4">
      <c r="B1" s="28" t="s">
        <v>46</v>
      </c>
      <c r="U1" s="38" t="s">
        <v>43</v>
      </c>
      <c r="V1" s="39"/>
      <c r="W1" s="39"/>
      <c r="X1" s="40"/>
    </row>
    <row r="2" spans="1:64" x14ac:dyDescent="0.4">
      <c r="B2" s="8" t="s">
        <v>30</v>
      </c>
      <c r="C2" s="9" t="s">
        <v>31</v>
      </c>
      <c r="D2" s="9" t="s">
        <v>32</v>
      </c>
      <c r="E2" s="10"/>
      <c r="F2" s="10"/>
      <c r="G2" s="31"/>
      <c r="H2" s="31"/>
      <c r="I2" s="35" t="s">
        <v>33</v>
      </c>
      <c r="J2" s="37"/>
      <c r="K2" s="35" t="s">
        <v>2</v>
      </c>
      <c r="L2" s="36"/>
      <c r="M2" s="36"/>
      <c r="N2" s="37"/>
      <c r="O2" s="11"/>
      <c r="P2" s="30"/>
      <c r="Q2" s="30"/>
      <c r="R2" s="30"/>
      <c r="S2" s="30"/>
      <c r="T2" s="30"/>
      <c r="U2" s="22"/>
      <c r="V2" s="23" t="s">
        <v>36</v>
      </c>
      <c r="W2" s="23"/>
      <c r="X2" s="24" t="s">
        <v>36</v>
      </c>
      <c r="Y2" s="10"/>
      <c r="Z2" s="9" t="s">
        <v>41</v>
      </c>
      <c r="AA2" s="11"/>
      <c r="AB2" s="11"/>
      <c r="AC2" s="11"/>
      <c r="AD2" s="11"/>
      <c r="AE2" s="11"/>
      <c r="AF2" s="11"/>
      <c r="AG2" s="21" t="s">
        <v>44</v>
      </c>
      <c r="AH2" s="11"/>
      <c r="AI2" s="11"/>
      <c r="AJ2" s="26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>
        <v>51</v>
      </c>
      <c r="BG2">
        <v>14</v>
      </c>
      <c r="BH2">
        <v>28</v>
      </c>
    </row>
    <row r="3" spans="1:64" ht="75" x14ac:dyDescent="0.4">
      <c r="A3" s="1" t="s">
        <v>55</v>
      </c>
      <c r="B3" s="2" t="s">
        <v>4</v>
      </c>
      <c r="C3" s="2" t="s">
        <v>9</v>
      </c>
      <c r="D3" s="2" t="s">
        <v>10</v>
      </c>
      <c r="E3" s="2" t="s">
        <v>0</v>
      </c>
      <c r="F3" s="12" t="s">
        <v>7</v>
      </c>
      <c r="G3" s="12" t="s">
        <v>58</v>
      </c>
      <c r="H3" s="12" t="s">
        <v>59</v>
      </c>
      <c r="I3" s="12" t="s">
        <v>27</v>
      </c>
      <c r="J3" s="12" t="s">
        <v>28</v>
      </c>
      <c r="K3" s="12" t="s">
        <v>1</v>
      </c>
      <c r="L3" s="2" t="s">
        <v>8</v>
      </c>
      <c r="M3" s="2" t="s">
        <v>5</v>
      </c>
      <c r="N3" s="2" t="s">
        <v>16</v>
      </c>
      <c r="O3" s="12" t="s">
        <v>52</v>
      </c>
      <c r="P3" s="12" t="s">
        <v>20</v>
      </c>
      <c r="Q3" s="12" t="s">
        <v>21</v>
      </c>
      <c r="R3" s="12" t="s">
        <v>53</v>
      </c>
      <c r="S3" s="12" t="s">
        <v>23</v>
      </c>
      <c r="T3" s="12" t="s">
        <v>24</v>
      </c>
      <c r="U3" s="12" t="s">
        <v>3</v>
      </c>
      <c r="V3" s="12" t="s">
        <v>25</v>
      </c>
      <c r="W3" s="2" t="s">
        <v>5</v>
      </c>
      <c r="X3" s="12" t="s">
        <v>26</v>
      </c>
      <c r="Y3" s="14" t="s">
        <v>6</v>
      </c>
      <c r="Z3" s="19" t="s">
        <v>17</v>
      </c>
      <c r="AA3" s="2" t="s">
        <v>16</v>
      </c>
      <c r="AB3" s="2" t="s">
        <v>47</v>
      </c>
      <c r="AC3" s="12" t="s">
        <v>77</v>
      </c>
      <c r="AD3" s="12" t="s">
        <v>42</v>
      </c>
      <c r="AE3" s="12" t="s">
        <v>60</v>
      </c>
      <c r="AF3" s="2" t="s">
        <v>16</v>
      </c>
      <c r="AG3" s="13" t="s">
        <v>34</v>
      </c>
      <c r="AH3" s="2" t="s">
        <v>16</v>
      </c>
      <c r="AI3" s="2" t="s">
        <v>35</v>
      </c>
      <c r="AJ3" s="25" t="s">
        <v>37</v>
      </c>
      <c r="AK3" s="12" t="s">
        <v>38</v>
      </c>
      <c r="AL3" s="12" t="s">
        <v>39</v>
      </c>
      <c r="AM3" s="12" t="s">
        <v>29</v>
      </c>
      <c r="AN3" s="12" t="s">
        <v>40</v>
      </c>
      <c r="AO3" s="12" t="s">
        <v>18</v>
      </c>
      <c r="AP3" s="12" t="s">
        <v>19</v>
      </c>
      <c r="AQ3" s="12" t="s">
        <v>20</v>
      </c>
      <c r="AR3" s="12" t="s">
        <v>21</v>
      </c>
      <c r="AS3" s="12" t="s">
        <v>22</v>
      </c>
      <c r="AT3" s="12" t="s">
        <v>23</v>
      </c>
      <c r="AU3" s="12" t="s">
        <v>24</v>
      </c>
      <c r="AV3" s="2" t="s">
        <v>11</v>
      </c>
      <c r="AW3" s="2" t="s">
        <v>12</v>
      </c>
      <c r="AX3" s="2" t="s">
        <v>13</v>
      </c>
      <c r="AY3" s="2" t="s">
        <v>14</v>
      </c>
      <c r="AZ3" s="12" t="s">
        <v>45</v>
      </c>
      <c r="BA3" s="2" t="s">
        <v>57</v>
      </c>
      <c r="BB3" s="2" t="s">
        <v>79</v>
      </c>
      <c r="BC3" s="2" t="s">
        <v>86</v>
      </c>
      <c r="BD3" s="2" t="s">
        <v>87</v>
      </c>
      <c r="BE3" s="2" t="s">
        <v>15</v>
      </c>
      <c r="BF3" s="34" t="s">
        <v>78</v>
      </c>
      <c r="BG3" s="17" t="s">
        <v>48</v>
      </c>
      <c r="BH3" s="17" t="s">
        <v>49</v>
      </c>
      <c r="BI3" s="15" t="s">
        <v>56</v>
      </c>
      <c r="BJ3" s="29" t="s">
        <v>50</v>
      </c>
      <c r="BK3" t="s">
        <v>51</v>
      </c>
      <c r="BL3" t="s">
        <v>54</v>
      </c>
    </row>
    <row r="4" spans="1:64" x14ac:dyDescent="0.4">
      <c r="A4" s="3">
        <v>1</v>
      </c>
      <c r="B4" s="4">
        <v>605856</v>
      </c>
      <c r="C4" s="4" t="str">
        <f>TEXT(B4,"000000")</f>
        <v>605856</v>
      </c>
      <c r="D4" s="4">
        <v>605856</v>
      </c>
      <c r="E4" s="4" t="s">
        <v>62</v>
      </c>
      <c r="F4" s="5">
        <v>4560126834690</v>
      </c>
      <c r="G4" s="5">
        <v>5</v>
      </c>
      <c r="H4" s="5"/>
      <c r="I4" s="5">
        <v>1</v>
      </c>
      <c r="J4" s="5">
        <v>1</v>
      </c>
      <c r="K4" s="4">
        <v>0</v>
      </c>
      <c r="L4" s="4">
        <v>404</v>
      </c>
      <c r="M4" s="4">
        <v>245</v>
      </c>
      <c r="N4" s="6">
        <f t="shared" ref="N4:N10" si="0">1-M4/L4</f>
        <v>0.39356435643564358</v>
      </c>
      <c r="O4" s="4">
        <v>390</v>
      </c>
      <c r="P4" s="4">
        <v>3</v>
      </c>
      <c r="Q4" s="4">
        <v>4</v>
      </c>
      <c r="R4" s="4">
        <v>333</v>
      </c>
      <c r="S4" s="4">
        <v>5</v>
      </c>
      <c r="T4" s="4">
        <v>99999</v>
      </c>
      <c r="U4" s="4">
        <v>0</v>
      </c>
      <c r="V4" s="4">
        <f>IF(Y4="",U4,U4*Y4)</f>
        <v>0</v>
      </c>
      <c r="W4" s="4">
        <v>285</v>
      </c>
      <c r="X4" s="4">
        <f>IF(Y4="",W4,W4*Y4)</f>
        <v>285</v>
      </c>
      <c r="Y4" s="4"/>
      <c r="Z4" s="20">
        <f t="shared" ref="Z4:Z10" si="1">ROUND(L4*AO4,0)</f>
        <v>470</v>
      </c>
      <c r="AA4" s="6">
        <f t="shared" ref="AA4" si="2">1-X4/Z4</f>
        <v>0.3936170212765957</v>
      </c>
      <c r="AB4" s="4">
        <v>208.75</v>
      </c>
      <c r="AC4" s="4">
        <v>1270</v>
      </c>
      <c r="AD4" s="4">
        <f t="shared" ref="AD4:AD10" si="3">BE4</f>
        <v>360</v>
      </c>
      <c r="AE4" s="4">
        <f t="shared" ref="AE4:AE10" si="4">AD4*AO4</f>
        <v>418.77551020408163</v>
      </c>
      <c r="AF4" s="6">
        <f t="shared" ref="AF4:AF10" si="5">1-X4/AE4</f>
        <v>0.31944444444444442</v>
      </c>
      <c r="AG4" s="7">
        <v>470</v>
      </c>
      <c r="AH4" s="6">
        <f t="shared" ref="AH4:AH10" si="6">1-X4/AG4</f>
        <v>0.3936170212765957</v>
      </c>
      <c r="AI4" s="4">
        <f t="shared" ref="AI4:AI10" si="7">AG4-X4</f>
        <v>185</v>
      </c>
      <c r="AJ4" s="27"/>
      <c r="AK4" s="6" t="e">
        <f>1-X4/AJ4</f>
        <v>#DIV/0!</v>
      </c>
      <c r="AL4" s="4">
        <f>AJ4-X4</f>
        <v>-285</v>
      </c>
      <c r="AM4" s="6" t="e">
        <f t="shared" ref="AM4:AM10" si="8">V4/K4</f>
        <v>#DIV/0!</v>
      </c>
      <c r="AN4" s="6">
        <f t="shared" ref="AN4:AN10" si="9">AG4/L4</f>
        <v>1.1633663366336633</v>
      </c>
      <c r="AO4" s="6">
        <f t="shared" ref="AO4:AO10" si="10">X4/M4</f>
        <v>1.1632653061224489</v>
      </c>
      <c r="AP4" s="4">
        <f t="shared" ref="AP4:AP10" si="11">IFERROR(ROUND($AG4*O4/$L4,0),"-")</f>
        <v>454</v>
      </c>
      <c r="AQ4" s="4">
        <f t="shared" ref="AQ4:AR10" si="12">IF(P4="","-",P4)</f>
        <v>3</v>
      </c>
      <c r="AR4" s="4">
        <f t="shared" si="12"/>
        <v>4</v>
      </c>
      <c r="AS4" s="4">
        <f t="shared" ref="AS4:AS10" si="13">IFERROR(ROUND($AG4*R4/$L4,0),"-")</f>
        <v>387</v>
      </c>
      <c r="AT4" s="4">
        <f t="shared" ref="AT4:AU10" si="14">IF(S4="","-",S4)</f>
        <v>5</v>
      </c>
      <c r="AU4" s="4">
        <f t="shared" si="14"/>
        <v>99999</v>
      </c>
      <c r="AV4" s="4" t="s">
        <v>61</v>
      </c>
      <c r="AW4" s="4" t="s">
        <v>70</v>
      </c>
      <c r="AX4" s="4"/>
      <c r="AY4" s="4"/>
      <c r="AZ4" s="4" t="s">
        <v>76</v>
      </c>
      <c r="BA4" s="4">
        <v>324</v>
      </c>
      <c r="BB4" s="4">
        <v>360</v>
      </c>
      <c r="BC4" s="4">
        <v>360</v>
      </c>
      <c r="BD4" s="4">
        <v>360</v>
      </c>
      <c r="BE4" s="4">
        <f t="shared" ref="BE4:BE5" si="15">IF(AX4="",BD4,AX4/AY4*BD4)</f>
        <v>360</v>
      </c>
      <c r="BF4" s="18">
        <v>90</v>
      </c>
      <c r="BG4" s="18">
        <v>4</v>
      </c>
      <c r="BH4" s="18">
        <v>1</v>
      </c>
      <c r="BI4" s="16">
        <v>5</v>
      </c>
      <c r="BL4" t="s">
        <v>80</v>
      </c>
    </row>
    <row r="5" spans="1:64" x14ac:dyDescent="0.4">
      <c r="A5" s="3">
        <v>2</v>
      </c>
      <c r="B5" s="33">
        <v>631535</v>
      </c>
      <c r="C5" s="4" t="str">
        <f t="shared" ref="C5:C10" si="16">TEXT(B5,"000000")</f>
        <v>631535</v>
      </c>
      <c r="D5" s="4">
        <v>631535</v>
      </c>
      <c r="E5" s="4" t="s">
        <v>63</v>
      </c>
      <c r="F5" s="5">
        <v>4560126838568</v>
      </c>
      <c r="G5" s="5">
        <v>5</v>
      </c>
      <c r="H5" s="5"/>
      <c r="I5" s="5">
        <v>2</v>
      </c>
      <c r="J5" s="5">
        <v>1</v>
      </c>
      <c r="K5" s="4">
        <v>0</v>
      </c>
      <c r="L5" s="4">
        <v>405</v>
      </c>
      <c r="M5" s="4">
        <v>245</v>
      </c>
      <c r="N5" s="6">
        <f t="shared" si="0"/>
        <v>0.39506172839506171</v>
      </c>
      <c r="O5" s="4">
        <v>390</v>
      </c>
      <c r="P5" s="4">
        <v>3</v>
      </c>
      <c r="Q5" s="4">
        <v>4</v>
      </c>
      <c r="R5" s="4">
        <v>333</v>
      </c>
      <c r="S5" s="4">
        <v>5</v>
      </c>
      <c r="T5" s="4">
        <v>99999</v>
      </c>
      <c r="U5" s="4">
        <v>0</v>
      </c>
      <c r="V5" s="4">
        <f t="shared" ref="V5:V10" si="17">IF(Y5="",U5,U5*Y5)</f>
        <v>0</v>
      </c>
      <c r="W5" s="4">
        <v>285</v>
      </c>
      <c r="X5" s="4">
        <f t="shared" ref="X5:X10" si="18">IF(Y5="",W5,W5*Y5)</f>
        <v>285</v>
      </c>
      <c r="Y5" s="4"/>
      <c r="Z5" s="20">
        <f t="shared" si="1"/>
        <v>471</v>
      </c>
      <c r="AA5" s="6">
        <f t="shared" ref="AA5" si="19">1-X5/Z5</f>
        <v>0.39490445859872614</v>
      </c>
      <c r="AB5" s="4">
        <v>111.25</v>
      </c>
      <c r="AC5" s="4">
        <v>1911</v>
      </c>
      <c r="AD5" s="4">
        <f t="shared" si="3"/>
        <v>377</v>
      </c>
      <c r="AE5" s="4">
        <f t="shared" si="4"/>
        <v>438.55102040816325</v>
      </c>
      <c r="AF5" s="6">
        <f t="shared" si="5"/>
        <v>0.35013262599469497</v>
      </c>
      <c r="AG5" s="7">
        <v>470</v>
      </c>
      <c r="AH5" s="6">
        <f t="shared" si="6"/>
        <v>0.3936170212765957</v>
      </c>
      <c r="AI5" s="4">
        <f t="shared" si="7"/>
        <v>185</v>
      </c>
      <c r="AJ5" s="27"/>
      <c r="AK5" s="6"/>
      <c r="AL5" s="6"/>
      <c r="AM5" s="6" t="e">
        <f t="shared" si="8"/>
        <v>#DIV/0!</v>
      </c>
      <c r="AN5" s="6">
        <f t="shared" si="9"/>
        <v>1.1604938271604939</v>
      </c>
      <c r="AO5" s="6">
        <f t="shared" si="10"/>
        <v>1.1632653061224489</v>
      </c>
      <c r="AP5" s="4">
        <f t="shared" si="11"/>
        <v>453</v>
      </c>
      <c r="AQ5" s="4">
        <f t="shared" si="12"/>
        <v>3</v>
      </c>
      <c r="AR5" s="4">
        <f t="shared" si="12"/>
        <v>4</v>
      </c>
      <c r="AS5" s="4">
        <f t="shared" si="13"/>
        <v>386</v>
      </c>
      <c r="AT5" s="4">
        <f t="shared" si="14"/>
        <v>5</v>
      </c>
      <c r="AU5" s="4">
        <f t="shared" si="14"/>
        <v>99999</v>
      </c>
      <c r="AV5" s="4" t="s">
        <v>61</v>
      </c>
      <c r="AW5" s="4" t="s">
        <v>71</v>
      </c>
      <c r="AX5" s="4"/>
      <c r="AY5" s="4"/>
      <c r="AZ5" s="4" t="s">
        <v>76</v>
      </c>
      <c r="BA5" s="4">
        <v>324</v>
      </c>
      <c r="BB5" s="4">
        <v>377</v>
      </c>
      <c r="BC5" s="4">
        <v>377</v>
      </c>
      <c r="BD5" s="4">
        <v>377</v>
      </c>
      <c r="BE5" s="4">
        <f t="shared" si="15"/>
        <v>377</v>
      </c>
      <c r="BF5" s="18">
        <v>90</v>
      </c>
      <c r="BG5" s="18">
        <v>4</v>
      </c>
      <c r="BH5" s="18">
        <v>1</v>
      </c>
      <c r="BI5" s="16">
        <v>5</v>
      </c>
      <c r="BL5" t="s">
        <v>81</v>
      </c>
    </row>
    <row r="6" spans="1:64" x14ac:dyDescent="0.4">
      <c r="A6" s="3">
        <v>3</v>
      </c>
      <c r="B6" s="32">
        <v>605857</v>
      </c>
      <c r="C6" s="4" t="str">
        <f t="shared" si="16"/>
        <v>605857</v>
      </c>
      <c r="D6" s="4">
        <v>605857</v>
      </c>
      <c r="E6" s="4" t="s">
        <v>64</v>
      </c>
      <c r="F6" s="5">
        <v>4560126834706</v>
      </c>
      <c r="G6" s="5">
        <v>5</v>
      </c>
      <c r="H6" s="5"/>
      <c r="I6" s="5">
        <v>1</v>
      </c>
      <c r="J6" s="5">
        <v>1</v>
      </c>
      <c r="K6" s="4">
        <v>0</v>
      </c>
      <c r="L6" s="4">
        <v>405</v>
      </c>
      <c r="M6" s="4">
        <v>245</v>
      </c>
      <c r="N6" s="6">
        <f t="shared" si="0"/>
        <v>0.39506172839506171</v>
      </c>
      <c r="O6" s="4">
        <v>390</v>
      </c>
      <c r="P6" s="4">
        <v>3</v>
      </c>
      <c r="Q6" s="4">
        <v>4</v>
      </c>
      <c r="R6" s="4">
        <v>333</v>
      </c>
      <c r="S6" s="4">
        <v>5</v>
      </c>
      <c r="T6" s="4">
        <v>99999</v>
      </c>
      <c r="U6" s="4">
        <v>0</v>
      </c>
      <c r="V6" s="4">
        <f t="shared" si="17"/>
        <v>0</v>
      </c>
      <c r="W6" s="4">
        <v>285</v>
      </c>
      <c r="X6" s="4">
        <f t="shared" si="18"/>
        <v>285</v>
      </c>
      <c r="Y6" s="4"/>
      <c r="Z6" s="20">
        <f t="shared" si="1"/>
        <v>471</v>
      </c>
      <c r="AA6" s="6">
        <f t="shared" ref="AA6:AA10" si="20">1-X6/Z6</f>
        <v>0.39490445859872614</v>
      </c>
      <c r="AB6" s="4">
        <v>110.25</v>
      </c>
      <c r="AC6" s="4">
        <v>2036</v>
      </c>
      <c r="AD6" s="4">
        <f t="shared" si="3"/>
        <v>405</v>
      </c>
      <c r="AE6" s="4">
        <f t="shared" si="4"/>
        <v>471.12244897959181</v>
      </c>
      <c r="AF6" s="6">
        <f t="shared" si="5"/>
        <v>0.39506172839506171</v>
      </c>
      <c r="AG6" s="7">
        <v>470</v>
      </c>
      <c r="AH6" s="6">
        <f t="shared" si="6"/>
        <v>0.3936170212765957</v>
      </c>
      <c r="AI6" s="4">
        <f t="shared" si="7"/>
        <v>185</v>
      </c>
      <c r="AJ6" s="27"/>
      <c r="AK6" s="6"/>
      <c r="AL6" s="6"/>
      <c r="AM6" s="6" t="e">
        <f t="shared" si="8"/>
        <v>#DIV/0!</v>
      </c>
      <c r="AN6" s="6">
        <f t="shared" si="9"/>
        <v>1.1604938271604939</v>
      </c>
      <c r="AO6" s="6">
        <f t="shared" si="10"/>
        <v>1.1632653061224489</v>
      </c>
      <c r="AP6" s="4">
        <f t="shared" si="11"/>
        <v>453</v>
      </c>
      <c r="AQ6" s="4">
        <f t="shared" si="12"/>
        <v>3</v>
      </c>
      <c r="AR6" s="4">
        <f t="shared" si="12"/>
        <v>4</v>
      </c>
      <c r="AS6" s="4">
        <f t="shared" si="13"/>
        <v>386</v>
      </c>
      <c r="AT6" s="4">
        <f t="shared" si="14"/>
        <v>5</v>
      </c>
      <c r="AU6" s="4">
        <f t="shared" si="14"/>
        <v>99999</v>
      </c>
      <c r="AV6" s="4" t="s">
        <v>61</v>
      </c>
      <c r="AW6" s="4" t="s">
        <v>72</v>
      </c>
      <c r="AX6" s="4"/>
      <c r="AY6" s="4"/>
      <c r="AZ6" s="4" t="s">
        <v>76</v>
      </c>
      <c r="BA6" s="4">
        <v>324</v>
      </c>
      <c r="BB6" s="4">
        <v>405</v>
      </c>
      <c r="BC6" s="4">
        <v>405</v>
      </c>
      <c r="BD6" s="4">
        <v>405</v>
      </c>
      <c r="BE6" s="4">
        <f t="shared" ref="BE6:BE10" si="21">IF(AX6="",BD6,AX6/AY6*BD6)</f>
        <v>405</v>
      </c>
      <c r="BF6" s="18">
        <v>90</v>
      </c>
      <c r="BG6" s="18">
        <v>4</v>
      </c>
      <c r="BH6" s="18">
        <v>1</v>
      </c>
      <c r="BI6" s="16">
        <v>5</v>
      </c>
      <c r="BL6" t="s">
        <v>82</v>
      </c>
    </row>
    <row r="7" spans="1:64" x14ac:dyDescent="0.4">
      <c r="A7" s="3">
        <v>4</v>
      </c>
      <c r="B7" s="32">
        <v>605858</v>
      </c>
      <c r="C7" s="4" t="str">
        <f t="shared" si="16"/>
        <v>605858</v>
      </c>
      <c r="D7" s="4">
        <v>605858</v>
      </c>
      <c r="E7" s="4" t="s">
        <v>65</v>
      </c>
      <c r="F7" s="5">
        <v>4560126834713</v>
      </c>
      <c r="G7" s="5">
        <v>5</v>
      </c>
      <c r="H7" s="5"/>
      <c r="I7" s="5">
        <v>1</v>
      </c>
      <c r="J7" s="5">
        <v>1</v>
      </c>
      <c r="K7" s="4">
        <v>0</v>
      </c>
      <c r="L7" s="4">
        <v>405</v>
      </c>
      <c r="M7" s="4">
        <v>245</v>
      </c>
      <c r="N7" s="6">
        <f t="shared" si="0"/>
        <v>0.39506172839506171</v>
      </c>
      <c r="O7" s="4">
        <v>390</v>
      </c>
      <c r="P7" s="4">
        <v>3</v>
      </c>
      <c r="Q7" s="4">
        <v>4</v>
      </c>
      <c r="R7" s="4">
        <v>333</v>
      </c>
      <c r="S7" s="4">
        <v>5</v>
      </c>
      <c r="T7" s="4">
        <v>99999</v>
      </c>
      <c r="U7" s="4">
        <v>0</v>
      </c>
      <c r="V7" s="4">
        <f t="shared" si="17"/>
        <v>0</v>
      </c>
      <c r="W7" s="4">
        <v>285</v>
      </c>
      <c r="X7" s="4">
        <f t="shared" si="18"/>
        <v>285</v>
      </c>
      <c r="Y7" s="4"/>
      <c r="Z7" s="20">
        <f t="shared" si="1"/>
        <v>471</v>
      </c>
      <c r="AA7" s="6">
        <f t="shared" si="20"/>
        <v>0.39490445859872614</v>
      </c>
      <c r="AB7" s="4">
        <v>91.75</v>
      </c>
      <c r="AC7" s="4">
        <v>451</v>
      </c>
      <c r="AD7" s="4">
        <f t="shared" si="3"/>
        <v>360</v>
      </c>
      <c r="AE7" s="4">
        <f t="shared" si="4"/>
        <v>418.77551020408163</v>
      </c>
      <c r="AF7" s="6">
        <f t="shared" si="5"/>
        <v>0.31944444444444442</v>
      </c>
      <c r="AG7" s="7">
        <v>470</v>
      </c>
      <c r="AH7" s="6">
        <f t="shared" si="6"/>
        <v>0.3936170212765957</v>
      </c>
      <c r="AI7" s="4">
        <f t="shared" si="7"/>
        <v>185</v>
      </c>
      <c r="AJ7" s="27"/>
      <c r="AK7" s="6"/>
      <c r="AL7" s="6"/>
      <c r="AM7" s="6" t="e">
        <f t="shared" si="8"/>
        <v>#DIV/0!</v>
      </c>
      <c r="AN7" s="6">
        <f t="shared" si="9"/>
        <v>1.1604938271604939</v>
      </c>
      <c r="AO7" s="6">
        <f t="shared" si="10"/>
        <v>1.1632653061224489</v>
      </c>
      <c r="AP7" s="4">
        <f t="shared" si="11"/>
        <v>453</v>
      </c>
      <c r="AQ7" s="4">
        <f t="shared" si="12"/>
        <v>3</v>
      </c>
      <c r="AR7" s="4">
        <f t="shared" si="12"/>
        <v>4</v>
      </c>
      <c r="AS7" s="4">
        <f t="shared" si="13"/>
        <v>386</v>
      </c>
      <c r="AT7" s="4">
        <f t="shared" si="14"/>
        <v>5</v>
      </c>
      <c r="AU7" s="4">
        <f t="shared" si="14"/>
        <v>99999</v>
      </c>
      <c r="AV7" s="4" t="s">
        <v>61</v>
      </c>
      <c r="AW7" s="4" t="s">
        <v>73</v>
      </c>
      <c r="AX7" s="4"/>
      <c r="AY7" s="4"/>
      <c r="AZ7" s="4" t="s">
        <v>76</v>
      </c>
      <c r="BA7" s="4">
        <v>324</v>
      </c>
      <c r="BB7" s="4">
        <v>360</v>
      </c>
      <c r="BC7" s="4">
        <v>360</v>
      </c>
      <c r="BD7" s="4">
        <v>360</v>
      </c>
      <c r="BE7" s="4">
        <f t="shared" si="21"/>
        <v>360</v>
      </c>
      <c r="BF7" s="18">
        <v>90</v>
      </c>
      <c r="BG7" s="18">
        <v>4</v>
      </c>
      <c r="BH7" s="18">
        <v>1</v>
      </c>
      <c r="BI7" s="16">
        <v>5</v>
      </c>
      <c r="BL7" t="s">
        <v>83</v>
      </c>
    </row>
    <row r="8" spans="1:64" x14ac:dyDescent="0.4">
      <c r="A8" s="3">
        <v>5</v>
      </c>
      <c r="B8" s="32">
        <v>605859</v>
      </c>
      <c r="C8" s="4" t="str">
        <f t="shared" si="16"/>
        <v>605859</v>
      </c>
      <c r="D8" s="4">
        <v>605859</v>
      </c>
      <c r="E8" s="4" t="s">
        <v>66</v>
      </c>
      <c r="F8" s="5">
        <v>4560126834720</v>
      </c>
      <c r="G8" s="5">
        <v>5</v>
      </c>
      <c r="H8" s="5"/>
      <c r="I8" s="5">
        <v>1</v>
      </c>
      <c r="J8" s="5">
        <v>1</v>
      </c>
      <c r="K8" s="4">
        <v>0</v>
      </c>
      <c r="L8" s="4">
        <v>405</v>
      </c>
      <c r="M8" s="4">
        <v>245</v>
      </c>
      <c r="N8" s="6">
        <f t="shared" si="0"/>
        <v>0.39506172839506171</v>
      </c>
      <c r="O8" s="4">
        <v>390</v>
      </c>
      <c r="P8" s="4">
        <v>3</v>
      </c>
      <c r="Q8" s="4">
        <v>4</v>
      </c>
      <c r="R8" s="4">
        <v>333</v>
      </c>
      <c r="S8" s="4">
        <v>5</v>
      </c>
      <c r="T8" s="4">
        <v>99999</v>
      </c>
      <c r="U8" s="4">
        <v>0</v>
      </c>
      <c r="V8" s="4">
        <f t="shared" si="17"/>
        <v>0</v>
      </c>
      <c r="W8" s="4">
        <v>285</v>
      </c>
      <c r="X8" s="4">
        <f t="shared" si="18"/>
        <v>285</v>
      </c>
      <c r="Y8" s="4"/>
      <c r="Z8" s="20">
        <f t="shared" si="1"/>
        <v>471</v>
      </c>
      <c r="AA8" s="6">
        <f t="shared" si="20"/>
        <v>0.39490445859872614</v>
      </c>
      <c r="AB8" s="4">
        <v>99.75</v>
      </c>
      <c r="AC8" s="4">
        <v>1583</v>
      </c>
      <c r="AD8" s="4">
        <f t="shared" si="3"/>
        <v>360</v>
      </c>
      <c r="AE8" s="4">
        <f t="shared" si="4"/>
        <v>418.77551020408163</v>
      </c>
      <c r="AF8" s="6">
        <f t="shared" si="5"/>
        <v>0.31944444444444442</v>
      </c>
      <c r="AG8" s="7">
        <v>470</v>
      </c>
      <c r="AH8" s="6">
        <f t="shared" si="6"/>
        <v>0.3936170212765957</v>
      </c>
      <c r="AI8" s="4">
        <f t="shared" si="7"/>
        <v>185</v>
      </c>
      <c r="AJ8" s="27"/>
      <c r="AK8" s="6"/>
      <c r="AL8" s="6"/>
      <c r="AM8" s="6" t="e">
        <f t="shared" si="8"/>
        <v>#DIV/0!</v>
      </c>
      <c r="AN8" s="6">
        <f t="shared" si="9"/>
        <v>1.1604938271604939</v>
      </c>
      <c r="AO8" s="6">
        <f t="shared" si="10"/>
        <v>1.1632653061224489</v>
      </c>
      <c r="AP8" s="4">
        <f t="shared" si="11"/>
        <v>453</v>
      </c>
      <c r="AQ8" s="4">
        <f t="shared" si="12"/>
        <v>3</v>
      </c>
      <c r="AR8" s="4">
        <f t="shared" si="12"/>
        <v>4</v>
      </c>
      <c r="AS8" s="4">
        <f t="shared" si="13"/>
        <v>386</v>
      </c>
      <c r="AT8" s="4">
        <f t="shared" si="14"/>
        <v>5</v>
      </c>
      <c r="AU8" s="4">
        <f t="shared" si="14"/>
        <v>99999</v>
      </c>
      <c r="AV8" s="4" t="s">
        <v>61</v>
      </c>
      <c r="AW8" s="4" t="s">
        <v>74</v>
      </c>
      <c r="AX8" s="4"/>
      <c r="AY8" s="4"/>
      <c r="AZ8" s="4" t="s">
        <v>76</v>
      </c>
      <c r="BA8" s="4">
        <v>324</v>
      </c>
      <c r="BB8" s="4">
        <v>360</v>
      </c>
      <c r="BC8" s="4">
        <v>360</v>
      </c>
      <c r="BD8" s="4">
        <v>360</v>
      </c>
      <c r="BE8" s="4">
        <f t="shared" si="21"/>
        <v>360</v>
      </c>
      <c r="BF8" s="18">
        <v>90</v>
      </c>
      <c r="BG8" s="18">
        <v>4</v>
      </c>
      <c r="BH8" s="18">
        <v>1</v>
      </c>
      <c r="BI8" s="16">
        <v>5</v>
      </c>
      <c r="BL8" t="s">
        <v>84</v>
      </c>
    </row>
    <row r="9" spans="1:64" x14ac:dyDescent="0.4">
      <c r="A9" s="3">
        <v>6</v>
      </c>
      <c r="B9" s="32">
        <v>605855</v>
      </c>
      <c r="C9" s="4" t="str">
        <f t="shared" si="16"/>
        <v>605855</v>
      </c>
      <c r="D9" s="4">
        <v>605855</v>
      </c>
      <c r="E9" s="4" t="s">
        <v>67</v>
      </c>
      <c r="F9" s="5">
        <v>4560126834683</v>
      </c>
      <c r="G9" s="5">
        <v>5</v>
      </c>
      <c r="H9" s="5"/>
      <c r="I9" s="5">
        <v>1</v>
      </c>
      <c r="J9" s="5">
        <v>1</v>
      </c>
      <c r="K9" s="4">
        <v>0</v>
      </c>
      <c r="L9" s="4">
        <v>405</v>
      </c>
      <c r="M9" s="4">
        <v>245</v>
      </c>
      <c r="N9" s="6">
        <f t="shared" si="0"/>
        <v>0.39506172839506171</v>
      </c>
      <c r="O9" s="4">
        <v>390</v>
      </c>
      <c r="P9" s="4">
        <v>3</v>
      </c>
      <c r="Q9" s="4">
        <v>4</v>
      </c>
      <c r="R9" s="4">
        <v>333</v>
      </c>
      <c r="S9" s="4">
        <v>5</v>
      </c>
      <c r="T9" s="4">
        <v>99999</v>
      </c>
      <c r="U9" s="4">
        <v>0</v>
      </c>
      <c r="V9" s="4">
        <f t="shared" si="17"/>
        <v>0</v>
      </c>
      <c r="W9" s="4">
        <v>285</v>
      </c>
      <c r="X9" s="4">
        <f t="shared" si="18"/>
        <v>285</v>
      </c>
      <c r="Y9" s="4"/>
      <c r="Z9" s="20">
        <f t="shared" si="1"/>
        <v>471</v>
      </c>
      <c r="AA9" s="6">
        <f t="shared" si="20"/>
        <v>0.39490445859872614</v>
      </c>
      <c r="AB9" s="4">
        <v>239</v>
      </c>
      <c r="AC9" s="4">
        <v>770</v>
      </c>
      <c r="AD9" s="4">
        <f t="shared" si="3"/>
        <v>360</v>
      </c>
      <c r="AE9" s="4">
        <f t="shared" si="4"/>
        <v>418.77551020408163</v>
      </c>
      <c r="AF9" s="6">
        <f t="shared" si="5"/>
        <v>0.31944444444444442</v>
      </c>
      <c r="AG9" s="7">
        <v>470</v>
      </c>
      <c r="AH9" s="6">
        <f t="shared" si="6"/>
        <v>0.3936170212765957</v>
      </c>
      <c r="AI9" s="4">
        <f t="shared" si="7"/>
        <v>185</v>
      </c>
      <c r="AJ9" s="27"/>
      <c r="AK9" s="6"/>
      <c r="AL9" s="6"/>
      <c r="AM9" s="6" t="e">
        <f t="shared" si="8"/>
        <v>#DIV/0!</v>
      </c>
      <c r="AN9" s="6">
        <f t="shared" si="9"/>
        <v>1.1604938271604939</v>
      </c>
      <c r="AO9" s="6">
        <f t="shared" si="10"/>
        <v>1.1632653061224489</v>
      </c>
      <c r="AP9" s="4">
        <f t="shared" si="11"/>
        <v>453</v>
      </c>
      <c r="AQ9" s="4">
        <f t="shared" si="12"/>
        <v>3</v>
      </c>
      <c r="AR9" s="4">
        <f t="shared" si="12"/>
        <v>4</v>
      </c>
      <c r="AS9" s="4">
        <f t="shared" si="13"/>
        <v>386</v>
      </c>
      <c r="AT9" s="4">
        <f t="shared" si="14"/>
        <v>5</v>
      </c>
      <c r="AU9" s="4">
        <f t="shared" si="14"/>
        <v>99999</v>
      </c>
      <c r="AV9" s="4" t="s">
        <v>61</v>
      </c>
      <c r="AW9" s="4" t="s">
        <v>75</v>
      </c>
      <c r="AX9" s="4"/>
      <c r="AY9" s="4"/>
      <c r="AZ9" s="4" t="s">
        <v>76</v>
      </c>
      <c r="BA9" s="4">
        <v>324</v>
      </c>
      <c r="BB9" s="4">
        <v>360</v>
      </c>
      <c r="BC9" s="4">
        <v>360</v>
      </c>
      <c r="BD9" s="4">
        <v>360</v>
      </c>
      <c r="BE9" s="4">
        <f t="shared" si="21"/>
        <v>360</v>
      </c>
      <c r="BF9" s="18">
        <v>90</v>
      </c>
      <c r="BG9" s="18">
        <v>4</v>
      </c>
      <c r="BH9" s="18">
        <v>1</v>
      </c>
      <c r="BI9" s="16">
        <v>5</v>
      </c>
      <c r="BL9" t="s">
        <v>85</v>
      </c>
    </row>
    <row r="10" spans="1:64" x14ac:dyDescent="0.4">
      <c r="A10" s="3">
        <v>8</v>
      </c>
      <c r="B10" s="33" t="s">
        <v>68</v>
      </c>
      <c r="C10" s="4" t="str">
        <f t="shared" si="16"/>
        <v>8907AM</v>
      </c>
      <c r="D10" s="4" t="s">
        <v>68</v>
      </c>
      <c r="E10" s="4" t="s">
        <v>63</v>
      </c>
      <c r="F10" s="5">
        <v>4560126838568</v>
      </c>
      <c r="G10" s="5"/>
      <c r="H10" s="5"/>
      <c r="I10" s="5"/>
      <c r="J10" s="5"/>
      <c r="K10" s="4">
        <v>0</v>
      </c>
      <c r="L10" s="4">
        <v>298</v>
      </c>
      <c r="M10" s="4">
        <v>245</v>
      </c>
      <c r="N10" s="6">
        <f t="shared" si="0"/>
        <v>0.17785234899328861</v>
      </c>
      <c r="O10" s="4" t="s">
        <v>69</v>
      </c>
      <c r="P10" s="4" t="s">
        <v>69</v>
      </c>
      <c r="Q10" s="4" t="s">
        <v>69</v>
      </c>
      <c r="R10" s="4" t="s">
        <v>69</v>
      </c>
      <c r="S10" s="4" t="s">
        <v>69</v>
      </c>
      <c r="T10" s="4" t="s">
        <v>69</v>
      </c>
      <c r="U10" s="4">
        <v>0</v>
      </c>
      <c r="V10" s="4">
        <f t="shared" si="17"/>
        <v>0</v>
      </c>
      <c r="W10" s="4">
        <v>285</v>
      </c>
      <c r="X10" s="4">
        <f t="shared" si="18"/>
        <v>285</v>
      </c>
      <c r="Y10" s="4"/>
      <c r="Z10" s="20">
        <f t="shared" si="1"/>
        <v>347</v>
      </c>
      <c r="AA10" s="6">
        <f t="shared" si="20"/>
        <v>0.17867435158501443</v>
      </c>
      <c r="AB10" s="4">
        <v>0</v>
      </c>
      <c r="AC10" s="4">
        <v>0</v>
      </c>
      <c r="AD10" s="4">
        <f t="shared" si="3"/>
        <v>377</v>
      </c>
      <c r="AE10" s="4">
        <f t="shared" si="4"/>
        <v>438.55102040816325</v>
      </c>
      <c r="AF10" s="6">
        <f t="shared" si="5"/>
        <v>0.35013262599469497</v>
      </c>
      <c r="AG10" s="7">
        <v>470</v>
      </c>
      <c r="AH10" s="6">
        <f t="shared" si="6"/>
        <v>0.3936170212765957</v>
      </c>
      <c r="AI10" s="4">
        <f t="shared" si="7"/>
        <v>185</v>
      </c>
      <c r="AJ10" s="27"/>
      <c r="AK10" s="6"/>
      <c r="AL10" s="6"/>
      <c r="AM10" s="6" t="e">
        <f t="shared" si="8"/>
        <v>#DIV/0!</v>
      </c>
      <c r="AN10" s="6">
        <f t="shared" si="9"/>
        <v>1.5771812080536913</v>
      </c>
      <c r="AO10" s="6">
        <f t="shared" si="10"/>
        <v>1.1632653061224489</v>
      </c>
      <c r="AP10" s="4" t="str">
        <f t="shared" si="11"/>
        <v>-</v>
      </c>
      <c r="AQ10" s="4" t="str">
        <f t="shared" si="12"/>
        <v>-</v>
      </c>
      <c r="AR10" s="4" t="str">
        <f t="shared" si="12"/>
        <v>-</v>
      </c>
      <c r="AS10" s="4" t="str">
        <f t="shared" si="13"/>
        <v>-</v>
      </c>
      <c r="AT10" s="4" t="str">
        <f t="shared" si="14"/>
        <v>-</v>
      </c>
      <c r="AU10" s="4" t="str">
        <f t="shared" si="14"/>
        <v>-</v>
      </c>
      <c r="AV10" s="4">
        <v>0</v>
      </c>
      <c r="AW10" s="4" t="s">
        <v>71</v>
      </c>
      <c r="AX10" s="4"/>
      <c r="AY10" s="4"/>
      <c r="AZ10" s="4" t="s">
        <v>76</v>
      </c>
      <c r="BA10" s="4">
        <v>324</v>
      </c>
      <c r="BB10" s="4">
        <v>377</v>
      </c>
      <c r="BC10" s="4">
        <v>377</v>
      </c>
      <c r="BD10" s="4">
        <v>377</v>
      </c>
      <c r="BE10" s="4">
        <f t="shared" si="21"/>
        <v>377</v>
      </c>
      <c r="BF10" s="18">
        <v>90</v>
      </c>
      <c r="BG10" s="18">
        <v>4</v>
      </c>
      <c r="BH10" s="18">
        <v>1</v>
      </c>
      <c r="BI10" s="16">
        <v>5</v>
      </c>
      <c r="BL10" t="s">
        <v>81</v>
      </c>
    </row>
  </sheetData>
  <autoFilter ref="A3:BL3" xr:uid="{7A1660CF-9003-4B2D-B659-7F339ED5B476}"/>
  <mergeCells count="3">
    <mergeCell ref="K2:N2"/>
    <mergeCell ref="I2:J2"/>
    <mergeCell ref="U1:X1"/>
  </mergeCells>
  <phoneticPr fontId="2"/>
  <conditionalFormatting sqref="AD4:AD10">
    <cfRule type="cellIs" dxfId="3" priority="6" operator="lessThan">
      <formula>$Z4</formula>
    </cfRule>
  </conditionalFormatting>
  <conditionalFormatting sqref="AG4:AG10">
    <cfRule type="cellIs" dxfId="2" priority="5" operator="greaterThan">
      <formula>$V4</formula>
    </cfRule>
  </conditionalFormatting>
  <conditionalFormatting sqref="BB4:BB10">
    <cfRule type="cellIs" dxfId="1" priority="2" operator="notEqual">
      <formula>$BA4</formula>
    </cfRule>
  </conditionalFormatting>
  <conditionalFormatting sqref="BD4:BD10">
    <cfRule type="cellIs" dxfId="0" priority="1" operator="notEqual">
      <formula>$BB4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2026-07-09T01:03:35Z</dcterms:modified>
</cp:coreProperties>
</file>