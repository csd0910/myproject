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ｻ_サンナップ_466\価格改定\20260629_8月末\"/>
    </mc:Choice>
  </mc:AlternateContent>
  <xr:revisionPtr revIDLastSave="0" documentId="13_ncr:1_{FB75E62E-17C4-4EA3-A6F9-279FF819E1EA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5" i="1" l="1"/>
  <c r="BC6" i="1"/>
  <c r="BC7" i="1"/>
  <c r="BC8" i="1"/>
  <c r="BC9" i="1"/>
  <c r="BC10" i="1"/>
  <c r="BC11" i="1"/>
  <c r="BA5" i="1"/>
  <c r="BA6" i="1"/>
  <c r="BA7" i="1"/>
  <c r="BA8" i="1"/>
  <c r="BA9" i="1"/>
  <c r="BA10" i="1"/>
  <c r="BA11" i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O4" i="1"/>
  <c r="AN4" i="1"/>
  <c r="O7" i="1"/>
  <c r="AK11" i="1"/>
  <c r="AK4" i="1"/>
  <c r="O5" i="1"/>
  <c r="O6" i="1"/>
  <c r="O8" i="1"/>
  <c r="O9" i="1"/>
  <c r="O10" i="1"/>
  <c r="O11" i="1"/>
  <c r="AK5" i="1"/>
  <c r="AK6" i="1"/>
  <c r="AK7" i="1"/>
  <c r="AK8" i="1"/>
  <c r="AK9" i="1"/>
  <c r="AK10" i="1"/>
  <c r="O4" i="1" l="1"/>
  <c r="AM4" i="1"/>
  <c r="AV5" i="1" l="1"/>
  <c r="AA5" i="1" s="1"/>
  <c r="AV6" i="1"/>
  <c r="AA6" i="1" s="1"/>
  <c r="AV7" i="1"/>
  <c r="AA7" i="1" s="1"/>
  <c r="AV9" i="1"/>
  <c r="AA9" i="1" s="1"/>
  <c r="AV10" i="1"/>
  <c r="AA10" i="1" s="1"/>
  <c r="AV11" i="1"/>
  <c r="AA11" i="1" s="1"/>
  <c r="AV4" i="1"/>
  <c r="AA4" i="1" s="1"/>
  <c r="V5" i="1"/>
  <c r="AL5" i="1" s="1"/>
  <c r="V6" i="1"/>
  <c r="AL6" i="1" s="1"/>
  <c r="V7" i="1"/>
  <c r="AL7" i="1" s="1"/>
  <c r="AB7" i="1" s="1"/>
  <c r="AC7" i="1" s="1"/>
  <c r="V8" i="1"/>
  <c r="AL8" i="1" s="1"/>
  <c r="V9" i="1"/>
  <c r="AL9" i="1" s="1"/>
  <c r="V10" i="1"/>
  <c r="AL10" i="1" s="1"/>
  <c r="V11" i="1"/>
  <c r="AL11" i="1" s="1"/>
  <c r="T5" i="1"/>
  <c r="AJ5" i="1" s="1"/>
  <c r="T6" i="1"/>
  <c r="AJ6" i="1" s="1"/>
  <c r="T7" i="1"/>
  <c r="AJ7" i="1" s="1"/>
  <c r="T8" i="1"/>
  <c r="AJ8" i="1" s="1"/>
  <c r="T9" i="1"/>
  <c r="AJ9" i="1" s="1"/>
  <c r="T10" i="1"/>
  <c r="AJ10" i="1" s="1"/>
  <c r="T11" i="1"/>
  <c r="AJ11" i="1" s="1"/>
  <c r="D5" i="1"/>
  <c r="D6" i="1"/>
  <c r="D7" i="1"/>
  <c r="D8" i="1"/>
  <c r="D9" i="1"/>
  <c r="D10" i="1"/>
  <c r="D11" i="1"/>
  <c r="D4" i="1"/>
  <c r="V4" i="1"/>
  <c r="AL4" i="1" s="1"/>
  <c r="T4" i="1"/>
  <c r="AJ4" i="1" s="1"/>
  <c r="AV8" i="1"/>
  <c r="AA8" i="1" s="1"/>
  <c r="AB11" i="1" l="1"/>
  <c r="AC11" i="1" s="1"/>
  <c r="AB5" i="1"/>
  <c r="AC5" i="1" s="1"/>
  <c r="X5" i="1"/>
  <c r="Y5" i="1" s="1"/>
  <c r="AB9" i="1"/>
  <c r="AC9" i="1" s="1"/>
  <c r="AB6" i="1"/>
  <c r="AC6" i="1" s="1"/>
  <c r="AB10" i="1"/>
  <c r="AC10" i="1" s="1"/>
  <c r="AB4" i="1"/>
  <c r="AC4" i="1" s="1"/>
  <c r="BA4" i="1"/>
  <c r="BC4" i="1"/>
  <c r="AB8" i="1"/>
  <c r="AC8" i="1" s="1"/>
  <c r="AE5" i="1"/>
  <c r="AF10" i="1"/>
  <c r="AE4" i="1"/>
  <c r="AE9" i="1"/>
  <c r="AF8" i="1"/>
  <c r="AF11" i="1"/>
  <c r="AF7" i="1"/>
  <c r="X6" i="1"/>
  <c r="Y6" i="1" s="1"/>
  <c r="X10" i="1"/>
  <c r="Y10" i="1" s="1"/>
  <c r="X8" i="1"/>
  <c r="Y8" i="1" s="1"/>
  <c r="AF6" i="1"/>
  <c r="AE11" i="1"/>
  <c r="AE10" i="1"/>
  <c r="AE8" i="1"/>
  <c r="X11" i="1"/>
  <c r="Y11" i="1" s="1"/>
  <c r="AF9" i="1"/>
  <c r="X9" i="1"/>
  <c r="Y9" i="1" s="1"/>
  <c r="AE7" i="1"/>
  <c r="AF5" i="1"/>
  <c r="X7" i="1"/>
  <c r="Y7" i="1" s="1"/>
  <c r="AE6" i="1"/>
  <c r="AH4" i="1"/>
  <c r="AI4" i="1"/>
  <c r="AF4" i="1"/>
  <c r="X4" i="1"/>
  <c r="Y4" i="1" s="1"/>
</calcChain>
</file>

<file path=xl/sharedStrings.xml><?xml version="1.0" encoding="utf-8"?>
<sst xmlns="http://schemas.openxmlformats.org/spreadsheetml/2006/main" count="131" uniqueCount="80">
  <si>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</si>
  <si>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</si>
  <si>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</si>
  <si>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</si>
  <si>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</si>
  <si>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</si>
  <si>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</si>
  <si>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</si>
  <si>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</si>
  <si>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</si>
  <si>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</si>
  <si>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</si>
  <si>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</si>
  <si>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</si>
  <si>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</si>
  <si>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</si>
  <si>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</si>
  <si>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</si>
  <si>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</si>
  <si>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</si>
  <si>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</si>
  <si>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</si>
  <si>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</si>
  <si>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</si>
  <si>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</si>
  <si>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</si>
  <si>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</si>
  <si>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</si>
  <si>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</si>
  <si>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</si>
  <si>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</si>
  <si>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</si>
  <si>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</si>
  <si>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</si>
  <si>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</si>
  <si>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</si>
  <si>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</si>
  <si>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</si>
  <si>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</si>
  <si>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</si>
  <si>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</si>
  <si>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</si>
  <si>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</si>
  <si>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</si>
  <si>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</si>
  <si>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</si>
  <si>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</si>
  <si>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</si>
  <si>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</si>
  <si>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</si>
  <si>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</si>
  <si>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</si>
  <si>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</si>
  <si>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</si>
  <si>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</si>
  <si>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</si>
  <si>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</si>
  <si>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</si>
  <si>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34/575</t>
  </si>
  <si>
    <t>ｻﾝﾅｯﾌﾟ/不織布ﾊﾞｯｸﾞ ﾎﾞﾀﾝ付 小 10枚 ﾌﾞﾗｳﾝ/FBB-Y32BRN</t>
  </si>
  <si>
    <t>ｻﾝﾅｯﾌﾟ/不織布ﾊﾞｯｸﾞ ﾎﾞﾀﾝ付 中 10枚 ﾌﾞﾗｳﾝ/FBB-Y45BRN</t>
  </si>
  <si>
    <t>ｻﾝﾅｯﾌﾟ/不織布ﾊﾞｯｸﾞﾏﾁ付 小 ﾀﾞｰｸﾌﾞﾙｰ 10枚入/FBH-33DB</t>
  </si>
  <si>
    <t>ｻﾝﾅｯﾌﾟ/不織布ﾊﾞｯｸﾞﾏﾁ付 小 ﾌﾞﾗｯｸ 10枚入/FBH-33BK</t>
  </si>
  <si>
    <t>ｻﾝﾅｯﾌﾟ/不織布ﾊﾞｯｸﾞﾏﾁ付 小 ﾌﾞﾗｳﾝ 10枚入/FBH-33BR</t>
  </si>
  <si>
    <t>ｻﾝﾅｯﾌﾟ/不織布ﾊﾞｯｸﾞﾏﾁ付 中 ﾀﾞｰｸﾌﾞﾙｰ 10枚入/FBH-45DB</t>
  </si>
  <si>
    <t>ｻﾝﾅｯﾌﾟ/不織布ﾊﾞｯｸﾞﾏﾁ付 中 ﾌﾞﾗｯｸ 10枚入/FBH-45BK</t>
  </si>
  <si>
    <t>ｻﾝﾅｯﾌﾟ/不織布ﾊﾞｯｸﾞﾏﾁ付 中 ﾌﾞﾗｳﾝ 10枚入/FBH-45BR</t>
  </si>
  <si>
    <t>-</t>
  </si>
  <si>
    <t>VDあり</t>
    <phoneticPr fontId="2"/>
  </si>
  <si>
    <t>サンナップ　ボタンどめ不織布ライトバッグ横タイプ　小A4横　幅320×高さ240×マチ幅90ｍｍ　1袋（10枚入）【不織布手提げ袋】</t>
  </si>
  <si>
    <t>サンナップ　ボタンどめ不織布ライトバッグ横タイプ　中A3横　幅450×高さ320×マチ幅110ｍｍ　1袋（10枚入）【不織布手提げ袋】</t>
  </si>
  <si>
    <t>サンナップ 不織布バッグマチ付 小10枚 ブラック FBH-33BK 1袋</t>
  </si>
  <si>
    <t>2871328</t>
  </si>
  <si>
    <t>1袋（10枚入）</t>
  </si>
  <si>
    <t>2871408</t>
  </si>
  <si>
    <t>WW49060</t>
  </si>
  <si>
    <t>1袋</t>
  </si>
  <si>
    <t>6月
たの</t>
    <rPh sb="1" eb="2">
      <t>ガツ</t>
    </rPh>
    <phoneticPr fontId="2"/>
  </si>
  <si>
    <t>6月
カウ</t>
    <rPh sb="1" eb="2">
      <t>ガツ</t>
    </rPh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</si>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</sst>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0" fontId="3" fillId="0" borderId="0" xfId="0" applyFont="1">
      <alignment vertical="center"/>
    </xf>
    <xf numFmtId="177" fontId="0" fillId="6" borderId="4" xfId="0" applyNumberFormat="1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D11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5" customWidth="1" collapsed="1"/>
    <col min="20" max="22" width="7.625" customWidth="1"/>
    <col min="23" max="23" width="4.375" customWidth="1" collapsed="1"/>
    <col min="24" max="25" width="7.625" customWidth="1"/>
    <col min="26" max="26" width="6.125" style="30" customWidth="1"/>
    <col min="27" max="27" width="7.625" customWidth="1"/>
    <col min="28" max="28" width="7.625" style="30" customWidth="1"/>
    <col min="29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hidden="1" customWidth="1" outlineLevel="1"/>
    <col min="42" max="42" width="7.625" customWidth="1" collapsed="1"/>
    <col min="43" max="51" width="7.625" hidden="1" customWidth="1"/>
    <col min="52" max="55" width="7.625" customWidth="1"/>
  </cols>
  <sheetData>
    <row r="1" spans="1:56" x14ac:dyDescent="0.4">
      <c r="C1" s="29" t="s">
        <v>37</v>
      </c>
      <c r="S1" s="43" t="s">
        <v>34</v>
      </c>
      <c r="T1" s="44"/>
      <c r="U1" s="44"/>
      <c r="V1" s="45"/>
      <c r="AL1" s="47" t="s">
        <v>68</v>
      </c>
    </row>
    <row r="2" spans="1:56" x14ac:dyDescent="0.4">
      <c r="C2" s="8" t="s">
        <v>22</v>
      </c>
      <c r="D2" s="9" t="s">
        <v>23</v>
      </c>
      <c r="E2" s="9" t="s">
        <v>24</v>
      </c>
      <c r="F2" s="10"/>
      <c r="G2" s="10"/>
      <c r="H2" s="36"/>
      <c r="I2" s="36"/>
      <c r="J2" s="40" t="s">
        <v>25</v>
      </c>
      <c r="K2" s="42"/>
      <c r="L2" s="40" t="s">
        <v>1</v>
      </c>
      <c r="M2" s="41"/>
      <c r="N2" s="41"/>
      <c r="O2" s="42"/>
      <c r="P2" s="11"/>
      <c r="Q2" s="35"/>
      <c r="R2" s="35"/>
      <c r="S2" s="23"/>
      <c r="T2" s="24" t="s">
        <v>28</v>
      </c>
      <c r="U2" s="24"/>
      <c r="V2" s="25" t="s">
        <v>28</v>
      </c>
      <c r="W2" s="10"/>
      <c r="X2" s="9" t="s">
        <v>33</v>
      </c>
      <c r="Y2" s="11"/>
      <c r="Z2" s="31"/>
      <c r="AA2" s="11"/>
      <c r="AB2" s="31"/>
      <c r="AC2" s="11"/>
      <c r="AD2" s="22" t="s">
        <v>35</v>
      </c>
      <c r="AE2" s="11"/>
      <c r="AF2" s="11"/>
      <c r="AG2" s="27"/>
      <c r="AH2" s="11"/>
      <c r="AI2" s="11"/>
      <c r="AJ2" s="11"/>
      <c r="AK2" s="11"/>
      <c r="AL2" s="11"/>
      <c r="AM2" s="11"/>
      <c r="AN2" s="11"/>
      <c r="AO2" s="11"/>
      <c r="AP2">
        <v>51</v>
      </c>
      <c r="AW2">
        <v>14</v>
      </c>
      <c r="AX2">
        <v>28</v>
      </c>
    </row>
    <row r="3" spans="1:56" ht="75" x14ac:dyDescent="0.4">
      <c r="A3" s="1" t="s">
        <v>43</v>
      </c>
      <c r="B3" s="1" t="s">
        <v>48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45</v>
      </c>
      <c r="I3" s="12" t="s">
        <v>46</v>
      </c>
      <c r="J3" s="12" t="s">
        <v>19</v>
      </c>
      <c r="K3" s="12" t="s">
        <v>20</v>
      </c>
      <c r="L3" s="12" t="s">
        <v>56</v>
      </c>
      <c r="M3" s="2" t="s">
        <v>5</v>
      </c>
      <c r="N3" s="2" t="s">
        <v>54</v>
      </c>
      <c r="O3" s="2" t="s">
        <v>13</v>
      </c>
      <c r="P3" s="12" t="s">
        <v>41</v>
      </c>
      <c r="Q3" s="12" t="s">
        <v>17</v>
      </c>
      <c r="R3" s="12" t="s">
        <v>18</v>
      </c>
      <c r="S3" s="12" t="s">
        <v>52</v>
      </c>
      <c r="T3" s="12" t="s">
        <v>53</v>
      </c>
      <c r="U3" s="2" t="s">
        <v>54</v>
      </c>
      <c r="V3" s="12" t="s">
        <v>55</v>
      </c>
      <c r="W3" s="14" t="s">
        <v>3</v>
      </c>
      <c r="X3" s="20" t="s">
        <v>14</v>
      </c>
      <c r="Y3" s="2" t="s">
        <v>13</v>
      </c>
      <c r="Z3" s="32" t="s">
        <v>38</v>
      </c>
      <c r="AA3" s="12" t="s">
        <v>57</v>
      </c>
      <c r="AB3" s="37" t="s">
        <v>47</v>
      </c>
      <c r="AC3" s="2" t="s">
        <v>13</v>
      </c>
      <c r="AD3" s="13" t="s">
        <v>26</v>
      </c>
      <c r="AE3" s="2" t="s">
        <v>13</v>
      </c>
      <c r="AF3" s="2" t="s">
        <v>27</v>
      </c>
      <c r="AG3" s="26" t="s">
        <v>29</v>
      </c>
      <c r="AH3" s="12" t="s">
        <v>30</v>
      </c>
      <c r="AI3" s="12" t="s">
        <v>31</v>
      </c>
      <c r="AJ3" s="12" t="s">
        <v>21</v>
      </c>
      <c r="AK3" s="12" t="s">
        <v>32</v>
      </c>
      <c r="AL3" s="12" t="s">
        <v>15</v>
      </c>
      <c r="AM3" s="12" t="s">
        <v>16</v>
      </c>
      <c r="AN3" s="12" t="s">
        <v>17</v>
      </c>
      <c r="AO3" s="12" t="s">
        <v>18</v>
      </c>
      <c r="AP3" s="2" t="s">
        <v>8</v>
      </c>
      <c r="AQ3" s="2" t="s">
        <v>9</v>
      </c>
      <c r="AR3" s="2" t="s">
        <v>10</v>
      </c>
      <c r="AS3" s="2" t="s">
        <v>11</v>
      </c>
      <c r="AT3" s="12" t="s">
        <v>36</v>
      </c>
      <c r="AU3" s="2" t="s">
        <v>49</v>
      </c>
      <c r="AV3" s="2" t="s">
        <v>12</v>
      </c>
      <c r="AW3" s="18" t="s">
        <v>39</v>
      </c>
      <c r="AX3" s="18" t="s">
        <v>40</v>
      </c>
      <c r="AY3" s="15" t="s">
        <v>44</v>
      </c>
      <c r="AZ3" s="38" t="s">
        <v>77</v>
      </c>
      <c r="BA3" s="39" t="s">
        <v>50</v>
      </c>
      <c r="BB3" s="39" t="s">
        <v>78</v>
      </c>
      <c r="BC3" s="39" t="s">
        <v>51</v>
      </c>
      <c r="BD3" s="34" t="s">
        <v>42</v>
      </c>
    </row>
    <row r="4" spans="1:56" x14ac:dyDescent="0.4">
      <c r="A4" s="3">
        <v>1</v>
      </c>
      <c r="B4" s="3">
        <v>1</v>
      </c>
      <c r="C4" s="4">
        <v>170178</v>
      </c>
      <c r="D4" s="4" t="str">
        <f>TEXT(C4,"000000")</f>
        <v>170178</v>
      </c>
      <c r="E4" s="4">
        <v>170178</v>
      </c>
      <c r="F4" s="4" t="s">
        <v>59</v>
      </c>
      <c r="G4" s="5">
        <v>4901627063996</v>
      </c>
      <c r="H4" s="5"/>
      <c r="I4" s="5"/>
      <c r="J4" s="5">
        <v>1</v>
      </c>
      <c r="K4" s="5">
        <v>1</v>
      </c>
      <c r="L4" s="4">
        <v>0</v>
      </c>
      <c r="M4" s="4">
        <v>1050</v>
      </c>
      <c r="N4" s="4">
        <v>786</v>
      </c>
      <c r="O4" s="6">
        <f>IFERROR(1-N4/M4,"-")</f>
        <v>0.25142857142857145</v>
      </c>
      <c r="P4" s="4" t="s">
        <v>67</v>
      </c>
      <c r="Q4" s="4" t="s">
        <v>67</v>
      </c>
      <c r="R4" s="4" t="s">
        <v>67</v>
      </c>
      <c r="S4" s="4">
        <v>0</v>
      </c>
      <c r="T4" s="4">
        <f>IF(W4="",S4,S4*W4)</f>
        <v>0</v>
      </c>
      <c r="U4" s="4">
        <v>838</v>
      </c>
      <c r="V4" s="4">
        <f>IF(W4="",U4,U4*W4)</f>
        <v>838</v>
      </c>
      <c r="W4" s="4"/>
      <c r="X4" s="21">
        <f>ROUND(M4*AL4,0)</f>
        <v>1119</v>
      </c>
      <c r="Y4" s="6">
        <f>IFERROR(1-V4/X4,"-")</f>
        <v>0.2511170688114388</v>
      </c>
      <c r="Z4" s="33">
        <v>3.25</v>
      </c>
      <c r="AA4" s="4">
        <f>AV4</f>
        <v>1119</v>
      </c>
      <c r="AB4" s="33">
        <f>IFERROR(AA4*AL4,"-")</f>
        <v>1193.030534351145</v>
      </c>
      <c r="AC4" s="6">
        <f>IFERROR(1-V4/AB4,"-")</f>
        <v>0.2975871313672922</v>
      </c>
      <c r="AD4" s="7">
        <v>1193</v>
      </c>
      <c r="AE4" s="6">
        <f t="shared" ref="AE4:AE11" si="0">1-V4/AD4</f>
        <v>0.29756915339480305</v>
      </c>
      <c r="AF4" s="4">
        <f t="shared" ref="AF4:AF11" si="1">AD4-V4</f>
        <v>355</v>
      </c>
      <c r="AG4" s="28"/>
      <c r="AH4" s="6" t="e">
        <f>1-V4/AG4</f>
        <v>#DIV/0!</v>
      </c>
      <c r="AI4" s="4">
        <f>AG4-V4</f>
        <v>-838</v>
      </c>
      <c r="AJ4" s="6" t="str">
        <f>IFERROR(T4/L4,"-")</f>
        <v>-</v>
      </c>
      <c r="AK4" s="6">
        <f>IFERROR(AD4/M4,"-")</f>
        <v>1.1361904761904762</v>
      </c>
      <c r="AL4" s="6">
        <f>IFERROR(V4/N4,"-")</f>
        <v>1.0661577608142494</v>
      </c>
      <c r="AM4" s="4" t="str">
        <f>IFERROR(ROUND($AD4*P4/$M4,0),"-")</f>
        <v>-</v>
      </c>
      <c r="AN4" s="4" t="str">
        <f>IF(Q4="","-",Q4)</f>
        <v>-</v>
      </c>
      <c r="AO4" s="4" t="str">
        <f>IF(R4="","-",R4)</f>
        <v>-</v>
      </c>
      <c r="AP4" s="4">
        <v>0</v>
      </c>
      <c r="AQ4" s="4" t="s">
        <v>72</v>
      </c>
      <c r="AR4" s="4"/>
      <c r="AS4" s="4"/>
      <c r="AT4" s="4" t="s">
        <v>73</v>
      </c>
      <c r="AU4" s="4">
        <v>1119</v>
      </c>
      <c r="AV4" s="4">
        <f t="shared" ref="AV4:AV5" si="2">IF(AR4="",AU4,AR4/AS4*AU4)</f>
        <v>1119</v>
      </c>
      <c r="AW4" s="19">
        <v>4</v>
      </c>
      <c r="AX4" s="19">
        <v>1</v>
      </c>
      <c r="AY4" s="16">
        <v>18</v>
      </c>
      <c r="AZ4" t="s">
        <v>79</v>
      </c>
      <c r="BA4" t="str">
        <f>IFERROR(AZ4*AL4,"-")</f>
        <v>-</v>
      </c>
      <c r="BB4">
        <v>2138</v>
      </c>
      <c r="BC4">
        <f>IFERROR(BB4*AL4,"-")</f>
        <v>2279.4452926208651</v>
      </c>
      <c r="BD4" t="s">
        <v>69</v>
      </c>
    </row>
    <row r="5" spans="1:56" x14ac:dyDescent="0.4">
      <c r="A5" s="46">
        <v>2</v>
      </c>
      <c r="B5" s="3">
        <v>2</v>
      </c>
      <c r="C5" s="4">
        <v>170179</v>
      </c>
      <c r="D5" s="4" t="str">
        <f t="shared" ref="D5:D11" si="3">TEXT(C5,"000000")</f>
        <v>170179</v>
      </c>
      <c r="E5" s="4">
        <v>170179</v>
      </c>
      <c r="F5" s="4" t="s">
        <v>60</v>
      </c>
      <c r="G5" s="5">
        <v>4901627064009</v>
      </c>
      <c r="H5" s="5"/>
      <c r="I5" s="5"/>
      <c r="J5" s="5">
        <v>1</v>
      </c>
      <c r="K5" s="5">
        <v>1</v>
      </c>
      <c r="L5" s="4">
        <v>0</v>
      </c>
      <c r="M5" s="4">
        <v>1798</v>
      </c>
      <c r="N5" s="4">
        <v>943</v>
      </c>
      <c r="O5" s="6">
        <f t="shared" ref="O5:O11" si="4">IFERROR(1-N5/M5,"-")</f>
        <v>0.47552836484983318</v>
      </c>
      <c r="P5" s="4" t="s">
        <v>67</v>
      </c>
      <c r="Q5" s="4" t="s">
        <v>67</v>
      </c>
      <c r="R5" s="4" t="s">
        <v>67</v>
      </c>
      <c r="S5" s="4">
        <v>0</v>
      </c>
      <c r="T5" s="4">
        <f t="shared" ref="T5:T11" si="5">IF(W5="",S5,S5*W5)</f>
        <v>0</v>
      </c>
      <c r="U5" s="4">
        <v>1005</v>
      </c>
      <c r="V5" s="4">
        <f t="shared" ref="V5:V11" si="6">IF(W5="",U5,U5*W5)</f>
        <v>1005</v>
      </c>
      <c r="W5" s="4"/>
      <c r="X5" s="21">
        <f>ROUND(M5*AL5,0)</f>
        <v>1916</v>
      </c>
      <c r="Y5" s="6">
        <f t="shared" ref="Y5:Y11" si="7">IFERROR(1-V5/X5,"-")</f>
        <v>0.47546972860125258</v>
      </c>
      <c r="Z5" s="33">
        <v>1</v>
      </c>
      <c r="AA5" s="4">
        <f t="shared" ref="AA5:AA11" si="8">AV5</f>
        <v>1800</v>
      </c>
      <c r="AB5" s="33">
        <f t="shared" ref="AB5:AB11" si="9">IFERROR(AA5*AL5,"-")</f>
        <v>1918.3457051961825</v>
      </c>
      <c r="AC5" s="6">
        <f t="shared" ref="AC5:AC11" si="10">IFERROR(1-V5/AB5,"-")</f>
        <v>0.47611111111111115</v>
      </c>
      <c r="AD5" s="7">
        <v>1917</v>
      </c>
      <c r="AE5" s="48">
        <f t="shared" si="0"/>
        <v>0.47574334898278559</v>
      </c>
      <c r="AF5" s="4">
        <f t="shared" si="1"/>
        <v>912</v>
      </c>
      <c r="AG5" s="28"/>
      <c r="AH5" s="6"/>
      <c r="AI5" s="6"/>
      <c r="AJ5" s="6" t="str">
        <f>IFERROR(T5/L5,"-")</f>
        <v>-</v>
      </c>
      <c r="AK5" s="6">
        <f>IFERROR(AD5/M5,"-")</f>
        <v>1.0661846496106786</v>
      </c>
      <c r="AL5" s="6">
        <f>IFERROR(V5/N5,"-")</f>
        <v>1.0657476139978792</v>
      </c>
      <c r="AM5" s="4" t="str">
        <f t="shared" ref="AM5:AM11" si="11">IFERROR(ROUND($AD5*P5/$M5,0),"-")</f>
        <v>-</v>
      </c>
      <c r="AN5" s="4" t="str">
        <f t="shared" ref="AN5:AN11" si="12">IF(Q5="","-",Q5)</f>
        <v>-</v>
      </c>
      <c r="AO5" s="4" t="str">
        <f t="shared" ref="AO5:AO11" si="13">IF(R5="","-",R5)</f>
        <v>-</v>
      </c>
      <c r="AP5" s="4">
        <v>0</v>
      </c>
      <c r="AQ5" s="4" t="s">
        <v>74</v>
      </c>
      <c r="AR5" s="4"/>
      <c r="AS5" s="4"/>
      <c r="AT5" s="4" t="s">
        <v>73</v>
      </c>
      <c r="AU5" s="4">
        <v>1800</v>
      </c>
      <c r="AV5" s="4">
        <f t="shared" si="2"/>
        <v>1800</v>
      </c>
      <c r="AW5" s="19">
        <v>2</v>
      </c>
      <c r="AX5" s="19">
        <v>1</v>
      </c>
      <c r="AY5" s="16">
        <v>18</v>
      </c>
      <c r="AZ5" t="s">
        <v>79</v>
      </c>
      <c r="BA5" t="str">
        <f t="shared" ref="BA5:BA11" si="14">IFERROR(AZ5*AL5,"-")</f>
        <v>-</v>
      </c>
      <c r="BB5">
        <v>2565</v>
      </c>
      <c r="BC5">
        <f t="shared" ref="BC5:BC11" si="15">IFERROR(BB5*AL5,"-")</f>
        <v>2733.6426299045602</v>
      </c>
      <c r="BD5" t="s">
        <v>70</v>
      </c>
    </row>
    <row r="6" spans="1:56" x14ac:dyDescent="0.4">
      <c r="A6" s="3">
        <v>3</v>
      </c>
      <c r="B6" s="3">
        <v>3</v>
      </c>
      <c r="C6" s="17">
        <v>190992</v>
      </c>
      <c r="D6" s="4" t="str">
        <f t="shared" si="3"/>
        <v>190992</v>
      </c>
      <c r="E6" s="4">
        <v>190992</v>
      </c>
      <c r="F6" s="4" t="s">
        <v>61</v>
      </c>
      <c r="G6" s="5">
        <v>4901627063750</v>
      </c>
      <c r="H6" s="5"/>
      <c r="I6" s="5"/>
      <c r="J6" s="5">
        <v>1</v>
      </c>
      <c r="K6" s="5">
        <v>1</v>
      </c>
      <c r="L6" s="4">
        <v>0</v>
      </c>
      <c r="M6" s="4">
        <v>1638</v>
      </c>
      <c r="N6" s="4">
        <v>990</v>
      </c>
      <c r="O6" s="6">
        <f t="shared" si="4"/>
        <v>0.39560439560439564</v>
      </c>
      <c r="P6" s="4">
        <v>1518</v>
      </c>
      <c r="Q6" s="4">
        <v>5</v>
      </c>
      <c r="R6" s="4">
        <v>99999</v>
      </c>
      <c r="S6" s="4">
        <v>0</v>
      </c>
      <c r="T6" s="4">
        <f t="shared" si="5"/>
        <v>0</v>
      </c>
      <c r="U6" s="4">
        <v>1035</v>
      </c>
      <c r="V6" s="4">
        <f t="shared" si="6"/>
        <v>1035</v>
      </c>
      <c r="W6" s="4"/>
      <c r="X6" s="21">
        <f>ROUND(M6*AL6,0)</f>
        <v>1712</v>
      </c>
      <c r="Y6" s="6">
        <f t="shared" si="7"/>
        <v>0.39544392523364491</v>
      </c>
      <c r="Z6" s="33">
        <v>20</v>
      </c>
      <c r="AA6" s="4" t="str">
        <f t="shared" si="8"/>
        <v>-</v>
      </c>
      <c r="AB6" s="33" t="str">
        <f t="shared" si="9"/>
        <v>-</v>
      </c>
      <c r="AC6" s="6" t="str">
        <f t="shared" si="10"/>
        <v>-</v>
      </c>
      <c r="AD6" s="7">
        <v>1800</v>
      </c>
      <c r="AE6" s="6">
        <f t="shared" si="0"/>
        <v>0.42500000000000004</v>
      </c>
      <c r="AF6" s="4">
        <f t="shared" si="1"/>
        <v>765</v>
      </c>
      <c r="AG6" s="28"/>
      <c r="AH6" s="6"/>
      <c r="AI6" s="6"/>
      <c r="AJ6" s="6" t="str">
        <f>IFERROR(T6/L6,"-")</f>
        <v>-</v>
      </c>
      <c r="AK6" s="6">
        <f>IFERROR(AD6/M6,"-")</f>
        <v>1.098901098901099</v>
      </c>
      <c r="AL6" s="6">
        <f>IFERROR(V6/N6,"-")</f>
        <v>1.0454545454545454</v>
      </c>
      <c r="AM6" s="4">
        <f t="shared" si="11"/>
        <v>1668</v>
      </c>
      <c r="AN6" s="4">
        <f t="shared" si="12"/>
        <v>5</v>
      </c>
      <c r="AO6" s="4">
        <f t="shared" si="13"/>
        <v>99999</v>
      </c>
      <c r="AP6" s="4" t="s">
        <v>58</v>
      </c>
      <c r="AQ6" s="4" t="s">
        <v>67</v>
      </c>
      <c r="AR6" s="4"/>
      <c r="AS6" s="4"/>
      <c r="AT6" s="4" t="s">
        <v>67</v>
      </c>
      <c r="AU6" s="4" t="s">
        <v>67</v>
      </c>
      <c r="AV6" s="4" t="str">
        <f t="shared" ref="AV6:AV11" si="16">IF(AR6="",AU6,AR6/AS6*AU6)</f>
        <v>-</v>
      </c>
      <c r="AW6" s="19">
        <v>4</v>
      </c>
      <c r="AX6" s="19">
        <v>1</v>
      </c>
      <c r="AY6" s="16">
        <v>18</v>
      </c>
      <c r="AZ6" t="s">
        <v>79</v>
      </c>
      <c r="BA6" t="str">
        <f t="shared" si="14"/>
        <v>-</v>
      </c>
      <c r="BB6" t="s">
        <v>79</v>
      </c>
      <c r="BC6" t="str">
        <f t="shared" si="15"/>
        <v>-</v>
      </c>
      <c r="BD6" t="s">
        <v>67</v>
      </c>
    </row>
    <row r="7" spans="1:56" x14ac:dyDescent="0.4">
      <c r="A7" s="3">
        <v>4</v>
      </c>
      <c r="B7" s="3">
        <v>4</v>
      </c>
      <c r="C7" s="17">
        <v>190993</v>
      </c>
      <c r="D7" s="4" t="str">
        <f t="shared" si="3"/>
        <v>190993</v>
      </c>
      <c r="E7" s="4">
        <v>190993</v>
      </c>
      <c r="F7" s="4" t="s">
        <v>62</v>
      </c>
      <c r="G7" s="5">
        <v>4901627063743</v>
      </c>
      <c r="H7" s="5"/>
      <c r="I7" s="5"/>
      <c r="J7" s="5">
        <v>1</v>
      </c>
      <c r="K7" s="5">
        <v>1</v>
      </c>
      <c r="L7" s="4">
        <v>0</v>
      </c>
      <c r="M7" s="4">
        <v>1482</v>
      </c>
      <c r="N7" s="4">
        <v>990</v>
      </c>
      <c r="O7" s="6">
        <f t="shared" si="4"/>
        <v>0.33198380566801622</v>
      </c>
      <c r="P7" s="4">
        <v>1373</v>
      </c>
      <c r="Q7" s="4">
        <v>5</v>
      </c>
      <c r="R7" s="4">
        <v>99999</v>
      </c>
      <c r="S7" s="4">
        <v>0</v>
      </c>
      <c r="T7" s="4">
        <f t="shared" si="5"/>
        <v>0</v>
      </c>
      <c r="U7" s="4">
        <v>1035</v>
      </c>
      <c r="V7" s="4">
        <f t="shared" si="6"/>
        <v>1035</v>
      </c>
      <c r="W7" s="4"/>
      <c r="X7" s="21">
        <f>ROUND(M7*AL7,0)</f>
        <v>1549</v>
      </c>
      <c r="Y7" s="6">
        <f t="shared" si="7"/>
        <v>0.33182698515171083</v>
      </c>
      <c r="Z7" s="33">
        <v>14.75</v>
      </c>
      <c r="AA7" s="4">
        <f t="shared" si="8"/>
        <v>1937</v>
      </c>
      <c r="AB7" s="33">
        <f t="shared" si="9"/>
        <v>2025.0454545454545</v>
      </c>
      <c r="AC7" s="6">
        <f t="shared" si="10"/>
        <v>0.48890036138358284</v>
      </c>
      <c r="AD7" s="7">
        <v>1800</v>
      </c>
      <c r="AE7" s="6">
        <f t="shared" si="0"/>
        <v>0.42500000000000004</v>
      </c>
      <c r="AF7" s="4">
        <f t="shared" si="1"/>
        <v>765</v>
      </c>
      <c r="AG7" s="28"/>
      <c r="AH7" s="6"/>
      <c r="AI7" s="6"/>
      <c r="AJ7" s="6" t="str">
        <f>IFERROR(T7/L7,"-")</f>
        <v>-</v>
      </c>
      <c r="AK7" s="6">
        <f>IFERROR(AD7/M7,"-")</f>
        <v>1.214574898785425</v>
      </c>
      <c r="AL7" s="6">
        <f>IFERROR(V7/N7,"-")</f>
        <v>1.0454545454545454</v>
      </c>
      <c r="AM7" s="4">
        <f t="shared" si="11"/>
        <v>1668</v>
      </c>
      <c r="AN7" s="4">
        <f t="shared" si="12"/>
        <v>5</v>
      </c>
      <c r="AO7" s="4">
        <f t="shared" si="13"/>
        <v>99999</v>
      </c>
      <c r="AP7" s="4" t="s">
        <v>58</v>
      </c>
      <c r="AQ7" s="4" t="s">
        <v>75</v>
      </c>
      <c r="AR7" s="4"/>
      <c r="AS7" s="4"/>
      <c r="AT7" s="4" t="s">
        <v>76</v>
      </c>
      <c r="AU7" s="4">
        <v>1937</v>
      </c>
      <c r="AV7" s="4">
        <f t="shared" si="16"/>
        <v>1937</v>
      </c>
      <c r="AW7" s="19">
        <v>4</v>
      </c>
      <c r="AX7" s="19">
        <v>1</v>
      </c>
      <c r="AY7" s="16">
        <v>18</v>
      </c>
      <c r="AZ7" t="s">
        <v>79</v>
      </c>
      <c r="BA7" t="str">
        <f t="shared" si="14"/>
        <v>-</v>
      </c>
      <c r="BB7" t="s">
        <v>79</v>
      </c>
      <c r="BC7" t="str">
        <f t="shared" si="15"/>
        <v>-</v>
      </c>
      <c r="BD7" t="s">
        <v>71</v>
      </c>
    </row>
    <row r="8" spans="1:56" x14ac:dyDescent="0.4">
      <c r="A8" s="3">
        <v>5</v>
      </c>
      <c r="B8" s="3">
        <v>5</v>
      </c>
      <c r="C8" s="17">
        <v>190994</v>
      </c>
      <c r="D8" s="4" t="str">
        <f t="shared" si="3"/>
        <v>190994</v>
      </c>
      <c r="E8" s="4">
        <v>190994</v>
      </c>
      <c r="F8" s="4" t="s">
        <v>63</v>
      </c>
      <c r="G8" s="5">
        <v>4901627063767</v>
      </c>
      <c r="H8" s="5"/>
      <c r="I8" s="5"/>
      <c r="J8" s="5">
        <v>1</v>
      </c>
      <c r="K8" s="5">
        <v>1</v>
      </c>
      <c r="L8" s="4">
        <v>0</v>
      </c>
      <c r="M8" s="4">
        <v>1638</v>
      </c>
      <c r="N8" s="4">
        <v>990</v>
      </c>
      <c r="O8" s="6">
        <f t="shared" si="4"/>
        <v>0.39560439560439564</v>
      </c>
      <c r="P8" s="4">
        <v>1518</v>
      </c>
      <c r="Q8" s="4">
        <v>5</v>
      </c>
      <c r="R8" s="4">
        <v>99999</v>
      </c>
      <c r="S8" s="4">
        <v>0</v>
      </c>
      <c r="T8" s="4">
        <f t="shared" si="5"/>
        <v>0</v>
      </c>
      <c r="U8" s="4">
        <v>1035</v>
      </c>
      <c r="V8" s="4">
        <f t="shared" si="6"/>
        <v>1035</v>
      </c>
      <c r="W8" s="4"/>
      <c r="X8" s="21">
        <f>ROUND(M8*AL8,0)</f>
        <v>1712</v>
      </c>
      <c r="Y8" s="6">
        <f t="shared" si="7"/>
        <v>0.39544392523364491</v>
      </c>
      <c r="Z8" s="33">
        <v>7.0000000000000009</v>
      </c>
      <c r="AA8" s="4" t="str">
        <f t="shared" si="8"/>
        <v>-</v>
      </c>
      <c r="AB8" s="33" t="str">
        <f t="shared" si="9"/>
        <v>-</v>
      </c>
      <c r="AC8" s="6" t="str">
        <f t="shared" si="10"/>
        <v>-</v>
      </c>
      <c r="AD8" s="7">
        <v>1800</v>
      </c>
      <c r="AE8" s="6">
        <f t="shared" si="0"/>
        <v>0.42500000000000004</v>
      </c>
      <c r="AF8" s="4">
        <f t="shared" si="1"/>
        <v>765</v>
      </c>
      <c r="AG8" s="28"/>
      <c r="AH8" s="6"/>
      <c r="AI8" s="6"/>
      <c r="AJ8" s="6" t="str">
        <f>IFERROR(T8/L8,"-")</f>
        <v>-</v>
      </c>
      <c r="AK8" s="6">
        <f>IFERROR(AD8/M8,"-")</f>
        <v>1.098901098901099</v>
      </c>
      <c r="AL8" s="6">
        <f>IFERROR(V8/N8,"-")</f>
        <v>1.0454545454545454</v>
      </c>
      <c r="AM8" s="4">
        <f t="shared" si="11"/>
        <v>1668</v>
      </c>
      <c r="AN8" s="4">
        <f t="shared" si="12"/>
        <v>5</v>
      </c>
      <c r="AO8" s="4">
        <f t="shared" si="13"/>
        <v>99999</v>
      </c>
      <c r="AP8" s="4" t="s">
        <v>58</v>
      </c>
      <c r="AQ8" s="4" t="s">
        <v>67</v>
      </c>
      <c r="AR8" s="4"/>
      <c r="AS8" s="4"/>
      <c r="AT8" s="4" t="s">
        <v>67</v>
      </c>
      <c r="AU8" s="4" t="s">
        <v>67</v>
      </c>
      <c r="AV8" s="4" t="str">
        <f t="shared" si="16"/>
        <v>-</v>
      </c>
      <c r="AW8" s="19">
        <v>4</v>
      </c>
      <c r="AX8" s="19">
        <v>1</v>
      </c>
      <c r="AY8" s="16">
        <v>18</v>
      </c>
      <c r="AZ8" t="s">
        <v>79</v>
      </c>
      <c r="BA8" t="str">
        <f t="shared" si="14"/>
        <v>-</v>
      </c>
      <c r="BB8" t="s">
        <v>79</v>
      </c>
      <c r="BC8" t="str">
        <f t="shared" si="15"/>
        <v>-</v>
      </c>
      <c r="BD8" t="s">
        <v>67</v>
      </c>
    </row>
    <row r="9" spans="1:56" x14ac:dyDescent="0.4">
      <c r="A9" s="3">
        <v>6</v>
      </c>
      <c r="B9" s="3">
        <v>6</v>
      </c>
      <c r="C9" s="17">
        <v>190996</v>
      </c>
      <c r="D9" s="4" t="str">
        <f t="shared" si="3"/>
        <v>190996</v>
      </c>
      <c r="E9" s="4">
        <v>190996</v>
      </c>
      <c r="F9" s="4" t="s">
        <v>64</v>
      </c>
      <c r="G9" s="5">
        <v>4901627063781</v>
      </c>
      <c r="H9" s="5"/>
      <c r="I9" s="5"/>
      <c r="J9" s="5">
        <v>1</v>
      </c>
      <c r="K9" s="5">
        <v>1</v>
      </c>
      <c r="L9" s="4">
        <v>0</v>
      </c>
      <c r="M9" s="4">
        <v>1980</v>
      </c>
      <c r="N9" s="4">
        <v>1090</v>
      </c>
      <c r="O9" s="6">
        <f t="shared" si="4"/>
        <v>0.4494949494949495</v>
      </c>
      <c r="P9" s="4">
        <v>1872</v>
      </c>
      <c r="Q9" s="4">
        <v>5</v>
      </c>
      <c r="R9" s="4">
        <v>99999</v>
      </c>
      <c r="S9" s="4">
        <v>0</v>
      </c>
      <c r="T9" s="4">
        <f t="shared" si="5"/>
        <v>0</v>
      </c>
      <c r="U9" s="4">
        <v>1139</v>
      </c>
      <c r="V9" s="4">
        <f t="shared" si="6"/>
        <v>1139</v>
      </c>
      <c r="W9" s="4"/>
      <c r="X9" s="21">
        <f>ROUND(M9*AL9,0)</f>
        <v>2069</v>
      </c>
      <c r="Y9" s="6">
        <f t="shared" si="7"/>
        <v>0.44949250845819233</v>
      </c>
      <c r="Z9" s="33">
        <v>10.5</v>
      </c>
      <c r="AA9" s="4" t="str">
        <f t="shared" si="8"/>
        <v>-</v>
      </c>
      <c r="AB9" s="33" t="str">
        <f t="shared" si="9"/>
        <v>-</v>
      </c>
      <c r="AC9" s="6" t="str">
        <f t="shared" si="10"/>
        <v>-</v>
      </c>
      <c r="AD9" s="7">
        <v>2020</v>
      </c>
      <c r="AE9" s="6">
        <f t="shared" si="0"/>
        <v>0.43613861386138619</v>
      </c>
      <c r="AF9" s="4">
        <f t="shared" si="1"/>
        <v>881</v>
      </c>
      <c r="AG9" s="28"/>
      <c r="AH9" s="6"/>
      <c r="AI9" s="6"/>
      <c r="AJ9" s="6" t="str">
        <f>IFERROR(T9/L9,"-")</f>
        <v>-</v>
      </c>
      <c r="AK9" s="6">
        <f>IFERROR(AD9/M9,"-")</f>
        <v>1.0202020202020201</v>
      </c>
      <c r="AL9" s="6">
        <f>IFERROR(V9/N9,"-")</f>
        <v>1.0449541284403669</v>
      </c>
      <c r="AM9" s="4">
        <f t="shared" si="11"/>
        <v>1910</v>
      </c>
      <c r="AN9" s="4">
        <f t="shared" si="12"/>
        <v>5</v>
      </c>
      <c r="AO9" s="4">
        <f t="shared" si="13"/>
        <v>99999</v>
      </c>
      <c r="AP9" s="4" t="s">
        <v>58</v>
      </c>
      <c r="AQ9" s="4" t="s">
        <v>67</v>
      </c>
      <c r="AR9" s="4"/>
      <c r="AS9" s="4"/>
      <c r="AT9" s="4" t="s">
        <v>67</v>
      </c>
      <c r="AU9" s="4" t="s">
        <v>67</v>
      </c>
      <c r="AV9" s="4" t="str">
        <f t="shared" si="16"/>
        <v>-</v>
      </c>
      <c r="AW9" s="19">
        <v>4</v>
      </c>
      <c r="AX9" s="19">
        <v>1</v>
      </c>
      <c r="AY9" s="16">
        <v>18</v>
      </c>
      <c r="AZ9" t="s">
        <v>79</v>
      </c>
      <c r="BA9" t="str">
        <f t="shared" si="14"/>
        <v>-</v>
      </c>
      <c r="BB9" t="s">
        <v>79</v>
      </c>
      <c r="BC9" t="str">
        <f t="shared" si="15"/>
        <v>-</v>
      </c>
      <c r="BD9" t="s">
        <v>67</v>
      </c>
    </row>
    <row r="10" spans="1:56" x14ac:dyDescent="0.4">
      <c r="A10" s="3">
        <v>7</v>
      </c>
      <c r="B10" s="3">
        <v>7</v>
      </c>
      <c r="C10" s="4">
        <v>190997</v>
      </c>
      <c r="D10" s="4" t="str">
        <f t="shared" si="3"/>
        <v>190997</v>
      </c>
      <c r="E10" s="4">
        <v>190997</v>
      </c>
      <c r="F10" s="4" t="s">
        <v>65</v>
      </c>
      <c r="G10" s="5">
        <v>4901627063774</v>
      </c>
      <c r="H10" s="5"/>
      <c r="I10" s="5"/>
      <c r="J10" s="5">
        <v>1</v>
      </c>
      <c r="K10" s="5">
        <v>1</v>
      </c>
      <c r="L10" s="4">
        <v>0</v>
      </c>
      <c r="M10" s="4">
        <v>1673</v>
      </c>
      <c r="N10" s="4">
        <v>1090</v>
      </c>
      <c r="O10" s="6">
        <f t="shared" si="4"/>
        <v>0.34847579199043632</v>
      </c>
      <c r="P10" s="4">
        <v>1581</v>
      </c>
      <c r="Q10" s="4">
        <v>5</v>
      </c>
      <c r="R10" s="4">
        <v>99999</v>
      </c>
      <c r="S10" s="4">
        <v>0</v>
      </c>
      <c r="T10" s="4">
        <f t="shared" si="5"/>
        <v>0</v>
      </c>
      <c r="U10" s="4">
        <v>1139</v>
      </c>
      <c r="V10" s="4">
        <f t="shared" si="6"/>
        <v>1139</v>
      </c>
      <c r="W10" s="4"/>
      <c r="X10" s="21">
        <f>ROUND(M10*AL10,0)</f>
        <v>1748</v>
      </c>
      <c r="Y10" s="6">
        <f t="shared" si="7"/>
        <v>0.34839816933638446</v>
      </c>
      <c r="Z10" s="33">
        <v>16.5</v>
      </c>
      <c r="AA10" s="4" t="str">
        <f t="shared" si="8"/>
        <v>-</v>
      </c>
      <c r="AB10" s="33" t="str">
        <f t="shared" si="9"/>
        <v>-</v>
      </c>
      <c r="AC10" s="6" t="str">
        <f t="shared" si="10"/>
        <v>-</v>
      </c>
      <c r="AD10" s="7">
        <v>2020</v>
      </c>
      <c r="AE10" s="6">
        <f t="shared" si="0"/>
        <v>0.43613861386138619</v>
      </c>
      <c r="AF10" s="4">
        <f t="shared" si="1"/>
        <v>881</v>
      </c>
      <c r="AG10" s="28"/>
      <c r="AH10" s="6"/>
      <c r="AI10" s="6"/>
      <c r="AJ10" s="6" t="str">
        <f>IFERROR(T10/L10,"-")</f>
        <v>-</v>
      </c>
      <c r="AK10" s="6">
        <f>IFERROR(AD10/M10,"-")</f>
        <v>1.2074118350268979</v>
      </c>
      <c r="AL10" s="6">
        <f>IFERROR(V10/N10,"-")</f>
        <v>1.0449541284403669</v>
      </c>
      <c r="AM10" s="4">
        <f t="shared" si="11"/>
        <v>1909</v>
      </c>
      <c r="AN10" s="4">
        <f t="shared" si="12"/>
        <v>5</v>
      </c>
      <c r="AO10" s="4">
        <f t="shared" si="13"/>
        <v>99999</v>
      </c>
      <c r="AP10" s="4" t="s">
        <v>58</v>
      </c>
      <c r="AQ10" s="4" t="s">
        <v>67</v>
      </c>
      <c r="AR10" s="4"/>
      <c r="AS10" s="4"/>
      <c r="AT10" s="4" t="s">
        <v>67</v>
      </c>
      <c r="AU10" s="4" t="s">
        <v>67</v>
      </c>
      <c r="AV10" s="4" t="str">
        <f t="shared" si="16"/>
        <v>-</v>
      </c>
      <c r="AW10" s="19">
        <v>4</v>
      </c>
      <c r="AX10" s="19">
        <v>1</v>
      </c>
      <c r="AY10" s="16">
        <v>18</v>
      </c>
      <c r="AZ10" t="s">
        <v>79</v>
      </c>
      <c r="BA10" t="str">
        <f t="shared" si="14"/>
        <v>-</v>
      </c>
      <c r="BB10" t="s">
        <v>79</v>
      </c>
      <c r="BC10" t="str">
        <f t="shared" si="15"/>
        <v>-</v>
      </c>
      <c r="BD10" t="s">
        <v>67</v>
      </c>
    </row>
    <row r="11" spans="1:56" x14ac:dyDescent="0.4">
      <c r="A11" s="3">
        <v>8</v>
      </c>
      <c r="B11" s="3">
        <v>8</v>
      </c>
      <c r="C11" s="4">
        <v>190998</v>
      </c>
      <c r="D11" s="4" t="str">
        <f t="shared" si="3"/>
        <v>190998</v>
      </c>
      <c r="E11" s="4">
        <v>190998</v>
      </c>
      <c r="F11" s="4" t="s">
        <v>66</v>
      </c>
      <c r="G11" s="5">
        <v>4901627063798</v>
      </c>
      <c r="H11" s="5"/>
      <c r="I11" s="5"/>
      <c r="J11" s="5">
        <v>1</v>
      </c>
      <c r="K11" s="5">
        <v>1</v>
      </c>
      <c r="L11" s="4">
        <v>0</v>
      </c>
      <c r="M11" s="4">
        <v>2019</v>
      </c>
      <c r="N11" s="4">
        <v>1090</v>
      </c>
      <c r="O11" s="6">
        <f t="shared" si="4"/>
        <v>0.46012877662209017</v>
      </c>
      <c r="P11" s="4">
        <v>1872</v>
      </c>
      <c r="Q11" s="4">
        <v>5</v>
      </c>
      <c r="R11" s="4">
        <v>99999</v>
      </c>
      <c r="S11" s="4">
        <v>0</v>
      </c>
      <c r="T11" s="4">
        <f t="shared" si="5"/>
        <v>0</v>
      </c>
      <c r="U11" s="4">
        <v>1139</v>
      </c>
      <c r="V11" s="4">
        <f t="shared" si="6"/>
        <v>1139</v>
      </c>
      <c r="W11" s="4"/>
      <c r="X11" s="21">
        <f>ROUND(M11*AL11,0)</f>
        <v>2110</v>
      </c>
      <c r="Y11" s="6">
        <f t="shared" si="7"/>
        <v>0.46018957345971567</v>
      </c>
      <c r="Z11" s="33">
        <v>4.5</v>
      </c>
      <c r="AA11" s="4" t="str">
        <f t="shared" si="8"/>
        <v>-</v>
      </c>
      <c r="AB11" s="33" t="str">
        <f t="shared" si="9"/>
        <v>-</v>
      </c>
      <c r="AC11" s="6" t="str">
        <f t="shared" si="10"/>
        <v>-</v>
      </c>
      <c r="AD11" s="7">
        <v>2020</v>
      </c>
      <c r="AE11" s="6">
        <f t="shared" si="0"/>
        <v>0.43613861386138619</v>
      </c>
      <c r="AF11" s="4">
        <f t="shared" si="1"/>
        <v>881</v>
      </c>
      <c r="AG11" s="28"/>
      <c r="AH11" s="6"/>
      <c r="AI11" s="6"/>
      <c r="AJ11" s="6" t="str">
        <f>IFERROR(T11/L11,"-")</f>
        <v>-</v>
      </c>
      <c r="AK11" s="6">
        <f>IFERROR(AD11/M11,"-")</f>
        <v>1.0004952947003467</v>
      </c>
      <c r="AL11" s="6">
        <f>IFERROR(V11/N11,"-")</f>
        <v>1.0449541284403669</v>
      </c>
      <c r="AM11" s="4">
        <f t="shared" si="11"/>
        <v>1873</v>
      </c>
      <c r="AN11" s="4">
        <f t="shared" si="12"/>
        <v>5</v>
      </c>
      <c r="AO11" s="4">
        <f t="shared" si="13"/>
        <v>99999</v>
      </c>
      <c r="AP11" s="4" t="s">
        <v>58</v>
      </c>
      <c r="AQ11" s="4" t="s">
        <v>67</v>
      </c>
      <c r="AR11" s="4"/>
      <c r="AS11" s="4"/>
      <c r="AT11" s="4" t="s">
        <v>67</v>
      </c>
      <c r="AU11" s="4" t="s">
        <v>67</v>
      </c>
      <c r="AV11" s="4" t="str">
        <f t="shared" si="16"/>
        <v>-</v>
      </c>
      <c r="AW11" s="19">
        <v>4</v>
      </c>
      <c r="AX11" s="19">
        <v>1</v>
      </c>
      <c r="AY11" s="16">
        <v>18</v>
      </c>
      <c r="AZ11" t="s">
        <v>79</v>
      </c>
      <c r="BA11" t="str">
        <f t="shared" si="14"/>
        <v>-</v>
      </c>
      <c r="BB11" t="s">
        <v>79</v>
      </c>
      <c r="BC11" t="str">
        <f t="shared" si="15"/>
        <v>-</v>
      </c>
      <c r="BD11" t="s">
        <v>67</v>
      </c>
    </row>
  </sheetData>
  <autoFilter ref="A3:BD3" xr:uid="{7A1660CF-9003-4B2D-B659-7F339ED5B476}"/>
  <mergeCells count="3">
    <mergeCell ref="L2:O2"/>
    <mergeCell ref="J2:K2"/>
    <mergeCell ref="S1:V1"/>
  </mergeCells>
  <phoneticPr fontId="2"/>
  <conditionalFormatting sqref="AD4:AD11">
    <cfRule type="cellIs" dxfId="2" priority="4" operator="greaterThan">
      <formula>$T4</formula>
    </cfRule>
  </conditionalFormatting>
  <conditionalFormatting sqref="AB4:AB11">
    <cfRule type="cellIs" dxfId="1" priority="2" operator="lessThan">
      <formula>$AD4</formula>
    </cfRule>
  </conditionalFormatting>
  <conditionalFormatting sqref="AE4:AE11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2026-06-29T03:01:49Z</dcterms:modified>
</cp:coreProperties>
</file>