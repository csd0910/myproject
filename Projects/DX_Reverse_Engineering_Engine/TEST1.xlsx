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DX_Reverse_Engineering_Engine\"/>
    </mc:Choice>
  </mc:AlternateContent>
  <xr:revisionPtr revIDLastSave="0" documentId="8_{704D2C6F-089C-4011-8A30-2D78B8344B83}" xr6:coauthVersionLast="47" xr6:coauthVersionMax="47" xr10:uidLastSave="{00000000-0000-0000-0000-000000000000}"/>
  <bookViews>
    <workbookView xWindow="-45" yWindow="-16320" windowWidth="29040" windowHeight="16440" xr2:uid="{3D359778-967B-4E23-8B89-FF9410D7E6B7}"/>
  </bookViews>
  <sheets>
    <sheet name="マスタ" sheetId="1" r:id="rId1"/>
    <sheet name="データマス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<sst xmlns="http://schemas.openxmlformats.org/spreadsheetml/2006/main" count="42" uniqueCount="17">
  <si>
    <t>A001</t>
    <phoneticPr fontId="1"/>
  </si>
  <si>
    <t>A002</t>
  </si>
  <si>
    <t>A003</t>
  </si>
  <si>
    <t>A004</t>
  </si>
  <si>
    <t>PC</t>
    <phoneticPr fontId="1"/>
  </si>
  <si>
    <t>モニタ</t>
    <phoneticPr fontId="1"/>
  </si>
  <si>
    <t>キーボード</t>
    <phoneticPr fontId="1"/>
  </si>
  <si>
    <t>マウス</t>
    <phoneticPr fontId="1"/>
  </si>
  <si>
    <t>No</t>
    <phoneticPr fontId="1"/>
  </si>
  <si>
    <t>データ番号</t>
    <rPh sb="3" eb="5">
      <t>バンゴウ</t>
    </rPh>
    <phoneticPr fontId="1"/>
  </si>
  <si>
    <t>機材名</t>
    <rPh sb="0" eb="3">
      <t>キザイメイ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</si>
  <si>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</si>
  <si>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</si>
  <si>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合計金額</t>
    <rPh sb="0" eb="4">
      <t>ゴウケイキンガク</t>
    </rPh>
    <phoneticPr fontId="1"/>
  </si>
  <si>
    <t>A002</t>
    <phoneticPr fontId="1"/>
  </si>
  <si>
    <t>A003</t>
    <phoneticPr fontId="1"/>
  </si>
  <si>
    <t>A004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</si>
</sst>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11D4-5C12-4970-8249-E41E2A777D3D}">
  <dimension ref="A1:F30"/>
  <sheetViews>
    <sheetView tabSelected="1" workbookViewId="0">
      <selection activeCell="L27" sqref="L27"/>
    </sheetView>
  </sheetViews>
  <sheetFormatPr defaultRowHeight="18.75" x14ac:dyDescent="0.4"/>
  <cols>
    <col min="3" max="3" width="11" bestFit="1" customWidth="1"/>
    <col min="6" max="6" width="11.75" bestFit="1" customWidth="1"/>
  </cols>
  <sheetData>
    <row r="1" spans="1:6" x14ac:dyDescent="0.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">
      <c r="A2">
        <v>1</v>
      </c>
      <c r="B2" t="s">
        <v>0</v>
      </c>
      <c r="C2" t="str">
        <f>VLOOKUP(B2,データマスタ!$A$1:$B$4,2,FALSE)</f>
        <v>PC</v>
      </c>
      <c r="D2">
        <v>120000</v>
      </c>
      <c r="E2">
        <v>5</v>
      </c>
      <c r="F2" s="1">
        <f>D2*E2</f>
        <v>600000</v>
      </c>
    </row>
    <row r="3" spans="1:6" x14ac:dyDescent="0.4">
      <c r="A3">
        <v>2</v>
      </c>
      <c r="B3" t="s">
        <v>14</v>
      </c>
      <c r="C3" t="str">
        <f>VLOOKUP(B3,データマスタ!$A$1:$B$4,2,FALSE)</f>
        <v>モニタ</v>
      </c>
      <c r="D3">
        <v>15000</v>
      </c>
      <c r="E3">
        <v>2</v>
      </c>
      <c r="F3" s="1">
        <f t="shared" ref="F3:F29" si="0">D3*E3</f>
        <v>30000</v>
      </c>
    </row>
    <row r="4" spans="1:6" x14ac:dyDescent="0.4">
      <c r="A4">
        <v>3</v>
      </c>
      <c r="B4" t="s">
        <v>15</v>
      </c>
      <c r="C4" t="str">
        <f>VLOOKUP(B4,データマスタ!$A$1:$B$4,2,FALSE)</f>
        <v>キーボード</v>
      </c>
      <c r="D4">
        <v>1500</v>
      </c>
      <c r="E4">
        <v>1</v>
      </c>
      <c r="F4" s="1">
        <f t="shared" si="0"/>
        <v>1500</v>
      </c>
    </row>
    <row r="5" spans="1:6" x14ac:dyDescent="0.4">
      <c r="A5">
        <v>4</v>
      </c>
      <c r="B5" t="s">
        <v>16</v>
      </c>
      <c r="C5" t="str">
        <f>VLOOKUP(B5,データマスタ!$A$1:$B$4,2,FALSE)</f>
        <v>マウス</v>
      </c>
      <c r="D5">
        <v>1000</v>
      </c>
      <c r="E5">
        <v>4</v>
      </c>
      <c r="F5" s="1">
        <f t="shared" si="0"/>
        <v>4000</v>
      </c>
    </row>
    <row r="6" spans="1:6" x14ac:dyDescent="0.4">
      <c r="A6">
        <v>5</v>
      </c>
      <c r="B6" t="s">
        <v>0</v>
      </c>
      <c r="C6" t="str">
        <f>VLOOKUP(B6,データマスタ!$A$1:$B$4,2,FALSE)</f>
        <v>PC</v>
      </c>
      <c r="D6">
        <v>120000</v>
      </c>
      <c r="E6">
        <v>5</v>
      </c>
      <c r="F6" s="1">
        <f t="shared" si="0"/>
        <v>600000</v>
      </c>
    </row>
    <row r="7" spans="1:6" x14ac:dyDescent="0.4">
      <c r="A7">
        <v>6</v>
      </c>
      <c r="B7" t="s">
        <v>14</v>
      </c>
      <c r="C7" t="str">
        <f>VLOOKUP(B7,データマスタ!$A$1:$B$4,2,FALSE)</f>
        <v>モニタ</v>
      </c>
      <c r="D7">
        <v>15000</v>
      </c>
      <c r="E7">
        <v>1</v>
      </c>
      <c r="F7" s="1">
        <f t="shared" si="0"/>
        <v>15000</v>
      </c>
    </row>
    <row r="8" spans="1:6" x14ac:dyDescent="0.4">
      <c r="A8">
        <v>7</v>
      </c>
      <c r="B8" t="s">
        <v>15</v>
      </c>
      <c r="C8" t="str">
        <f>VLOOKUP(B8,データマスタ!$A$1:$B$4,2,FALSE)</f>
        <v>キーボード</v>
      </c>
      <c r="D8">
        <v>1500</v>
      </c>
      <c r="E8">
        <v>3</v>
      </c>
      <c r="F8" s="1">
        <f t="shared" si="0"/>
        <v>4500</v>
      </c>
    </row>
    <row r="9" spans="1:6" x14ac:dyDescent="0.4">
      <c r="A9">
        <v>8</v>
      </c>
      <c r="B9" t="s">
        <v>16</v>
      </c>
      <c r="C9" t="str">
        <f>VLOOKUP(B9,データマスタ!$A$1:$B$4,2,FALSE)</f>
        <v>マウス</v>
      </c>
      <c r="D9">
        <v>1000</v>
      </c>
      <c r="E9">
        <v>2</v>
      </c>
      <c r="F9" s="1">
        <f t="shared" si="0"/>
        <v>2000</v>
      </c>
    </row>
    <row r="10" spans="1:6" x14ac:dyDescent="0.4">
      <c r="A10">
        <v>9</v>
      </c>
      <c r="B10" t="s">
        <v>0</v>
      </c>
      <c r="C10" t="str">
        <f>VLOOKUP(B10,データマスタ!$A$1:$B$4,2,FALSE)</f>
        <v>PC</v>
      </c>
      <c r="D10">
        <v>120000</v>
      </c>
      <c r="E10">
        <v>4</v>
      </c>
      <c r="F10" s="1">
        <f t="shared" si="0"/>
        <v>480000</v>
      </c>
    </row>
    <row r="11" spans="1:6" x14ac:dyDescent="0.4">
      <c r="A11">
        <v>10</v>
      </c>
      <c r="B11" t="s">
        <v>14</v>
      </c>
      <c r="C11" t="str">
        <f>VLOOKUP(B11,データマスタ!$A$1:$B$4,2,FALSE)</f>
        <v>モニタ</v>
      </c>
      <c r="D11">
        <v>15000</v>
      </c>
      <c r="E11">
        <v>5</v>
      </c>
      <c r="F11" s="1">
        <f t="shared" si="0"/>
        <v>75000</v>
      </c>
    </row>
    <row r="12" spans="1:6" x14ac:dyDescent="0.4">
      <c r="A12">
        <v>11</v>
      </c>
      <c r="B12" t="s">
        <v>15</v>
      </c>
      <c r="C12" t="str">
        <f>VLOOKUP(B12,データマスタ!$A$1:$B$4,2,FALSE)</f>
        <v>キーボード</v>
      </c>
      <c r="D12">
        <v>1500</v>
      </c>
      <c r="E12">
        <v>6</v>
      </c>
      <c r="F12" s="1">
        <f t="shared" si="0"/>
        <v>9000</v>
      </c>
    </row>
    <row r="13" spans="1:6" x14ac:dyDescent="0.4">
      <c r="A13">
        <v>12</v>
      </c>
      <c r="B13" t="s">
        <v>16</v>
      </c>
      <c r="C13" t="str">
        <f>VLOOKUP(B13,データマスタ!$A$1:$B$4,2,FALSE)</f>
        <v>マウス</v>
      </c>
      <c r="D13">
        <v>1000</v>
      </c>
      <c r="E13">
        <v>1</v>
      </c>
      <c r="F13" s="1">
        <f t="shared" si="0"/>
        <v>1000</v>
      </c>
    </row>
    <row r="14" spans="1:6" x14ac:dyDescent="0.4">
      <c r="A14">
        <v>13</v>
      </c>
      <c r="B14" t="s">
        <v>0</v>
      </c>
      <c r="C14" t="str">
        <f>VLOOKUP(B14,データマスタ!$A$1:$B$4,2,FALSE)</f>
        <v>PC</v>
      </c>
      <c r="D14">
        <v>120000</v>
      </c>
      <c r="E14">
        <v>2</v>
      </c>
      <c r="F14" s="1">
        <f t="shared" si="0"/>
        <v>240000</v>
      </c>
    </row>
    <row r="15" spans="1:6" x14ac:dyDescent="0.4">
      <c r="A15">
        <v>14</v>
      </c>
      <c r="B15" t="s">
        <v>14</v>
      </c>
      <c r="C15" t="str">
        <f>VLOOKUP(B15,データマスタ!$A$1:$B$4,2,FALSE)</f>
        <v>モニタ</v>
      </c>
      <c r="D15">
        <v>15000</v>
      </c>
      <c r="E15">
        <v>4</v>
      </c>
      <c r="F15" s="1">
        <f t="shared" si="0"/>
        <v>60000</v>
      </c>
    </row>
    <row r="16" spans="1:6" x14ac:dyDescent="0.4">
      <c r="A16">
        <v>15</v>
      </c>
      <c r="B16" t="s">
        <v>15</v>
      </c>
      <c r="C16" t="str">
        <f>VLOOKUP(B16,データマスタ!$A$1:$B$4,2,FALSE)</f>
        <v>キーボード</v>
      </c>
      <c r="D16">
        <v>1500</v>
      </c>
      <c r="E16">
        <v>5</v>
      </c>
      <c r="F16" s="1">
        <f t="shared" si="0"/>
        <v>7500</v>
      </c>
    </row>
    <row r="17" spans="1:6" x14ac:dyDescent="0.4">
      <c r="A17">
        <v>16</v>
      </c>
      <c r="B17" t="s">
        <v>16</v>
      </c>
      <c r="C17" t="str">
        <f>VLOOKUP(B17,データマスタ!$A$1:$B$4,2,FALSE)</f>
        <v>マウス</v>
      </c>
      <c r="D17">
        <v>1000</v>
      </c>
      <c r="E17">
        <v>6</v>
      </c>
      <c r="F17" s="1">
        <f t="shared" si="0"/>
        <v>6000</v>
      </c>
    </row>
    <row r="18" spans="1:6" x14ac:dyDescent="0.4">
      <c r="A18">
        <v>17</v>
      </c>
      <c r="B18" t="s">
        <v>0</v>
      </c>
      <c r="C18" t="str">
        <f>VLOOKUP(B18,データマスタ!$A$1:$B$4,2,FALSE)</f>
        <v>PC</v>
      </c>
      <c r="D18">
        <v>120000</v>
      </c>
      <c r="E18">
        <v>4</v>
      </c>
      <c r="F18" s="1">
        <f t="shared" si="0"/>
        <v>480000</v>
      </c>
    </row>
    <row r="19" spans="1:6" x14ac:dyDescent="0.4">
      <c r="A19">
        <v>18</v>
      </c>
      <c r="B19" t="s">
        <v>14</v>
      </c>
      <c r="C19" t="str">
        <f>VLOOKUP(B19,データマスタ!$A$1:$B$4,2,FALSE)</f>
        <v>モニタ</v>
      </c>
      <c r="D19">
        <v>15000</v>
      </c>
      <c r="E19">
        <v>2</v>
      </c>
      <c r="F19" s="1">
        <f t="shared" si="0"/>
        <v>30000</v>
      </c>
    </row>
    <row r="20" spans="1:6" x14ac:dyDescent="0.4">
      <c r="A20">
        <v>19</v>
      </c>
      <c r="B20" t="s">
        <v>15</v>
      </c>
      <c r="C20" t="str">
        <f>VLOOKUP(B20,データマスタ!$A$1:$B$4,2,FALSE)</f>
        <v>キーボード</v>
      </c>
      <c r="D20">
        <v>1500</v>
      </c>
      <c r="E20">
        <v>2</v>
      </c>
      <c r="F20" s="1">
        <f t="shared" si="0"/>
        <v>3000</v>
      </c>
    </row>
    <row r="21" spans="1:6" x14ac:dyDescent="0.4">
      <c r="A21">
        <v>20</v>
      </c>
      <c r="B21" t="s">
        <v>16</v>
      </c>
      <c r="C21" t="str">
        <f>VLOOKUP(B21,データマスタ!$A$1:$B$4,2,FALSE)</f>
        <v>マウス</v>
      </c>
      <c r="D21">
        <v>1000</v>
      </c>
      <c r="E21">
        <v>2</v>
      </c>
      <c r="F21" s="1">
        <f t="shared" si="0"/>
        <v>2000</v>
      </c>
    </row>
    <row r="22" spans="1:6" x14ac:dyDescent="0.4">
      <c r="A22">
        <v>21</v>
      </c>
      <c r="B22" t="s">
        <v>0</v>
      </c>
      <c r="C22" t="str">
        <f>VLOOKUP(B22,データマスタ!$A$1:$B$4,2,FALSE)</f>
        <v>PC</v>
      </c>
      <c r="D22">
        <v>120000</v>
      </c>
      <c r="E22">
        <v>1</v>
      </c>
      <c r="F22" s="1">
        <f t="shared" si="0"/>
        <v>120000</v>
      </c>
    </row>
    <row r="23" spans="1:6" x14ac:dyDescent="0.4">
      <c r="A23">
        <v>22</v>
      </c>
      <c r="B23" t="s">
        <v>14</v>
      </c>
      <c r="C23" t="str">
        <f>VLOOKUP(B23,データマスタ!$A$1:$B$4,2,FALSE)</f>
        <v>モニタ</v>
      </c>
      <c r="D23">
        <v>15000</v>
      </c>
      <c r="E23">
        <v>3</v>
      </c>
      <c r="F23" s="1">
        <f t="shared" si="0"/>
        <v>45000</v>
      </c>
    </row>
    <row r="24" spans="1:6" x14ac:dyDescent="0.4">
      <c r="A24">
        <v>23</v>
      </c>
      <c r="B24" t="s">
        <v>15</v>
      </c>
      <c r="C24" t="str">
        <f>VLOOKUP(B24,データマスタ!$A$1:$B$4,2,FALSE)</f>
        <v>キーボード</v>
      </c>
      <c r="D24">
        <v>1500</v>
      </c>
      <c r="E24">
        <v>3</v>
      </c>
      <c r="F24" s="1">
        <f t="shared" si="0"/>
        <v>4500</v>
      </c>
    </row>
    <row r="25" spans="1:6" x14ac:dyDescent="0.4">
      <c r="A25">
        <v>24</v>
      </c>
      <c r="B25" t="s">
        <v>16</v>
      </c>
      <c r="C25" t="str">
        <f>VLOOKUP(B25,データマスタ!$A$1:$B$4,2,FALSE)</f>
        <v>マウス</v>
      </c>
      <c r="D25">
        <v>1000</v>
      </c>
      <c r="E25">
        <v>4</v>
      </c>
      <c r="F25" s="1">
        <f t="shared" si="0"/>
        <v>4000</v>
      </c>
    </row>
    <row r="26" spans="1:6" x14ac:dyDescent="0.4">
      <c r="A26">
        <v>25</v>
      </c>
      <c r="B26" t="s">
        <v>0</v>
      </c>
      <c r="C26" t="str">
        <f>VLOOKUP(B26,データマスタ!$A$1:$B$4,2,FALSE)</f>
        <v>PC</v>
      </c>
      <c r="D26">
        <v>120000</v>
      </c>
      <c r="E26">
        <v>1</v>
      </c>
      <c r="F26" s="1">
        <f t="shared" si="0"/>
        <v>120000</v>
      </c>
    </row>
    <row r="27" spans="1:6" x14ac:dyDescent="0.4">
      <c r="A27">
        <v>26</v>
      </c>
      <c r="B27" t="s">
        <v>14</v>
      </c>
      <c r="C27" t="str">
        <f>VLOOKUP(B27,データマスタ!$A$1:$B$4,2,FALSE)</f>
        <v>モニタ</v>
      </c>
      <c r="D27">
        <v>15000</v>
      </c>
      <c r="E27">
        <v>2</v>
      </c>
      <c r="F27" s="1">
        <f t="shared" si="0"/>
        <v>30000</v>
      </c>
    </row>
    <row r="28" spans="1:6" x14ac:dyDescent="0.4">
      <c r="A28">
        <v>27</v>
      </c>
      <c r="B28" t="s">
        <v>15</v>
      </c>
      <c r="C28" t="str">
        <f>VLOOKUP(B28,データマスタ!$A$1:$B$4,2,FALSE)</f>
        <v>キーボード</v>
      </c>
      <c r="D28">
        <v>1500</v>
      </c>
      <c r="E28">
        <v>5</v>
      </c>
      <c r="F28" s="1">
        <f t="shared" si="0"/>
        <v>7500</v>
      </c>
    </row>
    <row r="29" spans="1:6" x14ac:dyDescent="0.4">
      <c r="A29">
        <v>28</v>
      </c>
      <c r="B29" t="s">
        <v>16</v>
      </c>
      <c r="C29" t="str">
        <f>VLOOKUP(B29,データマスタ!$A$1:$B$4,2,FALSE)</f>
        <v>マウス</v>
      </c>
      <c r="D29">
        <v>1000</v>
      </c>
      <c r="E29">
        <v>1</v>
      </c>
      <c r="F29" s="1">
        <f t="shared" si="0"/>
        <v>1000</v>
      </c>
    </row>
    <row r="30" spans="1:6" x14ac:dyDescent="0.4">
      <c r="F30" s="1">
        <f>SUM(F2:F29)</f>
        <v>2982500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7C36-D96B-46CE-866F-2A7543A37E48}">
  <dimension ref="A1:B4"/>
  <sheetViews>
    <sheetView workbookViewId="0">
      <selection sqref="A1:B4"/>
    </sheetView>
  </sheetViews>
  <sheetFormatPr defaultRowHeight="18.75" x14ac:dyDescent="0.4"/>
  <sheetData>
    <row r="1" spans="1:2" x14ac:dyDescent="0.4">
      <c r="A1" t="s">
        <v>0</v>
      </c>
      <c r="B1" t="s">
        <v>4</v>
      </c>
    </row>
    <row r="2" spans="1:2" x14ac:dyDescent="0.4">
      <c r="A2" t="s">
        <v>1</v>
      </c>
      <c r="B2" t="s">
        <v>5</v>
      </c>
    </row>
    <row r="3" spans="1:2" x14ac:dyDescent="0.4">
      <c r="A3" t="s">
        <v>2</v>
      </c>
      <c r="B3" t="s">
        <v>6</v>
      </c>
    </row>
    <row r="4" spans="1:2" x14ac:dyDescent="0.4">
      <c r="A4" t="s">
        <v>3</v>
      </c>
      <c r="B4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マスタ</vt:lpstr>
      <vt:lpstr>データマスタ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2026-08-11T06:26:43Z</dcterms:created>
  <dcterms:modified xsi:type="dcterms:W3CDTF">2026-08-11T06:33:18Z</dcterms:modified>
</cp:coreProperties>
</file>